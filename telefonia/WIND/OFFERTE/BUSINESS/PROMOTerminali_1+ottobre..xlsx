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Questa_cartella_di_lavor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uomora\Downloads\"/>
    </mc:Choice>
  </mc:AlternateContent>
  <xr:revisionPtr revIDLastSave="0" documentId="8_{AC7E7E40-84D4-4005-AD2F-A7019E6A5891}" xr6:coauthVersionLast="47" xr6:coauthVersionMax="47" xr10:uidLastSave="{00000000-0000-0000-0000-000000000000}"/>
  <bookViews>
    <workbookView xWindow="-108" yWindow="-108" windowWidth="23256" windowHeight="12456" tabRatio="763" firstSheet="2" activeTab="2" xr2:uid="{573E94BD-4BF5-4CAB-85EF-0F09166E20F3}"/>
  </bookViews>
  <sheets>
    <sheet name="PromoClonate" sheetId="10" state="hidden" r:id="rId1"/>
    <sheet name="PromoClonate_GSI_NEW" sheetId="11" state="hidden" r:id="rId2"/>
    <sheet name="Smartphone &amp; Tab RATA STAND new" sheetId="93" r:id="rId3"/>
    <sheet name="UnlimitedPRO|MONDO|200" sheetId="94" r:id="rId4"/>
    <sheet name="SUPER GIGA" sheetId="61" r:id="rId5"/>
    <sheet name="SUPER FLEX" sheetId="68" r:id="rId6"/>
    <sheet name="GIGABOOST" sheetId="63" r:id="rId7"/>
    <sheet name="WORK &amp; LIFE" sheetId="52" r:id="rId8"/>
    <sheet name="PROMO FISSO-NO ONE STEP" sheetId="92" r:id="rId9"/>
    <sheet name="MODIFICHE ATE" sheetId="19" state="hidden" r:id="rId10"/>
    <sheet name="PROMO FISSO-ONE STEP  " sheetId="91" r:id="rId11"/>
  </sheets>
  <externalReferences>
    <externalReference r:id="rId12"/>
  </externalReferences>
  <definedNames>
    <definedName name="_xlnm._FilterDatabase" localSheetId="6" hidden="1">GIGABOOST!$A$4:$AG$13</definedName>
    <definedName name="_xlnm._FilterDatabase" localSheetId="8" hidden="1">'PROMO FISSO-NO ONE STEP'!$A$5:$X$5</definedName>
    <definedName name="_xlnm._FilterDatabase" localSheetId="10" hidden="1">'PROMO FISSO-ONE STEP  '!$B$6:$O$38</definedName>
    <definedName name="_xlnm._FilterDatabase" localSheetId="0" hidden="1">PromoClonate!$A$1:$G$916</definedName>
    <definedName name="_xlnm._FilterDatabase" localSheetId="1" hidden="1">PromoClonate_GSI_NEW!$A$1:$H$912</definedName>
    <definedName name="_xlnm._FilterDatabase" localSheetId="5" hidden="1">'SUPER FLEX'!$A$5:$K$12</definedName>
    <definedName name="_xlnm._FilterDatabase" localSheetId="4" hidden="1">'SUPER GIGA'!$A$4:$T$21</definedName>
    <definedName name="_xlnm._FilterDatabase" localSheetId="3" hidden="1">'UnlimitedPRO|MONDO|200'!$A$4:$X$100</definedName>
    <definedName name="_xlnm.Print_Area" localSheetId="7">'WORK &amp; LIFE'!$B$2:$E$13</definedName>
    <definedName name="Servizio_Abilitato">[1]LOV!$A$2:$A$3</definedName>
    <definedName name="Tipo_Pagamento">[1]LOV!$C$2:$C$3</definedName>
    <definedName name="Z_05145EFA_0FAB_4D15_9402_3D112DC92C9E_.wvu.FilterData" localSheetId="5" hidden="1">'SUPER FLEX'!#REF!</definedName>
    <definedName name="Z_05145EFA_0FAB_4D15_9402_3D112DC92C9E_.wvu.FilterData" localSheetId="3" hidden="1">'UnlimitedPRO|MONDO|200'!$C$4:$O$4</definedName>
    <definedName name="Z_1F7C3736_F441_4CDD_95AB_31D3B74F2B4A_.wvu.Cols" localSheetId="5" hidden="1">'SUPER FLEX'!#REF!</definedName>
    <definedName name="Z_1F7C3736_F441_4CDD_95AB_31D3B74F2B4A_.wvu.Cols" localSheetId="3" hidden="1">'UnlimitedPRO|MONDO|200'!#REF!</definedName>
    <definedName name="Z_1F7C3736_F441_4CDD_95AB_31D3B74F2B4A_.wvu.FilterData" localSheetId="5" hidden="1">'SUPER FLEX'!#REF!</definedName>
    <definedName name="Z_1F7C3736_F441_4CDD_95AB_31D3B74F2B4A_.wvu.FilterData" localSheetId="3" hidden="1">'UnlimitedPRO|MONDO|200'!$C$4:$O$4</definedName>
    <definedName name="Z_2E63A000_656B_4D24_BF0A_13DB5DA5EC33_.wvu.FilterData" localSheetId="5" hidden="1">'SUPER FLEX'!#REF!</definedName>
    <definedName name="Z_2E63A000_656B_4D24_BF0A_13DB5DA5EC33_.wvu.FilterData" localSheetId="3" hidden="1">'UnlimitedPRO|MONDO|200'!$C$4:$O$4</definedName>
    <definedName name="Z_6B3168C0_68B8_4174_9EDD_8ADF8BD78A36_.wvu.FilterData" localSheetId="5" hidden="1">'SUPER FLEX'!#REF!</definedName>
    <definedName name="Z_6B3168C0_68B8_4174_9EDD_8ADF8BD78A36_.wvu.FilterData" localSheetId="3" hidden="1">'UnlimitedPRO|MONDO|200'!$C$4:$O$4</definedName>
    <definedName name="Z_9BF9D063_B40E_4597_B2DB_418693D28F0B_.wvu.Cols" localSheetId="6" hidden="1">GIGABOOST!$O:$O</definedName>
    <definedName name="Z_9BF9D063_B40E_4597_B2DB_418693D28F0B_.wvu.Cols" localSheetId="5" hidden="1">'SUPER FLEX'!#REF!</definedName>
    <definedName name="Z_9BF9D063_B40E_4597_B2DB_418693D28F0B_.wvu.Cols" localSheetId="4" hidden="1">'SUPER GIGA'!$O:$O</definedName>
    <definedName name="Z_9BF9D063_B40E_4597_B2DB_418693D28F0B_.wvu.Cols" localSheetId="3" hidden="1">'UnlimitedPRO|MONDO|200'!#REF!</definedName>
    <definedName name="Z_9BF9D063_B40E_4597_B2DB_418693D28F0B_.wvu.FilterData" localSheetId="5" hidden="1">'SUPER FLEX'!#REF!</definedName>
    <definedName name="Z_9BF9D063_B40E_4597_B2DB_418693D28F0B_.wvu.FilterData" localSheetId="3" hidden="1">'UnlimitedPRO|MONDO|200'!#REF!</definedName>
    <definedName name="Z_9BF9D063_B40E_4597_B2DB_418693D28F0B_.wvu.PrintArea" localSheetId="7" hidden="1">'WORK &amp; LIFE'!$B$2:$E$13</definedName>
    <definedName name="Z_9E7C922B_6476_4B68_9368_DCCE65873256_.wvu.Cols" localSheetId="6" hidden="1">GIGABOOST!$O:$O</definedName>
    <definedName name="Z_9E7C922B_6476_4B68_9368_DCCE65873256_.wvu.Cols" localSheetId="5" hidden="1">'SUPER FLEX'!#REF!</definedName>
    <definedName name="Z_9E7C922B_6476_4B68_9368_DCCE65873256_.wvu.Cols" localSheetId="4" hidden="1">'SUPER GIGA'!$O:$O</definedName>
    <definedName name="Z_9E7C922B_6476_4B68_9368_DCCE65873256_.wvu.Cols" localSheetId="3" hidden="1">'UnlimitedPRO|MONDO|200'!#REF!</definedName>
    <definedName name="Z_9E7C922B_6476_4B68_9368_DCCE65873256_.wvu.FilterData" localSheetId="5" hidden="1">'SUPER FLEX'!#REF!</definedName>
    <definedName name="Z_9E7C922B_6476_4B68_9368_DCCE65873256_.wvu.FilterData" localSheetId="3" hidden="1">'UnlimitedPRO|MONDO|200'!#REF!</definedName>
    <definedName name="Z_9E7C922B_6476_4B68_9368_DCCE65873256_.wvu.PrintArea" localSheetId="7" hidden="1">'WORK &amp; LIFE'!$B$2:$E$13</definedName>
    <definedName name="Z_A4C8CF03_7CA3_43CF_BD30_0CBF4F5E3177_.wvu.Cols" localSheetId="6" hidden="1">GIGABOOST!$O:$O</definedName>
    <definedName name="Z_A4C8CF03_7CA3_43CF_BD30_0CBF4F5E3177_.wvu.Cols" localSheetId="5" hidden="1">'SUPER FLEX'!#REF!</definedName>
    <definedName name="Z_A4C8CF03_7CA3_43CF_BD30_0CBF4F5E3177_.wvu.Cols" localSheetId="4" hidden="1">'SUPER GIGA'!$O:$O</definedName>
    <definedName name="Z_A4C8CF03_7CA3_43CF_BD30_0CBF4F5E3177_.wvu.Cols" localSheetId="3" hidden="1">'UnlimitedPRO|MONDO|200'!#REF!</definedName>
    <definedName name="Z_A4C8CF03_7CA3_43CF_BD30_0CBF4F5E3177_.wvu.FilterData" localSheetId="5" hidden="1">'SUPER FLEX'!#REF!</definedName>
    <definedName name="Z_A4C8CF03_7CA3_43CF_BD30_0CBF4F5E3177_.wvu.FilterData" localSheetId="3" hidden="1">'UnlimitedPRO|MONDO|200'!#REF!</definedName>
    <definedName name="Z_A4C8CF03_7CA3_43CF_BD30_0CBF4F5E3177_.wvu.PrintArea" localSheetId="7" hidden="1">'WORK &amp; LIFE'!$B$2:$E$13</definedName>
    <definedName name="Z_D04FF4DA_577C_4E15_8336_196FA0EA5ED3_.wvu.Cols" localSheetId="5" hidden="1">'SUPER FLEX'!#REF!</definedName>
    <definedName name="Z_D04FF4DA_577C_4E15_8336_196FA0EA5ED3_.wvu.Cols" localSheetId="3" hidden="1">'UnlimitedPRO|MONDO|200'!#REF!</definedName>
    <definedName name="Z_D04FF4DA_577C_4E15_8336_196FA0EA5ED3_.wvu.FilterData" localSheetId="5" hidden="1">'SUPER FLEX'!#REF!</definedName>
    <definedName name="Z_D04FF4DA_577C_4E15_8336_196FA0EA5ED3_.wvu.FilterData" localSheetId="3" hidden="1">'UnlimitedPRO|MONDO|200'!$C$4:$O$4</definedName>
    <definedName name="Z_D5C06C52_81BB_4CA4_9F15_06D00F3D0DD5_.wvu.Cols" localSheetId="5" hidden="1">'SUPER FLEX'!#REF!</definedName>
    <definedName name="Z_D5C06C52_81BB_4CA4_9F15_06D00F3D0DD5_.wvu.Cols" localSheetId="3" hidden="1">'UnlimitedPRO|MONDO|200'!#REF!</definedName>
    <definedName name="Z_D5C06C52_81BB_4CA4_9F15_06D00F3D0DD5_.wvu.FilterData" localSheetId="5" hidden="1">'SUPER FLEX'!#REF!</definedName>
    <definedName name="Z_D5C06C52_81BB_4CA4_9F15_06D00F3D0DD5_.wvu.FilterData" localSheetId="3" hidden="1">'UnlimitedPRO|MONDO|200'!$C$4:$O$4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3" i="94" l="1"/>
  <c r="L63" i="94"/>
  <c r="M63" i="94" s="1"/>
  <c r="G63" i="94"/>
  <c r="F24" i="52"/>
  <c r="F23" i="52"/>
  <c r="F22" i="52"/>
  <c r="M21" i="52" l="1"/>
  <c r="K21" i="52"/>
  <c r="L21" i="52" s="1"/>
  <c r="F21" i="52"/>
  <c r="M4" i="52"/>
  <c r="N73" i="94"/>
  <c r="K4" i="52"/>
  <c r="L4" i="52" s="1"/>
  <c r="F4" i="52"/>
  <c r="N87" i="94" l="1"/>
  <c r="N100" i="94"/>
  <c r="N99" i="94"/>
  <c r="N98" i="94"/>
  <c r="N97" i="94"/>
  <c r="N96" i="94"/>
  <c r="N95" i="94"/>
  <c r="N94" i="94"/>
  <c r="N93" i="94"/>
  <c r="N92" i="94"/>
  <c r="N91" i="94"/>
  <c r="N90" i="94"/>
  <c r="N89" i="94"/>
  <c r="N88" i="94"/>
  <c r="N86" i="94"/>
  <c r="N85" i="94"/>
  <c r="N84" i="94"/>
  <c r="N83" i="94"/>
  <c r="N82" i="94"/>
  <c r="N81" i="94"/>
  <c r="N80" i="94"/>
  <c r="N79" i="94"/>
  <c r="N78" i="94"/>
  <c r="N77" i="94"/>
  <c r="N76" i="94"/>
  <c r="N75" i="94"/>
  <c r="N74" i="94"/>
  <c r="N72" i="94"/>
  <c r="N71" i="94"/>
  <c r="N70" i="94"/>
  <c r="N69" i="94"/>
  <c r="N68" i="94"/>
  <c r="N67" i="94"/>
  <c r="N66" i="94"/>
  <c r="N65" i="94"/>
  <c r="N64" i="94"/>
  <c r="N62" i="94"/>
  <c r="N61" i="94"/>
  <c r="N60" i="94"/>
  <c r="N59" i="94"/>
  <c r="N58" i="94"/>
  <c r="N57" i="94"/>
  <c r="N56" i="94"/>
  <c r="N55" i="94"/>
  <c r="N54" i="94"/>
  <c r="N53" i="94"/>
  <c r="N52" i="94"/>
  <c r="N51" i="94"/>
  <c r="N50" i="94"/>
  <c r="N49" i="94"/>
  <c r="N48" i="94"/>
  <c r="N47" i="94"/>
  <c r="N46" i="94"/>
  <c r="N45" i="94"/>
  <c r="N44" i="94"/>
  <c r="N43" i="94"/>
  <c r="N42" i="94"/>
  <c r="N41" i="94"/>
  <c r="N40" i="94"/>
  <c r="N39" i="94"/>
  <c r="N38" i="94"/>
  <c r="N37" i="94"/>
  <c r="N36" i="94"/>
  <c r="N35" i="94"/>
  <c r="N34" i="94"/>
  <c r="N33" i="94"/>
  <c r="N32" i="94"/>
  <c r="N31" i="94"/>
  <c r="N30" i="94"/>
  <c r="N29" i="94"/>
  <c r="N28" i="94"/>
  <c r="N27" i="94"/>
  <c r="N26" i="94"/>
  <c r="N25" i="94"/>
  <c r="N24" i="94"/>
  <c r="N23" i="94"/>
  <c r="N22" i="94"/>
  <c r="N21" i="94"/>
  <c r="N20" i="94"/>
  <c r="N19" i="94"/>
  <c r="N18" i="94"/>
  <c r="N17" i="94"/>
  <c r="N16" i="94"/>
  <c r="N15" i="94"/>
  <c r="N14" i="94"/>
  <c r="N13" i="94"/>
  <c r="N12" i="94"/>
  <c r="N11" i="94"/>
  <c r="N10" i="94"/>
  <c r="N9" i="94"/>
  <c r="N8" i="94"/>
  <c r="N7" i="94"/>
  <c r="N6" i="94"/>
  <c r="N5" i="94"/>
  <c r="L100" i="94"/>
  <c r="M100" i="94" s="1"/>
  <c r="G100" i="94"/>
  <c r="L99" i="94"/>
  <c r="M99" i="94" s="1"/>
  <c r="G99" i="94"/>
  <c r="L98" i="94"/>
  <c r="M98" i="94" s="1"/>
  <c r="G98" i="94"/>
  <c r="L97" i="94"/>
  <c r="M97" i="94" s="1"/>
  <c r="G97" i="94"/>
  <c r="L96" i="94"/>
  <c r="M96" i="94" s="1"/>
  <c r="G96" i="94"/>
  <c r="L95" i="94"/>
  <c r="M95" i="94" s="1"/>
  <c r="G95" i="94"/>
  <c r="L94" i="94"/>
  <c r="M94" i="94" s="1"/>
  <c r="G94" i="94"/>
  <c r="L93" i="94"/>
  <c r="M93" i="94" s="1"/>
  <c r="G93" i="94"/>
  <c r="L92" i="94"/>
  <c r="M92" i="94" s="1"/>
  <c r="G92" i="94"/>
  <c r="L91" i="94"/>
  <c r="M91" i="94" s="1"/>
  <c r="G91" i="94"/>
  <c r="L90" i="94"/>
  <c r="M90" i="94" s="1"/>
  <c r="G90" i="94"/>
  <c r="L89" i="94"/>
  <c r="M89" i="94" s="1"/>
  <c r="G89" i="94"/>
  <c r="L88" i="94"/>
  <c r="M88" i="94" s="1"/>
  <c r="G88" i="94"/>
  <c r="L87" i="94"/>
  <c r="M87" i="94" s="1"/>
  <c r="G87" i="94"/>
  <c r="L86" i="94"/>
  <c r="M86" i="94" s="1"/>
  <c r="G86" i="94"/>
  <c r="L85" i="94"/>
  <c r="M85" i="94" s="1"/>
  <c r="G85" i="94"/>
  <c r="L84" i="94"/>
  <c r="M84" i="94" s="1"/>
  <c r="G84" i="94"/>
  <c r="L83" i="94"/>
  <c r="M83" i="94" s="1"/>
  <c r="G83" i="94"/>
  <c r="L82" i="94"/>
  <c r="M82" i="94" s="1"/>
  <c r="G82" i="94"/>
  <c r="L81" i="94"/>
  <c r="M81" i="94" s="1"/>
  <c r="G81" i="94"/>
  <c r="L80" i="94"/>
  <c r="M80" i="94" s="1"/>
  <c r="G80" i="94"/>
  <c r="L79" i="94"/>
  <c r="M79" i="94" s="1"/>
  <c r="G79" i="94"/>
  <c r="L78" i="94"/>
  <c r="M78" i="94" s="1"/>
  <c r="G78" i="94"/>
  <c r="L77" i="94"/>
  <c r="M77" i="94" s="1"/>
  <c r="G77" i="94"/>
  <c r="L76" i="94"/>
  <c r="M76" i="94" s="1"/>
  <c r="G76" i="94"/>
  <c r="L75" i="94"/>
  <c r="M75" i="94" s="1"/>
  <c r="G75" i="94"/>
  <c r="L74" i="94"/>
  <c r="M74" i="94" s="1"/>
  <c r="G74" i="94"/>
  <c r="L73" i="94"/>
  <c r="M73" i="94" s="1"/>
  <c r="G73" i="94"/>
  <c r="L72" i="94"/>
  <c r="M72" i="94" s="1"/>
  <c r="G72" i="94"/>
  <c r="L71" i="94"/>
  <c r="M71" i="94" s="1"/>
  <c r="G71" i="94"/>
  <c r="L70" i="94"/>
  <c r="M70" i="94" s="1"/>
  <c r="G70" i="94"/>
  <c r="L69" i="94"/>
  <c r="M69" i="94" s="1"/>
  <c r="G69" i="94"/>
  <c r="L68" i="94"/>
  <c r="M68" i="94" s="1"/>
  <c r="G68" i="94"/>
  <c r="L67" i="94"/>
  <c r="M67" i="94" s="1"/>
  <c r="G67" i="94"/>
  <c r="L66" i="94"/>
  <c r="M66" i="94" s="1"/>
  <c r="G66" i="94"/>
  <c r="L65" i="94"/>
  <c r="M65" i="94" s="1"/>
  <c r="G65" i="94"/>
  <c r="L64" i="94"/>
  <c r="M64" i="94" s="1"/>
  <c r="G64" i="94"/>
  <c r="L62" i="94"/>
  <c r="M62" i="94" s="1"/>
  <c r="G62" i="94"/>
  <c r="L61" i="94"/>
  <c r="M61" i="94" s="1"/>
  <c r="G61" i="94"/>
  <c r="L60" i="94"/>
  <c r="M60" i="94" s="1"/>
  <c r="G60" i="94"/>
  <c r="L59" i="94"/>
  <c r="M59" i="94" s="1"/>
  <c r="G59" i="94"/>
  <c r="L58" i="94"/>
  <c r="M58" i="94" s="1"/>
  <c r="G58" i="94"/>
  <c r="L57" i="94"/>
  <c r="M57" i="94" s="1"/>
  <c r="G57" i="94"/>
  <c r="L56" i="94"/>
  <c r="M56" i="94" s="1"/>
  <c r="G56" i="94"/>
  <c r="L55" i="94"/>
  <c r="M55" i="94" s="1"/>
  <c r="G55" i="94"/>
  <c r="L54" i="94"/>
  <c r="M54" i="94" s="1"/>
  <c r="G54" i="94"/>
  <c r="L53" i="94"/>
  <c r="M53" i="94" s="1"/>
  <c r="G53" i="94"/>
  <c r="L52" i="94"/>
  <c r="M52" i="94" s="1"/>
  <c r="G52" i="94"/>
  <c r="L51" i="94"/>
  <c r="M51" i="94" s="1"/>
  <c r="G51" i="94"/>
  <c r="L50" i="94"/>
  <c r="M50" i="94" s="1"/>
  <c r="G50" i="94"/>
  <c r="L49" i="94"/>
  <c r="M49" i="94" s="1"/>
  <c r="G49" i="94"/>
  <c r="L48" i="94"/>
  <c r="M48" i="94" s="1"/>
  <c r="G48" i="94"/>
  <c r="L47" i="94"/>
  <c r="M47" i="94" s="1"/>
  <c r="G47" i="94"/>
  <c r="L46" i="94"/>
  <c r="M46" i="94" s="1"/>
  <c r="G46" i="94"/>
  <c r="L45" i="94"/>
  <c r="M45" i="94" s="1"/>
  <c r="G45" i="94"/>
  <c r="L44" i="94"/>
  <c r="M44" i="94" s="1"/>
  <c r="G44" i="94"/>
  <c r="L43" i="94"/>
  <c r="M43" i="94" s="1"/>
  <c r="G43" i="94"/>
  <c r="L42" i="94"/>
  <c r="M42" i="94" s="1"/>
  <c r="G42" i="94"/>
  <c r="L41" i="94"/>
  <c r="M41" i="94" s="1"/>
  <c r="G41" i="94"/>
  <c r="L40" i="94"/>
  <c r="M40" i="94" s="1"/>
  <c r="G40" i="94"/>
  <c r="L39" i="94"/>
  <c r="M39" i="94" s="1"/>
  <c r="G39" i="94"/>
  <c r="L38" i="94"/>
  <c r="M38" i="94" s="1"/>
  <c r="G38" i="94"/>
  <c r="L37" i="94"/>
  <c r="M37" i="94" s="1"/>
  <c r="G37" i="94"/>
  <c r="L36" i="94"/>
  <c r="M36" i="94" s="1"/>
  <c r="G36" i="94"/>
  <c r="L35" i="94"/>
  <c r="M35" i="94" s="1"/>
  <c r="G35" i="94"/>
  <c r="L34" i="94"/>
  <c r="M34" i="94" s="1"/>
  <c r="G34" i="94"/>
  <c r="L33" i="94"/>
  <c r="M33" i="94" s="1"/>
  <c r="G33" i="94"/>
  <c r="L32" i="94"/>
  <c r="M32" i="94" s="1"/>
  <c r="G32" i="94"/>
  <c r="L31" i="94"/>
  <c r="M31" i="94" s="1"/>
  <c r="G31" i="94"/>
  <c r="L30" i="94"/>
  <c r="M30" i="94" s="1"/>
  <c r="G30" i="94"/>
  <c r="L29" i="94"/>
  <c r="M29" i="94" s="1"/>
  <c r="G29" i="94"/>
  <c r="L28" i="94"/>
  <c r="M28" i="94" s="1"/>
  <c r="G28" i="94"/>
  <c r="L27" i="94"/>
  <c r="M27" i="94" s="1"/>
  <c r="G27" i="94"/>
  <c r="L26" i="94"/>
  <c r="M26" i="94" s="1"/>
  <c r="G26" i="94"/>
  <c r="L25" i="94"/>
  <c r="M25" i="94" s="1"/>
  <c r="G25" i="94"/>
  <c r="L24" i="94"/>
  <c r="M24" i="94" s="1"/>
  <c r="G24" i="94"/>
  <c r="L23" i="94"/>
  <c r="M23" i="94" s="1"/>
  <c r="G23" i="94"/>
  <c r="L22" i="94"/>
  <c r="M22" i="94" s="1"/>
  <c r="G22" i="94"/>
  <c r="L21" i="94"/>
  <c r="M21" i="94" s="1"/>
  <c r="G21" i="94"/>
  <c r="L20" i="94"/>
  <c r="M20" i="94" s="1"/>
  <c r="G20" i="94"/>
  <c r="L19" i="94"/>
  <c r="M19" i="94" s="1"/>
  <c r="G19" i="94"/>
  <c r="L18" i="94"/>
  <c r="M18" i="94" s="1"/>
  <c r="G18" i="94"/>
  <c r="L17" i="94"/>
  <c r="M17" i="94" s="1"/>
  <c r="G17" i="94"/>
  <c r="L16" i="94"/>
  <c r="M16" i="94" s="1"/>
  <c r="G16" i="94"/>
  <c r="L15" i="94"/>
  <c r="M15" i="94" s="1"/>
  <c r="G15" i="94"/>
  <c r="L14" i="94"/>
  <c r="M14" i="94" s="1"/>
  <c r="G14" i="94"/>
  <c r="L13" i="94"/>
  <c r="M13" i="94" s="1"/>
  <c r="G13" i="94"/>
  <c r="L12" i="94"/>
  <c r="M12" i="94" s="1"/>
  <c r="G12" i="94"/>
  <c r="L11" i="94"/>
  <c r="M11" i="94" s="1"/>
  <c r="G11" i="94"/>
  <c r="L10" i="94"/>
  <c r="M10" i="94" s="1"/>
  <c r="G10" i="94"/>
  <c r="L9" i="94"/>
  <c r="M9" i="94" s="1"/>
  <c r="G9" i="94"/>
  <c r="L8" i="94"/>
  <c r="M8" i="94" s="1"/>
  <c r="G8" i="94"/>
  <c r="L7" i="94"/>
  <c r="M7" i="94" s="1"/>
  <c r="G7" i="94"/>
  <c r="L6" i="94"/>
  <c r="M6" i="94" s="1"/>
  <c r="G6" i="94"/>
  <c r="L5" i="94"/>
  <c r="M5" i="94" s="1"/>
  <c r="G5" i="94"/>
  <c r="F37" i="93"/>
  <c r="F36" i="93"/>
  <c r="F35" i="93"/>
  <c r="F34" i="93"/>
  <c r="F33" i="93"/>
  <c r="F32" i="93"/>
  <c r="F31" i="93"/>
  <c r="F30" i="93"/>
  <c r="F29" i="93"/>
  <c r="F28" i="93"/>
  <c r="F27" i="93"/>
  <c r="F26" i="93"/>
  <c r="F25" i="93"/>
  <c r="F24" i="93"/>
  <c r="F23" i="93"/>
  <c r="F22" i="93"/>
  <c r="F21" i="93"/>
  <c r="F20" i="93"/>
  <c r="F19" i="93"/>
  <c r="F18" i="93"/>
  <c r="F17" i="93"/>
  <c r="F16" i="93"/>
  <c r="F15" i="93"/>
  <c r="F14" i="93"/>
  <c r="F13" i="93"/>
  <c r="F12" i="93"/>
  <c r="F11" i="93"/>
  <c r="F10" i="93"/>
  <c r="F9" i="93"/>
  <c r="F8" i="93"/>
  <c r="F7" i="93"/>
  <c r="F6" i="93"/>
  <c r="F5" i="93"/>
  <c r="F4" i="93"/>
  <c r="J51" i="92"/>
  <c r="K51" i="92" s="1"/>
  <c r="J50" i="92"/>
  <c r="K50" i="92" s="1"/>
  <c r="F50" i="92"/>
  <c r="J55" i="92" l="1"/>
  <c r="K55" i="92" s="1"/>
  <c r="F55" i="92"/>
  <c r="J54" i="92"/>
  <c r="K54" i="92" s="1"/>
  <c r="F54" i="92"/>
  <c r="F56" i="92" l="1"/>
  <c r="F57" i="92"/>
  <c r="F33" i="91"/>
  <c r="J33" i="91"/>
  <c r="K33" i="91" s="1"/>
  <c r="J28" i="91"/>
  <c r="K28" i="91" s="1"/>
  <c r="F28" i="91"/>
  <c r="F53" i="92"/>
  <c r="F52" i="92"/>
  <c r="J49" i="92"/>
  <c r="K49" i="92" s="1"/>
  <c r="F49" i="92"/>
  <c r="J48" i="92"/>
  <c r="K48" i="92" s="1"/>
  <c r="F48" i="92"/>
  <c r="J32" i="91" l="1"/>
  <c r="K32" i="91" s="1"/>
  <c r="F32" i="91"/>
  <c r="J8" i="92" l="1"/>
  <c r="K8" i="92" s="1"/>
  <c r="N19" i="61"/>
  <c r="L19" i="61"/>
  <c r="M19" i="61" s="1"/>
  <c r="G19" i="61"/>
  <c r="J13" i="92"/>
  <c r="K13" i="92" s="1"/>
  <c r="J12" i="92"/>
  <c r="K12" i="92" s="1"/>
  <c r="J6" i="92"/>
  <c r="K6" i="92" s="1"/>
  <c r="J7" i="92"/>
  <c r="K7" i="92" s="1"/>
  <c r="J9" i="92"/>
  <c r="K9" i="92" s="1"/>
  <c r="J10" i="92"/>
  <c r="K10" i="92" s="1"/>
  <c r="J9" i="91"/>
  <c r="K9" i="91" s="1"/>
  <c r="J7" i="91"/>
  <c r="K7" i="91" s="1"/>
  <c r="J8" i="91"/>
  <c r="J36" i="91"/>
  <c r="K36" i="91" s="1"/>
  <c r="F36" i="91"/>
  <c r="J35" i="91"/>
  <c r="K35" i="91" s="1"/>
  <c r="F35" i="91"/>
  <c r="J34" i="91"/>
  <c r="K34" i="91" s="1"/>
  <c r="F34" i="91"/>
  <c r="J31" i="91"/>
  <c r="K31" i="91" s="1"/>
  <c r="F31" i="91"/>
  <c r="J30" i="91"/>
  <c r="K30" i="91" s="1"/>
  <c r="F30" i="91"/>
  <c r="J29" i="91"/>
  <c r="K29" i="91" s="1"/>
  <c r="F29" i="91"/>
  <c r="J27" i="91"/>
  <c r="K27" i="91" s="1"/>
  <c r="F27" i="91"/>
  <c r="J26" i="91"/>
  <c r="K26" i="91" s="1"/>
  <c r="F26" i="91"/>
  <c r="J25" i="91"/>
  <c r="K25" i="91" s="1"/>
  <c r="F25" i="91"/>
  <c r="J24" i="91"/>
  <c r="K24" i="91" s="1"/>
  <c r="F24" i="91"/>
  <c r="J23" i="91"/>
  <c r="K23" i="91" s="1"/>
  <c r="F23" i="91"/>
  <c r="J22" i="91"/>
  <c r="K22" i="91" s="1"/>
  <c r="F22" i="91"/>
  <c r="J21" i="91"/>
  <c r="K21" i="91" s="1"/>
  <c r="F21" i="91"/>
  <c r="J20" i="91"/>
  <c r="K20" i="91" s="1"/>
  <c r="F20" i="91"/>
  <c r="J19" i="91"/>
  <c r="K19" i="91" s="1"/>
  <c r="F19" i="91"/>
  <c r="J18" i="91"/>
  <c r="K18" i="91" s="1"/>
  <c r="F18" i="91"/>
  <c r="J17" i="91"/>
  <c r="K17" i="91" s="1"/>
  <c r="F17" i="91"/>
  <c r="J16" i="91"/>
  <c r="K16" i="91" s="1"/>
  <c r="F16" i="91"/>
  <c r="J15" i="91"/>
  <c r="K15" i="91" s="1"/>
  <c r="F15" i="91"/>
  <c r="J14" i="91"/>
  <c r="K14" i="91" s="1"/>
  <c r="F14" i="91"/>
  <c r="J13" i="91"/>
  <c r="K13" i="91" s="1"/>
  <c r="F13" i="91"/>
  <c r="J12" i="91"/>
  <c r="K12" i="91" s="1"/>
  <c r="F12" i="91"/>
  <c r="J11" i="91"/>
  <c r="K11" i="91" s="1"/>
  <c r="F11" i="91"/>
  <c r="J10" i="91"/>
  <c r="K10" i="91" s="1"/>
  <c r="F10" i="91"/>
  <c r="F9" i="91"/>
  <c r="F7" i="91"/>
  <c r="J6" i="91"/>
  <c r="K6" i="91" s="1"/>
  <c r="F6" i="91"/>
  <c r="K68" i="92"/>
  <c r="F68" i="92"/>
  <c r="F67" i="92"/>
  <c r="K66" i="92"/>
  <c r="F66" i="92"/>
  <c r="K65" i="92"/>
  <c r="F65" i="92"/>
  <c r="K64" i="92"/>
  <c r="F64" i="92"/>
  <c r="F63" i="92"/>
  <c r="F62" i="92"/>
  <c r="F61" i="92"/>
  <c r="F60" i="92"/>
  <c r="F59" i="92"/>
  <c r="F58" i="92"/>
  <c r="F51" i="92"/>
  <c r="J47" i="92"/>
  <c r="K47" i="92" s="1"/>
  <c r="F47" i="92"/>
  <c r="J46" i="92"/>
  <c r="K46" i="92" s="1"/>
  <c r="F46" i="92"/>
  <c r="J45" i="92"/>
  <c r="K45" i="92" s="1"/>
  <c r="F45" i="92"/>
  <c r="J44" i="92"/>
  <c r="K44" i="92" s="1"/>
  <c r="F44" i="92"/>
  <c r="F43" i="92"/>
  <c r="F42" i="92"/>
  <c r="F41" i="92"/>
  <c r="F40" i="92"/>
  <c r="F39" i="92"/>
  <c r="F38" i="92"/>
  <c r="F37" i="92"/>
  <c r="F36" i="92"/>
  <c r="F35" i="92"/>
  <c r="J34" i="92"/>
  <c r="K34" i="92" s="1"/>
  <c r="F34" i="92"/>
  <c r="J33" i="92"/>
  <c r="K33" i="92" s="1"/>
  <c r="F33" i="92"/>
  <c r="J32" i="92"/>
  <c r="K32" i="92" s="1"/>
  <c r="F32" i="92"/>
  <c r="J31" i="92"/>
  <c r="K31" i="92" s="1"/>
  <c r="F31" i="92"/>
  <c r="J30" i="92"/>
  <c r="K30" i="92" s="1"/>
  <c r="F30" i="92"/>
  <c r="J29" i="92"/>
  <c r="K29" i="92" s="1"/>
  <c r="F29" i="92"/>
  <c r="J28" i="92"/>
  <c r="K28" i="92" s="1"/>
  <c r="F28" i="92"/>
  <c r="J27" i="92"/>
  <c r="K27" i="92" s="1"/>
  <c r="F27" i="92"/>
  <c r="J26" i="92"/>
  <c r="K26" i="92" s="1"/>
  <c r="F26" i="92"/>
  <c r="J25" i="92"/>
  <c r="K25" i="92" s="1"/>
  <c r="F25" i="92"/>
  <c r="J24" i="92"/>
  <c r="K24" i="92" s="1"/>
  <c r="F24" i="92"/>
  <c r="J23" i="92"/>
  <c r="K23" i="92" s="1"/>
  <c r="F23" i="92"/>
  <c r="F22" i="92"/>
  <c r="F21" i="92"/>
  <c r="J20" i="92"/>
  <c r="K20" i="92" s="1"/>
  <c r="F20" i="92"/>
  <c r="F19" i="92"/>
  <c r="F18" i="92"/>
  <c r="F17" i="92"/>
  <c r="F16" i="92"/>
  <c r="J15" i="92"/>
  <c r="K15" i="92" s="1"/>
  <c r="F15" i="92"/>
  <c r="J14" i="92"/>
  <c r="K14" i="92" s="1"/>
  <c r="F14" i="92"/>
  <c r="F13" i="92"/>
  <c r="F12" i="92"/>
  <c r="J11" i="92"/>
  <c r="K11" i="92" s="1"/>
  <c r="F11" i="92"/>
  <c r="F10" i="92"/>
  <c r="F7" i="92"/>
  <c r="F6" i="92"/>
  <c r="G9" i="61" l="1"/>
  <c r="L15" i="61" l="1"/>
  <c r="N6" i="61" l="1"/>
  <c r="L6" i="61"/>
  <c r="M6" i="61" s="1"/>
  <c r="G6" i="61"/>
  <c r="F11" i="52" l="1"/>
  <c r="N13" i="61" l="1"/>
  <c r="L13" i="61"/>
  <c r="M13" i="61" s="1"/>
  <c r="G13" i="61"/>
  <c r="N21" i="61" l="1"/>
  <c r="N18" i="61"/>
  <c r="N14" i="61"/>
  <c r="N12" i="61"/>
  <c r="N20" i="61"/>
  <c r="N16" i="61"/>
  <c r="L16" i="61"/>
  <c r="M16" i="61" s="1"/>
  <c r="G16" i="61"/>
  <c r="L12" i="61"/>
  <c r="M12" i="61" s="1"/>
  <c r="G12" i="61"/>
  <c r="N7" i="61"/>
  <c r="N8" i="61"/>
  <c r="N5" i="61"/>
  <c r="L8" i="61"/>
  <c r="M8" i="61" s="1"/>
  <c r="G8" i="61"/>
  <c r="L7" i="61"/>
  <c r="M7" i="61" s="1"/>
  <c r="G7" i="61"/>
  <c r="J6" i="68"/>
  <c r="I6" i="68"/>
  <c r="F6" i="68"/>
  <c r="L21" i="61"/>
  <c r="M21" i="61" s="1"/>
  <c r="G21" i="61"/>
  <c r="N15" i="61" l="1"/>
  <c r="M15" i="61" l="1"/>
  <c r="G15" i="61"/>
  <c r="L14" i="61"/>
  <c r="M14" i="61" s="1"/>
  <c r="G14" i="61"/>
  <c r="F6" i="52" l="1"/>
  <c r="N11" i="61" l="1"/>
  <c r="L11" i="61"/>
  <c r="M11" i="61" s="1"/>
  <c r="G11" i="61"/>
  <c r="N10" i="61" l="1"/>
  <c r="N9" i="61"/>
  <c r="L10" i="61"/>
  <c r="M10" i="61" s="1"/>
  <c r="G10" i="61"/>
  <c r="L9" i="61"/>
  <c r="M9" i="61" s="1"/>
  <c r="N17" i="61"/>
  <c r="L18" i="61"/>
  <c r="M18" i="61" s="1"/>
  <c r="G18" i="61"/>
  <c r="L17" i="61"/>
  <c r="M17" i="61" s="1"/>
  <c r="G17" i="61"/>
  <c r="F7" i="52" l="1"/>
  <c r="F8" i="52"/>
  <c r="F5" i="52" l="1"/>
  <c r="J10" i="68" l="1"/>
  <c r="L13" i="63"/>
  <c r="M13" i="63" s="1"/>
  <c r="G13" i="63"/>
  <c r="F10" i="68" l="1"/>
  <c r="I10" i="68"/>
  <c r="L20" i="61"/>
  <c r="M20" i="61" s="1"/>
  <c r="G20" i="61"/>
  <c r="L5" i="61" l="1"/>
  <c r="M5" i="61" s="1"/>
  <c r="G5" i="61"/>
  <c r="F7" i="68"/>
  <c r="I7" i="68"/>
  <c r="J7" i="68"/>
  <c r="L12" i="63"/>
  <c r="M12" i="63" s="1"/>
  <c r="G12" i="63"/>
  <c r="J9" i="68"/>
  <c r="I9" i="68"/>
  <c r="F9" i="68"/>
  <c r="J8" i="68"/>
  <c r="I8" i="68"/>
  <c r="F10" i="52"/>
  <c r="L6" i="63"/>
  <c r="M6" i="63" s="1"/>
  <c r="G6" i="63"/>
  <c r="L5" i="63"/>
  <c r="M5" i="63" s="1"/>
  <c r="G5" i="63"/>
  <c r="F8" i="68"/>
  <c r="L10" i="63"/>
  <c r="M10" i="63" s="1"/>
  <c r="G10" i="63"/>
  <c r="L9" i="63"/>
  <c r="M9" i="63" s="1"/>
  <c r="G9" i="63"/>
  <c r="L11" i="63"/>
  <c r="M11" i="63" s="1"/>
  <c r="G11" i="63"/>
  <c r="L8" i="63"/>
  <c r="M8" i="63" s="1"/>
  <c r="G8" i="63"/>
  <c r="L7" i="63"/>
  <c r="M7" i="63" s="1"/>
  <c r="G7" i="63"/>
  <c r="F12" i="52"/>
  <c r="F9" i="52"/>
</calcChain>
</file>

<file path=xl/sharedStrings.xml><?xml version="1.0" encoding="utf-8"?>
<sst xmlns="http://schemas.openxmlformats.org/spreadsheetml/2006/main" count="14490" uniqueCount="4882">
  <si>
    <t>CODICE</t>
  </si>
  <si>
    <t>NAME_PROMO</t>
  </si>
  <si>
    <t>DESCRIZIONE_TERMINALE</t>
  </si>
  <si>
    <t>TERM_MOB</t>
  </si>
  <si>
    <t>MATERIALE_SAP</t>
  </si>
  <si>
    <t>NUOVO_NOME_PROMO</t>
  </si>
  <si>
    <t>NUOVO_CODICE_PROMO</t>
  </si>
  <si>
    <t>1174872703412</t>
  </si>
  <si>
    <t>Samsung Gear S2 Classic Black AI BUSINESS BIG</t>
  </si>
  <si>
    <t>Samsung Gear S2 Classic black</t>
  </si>
  <si>
    <t>Samsung Gear S2 Classic</t>
  </si>
  <si>
    <t>000000000000007691</t>
  </si>
  <si>
    <t>Samsung Gear S2 Classic Black AI BUSINESS BIG_GSI</t>
  </si>
  <si>
    <t>1470083455572</t>
  </si>
  <si>
    <t>1308850097243</t>
  </si>
  <si>
    <t>Apple Iphone 7 Plus 32GB Choose Black - BASIC</t>
  </si>
  <si>
    <t>Apple Iphone 7 Plus 32GB WT black</t>
  </si>
  <si>
    <t>Apple Iphone 7 Plus 32GB - Choose Black</t>
  </si>
  <si>
    <t>000000000000008552</t>
  </si>
  <si>
    <t>Apple Iphone 7 Plus 32GB Choose Black - BASIC_GSI</t>
  </si>
  <si>
    <t>1470087894522</t>
  </si>
  <si>
    <t>1457893502771</t>
  </si>
  <si>
    <t>Samsung Galaxy S10+ 512 GB - White - SMARTSHARE UNLIMITED</t>
  </si>
  <si>
    <t>Tel.Cel Samsung Galaxy S10+512GBCerWhite</t>
  </si>
  <si>
    <t>30 Mesi - Samsung Galaxy S10+ 512 GB - White</t>
  </si>
  <si>
    <t>000000000000010248</t>
  </si>
  <si>
    <t>Samsung Galaxy S10+ 512 GB - White - SMARTSHARE UNLIMITED_GSI</t>
  </si>
  <si>
    <t>1470085503302</t>
  </si>
  <si>
    <t>1461270234172</t>
  </si>
  <si>
    <t>Huawei P30 Pro 128GB - Black  - SMARTSHARE UNLIMITED</t>
  </si>
  <si>
    <t>Tel.Cel Huawei Vogue 128GB Black</t>
  </si>
  <si>
    <t>30 Mesi - Huawei P30 Pro 128GB - Black</t>
  </si>
  <si>
    <t>000000000000010290</t>
  </si>
  <si>
    <t>Huawei P30 Pro 128GB - Black  - SMARTSHARE UNLIMITED_GSI</t>
  </si>
  <si>
    <t>1470088208632</t>
  </si>
  <si>
    <t>1309365003914</t>
  </si>
  <si>
    <t>Huawei P8 Lite - White - BASIC</t>
  </si>
  <si>
    <t>Tel.Cel Huawei P8 Lite 2017 black</t>
  </si>
  <si>
    <t>Huawei P8 Lite 2017 - White</t>
  </si>
  <si>
    <t>000000000000008562</t>
  </si>
  <si>
    <t>Huawei P8 Lite - White - BASIC_GSI</t>
  </si>
  <si>
    <t>1470085503282</t>
  </si>
  <si>
    <t>1457888371230</t>
  </si>
  <si>
    <t>Samsung Galaxy S10+ 128 GB - White - SMARTSHARE UNLIMITED</t>
  </si>
  <si>
    <t>Tel.Cel Samsung GalaxyS10+128GB PriWhite</t>
  </si>
  <si>
    <t>30 Mesi - Samsung Galaxy S10+ 128 GB - White</t>
  </si>
  <si>
    <t>000000000000010245</t>
  </si>
  <si>
    <t>Samsung Galaxy S10+ 128 GB - White - SMARTSHARE UNLIMITED_GSI</t>
  </si>
  <si>
    <t>1470088950542</t>
  </si>
  <si>
    <t>1308914204737</t>
  </si>
  <si>
    <t>Apple Iphone 7 Plus 32GB WT RoseGold - UNLIMITED</t>
  </si>
  <si>
    <t>Apple Iphone 7 Plus 32GB WT rose gold</t>
  </si>
  <si>
    <t>Apple Iphone 7 Plus 32GB WT - Rose Gold</t>
  </si>
  <si>
    <t>000000000000008754</t>
  </si>
  <si>
    <t>Apple Iphone 7 Plus 32GB WT RoseGold - UNLIMITED_GSI</t>
  </si>
  <si>
    <t>1470090478372</t>
  </si>
  <si>
    <t>1457873328001</t>
  </si>
  <si>
    <t>Samsung Galaxy S10 512 GB - Black - MYSHARE 30-60</t>
  </si>
  <si>
    <t>Tel.Cel Samsung GalaxyS10 512GB PriBlack</t>
  </si>
  <si>
    <t>30 Mesi - Samsung Galaxy S10 512 GB - Black</t>
  </si>
  <si>
    <t>000000000000010268</t>
  </si>
  <si>
    <t>Samsung Galaxy S10 512 GB - Black - MYSHARE 30-60_GSI</t>
  </si>
  <si>
    <t>1470090541252</t>
  </si>
  <si>
    <t>1457873328160</t>
  </si>
  <si>
    <t>Samsung Galaxy S10+ 128 GB - Black - SMARTSHARE UNLIMITED</t>
  </si>
  <si>
    <t>Tel.Cel Samsung GalaxyS10+128GBPriBlack</t>
  </si>
  <si>
    <t>30 Mesi - Samsung Galaxy S10+ 128 GB - Black</t>
  </si>
  <si>
    <t>000000000000010244</t>
  </si>
  <si>
    <t>Samsung Galaxy S10+ 128 GB - Black - SMARTSHARE UNLIMITED_GSI</t>
  </si>
  <si>
    <t>1470089676012</t>
  </si>
  <si>
    <t>1192412188891</t>
  </si>
  <si>
    <t>Wind Tab 8" - Internet 5 GB</t>
  </si>
  <si>
    <t>Alcatel Wind Tab  8" LTE WHITE</t>
  </si>
  <si>
    <t>Wind Tab 8</t>
  </si>
  <si>
    <t>000000000000007682</t>
  </si>
  <si>
    <t>Wind Tab 8" - Internet 5 GB_GSI</t>
  </si>
  <si>
    <t>1470084111442</t>
  </si>
  <si>
    <t>1460249473989</t>
  </si>
  <si>
    <t>Apple iPhone X 64GB - Silver - SUPER UNLIMITED</t>
  </si>
  <si>
    <t>Apple  I Phone X 64GB Silver</t>
  </si>
  <si>
    <t>30 Mesi - Apple IPhone X 64GB - Silver</t>
  </si>
  <si>
    <t>000000000000009181</t>
  </si>
  <si>
    <t>Apple iPhone X 64GB - Silver - SUPER UNLIMITED_GSI</t>
  </si>
  <si>
    <t>1470097788902</t>
  </si>
  <si>
    <t>1308934140426</t>
  </si>
  <si>
    <t>Apple Iphone 7  32GB WT Silver - UNLIMITED</t>
  </si>
  <si>
    <t>Apple Iphone 7 32 GB WT silver</t>
  </si>
  <si>
    <t>Apple Iphone 7 32GB WT - Silver</t>
  </si>
  <si>
    <t>000000000000008555</t>
  </si>
  <si>
    <t>Apple Iphone 7  32GB WT Silver - UNLIMITED_GSI</t>
  </si>
  <si>
    <t>1470085503332</t>
  </si>
  <si>
    <t>1453260599215</t>
  </si>
  <si>
    <t>Huawei P Smart 2019 - Blue - MYUNLIMITED</t>
  </si>
  <si>
    <t>Tel.Cel Huawei P Smart 2019 Aurora Blue</t>
  </si>
  <si>
    <t>30 Mesi - Tel.Cel Huawei P Smart 2019 Aurora Blue</t>
  </si>
  <si>
    <t>000000000000010202</t>
  </si>
  <si>
    <t>Huawei P Smart 2019 - Blue - MYUNLIMITED_GSI</t>
  </si>
  <si>
    <t>1470079837842</t>
  </si>
  <si>
    <t>1469092960979</t>
  </si>
  <si>
    <t>Promo FS - Samsung J6 - sconto 100%ET&amp;Rata&amp;MaxiRata - Smart Share 500</t>
  </si>
  <si>
    <t>Tel.Cel Samsung Galaxy J6 Dual Sim black</t>
  </si>
  <si>
    <t>24 Mesi - Samsung Galaxy J6 - Black</t>
  </si>
  <si>
    <t>000000000000010349</t>
  </si>
  <si>
    <t>Promo FS - Samsung J6 - sconto 100%ET&amp;Rata&amp;MaxiRata - Smart Share 500_GSI</t>
  </si>
  <si>
    <t>1470097788932</t>
  </si>
  <si>
    <t>1344622578054</t>
  </si>
  <si>
    <t>Samsung Galaxy S8 - Black -  BASIC</t>
  </si>
  <si>
    <t>Tel.Cel Samsung Galaxy S8 Midnight Black</t>
  </si>
  <si>
    <t>Samsung Galaxy S8 - Black</t>
  </si>
  <si>
    <t>000000000000008709</t>
  </si>
  <si>
    <t>Samsung Galaxy S8 - Black -  BASIC_GSI</t>
  </si>
  <si>
    <t>1470110773112</t>
  </si>
  <si>
    <t>1445961842846</t>
  </si>
  <si>
    <t>Samsung Galaxy A6 - Gold - MYUNLIMITED</t>
  </si>
  <si>
    <t>Tel.Cel Samsung GalaxyA6 32GB gold</t>
  </si>
  <si>
    <t>30 Mesi - Samsung Galaxy A6 - Gold</t>
  </si>
  <si>
    <t>000000000000009849</t>
  </si>
  <si>
    <t>Samsung Galaxy A6 - Gold - MYUNLIMITED_GSI</t>
  </si>
  <si>
    <t>1470104144042</t>
  </si>
  <si>
    <t>1344973744984</t>
  </si>
  <si>
    <t>Samsung Galaxy S7 - Gold -  AI BUS UNLI. PREMIUM. TOP MONDO</t>
  </si>
  <si>
    <t>Tel.Cel Samsung Galaxy S7 gold</t>
  </si>
  <si>
    <t>Samsung Galaxy S7</t>
  </si>
  <si>
    <t>000000000000008063</t>
  </si>
  <si>
    <t>Samsung Galaxy S7 - Gold -  AI BUS UNLI. PREMIUM. TOP MONDO_GSI</t>
  </si>
  <si>
    <t>1470105544212</t>
  </si>
  <si>
    <t>1468253027947</t>
  </si>
  <si>
    <t>Huawei Y6 2019- Black - MYUNLIMITED</t>
  </si>
  <si>
    <t>Tel.Cel Huawei Y6 2019 Black</t>
  </si>
  <si>
    <t>30 Mesi - Huawei Y6 2019 - Black</t>
  </si>
  <si>
    <t>000000000000010285</t>
  </si>
  <si>
    <t>Huawei Y6 2019- Black - MYUNLIMITED_GSI</t>
  </si>
  <si>
    <t>1470104432232</t>
  </si>
  <si>
    <t>1445598525553</t>
  </si>
  <si>
    <t>Huawei P20 PRO - Blue - MYSHARE 5-15</t>
  </si>
  <si>
    <t>Tel.Cel Huawei P20 Pro blue</t>
  </si>
  <si>
    <t>30 Mesi - Huawei P20 PRO - Blue</t>
  </si>
  <si>
    <t>000000000000009631</t>
  </si>
  <si>
    <t>Huawei P20 PRO - Blue - MYSHARE 5-15_GSI</t>
  </si>
  <si>
    <t>1470102179882</t>
  </si>
  <si>
    <t>1457968862392</t>
  </si>
  <si>
    <t>Samsung Galaxy S10 512 GB - Black - MYUNLIMITED 30</t>
  </si>
  <si>
    <t>Samsung Galaxy S10 512 GB - Black - MYUNLIMITED 30_GSI</t>
  </si>
  <si>
    <t>1470099099112</t>
  </si>
  <si>
    <t>1457891014039</t>
  </si>
  <si>
    <t>1448727352076</t>
  </si>
  <si>
    <t>Xiaomi Mi A2 Lite - Blue - MYUNLIMITED</t>
  </si>
  <si>
    <t>Tel.Cel Xiaomi MI A2 LITE blue</t>
  </si>
  <si>
    <t>30 Mesi - Xiaomi Mi A2 Lite - Blue</t>
  </si>
  <si>
    <t>000000000000009749</t>
  </si>
  <si>
    <t>Xiaomi Mi A2 Lite - Blue - MYUNLIMITED_GSI</t>
  </si>
  <si>
    <t>1470111923532</t>
  </si>
  <si>
    <t>1339561658375</t>
  </si>
  <si>
    <t>Samsung Galaxy A5 - Gold - AI RIC BIG</t>
  </si>
  <si>
    <t>Tel.Cel Samsung Galaxy A5 2017 Ed.gold</t>
  </si>
  <si>
    <t>Samsung Galaxy A5 - Gold</t>
  </si>
  <si>
    <t>000000000000008569</t>
  </si>
  <si>
    <t>Samsung Galaxy A5 - Gold - AI RIC BIG_GSI</t>
  </si>
  <si>
    <t>1470097789752</t>
  </si>
  <si>
    <t>1460322317510</t>
  </si>
  <si>
    <t>Zte WebCube4 TRE - White - SUPER GIGA 30</t>
  </si>
  <si>
    <t>Zte WebCube4 TRE (MF17)white</t>
  </si>
  <si>
    <t>30 Mesi - Zte WebCube4 TRE - White</t>
  </si>
  <si>
    <t>000000000000009253</t>
  </si>
  <si>
    <t>Zte WebCube4 TRE - White - SUPER GIGA 30_GSI</t>
  </si>
  <si>
    <t>1457968862326</t>
  </si>
  <si>
    <t>1470096066982</t>
  </si>
  <si>
    <t>1464984338752</t>
  </si>
  <si>
    <t>Huawei Y6 2019 - Blue - SMARTSHARE</t>
  </si>
  <si>
    <t>Tel.Cel Huawei Y6 2019 Blue</t>
  </si>
  <si>
    <t>30 Mesi - Huawei Y6 2019 - Blue</t>
  </si>
  <si>
    <t>000000000000010309</t>
  </si>
  <si>
    <t>Huawei Y6 2019 - Blue - SMARTSHARE_GSI</t>
  </si>
  <si>
    <t>1470100669392</t>
  </si>
  <si>
    <t>1461270234736</t>
  </si>
  <si>
    <t>Huawei P30 - Black - MYUNLIMITED</t>
  </si>
  <si>
    <t>Tel.Cel Huawei Elle Twilight</t>
  </si>
  <si>
    <t>30 Mesi - Huawei P30 - Aurora</t>
  </si>
  <si>
    <t>000000000000010288</t>
  </si>
  <si>
    <t>Huawei P30 - Black - MYUNLIMITED_GSI</t>
  </si>
  <si>
    <t>1470097249792</t>
  </si>
  <si>
    <t>1460307928456</t>
  </si>
  <si>
    <t>Samsung Galaxy S10 128 GB - Black - SUPER UNLIMITED</t>
  </si>
  <si>
    <t>Tel.Cel SamsungGalaxyS10 128GB PriBlack</t>
  </si>
  <si>
    <t>30 Mesi - Samsung Galaxy S10 128 GB - Black</t>
  </si>
  <si>
    <t>000000000000010241</t>
  </si>
  <si>
    <t>Samsung Galaxy S10 128 GB - Black - SUPER UNLIMITED_GSI</t>
  </si>
  <si>
    <t>1470095287762</t>
  </si>
  <si>
    <t>1457968862382</t>
  </si>
  <si>
    <t>Samsung Galaxy S10+ 512 GB - Black - MYUNLIMITED 30</t>
  </si>
  <si>
    <t>Tel.Cel Samsung GalaxyS10+512GB CerBlack</t>
  </si>
  <si>
    <t>30 Mesi - Samsung Galaxy S10+ 512 GB - Black</t>
  </si>
  <si>
    <t>000000000000010247</t>
  </si>
  <si>
    <t>Samsung Galaxy S10+ 512 GB - Black - MYUNLIMITED 30_GSI</t>
  </si>
  <si>
    <t>1470096576892</t>
  </si>
  <si>
    <t>1464968971076</t>
  </si>
  <si>
    <t>Huawei P30 Lite - White - SMARTSHARE</t>
  </si>
  <si>
    <t>Tel.Cel HUAWEI P30 LITE PEARL WHITE</t>
  </si>
  <si>
    <t>30 Mesi - Huawei P30 Lite - White</t>
  </si>
  <si>
    <t>000000000000010444</t>
  </si>
  <si>
    <t>Huawei P30 Lite - White - SMARTSHARE_GSI</t>
  </si>
  <si>
    <t>1470101051702</t>
  </si>
  <si>
    <t>1344962839857</t>
  </si>
  <si>
    <t>Samsung Galaxy S7 - Black - AI RIC UNLI. PREMIUM. TOP MONDO</t>
  </si>
  <si>
    <t>Tel.Cel Samsung Galaxy S7 black</t>
  </si>
  <si>
    <t>000000000000008061</t>
  </si>
  <si>
    <t>Samsung Galaxy S7 - Black - AI RIC UNLI. PREMIUM. TOP MONDO_GSI</t>
  </si>
  <si>
    <t>1470108022182</t>
  </si>
  <si>
    <t>1344954918720</t>
  </si>
  <si>
    <t>Samsung Galaxy S7 Edge - Gold -  AI RIC UNLI - PREMIUM - TOP MONDO</t>
  </si>
  <si>
    <t>Tel.Cel Samsung Galaxy S7 Edge gold</t>
  </si>
  <si>
    <t>Samsung Galaxy S7 Edge</t>
  </si>
  <si>
    <t>000000000000008060</t>
  </si>
  <si>
    <t>Samsung Galaxy S7 Edge - Gold -  AI RIC UNLI - PREMIUM - TOP MONDO_GSI</t>
  </si>
  <si>
    <t>1470104206222</t>
  </si>
  <si>
    <t>1461143569219</t>
  </si>
  <si>
    <t>Huawei P20 Lite - Black - SMARTSHARE</t>
  </si>
  <si>
    <t>Tel.Cel Huawei P20 lite black</t>
  </si>
  <si>
    <t>30 Mesi - Huawei P20 Lite - Black</t>
  </si>
  <si>
    <t>000000000000009634</t>
  </si>
  <si>
    <t>Huawei P20 Lite - Black - SMARTSHARE_GSI</t>
  </si>
  <si>
    <t>1470091718162</t>
  </si>
  <si>
    <t>1460322317384</t>
  </si>
  <si>
    <t>Apple iPad32GB - Space Gray - SUPER GIGA 70</t>
  </si>
  <si>
    <t>Apple iPad New  9.7 32GB Space Gray</t>
  </si>
  <si>
    <t>30 Mesi - Apple IPad32GB - Space Gray</t>
  </si>
  <si>
    <t>000000000000009715</t>
  </si>
  <si>
    <t>Apple iPad32GB - Space Gray - SUPER GIGA 70_GSI</t>
  </si>
  <si>
    <t>1470094028142</t>
  </si>
  <si>
    <t>1445609753961</t>
  </si>
  <si>
    <t>Huawei Mate 20 Lite - Black - MYSHARE</t>
  </si>
  <si>
    <t>Tel.Cel Huawei Mate 20 Lite black</t>
  </si>
  <si>
    <t>30 Mesi - Huawei Mate 20 Lite - Black</t>
  </si>
  <si>
    <t>000000000000009893</t>
  </si>
  <si>
    <t>Huawei Mate 20 Lite - Black - MYSHARE_GSI</t>
  </si>
  <si>
    <t>1470102475842</t>
  </si>
  <si>
    <t>1460322317528</t>
  </si>
  <si>
    <t>WebPocket 4G+ Alcatel - White - SUPER GIGA 70</t>
  </si>
  <si>
    <t>Alcatel WebPocket 4G+MW70VK white</t>
  </si>
  <si>
    <t>30 Mesi - WebPocket 4G+ Alcatel - White</t>
  </si>
  <si>
    <t>000000000000009843</t>
  </si>
  <si>
    <t>WebPocket 4G+ Alcatel - White - SUPER GIGA 70_GSI</t>
  </si>
  <si>
    <t>1470097604472</t>
  </si>
  <si>
    <t>1465997221964</t>
  </si>
  <si>
    <t>Promo FS - Huawei Y6 2019 - My Share Unlimited</t>
  </si>
  <si>
    <t>Promo FS - Huawei Y6 2019 - My Share Unlimited_GSI</t>
  </si>
  <si>
    <t>1470093571942</t>
  </si>
  <si>
    <t>1339561658339</t>
  </si>
  <si>
    <t>Huawei P10 Black - AI RIC UNLI. PREMIUM. TOP MONDO</t>
  </si>
  <si>
    <t>Tel.Cel Huawei P10 Black</t>
  </si>
  <si>
    <t>Huawei P10 – Black</t>
  </si>
  <si>
    <t>000000000000008700</t>
  </si>
  <si>
    <t>Huawei P10 Black - AI RIC UNLI. PREMIUM. TOP MONDO_GSI</t>
  </si>
  <si>
    <t>1470101963492</t>
  </si>
  <si>
    <t>1445885015009</t>
  </si>
  <si>
    <t>Apple iPhone X 64GB - Silver - MYUNLIMITED</t>
  </si>
  <si>
    <t>Apple I Phone X 64GB Silver</t>
  </si>
  <si>
    <t>Apple iPhone X 64GB - Silver - MYUNLIMITED_GSI</t>
  </si>
  <si>
    <t>1470101963532</t>
  </si>
  <si>
    <t>1461232932569</t>
  </si>
  <si>
    <t>Huawei P20 Lite - Blue -  MYUNLIMITED</t>
  </si>
  <si>
    <t>Tel.Cel Huawei P20 lite  blue</t>
  </si>
  <si>
    <t>30 Mesi - Huawei P20 Lite - Blue</t>
  </si>
  <si>
    <t>000000000000009635</t>
  </si>
  <si>
    <t>Huawei P20 Lite - Blue -  MYUNLIMITED_GSI</t>
  </si>
  <si>
    <t>1470101963622</t>
  </si>
  <si>
    <t>1469091538782</t>
  </si>
  <si>
    <t>Promo FS - Samsung J6 - sconto 100%ET&amp;Rata&amp;MaxiRata - Smart Share Unlimited</t>
  </si>
  <si>
    <t>Promo FS - Samsung J6 - sconto 100%ET&amp;Rata&amp;MaxiRata - Smart Share Unlimited_GSI</t>
  </si>
  <si>
    <t>1470093762242</t>
  </si>
  <si>
    <t>1374895010159</t>
  </si>
  <si>
    <t>Promo Canone 100% - Mini ONT GPON Huawei HG8010H</t>
  </si>
  <si>
    <t>KIT SME Mini ONT FTTH HUAWEI HG8010H</t>
  </si>
  <si>
    <t>Apparati ADSL Az FTTH Huawei</t>
  </si>
  <si>
    <t>000000000000009170</t>
  </si>
  <si>
    <t>Promo Canone 100% - Mini ONT GPON Huawei HG8010H_GSI</t>
  </si>
  <si>
    <t>1470097249732</t>
  </si>
  <si>
    <t>1422406389612</t>
  </si>
  <si>
    <t>Blackberry KEY ONE PROMO - Silver</t>
  </si>
  <si>
    <t>Blackberry KEY ONE PROMO</t>
  </si>
  <si>
    <t>000000000000009745</t>
  </si>
  <si>
    <t>Blackberry KEY ONE PROMO - Silver_GSI</t>
  </si>
  <si>
    <t>1470097249812</t>
  </si>
  <si>
    <t>1470092053852</t>
  </si>
  <si>
    <t>1460310736382</t>
  </si>
  <si>
    <t>Samsung Galaxy TAB S4 - Black- SUPER GIGA 70</t>
  </si>
  <si>
    <t>Samsung Tab  S4 balck</t>
  </si>
  <si>
    <t>30 Mesi - Samsung Galaxy TAB S4 - Black</t>
  </si>
  <si>
    <t>000000000000010187</t>
  </si>
  <si>
    <t>Samsung Galaxy TAB S4 - Black- SUPER GIGA 70_GSI</t>
  </si>
  <si>
    <t>1470093184792</t>
  </si>
  <si>
    <t>1344622578118</t>
  </si>
  <si>
    <t>Samsung Galaxy S8 - Violet - BASIC</t>
  </si>
  <si>
    <t>Tel.Cel Samsung Galaxy S8 Orchid Gray</t>
  </si>
  <si>
    <t>Samsung Galaxy S8 -Violet</t>
  </si>
  <si>
    <t>000000000000008711</t>
  </si>
  <si>
    <t>Samsung Galaxy S8 - Violet - BASIC_GSI</t>
  </si>
  <si>
    <t>1470104114482</t>
  </si>
  <si>
    <t>1344622578212</t>
  </si>
  <si>
    <t>Samsung Galaxy S7 - Gold - BASIC</t>
  </si>
  <si>
    <t>Samsung Galaxy S7 - Gold - BASIC_GSI</t>
  </si>
  <si>
    <t>1470109347422</t>
  </si>
  <si>
    <t>1460310736177</t>
  </si>
  <si>
    <t>Huawei P20 PRO (Limited edition) - Blue - SUPER UNLIMITED</t>
  </si>
  <si>
    <t>KIT Huawei P20 Pro Blue Limited Edition</t>
  </si>
  <si>
    <t>30 Mesi - Huawei P20 PRO - Limited Edition - Blue</t>
  </si>
  <si>
    <t>000000000000010457</t>
  </si>
  <si>
    <t>Huawei P20 PRO (Limited edition) - Blue - SUPER UNLIMITED_GSI</t>
  </si>
  <si>
    <t>1470095336032</t>
  </si>
  <si>
    <t>1445409025100</t>
  </si>
  <si>
    <t>Apple iPhone Xs Max 256GB - Space Gray - MYSHARE</t>
  </si>
  <si>
    <t>Apple iPhone Xs Max 256GB Space Gray</t>
  </si>
  <si>
    <t>30 Mesi - Apple IPhone Xs Max 256GB - Space Gray</t>
  </si>
  <si>
    <t>000000000000010003</t>
  </si>
  <si>
    <t>Apple iPhone Xs Max 256GB - Gold - MYSHARE_GSI</t>
  </si>
  <si>
    <t>1470108862942</t>
  </si>
  <si>
    <t>1445606530662</t>
  </si>
  <si>
    <t>Apple Iphone 6S 32GB - Space Gray - MYSHARE</t>
  </si>
  <si>
    <t>Apple iPhone 6s 32GB WT Space Grey</t>
  </si>
  <si>
    <t>30 Mesi - Apple Iphone 6S 32GB - Space Gray</t>
  </si>
  <si>
    <t>000000000000008685</t>
  </si>
  <si>
    <t>Apple Iphone 6S 32GB - Space Gray - MYSHARE_GSI</t>
  </si>
  <si>
    <t>1470108216192</t>
  </si>
  <si>
    <t>1468486378592</t>
  </si>
  <si>
    <t>Promo FS - HUAWEI P20 LITE - sconto 100%ET&amp;Rata&amp;MaxiRata - Smart Share Unlimited</t>
  </si>
  <si>
    <t>Tel.Cel Huawei P20 lite  black</t>
  </si>
  <si>
    <t>Huawei P20 Lite - Black</t>
  </si>
  <si>
    <t>Promo FS - HUAWEI P20 LITE - sconto 100%ET&amp;Rata&amp;MaxiRata - Smart Share Unlimited_GSI</t>
  </si>
  <si>
    <t>1470096049542</t>
  </si>
  <si>
    <t>1445598525074</t>
  </si>
  <si>
    <t>Apple iPhone 8 64GB - Space gray - SMARTSHARE UNLIMITED</t>
  </si>
  <si>
    <t>Apple IPhone 8 64GB Space Grey</t>
  </si>
  <si>
    <t>30 Mesi - Apple IPhone 8 64GB - Space Gray</t>
  </si>
  <si>
    <t>000000000000009184</t>
  </si>
  <si>
    <t>Apple iPhone 8 64GB - Space gray - SMARTSHARE UNLIMITED_GSI</t>
  </si>
  <si>
    <t>1470103014652</t>
  </si>
  <si>
    <t>1468266134574</t>
  </si>
  <si>
    <t xml:space="preserve"> Huawei Y5 2019 - Back - MYSHARE</t>
  </si>
  <si>
    <t>Tel.Cel Huawei Y5 2019 Black</t>
  </si>
  <si>
    <t>30 Mesi - Huawei Y5 2019 - Black</t>
  </si>
  <si>
    <t>000000000000010470</t>
  </si>
  <si>
    <t xml:space="preserve"> Huawei Y5 2019 - Back - MYSHARE_GSI</t>
  </si>
  <si>
    <t>1470105069102</t>
  </si>
  <si>
    <t>1308905124100</t>
  </si>
  <si>
    <t>Apple Iphone 7 128GB WT - Rose Gold - UNLIMITED</t>
  </si>
  <si>
    <t>Apple Iphone 7 128 GB WT Rose Gold</t>
  </si>
  <si>
    <t>Apple Iphone 7 128GB WT- Rose Gold</t>
  </si>
  <si>
    <t>000000000000008741</t>
  </si>
  <si>
    <t>Apple Iphone 7 128GB WT - Rose Gold - UNLIMITED_GSI</t>
  </si>
  <si>
    <t>1470094028172</t>
  </si>
  <si>
    <t>1344622578142</t>
  </si>
  <si>
    <t>Samsung Galaxy S7 Edge - White - BASIC</t>
  </si>
  <si>
    <t>Tel.Cel Samsung Galaxy S7 Edge white</t>
  </si>
  <si>
    <t>000000000000008059</t>
  </si>
  <si>
    <t>Samsung Galaxy S7 Edge - White - BASIC_GSI</t>
  </si>
  <si>
    <t>1470110204932</t>
  </si>
  <si>
    <t>1357431887666</t>
  </si>
  <si>
    <t>Wind Smart - Black- BASIC, UNLIMITED</t>
  </si>
  <si>
    <t>Tel.Cel ALCATEL WindSmart2017 Black</t>
  </si>
  <si>
    <t>Wind Smart 2017 - Black</t>
  </si>
  <si>
    <t>000000000000008695</t>
  </si>
  <si>
    <t>Wind Smart - Black- BASIC, UNLIMITED_GSI</t>
  </si>
  <si>
    <t>1470111826262</t>
  </si>
  <si>
    <t>1344962839835</t>
  </si>
  <si>
    <t>Samsung Galaxy S7 Edge - Silver -  AI RIC UNLI - PREMIUM - TOP MONDO</t>
  </si>
  <si>
    <t>Tel.Cel Samsung Galaxy S7 Edge silver</t>
  </si>
  <si>
    <t>Samsung Galaxy S7 Edge - Silver</t>
  </si>
  <si>
    <t>000000000000008245</t>
  </si>
  <si>
    <t>Samsung Galaxy S7 Edge - Silver -  AI RIC UNLI - PREMIUM - TOP MONDO_GSI</t>
  </si>
  <si>
    <t>1470092229842</t>
  </si>
  <si>
    <t>1445603158026</t>
  </si>
  <si>
    <t>Huawei P20 PRO - Blue - SMARTSHARE UNLIMITED</t>
  </si>
  <si>
    <t>Huawei P20 PRO - Blue - SMARTSHARE UNLIMITED_GSI</t>
  </si>
  <si>
    <t>1470092229862</t>
  </si>
  <si>
    <t>1464981301642</t>
  </si>
  <si>
    <t>Samsung Galaxy A40 - Blue - MYSHARE</t>
  </si>
  <si>
    <t>Tel.Cel Samsung Galaxy A40 DUALSIM blue</t>
  </si>
  <si>
    <t>30 Mesi - Samsung Galaxy A40 - Blue</t>
  </si>
  <si>
    <t>000000000000010462</t>
  </si>
  <si>
    <t>Samsung Galaxy A40 - Blue - MYSHARE_GSI</t>
  </si>
  <si>
    <t>1470094028262</t>
  </si>
  <si>
    <t>1421293145767</t>
  </si>
  <si>
    <t>Apple Ipad 9.7' (128GB) - Space Grey - 30 Giga</t>
  </si>
  <si>
    <t>AppleiPad New 9.7 128GB Silver</t>
  </si>
  <si>
    <t>Apple IPad 9.7 128GB - Space Grey</t>
  </si>
  <si>
    <t>000000000000009733</t>
  </si>
  <si>
    <t>Apple Ipad 9.7' (128GB) - Space Grey - 30 Giga_GSI</t>
  </si>
  <si>
    <t>1470105544222</t>
  </si>
  <si>
    <t>1453260599178</t>
  </si>
  <si>
    <t>Huawei P Smart 2019 - Black - SMARTSHARE</t>
  </si>
  <si>
    <t>Tel.Cel Huawei P Smart 2019 Black</t>
  </si>
  <si>
    <t>30 Mesi - Tel.Cel Huawei P Smart 2019 Black</t>
  </si>
  <si>
    <t>000000000000010201</t>
  </si>
  <si>
    <t>Huawei P Smart 2019 - Black - SMARTSHARE_GSI</t>
  </si>
  <si>
    <t>1470089947212</t>
  </si>
  <si>
    <t>1464651850532</t>
  </si>
  <si>
    <t>Promo FS - Nextivity Cel-Fi Pro RS3 - sconto 100%ET&amp;Rata&amp;MaxiRata - Smart Share Unlimited</t>
  </si>
  <si>
    <t>Nextivity  Cel-Fi Pro RS3</t>
  </si>
  <si>
    <t>30 Mesi - Nextivity Cel-Fi Pro RS3</t>
  </si>
  <si>
    <t>000000000000009964</t>
  </si>
  <si>
    <t>Promo FS - Nextivity Cel-Fi Pro RS3 - sconto 100%ET&amp;Rata&amp;MaxiRata - Smart Share Unlimited_GSI</t>
  </si>
  <si>
    <t>1470089947242</t>
  </si>
  <si>
    <t>1339568476808</t>
  </si>
  <si>
    <t>Samsung Galaxy S8 Plus - Violet -  AI BUS UNLI - PREMIUM - TOP MONDO</t>
  </si>
  <si>
    <t>Tel.Cel Samsung Galaxy S8+ Orchid Gray</t>
  </si>
  <si>
    <t>Samsung Galaxy S8 Plus - Violet</t>
  </si>
  <si>
    <t>000000000000008708</t>
  </si>
  <si>
    <t>Samsung Galaxy S8 Plus - Violet -  AI BUS UNLI - PREMIUM - TOP MONDO_GSI</t>
  </si>
  <si>
    <t>1470098906832</t>
  </si>
  <si>
    <t>1445971967612</t>
  </si>
  <si>
    <t>Huawei Mate 20 Lite - Gold -  MYUNLIMITED</t>
  </si>
  <si>
    <t>Tel.Cel Huawei Mate 20 Lite gold</t>
  </si>
  <si>
    <t>30 Mesi - Huawei Mate 20 Lite - Gold</t>
  </si>
  <si>
    <t>000000000000009894</t>
  </si>
  <si>
    <t>Huawei Mate 20 Lite - Gold -  MYUNLIMITED_GSI</t>
  </si>
  <si>
    <t>1470104851892</t>
  </si>
  <si>
    <t>1460322317454</t>
  </si>
  <si>
    <t>Wind Tab 10 - White - SUPER GIGA 30</t>
  </si>
  <si>
    <t>Alcatel Tab A3 10''  white</t>
  </si>
  <si>
    <t>30 Mesi - Wind Tab 10 - White</t>
  </si>
  <si>
    <t>000000000000008947</t>
  </si>
  <si>
    <t>Wind Tab 10 - White - SUPER GIGA 30_GSI</t>
  </si>
  <si>
    <t>1470092151712</t>
  </si>
  <si>
    <t>1448727352070</t>
  </si>
  <si>
    <t>Huawei P20 Lite - Black -  MYUNLIMITED</t>
  </si>
  <si>
    <t>Huawei P20 Lite - Black -  MYUNLIMITED_GSI</t>
  </si>
  <si>
    <t>1470092303442</t>
  </si>
  <si>
    <t>1468318959023</t>
  </si>
  <si>
    <t>Promo FS - Apple IPAD PRO 11 256GB SpaceGray - ONLY GIGA</t>
  </si>
  <si>
    <t>Apple IPAD  PRO  11 256GB SpaceGray</t>
  </si>
  <si>
    <t>30 Mesi - Apple IPAD PRO 11 256GB SpaceGray</t>
  </si>
  <si>
    <t>000000000000010194</t>
  </si>
  <si>
    <t>Promo FS - Apple IPAD PRO 11 256GB SpaceGray - ONLY GIGA_GSI</t>
  </si>
  <si>
    <t>1470089968522</t>
  </si>
  <si>
    <t>1468264177293</t>
  </si>
  <si>
    <t>Promo FS- Nextivity Cel-Fi Pro RS3- sconto 100% ET&amp;Rata&amp;MaxiRata - My Share Unlimited</t>
  </si>
  <si>
    <t>Promo FS- Nextivity Cel-Fi Pro RS3- sconto 100% ET&amp;Rata&amp;MaxiRata - My Share Unlimited_GSI</t>
  </si>
  <si>
    <t>1470096290802</t>
  </si>
  <si>
    <t>1344954918739</t>
  </si>
  <si>
    <t>Samsung Galaxy S7 Edge - Silver - AI RIC BIG</t>
  </si>
  <si>
    <t>Samsung Galaxy S7 Edge - Silver - AI RIC BIG_GSI</t>
  </si>
  <si>
    <t>1470105205012</t>
  </si>
  <si>
    <t>1344622578224</t>
  </si>
  <si>
    <t>Samsung Galaxy S7 - Silver - BASIC</t>
  </si>
  <si>
    <t>Tel.Cel Samsung Galaxy S7 silver</t>
  </si>
  <si>
    <t>000000000000008247</t>
  </si>
  <si>
    <t>Samsung Galaxy S7 - Silver - BASIC_GSI</t>
  </si>
  <si>
    <t>1470109342462</t>
  </si>
  <si>
    <t>1456315464048</t>
  </si>
  <si>
    <t>Zte WebCube4 TRE - White- White - 30 GIGA</t>
  </si>
  <si>
    <t>Zte WebCube4 TRE - White- White - 30 GIGA_GSI</t>
  </si>
  <si>
    <t>1470093634882</t>
  </si>
  <si>
    <t>1464966989410</t>
  </si>
  <si>
    <t>Samsung Galaxy A50 - Blue - SUPER UNLIMITED</t>
  </si>
  <si>
    <t>Tel.Cel Samsung Galaxy A50 blue</t>
  </si>
  <si>
    <t>30 Mesi - Samsung Galaxy A50 - Blue</t>
  </si>
  <si>
    <t>000000000000010334</t>
  </si>
  <si>
    <t>Samsung Galaxy A50 - Blue - SUPER UNLIMITED_GSI</t>
  </si>
  <si>
    <t>1470092229762</t>
  </si>
  <si>
    <t>1445397055515</t>
  </si>
  <si>
    <t>Apple iPhone Xs Max 512GB - Space Gray - SMARTSHARE UNLIMITED</t>
  </si>
  <si>
    <t>Apple iPhone Xs Max 512GB Space Gray</t>
  </si>
  <si>
    <t>30 Mesi - Apple IPhone Xs Max 512GB - Space Gray</t>
  </si>
  <si>
    <t>000000000000010006</t>
  </si>
  <si>
    <t>Apple iPhone Xs Max 512GB - Space Gray - SMARTSHARE UNLIMITED_GSI</t>
  </si>
  <si>
    <t>1470107986302</t>
  </si>
  <si>
    <t>1467810946112</t>
  </si>
  <si>
    <t>LAR_20190612GalaxyS10_128GB_CRAL UNIVSTUDI</t>
  </si>
  <si>
    <t>Tel.Cel SamsungGalaxyS10 128GB PriBlack - (ENT)</t>
  </si>
  <si>
    <t>LAR_20190612GalaxyS10_128GB_CRAL UNIVSTUDI_GSI</t>
  </si>
  <si>
    <t>1470094052312</t>
  </si>
  <si>
    <t>1339568476802</t>
  </si>
  <si>
    <t>Samsung Galaxy S8 Plus - Violet - AI BUS BIG</t>
  </si>
  <si>
    <t>Samsung Galaxy S8 Plus - Violet - AI BUS BIG_GSI</t>
  </si>
  <si>
    <t>1470103036452</t>
  </si>
  <si>
    <t>1360840453642</t>
  </si>
  <si>
    <t>test FTTH Nokia</t>
  </si>
  <si>
    <t>KIT SME IAD WiFi AC FTTH NOKIA G-240W-B</t>
  </si>
  <si>
    <t>Apparati Wind Bus FTTH Nokia</t>
  </si>
  <si>
    <t>000000000000008956</t>
  </si>
  <si>
    <t>test FTTH Nokia_GSI</t>
  </si>
  <si>
    <t>1470098563842</t>
  </si>
  <si>
    <t>1344622578154</t>
  </si>
  <si>
    <t>Samsung Galaxy S7 Edge - Gold - BASIC</t>
  </si>
  <si>
    <t>Samsung Galaxy S7 Edge - Gold - BASIC_GSI</t>
  </si>
  <si>
    <t>1470090914642</t>
  </si>
  <si>
    <t>1467615433263</t>
  </si>
  <si>
    <t>Promo FS - Samsung Galaxy A40 - Black - MYSHARE UNLIMITED</t>
  </si>
  <si>
    <t>Tel.Cel Samsung Galaxy A40 DualSIM black</t>
  </si>
  <si>
    <t>30 Mesi - Samsung Galaxy A40 - Black</t>
  </si>
  <si>
    <t>000000000000010461</t>
  </si>
  <si>
    <t>Promo FS - Samsung Galaxy A40 - Black - MYSHARE UNLIMITED_GSI</t>
  </si>
  <si>
    <t>1470084111552</t>
  </si>
  <si>
    <t>1457893502343</t>
  </si>
  <si>
    <t>Samsung Galaxy S10 128 GB - Black - MYUNLIMITED 30</t>
  </si>
  <si>
    <t>Tel.Cel Samsung GalaxyS10 128GB PriBlack</t>
  </si>
  <si>
    <t>Samsung Galaxy S10 128 GB - Black - MYUNLIMITED 30_GSI</t>
  </si>
  <si>
    <t>1470095583022</t>
  </si>
  <si>
    <t>1470084111862</t>
  </si>
  <si>
    <t>1464938274890</t>
  </si>
  <si>
    <t>Huawei Mate 20 Pro limited edition - Black - SMARTSHARE UNLIMITED</t>
  </si>
  <si>
    <t>KIT Huawei MATE 20Pro BLK LimitedEdition</t>
  </si>
  <si>
    <t>30 Mesi - Huawei Mate 20 Pro - Limited Edition - Black</t>
  </si>
  <si>
    <t>000000000000010460</t>
  </si>
  <si>
    <t>Huawei Mate 20 Pro limited edition - Black - SMARTSHARE UNLIMITED_GSI</t>
  </si>
  <si>
    <t>1470102407902</t>
  </si>
  <si>
    <t>1424158102636</t>
  </si>
  <si>
    <t>Alcatel WebPocket 4G - Black - 30 GIGA</t>
  </si>
  <si>
    <t>ALCATEL LinkZone MW40V UNBRANDED</t>
  </si>
  <si>
    <t>Alcatel WebPocket 4G - Black</t>
  </si>
  <si>
    <t>000000000000009258</t>
  </si>
  <si>
    <t>Alcatel WebPocket 4G - Black - 30 GIGA_GSI</t>
  </si>
  <si>
    <t>1470112159242</t>
  </si>
  <si>
    <t>1470094431732</t>
  </si>
  <si>
    <t>1344938987188</t>
  </si>
  <si>
    <t>Samsung Galaxy S8 - Silver -  AI RIC BIG</t>
  </si>
  <si>
    <t>Tel.Cel Samsung Galaxy S8 Arctic Silver</t>
  </si>
  <si>
    <t>Samsung Galaxy S8 - Silver</t>
  </si>
  <si>
    <t>000000000000008710</t>
  </si>
  <si>
    <t>Samsung Galaxy S8 - Silver -  AI RIC BIG_GSI</t>
  </si>
  <si>
    <t>1470100487892</t>
  </si>
  <si>
    <t>1344938986498</t>
  </si>
  <si>
    <t>Alcatel Linkzone MW40V 4G Mobile Wi-Fi - White - ONLY GIGA</t>
  </si>
  <si>
    <t>ALCATEL LinkZone MW40V WHITE</t>
  </si>
  <si>
    <t>Alcatel Linkzone MW40V 4G Mobile Wi-Fi - White</t>
  </si>
  <si>
    <t>000000000000008252</t>
  </si>
  <si>
    <t>Alcatel Linkzone MW40V 4G Mobile Wi-Fi - White - ONLY GIGA_GSI</t>
  </si>
  <si>
    <t>1470103821532</t>
  </si>
  <si>
    <t>1344622578112</t>
  </si>
  <si>
    <t>Samsung Galaxy S8 - Silver -  UNLIMITED</t>
  </si>
  <si>
    <t>Samsung Galaxy S8 - Silver -  UNLIMITED_GSI</t>
  </si>
  <si>
    <t>1470108124542</t>
  </si>
  <si>
    <t>1280315315440</t>
  </si>
  <si>
    <t>Promo MV - Router ADSL WiFi AVM Fritz!Box 3272</t>
  </si>
  <si>
    <t>Router ADSL WiFi AVM Fritz!Box 3272</t>
  </si>
  <si>
    <t>Internet Pack</t>
  </si>
  <si>
    <t>000000000000005781</t>
  </si>
  <si>
    <t>Promo MV - Router ADSL WiFi AVM Fritz!Box 3272_GSI</t>
  </si>
  <si>
    <t>1470092229052</t>
  </si>
  <si>
    <t>1460251640148</t>
  </si>
  <si>
    <t>Apple iPhone Xs Max 64GB - Space Gray - SUPER UNLIMITED</t>
  </si>
  <si>
    <t>Apple iPhone Xs Max  64GB Space Gray</t>
  </si>
  <si>
    <t>30 Mesi - Apple IPhone Xs Max 64GB - Space Gray</t>
  </si>
  <si>
    <t>000000000000010000</t>
  </si>
  <si>
    <t>Apple iPhone Xs Max 64GB - Space Gray - SUPER UNLIMITED_GSI</t>
  </si>
  <si>
    <t>1470093184842</t>
  </si>
  <si>
    <t>1370650635808</t>
  </si>
  <si>
    <t>KIT Mini ONT GPON Huawei HG8010H - MULTILINEA</t>
  </si>
  <si>
    <t>KIT Mini ONT GPON Huawei HG8010H - MULTILINEA_GSI</t>
  </si>
  <si>
    <t>1470093184872</t>
  </si>
  <si>
    <t>1373603748127</t>
  </si>
  <si>
    <t>Apple iPhone 8 Plus 256GB - Gold - SMARTSHARE</t>
  </si>
  <si>
    <t>Apple Iphone 7Plus 128GB WT RoseGold</t>
  </si>
  <si>
    <t>Apple IPhone 8 Plus 256GB - Gold</t>
  </si>
  <si>
    <t>000000000000008600</t>
  </si>
  <si>
    <t>Apple iPhone 8 Plus 256GB - Gold - SMARTSHARE_GSI</t>
  </si>
  <si>
    <t>1470098902482</t>
  </si>
  <si>
    <t>1468404993943</t>
  </si>
  <si>
    <t>Alcatel 1X 2019 - Black - SUPER UNLIMITED</t>
  </si>
  <si>
    <t>Tel.Cel Alcatel 1X 2019 black</t>
  </si>
  <si>
    <t>30 Mesi - Alcatel 1X 2019 - Black</t>
  </si>
  <si>
    <t>000000000000010452</t>
  </si>
  <si>
    <t>Alcatel 1X 2019 - Black - SUPER UNLIMITED_GSI</t>
  </si>
  <si>
    <t>1470105802982</t>
  </si>
  <si>
    <t>1339278899299</t>
  </si>
  <si>
    <t>Samsung Galaxy A5 - Black- BASIC</t>
  </si>
  <si>
    <t>Tel.Cel Samsung Galaxy A5 2017 Ed.black</t>
  </si>
  <si>
    <t>Samsung Galaxy A5 - Black</t>
  </si>
  <si>
    <t>000000000000008568</t>
  </si>
  <si>
    <t>Samsung Galaxy A5 - Black- BASIC_GSI</t>
  </si>
  <si>
    <t>1470102849352</t>
  </si>
  <si>
    <t>1467929743371</t>
  </si>
  <si>
    <t>Promo FS - Samsung Galaxy A40 - Black  - Smart Share Unlimited</t>
  </si>
  <si>
    <t>Promo FS - Samsung Galaxy A40 - Black  - Smart Share Unlimited_GSI</t>
  </si>
  <si>
    <t>1470090200132</t>
  </si>
  <si>
    <t>1182312764852</t>
  </si>
  <si>
    <t>LG G4 LEATHER BROWN AI RIC UNLI. PREMIUM. TOP MONDO</t>
  </si>
  <si>
    <t>Tel.Cel LG G4 32GB Leather brown</t>
  </si>
  <si>
    <t>LG G4</t>
  </si>
  <si>
    <t>000000000000007356</t>
  </si>
  <si>
    <t>LG G4 LEATHER BROWN AI RIC UNLI. PREMIUM. TOP MONDO_GSI</t>
  </si>
  <si>
    <t>1470090200032</t>
  </si>
  <si>
    <t>1373923137756</t>
  </si>
  <si>
    <t>Apple Iphone 7 Plus 32GB Silver - MYSHARE</t>
  </si>
  <si>
    <t>Apple Iphone 7 Plus 32GB WT silver</t>
  </si>
  <si>
    <t>Apple Iphone 7 Plus 32GB - Silver</t>
  </si>
  <si>
    <t>000000000000008553</t>
  </si>
  <si>
    <t>Apple Iphone 7 Plus 32GB Silver - MYSHARE_GSI</t>
  </si>
  <si>
    <t>1470096663782</t>
  </si>
  <si>
    <t>1448978801122</t>
  </si>
  <si>
    <t>Wind Tab 8 - Blue - ONLY GIGA - GIGABOOST</t>
  </si>
  <si>
    <t>Alcatel WIND Tab 8 blue</t>
  </si>
  <si>
    <t>30 Mesi - Wind Tab 8 - Blue</t>
  </si>
  <si>
    <t>000000000000010086</t>
  </si>
  <si>
    <t>Wind Tab 8 - Blue - ONLY GIGA - GIGABOOST_GSI</t>
  </si>
  <si>
    <t>1470100869332</t>
  </si>
  <si>
    <t>1308929824142</t>
  </si>
  <si>
    <t>Apple Iphone 7  32GB WT Choose Black - BASIC</t>
  </si>
  <si>
    <t>Apple Iphone 7 32 GB WT black</t>
  </si>
  <si>
    <t>Apple Iphone 7 32GB WT - Choose Black</t>
  </si>
  <si>
    <t>000000000000008554</t>
  </si>
  <si>
    <t>Apple Iphone 7  32GB WT Choose Black - BASIC_GSI</t>
  </si>
  <si>
    <t>1470098569602</t>
  </si>
  <si>
    <t>1464977658896</t>
  </si>
  <si>
    <t>Samsung Galaxy A50 - White - MYSHARE</t>
  </si>
  <si>
    <t>Tel.Cel Samsung Galaxy A50 white</t>
  </si>
  <si>
    <t>30 Mesi - Samsung Galaxy A50 - White</t>
  </si>
  <si>
    <t>000000000000010335</t>
  </si>
  <si>
    <t>Samsung Galaxy A50 - White - MYSHARE_GSI</t>
  </si>
  <si>
    <t>1470084111882</t>
  </si>
  <si>
    <t>1464993087149</t>
  </si>
  <si>
    <t>Samsung Galaxy A40 - Blue - MYUNLIMITED</t>
  </si>
  <si>
    <t>Samsung Galaxy A40 - Blue - MYUNLIMITED_GSI</t>
  </si>
  <si>
    <t>1470100487312</t>
  </si>
  <si>
    <t>1388104008164</t>
  </si>
  <si>
    <t>Promo Easy Sales - iPad Pro 10.5 Silver</t>
  </si>
  <si>
    <t>Apple IPAD PRO 10.5 256GB WT Silver</t>
  </si>
  <si>
    <t>Apple IPad Pro 10.5” 256 GB  - Silver</t>
  </si>
  <si>
    <t>000000000000009001</t>
  </si>
  <si>
    <t>Promo Easy Sales - iPad Pro 10.5 Silver_GSI</t>
  </si>
  <si>
    <t>1470096552462</t>
  </si>
  <si>
    <t>1344962840143</t>
  </si>
  <si>
    <t>Samsung Galaxy S7 Edge - Black -  AI BUS BIG</t>
  </si>
  <si>
    <t>Tel.Cel Samsung Galaxy S7 Edge black</t>
  </si>
  <si>
    <t>000000000000008058</t>
  </si>
  <si>
    <t>Samsung Galaxy S7 Edge - Black -  AI BUS BIG_GSI</t>
  </si>
  <si>
    <t>1470106989872</t>
  </si>
  <si>
    <t>1464972122519</t>
  </si>
  <si>
    <t>Huawei P30 Lite - Blue- SMARTSHARE</t>
  </si>
  <si>
    <t>Tel.Cel HUAWEI P30 LITE PEACOCK BLUE</t>
  </si>
  <si>
    <t>30 Mesi - Huawei P30 Lite - Blue</t>
  </si>
  <si>
    <t>000000000000010445</t>
  </si>
  <si>
    <t>Huawei P30 Lite - Blue- SMARTSHARE_GSI</t>
  </si>
  <si>
    <t>1470097786862</t>
  </si>
  <si>
    <t>1357672398222</t>
  </si>
  <si>
    <t>Wind Smart - Black- AI BUS BIG</t>
  </si>
  <si>
    <t>Wind Smart - Black- AI BUS BIG_GSI</t>
  </si>
  <si>
    <t>1470089968652</t>
  </si>
  <si>
    <t>1445979176391</t>
  </si>
  <si>
    <t>Nextivity Cel-Fi Pro RS3 - MYUNLIMITED</t>
  </si>
  <si>
    <t>Nextivity Cel-Fi Pro RS3</t>
  </si>
  <si>
    <t>Nextivity Cel-Fi Pro RS3 - MYUNLIMITED_GSI</t>
  </si>
  <si>
    <t>1470104206242</t>
  </si>
  <si>
    <t>1445871566198</t>
  </si>
  <si>
    <t>WebPocket 4G - Black - ONLY GIGA - GIGABOOST</t>
  </si>
  <si>
    <t>30 Mesi - WebPocket 4G - Black</t>
  </si>
  <si>
    <t>WebPocket 4G - Black - ONLY GIGA - GIGABOOST_GSI</t>
  </si>
  <si>
    <t>1470098569762</t>
  </si>
  <si>
    <t>1339278899114</t>
  </si>
  <si>
    <t>Huawei P10 Plus - Black -  UNLIMITED</t>
  </si>
  <si>
    <t>Tel.Cel Huawei P10 Plus Black</t>
  </si>
  <si>
    <t>Huawei P10 Plus - Black</t>
  </si>
  <si>
    <t>000000000000008697</t>
  </si>
  <si>
    <t>Huawei P10 Plus - Black -  UNLIMITED_GSI</t>
  </si>
  <si>
    <t>1470102931692</t>
  </si>
  <si>
    <t>1461270234156</t>
  </si>
  <si>
    <t>Huawei P30 Pro 128GB - Black - MYSHARE</t>
  </si>
  <si>
    <t>Huawei P30 Pro 128GB - Black - MYSHARE_GSI</t>
  </si>
  <si>
    <t>1470089298402</t>
  </si>
  <si>
    <t>1175195585448</t>
  </si>
  <si>
    <t>Samsung Gear S2 Classic Black AI RIC UNLI. PREMIUM. TOP MONDO</t>
  </si>
  <si>
    <t>Samsung Gear S2 Classic Black AI RIC UNLI. PREMIUM. TOP MONDO_GSI</t>
  </si>
  <si>
    <t>1470091296152</t>
  </si>
  <si>
    <t>1461260701763</t>
  </si>
  <si>
    <t>Apple iPad mini 64GB - Space Grey - SUPER GIGA 70</t>
  </si>
  <si>
    <t>Apple iPad 2019 Mini 64GB SpaceGray</t>
  </si>
  <si>
    <t>30 Mesi - Apple IPad Mini 64GB - Space Grey</t>
  </si>
  <si>
    <t>000000000000010467</t>
  </si>
  <si>
    <t>Apple iPad mini 64GB - Space Grey - SUPER GIGA 70_GSI</t>
  </si>
  <si>
    <t>1470089675982</t>
  </si>
  <si>
    <t>1457968862280</t>
  </si>
  <si>
    <t>Samsung Galaxy S10 512 GB - Black - SMARTSHARE UNLIMITED</t>
  </si>
  <si>
    <t>Samsung Galaxy S10 512 GB - Black - SMARTSHARE UNLIMITED_GSI</t>
  </si>
  <si>
    <t>1470090878932</t>
  </si>
  <si>
    <t>1457873328009</t>
  </si>
  <si>
    <t>1457873328092</t>
  </si>
  <si>
    <t>Samsung Galaxy S10 512 GB - White - MYSHARE 30-60</t>
  </si>
  <si>
    <t>Tel.Cel Samsung GalaxyS10 512GB PriWhite</t>
  </si>
  <si>
    <t>30 Mesi - Samsung Galaxy S10 512 GB - White</t>
  </si>
  <si>
    <t>000000000000010269</t>
  </si>
  <si>
    <t>Samsung Galaxy S10 512 GB - White - MYSHARE 30-60_GSI</t>
  </si>
  <si>
    <t>1470079837812</t>
  </si>
  <si>
    <t>1142615088996</t>
  </si>
  <si>
    <t>Blackberry Passport Limited Edition - All inclusive Aziende Ricaricabile Unlimited</t>
  </si>
  <si>
    <t>KIT Blackberry Passport +Voucher spec.Ed</t>
  </si>
  <si>
    <t>Blackberry Passport Limited Edition</t>
  </si>
  <si>
    <t>000000000000007246</t>
  </si>
  <si>
    <t>Blackberry Passport Limited Edition - All inclusive Aziende Ricaricabile Unlimited_GSI</t>
  </si>
  <si>
    <t>1470090878982</t>
  </si>
  <si>
    <t>1457888371222</t>
  </si>
  <si>
    <t>Samsung Galaxy S10+ 128 GB - White - MYSHARE 30-60</t>
  </si>
  <si>
    <t>Samsung Galaxy S10+ 128 GB - White - MYSHARE 30-60_GSI</t>
  </si>
  <si>
    <t>1470090704192</t>
  </si>
  <si>
    <t>1469091538789</t>
  </si>
  <si>
    <t>1445571272086</t>
  </si>
  <si>
    <t>Samsung Galaxy Note 9 - Black - MYSHARE 30-60</t>
  </si>
  <si>
    <t>Tel.Cel Samsung Galaxy Note9 black</t>
  </si>
  <si>
    <t>30 Mesi - Samsung Galaxy Note 9 - Black</t>
  </si>
  <si>
    <t>000000000000009886</t>
  </si>
  <si>
    <t>Samsung Galaxy Note 9 - Black - MYSHARE 30-60_GSI</t>
  </si>
  <si>
    <t>1470104143922</t>
  </si>
  <si>
    <t>1445885015770</t>
  </si>
  <si>
    <t>Huawei Mate 20 Lite - Gold - MYSHARE</t>
  </si>
  <si>
    <t>Huawei Mate 20 Lite - Gold - MYSHARE_GSI</t>
  </si>
  <si>
    <t>1470090914602</t>
  </si>
  <si>
    <t>1464974112069</t>
  </si>
  <si>
    <t>Huawei P20 PRO Limited edition - Blue- MYSHARE 5-15</t>
  </si>
  <si>
    <t>Huawei P20 PRO Limited edition - Blue- MYSHARE 5-15_GSI</t>
  </si>
  <si>
    <t>1470099099192</t>
  </si>
  <si>
    <t>1468275154014</t>
  </si>
  <si>
    <t>Huawei Y5 2019 - Black - SUPER UNLIMITED</t>
  </si>
  <si>
    <t>Huawei Y5 2019 - Black - SUPER UNLIMITED_GSI</t>
  </si>
  <si>
    <t>1470104790452</t>
  </si>
  <si>
    <t>1457891013403</t>
  </si>
  <si>
    <t>Samsung Galaxy S10e 128 GB - Black - MYSHARE 30-60</t>
  </si>
  <si>
    <t>Tel.Cel Samsung GalaxyS10e128GB PriBlack</t>
  </si>
  <si>
    <t>30 Mesi - Samsung Galaxy S10e 128 GB - Black</t>
  </si>
  <si>
    <t>000000000000010237</t>
  </si>
  <si>
    <t>Samsung Galaxy S10e 128 GB - Black - MYSHARE 30-60_GSI</t>
  </si>
  <si>
    <t>1470095336382</t>
  </si>
  <si>
    <t>1344622578060</t>
  </si>
  <si>
    <t>Samsung Galaxy S8 - Black -  UNLIMITED</t>
  </si>
  <si>
    <t>Samsung Galaxy S8 - Black -  UNLIMITED_GSI</t>
  </si>
  <si>
    <t>1470109949092</t>
  </si>
  <si>
    <t>1467940020781</t>
  </si>
  <si>
    <t>Alcatel 1X 2019 - Blue -  SMARTSHARE</t>
  </si>
  <si>
    <t>Tel.Cel Alcatel 1X 2019 blue</t>
  </si>
  <si>
    <t>30 Mesi - Alcatel 1X 2019 - Blue</t>
  </si>
  <si>
    <t>000000000000010453</t>
  </si>
  <si>
    <t>Alcatel 1X 2019 - Blue -  SMARTSHARE_GSI</t>
  </si>
  <si>
    <t>1470098878342</t>
  </si>
  <si>
    <t>1445881318915</t>
  </si>
  <si>
    <t>Apple iPhone Xs Max 256GB - Space Gray - MYUNLIMITED</t>
  </si>
  <si>
    <t>Apple iPhone Xs Max 256GB - Gold - MYUNLIMITED_GSI</t>
  </si>
  <si>
    <t>1470102849322</t>
  </si>
  <si>
    <t>1445879579238</t>
  </si>
  <si>
    <t>Apple iPhone Xs Max 256GB - Gold - SMARTSHARE UNLIMITED_GSI</t>
  </si>
  <si>
    <t>1470108124472</t>
  </si>
  <si>
    <t>1464977658799</t>
  </si>
  <si>
    <t>Samsung Galaxy A50 - Blue - SMARTSHARE</t>
  </si>
  <si>
    <t>Samsung Galaxy A50 - Blue - SMARTSHARE_GSI</t>
  </si>
  <si>
    <t>1470098916752</t>
  </si>
  <si>
    <t>1445885015452</t>
  </si>
  <si>
    <t>Apple iPhone Xr 64GB - White - MYUNLIMITED</t>
  </si>
  <si>
    <t>Apple iPhone Xr 64GB White</t>
  </si>
  <si>
    <t>30 Mesi - Apple IPhone Xr 64GB - White</t>
  </si>
  <si>
    <t>000000000000010092</t>
  </si>
  <si>
    <t>Apple iPhone Xr 64GB - White - MYUNLIMITED_GSI</t>
  </si>
  <si>
    <t>1470108216582</t>
  </si>
  <si>
    <t>1344962839958</t>
  </si>
  <si>
    <t>Samsung Galaxy S8 - Silver - AI BUS BIG</t>
  </si>
  <si>
    <t>Samsung Galaxy S8 - Silver - AI BUS BIG_GSI</t>
  </si>
  <si>
    <t>1470108216632</t>
  </si>
  <si>
    <t>1460310736360</t>
  </si>
  <si>
    <t>Apple iPad Pro 11 - 256GB - Silver - SUPER GIGA 70</t>
  </si>
  <si>
    <t>Apple IPAD PRO 11  256GB Silver</t>
  </si>
  <si>
    <t>30 Mesi - Apple IPad Pro 11 - 256GB - Silver</t>
  </si>
  <si>
    <t>000000000000010195</t>
  </si>
  <si>
    <t>Apple iPad Pro 11 - 256GB - Silver - SUPER GIGA 70_GSI</t>
  </si>
  <si>
    <t>1470095583042</t>
  </si>
  <si>
    <t>1464971715971</t>
  </si>
  <si>
    <t>Nextify cel-fi PRO RS3 - SUPER UNLIMITED</t>
  </si>
  <si>
    <t>Nextify cel-fi PRO RS3 - SUPER UNLIMITED_GSI</t>
  </si>
  <si>
    <t>1470097789452</t>
  </si>
  <si>
    <t>1461143569113</t>
  </si>
  <si>
    <t>Huawei Mate 20 Pro - Black - MYSHARE 5-15</t>
  </si>
  <si>
    <t>Tel.Cel Huawei Mate 20 Pro black</t>
  </si>
  <si>
    <t>30 Mesi - Huawei Mate 20 Pro - Black</t>
  </si>
  <si>
    <t>000000000000009951</t>
  </si>
  <si>
    <t>Huawei Mate 20 Pro - Black - MYSHARE 5-15_GSI</t>
  </si>
  <si>
    <t>1470090914332</t>
  </si>
  <si>
    <t>1357240226962</t>
  </si>
  <si>
    <t>Wind Smart 2017- Black- MYSHARE</t>
  </si>
  <si>
    <t>Wind Smart 2017- Black- MYSHARE_GSI</t>
  </si>
  <si>
    <t>1470096663772</t>
  </si>
  <si>
    <t>1468275154020</t>
  </si>
  <si>
    <t>Huawei Y52019 - Blue SUPER UNLIMITED</t>
  </si>
  <si>
    <t>Tel.Cel Huawei Y5 2019 Blue</t>
  </si>
  <si>
    <t>30 Mesi - Huawei Y5 2019 - Blue</t>
  </si>
  <si>
    <t>000000000000010471</t>
  </si>
  <si>
    <t>Huawei Y52019 - Blue SUPER UNLIMITED_GSI</t>
  </si>
  <si>
    <t>1470102589352</t>
  </si>
  <si>
    <t>1445864831270</t>
  </si>
  <si>
    <t>Kit Giga Smart Share Wi-Fi ZYXEL 4G - White  - ONLY GIGA - 10 GIGA</t>
  </si>
  <si>
    <t>Kit GigaSmartShare Wi-Fi ZYXEL 4G Mar18</t>
  </si>
  <si>
    <t>30 Mesi - Kit Giga Smart Share Wi-Fi ZYXEL 4G - White</t>
  </si>
  <si>
    <t>000000000000009704</t>
  </si>
  <si>
    <t>Kit Giga Smart Share Wi-Fi ZYXEL 4G - White  - ONLY GIGA - 10 GIGA_GSI</t>
  </si>
  <si>
    <t>1470098853242</t>
  </si>
  <si>
    <t>1461270234729</t>
  </si>
  <si>
    <t>Tel.Cel Huawei Elle Black</t>
  </si>
  <si>
    <t>30 Mesi - Huawei P30 - Black</t>
  </si>
  <si>
    <t>000000000000010287</t>
  </si>
  <si>
    <t>1461052648728</t>
  </si>
  <si>
    <t>Huawei Mate 20 Pro LIMITED EDITION  - Black - SUPER UNLIMITED</t>
  </si>
  <si>
    <t>Huawei Mate 20 Pro LIMITED EDITION  - Black - SUPER UNLIMITED_GSI</t>
  </si>
  <si>
    <t>1470093277052</t>
  </si>
  <si>
    <t>1464981301648</t>
  </si>
  <si>
    <t>Samsung Galaxy A40 - Blue  - SMARTSHARE</t>
  </si>
  <si>
    <t>Samsung Galaxy A40 - Blue  - SMARTSHARE_GSI</t>
  </si>
  <si>
    <t>1470095532522</t>
  </si>
  <si>
    <t>1460294896523</t>
  </si>
  <si>
    <t>Apple iPhone Xr 128GB - Black - SUPER UNLIMITED</t>
  </si>
  <si>
    <t>Apple iPhone  Xr 128GB Black</t>
  </si>
  <si>
    <t>30 Mesi - Apple IPhone Xr 128GB - Black</t>
  </si>
  <si>
    <t>000000000000010097</t>
  </si>
  <si>
    <t>Apple iPhone Xr 128GB - Black - SUPER UNLIMITED_GSI</t>
  </si>
  <si>
    <t>1470093252992</t>
  </si>
  <si>
    <t>1467612860692</t>
  </si>
  <si>
    <t>Promo FS - Samsung Galaxy A50 - Black - Smart Share Unlimited</t>
  </si>
  <si>
    <t>Tel.Cel Samsung Galaxy A50 black</t>
  </si>
  <si>
    <t>30 Mesi - Samsung Galaxy A50 - Black</t>
  </si>
  <si>
    <t>000000000000010333</t>
  </si>
  <si>
    <t>Promo FS - Samsung Galaxy A50 - Black - Smart Share Unlimited_GSI</t>
  </si>
  <si>
    <t>1470093934492</t>
  </si>
  <si>
    <t>1460288455391</t>
  </si>
  <si>
    <t>Apple iPhone Xr 256GB - Blue - SUPER UNLIMITED</t>
  </si>
  <si>
    <t>Apple  iPhone Xr 256GB Blue</t>
  </si>
  <si>
    <t>30 Mesi - Apple IPhone Xr 256GB - Blue</t>
  </si>
  <si>
    <t>000000000000010105</t>
  </si>
  <si>
    <t>Apple iPhone Xr 256GB - Blue - SUPER UNLIMITED_GSI</t>
  </si>
  <si>
    <t>1470092053592</t>
  </si>
  <si>
    <t>1469147838803</t>
  </si>
  <si>
    <t>Promo FS - Samsung Galaxy S10e 128 GB - White  – PT  Smart Share 500</t>
  </si>
  <si>
    <t>Tel.Cel SamsungGalaxyS10e128GB PriWhite</t>
  </si>
  <si>
    <t>30 Mesi - Samsung Galaxy S10e 128 GB - White</t>
  </si>
  <si>
    <t>000000000000010238</t>
  </si>
  <si>
    <t>Promo FS - Samsung Galaxy S10e 128 GB - White  – PT  Smart Share 500_GSI</t>
  </si>
  <si>
    <t>1470090879682</t>
  </si>
  <si>
    <t>1441912735599</t>
  </si>
  <si>
    <t>Alcatel IP2215 IP DECT Base e Cordless - WSO SMALL, WSO LARGE</t>
  </si>
  <si>
    <t>Alcatel IP2215 IP DECT Base e Cordless</t>
  </si>
  <si>
    <t>IP Phone</t>
  </si>
  <si>
    <t>000000000000010038</t>
  </si>
  <si>
    <t>Alcatel IP2215 IP DECT Base e Cordless - WSO SMALL, WSO LARGE_GSI</t>
  </si>
  <si>
    <t>1470097249742</t>
  </si>
  <si>
    <t>1339561658367</t>
  </si>
  <si>
    <t>Samsung Galaxy A5  - Black - AI RIC UNLI. PREMIUM. TOP MONDO</t>
  </si>
  <si>
    <t>Samsung Galaxy A5  - Black - AI RIC UNLI. PREMIUM. TOP MONDO_GSI</t>
  </si>
  <si>
    <t>1470095532582</t>
  </si>
  <si>
    <t>1344622578130</t>
  </si>
  <si>
    <t>Samsung Galaxy S7 Edge - Black -  BASIC</t>
  </si>
  <si>
    <t>Samsung Galaxy S7 Edge - Black -  BASIC_GSI</t>
  </si>
  <si>
    <t>1470111525902</t>
  </si>
  <si>
    <t>1461232932620</t>
  </si>
  <si>
    <t>Huawei Mate 20 Pro - Blue - MYUNLIMITED 30</t>
  </si>
  <si>
    <t>Tel.Cel Huawei Mate 20  Pro blu</t>
  </si>
  <si>
    <t>30 Mesi - Huawei Mate 20 Pro - Blue</t>
  </si>
  <si>
    <t>000000000000009952</t>
  </si>
  <si>
    <t>Huawei Mate 20 Pro - Blue - MYUNLIMITED 30_GSI</t>
  </si>
  <si>
    <t>1470093571912</t>
  </si>
  <si>
    <t>1457893502331</t>
  </si>
  <si>
    <t>Samsung Galaxy S10+ 128 GB - Black - MYUNLIMITED 30</t>
  </si>
  <si>
    <t>Samsung Galaxy S10+ 128 GB - Black - MYUNLIMITED 30_GSI</t>
  </si>
  <si>
    <t>1470097488752</t>
  </si>
  <si>
    <t>1356744445732</t>
  </si>
  <si>
    <t>IAD WiFi AC FTTH NOKIA G-240W – B - Black - ALL INCLUSIVE BUSINESS FTTH, ABSOLUTE BUSINESS FTTH</t>
  </si>
  <si>
    <t>IAD WiFi AC FTTH NOKIA G-240W – B - Black - ALL INCLUSIVE BUSINESS FTTH, ABSOLUTE BUSINESS FTTH_GSI</t>
  </si>
  <si>
    <t>1470111155972</t>
  </si>
  <si>
    <t>1339278898981</t>
  </si>
  <si>
    <t>Samsung Galaxy S8 Plus - Black -  BASIC</t>
  </si>
  <si>
    <t>Tel.Cel Samsung Galaxy S8+ MidnightBlack</t>
  </si>
  <si>
    <t>Samsung Galaxy S8 Plus - Black</t>
  </si>
  <si>
    <t>000000000000008706</t>
  </si>
  <si>
    <t>Samsung Galaxy S8 Plus - Black -  BASIC_GSI</t>
  </si>
  <si>
    <t>1470103014022</t>
  </si>
  <si>
    <t>1468284504626</t>
  </si>
  <si>
    <t>Promo Canone 100% - Migrazione - D-Link DVA-5592 FTTH Nokia</t>
  </si>
  <si>
    <t>KIT SME IAD  D-Link DVA-5592 FW new</t>
  </si>
  <si>
    <t>000000000000009833</t>
  </si>
  <si>
    <t>Promo Canone 100% - Migrazione - D-Link DVA-5592 FTTH Nokia_GSI</t>
  </si>
  <si>
    <t>1470103014622</t>
  </si>
  <si>
    <t>1467221049272</t>
  </si>
  <si>
    <t>Promo CC - Huawei Y6 2019 Black – SMARTSHARE 500</t>
  </si>
  <si>
    <t>Promo CC - Huawei Y6 2019 Black – SMARTSHARE 500_GSI</t>
  </si>
  <si>
    <t>1470094037182</t>
  </si>
  <si>
    <t>1460307928478</t>
  </si>
  <si>
    <t>Apple iPhone 8 64GB - Space gray - SUPER UNLIMITED</t>
  </si>
  <si>
    <t>Apple IPhone  8 64GB Space Grey</t>
  </si>
  <si>
    <t>Apple iPhone 8 64GB - Space gray - SUPER UNLIMITED_GSI</t>
  </si>
  <si>
    <t>1470089968542</t>
  </si>
  <si>
    <t>1445971967368</t>
  </si>
  <si>
    <t>Huawei Mate 20 Lite - Black -  MYUNLIMITED</t>
  </si>
  <si>
    <t>Huawei Mate 20 Lite - Black -  MYUNLIMITED_GSI</t>
  </si>
  <si>
    <t>1470107854072</t>
  </si>
  <si>
    <t>1445428242174</t>
  </si>
  <si>
    <t>Apple iPhone Xs Max 64GB - Gold - MYSHARE</t>
  </si>
  <si>
    <t>Apple iPhone Xs Max 64GB Gold</t>
  </si>
  <si>
    <t>30 Mesi - Apple IPhone Xs Max 64GB - Gold</t>
  </si>
  <si>
    <t>000000000000010002</t>
  </si>
  <si>
    <t>Apple iPhone Xs Max 64GB - Gold - MYSHARE_GSI</t>
  </si>
  <si>
    <t>1470106989062</t>
  </si>
  <si>
    <t>1457968862350</t>
  </si>
  <si>
    <t>Samsung Galaxy S10 128 GB - White - SMARTSHARE UNLIMITED</t>
  </si>
  <si>
    <t>Tel.Cel Samsung GalaxyS10 128GB PriWhite</t>
  </si>
  <si>
    <t>30 Mesi - Samsung Galaxy S10 128 GB - White</t>
  </si>
  <si>
    <t>000000000000010242</t>
  </si>
  <si>
    <t>Samsung Galaxy S10 128 GB - White - SMARTSHARE UNLIMITED_GSI</t>
  </si>
  <si>
    <t>1470096582482</t>
  </si>
  <si>
    <t>1457968862412</t>
  </si>
  <si>
    <t>1470099099122</t>
  </si>
  <si>
    <t>1339576703929</t>
  </si>
  <si>
    <t>Samsung Galaxy A5 - Blue - AI BUS UNLI. PREMIUM. TOP MONDO</t>
  </si>
  <si>
    <t>Tel.Cel Samsung GalaxyA5 2017Ed.bluemist</t>
  </si>
  <si>
    <t>Samsung Galaxy A5 - Blue</t>
  </si>
  <si>
    <t>000000000000008570</t>
  </si>
  <si>
    <t>Samsung Galaxy A5 - Blue - AI BUS UNLI. PREMIUM. TOP MONDO_GSI</t>
  </si>
  <si>
    <t>1470094028502</t>
  </si>
  <si>
    <t>1461143569107</t>
  </si>
  <si>
    <t>Huawei Mate 20 Pro - Blue - SMARTSHARE UNLIMITED</t>
  </si>
  <si>
    <t>Huawei Mate 20 Pro - Blue - SMARTSHARE UNLIMITED_GSI</t>
  </si>
  <si>
    <t>1470092151852</t>
  </si>
  <si>
    <t>1468701834819</t>
  </si>
  <si>
    <t>Promo FS - Apple iPhone Xs 64GB - Space Gray  - Super Unlimited</t>
  </si>
  <si>
    <t>Apple iPhone  Xs  64GB Space Gray</t>
  </si>
  <si>
    <t>30 Mesi - Apple IPhone Xs 64GB - Space Gray</t>
  </si>
  <si>
    <t>000000000000009991</t>
  </si>
  <si>
    <t>Promo FS - Apple iPhone Xs 64GB - Space Gray  - Super Unlimited_GSI</t>
  </si>
  <si>
    <t>1470095532292</t>
  </si>
  <si>
    <t>1445571271955</t>
  </si>
  <si>
    <t>Apple iPhone X 64GB - Space gray - SMARTSHARE UNLIMITED</t>
  </si>
  <si>
    <t>Apple I Phone X 64GB Space Grey</t>
  </si>
  <si>
    <t>30 Mesi - Apple IPhone X 64GB - Space Gray</t>
  </si>
  <si>
    <t>000000000000009179</t>
  </si>
  <si>
    <t>Apple iPhone X 64GB - Space gray - SMARTSHARE UNLIMITED_GSI</t>
  </si>
  <si>
    <t>1470104114062</t>
  </si>
  <si>
    <t>1169489451447</t>
  </si>
  <si>
    <t>Wi-Fi Mobile ZTE MF90 Plus 4G Ready - Internet 10 GB</t>
  </si>
  <si>
    <t>KIT K-MODEM Wi-Fi ZTE MF90+4GReady Corp</t>
  </si>
  <si>
    <t>Wi-Fi ZTE MF90+ 4G Ready</t>
  </si>
  <si>
    <t>000000000000007210</t>
  </si>
  <si>
    <t>Wi-Fi Mobile ZTE MF90 Plus 4G Ready - Internet 10 GB_GSI</t>
  </si>
  <si>
    <t>1470090049392</t>
  </si>
  <si>
    <t>1460307928504</t>
  </si>
  <si>
    <t>Apple iPhone 8 64GB - Silver - SUPER UNLIMITED</t>
  </si>
  <si>
    <t>Apple IPhone 8  64GB Silver</t>
  </si>
  <si>
    <t>30 Mesi - Apple IPhone 8 64GB - Silver</t>
  </si>
  <si>
    <t>000000000000009185</t>
  </si>
  <si>
    <t>Apple iPhone 8 64GB - Silver - SUPER UNLIMITED_GSI</t>
  </si>
  <si>
    <t>1470090049502</t>
  </si>
  <si>
    <t>1388104008169</t>
  </si>
  <si>
    <t>Promo Easy Sales - iPad 128 GB Space Grey</t>
  </si>
  <si>
    <t>Apple IPAD 128GB WT Space Gray</t>
  </si>
  <si>
    <t>Apple IPad 128 GB - Space Grey</t>
  </si>
  <si>
    <t>000000000000008878</t>
  </si>
  <si>
    <t>Promo Easy Sales - iPad 128 GB Space Grey_GSI</t>
  </si>
  <si>
    <t>1470094028192</t>
  </si>
  <si>
    <t>1460310736171</t>
  </si>
  <si>
    <t>Huawei P20 PRO (Limited edition) - Black - SUPER UNLIMITED</t>
  </si>
  <si>
    <t>KIT Huawei P20 Pro Black Limited Edition</t>
  </si>
  <si>
    <t>30 Mesi - Huawei P20 PRO - Limited Edition - Black</t>
  </si>
  <si>
    <t>000000000000010458</t>
  </si>
  <si>
    <t>Huawei P20 PRO (Limited edition) - Black - SUPER UNLIMITED_GSI</t>
  </si>
  <si>
    <t>1470095532142</t>
  </si>
  <si>
    <t>1461270234768</t>
  </si>
  <si>
    <t>Apple iPad mini 64GB - Silver - ONLY GIGA - GIGABOOST</t>
  </si>
  <si>
    <t>Apple iPad 2019 Mini 64GB Silver</t>
  </si>
  <si>
    <t>30 Mesi - Apple IPad Mini 64GB - Silver</t>
  </si>
  <si>
    <t>000000000000010468</t>
  </si>
  <si>
    <t>Apple iPad mini 64GB - Silver - ONLY GIGA - GIGABOOST_GSI</t>
  </si>
  <si>
    <t>1470096067632</t>
  </si>
  <si>
    <t>1344973744939</t>
  </si>
  <si>
    <t>Samsung Galaxy S7 - Black - AI BUS UNLI. PREMIUM. TOP MONDO</t>
  </si>
  <si>
    <t>Samsung Galaxy S7 - Black - AI BUS UNLI. PREMIUM. TOP MONDO_GSI</t>
  </si>
  <si>
    <t>1470109721222</t>
  </si>
  <si>
    <t>1460251640124</t>
  </si>
  <si>
    <t>Apple iPhone Xs Max 256GB - Gold - SUPER UNLIMITED</t>
  </si>
  <si>
    <t>Apple  iPhone Xs Max 256GB Gold</t>
  </si>
  <si>
    <t>30 Mesi - Apple IPhone Xs Max 256GB - Gold</t>
  </si>
  <si>
    <t>000000000000010005</t>
  </si>
  <si>
    <t>Apple iPhone Xs Max 256GB - Gold - SUPER UNLIMITED_GSI</t>
  </si>
  <si>
    <t>1470095336432</t>
  </si>
  <si>
    <t>1468284504622</t>
  </si>
  <si>
    <t>Promo Canone 100% - Migrazione -D-Link DVA-5592 FTTH Huawei</t>
  </si>
  <si>
    <t>Apparati Wind Bus FTTH Huawei</t>
  </si>
  <si>
    <t>Promo Canone 100% - Migrazione -D-Link DVA-5592 FTTH Huawei_GSI</t>
  </si>
  <si>
    <t>1470104432222</t>
  </si>
  <si>
    <t>1447594806465</t>
  </si>
  <si>
    <t>Apple Iphone 6S 32GB - Silver - MYSHARE - SMARTSHARE</t>
  </si>
  <si>
    <t>Apple IPhone 6s 32 GB silver</t>
  </si>
  <si>
    <t>30 Mesi - Apple Iphone 6S 32GB - Silver</t>
  </si>
  <si>
    <t>000000000000008445</t>
  </si>
  <si>
    <t>Apple Iphone 6S 32GB - Silver - MYSHARE - SMARTSHARE_GSI</t>
  </si>
  <si>
    <t>1470104432802</t>
  </si>
  <si>
    <t>1344622578178</t>
  </si>
  <si>
    <t>Samsung Galaxy S7 - Black - BASIC</t>
  </si>
  <si>
    <t>Samsung Galaxy S7 - Black - BASIC_GSI</t>
  </si>
  <si>
    <t>1470109949112</t>
  </si>
  <si>
    <t>1344962839944</t>
  </si>
  <si>
    <t>Samsung Galaxy S8 - Black - AI BUS BIG</t>
  </si>
  <si>
    <t>Samsung Galaxy S8 - Black - AI BUS BIG_GSI</t>
  </si>
  <si>
    <t>1470108216622</t>
  </si>
  <si>
    <t>1460322317390</t>
  </si>
  <si>
    <t>Apple iPad32GB - Silver - SUPER GIGA 30</t>
  </si>
  <si>
    <t>Apple iPad New  9.7 32GB Silver</t>
  </si>
  <si>
    <t>30 Mesi - Apple IPad32GB - Silver</t>
  </si>
  <si>
    <t>000000000000009734</t>
  </si>
  <si>
    <t>Apple iPad32GB - Silver - SUPER GIGA 30_GSI</t>
  </si>
  <si>
    <t>1470096552182</t>
  </si>
  <si>
    <t>1464977658416</t>
  </si>
  <si>
    <t>Samsung Galaxy A50 - Black - SMARTSHARE</t>
  </si>
  <si>
    <t>Samsung Galaxy A50 - Black - SMARTSHARE_GSI</t>
  </si>
  <si>
    <t>1470096582682</t>
  </si>
  <si>
    <t>1339576703895</t>
  </si>
  <si>
    <t>Samsung Galaxy A5 - Black- AI BUS BIG</t>
  </si>
  <si>
    <t>Samsung Galaxy A5 - Black- AI BUS BIG_GSI</t>
  </si>
  <si>
    <t>1470099099892</t>
  </si>
  <si>
    <t>1445589093486</t>
  </si>
  <si>
    <t>Apple iPhone Xr 128GB - Blue - MYSHARE</t>
  </si>
  <si>
    <t>Apple iPhone Xr 128GB Blue</t>
  </si>
  <si>
    <t>30 Mesi - Apple IPhone Xr 128GB - Blue</t>
  </si>
  <si>
    <t>000000000000010099</t>
  </si>
  <si>
    <t>Apple iPhone Xr 128GB - Blue - MYSHARE_GSI</t>
  </si>
  <si>
    <t>1470105543922</t>
  </si>
  <si>
    <t>1445428242223</t>
  </si>
  <si>
    <t>Apple iPhone Xs 64GB - Space Gray - SMARTSHARE UNLIMITED</t>
  </si>
  <si>
    <t>Apple iPhone Xs 64GB Space Gray</t>
  </si>
  <si>
    <t>Apple iPhone Xs 64GB - Space Gray - SMARTSHARE UNLIMITED_GSI</t>
  </si>
  <si>
    <t>1470102475812</t>
  </si>
  <si>
    <t>1467857076573</t>
  </si>
  <si>
    <t>Promo FS - Apple iPhone Xs 64GB - Space Gray - Super Unlimited</t>
  </si>
  <si>
    <t>Promo FS - Apple iPhone Xs 64GB - Space Gray - Super Unlimited_GSI</t>
  </si>
  <si>
    <t>1470094028042</t>
  </si>
  <si>
    <t>1457968862437</t>
  </si>
  <si>
    <t>Samsung Galaxy S10e 128 GB - White - MYUNLIMITED 30</t>
  </si>
  <si>
    <t>Tel.Cel Samsung GalaxyS10e128GB PriWhite</t>
  </si>
  <si>
    <t>Samsung Galaxy S10e 128 GB - White - MYUNLIMITED 30_GSI</t>
  </si>
  <si>
    <t>1470081855402</t>
  </si>
  <si>
    <t>1457893502371</t>
  </si>
  <si>
    <t>1468499426947</t>
  </si>
  <si>
    <t>Promo FS - HUAWEI P20 LITE - sconto 100%ET&amp;Rata&amp;MaxiRata - Smart Share 500</t>
  </si>
  <si>
    <t>Promo FS - HUAWEI P20 LITE - sconto 100%ET&amp;Rata&amp;MaxiRata - Smart Share 500_GSI</t>
  </si>
  <si>
    <t>1470098853182</t>
  </si>
  <si>
    <t>1457968862407</t>
  </si>
  <si>
    <t>Samsung Galaxy S10+ 128 GB - White - MYUNLIMITED 30</t>
  </si>
  <si>
    <t>Samsung Galaxy S10+ 128 GB - White - MYUNLIMITED 30_GSI</t>
  </si>
  <si>
    <t>1470098853222</t>
  </si>
  <si>
    <t>1461232932614</t>
  </si>
  <si>
    <t>Huawei Mate 20 Pro - Blue - MYUNLIMITED 15</t>
  </si>
  <si>
    <t>Huawei Mate 20 Pro - Blue - MYUNLIMITED 15_GSI</t>
  </si>
  <si>
    <t>1470091039662</t>
  </si>
  <si>
    <t>1468961318445</t>
  </si>
  <si>
    <t>Promo FS - Wind Tab 10 - White - SMARTSHARE 500</t>
  </si>
  <si>
    <t>Alcatel Tab A3 10'' white</t>
  </si>
  <si>
    <t>Promo FS - Wind Tab 10 - White - SMARTSHARE 500_GSI</t>
  </si>
  <si>
    <t>1470097788912</t>
  </si>
  <si>
    <t>1438497589644</t>
  </si>
  <si>
    <t>Promo Canone 100% - D-Link DVA-5592 Office Data FTTC</t>
  </si>
  <si>
    <t>IAD VoIP WiFi SME D-Link DVA-5592</t>
  </si>
  <si>
    <t>Apparati Office Data FTTC</t>
  </si>
  <si>
    <t>000000000000009832</t>
  </si>
  <si>
    <t>Promo Canone 100% - D-Link DVA-5592 Office Data FTTC_GSI</t>
  </si>
  <si>
    <t>1470089947262</t>
  </si>
  <si>
    <t>1466593896232</t>
  </si>
  <si>
    <t>Promo CC - Huawei Y6 2019 Black - My Share Unlimited - My Unlimited</t>
  </si>
  <si>
    <t>Promo CC - Huawei Y6 2019 Black - My Share Unlimited - My Unlimited_GSI</t>
  </si>
  <si>
    <t>1470094216912</t>
  </si>
  <si>
    <t>1461143569149</t>
  </si>
  <si>
    <t>Huawei Mate 20 Pro - Black - SMARTSHARE UNLIMITED</t>
  </si>
  <si>
    <t>Huawei Mate 20 Pro - Black - SMARTSHARE UNLIMITED_GSI</t>
  </si>
  <si>
    <t>1470083455662</t>
  </si>
  <si>
    <t>1464987690081</t>
  </si>
  <si>
    <t>Huawei P20 PRO limited edition - MYUNLIMITED 30</t>
  </si>
  <si>
    <t>Huawei P20 PRO limited edition - MYUNLIMITED 30_GSI</t>
  </si>
  <si>
    <t>1470100784982</t>
  </si>
  <si>
    <t>1464968971071</t>
  </si>
  <si>
    <t>Huawei P30 Lite - White – MYSHARE</t>
  </si>
  <si>
    <t>Huawei P30 Lite - White – MYSHARE_GSI</t>
  </si>
  <si>
    <t>1470098878212</t>
  </si>
  <si>
    <t>1457968862307</t>
  </si>
  <si>
    <t>Samsung Galaxy S10+ 128 GB - Black - MYSHARE 30-60</t>
  </si>
  <si>
    <t>Samsung Galaxy S10+ 128 GB - Black - MYSHARE 30-60_GSI</t>
  </si>
  <si>
    <t>1470089839832</t>
  </si>
  <si>
    <t>1457873328152</t>
  </si>
  <si>
    <t>1445426443008</t>
  </si>
  <si>
    <t>Apple iPhone Xs Max 64GB - Space Gray - MYSHARE</t>
  </si>
  <si>
    <t>Apple iPhone Xs Max 64GB Space Gray</t>
  </si>
  <si>
    <t>Apple iPhone Xs Max 64GB - Space Gray - MYSHARE_GSI</t>
  </si>
  <si>
    <t>1470100487672</t>
  </si>
  <si>
    <t>1445885015046</t>
  </si>
  <si>
    <t>Samsung Galaxy Note 9 - Black - MYUNLIMITED 15</t>
  </si>
  <si>
    <t>Samsung Galaxy Note 9 - Black - MYUNLIMITED 15_GSI</t>
  </si>
  <si>
    <t>1470103858562</t>
  </si>
  <si>
    <t>1449543668562</t>
  </si>
  <si>
    <t>Promo FS - Nextivity Cel-Fi Pro RS3 - sconto 100% ET&amp;Rata&amp;MaxiRata - Smart Share Unlimited</t>
  </si>
  <si>
    <t>Promo FS - Nextivity Cel-Fi Pro RS3 - sconto 100% ET&amp;Rata&amp;MaxiRata - Smart Share Unlimited_GSI</t>
  </si>
  <si>
    <t>1470096552492</t>
  </si>
  <si>
    <t>1339576703951</t>
  </si>
  <si>
    <t>Samsung Galaxy A3 - Gold - AI BUS BIG</t>
  </si>
  <si>
    <t>Tel.Cel Samsung Galaxy A3 2017 Ed.gold</t>
  </si>
  <si>
    <t>Samsung Galaxy A3 - Gold</t>
  </si>
  <si>
    <t>000000000000008572</t>
  </si>
  <si>
    <t>Samsung Galaxy A3 - Gold - AI BUS BIG_GSI</t>
  </si>
  <si>
    <t>1470101963522</t>
  </si>
  <si>
    <t>1445603158071</t>
  </si>
  <si>
    <t>Huawei P20 PRO - Black - MYSHARE 30-60</t>
  </si>
  <si>
    <t>Tel.Cel Huawei P20 Pro black</t>
  </si>
  <si>
    <t>30 Mesi - Huawei P20 PRO - Black</t>
  </si>
  <si>
    <t>000000000000009629</t>
  </si>
  <si>
    <t>Huawei P20 PRO - Black - MYSHARE 30-60_GSI</t>
  </si>
  <si>
    <t>1470090914572</t>
  </si>
  <si>
    <t>1464974810667</t>
  </si>
  <si>
    <t>Huawei P20 PRO Limited edition - Blue - MYSHARE 30-60</t>
  </si>
  <si>
    <t>Huawei P20 PRO Limited edition - Blue - MYSHARE 30-60_GSI</t>
  </si>
  <si>
    <t>1470099099182</t>
  </si>
  <si>
    <t>1443692967617</t>
  </si>
  <si>
    <t>Apple iPad 32GB - Space Grey  - ONLY GIGA</t>
  </si>
  <si>
    <t>Apple iPad New 9.7 32GB Space Gray</t>
  </si>
  <si>
    <t>Apple IPad32GB - Silver</t>
  </si>
  <si>
    <t>Apple iPad 32GB - Space Grey  - ONLY GIGA_GSI</t>
  </si>
  <si>
    <t>1470099099522</t>
  </si>
  <si>
    <t>1460307928170</t>
  </si>
  <si>
    <t>Apple iPhone Xr 64GB - White- SUPER UNLIMITED</t>
  </si>
  <si>
    <t>Apple iPhone  Xr 64GB White</t>
  </si>
  <si>
    <t>Apple iPhone Xr 64GB - White- SUPER UNLIMITED_GSI</t>
  </si>
  <si>
    <t>1470094217082</t>
  </si>
  <si>
    <t>1467936841515</t>
  </si>
  <si>
    <t>Alcatel 1X 2019 - Blue - MYSHARE -</t>
  </si>
  <si>
    <t>Alcatel 1X 2019 - Blue - MYSHARE -_GSI</t>
  </si>
  <si>
    <t>1470102408382</t>
  </si>
  <si>
    <t>1419177890992</t>
  </si>
  <si>
    <t>Promo Canone 100% - D-Link DVA-5592 Office Data ADSL</t>
  </si>
  <si>
    <t>IAD VoIP WiFi AC D-Link DVA-5592</t>
  </si>
  <si>
    <t>Apparati Office Data ADSL</t>
  </si>
  <si>
    <t>000000000000008891</t>
  </si>
  <si>
    <t>Promo Canone 100% - D-Link DVA-5592 Office Data ADSL_GSI</t>
  </si>
  <si>
    <t>1470093572342</t>
  </si>
  <si>
    <t>1460322317498</t>
  </si>
  <si>
    <t>Kit Giga Smart Share Wi-Fi ZYXEL 4G - White  - SUPER GIGA 30</t>
  </si>
  <si>
    <t>Kit GigaSmartShare  Wi-Fi ZYXEL 4G Mar18</t>
  </si>
  <si>
    <t>Kit Giga Smart Share Wi-Fi ZYXEL 4G - White  - SUPER GIGA 30_GSI</t>
  </si>
  <si>
    <t>1470092229072</t>
  </si>
  <si>
    <t>1274565321326</t>
  </si>
  <si>
    <t>Promo MV - Samsung Galaxy J7 - Black</t>
  </si>
  <si>
    <t>Tel.Cel Samsung Galaxy J7 black</t>
  </si>
  <si>
    <t>Samsung Galaxy J7 - Black</t>
  </si>
  <si>
    <t>000000000000008248</t>
  </si>
  <si>
    <t>Promo MV - Samsung Galaxy J7 - Black_GSI</t>
  </si>
  <si>
    <t>1470092229712</t>
  </si>
  <si>
    <t>1445961842822</t>
  </si>
  <si>
    <t>Samsung Galaxy A6 - Black - MYUNLIMITED</t>
  </si>
  <si>
    <t>Tel.Cel  Samsung GalaxyA6 32GB black</t>
  </si>
  <si>
    <t>30 Mesi - Samsung Galaxy A6 - Black</t>
  </si>
  <si>
    <t>000000000000009847</t>
  </si>
  <si>
    <t>Samsung Galaxy A6 - Black - MYUNLIMITED_GSI</t>
  </si>
  <si>
    <t>1470109031572</t>
  </si>
  <si>
    <t>1457893502337</t>
  </si>
  <si>
    <t>1470094507052</t>
  </si>
  <si>
    <t>1455296066760</t>
  </si>
  <si>
    <t>Samsung Galaxy TAB S4 - Black- ONLY GIGA - GIGABOOST</t>
  </si>
  <si>
    <t>Samsung Tab S4 balck</t>
  </si>
  <si>
    <t>Samsung Galaxy TAB S4 - Black- ONLY GIGA - GIGABOOST_GSI</t>
  </si>
  <si>
    <t>1470082570582</t>
  </si>
  <si>
    <t>1457968862343</t>
  </si>
  <si>
    <t>Samsung Galaxy S10 128 GB - White - MYSHARE 30-60</t>
  </si>
  <si>
    <t>Samsung Galaxy S10 128 GB - White - MYSHARE 30-60_GSI</t>
  </si>
  <si>
    <t>1470095336372</t>
  </si>
  <si>
    <t>1445524024299</t>
  </si>
  <si>
    <t>Samsung Galaxy Note 9 - Lavander - SMARTSHARE UNLIMITED</t>
  </si>
  <si>
    <t>Tel.Cel Samsung Galaxy Note9 lavander</t>
  </si>
  <si>
    <t>30 Mesi - Samsung Galaxy Note 9 - Lavander</t>
  </si>
  <si>
    <t>000000000000009889</t>
  </si>
  <si>
    <t>Samsung Galaxy Note 9 - Lavander - SMARTSHARE UNLIMITED_GSI</t>
  </si>
  <si>
    <t>1470100267992</t>
  </si>
  <si>
    <t>1339216192294</t>
  </si>
  <si>
    <t>KIT GIGASHARE Wi-Fi ZYXEL 4G - White - 30 GIGA</t>
  </si>
  <si>
    <t>Kit Giga Smart Share Wi-Fi ZYXEL  4G</t>
  </si>
  <si>
    <t>Kit Giga Smart Share Wi-Fi ZYXEL  4G - White</t>
  </si>
  <si>
    <t>000000000000008412</t>
  </si>
  <si>
    <t>KIT GIGASHARE Wi-Fi ZYXEL 4G - White - 30 GIGA_GSI</t>
  </si>
  <si>
    <t>1470098853782</t>
  </si>
  <si>
    <t>1457968862362</t>
  </si>
  <si>
    <t>Samsung Galaxy S10e 128 GB - Black - SMARTSHARE UNLIMITED</t>
  </si>
  <si>
    <t>Samsung Galaxy S10e 128 GB - Black - SMARTSHARE UNLIMITED_GSI</t>
  </si>
  <si>
    <t>1470099408982</t>
  </si>
  <si>
    <t>1363435692462</t>
  </si>
  <si>
    <t>PROVA _ 1</t>
  </si>
  <si>
    <t>TAB Alcatel Plus10(Windows)Silv+tastiera</t>
  </si>
  <si>
    <t>Alcatel Plus 10 - White</t>
  </si>
  <si>
    <t>000000000000008254</t>
  </si>
  <si>
    <t>PROVA _ 1_GSI</t>
  </si>
  <si>
    <t>1470096159492</t>
  </si>
  <si>
    <t>1445864831003</t>
  </si>
  <si>
    <t>Apple Ipad 9.7 128GB - Space grey - ONLY GIGA - GIGABOOST</t>
  </si>
  <si>
    <t>AppleiPad New 9.7 128GB Space Gray</t>
  </si>
  <si>
    <t>30 Mesi - Apple IPad 9.7 128GB - Space Grey</t>
  </si>
  <si>
    <t>000000000000009714</t>
  </si>
  <si>
    <t>Apple Ipad 9.7 128GB - Space grey - ONLY GIGA - GIGABOOST_GSI</t>
  </si>
  <si>
    <t>1470097488782</t>
  </si>
  <si>
    <t>1467597079252</t>
  </si>
  <si>
    <t>Promo CC - Apple iPhone 6S Plus 32GB Silver - Super Unlimited</t>
  </si>
  <si>
    <t>Apple iPhone 6S Plus 32GB Silver</t>
  </si>
  <si>
    <t>30 Mesi - Apple IPhone 6S Plus 32GB Silver</t>
  </si>
  <si>
    <t>000000000000010511</t>
  </si>
  <si>
    <t>Promo CC - Apple iPhone 6S Plus 32GB Silver - Super Unlimited_GSI</t>
  </si>
  <si>
    <t>1470093559142</t>
  </si>
  <si>
    <t>1470093559722</t>
  </si>
  <si>
    <t>1461270234715</t>
  </si>
  <si>
    <t>Huawei P30 Pro  128GB - Black - MYUNLIMITED</t>
  </si>
  <si>
    <t>Tel.Cel Huawei Vogue 128GB Twilight</t>
  </si>
  <si>
    <t>30 Mesi - Huawei P30 Pro 128GB - Aurora</t>
  </si>
  <si>
    <t>000000000000010291</t>
  </si>
  <si>
    <t>Huawei P30 Pro  128GB - Black - MYUNLIMITED_GSI</t>
  </si>
  <si>
    <t>1470100487282</t>
  </si>
  <si>
    <t>1374022025803</t>
  </si>
  <si>
    <t>Apple Iphone 7 Plus 32GB Choose Black - MYUNLIMITED</t>
  </si>
  <si>
    <t>Apple Iphone 7 Plus 32GB Choose Black - MYUNLIMITED_GSI</t>
  </si>
  <si>
    <t>1470096049822</t>
  </si>
  <si>
    <t>1445864831221</t>
  </si>
  <si>
    <t>Wind Tab 10 - White - ONLY GIGA - GIGABOOST</t>
  </si>
  <si>
    <t>Wind Tab 10 - White - ONLY GIGA - GIGABOOST_GSI</t>
  </si>
  <si>
    <t>1470096049832</t>
  </si>
  <si>
    <t>1460310736193</t>
  </si>
  <si>
    <t>Huawei Mate 20 Lite - Black - SUPER UNLIMITED</t>
  </si>
  <si>
    <t>Tel.Cel Huawei Mate  20 Lite black</t>
  </si>
  <si>
    <t>Huawei Mate 20 Lite - Black - SUPER UNLIMITED_GSI</t>
  </si>
  <si>
    <t>1470094217002</t>
  </si>
  <si>
    <t>1446007858303</t>
  </si>
  <si>
    <t>WebPocket 4G+ Alcatel - White - 30 GIGA</t>
  </si>
  <si>
    <t>Alcatel WebPocket 4G+ MW70VK white</t>
  </si>
  <si>
    <t>WebPocket 4G+ Alcatel - White - 30 GIGA_GSI</t>
  </si>
  <si>
    <t>1470098853842</t>
  </si>
  <si>
    <t>1470111152572</t>
  </si>
  <si>
    <t>1460310736283</t>
  </si>
  <si>
    <t>Xiaomi Mi A2 Lite - Blue - SUPER UNLIMITED</t>
  </si>
  <si>
    <t>Tel.Cel  Xiaomi MI A2 LITE blue</t>
  </si>
  <si>
    <t>Xiaomi Mi A2 Lite - Blue - SUPER UNLIMITED_GSI</t>
  </si>
  <si>
    <t>1470083037662</t>
  </si>
  <si>
    <t>1467612861231</t>
  </si>
  <si>
    <t>Promo FS - Samsung Galaxy A40 - Black - Smart Share Unlimited</t>
  </si>
  <si>
    <t>24 Mesi - Samsung Galaxy A40 - Black</t>
  </si>
  <si>
    <t>Promo FS - Samsung Galaxy A40 - Black - Smart Share Unlimited_GSI</t>
  </si>
  <si>
    <t>1470090879122</t>
  </si>
  <si>
    <t>1460288455397</t>
  </si>
  <si>
    <t>Apple iPhone Xr 256GB - White- SUPER UNLIMITED</t>
  </si>
  <si>
    <t>Apple iPhone  Xr 256GB White</t>
  </si>
  <si>
    <t>30 Mesi - Apple IPhone Xr 256GB - White</t>
  </si>
  <si>
    <t>000000000000010104</t>
  </si>
  <si>
    <t>Apple iPhone Xr 256GB - White- SUPER UNLIMITED_GSI</t>
  </si>
  <si>
    <t>1470090914372</t>
  </si>
  <si>
    <t>1469082059482</t>
  </si>
  <si>
    <t>LAR_20190625HuaweiP20PO_ADEP</t>
  </si>
  <si>
    <t>KIT Huawei P20 Pro Black Limited Edition - (ENT)</t>
  </si>
  <si>
    <t>LAR_20190625HuaweiP20PO_ADEP_GSI</t>
  </si>
  <si>
    <t>1470090914382</t>
  </si>
  <si>
    <t>1339576703937</t>
  </si>
  <si>
    <t>Samsung Galaxy A3 - Black- AI BUS BIG</t>
  </si>
  <si>
    <t>Tel.Cel Samsung Galaxy A3 2017 Ed.black</t>
  </si>
  <si>
    <t>Samsung Galaxy A3 - Black</t>
  </si>
  <si>
    <t>000000000000008571</t>
  </si>
  <si>
    <t>Samsung Galaxy A3 - Black- AI BUS BIG_GSI</t>
  </si>
  <si>
    <t>1470104556412</t>
  </si>
  <si>
    <t>1445609753967</t>
  </si>
  <si>
    <t>Huawei Mate 20 Lite - Black - SMARTSHARE</t>
  </si>
  <si>
    <t>Huawei Mate 20 Lite - Black - SMARTSHARE_GSI</t>
  </si>
  <si>
    <t>1470105881782</t>
  </si>
  <si>
    <t>1470097786002</t>
  </si>
  <si>
    <t>1461270234234</t>
  </si>
  <si>
    <t>Huawei P30 -  Aurora - MYSHARE</t>
  </si>
  <si>
    <t>Huawei P30 -  Aurora - MYSHARE_GSI</t>
  </si>
  <si>
    <t>1470094507222</t>
  </si>
  <si>
    <t>1465262890262</t>
  </si>
  <si>
    <t>Promo FS - Huawei Y6 2019 - Blue - sconto 100% ET&amp;Rata&amp;MaxiRata - Smart Share 500</t>
  </si>
  <si>
    <t>Promo FS - Huawei Y6 2019 - Blue - sconto 100% ET&amp;Rata&amp;MaxiRata - Smart Share 500_GSI</t>
  </si>
  <si>
    <t>1470089968482</t>
  </si>
  <si>
    <t>1442678152172</t>
  </si>
  <si>
    <t>Telefono VoIP Alcatel Temporis IP701G - WSO SMALL, WSO LARGE</t>
  </si>
  <si>
    <t>Telefono VoIP Alcatel Temporis IP701G</t>
  </si>
  <si>
    <t>000000000000010036</t>
  </si>
  <si>
    <t>Telefono VoIP Alcatel Temporis IP701G - WSO SMALL, WSO LARGE_GSI</t>
  </si>
  <si>
    <t>1470098906012</t>
  </si>
  <si>
    <t>1339541295061</t>
  </si>
  <si>
    <t>Samsung Galaxy S8 Plus - Black -  AI RIC BIG</t>
  </si>
  <si>
    <t>Samsung Galaxy S8 Plus - Black -  AI RIC BIG_GSI</t>
  </si>
  <si>
    <t>1470102849382</t>
  </si>
  <si>
    <t>1142601341685</t>
  </si>
  <si>
    <t>Blackberry Passport  Limited Edition -MNP - All Inclusive Business Unlimited</t>
  </si>
  <si>
    <t>Blackberry Passport  Limited Edition -MNP - All Inclusive Business Unlimited_GSI</t>
  </si>
  <si>
    <t>1470091022792</t>
  </si>
  <si>
    <t>1457968862331</t>
  </si>
  <si>
    <t>Samsung Galaxy S10 128 GB - Black - MYSHARE 30-60</t>
  </si>
  <si>
    <t>Samsung Galaxy S10 128 GB - Black - MYSHARE 30-60_GSI</t>
  </si>
  <si>
    <t>1470091477192</t>
  </si>
  <si>
    <t>1308958551183</t>
  </si>
  <si>
    <t>Samsung Galaxy J7 - Gold - BASIC</t>
  </si>
  <si>
    <t>Tel.Cel Samsung Galaxy J7 gold</t>
  </si>
  <si>
    <t>Samsung Galaxy J7 - Gold</t>
  </si>
  <si>
    <t>000000000000008249</t>
  </si>
  <si>
    <t>Samsung Galaxy J7 - Gold - BASIC_GSI</t>
  </si>
  <si>
    <t>1470089298412</t>
  </si>
  <si>
    <t>1309486040279</t>
  </si>
  <si>
    <t>Huawei P8 Lite - White - AI BUS UNLI. PREMIUM. TOP MONDO</t>
  </si>
  <si>
    <t>Tel.Cel Huawei P8 Lite 2017 white</t>
  </si>
  <si>
    <t>000000000000008563</t>
  </si>
  <si>
    <t>Huawei P8 Lite - White - AI BUS UNLI. PREMIUM. TOP MONDO_GSI</t>
  </si>
  <si>
    <t>1470091295912</t>
  </si>
  <si>
    <t>1308854175875</t>
  </si>
  <si>
    <t>Apple Iphone 7 Plus 32GB Silver - BASIC</t>
  </si>
  <si>
    <t>Apple Iphone 7 Plus 32GB Silver - BASIC_GSI</t>
  </si>
  <si>
    <t>1470083455532</t>
  </si>
  <si>
    <t>1470091304322</t>
  </si>
  <si>
    <t>1309486040273</t>
  </si>
  <si>
    <t>Huawei P8 Lite - White - AI BUS BIG</t>
  </si>
  <si>
    <t>Huawei P8 Lite - White - AI BUS BIG_GSI</t>
  </si>
  <si>
    <t>1470091109092</t>
  </si>
  <si>
    <t>1174872703418</t>
  </si>
  <si>
    <t>Samsung Gear S2 Classic Black AI BUSINESS UNL. PREMIUM. TOP MONDO</t>
  </si>
  <si>
    <t>Samsung Gear S2 Classic Black AI BUSINESS UNL. PREMIUM. TOP MONDO_GSI</t>
  </si>
  <si>
    <t>1470081855362</t>
  </si>
  <si>
    <t>1175195585442</t>
  </si>
  <si>
    <t>Samsung Gear S2 Classic Black AI  RIC BIG</t>
  </si>
  <si>
    <t>Samsung Gear S2 Classic Black AI  RIC BIG_GSI</t>
  </si>
  <si>
    <t>1470090541302</t>
  </si>
  <si>
    <t>1199307139812</t>
  </si>
  <si>
    <t>Blackberry Priv Black - AI BUSINESS BIG</t>
  </si>
  <si>
    <t>PDA BlackBerry Priv Black</t>
  </si>
  <si>
    <t>BlackBerry Priv</t>
  </si>
  <si>
    <t>000000000000007742</t>
  </si>
  <si>
    <t>Blackberry Priv Black - AI BUSINESS BIG_GSI</t>
  </si>
  <si>
    <t>1470090461532</t>
  </si>
  <si>
    <t>1308905124094</t>
  </si>
  <si>
    <t>Apple Iphone 7 128GB WT - Rose Gold - BASIC</t>
  </si>
  <si>
    <t>Apple Iphone 7 128GB WT - Rose Gold - BASIC_GSI</t>
  </si>
  <si>
    <t>1470083455562</t>
  </si>
  <si>
    <t>1309365003902</t>
  </si>
  <si>
    <t>Huawei P8 Lite - Black - BASIC</t>
  </si>
  <si>
    <t>Huawei P8 Lite 2017 - Black</t>
  </si>
  <si>
    <t>Huawei P8 Lite - Black - BASIC_GSI</t>
  </si>
  <si>
    <t>1470090671952</t>
  </si>
  <si>
    <t>1199307139839</t>
  </si>
  <si>
    <t>Blackberry Priv Black - AI RIC UNLI. PREMIUM. TOP MONDO</t>
  </si>
  <si>
    <t>Blackberry Priv Black - AI RIC UNLI. PREMIUM. TOP MONDO_GSI</t>
  </si>
  <si>
    <t>1470084111462</t>
  </si>
  <si>
    <t>1367747976702</t>
  </si>
  <si>
    <t>Huawei P8 Lite 2017 - Black - UNLIMITED</t>
  </si>
  <si>
    <t>Huawei P8 Lite 2017 - Black - UNLIMITED_GSI</t>
  </si>
  <si>
    <t>1470090878972</t>
  </si>
  <si>
    <t>1457968862273</t>
  </si>
  <si>
    <t>1159287464722</t>
  </si>
  <si>
    <t>Wi-Fi Mobile ZTE MF90 Plus 4G Ready-Promo Mobile Internet per nuove SIM Dati con Internet 25GB</t>
  </si>
  <si>
    <t>Wi-Fi Mobile ZTE MF90 Plus 4G Ready-Promo Mobile Internet per nuove SIM Dati con Internet 25GB_GSI</t>
  </si>
  <si>
    <t>1470091477252</t>
  </si>
  <si>
    <t>1466431576600</t>
  </si>
  <si>
    <t>Promo CC - Huawei Y6 2019 - Blue - MYUNLIMITED</t>
  </si>
  <si>
    <t>Promo CC - Huawei Y6 2019 - Blue - MYUNLIMITED_GSI</t>
  </si>
  <si>
    <t>1470093253782</t>
  </si>
  <si>
    <t>1460310736121</t>
  </si>
  <si>
    <t>BlackBerry Key2 LE - Black - SUPER UNLIMITED</t>
  </si>
  <si>
    <t>PDA Blackberry Key2 LE Black</t>
  </si>
  <si>
    <t>30 Mesi - BlackBerry Key2 LE  - Black</t>
  </si>
  <si>
    <t>000000000000010234</t>
  </si>
  <si>
    <t>BlackBerry Key2 LE - Black - SUPER UNLIMITED_GSI</t>
  </si>
  <si>
    <t>1470095434992</t>
  </si>
  <si>
    <t>1460316909787</t>
  </si>
  <si>
    <t>Apple Ipad 9.7 128GB - Silver- SUPER GIGA 70</t>
  </si>
  <si>
    <t>AppleiPad  New 9.7 128GB Silver</t>
  </si>
  <si>
    <t>30 Mesi - AppleiPad New 9.7 128GB Silver</t>
  </si>
  <si>
    <t>Apple Ipad 9.7 128GB - Silver- SUPER GIGA 70_GSI</t>
  </si>
  <si>
    <t>1470095435022</t>
  </si>
  <si>
    <t>1359040843824</t>
  </si>
  <si>
    <t>IAD WiFi AC FTTH NOKIA G-240W - B - Black - AIB GigaFibra e AB GigaFibra</t>
  </si>
  <si>
    <t>IAD WiFi AC FTTH NOKIA G-240W - B - Black - AIB GigaFibra e AB GigaFibra_GSI</t>
  </si>
  <si>
    <t>1470098905982</t>
  </si>
  <si>
    <t>1344622578172</t>
  </si>
  <si>
    <t>Samsung Galaxy S7 Edge - Silver -  UNLIMITED</t>
  </si>
  <si>
    <t>Samsung Galaxy S7 Edge - Silver -  UNLIMITED_GSI</t>
  </si>
  <si>
    <t>1470110773502</t>
  </si>
  <si>
    <t>1464962556854</t>
  </si>
  <si>
    <t>Huawei P30 Lite - White - SUPER UNLIMITED</t>
  </si>
  <si>
    <t>Huawei P30 Lite - White - SUPER UNLIMITED_GSI</t>
  </si>
  <si>
    <t>1470089968752</t>
  </si>
  <si>
    <t>1464962556860</t>
  </si>
  <si>
    <t>Huawei P30 Lite - Blue - SUPER UNLIMITED</t>
  </si>
  <si>
    <t>Huawei P30 Lite - Blue - SUPER UNLIMITED_GSI</t>
  </si>
  <si>
    <t>1470096067892</t>
  </si>
  <si>
    <t>1339576703860</t>
  </si>
  <si>
    <t>Huawei P10 Black - AI BUS BIG</t>
  </si>
  <si>
    <t>Huawei P10 Black - AI BUS BIG_GSI</t>
  </si>
  <si>
    <t>1470103821452</t>
  </si>
  <si>
    <t>1344962839950</t>
  </si>
  <si>
    <t>Samsung Galaxy S8 - Black -  AI BUS UNLI - PREMIUM - TOP MONDO</t>
  </si>
  <si>
    <t>Samsung Galaxy S8 - Black -  AI BUS UNLI - PREMIUM - TOP MONDO_GSI</t>
  </si>
  <si>
    <t>1470090914622</t>
  </si>
  <si>
    <t>1339561659219</t>
  </si>
  <si>
    <t>Samsung Galaxy A3  - Black - AI RIC UNLI. PREMIUM. TOP MONDO</t>
  </si>
  <si>
    <t>Samsung Galaxy A3  - Black - AI RIC UNLI. PREMIUM. TOP MONDO_GSI</t>
  </si>
  <si>
    <t>1470099099532</t>
  </si>
  <si>
    <t>1344938987208</t>
  </si>
  <si>
    <t>Samsung Galaxy S8 - Violet -  AI RIC UNLI - PREMIUM - TOP MONDO</t>
  </si>
  <si>
    <t>Samsung Galaxy S8 - Violet -  AI RIC UNLI - PREMIUM - TOP MONDO_GSI</t>
  </si>
  <si>
    <t>1470105543942</t>
  </si>
  <si>
    <t>1445885015277</t>
  </si>
  <si>
    <t>Apple iPhone Xr 128GB - Black - MYUNLIMITED</t>
  </si>
  <si>
    <t>Apple iPhone Xr 128GB Black</t>
  </si>
  <si>
    <t>Apple iPhone Xr 128GB - Black - MYUNLIMITED_GSI</t>
  </si>
  <si>
    <t>1470101963542</t>
  </si>
  <si>
    <t>1445971967395</t>
  </si>
  <si>
    <t>Huawei Mate 20 Lite - Blue -  MYUNLIMITED</t>
  </si>
  <si>
    <t>Tel.Cel Huawei Mate 20 Lite blue</t>
  </si>
  <si>
    <t>30 Mesi - Huawei Mate 20 Lite - Blue</t>
  </si>
  <si>
    <t>000000000000009895</t>
  </si>
  <si>
    <t>Huawei Mate 20 Lite - Blue -  MYUNLIMITED_GSI</t>
  </si>
  <si>
    <t>1470106989862</t>
  </si>
  <si>
    <t>1457893502349</t>
  </si>
  <si>
    <t>Samsung Galaxy S10 128 GB - White - MYUNLIMITED 30</t>
  </si>
  <si>
    <t>Samsung Galaxy S10 128 GB - White - MYUNLIMITED 30_GSI</t>
  </si>
  <si>
    <t>1470098902142</t>
  </si>
  <si>
    <t>1339576703965</t>
  </si>
  <si>
    <t>Samsung Galaxy A3 - Blue - AI BUS BIG</t>
  </si>
  <si>
    <t>Tel.Cel Samsung GalaxyA3 2017Ed.bluemist</t>
  </si>
  <si>
    <t>Samsung Galaxy A3 - Blue</t>
  </si>
  <si>
    <t>000000000000008573</t>
  </si>
  <si>
    <t>Samsung Galaxy A3 - Blue - AI BUS BIG_GSI</t>
  </si>
  <si>
    <t>1470102589282</t>
  </si>
  <si>
    <t>1464975913456</t>
  </si>
  <si>
    <t>Huawei P20 PRO Limited edition - Blac - MYSHARE 30-60</t>
  </si>
  <si>
    <t>Huawei P20 PRO Limited edition - Blac - MYSHARE 30-60_GSI</t>
  </si>
  <si>
    <t>1470100268272</t>
  </si>
  <si>
    <t>1445428242127</t>
  </si>
  <si>
    <t>Apple iPhone Xs Max 64GB - Silver - SMARTSHARE UNLIMITED</t>
  </si>
  <si>
    <t>Apple iPhone Xs Max 64GB Silver</t>
  </si>
  <si>
    <t>30 Mesi - Apple IPhone Xs Max 64GB - Silver</t>
  </si>
  <si>
    <t>000000000000010001</t>
  </si>
  <si>
    <t>Apple iPhone Xs Max 64GB - Silver - SMARTSHARE UNLIMITED_GSI</t>
  </si>
  <si>
    <t>1470098853792</t>
  </si>
  <si>
    <t>1445589093721</t>
  </si>
  <si>
    <t>Apple iPhone Xr 128GB - White - SMARTSHARE UNLIMITED</t>
  </si>
  <si>
    <t>Apple iPhone Xr 128GB White</t>
  </si>
  <si>
    <t>30 Mesi - Apple IPhone Xr 128GB - White</t>
  </si>
  <si>
    <t>000000000000010098</t>
  </si>
  <si>
    <t>Apple iPhone Xr 128GB - White - SMARTSHARE UNLIMITED_GSI</t>
  </si>
  <si>
    <t>1470107132132</t>
  </si>
  <si>
    <t>1470095046372</t>
  </si>
  <si>
    <t>1445571272008</t>
  </si>
  <si>
    <t>Apple iPhone X 64GB - Silver - SMARTSHARE UNLIMITED</t>
  </si>
  <si>
    <t>Apple iPhone X 64GB - Silver - SMARTSHARE UNLIMITED_GSI</t>
  </si>
  <si>
    <t>1470094028312</t>
  </si>
  <si>
    <t>1356744445739</t>
  </si>
  <si>
    <t>IAD WiFi FTTH HUAWEI HG8245Q - White - ALL INCLUSIVE BUSINESS FTTH, ABSOLUTE BUSINESS FTTH</t>
  </si>
  <si>
    <t>KIT SME IAD WiFi FTTH HUAWEI HG8245Q</t>
  </si>
  <si>
    <t>000000000000008957</t>
  </si>
  <si>
    <t>IAD WiFi FTTH HUAWEI HG8245Q - White - ALL INCLUSIVE BUSINESS FTTH, ABSOLUTE BUSINESS FTTH_GSI</t>
  </si>
  <si>
    <t>1470105205082</t>
  </si>
  <si>
    <t>1442503131678</t>
  </si>
  <si>
    <t>1445885015076</t>
  </si>
  <si>
    <t>Samsung Galaxy Note 9 - Lavander - MYUNLIMITED 30</t>
  </si>
  <si>
    <t>Samsung Galaxy Note 9 - Lavander - MYUNLIMITED 30_GSI</t>
  </si>
  <si>
    <t>1470100869212</t>
  </si>
  <si>
    <t>1344973744956</t>
  </si>
  <si>
    <t>Samsung Galaxy S7 - White - AI BUS BIG</t>
  </si>
  <si>
    <t>Tel.Cel Samsung Galaxy S7 white</t>
  </si>
  <si>
    <t>000000000000008062</t>
  </si>
  <si>
    <t>Samsung Galaxy S7 - White - AI BUS BIG_GSI</t>
  </si>
  <si>
    <t>1470106229702</t>
  </si>
  <si>
    <t>1344962839963</t>
  </si>
  <si>
    <t>Samsung Galaxy S8  - Silver - AI BUS UNLI - PREMIUM - TOP MONDO</t>
  </si>
  <si>
    <t>Samsung Galaxy S8  - Silver - AI BUS UNLI - PREMIUM - TOP MONDO_GSI</t>
  </si>
  <si>
    <t>1470102475882</t>
  </si>
  <si>
    <t>1308937056892</t>
  </si>
  <si>
    <t>Apple Iphone 6S  32GB Silver - BASIC</t>
  </si>
  <si>
    <t>Apple Iphone 6S 32GB - Silver</t>
  </si>
  <si>
    <t>Apple Iphone 6S  32GB Silver - BASIC_GSI</t>
  </si>
  <si>
    <t>1470092229612</t>
  </si>
  <si>
    <t>1344973745006</t>
  </si>
  <si>
    <t>Samsung Galaxy S7 - Silver -  AI BUS UNLI. PREMIUM. TOP MONDO</t>
  </si>
  <si>
    <t>Samsung Galaxy S7 - Silver -  AI BUS UNLI. PREMIUM. TOP MONDO_GSI</t>
  </si>
  <si>
    <t>1470104144362</t>
  </si>
  <si>
    <t>1344622578184</t>
  </si>
  <si>
    <t>Samsung Galaxy S7 - Black - UNLIMITED</t>
  </si>
  <si>
    <t>Samsung Galaxy S7 - Black - UNLIMITED_GSI</t>
  </si>
  <si>
    <t>1470104206502</t>
  </si>
  <si>
    <t>1339568476869</t>
  </si>
  <si>
    <t>Huawei P10 Plus - Black -  AI BUS BIG</t>
  </si>
  <si>
    <t>Huawei P10 Plus - Black -  AI BUS BIG_GSI</t>
  </si>
  <si>
    <t>1470101540302</t>
  </si>
  <si>
    <t>1445881319821</t>
  </si>
  <si>
    <t>Apple iPhone Xs Max 64GB - Gold - MYUNLIMITED</t>
  </si>
  <si>
    <t>Apple IPhone Xs Max 64GB - Gold</t>
  </si>
  <si>
    <t>Apple iPhone Xs Max 64GB - Gold - MYUNLIMITED_GSI</t>
  </si>
  <si>
    <t>1470103036742</t>
  </si>
  <si>
    <t>1467940020788</t>
  </si>
  <si>
    <t>Alcatel 1X 2019 - Blue - MYUNLIMITED</t>
  </si>
  <si>
    <t>Alcatel 1X 2019 - Blue - MYUNLIMITED_GSI</t>
  </si>
  <si>
    <t>1470105204942</t>
  </si>
  <si>
    <t>1308905124044</t>
  </si>
  <si>
    <t>Apple Iphone 7 128GB WT - Gold - BASIC</t>
  </si>
  <si>
    <t>Apple Iphone 7 128 GB WT Gold</t>
  </si>
  <si>
    <t>Apple Iphone 7 128GB WT- Gold</t>
  </si>
  <si>
    <t>000000000000008740</t>
  </si>
  <si>
    <t>Apple Iphone 7 128GB WT - Gold - BASIC_GSI</t>
  </si>
  <si>
    <t>1470095103782</t>
  </si>
  <si>
    <t>1398888739984</t>
  </si>
  <si>
    <t>Switch PoE 8 porte DLINK DGS-1100-08P - WSO SMALL, WSO LARGE, WSO EXTRA LARGE</t>
  </si>
  <si>
    <t>Switch PoE 8 porte DLINK DGS-1100-08P</t>
  </si>
  <si>
    <t>Apparati Wind Smart Office</t>
  </si>
  <si>
    <t>000000000000007062</t>
  </si>
  <si>
    <t>Switch PoE 8 porte DLINK DGS-1100-08P - WSO SMALL, WSO LARGE, WSO EXTRA LARGE_GSI</t>
  </si>
  <si>
    <t>1470111525942</t>
  </si>
  <si>
    <t>1468417949903</t>
  </si>
  <si>
    <t>Promo FS - Nextivity Cel-Fi Pro RS3 - sconto 100% ET&amp;Rata&amp;MaxiRata - My Share Unlimited</t>
  </si>
  <si>
    <t>Promo FS - Nextivity Cel-Fi Pro RS3 - sconto 100% ET&amp;Rata&amp;MaxiRata - My Share Unlimited_GSI</t>
  </si>
  <si>
    <t>1470095583372</t>
  </si>
  <si>
    <t>1339568476755</t>
  </si>
  <si>
    <t>Samsung Galaxy S8 Plus - Black - AI BUS BIG</t>
  </si>
  <si>
    <t>Samsung Galaxy S8 Plus - Black - AI BUS BIG_GSI</t>
  </si>
  <si>
    <t>1470095532632</t>
  </si>
  <si>
    <t>1470096067622</t>
  </si>
  <si>
    <t>1339541295195</t>
  </si>
  <si>
    <t>Huawei P10 Plus - Silver -  AI RIC UNLI - PREMIUM - TOP MONDO</t>
  </si>
  <si>
    <t>Tel.Cel Huawei P10 Plus silver</t>
  </si>
  <si>
    <t>Huawei P10 Plus - Silver</t>
  </si>
  <si>
    <t>000000000000008698</t>
  </si>
  <si>
    <t>Huawei P10 Plus - Silver -  AI RIC UNLI - PREMIUM - TOP MONDO_GSI</t>
  </si>
  <si>
    <t>1470102588932</t>
  </si>
  <si>
    <t>1339278899030</t>
  </si>
  <si>
    <t>Samsung Galaxy S8 Plus - Violet -  UNLIMITED</t>
  </si>
  <si>
    <t>Samsung Galaxy S8 Plus - Violet -  UNLIMITED_GSI</t>
  </si>
  <si>
    <t>1470102588972</t>
  </si>
  <si>
    <t>1445885015064</t>
  </si>
  <si>
    <t>Samsung Galaxy Note 9 - Blue - MYUNLIMITED 30</t>
  </si>
  <si>
    <t>Tel.Cel Samsung Galaxy Note9 blue</t>
  </si>
  <si>
    <t>30 Mesi - Samsung Galaxy Note 9 - Blue</t>
  </si>
  <si>
    <t>000000000000009888</t>
  </si>
  <si>
    <t>Samsung Galaxy Note 9 - Blue - MYUNLIMITED 30_GSI</t>
  </si>
  <si>
    <t>1470102589312</t>
  </si>
  <si>
    <t>1460221770024</t>
  </si>
  <si>
    <t>Apple iPhone Xs Max 256GB - Space Gray - SUPER UNLIMITED</t>
  </si>
  <si>
    <t>Apple iPhone Xs  Max 256GB Space Gray</t>
  </si>
  <si>
    <t>Apple iPhone Xs Max 256GB - Silver - MYSHARE_GSI</t>
  </si>
  <si>
    <t>1470108487052</t>
  </si>
  <si>
    <t>1456315464041</t>
  </si>
  <si>
    <t>Zte WebCube4 TRE - White - ONLY GIGA - 10 GIGA</t>
  </si>
  <si>
    <t>Zte WebCube4 TRE - White - ONLY GIGA - 10 GIGA_GSI</t>
  </si>
  <si>
    <t>1470095103772</t>
  </si>
  <si>
    <t>1308902783112</t>
  </si>
  <si>
    <t>Apple Iphone 7  128GB WT - Silver - BASIC</t>
  </si>
  <si>
    <t>Apple Iphone 7 128 GB WT silver</t>
  </si>
  <si>
    <t>Apple Iphone 7 128GB WT- Silver</t>
  </si>
  <si>
    <t>000000000000008739</t>
  </si>
  <si>
    <t>Apple Iphone 7  128GB WT - Silver - BASIC_GSI</t>
  </si>
  <si>
    <t>1470096067302</t>
  </si>
  <si>
    <t>1450957253148</t>
  </si>
  <si>
    <t>Promo FS - Nextivity Cel-Fi Pro RS3 - sconto 100%ET&amp;Rata&amp;MaxiRata - My Share 15GB</t>
  </si>
  <si>
    <t>Promo FS - Nextivity Cel-Fi Pro RS3 - sconto 100%ET&amp;Rata&amp;MaxiRata - My Share 15GB_GSI</t>
  </si>
  <si>
    <t>1470097249712</t>
  </si>
  <si>
    <t>1445885015428</t>
  </si>
  <si>
    <t>Apple iPhone Xr 64GB - Black - MYUNLIMITED</t>
  </si>
  <si>
    <t>Apple iPhone Xr 64GB Black</t>
  </si>
  <si>
    <t>30 Mesi - Apple IPhone Xr 64GB - Black</t>
  </si>
  <si>
    <t>000000000000010091</t>
  </si>
  <si>
    <t>Apple iPhone Xr 64GB - Black - MYUNLIMITED_GSI</t>
  </si>
  <si>
    <t>1470104991172</t>
  </si>
  <si>
    <t>1344954918714</t>
  </si>
  <si>
    <t>Samsung Galaxy S7 Edge - Gold - AI RIC BIG</t>
  </si>
  <si>
    <t>Samsung Galaxy S7 Edge - Gold - AI RIC BIG_GSI</t>
  </si>
  <si>
    <t>1470104851872</t>
  </si>
  <si>
    <t>1457968862397</t>
  </si>
  <si>
    <t>Samsung Galaxy S10 512 GB - White - MYUNLIMITED 30</t>
  </si>
  <si>
    <t>Samsung Galaxy S10 512 GB - White - MYUNLIMITED 30_GSI</t>
  </si>
  <si>
    <t>1470093184822</t>
  </si>
  <si>
    <t>1464993087142</t>
  </si>
  <si>
    <t>Samsung Galaxy A40 - Black - MYUNLIMITED</t>
  </si>
  <si>
    <t>Samsung Galaxy A40 - Black - MYUNLIMITED_GSI</t>
  </si>
  <si>
    <t>1470098853262</t>
  </si>
  <si>
    <t>1457891013983</t>
  </si>
  <si>
    <t>Samsung Galaxy S10e 128 GB - White - MYSHARE 30-60</t>
  </si>
  <si>
    <t>Samsung Galaxy S10e 128 GB - White - MYSHARE 30-60_GSI</t>
  </si>
  <si>
    <t>1470094431172</t>
  </si>
  <si>
    <t>1445524024410</t>
  </si>
  <si>
    <t>Apple iPhone Xr 256GB - Blue - SMARTSHARE UNLIMITED</t>
  </si>
  <si>
    <t>Apple iPhone Xr 256GB Blue</t>
  </si>
  <si>
    <t>Apple iPhone Xr 256GB - Blue - SMARTSHARE UNLIMITED_GSI</t>
  </si>
  <si>
    <t>1470097788972</t>
  </si>
  <si>
    <t>1443697500872</t>
  </si>
  <si>
    <t>Apple iPad 32GB - Space Grey -  30 GIGA</t>
  </si>
  <si>
    <t>Apple iPad 32GB - Space Grey -  30 GIGA_GSI</t>
  </si>
  <si>
    <t>1470098853532</t>
  </si>
  <si>
    <t>1461126735668</t>
  </si>
  <si>
    <t>Huawei Mate 20 Pro - Blue - MYSHARE 5-15</t>
  </si>
  <si>
    <t>Huawei Mate 20 Pro - Blue - MYSHARE 5-15_GSI</t>
  </si>
  <si>
    <t>1470082570602</t>
  </si>
  <si>
    <t>1339278899273</t>
  </si>
  <si>
    <t>Huawei P10 Black - UNLIMITED</t>
  </si>
  <si>
    <t>Huawei P10 Black - UNLIMITED_GSI</t>
  </si>
  <si>
    <t>1470103613932</t>
  </si>
  <si>
    <t>1448713847808</t>
  </si>
  <si>
    <t>Xiaomi Mi A2 Lite - Blue - MYSHARE</t>
  </si>
  <si>
    <t>Xiaomi Mi A2 Lite - Blue - MYSHARE_GSI</t>
  </si>
  <si>
    <t>1470108568462</t>
  </si>
  <si>
    <t>1344962839985</t>
  </si>
  <si>
    <t>Samsung Galaxy S8 - Violet -  AI BUS UNLI - PREMIUM - TOP MONDO</t>
  </si>
  <si>
    <t>Samsung Galaxy S8 - Violet -  AI BUS UNLI - PREMIUM - TOP MONDO_GSI</t>
  </si>
  <si>
    <t>1470110204902</t>
  </si>
  <si>
    <t>1453260599173</t>
  </si>
  <si>
    <t>Huawei P Smart 2019 - Black - MYSHARE</t>
  </si>
  <si>
    <t>Huawei P Smart 2019 - Black - MYSHARE_GSI</t>
  </si>
  <si>
    <t>1470092302972</t>
  </si>
  <si>
    <t>1344938987230</t>
  </si>
  <si>
    <t>Samsung Galaxy S7 Edge - White - AI RIC BIG</t>
  </si>
  <si>
    <t>Samsung Galaxy S7 Edge - White - AI RIC BIG_GSI</t>
  </si>
  <si>
    <t>1470107854012</t>
  </si>
  <si>
    <t>1470096158932</t>
  </si>
  <si>
    <t>1464972122536</t>
  </si>
  <si>
    <t>Huawei P30 Lite - Black - MYSHARE</t>
  </si>
  <si>
    <t>Tel.Cel HUAWEI P30 LITE MIDNIGHT BLACK</t>
  </si>
  <si>
    <t>30 Mesi - Huawei P30 Lite - Black</t>
  </si>
  <si>
    <t>000000000000010446</t>
  </si>
  <si>
    <t>Huawei P30 Lite - Black - MYSHARE_GSI</t>
  </si>
  <si>
    <t>1470100727702</t>
  </si>
  <si>
    <t>1461252997556</t>
  </si>
  <si>
    <t>Huawei Mate 20 Pro - Black - MYUNLIMITED 15</t>
  </si>
  <si>
    <t>Huawei Mate 20 Pro - Black - MYUNLIMITED 15_GSI</t>
  </si>
  <si>
    <t>1470091352862</t>
  </si>
  <si>
    <t>1339278899024</t>
  </si>
  <si>
    <t>Samsung Galaxy S8 Plus - Violet -  BASIC</t>
  </si>
  <si>
    <t>Samsung Galaxy S8 Plus - Violet -  BASIC_GSI</t>
  </si>
  <si>
    <t>1470101963502</t>
  </si>
  <si>
    <t>1470094431162</t>
  </si>
  <si>
    <t>1445130350921</t>
  </si>
  <si>
    <t>Promo bis ad hoc - 30MESI - Tel.Cel ALCATEL WindSmart2018 Dark Blue</t>
  </si>
  <si>
    <t>Tel.Cel ALCATEL WindSmart2018 Dark Blue</t>
  </si>
  <si>
    <t>30Mesi - Wind Smart 2018 - Black</t>
  </si>
  <si>
    <t>000000000000009680</t>
  </si>
  <si>
    <t>Promo bis ad hoc - 30MESI - Tel.Cel ALCATEL WindSmart2018 Dark Blue_GSI</t>
  </si>
  <si>
    <t>1470096049552</t>
  </si>
  <si>
    <t>1470094431722</t>
  </si>
  <si>
    <t>1339568476781</t>
  </si>
  <si>
    <t>Samsung Galaxy S8 Plus - Black -  AI BUS UNLI - PREMIUM - TOP MONDO</t>
  </si>
  <si>
    <t>Samsung Galaxy S8 Plus - Black -  AI BUS UNLI - PREMIUM - TOP MONDO_GSI</t>
  </si>
  <si>
    <t>1470102407942</t>
  </si>
  <si>
    <t>1347303097195</t>
  </si>
  <si>
    <t>PROVA2</t>
  </si>
  <si>
    <t>PROVA2_GSI</t>
  </si>
  <si>
    <t>1470107854162</t>
  </si>
  <si>
    <t>1445524024283</t>
  </si>
  <si>
    <t>Samsung Galaxy Note 9 - Lavander - MYSHARE 5-15</t>
  </si>
  <si>
    <t>Samsung Galaxy Note 9 - Lavander - MYSHARE 5-15_GSI</t>
  </si>
  <si>
    <t>1470094431742</t>
  </si>
  <si>
    <t>1339561658405</t>
  </si>
  <si>
    <t>Samsung Galaxy A5 - Blue - AI RIC UNLI. PREMIUM. TOP MONDO</t>
  </si>
  <si>
    <t>Samsung Galaxy A5 - Blue - AI RIC UNLI. PREMIUM. TOP MONDO_GSI</t>
  </si>
  <si>
    <t>1470102179482</t>
  </si>
  <si>
    <t>1470092229142</t>
  </si>
  <si>
    <t>1457968862314</t>
  </si>
  <si>
    <t>1470092229152</t>
  </si>
  <si>
    <t>1445524024291</t>
  </si>
  <si>
    <t>Samsung Galaxy Note 9 - Lavander - MYSHARE 30-60</t>
  </si>
  <si>
    <t>Samsung Galaxy Note 9 - Lavander - MYSHARE 30-60_GSI</t>
  </si>
  <si>
    <t>1470092229722</t>
  </si>
  <si>
    <t>1458124163055</t>
  </si>
  <si>
    <t>BlackBerry Key2 LE  - Black- MYUNLIMITED</t>
  </si>
  <si>
    <t>BlackBerry Key2 LE  - Black- MYUNLIMITED_GSI</t>
  </si>
  <si>
    <t>1470088365472</t>
  </si>
  <si>
    <t>1461143569080</t>
  </si>
  <si>
    <t>Huawei Mate 20 Pro - Blue - MYSHARE 30-60</t>
  </si>
  <si>
    <t>Huawei Mate 20 Pro - Blue - MYSHARE 30-60_GSI</t>
  </si>
  <si>
    <t>1470093292892</t>
  </si>
  <si>
    <t>1357615177471</t>
  </si>
  <si>
    <t>Wind Smart - Black - AI RIC UNLI. PREMIUM. TOP MONDO</t>
  </si>
  <si>
    <t>Wind Smart - Black - AI RIC UNLI. PREMIUM. TOP MONDO_GSI</t>
  </si>
  <si>
    <t>1470092229692</t>
  </si>
  <si>
    <t>1464993087107</t>
  </si>
  <si>
    <t>Huawei P30 Lite - Blue-  MYUNLIMITED</t>
  </si>
  <si>
    <t>Huawei P30 Lite - Blue-  MYUNLIMITED_GSI</t>
  </si>
  <si>
    <t>1470100094312</t>
  </si>
  <si>
    <t>1344973744934</t>
  </si>
  <si>
    <t>Samsung Galaxy S7 - Black - AI BUS BIG</t>
  </si>
  <si>
    <t>Samsung Galaxy S7 - Black - AI BUS BIG_GSI</t>
  </si>
  <si>
    <t>1470109173992</t>
  </si>
  <si>
    <t>1464974811099</t>
  </si>
  <si>
    <t>Huawei P20 PRO Limited edition - Black - MYSHARE 5-15</t>
  </si>
  <si>
    <t>Huawei P20 PRO Limited edition - Black - MYSHARE 5-15_GSI</t>
  </si>
  <si>
    <t>1470100869102</t>
  </si>
  <si>
    <t>1460307928472</t>
  </si>
  <si>
    <t>Samsung Galaxy S10 128 GB - White - SUPER UNLIMITED</t>
  </si>
  <si>
    <t>Tel.Cel Samsung GalaxyS10128GB PriWhite</t>
  </si>
  <si>
    <t>Samsung Galaxy S10 128 GB - White - SUPER UNLIMITED_GSI</t>
  </si>
  <si>
    <t>1470094216962</t>
  </si>
  <si>
    <t>1460251640164</t>
  </si>
  <si>
    <t>Apple iPhone Xs Max 64GB - Silver - SUPER UNLIMITED</t>
  </si>
  <si>
    <t>Apple iPhone Xs  Max 64GB Silver</t>
  </si>
  <si>
    <t>Apple iPhone Xs Max 64GB - Silver - SUPER UNLIMITED_GSI</t>
  </si>
  <si>
    <t>1470094507072</t>
  </si>
  <si>
    <t>1460310736320</t>
  </si>
  <si>
    <t>Huawei P Smart 2019 - Black - SUPER UNLIMITED</t>
  </si>
  <si>
    <t>Tel.Cel Huawei P Smart  2019 Black</t>
  </si>
  <si>
    <t>Huawei P Smart 2019 - Black - SUPER UNLIMITED_GSI</t>
  </si>
  <si>
    <t>1470096048942</t>
  </si>
  <si>
    <t>1460251640142</t>
  </si>
  <si>
    <t>Apple iPhone Xs 256GB - Gold - SUPER UNLIMITED</t>
  </si>
  <si>
    <t>Apple iPhone Xs  256GB Gold</t>
  </si>
  <si>
    <t>30 Mesi - Apple IPhone Xs 256GB - Gold</t>
  </si>
  <si>
    <t>000000000000009996</t>
  </si>
  <si>
    <t>Apple iPhone Xs 256GB - Gold - SUPER UNLIMITED_GSI</t>
  </si>
  <si>
    <t>1470096663422</t>
  </si>
  <si>
    <t>1461270234708</t>
  </si>
  <si>
    <t>Huawei P30 Pro 128GB - Black - MYUNLIMITED</t>
  </si>
  <si>
    <t>Huawei P30 Pro 128GB - Black - MYUNLIMITED_GSI</t>
  </si>
  <si>
    <t>1470096663802</t>
  </si>
  <si>
    <t>1344938987222</t>
  </si>
  <si>
    <t>Samsung Galaxy S7 Edge - Black -  AI RIC UNLI - PREMIUM - TOP MONDO</t>
  </si>
  <si>
    <t>Samsung Galaxy S7 Edge - Black -  AI RIC UNLI - PREMIUM - TOP MONDO_GSI</t>
  </si>
  <si>
    <t>1470098853812</t>
  </si>
  <si>
    <t>1464938274850</t>
  </si>
  <si>
    <t>Huawei Mate 20 Pro limited edition- Blue - MYSHARE 30-60</t>
  </si>
  <si>
    <t>KIT Huawei MATE 20Pro Blu LimitedEdition</t>
  </si>
  <si>
    <t>30 Mesi - Huawei Mate 20 Pro - Limited Edition - Blue</t>
  </si>
  <si>
    <t>000000000000010459</t>
  </si>
  <si>
    <t>Huawei Mate 20 Pro limited edition- Blue - MYSHARE 30-60_GSI</t>
  </si>
  <si>
    <t>1470102179442</t>
  </si>
  <si>
    <t>1339568476794</t>
  </si>
  <si>
    <t>Samsung Galaxy S8 Plus - Silver -  AI BUS UNLI - PREMIUM - TOP MONDO</t>
  </si>
  <si>
    <t>Tel.Cel Samsung Galaxy S8+Arctic Silver</t>
  </si>
  <si>
    <t>Samsung Galaxy S8 Plus - Silver</t>
  </si>
  <si>
    <t>000000000000008707</t>
  </si>
  <si>
    <t>Samsung Galaxy S8 Plus - Silver -  AI BUS UNLI - PREMIUM - TOP MONDO_GSI</t>
  </si>
  <si>
    <t>1470103255792</t>
  </si>
  <si>
    <t>1470098906002</t>
  </si>
  <si>
    <t>1339541295091</t>
  </si>
  <si>
    <t>Samsung Galaxy S8 Plus - Silver -  AI RIC UNLI - PREMIUM - TOP MONDO</t>
  </si>
  <si>
    <t>Samsung Galaxy S8 Plus - Silver -  AI RIC UNLI - PREMIUM - TOP MONDO_GSI</t>
  </si>
  <si>
    <t>1470102179762</t>
  </si>
  <si>
    <t>1445571272360</t>
  </si>
  <si>
    <t>Samsung Galaxy Note 9 - Blue - MYSHARE 30-60</t>
  </si>
  <si>
    <t>Samsung Galaxy Note 9 - Blue - MYSHARE 30-60_GSI</t>
  </si>
  <si>
    <t>1470103821472</t>
  </si>
  <si>
    <t>1467940020805</t>
  </si>
  <si>
    <t>Alcatel 1X 2019 - Blue - SUPER UNLIMITED</t>
  </si>
  <si>
    <t>Alcatel 1X 2019 - Blue - SUPER UNLIMITED_GSI</t>
  </si>
  <si>
    <t>1470105581542</t>
  </si>
  <si>
    <t>1308900939251</t>
  </si>
  <si>
    <t>Apple Iphone 7 128GB WT - Choose Black - BASIC</t>
  </si>
  <si>
    <t>Apple Iphone 7 128GB WT Black</t>
  </si>
  <si>
    <t>Apple Iphone 7 128GB WT- Choose Black</t>
  </si>
  <si>
    <t>000000000000008660</t>
  </si>
  <si>
    <t>Apple Iphone 7 128GB WT - Choose Black - BASIC_GSI</t>
  </si>
  <si>
    <t>1470089968622</t>
  </si>
  <si>
    <t>1469910806942</t>
  </si>
  <si>
    <t>1308854175921</t>
  </si>
  <si>
    <t>Apple Iphone 7 Plus 32GB Silver - UNLIMITED</t>
  </si>
  <si>
    <t>Apple Iphone 7 Plus 32GB Silver - UNLIMITED_GSI</t>
  </si>
  <si>
    <t>1470083455522</t>
  </si>
  <si>
    <t>1309482557585</t>
  </si>
  <si>
    <t>Huawei P8 Lite - White -AI RIC BIG</t>
  </si>
  <si>
    <t>Huawei P8 Lite - White -AI RIC BIG_GSI</t>
  </si>
  <si>
    <t>1470085503292</t>
  </si>
  <si>
    <t>1308958551189</t>
  </si>
  <si>
    <t>Samsung Galaxy J7 - Gold - UNLIMITED</t>
  </si>
  <si>
    <t>Samsung Galaxy J7 - Gold - UNLIMITED_GSI</t>
  </si>
  <si>
    <t>1470087591632</t>
  </si>
  <si>
    <t>1470083037612</t>
  </si>
  <si>
    <t>1457888371280</t>
  </si>
  <si>
    <t>Samsung Galaxy S10 128 GB - Black - SMARTSHARE UNLIMITED</t>
  </si>
  <si>
    <t>Samsung Galaxy S10 128 GB - Black - SMARTSHARE UNLIMITED_GSI</t>
  </si>
  <si>
    <t>1470091688062</t>
  </si>
  <si>
    <t>1192444653903</t>
  </si>
  <si>
    <t>Wind Tab 8" - Internet 25 GB</t>
  </si>
  <si>
    <t>Wind Tab 8" - Internet 25 GB_GSI</t>
  </si>
  <si>
    <t>1470090704222</t>
  </si>
  <si>
    <t>1199307139832</t>
  </si>
  <si>
    <t>Blackberry Priv Black - AI BUSINESS UNL. PREMIUM. TOP MONDO</t>
  </si>
  <si>
    <t>Blackberry Priv Black - AI BUSINESS UNL. PREMIUM. TOP MONDO_GSI</t>
  </si>
  <si>
    <t>1470090672782</t>
  </si>
  <si>
    <t>1457893502733</t>
  </si>
  <si>
    <t>Samsung Galaxy S10+ 512 GB - White - MYSHARE 30-60</t>
  </si>
  <si>
    <t>Samsung Galaxy S10+ 512 GB - White - MYSHARE 30-60_GSI</t>
  </si>
  <si>
    <t>1470082570512</t>
  </si>
  <si>
    <t>1308937056899</t>
  </si>
  <si>
    <t>Apple Iphone 6S 32GB Silver - UNLIMITED</t>
  </si>
  <si>
    <t>Apple Iphone 6S 32GB Silver - UNLIMITED_GSI</t>
  </si>
  <si>
    <t>1470096159472</t>
  </si>
  <si>
    <t>1466672142482</t>
  </si>
  <si>
    <t>Promo CC - Huawei Y6 2019 Black - SUPER UNLIMITED</t>
  </si>
  <si>
    <t>Promo CC - Huawei Y6 2019 Black - SUPER UNLIMITED_GSI</t>
  </si>
  <si>
    <t>1470079837862</t>
  </si>
  <si>
    <t>1422933662333</t>
  </si>
  <si>
    <t>Kit GigaSmartShare Wi-Fi ZYXEL 4G Mar18-Internet 30GB</t>
  </si>
  <si>
    <t>Kit GigaSmartShare Wi-Fi ZYXEL 4G Mar18-Internet 30GB_GSI</t>
  </si>
  <si>
    <t>1470090914432</t>
  </si>
  <si>
    <t>1467005244989</t>
  </si>
  <si>
    <t>Huawei P30 Pro 256GB - Black - MYSHARE</t>
  </si>
  <si>
    <t>Tel.Cel Huawei P30 Pro 256GB Black</t>
  </si>
  <si>
    <t>30 Mesi - Huawei P30 Pro 256GB - Black</t>
  </si>
  <si>
    <t>000000000000010293</t>
  </si>
  <si>
    <t>Huawei P30 Pro 256GB - Black - MYSHARE_GSI</t>
  </si>
  <si>
    <t>1470090914522</t>
  </si>
  <si>
    <t>1339541295171</t>
  </si>
  <si>
    <t>Huawei P10 Plus - Black -  AI RIC UNLI - PREMIUM - TOP MONDO</t>
  </si>
  <si>
    <t>Huawei P10 Plus - Black -  AI RIC UNLI - PREMIUM - TOP MONDO_GSI</t>
  </si>
  <si>
    <t>1470089968762</t>
  </si>
  <si>
    <t>1460307928537</t>
  </si>
  <si>
    <t>Samsung Galaxy S10e 128 GB - White - SUPER UNLIMITED</t>
  </si>
  <si>
    <t>Samsung Galaxy S10e 128 GB - White - SUPER UNLIMITED_GSI</t>
  </si>
  <si>
    <t>1470093634602</t>
  </si>
  <si>
    <t>1388104008153</t>
  </si>
  <si>
    <t>Promo Easy Sales - TAB A 10,1</t>
  </si>
  <si>
    <t>Samsung Tab A 2016 10.1 LTE White</t>
  </si>
  <si>
    <t>Samsung Galaxy Tab A 10,1 (2016) - White</t>
  </si>
  <si>
    <t>000000000000008212</t>
  </si>
  <si>
    <t>Promo Easy Sales - TAB A 10,1_GSI</t>
  </si>
  <si>
    <t>1470098878142</t>
  </si>
  <si>
    <t>1460303085430</t>
  </si>
  <si>
    <t>Apple iPhone Xr 128GB - White- SUPER UNLIMITED</t>
  </si>
  <si>
    <t>Apple  iPhone Xr 128GB White</t>
  </si>
  <si>
    <t>Apple iPhone Xr 128GB - White- SUPER UNLIMITED_GSI</t>
  </si>
  <si>
    <t>1470095336022</t>
  </si>
  <si>
    <t>1457968862355</t>
  </si>
  <si>
    <t>1344973745001</t>
  </si>
  <si>
    <t>Samsung Galaxy S7 - Silver - AI BUS BIG</t>
  </si>
  <si>
    <t>Samsung Galaxy S7 - Silver - AI BUS BIG_GSI</t>
  </si>
  <si>
    <t>1470109721472</t>
  </si>
  <si>
    <t>1445571271833</t>
  </si>
  <si>
    <t>Apple iPhone Xs 64GB - Silver - MYSHARE</t>
  </si>
  <si>
    <t>Apple iPhone Xs 64GB Silver</t>
  </si>
  <si>
    <t>30 Mesi - Apple IPhone Xs 64GB - Silver</t>
  </si>
  <si>
    <t>000000000000009992</t>
  </si>
  <si>
    <t>Apple iPhone Xs 64GB - Silver - MYSHARE_GSI</t>
  </si>
  <si>
    <t>1470099099852</t>
  </si>
  <si>
    <t>1344622578196</t>
  </si>
  <si>
    <t>Samsung Galaxy S7 - White - UNLIMITED</t>
  </si>
  <si>
    <t>Samsung Galaxy S7 - White - UNLIMITED_GSI</t>
  </si>
  <si>
    <t>1470101963612</t>
  </si>
  <si>
    <t>1464993087114</t>
  </si>
  <si>
    <t>Huawei P30 Lite - Black -  MYUNLIMITED</t>
  </si>
  <si>
    <t>Huawei P30 Lite - Black -  MYUNLIMITED_GSI</t>
  </si>
  <si>
    <t>1470097488822</t>
  </si>
  <si>
    <t>1339576703971</t>
  </si>
  <si>
    <t>Samsung Galaxy A3 - Blue - AI BUS UNLI. PREMIUM. TOP MONDO</t>
  </si>
  <si>
    <t>Samsung Galaxy A3 - Blue - AI BUS UNLI. PREMIUM. TOP MONDO_GSI</t>
  </si>
  <si>
    <t>1470104790082</t>
  </si>
  <si>
    <t>1344938987174</t>
  </si>
  <si>
    <t>Samsung Galaxy S8 - Black -  AI RIC BIG</t>
  </si>
  <si>
    <t>Samsung Galaxy S8 - Black -  AI RIC BIG_GSI</t>
  </si>
  <si>
    <t>1470098853802</t>
  </si>
  <si>
    <t>1470100268282</t>
  </si>
  <si>
    <t>1445606530087</t>
  </si>
  <si>
    <t>Apple Iphone 6S 32GB - Silver - MYSHARE</t>
  </si>
  <si>
    <t>Apple iPhone 6s 32GB WT Silver</t>
  </si>
  <si>
    <t>000000000000008686</t>
  </si>
  <si>
    <t>Apple Iphone 6S 32GB - Silver - MYSHARE_GSI</t>
  </si>
  <si>
    <t>1470104144012</t>
  </si>
  <si>
    <t>1457968862387</t>
  </si>
  <si>
    <t>Samsung Galaxy S10+ 512 GB - White - MYUNLIMITED 30</t>
  </si>
  <si>
    <t>Samsung Galaxy S10+ 512 GB - White - MYUNLIMITED 30_GSI</t>
  </si>
  <si>
    <t>1470099421122</t>
  </si>
  <si>
    <t>1457891014033</t>
  </si>
  <si>
    <t>1469088088643</t>
  </si>
  <si>
    <t>Promo FS - Huawei Y6 2019 Blue - SMARTSHARE 500</t>
  </si>
  <si>
    <t>Promo FS - Huawei Y6 2019 Blue - SMARTSHARE 500_GSI</t>
  </si>
  <si>
    <t>1470097785962</t>
  </si>
  <si>
    <t>1448727352082</t>
  </si>
  <si>
    <t>Xiaomi Mi A2 Lite - Black - MYUNLIMITED</t>
  </si>
  <si>
    <t>Tel.Cel Xiaomi MI A2 LITE black</t>
  </si>
  <si>
    <t>30 Mesi - Xiaomi Mi A2 Lite - Black</t>
  </si>
  <si>
    <t>000000000000009748</t>
  </si>
  <si>
    <t>Xiaomi Mi A2 Lite - Black - MYUNLIMITED_GSI</t>
  </si>
  <si>
    <t>1470104144392</t>
  </si>
  <si>
    <t>1445598525277</t>
  </si>
  <si>
    <t>Apple iPhone 8 64GB - Silver - SMARTSHARE UNLIMITED</t>
  </si>
  <si>
    <t>Apple IPhone 8 64GB Silver</t>
  </si>
  <si>
    <t>Apple iPhone 8 64GB - Silver - SMARTSHARE UNLIMITED_GSI</t>
  </si>
  <si>
    <t>1470105014652</t>
  </si>
  <si>
    <t>1339502945687</t>
  </si>
  <si>
    <t>Samsung Galaxy A5 - Gold - UNLIMITED</t>
  </si>
  <si>
    <t>Samsung Galaxy A5 - Gold - UNLIMITED_GSI</t>
  </si>
  <si>
    <t>1470100869182</t>
  </si>
  <si>
    <t>1468266134580</t>
  </si>
  <si>
    <t>Huawei Y5 2019 - Black - SMARTSHARE</t>
  </si>
  <si>
    <t>Huawei Y5 2019 - Black - SMARTSHARE_GSI</t>
  </si>
  <si>
    <t>1470104143972</t>
  </si>
  <si>
    <t>1339502945636</t>
  </si>
  <si>
    <t>Samsung Galaxy A5  - Black - UNLIMITED</t>
  </si>
  <si>
    <t>Samsung Galaxy A5  - Black - UNLIMITED_GSI</t>
  </si>
  <si>
    <t>1470095532742</t>
  </si>
  <si>
    <t>1445963132758</t>
  </si>
  <si>
    <t>Huawei P20 PRO - Black - MYUNLIMITED 15</t>
  </si>
  <si>
    <t>Huawei P20 PRO - Black - MYUNLIMITED 15_GSI</t>
  </si>
  <si>
    <t>1470106229662</t>
  </si>
  <si>
    <t>1464987690056</t>
  </si>
  <si>
    <t>1460294896041</t>
  </si>
  <si>
    <t>Huawei Mate 20 Pro LIMITED EDITION - Blue - SUPER UNLIMITED</t>
  </si>
  <si>
    <t>Huawei Mate 20 Pro LIMITED EDITION - Blue - SUPER UNLIMITED_GSI</t>
  </si>
  <si>
    <t>1470090704512</t>
  </si>
  <si>
    <t>1470095583062</t>
  </si>
  <si>
    <t>1464981301375</t>
  </si>
  <si>
    <t>Samsung Galaxy A40 - Black - SMARTSHARE</t>
  </si>
  <si>
    <t>Samsung Galaxy A40 - Black - SMARTSHARE_GSI</t>
  </si>
  <si>
    <t>1470097249842</t>
  </si>
  <si>
    <t>1445598524845</t>
  </si>
  <si>
    <t>Apple iPhone Xr 64GB - Black - SMARTSHARE UNLIMITED</t>
  </si>
  <si>
    <t>Apple iPhone Xr 64GB - Black - SMARTSHARE UNLIMITED_GSI</t>
  </si>
  <si>
    <t>1470105204982</t>
  </si>
  <si>
    <t>1468490440892</t>
  </si>
  <si>
    <t>LAR_20190616Nextivity_APRETIGAS</t>
  </si>
  <si>
    <t>Nextivity Cel-Fi Pro RS3 - (ENT)</t>
  </si>
  <si>
    <t>LAR_20190616Nextivity_APRETIGAS_GSI</t>
  </si>
  <si>
    <t>1470093184332</t>
  </si>
  <si>
    <t>1470090879082</t>
  </si>
  <si>
    <t>1339502945682</t>
  </si>
  <si>
    <t>Samsung Galaxy A5 - Gold - BASIC</t>
  </si>
  <si>
    <t>Samsung Galaxy A5 - Gold - BASIC_GSI</t>
  </si>
  <si>
    <t>1470105068932</t>
  </si>
  <si>
    <t>1308932458551</t>
  </si>
  <si>
    <t>Apple Iphone 7  32GB WT Gold - UNLIMITED</t>
  </si>
  <si>
    <t>Apple Iphone 7 32 GB Gold</t>
  </si>
  <si>
    <t>Apple Iphone 7 32GB - Gold</t>
  </si>
  <si>
    <t>000000000000008442</t>
  </si>
  <si>
    <t>Apple Iphone 7  32GB WT Gold - UNLIMITED_GSI</t>
  </si>
  <si>
    <t>1470095532382</t>
  </si>
  <si>
    <t>1445963132752</t>
  </si>
  <si>
    <t>Huawei P20 PRO - Blue - MYUNLIMITED 30</t>
  </si>
  <si>
    <t>Huawei P20 PRO - Blue - MYUNLIMITED 30_GSI</t>
  </si>
  <si>
    <t>1470102589832</t>
  </si>
  <si>
    <t>1464981302035</t>
  </si>
  <si>
    <t>Samsung Galaxy A40 - White  - MYSHARE</t>
  </si>
  <si>
    <t>Tel.Cel Samsung Galaxy A40 DUALSIM white</t>
  </si>
  <si>
    <t>30 Mesi - Samsung Galaxy A40 - White</t>
  </si>
  <si>
    <t>000000000000010463</t>
  </si>
  <si>
    <t>Samsung Galaxy A40 - White  - MYSHARE_GSI</t>
  </si>
  <si>
    <t>1470096663832</t>
  </si>
  <si>
    <t>1339561658353</t>
  </si>
  <si>
    <t>Huawei P10 Silver - AI RIC UNLI. PREMIUM. TOP MONDO</t>
  </si>
  <si>
    <t>Tel.Cel Huawei P10 Silver</t>
  </si>
  <si>
    <t>Huawei P10 – Silver</t>
  </si>
  <si>
    <t>000000000000008701</t>
  </si>
  <si>
    <t>Huawei P10 Silver - AI RIC UNLI. PREMIUM. TOP MONDO_GSI</t>
  </si>
  <si>
    <t>1470103014012</t>
  </si>
  <si>
    <t>1445571272002</t>
  </si>
  <si>
    <t>Apple iPhone X 64GB - Silver - MYSHARE</t>
  </si>
  <si>
    <t>Apple iPhone X 64GB - Silver - MYSHARE_GSI</t>
  </si>
  <si>
    <t>1470099099862</t>
  </si>
  <si>
    <t>1357615177465</t>
  </si>
  <si>
    <t>Wind Smart - Black - AI RIC BIG</t>
  </si>
  <si>
    <t>Wind Smart - Black - AI RIC BIG_GSI</t>
  </si>
  <si>
    <t>1470097249722</t>
  </si>
  <si>
    <t>1460309565929</t>
  </si>
  <si>
    <t>Huawei P20 PRO - Black - SUPER UNLIMITED</t>
  </si>
  <si>
    <t>Tel.Cel  Huawei P20 Pro black</t>
  </si>
  <si>
    <t>Huawei P20 PRO - Black - SUPER UNLIMITED_GSI</t>
  </si>
  <si>
    <t>1470094028132</t>
  </si>
  <si>
    <t>1344962839852</t>
  </si>
  <si>
    <t>Samsung Galaxy S7 - Black - AI RIC BIG</t>
  </si>
  <si>
    <t>Samsung Galaxy S7 - Black - AI RIC BIG_GSI</t>
  </si>
  <si>
    <t>1470101963592</t>
  </si>
  <si>
    <t>1461052648759</t>
  </si>
  <si>
    <t>Huawei P20 Lite - Black -  SUPER UNLIMITED</t>
  </si>
  <si>
    <t>Huawei P20 Lite - Black -  SUPER UNLIMITED_GSI</t>
  </si>
  <si>
    <t>1470093184162</t>
  </si>
  <si>
    <t>1470093184852</t>
  </si>
  <si>
    <t>1445598525271</t>
  </si>
  <si>
    <t>Apple iPhone 8 64GB - Silver - MYSHARE</t>
  </si>
  <si>
    <t>Apple iPhone 8 64GB - Silver - MYSHARE_GSI</t>
  </si>
  <si>
    <t>1470106364232</t>
  </si>
  <si>
    <t>1445980940196</t>
  </si>
  <si>
    <t>WebPocket 4G+ Alcatel - White - ONLY GIGA - 10 GIGA</t>
  </si>
  <si>
    <t>WebPocket 4G+ Alcatel - White - ONLY GIGA - 10 GIGA_GSI</t>
  </si>
  <si>
    <t>1470102475862</t>
  </si>
  <si>
    <t>1357240226986</t>
  </si>
  <si>
    <t>Wind Smart 2017- Black- MYUNLIMITED</t>
  </si>
  <si>
    <t>Wind Smart 2017- Black- MYUNLIMITED_GSI</t>
  </si>
  <si>
    <t>1470094028212</t>
  </si>
  <si>
    <t>1308929824148</t>
  </si>
  <si>
    <t>Apple Iphone 7  32GB WT Choose Black - UNLIMITED</t>
  </si>
  <si>
    <t>Apple Iphone 7  32GB WT Choose Black - UNLIMITED_GSI</t>
  </si>
  <si>
    <t>1470098905972</t>
  </si>
  <si>
    <t>1371575521450</t>
  </si>
  <si>
    <t>Apple Iphone 7 32GB WT (Limited Edition) (*) - Silver - MYSHARE</t>
  </si>
  <si>
    <t>Kit AppleIphone7 32GBWTslv+LEXARJumpdC20</t>
  </si>
  <si>
    <t>Apple Iphone 7 32GB WT (Limited Edition) - Silver</t>
  </si>
  <si>
    <t>000000000000009202</t>
  </si>
  <si>
    <t>Apple Iphone 7 32GB WT (Limited Edition) (*) - Silver - MYSHARE_GSI</t>
  </si>
  <si>
    <t>1470098569642</t>
  </si>
  <si>
    <t>1461270234760</t>
  </si>
  <si>
    <t>Apple iPad mini 64GB - Space Grey - ONLY GIGA - GIGABOOST</t>
  </si>
  <si>
    <t>Apple iPad mini 64GB - Space Grey - ONLY GIGA - GIGABOOST_GSI</t>
  </si>
  <si>
    <t>1470098906022</t>
  </si>
  <si>
    <t>1445428242121</t>
  </si>
  <si>
    <t>Apple iPhone Xs Max 64GB - Silver - MYSHARE</t>
  </si>
  <si>
    <t>Apple iPhone Xs Max 64GB - Silver - MYSHARE_GSI</t>
  </si>
  <si>
    <t>1470105204972</t>
  </si>
  <si>
    <t>1445423958405</t>
  </si>
  <si>
    <t>Apple iPhone Xs 256GB - Gold - MYSHARE</t>
  </si>
  <si>
    <t>Apple iPhone Xs 256GB Gold</t>
  </si>
  <si>
    <t>Apple iPhone Xs 256GB - Gold - MYSHARE_GSI</t>
  </si>
  <si>
    <t>1470098569842</t>
  </si>
  <si>
    <t>1339576703923</t>
  </si>
  <si>
    <t>Samsung Galaxy A5 - Blue - AI BUS BIG</t>
  </si>
  <si>
    <t>Samsung Galaxy A5 - Blue - AI BUS BIG_GSI</t>
  </si>
  <si>
    <t>1470098878292</t>
  </si>
  <si>
    <t>1308905124198</t>
  </si>
  <si>
    <t>Apple Iphone 7 Plus 128GB WT Silver - BASIC</t>
  </si>
  <si>
    <t>Apple Iphone 7 Plus 128 GB WT silver</t>
  </si>
  <si>
    <t>Apple Iphone 7 Plus 128GB WT - Silver</t>
  </si>
  <si>
    <t>000000000000008735</t>
  </si>
  <si>
    <t>Apple Iphone 7 Plus 128GB WT Silver - BASIC_GSI</t>
  </si>
  <si>
    <t>1470096552452</t>
  </si>
  <si>
    <t>1460322317438</t>
  </si>
  <si>
    <t>Samsung Tab A 10.1 - 32GB - Black - SUPER GIGA 70</t>
  </si>
  <si>
    <t>Samsung  GalaxyTAB A 10.1 32GB Black</t>
  </si>
  <si>
    <t>30 Mesi - Samsung Tab A 10.1 - 32GB - Black</t>
  </si>
  <si>
    <t>000000000000009433</t>
  </si>
  <si>
    <t>Samsung Tab A 10.1 - 32GB - Black - SUPER GIGA 70_GSI</t>
  </si>
  <si>
    <t>1470084111502</t>
  </si>
  <si>
    <t>1467810946119</t>
  </si>
  <si>
    <t>LAR_20190612HuaweiP20Pro_CRAL UNIVSTUDI</t>
  </si>
  <si>
    <t>LAR_20190612HuaweiP20Pro_CRAL UNIVSTUDI_GSI</t>
  </si>
  <si>
    <t>1470090704542</t>
  </si>
  <si>
    <t>1461270234184</t>
  </si>
  <si>
    <t>Huawei P30 Pro 128GB -  Aurora - SMARTSHARE UNLIMITED</t>
  </si>
  <si>
    <t>Huawei P30 Pro 128GB -  Aurora - SMARTSHARE UNLIMITED_GSI</t>
  </si>
  <si>
    <t>1470084111842</t>
  </si>
  <si>
    <t>1446646532884</t>
  </si>
  <si>
    <t>Apple iPad32GB - Space Gray - ONLY GIGA - GIGABOOST</t>
  </si>
  <si>
    <t>Apple iPad32GB - Space Gray - ONLY GIGA - GIGABOOST_GSI</t>
  </si>
  <si>
    <t>1470108487082</t>
  </si>
  <si>
    <t>1460251640130</t>
  </si>
  <si>
    <t>Apple iPhone Xs 256GB - Space Gray - SUPER UNLIMITED</t>
  </si>
  <si>
    <t>Apple iPhone Xs 256GB Space Gray</t>
  </si>
  <si>
    <t>30 Mesi - Apple IPhone Xs 256GB - Space Gray</t>
  </si>
  <si>
    <t>000000000000009994</t>
  </si>
  <si>
    <t>Apple iPhone Xs 256GB - Space Gray - SUPER UNLIMITED_GSI</t>
  </si>
  <si>
    <t>1470094431132</t>
  </si>
  <si>
    <t>1457891013997</t>
  </si>
  <si>
    <t>1465039283098</t>
  </si>
  <si>
    <t>Samsung Galaxy J6 - Black - MYUNLIMITED</t>
  </si>
  <si>
    <t>30 Mesi - Samsung Galaxy J6 - Black</t>
  </si>
  <si>
    <t>Samsung Galaxy J6 - Black - MYUNLIMITED_GSI</t>
  </si>
  <si>
    <t>1470102179452</t>
  </si>
  <si>
    <t>1339541295023</t>
  </si>
  <si>
    <t>Samsung Galaxy A3 - Gold - UNLIMITED</t>
  </si>
  <si>
    <t>Samsung Galaxy A3 - Gold - UNLIMITED_GSI</t>
  </si>
  <si>
    <t>1470101066472</t>
  </si>
  <si>
    <t>1339541295105</t>
  </si>
  <si>
    <t>Samsung Galaxy S8 Plus - Violet -  AI RIC UNLI - PREMIUM - TOP MONDO</t>
  </si>
  <si>
    <t>Samsung Galaxy S8 Plus - Violet -  AI RIC UNLI - PREMIUM - TOP MONDO_GSI</t>
  </si>
  <si>
    <t>1470102179802</t>
  </si>
  <si>
    <t>1339576703882</t>
  </si>
  <si>
    <t>Huawei P10 Silver  - AI BUS BIG</t>
  </si>
  <si>
    <t>Huawei P10 Silver  - AI BUS BIG_GSI</t>
  </si>
  <si>
    <t>1470103950262</t>
  </si>
  <si>
    <t>1344962839874</t>
  </si>
  <si>
    <t>Samsung Galaxy S7 - White - AI RIC BIG</t>
  </si>
  <si>
    <t>Samsung Galaxy S7 - White - AI RIC BIG_GSI</t>
  </si>
  <si>
    <t>1470100869232</t>
  </si>
  <si>
    <t>1169864129502</t>
  </si>
  <si>
    <t>LG G4 Leather Black - AI BUSINESS UNL. PREMIUM. TOP MONDO</t>
  </si>
  <si>
    <t>Tel.Cel LG G4 32GB Leather black</t>
  </si>
  <si>
    <t>000000000000007485</t>
  </si>
  <si>
    <t>LG G4 Leather Black - AI BUSINESS UNL. PREMIUM. TOP MONDO_GSI</t>
  </si>
  <si>
    <t>1470091022802</t>
  </si>
  <si>
    <t>1460310736394</t>
  </si>
  <si>
    <t>Apple Ipad 9.7 128GB - Space grey - SUPER GIGA 70</t>
  </si>
  <si>
    <t>AppleiPad New  9.7 128GB Space Gray</t>
  </si>
  <si>
    <t>Apple Ipad 9.7 128GB - Space grey - SUPER GIGA 70_GSI</t>
  </si>
  <si>
    <t>1470093559692</t>
  </si>
  <si>
    <t>1457968862377</t>
  </si>
  <si>
    <t>Samsung Galaxy S10e 128 GB - White - SMARTSHARE UNLIMITED</t>
  </si>
  <si>
    <t>Samsung Galaxy S10e 128 GB - White - SMARTSHARE UNLIMITED_GSI</t>
  </si>
  <si>
    <t>1470083037672</t>
  </si>
  <si>
    <t>1445881318922</t>
  </si>
  <si>
    <t>Apple iPhone Xs Max 256GB - Silver - MYUNLIMITED</t>
  </si>
  <si>
    <t>Apple iPhone Xs Max 256GB Silver</t>
  </si>
  <si>
    <t>30 Mesi - Apple IPhone Xs Max 256GB - Silver</t>
  </si>
  <si>
    <t>000000000000010004</t>
  </si>
  <si>
    <t>Apple iPhone Xs Max 256GB - Silver - MYUNLIMITED_GSI</t>
  </si>
  <si>
    <t>1470094507732</t>
  </si>
  <si>
    <t>1445606530668</t>
  </si>
  <si>
    <t>Apple Iphone 6S 32GB - Space Gray - SMARTSHARE</t>
  </si>
  <si>
    <t>Apple Iphone 6S 32GB - Space Gray - SMARTSHARE_GSI</t>
  </si>
  <si>
    <t>1470105881752</t>
  </si>
  <si>
    <t>1445963132476</t>
  </si>
  <si>
    <t>Huawei P20 PRO - Blue - MYUNLIMITED 15</t>
  </si>
  <si>
    <t>Huawei P20 PRO - Blue - MYUNLIMITED 15_GSI</t>
  </si>
  <si>
    <t>1470109173962</t>
  </si>
  <si>
    <t>1457891013911</t>
  </si>
  <si>
    <t>1457968862432</t>
  </si>
  <si>
    <t>Samsung Galaxy S10e 128 GB - Black - MYUNLIMITED 30</t>
  </si>
  <si>
    <t>Samsung Galaxy S10e 128 GB - Black - MYUNLIMITED 30_GSI</t>
  </si>
  <si>
    <t>1470094507172</t>
  </si>
  <si>
    <t>1373923137762</t>
  </si>
  <si>
    <t>Apple Iphone 7 Plus 32GB Silver -  SMARTSHARE</t>
  </si>
  <si>
    <t>Apple Iphone 7 Plus 32GB Silver -  SMARTSHARE_GSI</t>
  </si>
  <si>
    <t>1470094507212</t>
  </si>
  <si>
    <t>1457968862402</t>
  </si>
  <si>
    <t>1458124163032</t>
  </si>
  <si>
    <t>BlackBerry Key2 LE - Black - MYSHARE</t>
  </si>
  <si>
    <t>BlackBerry Key2 LE - Black - MYSHARE_GSI</t>
  </si>
  <si>
    <t>1470094507182</t>
  </si>
  <si>
    <t>1445885015058</t>
  </si>
  <si>
    <t>Samsung Galaxy Note 9 - Blue - MYUNLIMITED 15</t>
  </si>
  <si>
    <t>Samsung Galaxy Note 9 - Blue - MYUNLIMITED 15_GSI</t>
  </si>
  <si>
    <t>1470105069002</t>
  </si>
  <si>
    <t>1445571271839</t>
  </si>
  <si>
    <t>Apple iPhone Xs 64GB - Silver - SMARTSHARE UNLIMITED</t>
  </si>
  <si>
    <t>Apple iPhone Xs 64GB - Silver - SMARTSHARE UNLIMITED_GSI</t>
  </si>
  <si>
    <t>1470102931682</t>
  </si>
  <si>
    <t>1142601341670</t>
  </si>
  <si>
    <t>Blackberry Passport  Limited Edition -MNP- All Inclusive Business Big</t>
  </si>
  <si>
    <t>Blackberry Passport  Limited Edition -MNP- All Inclusive Business Big_GSI</t>
  </si>
  <si>
    <t>1470091688422</t>
  </si>
  <si>
    <t>1457893502379</t>
  </si>
  <si>
    <t>Samsung Galaxy S10+ 512 GB - Black - MYSHARE 30-60</t>
  </si>
  <si>
    <t>Samsung Galaxy S10+ 512 GB - Black - MYSHARE 30-60_GSI</t>
  </si>
  <si>
    <t>1470083037592</t>
  </si>
  <si>
    <t>1309482557609</t>
  </si>
  <si>
    <t>Huawei P8 Lite - Black - AI BUS BIG</t>
  </si>
  <si>
    <t>Huawei P8 Lite - Black - AI BUS BIG_GSI</t>
  </si>
  <si>
    <t>1470082570502</t>
  </si>
  <si>
    <t>1308931894704</t>
  </si>
  <si>
    <t>Apple Iphone 7  32GB WT Gold - BASIC</t>
  </si>
  <si>
    <t>Apple Iphone 7 32GB WT Gold</t>
  </si>
  <si>
    <t>Apple Iphone 7 32GB WT - Gold</t>
  </si>
  <si>
    <t>000000000000008602</t>
  </si>
  <si>
    <t>Apple Iphone 7  32GB WT Gold - BASIC_GSI</t>
  </si>
  <si>
    <t>1470090672242</t>
  </si>
  <si>
    <t>1308958551232</t>
  </si>
  <si>
    <t>Samsung Galaxy J7 - White - UNLIMITED</t>
  </si>
  <si>
    <t>Tel.Cel Samsung Galaxy J7 white</t>
  </si>
  <si>
    <t>Samsung Galaxy J7 - White</t>
  </si>
  <si>
    <t>000000000000008250</t>
  </si>
  <si>
    <t>Samsung Galaxy J7 - White - UNLIMITED_GSI</t>
  </si>
  <si>
    <t>1470090878922</t>
  </si>
  <si>
    <t>1461260701775</t>
  </si>
  <si>
    <t>Apple iPad mini 64GB - Silver - SUPER GIGA 70</t>
  </si>
  <si>
    <t>Apple iPad mini 64GB - Silver - SUPER GIGA 70_GSI</t>
  </si>
  <si>
    <t>1470088365132</t>
  </si>
  <si>
    <t>1308958551225</t>
  </si>
  <si>
    <t>Samsung Galaxy J7 - White - BASIC</t>
  </si>
  <si>
    <t>Samsung Galaxy J7 - White - BASIC_GSI</t>
  </si>
  <si>
    <t>1470086898542</t>
  </si>
  <si>
    <t>1457873328100</t>
  </si>
  <si>
    <t>Samsung Galaxy S10 512 GB - White - SMARTSHARE UNLIMITED</t>
  </si>
  <si>
    <t>Samsung Galaxy S10 512 GB - White - SMARTSHARE UNLIMITED_GSI</t>
  </si>
  <si>
    <t>1470083979752</t>
  </si>
  <si>
    <t>1457888371702</t>
  </si>
  <si>
    <t>1309365003946</t>
  </si>
  <si>
    <t>Huawei P8 Lite - Black - AI RIC UNLI. PREMIUM. TOP MONDO</t>
  </si>
  <si>
    <t>Huawei P8 Lite - Black - AI RIC UNLI. PREMIUM. TOP MONDO_GSI</t>
  </si>
  <si>
    <t>1470088950492</t>
  </si>
  <si>
    <t>1192412188897</t>
  </si>
  <si>
    <t>Wind Tab 8" - Internet 10 GB</t>
  </si>
  <si>
    <t>Wind Tab 8" - Internet 10 GB_GSI</t>
  </si>
  <si>
    <t>1470091039042</t>
  </si>
  <si>
    <t>1308861726420</t>
  </si>
  <si>
    <t>Apple Iphone 7  128GB Choose Black - UNLIMITED</t>
  </si>
  <si>
    <t>Apple Iphone 7 128 GB black</t>
  </si>
  <si>
    <t>Apple Iphone 7 128GB - Choose Black</t>
  </si>
  <si>
    <t>000000000000008436</t>
  </si>
  <si>
    <t>Apple Iphone 7  128GB Choose Black - UNLIMITED_GSI</t>
  </si>
  <si>
    <t>1470089062572</t>
  </si>
  <si>
    <t>1200365122529</t>
  </si>
  <si>
    <t>Wind Tab 8"  - Internet 10GB</t>
  </si>
  <si>
    <t>Wind Tab 8"  - Internet 10GB_GSI</t>
  </si>
  <si>
    <t>1470090054682</t>
  </si>
  <si>
    <t>1461260701693</t>
  </si>
  <si>
    <t>Huawei P30 Pro 128GB - Aurora - SUPER UNLIMITED</t>
  </si>
  <si>
    <t>Huawei P30 Pro 128GB - Aurora - SUPER UNLIMITED_GSI</t>
  </si>
  <si>
    <t>1470085524642</t>
  </si>
  <si>
    <t>1461052648693</t>
  </si>
  <si>
    <t>Huawei Mate 20 Pro - Blue - SUPER UNLIMITED</t>
  </si>
  <si>
    <t>Huawei Mate 20 Pro - Blue - SUPER UNLIMITED_GSI</t>
  </si>
  <si>
    <t>1470092285192</t>
  </si>
  <si>
    <t>1466252396772</t>
  </si>
  <si>
    <t>Promo FS - Nextivity Cel-Fi Pro RS3 - sconto 100% ET&amp;Rata&amp;MaxiRata - Only Giga</t>
  </si>
  <si>
    <t>Promo FS - Nextivity Cel-Fi Pro RS3 - sconto 100% ET&amp;Rata&amp;MaxiRata - Only Giga_GSI</t>
  </si>
  <si>
    <t>1470089947232</t>
  </si>
  <si>
    <t>1470096158952</t>
  </si>
  <si>
    <t>1468575596084</t>
  </si>
  <si>
    <t>Promo FS - Alcatel 1X 2019 - BLUE - MYSHARE UNLIMITED</t>
  </si>
  <si>
    <t>Promo FS - Alcatel 1X 2019 - BLUE - MYSHARE UNLIMITED_GSI</t>
  </si>
  <si>
    <t>1470089947682</t>
  </si>
  <si>
    <t>1308905124136</t>
  </si>
  <si>
    <t>Apple Iphone 7 Plus 128GB WT Jet Black - BASIC</t>
  </si>
  <si>
    <t>Apple Iphone 7Plus 128GB WT JetBlack</t>
  </si>
  <si>
    <t>Apple Iphone 7 Plus 128GB WT- Jet Black</t>
  </si>
  <si>
    <t>000000000000008599</t>
  </si>
  <si>
    <t>Apple Iphone 7 Plus 128GB WT Jet Black - BASIC_GSI</t>
  </si>
  <si>
    <t>1470096067072</t>
  </si>
  <si>
    <t>1308932458558</t>
  </si>
  <si>
    <t>Apple Iphone 7  32GB WT Rose Gold - BASIC</t>
  </si>
  <si>
    <t>Apple Iphone 7 32 GB Rose Gold</t>
  </si>
  <si>
    <t>Apple Iphone 7 32GB - Rose Gold</t>
  </si>
  <si>
    <t>000000000000008443</t>
  </si>
  <si>
    <t>Apple Iphone 7  32GB WT Rose Gold - BASIC_GSI</t>
  </si>
  <si>
    <t>1470095103812</t>
  </si>
  <si>
    <t>1445409025285</t>
  </si>
  <si>
    <t>Apple iPhone Xs 256GB - Space Gray - SMARTSHARE UNLIMITED</t>
  </si>
  <si>
    <t>Apple iPhone Xs 256GB - Space Gray - SMARTSHARE UNLIMITED_GSI</t>
  </si>
  <si>
    <t>1470105543962</t>
  </si>
  <si>
    <t>1371571788288</t>
  </si>
  <si>
    <t>Apple Iphone 7 32GB WT (Limited Edition) (*) - Black - MYSHARE</t>
  </si>
  <si>
    <t>Kit AppleIphone7 32GBWTblk+LEXARJumpdC20</t>
  </si>
  <si>
    <t>Apple Iphone 7 32GB WT Limited Edition- Black</t>
  </si>
  <si>
    <t>000000000000009199</t>
  </si>
  <si>
    <t>Apple Iphone 7 32GB WT (Limited Edition) (*) - Black - MYSHARE_GSI</t>
  </si>
  <si>
    <t>1470097786032</t>
  </si>
  <si>
    <t>1461270234228</t>
  </si>
  <si>
    <t>Huawei P30 - Black  - Black  - SMARTSHARE UNLIMITED</t>
  </si>
  <si>
    <t>Huawei P30 - Black  - Black  - SMARTSHARE UNLIMITED_GSI</t>
  </si>
  <si>
    <t>1470098878182</t>
  </si>
  <si>
    <t>1445881319223</t>
  </si>
  <si>
    <t>Apple iPhone Xs 256GB - Silver - MYUNLIMITED</t>
  </si>
  <si>
    <t>Apple iPhone Xs 256GB Silver</t>
  </si>
  <si>
    <t>30 Mesi - Apple IPhone Xs 256GB - Silver</t>
  </si>
  <si>
    <t>000000000000009995</t>
  </si>
  <si>
    <t>Apple iPhone Xs 256GB - Silver - MYUNLIMITED_GSI</t>
  </si>
  <si>
    <t>1470098878272</t>
  </si>
  <si>
    <t>1339561658361</t>
  </si>
  <si>
    <t>Samsung Galaxy A5 - Black- AI RIC BIG</t>
  </si>
  <si>
    <t>Samsung Galaxy A5 - Black- AI RIC BIG_GSI</t>
  </si>
  <si>
    <t>1470102931122</t>
  </si>
  <si>
    <t>1421293145762</t>
  </si>
  <si>
    <t>Apple Ipad 9.7' (128GB) - Space Grey - 10 Giga</t>
  </si>
  <si>
    <t>Apple Ipad 9.7' (128GB) - Space Grey - 10 Giga_GSI</t>
  </si>
  <si>
    <t>1470112174762</t>
  </si>
  <si>
    <t>1277678885773</t>
  </si>
  <si>
    <t>Promo MV - Samsung Galaxy A5 2016 Edition - All Inclusive Aziende Ricaricabile Unlimited</t>
  </si>
  <si>
    <t>Tel.Cel Samsung Galaxy A5 2016 Ed.black</t>
  </si>
  <si>
    <t>Samsung Galaxy A5 2016 Edition</t>
  </si>
  <si>
    <t>000000000000007920</t>
  </si>
  <si>
    <t>Promo MV - Samsung Galaxy A5 2016 Edition - All Inclusive Aziende Ricaricabile Unlimited_GSI</t>
  </si>
  <si>
    <t>1470100267982</t>
  </si>
  <si>
    <t>1464987690075</t>
  </si>
  <si>
    <t>Huawei P20 PRO limited edition - MYUNLIMITED 15</t>
  </si>
  <si>
    <t>Huawei P20 PRO limited edition - MYUNLIMITED 15_GSI</t>
  </si>
  <si>
    <t>1470100268292</t>
  </si>
  <si>
    <t>1445885015311</t>
  </si>
  <si>
    <t>Apple iPhone Xr 128GB - White - MYUNLIMITED</t>
  </si>
  <si>
    <t>Apple iPhone Xr 128GB - White - MYUNLIMITED_GSI</t>
  </si>
  <si>
    <t>1470104432202</t>
  </si>
  <si>
    <t>1339568476789</t>
  </si>
  <si>
    <t>Samsung Galaxy S8 Plus - Silver - AI BUS BIG</t>
  </si>
  <si>
    <t>Samsung Galaxy S8 Plus - Silver - AI BUS BIG_GSI</t>
  </si>
  <si>
    <t>1470098878282</t>
  </si>
  <si>
    <t>1457968862417</t>
  </si>
  <si>
    <t>Apple iPhone Xs Max 256GB - Silver - SMARTSHARE UNLIMITED_GSI</t>
  </si>
  <si>
    <t>1470108841912</t>
  </si>
  <si>
    <t>1339541295035</t>
  </si>
  <si>
    <t>Samsung Galaxy A3 - Blue - UNLIMITED</t>
  </si>
  <si>
    <t>Samsung Galaxy A3 - Blue - UNLIMITED_GSI</t>
  </si>
  <si>
    <t>1470103014072</t>
  </si>
  <si>
    <t>1446632734652</t>
  </si>
  <si>
    <t>Apple iPhone X 64GB - Space gray - MYSHARE</t>
  </si>
  <si>
    <t>Apple iPhone X 64GB - Space gray - MYSHARE_GSI</t>
  </si>
  <si>
    <t>1470109703062</t>
  </si>
  <si>
    <t>1445864831334</t>
  </si>
  <si>
    <t>Web Cube 4 - White - ONLY GIGA - 10 GIGA</t>
  </si>
  <si>
    <t>Huawei WebCube4 (E8378) white</t>
  </si>
  <si>
    <t>30 Mesi - Web Cube 4 - White</t>
  </si>
  <si>
    <t>000000000000008897</t>
  </si>
  <si>
    <t>Web Cube 4 - White - ONLY GIGA - 10 GIGA_GSI</t>
  </si>
  <si>
    <t>1470102588952</t>
  </si>
  <si>
    <t>1344962840599</t>
  </si>
  <si>
    <t>Samsung Galaxy S7 Edge - Gold - AI BUS BIG</t>
  </si>
  <si>
    <t>Samsung Galaxy S7 Edge - Gold - AI BUS BIG_GSI</t>
  </si>
  <si>
    <t>1470108002532</t>
  </si>
  <si>
    <t>1421291495506</t>
  </si>
  <si>
    <t>Apple Ipad 9.7' (128GB) - Space Grey - Only Giga</t>
  </si>
  <si>
    <t>Apple Ipad 9.7' (128GB) - Space Grey - Only Giga_GSI</t>
  </si>
  <si>
    <t>1470110773532</t>
  </si>
  <si>
    <t>1371571053660</t>
  </si>
  <si>
    <t>Apple Iphone 7 32GB WT (Limited Edition) (*) - Black - MYUNLIMITED</t>
  </si>
  <si>
    <t>Apple Iphone 7 32GB WT (Limited Edition) (*) - Black - MYUNLIMITED_GSI</t>
  </si>
  <si>
    <t>1470100094022</t>
  </si>
  <si>
    <t>1374022025810</t>
  </si>
  <si>
    <t>Apple Iphone 7 Plus 32GB Silver - MYUNLIMITED</t>
  </si>
  <si>
    <t>Apple Iphone 7 Plus 32GB Silver - MYUNLIMITED_GSI</t>
  </si>
  <si>
    <t>1470098853232</t>
  </si>
  <si>
    <t>1339502946025</t>
  </si>
  <si>
    <t>Samsung Galaxy A3 - Black- BASIC</t>
  </si>
  <si>
    <t>Samsung Galaxy A3 - Black- BASIC_GSI</t>
  </si>
  <si>
    <t>1470104432172</t>
  </si>
  <si>
    <t>1469297146692</t>
  </si>
  <si>
    <t>LAR_20190627_Samsung Tab A 10,1 (32GB) Black_IPS</t>
  </si>
  <si>
    <t>Samsung Tab A 10,1 32GB - Black</t>
  </si>
  <si>
    <t>LAR_20190627_Samsung Tab A 10,1 (32GB) Black_IPS_GSI</t>
  </si>
  <si>
    <t>1470098044752</t>
  </si>
  <si>
    <t>1373923137729</t>
  </si>
  <si>
    <t>Apple Iphone 7 Plus 32GB Choose Black -  SMARTSHARE</t>
  </si>
  <si>
    <t>Apple Iphone 7 Plus 32GB Choose Black -  SMARTSHARE_GSI</t>
  </si>
  <si>
    <t>1470100225042</t>
  </si>
  <si>
    <t>1427264387094</t>
  </si>
  <si>
    <t>Apple iPhone 8 Plus 256GB - Space gray - MYSHARE 30</t>
  </si>
  <si>
    <t>Apple IPhone 8 Plus 256GB Space Grey</t>
  </si>
  <si>
    <t>Apple IPhone 8 Plus 256GB - Space Gray</t>
  </si>
  <si>
    <t>000000000000009217</t>
  </si>
  <si>
    <t>Apple iPhone 8 Plus 256GB - Space gray - MYSHARE 30_GSI</t>
  </si>
  <si>
    <t>1470101051722</t>
  </si>
  <si>
    <t>1374895010140</t>
  </si>
  <si>
    <t>Promo Canone 100% - AVM FritzBox! 7490 FIBRA</t>
  </si>
  <si>
    <t>KIT FTTC AVM FRITZBOX 7490</t>
  </si>
  <si>
    <t>Apparati Wind Business FTTC</t>
  </si>
  <si>
    <t>000000000000008903</t>
  </si>
  <si>
    <t>Promo Canone 100% - AVM FritzBox! 7490 FIBRA_GSI</t>
  </si>
  <si>
    <t>1470094028222</t>
  </si>
  <si>
    <t>1453260599208</t>
  </si>
  <si>
    <t>Huawei P Smart 2019 - Black - MYUNLIMITED</t>
  </si>
  <si>
    <t>Huawei P Smart 2019 - Black - MYUNLIMITED_GSI</t>
  </si>
  <si>
    <t>1470091718132</t>
  </si>
  <si>
    <t>1445409025232</t>
  </si>
  <si>
    <t>Apple iPhone Xs Max 256GB - Gold - SMARTSHARE UNLIMITED</t>
  </si>
  <si>
    <t>Apple iPhone Xs Max 256GB Gold</t>
  </si>
  <si>
    <t>Apple iPhone Xs Max 256GB - Silver - SUPER UNLIMITED_GSI</t>
  </si>
  <si>
    <t>1470095103492</t>
  </si>
  <si>
    <t>1464987690040</t>
  </si>
  <si>
    <t>Huawei Mate 20 Pro limited edition - Blue - MYUNLIMITED 15</t>
  </si>
  <si>
    <t>Huawei Mate 20 Pro limited edition - Blue - MYUNLIMITED 15_GSI</t>
  </si>
  <si>
    <t>1470100869112</t>
  </si>
  <si>
    <t>1466672142490</t>
  </si>
  <si>
    <t>Promo CC - Huawei Y6 2019 Brown - SUPER UNLIMITED</t>
  </si>
  <si>
    <t>Tel.Cel Huawei Y6 2019 Brown</t>
  </si>
  <si>
    <t>30 Mesi - Huawei Y6 2019 - Brown</t>
  </si>
  <si>
    <t>000000000000010308</t>
  </si>
  <si>
    <t>Promo CC - Huawei Y6 2019 Brown - SUPER UNLIMITED_GSI</t>
  </si>
  <si>
    <t>1470083037642</t>
  </si>
  <si>
    <t>1461252997562</t>
  </si>
  <si>
    <t>Huawei Mate 20 Pro - Black - MYUNLIMITED 30</t>
  </si>
  <si>
    <t>Huawei Mate 20 Pro - Black - MYUNLIMITED 30_GSI</t>
  </si>
  <si>
    <t>1470096582692</t>
  </si>
  <si>
    <t>1460322317516</t>
  </si>
  <si>
    <t>Zte WebCube4 TRE - White - SUPER GIGA 70</t>
  </si>
  <si>
    <t>Zte WebCube4 TRE - White - SUPER GIGA 70_GSI</t>
  </si>
  <si>
    <t>1470090049422</t>
  </si>
  <si>
    <t>1460310736314</t>
  </si>
  <si>
    <t>Huawei P Smart 2019 - Blue - SUPER UNLIMITED</t>
  </si>
  <si>
    <t>Tel.Cel Huawei PSmart 2019 Aurora Blue</t>
  </si>
  <si>
    <t>Huawei P Smart 2019 - Blue - SUPER UNLIMITED_GSI</t>
  </si>
  <si>
    <t>1470095583032</t>
  </si>
  <si>
    <t>1339502945703</t>
  </si>
  <si>
    <t>Samsung Galaxy A5 - Blue - BASIC</t>
  </si>
  <si>
    <t>Samsung Galaxy A5 - Blue - BASIC_GSI</t>
  </si>
  <si>
    <t>1470101540332</t>
  </si>
  <si>
    <t>1445589093492</t>
  </si>
  <si>
    <t>Apple iPhone Xr 128GB - Blue - SMARTSHARE UNLIMITED</t>
  </si>
  <si>
    <t>Apple iPhone Xr 128GB - Blue - SMARTSHARE UNLIMITED_GSI</t>
  </si>
  <si>
    <t>1470100487662</t>
  </si>
  <si>
    <t>1467940020926</t>
  </si>
  <si>
    <t>Promo Canone 100% - D-Link DVA-5592 FTTH Nokia</t>
  </si>
  <si>
    <t>Promo Canone 100% - D-Link DVA-5592 FTTH Nokia_GSI</t>
  </si>
  <si>
    <t>1470103036772</t>
  </si>
  <si>
    <t>1461052648698</t>
  </si>
  <si>
    <t>Huawei Mate 20 Pro - Black - SUPER UNLIMITED</t>
  </si>
  <si>
    <t>Huawei Mate 20 Pro - Black - SUPER UNLIMITED_GSI</t>
  </si>
  <si>
    <t>1470092701192</t>
  </si>
  <si>
    <t>1457968862319</t>
  </si>
  <si>
    <t>1470095103452</t>
  </si>
  <si>
    <t>1468961318353</t>
  </si>
  <si>
    <t>Promo FS - Nextivity Cel-Fi Pro RS3 - sconto 100% ET&amp;Rata&amp;MaxiRata – Smart Share Unlimited</t>
  </si>
  <si>
    <t>Promo FS - Nextivity Cel-Fi Pro RS3 - sconto 100% ET&amp;Rata&amp;MaxiRata – Smart Share Unlimited_GSI</t>
  </si>
  <si>
    <t>1470095532122</t>
  </si>
  <si>
    <t>1470098522452</t>
  </si>
  <si>
    <t>1445871566866</t>
  </si>
  <si>
    <t>Apple iPhone Xs Max 512GB - Space Gray - MYUNLIMITED</t>
  </si>
  <si>
    <t>Apple iPhone Xs Max 512GB - Space Gray - MYUNLIMITED_GSI</t>
  </si>
  <si>
    <t>1470100268882</t>
  </si>
  <si>
    <t>1445885015106</t>
  </si>
  <si>
    <t>Apple iPhone Xr 256GB - White - MYUNLIMITED</t>
  </si>
  <si>
    <t>Apple iPhone Xr 256GB White</t>
  </si>
  <si>
    <t>Apple iPhone Xr 256GB - White - MYUNLIMITED_GSI</t>
  </si>
  <si>
    <t>1470104432192</t>
  </si>
  <si>
    <t>1443695722822</t>
  </si>
  <si>
    <t>Apple iPad 32GB - Space Grey -  10 GIGA</t>
  </si>
  <si>
    <t>Apple iPad 32GB - Space Grey -  10 GIGA_GSI</t>
  </si>
  <si>
    <t>1470101612102</t>
  </si>
  <si>
    <t>1445876892703</t>
  </si>
  <si>
    <t>Apple iPhone Xs Max 512GB - Silver - MYUNLIMITED</t>
  </si>
  <si>
    <t>Apple iPhone Xs Max 512GB Silver</t>
  </si>
  <si>
    <t>30 Mesi - Apple IPhone Xs Max 512GB - Silver</t>
  </si>
  <si>
    <t>000000000000010007</t>
  </si>
  <si>
    <t>Apple iPhone Xs Max 512GB - Silver - MYUNLIMITED_GSI</t>
  </si>
  <si>
    <t>1470101612792</t>
  </si>
  <si>
    <t>1468575596094</t>
  </si>
  <si>
    <t>Promo FS - Huawei Y5 2019 - Black - MYSHARE UNLIMITED</t>
  </si>
  <si>
    <t>Promo FS - Huawei Y5 2019 - Black - MYSHARE UNLIMITED_GSI</t>
  </si>
  <si>
    <t>1470096233802</t>
  </si>
  <si>
    <t>1445571272352</t>
  </si>
  <si>
    <t>Samsung Galaxy Note 9 - Blue - MYSHARE 5-15</t>
  </si>
  <si>
    <t>Samsung Galaxy Note 9 - Blue - MYSHARE 5-15_GSI</t>
  </si>
  <si>
    <t>1470104114302</t>
  </si>
  <si>
    <t>1445397055578</t>
  </si>
  <si>
    <t>Apple iPhone Xs Max 512GB - Silver - SMARTSHARE UNLIMITED</t>
  </si>
  <si>
    <t>Apple iPhone Xs Max 512GB - Silver - SMARTSHARE UNLIMITED_GSI</t>
  </si>
  <si>
    <t>1470102589392</t>
  </si>
  <si>
    <t>1460322317504</t>
  </si>
  <si>
    <t>Kit Giga Smart Share Wi-Fi ZYXEL 4G - White  - SUPER GIGA 70</t>
  </si>
  <si>
    <t>Kit Giga Smart Share Wi-Fi ZYXEL 4G - White  - SUPER GIGA 70_GSI</t>
  </si>
  <si>
    <t>1470091718142</t>
  </si>
  <si>
    <t>1467005244982</t>
  </si>
  <si>
    <t>Huawei P30 Pro 256GB - Black - MYUNLIMITED</t>
  </si>
  <si>
    <t>Huawei P30 Pro 256GB - Black - MYUNLIMITED_GSI</t>
  </si>
  <si>
    <t>1470104114312</t>
  </si>
  <si>
    <t>1344962839903</t>
  </si>
  <si>
    <t>Samsung Galaxy S7 - Gold -  AI RIC UNLI. PREMIUM. TOP MONDO</t>
  </si>
  <si>
    <t>Samsung Galaxy S7 - Gold -  AI RIC UNLI. PREMIUM. TOP MONDO_GSI</t>
  </si>
  <si>
    <t>1470104114382</t>
  </si>
  <si>
    <t>1339216192283</t>
  </si>
  <si>
    <t>KIT GIGASHARE Wi-Fi ZYXEL 4G - White - ONLY GIGA</t>
  </si>
  <si>
    <t>KIT GIGASHARE Wi-Fi ZYXEL 4G - White - ONLY GIGA_GSI</t>
  </si>
  <si>
    <t>1470102179812</t>
  </si>
  <si>
    <t>1470095103762</t>
  </si>
  <si>
    <t>1445881319557</t>
  </si>
  <si>
    <t>Apple iPhone Xs Max 64GB - Space Gray - MYUNLIMITED</t>
  </si>
  <si>
    <t>Apple iPhone Xs Max 64GB - Space Gray - MYUNLIMITED_GSI</t>
  </si>
  <si>
    <t>1470105543902</t>
  </si>
  <si>
    <t>1445883697118</t>
  </si>
  <si>
    <t>Apple iPhone Xs 64GB - Silver - MYUNLIMITED</t>
  </si>
  <si>
    <t>Apple iPhone Xs 64GB - Silver - MYUNLIMITED_GSI</t>
  </si>
  <si>
    <t>1470102408372</t>
  </si>
  <si>
    <t>1445423957962</t>
  </si>
  <si>
    <t>Apple iPhone Xs 256GB - Silver - MYSHARE</t>
  </si>
  <si>
    <t>Apple iPhone Xs 256GB - Silver - MYSHARE_GSI</t>
  </si>
  <si>
    <t>1470105014422</t>
  </si>
  <si>
    <t>1445598524995</t>
  </si>
  <si>
    <t>Apple iPhone Xr 64GB - White- MYSHARE</t>
  </si>
  <si>
    <t>Apple iPhone Xr 64GB - White- MYSHARE_GSI</t>
  </si>
  <si>
    <t>1470100869222</t>
  </si>
  <si>
    <t>1446907950484</t>
  </si>
  <si>
    <t>Apple Iphone 6S 32GB - Space Gray - MYUNLIMITED</t>
  </si>
  <si>
    <t>Apple IPhone 6s 32 GB space grey</t>
  </si>
  <si>
    <t>000000000000008444</t>
  </si>
  <si>
    <t>Apple Iphone 6S 32GB - Space Gray - MYUNLIMITED_GSI</t>
  </si>
  <si>
    <t>1470109270322</t>
  </si>
  <si>
    <t>1460303085424</t>
  </si>
  <si>
    <t>Apple iPhone Xr 128GB - Blue - SUPER UNLIMITED</t>
  </si>
  <si>
    <t>Apple iPhone  Xr 128GB Blue</t>
  </si>
  <si>
    <t>Apple iPhone Xr 128GB - Blue - SUPER UNLIMITED_GSI</t>
  </si>
  <si>
    <t>1470094028082</t>
  </si>
  <si>
    <t>1457968862367</t>
  </si>
  <si>
    <t>1460288455243</t>
  </si>
  <si>
    <t>Samsung Galaxy Note 9 - Blue - SUPER UNLIMITED</t>
  </si>
  <si>
    <t>Tel.Cel Samsung Galaxy Note9  blue</t>
  </si>
  <si>
    <t>Samsung Galaxy Note 9 - Blue - SUPER UNLIMITED_GSI</t>
  </si>
  <si>
    <t>1470082570772</t>
  </si>
  <si>
    <t>1470098569632</t>
  </si>
  <si>
    <t>1344962839880</t>
  </si>
  <si>
    <t>Samsung Galaxy S7 - White -  AI RIC UNLI. PREMIUM. TOP MONDO</t>
  </si>
  <si>
    <t>Samsung Galaxy S7 - White -  AI RIC UNLI. PREMIUM. TOP MONDO_GSI</t>
  </si>
  <si>
    <t>1470104432262</t>
  </si>
  <si>
    <t>1445397055572</t>
  </si>
  <si>
    <t>Apple iPhone Xs Max 512GB - Silver - MYSHARE</t>
  </si>
  <si>
    <t>Apple iPhone Xs Max 512GB - Silver - MYSHARE_GSI</t>
  </si>
  <si>
    <t>1470104432302</t>
  </si>
  <si>
    <t>1445409025106</t>
  </si>
  <si>
    <t>Apple iPhone Xs Max 256GB - Space Gray - SMARTSHARE UNLIMITED</t>
  </si>
  <si>
    <t>Apple iPhone Xs Max 256GB - Space Gray - MYSHARE_GSI</t>
  </si>
  <si>
    <t>1470092229872</t>
  </si>
  <si>
    <t>1445963132764</t>
  </si>
  <si>
    <t>Huawei P20 PRO - Black - MYUNLIMITED 30</t>
  </si>
  <si>
    <t>Huawei P20 PRO - Black - MYUNLIMITED 30_GSI</t>
  </si>
  <si>
    <t>1470109347312</t>
  </si>
  <si>
    <t>1469647039708</t>
  </si>
  <si>
    <t>Promo Canone 100% - SFP FTTH GPON Super Office One</t>
  </si>
  <si>
    <t>SFP FTTH GPON HUAWEI MA5671A</t>
  </si>
  <si>
    <t>Apparati Wind Bus FTTH - SFP</t>
  </si>
  <si>
    <t>000000000000009027</t>
  </si>
  <si>
    <t>Promo Canone 100% - SFP FTTH GPON Super Office One_GSI</t>
  </si>
  <si>
    <t>1470112883362</t>
  </si>
  <si>
    <t>1445589092868</t>
  </si>
  <si>
    <t>Apple iPhone Xr 128GB - Black - MYSHARE</t>
  </si>
  <si>
    <t>Apple iPhone Xr 128GB - Black - MYSHARE_GSI</t>
  </si>
  <si>
    <t>1470104114322</t>
  </si>
  <si>
    <t>1466431576596</t>
  </si>
  <si>
    <t>Promo CC - Huawei Y6 2019 - Brown - MYSHARE UNLIMITED</t>
  </si>
  <si>
    <t>Promo CC - Huawei Y6 2019 - Brown - MYSHARE UNLIMITED_GSI</t>
  </si>
  <si>
    <t>1470091352872</t>
  </si>
  <si>
    <t>1460288454797</t>
  </si>
  <si>
    <t>Samsung Galaxy Note 9 - Black - SUPER UNLIMITED</t>
  </si>
  <si>
    <t>Tel.Cel Samsung  Galaxy Note9 black</t>
  </si>
  <si>
    <t>Samsung Galaxy Note 9 - Black - SUPER UNLIMITED_GSI</t>
  </si>
  <si>
    <t>1470097086942</t>
  </si>
  <si>
    <t>1429667383910</t>
  </si>
  <si>
    <t>Promo Canone 100% - D-Link DVA-5592</t>
  </si>
  <si>
    <t>KIT SME IAD D-Link DVA-5592 FW new</t>
  </si>
  <si>
    <t>Promo Canone 100% - D-Link DVA-5592_GSI</t>
  </si>
  <si>
    <t>1470102849412</t>
  </si>
  <si>
    <t>1470084111492</t>
  </si>
  <si>
    <t>1457888371272</t>
  </si>
  <si>
    <t>1469177491353</t>
  </si>
  <si>
    <t>1470096049212</t>
  </si>
  <si>
    <t>1339568476733</t>
  </si>
  <si>
    <t>Samsung Galaxy A3 - Gold - AI RIC UNLI. PREMIUM. TOP MONDO</t>
  </si>
  <si>
    <t>Samsung Galaxy A3 - Gold - AI RIC UNLI. PREMIUM. TOP MONDO_GSI</t>
  </si>
  <si>
    <t>1470096049882</t>
  </si>
  <si>
    <t>1371571053667</t>
  </si>
  <si>
    <t>Apple Iphone 7 32GB WT (Limited Edition) (*) - Silver - MYUNLIMITED</t>
  </si>
  <si>
    <t>Apple Iphone 7 32GB WT (Limited Edition) (*) - Silver - MYUNLIMITED_GSI</t>
  </si>
  <si>
    <t>1470094217322</t>
  </si>
  <si>
    <t>1339278899278</t>
  </si>
  <si>
    <t>Huawei P10 Silver  - BASIC</t>
  </si>
  <si>
    <t>Huawei P10 Silver  - BASIC_GSI</t>
  </si>
  <si>
    <t>1470101066452</t>
  </si>
  <si>
    <t>1461143569213</t>
  </si>
  <si>
    <t>Huawei P20 Lite - Black -  MYSHARE</t>
  </si>
  <si>
    <t>Huawei P20 Lite - Black -  MYSHARE_GSI</t>
  </si>
  <si>
    <t>1470092229082</t>
  </si>
  <si>
    <t>1468284504630</t>
  </si>
  <si>
    <t>Promo Canone 100% - Migrazione - SFP FTTH GPON - Office ONE FIBRA 1000</t>
  </si>
  <si>
    <t>Promo Canone 100% - Migrazione - SFP FTTH GPON - Office ONE FIBRA 1000_GSI</t>
  </si>
  <si>
    <t>1470092229822</t>
  </si>
  <si>
    <t>1344622578136</t>
  </si>
  <si>
    <t>Samsung Galaxy S7 Edge - Black -  UNLIMITED</t>
  </si>
  <si>
    <t>Samsung Galaxy S7 Edge - Black -  UNLIMITED_GSI</t>
  </si>
  <si>
    <t>1470101066642</t>
  </si>
  <si>
    <t>1464977658793</t>
  </si>
  <si>
    <t>Samsung Galaxy A50 - Blue - MYSHARE</t>
  </si>
  <si>
    <t>Samsung Galaxy A50 - Blue - MYSHARE_GSI</t>
  </si>
  <si>
    <t>1470100487292</t>
  </si>
  <si>
    <t>1464966989438</t>
  </si>
  <si>
    <t>Samsung Galaxy A40 - Blue - SUPER UNLIMITED</t>
  </si>
  <si>
    <t>Samsung Galaxy A40 - Blue - SUPER UNLIMITED_GSI</t>
  </si>
  <si>
    <t>1470092229772</t>
  </si>
  <si>
    <t>1465039283045</t>
  </si>
  <si>
    <t>Samsung Galaxy J6 - Black - MYSHARE</t>
  </si>
  <si>
    <t>Samsung Galaxy J6 - Black - MYSHARE_GSI</t>
  </si>
  <si>
    <t>1470102849062</t>
  </si>
  <si>
    <t>1461143569155</t>
  </si>
  <si>
    <t>Samsung Galaxy A7 - Black - MYSHARE</t>
  </si>
  <si>
    <t>Tel.Cel Samsung Galaxy A7  Black</t>
  </si>
  <si>
    <t>30 Mesi - Samsung Galaxy A7 - Black</t>
  </si>
  <si>
    <t>000000000000009984</t>
  </si>
  <si>
    <t>Samsung Galaxy A7 - Black - MYSHARE_GSI</t>
  </si>
  <si>
    <t>1470091477652</t>
  </si>
  <si>
    <t>1388104008159</t>
  </si>
  <si>
    <t>Promo Easy Sales - iPad Pro 10.5 Space Grey</t>
  </si>
  <si>
    <t>Apple IPAD PRO 10.5 256GB WT Space Gray</t>
  </si>
  <si>
    <t>Apple IPad Pro 10.5” 256 GB  - Space Grey</t>
  </si>
  <si>
    <t>000000000000009000</t>
  </si>
  <si>
    <t>Promo Easy Sales - iPad Pro 10.5 Space Grey_GSI</t>
  </si>
  <si>
    <t>1470095435582</t>
  </si>
  <si>
    <t>1467597079256</t>
  </si>
  <si>
    <t>Promo CC - Apple iPhone 6S Plus 32GB Silver - MyShare MyUnlim SmartShare</t>
  </si>
  <si>
    <t>Promo CC - Apple iPhone 6S Plus 32GB Silver - MyShare MyUnlim SmartShare_GSI</t>
  </si>
  <si>
    <t>1470090914352</t>
  </si>
  <si>
    <t>1371176556318</t>
  </si>
  <si>
    <t>KIT Mini ONT GPON Nokia G-010G-P - MULTILINEA</t>
  </si>
  <si>
    <t>KIT SME Mini ONT FTTH NOKIA G-010G-P</t>
  </si>
  <si>
    <t>Apparati ADSL Az FTTH Nokia</t>
  </si>
  <si>
    <t>000000000000009169</t>
  </si>
  <si>
    <t>KIT Mini ONT GPON Nokia G-010G-P - MULTILINEA_GSI</t>
  </si>
  <si>
    <t>1470089968602</t>
  </si>
  <si>
    <t>1455873062831</t>
  </si>
  <si>
    <t>Alcatel IP2015 IP DECT Base e Cordless - WSO SMALL, WSO LARGE</t>
  </si>
  <si>
    <t>Alcatel IP2015 IP DECT Base e Cordless</t>
  </si>
  <si>
    <t>000000000000007167</t>
  </si>
  <si>
    <t>Alcatel IP2015 IP DECT Base e Cordless - WSO SMALL, WSO LARGE_GSI</t>
  </si>
  <si>
    <t>1470083037632</t>
  </si>
  <si>
    <t>1460322317432</t>
  </si>
  <si>
    <t>Samsung Tab A 10.1 - 32GB - Black - SUPER GIGA 30</t>
  </si>
  <si>
    <t>Samsung Tab A 10.1 - 32GB - Black - SUPER GIGA 30_GSI</t>
  </si>
  <si>
    <t>1470092151722</t>
  </si>
  <si>
    <t>1460330927930</t>
  </si>
  <si>
    <t>WebPocket 4G - Black - SUPER GIGA 70</t>
  </si>
  <si>
    <t>ALCATEL  LinkZone MW40V  UNBRANDED</t>
  </si>
  <si>
    <t>WebPocket 4G - Black - SUPER GIGA 70_GSI</t>
  </si>
  <si>
    <t>1470096290782</t>
  </si>
  <si>
    <t>1445881318929</t>
  </si>
  <si>
    <t>Apple iPhone Xs Max 256GB - Gold - MYUNLIMITED</t>
  </si>
  <si>
    <t>Apple iPhone Xs Max 256GB - Space Gray - MYUNLIMITED_GSI</t>
  </si>
  <si>
    <t>1470103613912</t>
  </si>
  <si>
    <t>1470090914412</t>
  </si>
  <si>
    <t>1441912735592</t>
  </si>
  <si>
    <t>1339502945709</t>
  </si>
  <si>
    <t>Samsung Galaxy A5 - Blue - UNLIMITED</t>
  </si>
  <si>
    <t>Samsung Galaxy A5 - Blue - UNLIMITED_GSI</t>
  </si>
  <si>
    <t>1470104991122</t>
  </si>
  <si>
    <t>1339541295029</t>
  </si>
  <si>
    <t>Samsung Galaxy A3 - Blue - BASIC</t>
  </si>
  <si>
    <t>Samsung Galaxy A3 - Blue - BASIC_GSI</t>
  </si>
  <si>
    <t>1470104991132</t>
  </si>
  <si>
    <t>1339561658389</t>
  </si>
  <si>
    <t>Samsung Galaxy A5 - Blue- AI RIC BIG</t>
  </si>
  <si>
    <t>Samsung Galaxy A5 - Blue- AI RIC BIG_GSI</t>
  </si>
  <si>
    <t>1470102849282</t>
  </si>
  <si>
    <t>1445881318956</t>
  </si>
  <si>
    <t>Apple iPhone Xs 256GB - Space Gray - MYUNLIMITED</t>
  </si>
  <si>
    <t>Apple iPhone Xs 256GB - Space Gray - MYUNLIMITED_GSI</t>
  </si>
  <si>
    <t>1470098569782</t>
  </si>
  <si>
    <t>1308934139800</t>
  </si>
  <si>
    <t>Apple Iphone 7  32GB WT Silver - BASIC</t>
  </si>
  <si>
    <t>Apple Iphone 7  32GB WT Silver - BASIC_GSI</t>
  </si>
  <si>
    <t>1470091039032</t>
  </si>
  <si>
    <t>1461260701769</t>
  </si>
  <si>
    <t>Apple iPad mini 64GB - Silver - SUPER GIGA 30</t>
  </si>
  <si>
    <t>Apple iPad mini 64GB - Silver - SUPER GIGA 30_GSI</t>
  </si>
  <si>
    <t>1470083037552</t>
  </si>
  <si>
    <t>1308854176282</t>
  </si>
  <si>
    <t>Apple Iphone 7  128GB Jet Black - BASIC</t>
  </si>
  <si>
    <t>Apple Iphone 7 128 GB Jet black</t>
  </si>
  <si>
    <t>Apple Iphone 7 128GB - Jet Black</t>
  </si>
  <si>
    <t>000000000000008435</t>
  </si>
  <si>
    <t>Apple Iphone 7  128GB Jet Black - BASIC_GSI</t>
  </si>
  <si>
    <t>1470089778372</t>
  </si>
  <si>
    <t>1457968862302</t>
  </si>
  <si>
    <t>1308905124050</t>
  </si>
  <si>
    <t>Apple Iphone 7 128GB WT - Gold - UNLIMITED</t>
  </si>
  <si>
    <t>Apple Iphone 7 128GB WT - Gold - UNLIMITED_GSI</t>
  </si>
  <si>
    <t>1470084111412</t>
  </si>
  <si>
    <t>1176670521241</t>
  </si>
  <si>
    <t>M-POS INGENICO ICMP122 CLESS - AI RIC UNLI. PREMIUM. TOP MONDO</t>
  </si>
  <si>
    <t>M-POS INGENICO ICMP122 CLESS</t>
  </si>
  <si>
    <t>000000000000007051</t>
  </si>
  <si>
    <t>M-POS INGENICO ICMP122 CLESS - AI RIC UNLI. PREMIUM. TOP MONDO_GSI</t>
  </si>
  <si>
    <t>1470090054692</t>
  </si>
  <si>
    <t>1457888371710</t>
  </si>
  <si>
    <t>1308905124700</t>
  </si>
  <si>
    <t>Apple Iphone 7 Plus 32GB WT RoseGold - BASIC</t>
  </si>
  <si>
    <t>Apple Iphone 7 Plus 32GB WT RoseGold - BASIC_GSI</t>
  </si>
  <si>
    <t>1470097788922</t>
  </si>
  <si>
    <t>1457891013991</t>
  </si>
  <si>
    <t>1470097788952</t>
  </si>
  <si>
    <t>1470095718032</t>
  </si>
  <si>
    <t>1344962839910</t>
  </si>
  <si>
    <t>Samsung Galaxy S7 - Silver - AI RIC BIG</t>
  </si>
  <si>
    <t>Samsung Galaxy S7 - Silver - AI RIC BIG_GSI</t>
  </si>
  <si>
    <t>1470090914612</t>
  </si>
  <si>
    <t>1371575521470</t>
  </si>
  <si>
    <t>Apple Iphone 7 32GB WT (Limited Edition) (*) - Silver - SMARTSHARE</t>
  </si>
  <si>
    <t>Apple Iphone 7 32GB WT (Limited Edition) (*) - Silver - SMARTSHARE_GSI</t>
  </si>
  <si>
    <t>1470099421612</t>
  </si>
  <si>
    <t>1339278899293</t>
  </si>
  <si>
    <t>Huawei P10 Silver - UNLIMITED</t>
  </si>
  <si>
    <t>Huawei P10 Silver - UNLIMITED_GSI</t>
  </si>
  <si>
    <t>1470102475512</t>
  </si>
  <si>
    <t>1468486069532</t>
  </si>
  <si>
    <t>Alcatel 1X 2019 - Black - MYUNLIMITED</t>
  </si>
  <si>
    <t>Alcatel 1X 2019 - Black - MYUNLIMITED_GSI</t>
  </si>
  <si>
    <t>1470104114362</t>
  </si>
  <si>
    <t>1344938987180</t>
  </si>
  <si>
    <t>Samsung Galaxy S8 - Black - AI RIC UNLI - PREMIUM - TOP MONDO</t>
  </si>
  <si>
    <t>Samsung Galaxy S8 - Black - AI RIC UNLI - PREMIUM - TOP MONDO_GSI</t>
  </si>
  <si>
    <t>1470104851852</t>
  </si>
  <si>
    <t>1464966989426</t>
  </si>
  <si>
    <t>Samsung Galaxy A50 - White - SUPER UNLIMITED</t>
  </si>
  <si>
    <t>Samsung Galaxy A50 - White - SUPER UNLIMITED_GSI</t>
  </si>
  <si>
    <t>1470102588902</t>
  </si>
  <si>
    <t>1339278899079</t>
  </si>
  <si>
    <t>Huawei P10 Plus - Black -  BASIC</t>
  </si>
  <si>
    <t>Huawei P10 Plus - Black -  BASIC_GSI</t>
  </si>
  <si>
    <t>1470100669782</t>
  </si>
  <si>
    <t>1468486069502</t>
  </si>
  <si>
    <t>Alcatel 1X 2019 - Black - MYSHARE -</t>
  </si>
  <si>
    <t>Alcatel 1X 2019 - Black - MYSHARE -_GSI</t>
  </si>
  <si>
    <t>1470090914532</t>
  </si>
  <si>
    <t>1445598525058</t>
  </si>
  <si>
    <t>Apple iPhone 8 64GB - Space gray - MYSHARE</t>
  </si>
  <si>
    <t>Apple iPhone 8 64GB - Space gray - MYSHARE_GSI</t>
  </si>
  <si>
    <t>1470105014632</t>
  </si>
  <si>
    <t>1371600024603</t>
  </si>
  <si>
    <t>Huawei P10 Plus - Black -  MYUNLIMITED</t>
  </si>
  <si>
    <t>Huawei P10 Plus - Black -  MYUNLIMITED_GSI</t>
  </si>
  <si>
    <t>1470099099152</t>
  </si>
  <si>
    <t>1339278898998</t>
  </si>
  <si>
    <t>Samsung Galaxy S8 Plus - Silver -  UNLIMITED</t>
  </si>
  <si>
    <t>Samsung Galaxy S8 Plus - Silver -  UNLIMITED_GSI</t>
  </si>
  <si>
    <t>1470098878252</t>
  </si>
  <si>
    <t>1344938986492</t>
  </si>
  <si>
    <t>Samsung Galaxy S7 - Silver - UNLIMITED</t>
  </si>
  <si>
    <t>Samsung Galaxy S7 - Silver - UNLIMITED_GSI</t>
  </si>
  <si>
    <t>1470105543932</t>
  </si>
  <si>
    <t>1344622578124</t>
  </si>
  <si>
    <t>Samsung Galaxy S8 - Violet - UNLIMITED</t>
  </si>
  <si>
    <t>Samsung Galaxy S8 - Violet - UNLIMITED_GSI</t>
  </si>
  <si>
    <t>1470105544202</t>
  </si>
  <si>
    <t>1464938274875</t>
  </si>
  <si>
    <t>Huawei Mate 20 Pro limited edition - Black - MYSHARE 5-15</t>
  </si>
  <si>
    <t>Huawei Mate 20 Pro limited edition - Black - MYSHARE 5-15_GSI</t>
  </si>
  <si>
    <t>1470098916782</t>
  </si>
  <si>
    <t>1467942334262</t>
  </si>
  <si>
    <t>LAR_20190613GalaxyJ6_Benetton</t>
  </si>
  <si>
    <t>Tel.Cel Samsung Galaxy J6 black</t>
  </si>
  <si>
    <t>Samsung Galaxy J6 Black - (ENT)</t>
  </si>
  <si>
    <t>000000000000009763</t>
  </si>
  <si>
    <t>LAR_20190613GalaxyJ6_Benetton_GSI</t>
  </si>
  <si>
    <t>1470093559132</t>
  </si>
  <si>
    <t>1464966989396</t>
  </si>
  <si>
    <t>Huawei P30 Lite - Black - SUPER UNLIMITED</t>
  </si>
  <si>
    <t>Huawei P30 Lite - Black - SUPER UNLIMITED_GSI</t>
  </si>
  <si>
    <t>1470095532542</t>
  </si>
  <si>
    <t>1169489451442</t>
  </si>
  <si>
    <t>Wi-Fi Mobile ZTE MF90 Plus 4G Ready - Internet 5 GB</t>
  </si>
  <si>
    <t>Wi-Fi Mobile ZTE MF90 Plus 4G Ready - Internet 5 GB_GSI</t>
  </si>
  <si>
    <t>1470089139102</t>
  </si>
  <si>
    <t>1460294896047</t>
  </si>
  <si>
    <t>1470085503372</t>
  </si>
  <si>
    <t>1339541295179</t>
  </si>
  <si>
    <t>Huawei P10 Plus - Silver -  AI RIC BIG</t>
  </si>
  <si>
    <t>Huawei P10 Plus - Silver -  AI RIC BIG_GSI</t>
  </si>
  <si>
    <t>1470095532552</t>
  </si>
  <si>
    <t>1344938987202</t>
  </si>
  <si>
    <t>Samsung Galaxy S8 - Violet - AI RIC BIG</t>
  </si>
  <si>
    <t>Samsung Galaxy S8 - Violet - AI RIC BIG_GSI</t>
  </si>
  <si>
    <t>1470105204992</t>
  </si>
  <si>
    <t>1466431576592</t>
  </si>
  <si>
    <t>Promo CC - Huawei Y6 2019 - Blue - MYSHARE UNLIMITED</t>
  </si>
  <si>
    <t>Promo CC - Huawei Y6 2019 - Blue - MYSHARE UNLIMITED_GSI</t>
  </si>
  <si>
    <t>1470090200102</t>
  </si>
  <si>
    <t>1468269263587</t>
  </si>
  <si>
    <t>Huawei Y5 2019- Blue - MYUNLIMITED</t>
  </si>
  <si>
    <t>Huawei Y5 2019- Blue - MYUNLIMITED_GSI</t>
  </si>
  <si>
    <t>1470105014582</t>
  </si>
  <si>
    <t>1339568476717</t>
  </si>
  <si>
    <t>Samsung Galaxy A3 - Gold - AI RIC BIG</t>
  </si>
  <si>
    <t>Samsung Galaxy A3 - Gold - AI RIC BIG_GSI</t>
  </si>
  <si>
    <t>1470100869152</t>
  </si>
  <si>
    <t>1339576703749</t>
  </si>
  <si>
    <t>Huawei P10 Plus - Silver -  AI BUS UNLI - PREMIUM - TOP MONDO</t>
  </si>
  <si>
    <t>Huawei P10 Plus - Silver -  AI BUS UNLI - PREMIUM - TOP MONDO_GSI</t>
  </si>
  <si>
    <t>1470103014052</t>
  </si>
  <si>
    <t>1344962840575</t>
  </si>
  <si>
    <t>Samsung Galaxy S7 Edge - White - AI BUS BIG</t>
  </si>
  <si>
    <t>Samsung Galaxy S7 Edge - White - AI BUS BIG_GSI</t>
  </si>
  <si>
    <t>1470106229692</t>
  </si>
  <si>
    <t>1445881319828</t>
  </si>
  <si>
    <t>Apple iPhone Xs 64GB - Space Gray - MYUNLIMITED</t>
  </si>
  <si>
    <t>Apple iPhone Xs 64GB - Space Gray - MYUNLIMITED_GSI</t>
  </si>
  <si>
    <t>1470102408362</t>
  </si>
  <si>
    <t>1445896058046</t>
  </si>
  <si>
    <t>Huawei Mate 20 Lite - Gold - SMARTSHARE</t>
  </si>
  <si>
    <t>Huawei Mate 20 Lite - Gold - SMARTSHARE_GSI</t>
  </si>
  <si>
    <t>1470102408452</t>
  </si>
  <si>
    <t>1445885015435</t>
  </si>
  <si>
    <t>Apple iPhone Xr 64GB - Blue - MYUNLIMITED</t>
  </si>
  <si>
    <t>Apple iPhone Xr 64GB Blue</t>
  </si>
  <si>
    <t>30 Mesi - Apple IPhone Xr 64GB - Blue</t>
  </si>
  <si>
    <t>000000000000010093</t>
  </si>
  <si>
    <t>Apple iPhone Xr 64GB - Blue - MYUNLIMITED_GSI</t>
  </si>
  <si>
    <t>1470103014082</t>
  </si>
  <si>
    <t>1460249473934</t>
  </si>
  <si>
    <t>Apple iPhone Xs Max 64GB - Gold - SUPER UNLIMITED</t>
  </si>
  <si>
    <t>Apple iPhone Xs Max 64GB - Gold - SUPER UNLIMITED_GSI</t>
  </si>
  <si>
    <t>1470089968452</t>
  </si>
  <si>
    <t>1467015964683</t>
  </si>
  <si>
    <t>Promo FS - Samsung Galaxy S10+ 512GB - Black - My Share 15GB</t>
  </si>
  <si>
    <t>Tel.Cel SamsungGalaxyS10+512GB CerBlack</t>
  </si>
  <si>
    <t>Promo FS - Samsung Galaxy S10+ 512GB - Black - My Share 15GB_GSI</t>
  </si>
  <si>
    <t>1470089968512</t>
  </si>
  <si>
    <t>1466262991713</t>
  </si>
  <si>
    <t>Promo FS - Apple iPhone Xr 256GB - Black - My Share Unlimited</t>
  </si>
  <si>
    <t>Apple  iPhone Xr 256GB Black</t>
  </si>
  <si>
    <t>30 Mesi - Apple IPhone Xr 256GB - Black</t>
  </si>
  <si>
    <t>000000000000010103</t>
  </si>
  <si>
    <t>Promo FS - Apple iPhone Xr 256GB - Black - My Share Unlimited_GSI</t>
  </si>
  <si>
    <t>1470098044312</t>
  </si>
  <si>
    <t>1445885015459</t>
  </si>
  <si>
    <t>Apple iPhone 8 64GB - Space gray - MYUNLIMITED</t>
  </si>
  <si>
    <t>Apple iPhone 8 64GB - Space gray - MYUNLIMITED_GSI</t>
  </si>
  <si>
    <t>1470107854052</t>
  </si>
  <si>
    <t>1344962839970</t>
  </si>
  <si>
    <t>Samsung Galaxy S8  - Violet - AI BUS BIG</t>
  </si>
  <si>
    <t>Samsung Galaxy S8  - Violet - AI BUS BIG_GSI</t>
  </si>
  <si>
    <t>1470107854102</t>
  </si>
  <si>
    <t>1448727352064</t>
  </si>
  <si>
    <t>Tel.Cel Huawei P20 lite blue</t>
  </si>
  <si>
    <t>1308958551150</t>
  </si>
  <si>
    <t>Samsung Galaxy J7 - Black - BASIC</t>
  </si>
  <si>
    <t>Samsung Galaxy J7 - Black - BASIC_GSI</t>
  </si>
  <si>
    <t>1470098522442</t>
  </si>
  <si>
    <t>1464938274869</t>
  </si>
  <si>
    <t>Huawei Mate 20 Pro limited edition - SMARTSHARE UNLIMITED</t>
  </si>
  <si>
    <t>Huawei Mate 20 Pro limited edition - SMARTSHARE UNLIMITED_GSI</t>
  </si>
  <si>
    <t>1470102474912</t>
  </si>
  <si>
    <t>1461052648753</t>
  </si>
  <si>
    <t>Huawei P20 Lite - Blue -  SUPER UNLIMITED</t>
  </si>
  <si>
    <t>Huawei P20 Lite - Blue -  SUPER UNLIMITED_GSI</t>
  </si>
  <si>
    <t>1470090541432</t>
  </si>
  <si>
    <t>1467092704112</t>
  </si>
  <si>
    <t>1445885015052</t>
  </si>
  <si>
    <t>Samsung Galaxy Note 9 - Black - MYUNLIMITED 30</t>
  </si>
  <si>
    <t>Samsung Galaxy Note 9 - Black - MYUNLIMITED 30_GSI</t>
  </si>
  <si>
    <t>1470095532772</t>
  </si>
  <si>
    <t>1445397055478</t>
  </si>
  <si>
    <t>Apple iPhone Xs Max 512GB - Space Gray - MYSHARE</t>
  </si>
  <si>
    <t>Apple iPhone Xs Max 512GB - Space Gray - MYSHARE_GSI</t>
  </si>
  <si>
    <t>1470106229622</t>
  </si>
  <si>
    <t>1445885015284</t>
  </si>
  <si>
    <t>Apple iPhone Xr 128GB - Blue - MYUNLIMITED</t>
  </si>
  <si>
    <t>Apple iPhone Xr 128GB - Blue - MYUNLIMITED_GSI</t>
  </si>
  <si>
    <t>1470104206172</t>
  </si>
  <si>
    <t>1344938987246</t>
  </si>
  <si>
    <t>Samsung Galaxy S7 Edge - White -  AI RIC UNLI - PREMIUM - TOP MONDO</t>
  </si>
  <si>
    <t>Samsung Galaxy S7 Edge - White -  AI RIC UNLI - PREMIUM - TOP MONDO_GSI</t>
  </si>
  <si>
    <t>1470104206212</t>
  </si>
  <si>
    <t>1460322317492</t>
  </si>
  <si>
    <t>Wind Tab 8 - Blue - SUPER GIGA 70</t>
  </si>
  <si>
    <t>Alcatel WIND Tab 8  blue</t>
  </si>
  <si>
    <t>Wind Tab 8 - Blue - SUPER GIGA 70_GSI</t>
  </si>
  <si>
    <t>1470085503362</t>
  </si>
  <si>
    <t>1460251640136</t>
  </si>
  <si>
    <t>Apple iPhone Xs 256GB - Silver - SUPER UNLIMITED</t>
  </si>
  <si>
    <t>Apple iPhone Xs 256 GB Silver</t>
  </si>
  <si>
    <t>Apple iPhone Xs 256GB - Silver - SUPER UNLIMITED_GSI</t>
  </si>
  <si>
    <t>1470097248932</t>
  </si>
  <si>
    <t>1468253027939</t>
  </si>
  <si>
    <t>Huawei Y6 2019 - Black - SUPER UNLIMITED</t>
  </si>
  <si>
    <t>Huawei Y6 2019 - Black - SUPER UNLIMITED_GSI</t>
  </si>
  <si>
    <t>1470101963552</t>
  </si>
  <si>
    <t>1445426443464</t>
  </si>
  <si>
    <t>Apple iPhone Xs Max 64GB - Space Gray - SMARTSHARE UNLIMITED</t>
  </si>
  <si>
    <t>Apple iPhone Xs Max 64GB - Space Gray - SMARTSHARE UNLIMITED_GSI</t>
  </si>
  <si>
    <t>1470101963562</t>
  </si>
  <si>
    <t>1278786597362</t>
  </si>
  <si>
    <t>Promo MV - Apple Iphone 7 128GB 2016 Edition - Choose Black - PT Unlimited</t>
  </si>
  <si>
    <t>Promo MV - Apple Iphone 7 128GB 2016 Edition - Choose Black - PT Unlimited_GSI</t>
  </si>
  <si>
    <t>1470109380122</t>
  </si>
  <si>
    <t>1344973744971</t>
  </si>
  <si>
    <t>Samsung Galaxy S7 - White -  AI BUS UNLI. PREMIUM. TOP MONDO</t>
  </si>
  <si>
    <t>Samsung Galaxy S7 - White -  AI BUS UNLI. PREMIUM. TOP MONDO_GSI</t>
  </si>
  <si>
    <t>1470109380132</t>
  </si>
  <si>
    <t>1448976327084</t>
  </si>
  <si>
    <t>Apple iPad Pro 11 - 256GB - Space Grey - ONLY GIGA - GIGABOOST</t>
  </si>
  <si>
    <t>Apple IPAD PRO 11 256GB SpaceGray</t>
  </si>
  <si>
    <t>Apple iPad Pro 11 - 256GB - Space Grey - ONLY GIGA - GIGABOOST_GSI</t>
  </si>
  <si>
    <t>1470109342472</t>
  </si>
  <si>
    <t>1448713847823</t>
  </si>
  <si>
    <t>Xiaomi Mi A2 Lite - Blue - SMARTSHARE</t>
  </si>
  <si>
    <t>Xiaomi Mi A2 Lite - Blue - SMARTSHARE_GSI</t>
  </si>
  <si>
    <t>1470108841942</t>
  </si>
  <si>
    <t>1468976124163</t>
  </si>
  <si>
    <t>Promo FS - Alcatel 1X 2019 - Black - Smart Share 500</t>
  </si>
  <si>
    <t>Promo FS - Alcatel 1X 2019 - Black - Smart Share 500_GSI</t>
  </si>
  <si>
    <t>1470094431712</t>
  </si>
  <si>
    <t>1371571053780</t>
  </si>
  <si>
    <t>Huawei P10 Silver  - MYSHARE</t>
  </si>
  <si>
    <t>Huawei P10 Silver  - MYSHARE_GSI</t>
  </si>
  <si>
    <t>1470097788962</t>
  </si>
  <si>
    <t>1469084573692</t>
  </si>
  <si>
    <t>Promo ad Hoc - Alcatel 1X 2019 – Black – Leonardo Mega U Start</t>
  </si>
  <si>
    <t>Promo ad Hoc - Alcatel 1X 2019 – Black – Leonardo Mega U Start_GSI</t>
  </si>
  <si>
    <t>1470098492442</t>
  </si>
  <si>
    <t>1419177890984</t>
  </si>
  <si>
    <t>1467005245015</t>
  </si>
  <si>
    <t>Huawei P30 Pro 256GB - Black  - SMARTSHARE UNLIMITED</t>
  </si>
  <si>
    <t>Huawei P30 Pro 256GB - Black  - SMARTSHARE UNLIMITED_GSI</t>
  </si>
  <si>
    <t>1470098569852</t>
  </si>
  <si>
    <t>1308934139794</t>
  </si>
  <si>
    <t>Apple Iphone 7  32GB WT Rose Gold - UNLIMITED</t>
  </si>
  <si>
    <t>Apple Iphone 7  32GB WT Rose Gold - UNLIMITED_GSI</t>
  </si>
  <si>
    <t>1470089968632</t>
  </si>
  <si>
    <t>1373923137723</t>
  </si>
  <si>
    <t>Apple Iphone 7 Plus 32GB Choose Black - MYSHARE</t>
  </si>
  <si>
    <t>Apple Iphone 7 Plus 32GB Choose Black - MYSHARE_GSI</t>
  </si>
  <si>
    <t>1470098916442</t>
  </si>
  <si>
    <t>1460316909793</t>
  </si>
  <si>
    <t>Apple iPad32GB - Space Gray - SUPER GIGA 30</t>
  </si>
  <si>
    <t>Apple iPad32GB - Space Gray - SUPER GIGA 30_GSI</t>
  </si>
  <si>
    <t>1470093634312</t>
  </si>
  <si>
    <t>1460249473967</t>
  </si>
  <si>
    <t>Apple iPhone Xs 64GB - Silver - SUPER UNLIMITED</t>
  </si>
  <si>
    <t>Apple iPhone Xs 64GB - Silver - SUPER UNLIMITED_GSI</t>
  </si>
  <si>
    <t>1470092229172</t>
  </si>
  <si>
    <t>1460310736376</t>
  </si>
  <si>
    <t>Samsung Galaxy TAB S4 - Black- SUPER GIGA 30</t>
  </si>
  <si>
    <t>Samsung Galaxy TAB S4 - Black- SUPER GIGA 30_GSI</t>
  </si>
  <si>
    <t>1470093559682</t>
  </si>
  <si>
    <t>1460304669672</t>
  </si>
  <si>
    <t>Samsung Galaxy S10+ 128 GB - White - SUPER UNLIMITED</t>
  </si>
  <si>
    <t>Tel.Cel SamsungGalaxyS10+128GB PriWhite</t>
  </si>
  <si>
    <t>Samsung Galaxy S10+ 128 GB - White - SUPER UNLIMITED_GSI</t>
  </si>
  <si>
    <t>1470093559732</t>
  </si>
  <si>
    <t>1445864831277</t>
  </si>
  <si>
    <t>Kit Giga Smart Share Wi-Fi ZYXEL 4G - White  - 30 GIGA</t>
  </si>
  <si>
    <t>Kit Giga Smart Share Wi-Fi ZYXEL 4G - White  - 30 GIGA_GSI</t>
  </si>
  <si>
    <t>1470100487272</t>
  </si>
  <si>
    <t>1339576703743</t>
  </si>
  <si>
    <t>Huawei P10 Plus - Silver -  AI BUS BIG</t>
  </si>
  <si>
    <t>Huawei P10 Plus - Silver -  AI BUS BIG_GSI</t>
  </si>
  <si>
    <t>1470100785702</t>
  </si>
  <si>
    <t>1445409025153</t>
  </si>
  <si>
    <t>Apple iPhone Xs Max 256GB - Silver - MYSHARE</t>
  </si>
  <si>
    <t>1460310736289</t>
  </si>
  <si>
    <t>Xiaomi Mi A2 Lite - Black - SUPER UNLIMITED</t>
  </si>
  <si>
    <t>Xiaomi Mi A2 Lite - Black - SUPER UNLIMITED_GSI</t>
  </si>
  <si>
    <t>1470088950862</t>
  </si>
  <si>
    <t>1461270234240</t>
  </si>
  <si>
    <t>Huawei P30 -  Aurora - SMARTSHARE UNLIMITED</t>
  </si>
  <si>
    <t>Huawei P30 -  Aurora - SMARTSHARE UNLIMITED_GSI</t>
  </si>
  <si>
    <t>1470096552522</t>
  </si>
  <si>
    <t>1464987690062</t>
  </si>
  <si>
    <t>Huawei Mate 20 Pro limited edition - Black - MYUNLIMITED 15</t>
  </si>
  <si>
    <t>Huawei Mate 20 Pro limited edition - Black - MYUNLIMITED 15_GSI</t>
  </si>
  <si>
    <t>1470096049872</t>
  </si>
  <si>
    <t>1427277216323</t>
  </si>
  <si>
    <t>INTERNET CONTINUITY</t>
  </si>
  <si>
    <t>KIT SME D-Link USB Adapter 4G LTE DWM222</t>
  </si>
  <si>
    <t>Accessori</t>
  </si>
  <si>
    <t>000000000000009835</t>
  </si>
  <si>
    <t>INTERNET CONTINUITY_GSI</t>
  </si>
  <si>
    <t>1470102407922</t>
  </si>
  <si>
    <t>1339576703901</t>
  </si>
  <si>
    <t>Samsung Galaxy A5  - Black - AI BUS UNLI. PREMIUM. TOP MONDO</t>
  </si>
  <si>
    <t>Samsung Galaxy A5  - Black - AI BUS UNLI. PREMIUM. TOP MONDO_GSI</t>
  </si>
  <si>
    <t>1470102408042</t>
  </si>
  <si>
    <t>1468486069526</t>
  </si>
  <si>
    <t>Alcatel 1X 2019 - Black -  SMARTSHARE</t>
  </si>
  <si>
    <t>Alcatel 1X 2019 - Black -  SMARTSHARE_GSI</t>
  </si>
  <si>
    <t>1470102179822</t>
  </si>
  <si>
    <t>1339278899124</t>
  </si>
  <si>
    <t>Huawei P10 Plus - Silver - UNLIMITED</t>
  </si>
  <si>
    <t>Huawei P10 Plus - Silver - UNLIMITED_GSI</t>
  </si>
  <si>
    <t>1470092229792</t>
  </si>
  <si>
    <t>1445885015089</t>
  </si>
  <si>
    <t>Apple iPhone Xr 256GB - Blue - MYUNLIMITED</t>
  </si>
  <si>
    <t>Apple iPhone Xr 256GB - Blue - MYUNLIMITED_GSI</t>
  </si>
  <si>
    <t>1470092229802</t>
  </si>
  <si>
    <t>1445864831052</t>
  </si>
  <si>
    <t>Apple iPad32GB - Silver - ONLY GIGA - GIGABOOST</t>
  </si>
  <si>
    <t>Apple iPad New 9.7 32GB Silver</t>
  </si>
  <si>
    <t>Apple iPad32GB - Silver - ONLY GIGA - GIGABOOST_GSI</t>
  </si>
  <si>
    <t>1470098588492</t>
  </si>
  <si>
    <t>1464974811093</t>
  </si>
  <si>
    <t>Huawei P20 PRO Limited edition - Blue - SMARTSHARE UNLIMITED</t>
  </si>
  <si>
    <t>Huawei P20 PRO Limited edition - Blue - SMARTSHARE UNLIMITED_GSI</t>
  </si>
  <si>
    <t>1470095103872</t>
  </si>
  <si>
    <t>1460322317460</t>
  </si>
  <si>
    <t>Wind Tab 10 - White - SUPER GIGA 70</t>
  </si>
  <si>
    <t>Wind Tab 10 - White - SUPER GIGA 70_GSI</t>
  </si>
  <si>
    <t>1470091109152</t>
  </si>
  <si>
    <t>1344622578218</t>
  </si>
  <si>
    <t>Samsung Galaxy S7 - Gold - UNLIMITED</t>
  </si>
  <si>
    <t>Samsung Galaxy S7 - Gold - UNLIMITED_GSI</t>
  </si>
  <si>
    <t>1470109270352</t>
  </si>
  <si>
    <t>1453260599194</t>
  </si>
  <si>
    <t>Huawei P Smart 2019 - Blue - MYSHARE</t>
  </si>
  <si>
    <t>Huawei P Smart 2019 - Blue - MYSHARE_GSI</t>
  </si>
  <si>
    <t>1470092284942</t>
  </si>
  <si>
    <t>1339568476741</t>
  </si>
  <si>
    <t>Samsung Galaxy A3 - Blue - AI RIC BIG</t>
  </si>
  <si>
    <t>Samsung Galaxy A3 - Blue - AI RIC BIG_GSI</t>
  </si>
  <si>
    <t>1470102849302</t>
  </si>
  <si>
    <t>1457893502355</t>
  </si>
  <si>
    <t>1464975913470</t>
  </si>
  <si>
    <t>Samsung Galaxy A50 - Black - MYSHARE</t>
  </si>
  <si>
    <t>Samsung Galaxy A50 - Black - MYSHARE_GSI</t>
  </si>
  <si>
    <t>1470100784932</t>
  </si>
  <si>
    <t>1470090914322</t>
  </si>
  <si>
    <t>1470089839812</t>
  </si>
  <si>
    <t>1470098902152</t>
  </si>
  <si>
    <t>1464993087128</t>
  </si>
  <si>
    <t>Samsung Galaxy A50 - Blue - MYUNLIMITED</t>
  </si>
  <si>
    <t>Samsung Galaxy A50 - Blue - MYUNLIMITED_GSI</t>
  </si>
  <si>
    <t>1470090914462</t>
  </si>
  <si>
    <t>1464993087163</t>
  </si>
  <si>
    <t>Huawei Y6 2019- Blue - MYUNLIMITED</t>
  </si>
  <si>
    <t>Huawei Y6 2019- Blue - MYUNLIMITED_GSI</t>
  </si>
  <si>
    <t>1470101051692</t>
  </si>
  <si>
    <t>1464987690069</t>
  </si>
  <si>
    <t>1470084111522</t>
  </si>
  <si>
    <t>1464987690100</t>
  </si>
  <si>
    <t>Huawei P30 Lite - White -  MYUNLIMITED</t>
  </si>
  <si>
    <t>Huawei P30 Lite - White -  MYUNLIMITED_GSI</t>
  </si>
  <si>
    <t>1470098569722</t>
  </si>
  <si>
    <t>1339561658333</t>
  </si>
  <si>
    <t>Huawei P10 Black - AI RIC BIG</t>
  </si>
  <si>
    <t>Huawei P10 Black - AI RIC BIG_GSI</t>
  </si>
  <si>
    <t>1470101051752</t>
  </si>
  <si>
    <t>1460728655173</t>
  </si>
  <si>
    <t>Promo FS - Samsung Galaxy Tab A10.1 (32GB) - sconto 100% ET&amp;Rata&amp;MaxiRata - Only Giga</t>
  </si>
  <si>
    <t>Promo FS - Samsung Galaxy Tab A10.1 (32GB) - sconto 100% ET&amp;Rata&amp;MaxiRata - Only Giga_GSI</t>
  </si>
  <si>
    <t>1470088950742</t>
  </si>
  <si>
    <t>1457893502325</t>
  </si>
  <si>
    <t>1371575521443</t>
  </si>
  <si>
    <t>Apple Iphone 7 32GB WT (Limited Edition) (*) - Black - SMARTSHARE</t>
  </si>
  <si>
    <t>Apple Iphone 7 32GB WT (Limited Edition) (*) - Black - SMARTSHARE_GSI</t>
  </si>
  <si>
    <t>1470098563872</t>
  </si>
  <si>
    <t>1460249474465</t>
  </si>
  <si>
    <t>Samsung Galaxy S10+ 512 GB - Black - SUPER UNLIMITED</t>
  </si>
  <si>
    <t>Samsung Galaxy S10+ 512 GB - Black - SUPER UNLIMITED_GSI</t>
  </si>
  <si>
    <t>1470094431452</t>
  </si>
  <si>
    <t>1339278899258</t>
  </si>
  <si>
    <t>Huawei P10 Black - BASIC</t>
  </si>
  <si>
    <t>Huawei P10 Black - BASIC_GSI</t>
  </si>
  <si>
    <t>1470100785712</t>
  </si>
  <si>
    <t>1467922651654</t>
  </si>
  <si>
    <t>Promo Canone 100% - SFP FTTH GPON - Office ONE FIBRA 1000</t>
  </si>
  <si>
    <t>Promo Canone 100% - SFP FTTH GPON - Office ONE FIBRA 1000_GSI</t>
  </si>
  <si>
    <t>1470104851262</t>
  </si>
  <si>
    <t>1468253028407</t>
  </si>
  <si>
    <t xml:space="preserve"> Huawei Y6 2019 - Black - MYSHARE</t>
  </si>
  <si>
    <t xml:space="preserve"> Huawei Y6 2019 - Black - MYSHARE_GSI</t>
  </si>
  <si>
    <t>1470104991422</t>
  </si>
  <si>
    <t>1460293131623</t>
  </si>
  <si>
    <t>Samsung Galaxy S10 512 GB - Black - SUPER UNLIMITED</t>
  </si>
  <si>
    <t>Tel.Cel SamsungGalaxyS10 512GB PriBlack</t>
  </si>
  <si>
    <t>Samsung Galaxy S10 512 GB - Black - SUPER UNLIMITED_GSI</t>
  </si>
  <si>
    <t>1470094507082</t>
  </si>
  <si>
    <t>1468602761593</t>
  </si>
  <si>
    <t>Promo FS - Apple iPhone Xs Max 512GB - Space Gray – PT Smart Share Unlimited</t>
  </si>
  <si>
    <t>Apple iPhone Xs  Max 512GB Space Gray</t>
  </si>
  <si>
    <t>Promo FS - Apple iPhone Xs Max 512GB - Space Gray – PT Smart Share Unlimited_GSI</t>
  </si>
  <si>
    <t>1470094507132</t>
  </si>
  <si>
    <t>1446907950442</t>
  </si>
  <si>
    <t>Promo Canone 100% - Migrazione FTTC - D-Link DVA-5592</t>
  </si>
  <si>
    <t>Promo Canone 100% - Migrazione FTTC - D-Link DVA-5592_GSI</t>
  </si>
  <si>
    <t>1470108124492</t>
  </si>
  <si>
    <t>1445885015070</t>
  </si>
  <si>
    <t>Samsung Galaxy Note 9 - Lavander - MYUNLIMITED 15</t>
  </si>
  <si>
    <t>Samsung Galaxy Note 9 - Lavander - MYUNLIMITED 15_GSI</t>
  </si>
  <si>
    <t>1470105069012</t>
  </si>
  <si>
    <t>1344973744917</t>
  </si>
  <si>
    <t>Samsung Galaxy S7 Edge - Silver - AI BUS UNLI - PREMIUM - TOP MONDO</t>
  </si>
  <si>
    <t>Samsung Galaxy S7 Edge - Silver - AI BUS UNLI - PREMIUM - TOP MONDO_GSI</t>
  </si>
  <si>
    <t>1470104206262</t>
  </si>
  <si>
    <t>1339576703909</t>
  </si>
  <si>
    <t>Samsung Galaxy A5 - Gold - AI BUS BIG</t>
  </si>
  <si>
    <t>Samsung Galaxy A5 - Gold - AI BUS BIG_GSI</t>
  </si>
  <si>
    <t>1470100487402</t>
  </si>
  <si>
    <t>1339576703943</t>
  </si>
  <si>
    <t>Samsung Galaxy A3  - Black - AI BUS UNLI. PREMIUM. TOP MONDO</t>
  </si>
  <si>
    <t>Samsung Galaxy A3  - Black - AI BUS UNLI. PREMIUM. TOP MONDO_GSI</t>
  </si>
  <si>
    <t>1470101963512</t>
  </si>
  <si>
    <t>1339576703957</t>
  </si>
  <si>
    <t>Samsung Galaxy A3 - Gold - AI BUS UNLI. PREMIUM. TOP MONDO</t>
  </si>
  <si>
    <t>Samsung Galaxy A3 - Gold - AI BUS UNLI. PREMIUM. TOP MONDO_GSI</t>
  </si>
  <si>
    <t>1470105068912</t>
  </si>
  <si>
    <t>1339541295085</t>
  </si>
  <si>
    <t>Samsung Galaxy S8 Plus - Silver -  AI RIC BIG</t>
  </si>
  <si>
    <t>Samsung Galaxy S8 Plus - Silver -  AI RIC BIG_GSI</t>
  </si>
  <si>
    <t>1470090914512</t>
  </si>
  <si>
    <t>1142601341690</t>
  </si>
  <si>
    <t>Blackberry Passport  Limited Edition -MNP - A I Business Unlimited Premium e Top Mondo</t>
  </si>
  <si>
    <t>Blackberry Passport  Limited Edition -MNP - A I Business Unlimited Premium e Top Mondo_GSI</t>
  </si>
  <si>
    <t>1470089839782</t>
  </si>
  <si>
    <t>1308854176288</t>
  </si>
  <si>
    <t>Apple Iphone 7  128GB Jet Black - UNLIMITED</t>
  </si>
  <si>
    <t>Apple Iphone 7  128GB Jet Black - UNLIMITED_GSI</t>
  </si>
  <si>
    <t>1470089676002</t>
  </si>
  <si>
    <t>1461260701709</t>
  </si>
  <si>
    <t>Huawei P30 - Black - SUPER UNLIMITED</t>
  </si>
  <si>
    <t>Huawei P30 - Black - SUPER UNLIMITED_GSI</t>
  </si>
  <si>
    <t>1470089712772</t>
  </si>
  <si>
    <t>1461260701737</t>
  </si>
  <si>
    <t>Apple iPad mini 64GB - Space Grey - SUPER GIGA 30</t>
  </si>
  <si>
    <t>Apple iPad mini 64GB - Space Grey - SUPER GIGA 30_GSI</t>
  </si>
  <si>
    <t>1470079837782</t>
  </si>
  <si>
    <t>1309365003924</t>
  </si>
  <si>
    <t>Huawei P8 Lite - White - UNLIMITED</t>
  </si>
  <si>
    <t>Huawei P8 Lite - White - UNLIMITED_GSI</t>
  </si>
  <si>
    <t>1470089675992</t>
  </si>
  <si>
    <t>1309365003930</t>
  </si>
  <si>
    <t>Huawei P8 Lite - Black - AI RIC BIG</t>
  </si>
  <si>
    <t>Huawei P8 Lite - Black - AI RIC BIG_GSI</t>
  </si>
  <si>
    <t>1470083037572</t>
  </si>
  <si>
    <t>1309482557601</t>
  </si>
  <si>
    <t>Huawei P8 Lite - White -AI RIC UNLI. PREMIUM. TOP MONDO</t>
  </si>
  <si>
    <t>Huawei P8 Lite - White -AI RIC UNLI. PREMIUM. TOP MONDO_GSI</t>
  </si>
  <si>
    <t>1470088365402</t>
  </si>
  <si>
    <t>1199307139817</t>
  </si>
  <si>
    <t>Blackberry Priv Black - AI RIC BIG</t>
  </si>
  <si>
    <t>Blackberry Priv Black - AI RIC BIG_GSI</t>
  </si>
  <si>
    <t>1470090478392</t>
  </si>
  <si>
    <t>1142615088990</t>
  </si>
  <si>
    <t>Blackberry Passport Limited Edition- All inclusive Aziende Ricaricabile Big</t>
  </si>
  <si>
    <t>Blackberry Passport Limited Edition- All inclusive Aziende Ricaricabile Big_GSI</t>
  </si>
  <si>
    <t>1470082570532</t>
  </si>
  <si>
    <t>1308905124694</t>
  </si>
  <si>
    <t>Apple Iphone 7 Plus 128GB WT Silver - UNLIMITED</t>
  </si>
  <si>
    <t>Apple Iphone 7 Plus 128GB WT Silver - UNLIMITED_GSI</t>
  </si>
  <si>
    <t>1470096159452</t>
  </si>
  <si>
    <t>1308902783118</t>
  </si>
  <si>
    <t>Apple Iphone 7 128GB WT - Silver  - UNLIMITED</t>
  </si>
  <si>
    <t>Apple Iphone 7 128GB WT - Silver  - UNLIMITED_GSI</t>
  </si>
  <si>
    <t>1470096159462</t>
  </si>
  <si>
    <t>1457968862338</t>
  </si>
  <si>
    <t>1388104008117</t>
  </si>
  <si>
    <t>Promo Easy Sales - TAB S3</t>
  </si>
  <si>
    <t>Samsung Galaxy TAB S3 black</t>
  </si>
  <si>
    <t>Samsung Galaxy TAB S3 - Black</t>
  </si>
  <si>
    <t>000000000000008973</t>
  </si>
  <si>
    <t>Promo Easy Sales - TAB S3_GSI</t>
  </si>
  <si>
    <t>1470094507142</t>
  </si>
  <si>
    <t>1402916623857</t>
  </si>
  <si>
    <t>Promo Canone 100% - IAD AVM FRITZ!BOX7490 FIBRA</t>
  </si>
  <si>
    <t>KIT SME IAD AVM FRITZ!BOX7490</t>
  </si>
  <si>
    <t>000000000000008794</t>
  </si>
  <si>
    <t>Promo Canone 100% - IAD AVM FRITZ!BOX7490 FIBRA_GSI</t>
  </si>
  <si>
    <t>1470096552502</t>
  </si>
  <si>
    <t>1464972122513</t>
  </si>
  <si>
    <t>Huawei P30 Lite - Blue - MYSHARE</t>
  </si>
  <si>
    <t>Huawei P30 Lite - Blue - MYSHARE_GSI</t>
  </si>
  <si>
    <t>1470090914442</t>
  </si>
  <si>
    <t>1326883073591</t>
  </si>
  <si>
    <t>Alcatel IP15 Estensione DECT per Alcatel IP2015 - Black</t>
  </si>
  <si>
    <t>Alcatel IP15 Estensione DECT per IP2015</t>
  </si>
  <si>
    <t>000000000000007168</t>
  </si>
  <si>
    <t>Alcatel IP15 Estensione DECT per Alcatel IP2015 - Black_GSI</t>
  </si>
  <si>
    <t>1470089968682</t>
  </si>
  <si>
    <t>1339576703915</t>
  </si>
  <si>
    <t>Samsung Galaxy A5 - Gold - AI BUS UNLI. PREMIUM. TOP MONDO</t>
  </si>
  <si>
    <t>Samsung Galaxy A5 - Gold - AI BUS UNLI. PREMIUM. TOP MONDO_GSI</t>
  </si>
  <si>
    <t>1470104851002</t>
  </si>
  <si>
    <t>1445571272144</t>
  </si>
  <si>
    <t>Samsung Galaxy Note 9 - Black - SMARTSHARE UNLIMITED</t>
  </si>
  <si>
    <t>Samsung Galaxy Note 9 - Black - SMARTSHARE UNLIMITED_GSI</t>
  </si>
  <si>
    <t>1470102475782</t>
  </si>
  <si>
    <t>1467831480713</t>
  </si>
  <si>
    <t>Promo FS - Huawei P20 Lite - Black - MYSHARE UNLIMITED</t>
  </si>
  <si>
    <t>Promo FS - Huawei P20 Lite - Black - MYSHARE UNLIMITED_GSI</t>
  </si>
  <si>
    <t>1470093633942</t>
  </si>
  <si>
    <t>1169864129510</t>
  </si>
  <si>
    <t>LG G4 Leather Black - AI RIC UNLI. PREMIUM. TOP MONDO</t>
  </si>
  <si>
    <t>LG G4 Leather Black - AI RIC UNLI. PREMIUM. TOP MONDO_GSI</t>
  </si>
  <si>
    <t>1470083455612</t>
  </si>
  <si>
    <t>1446907950467</t>
  </si>
  <si>
    <t>Apple Iphone 6S 32GB - Silver - MYUNLIMITED</t>
  </si>
  <si>
    <t>Apple Iphone 6S 32GB - Silver - MYUNLIMITED_GSI</t>
  </si>
  <si>
    <t>1470108998912</t>
  </si>
  <si>
    <t>1445423957968</t>
  </si>
  <si>
    <t>Apple iPhone Xs 256GB - Silver - SMARTSHARE UNLIMITED</t>
  </si>
  <si>
    <t>Apple iPhone Xs 256GB - Silver - SMARTSHARE UNLIMITED_GSI</t>
  </si>
  <si>
    <t>1470103014092</t>
  </si>
  <si>
    <t>1422929564382</t>
  </si>
  <si>
    <t>Kit GigaSmartShare Wi-Fi ZYXEL 4G Mar18-Only Giga</t>
  </si>
  <si>
    <t>Kit GigaSmartShare Wi-Fi ZYXEL 4G Mar18-Only Giga_GSI</t>
  </si>
  <si>
    <t>1470097788982</t>
  </si>
  <si>
    <t>1339541295007</t>
  </si>
  <si>
    <t>Samsung Galaxy A3 - Gold - BASIC</t>
  </si>
  <si>
    <t>Samsung Galaxy A3 - Gold - BASIC_GSI</t>
  </si>
  <si>
    <t>1470103613952</t>
  </si>
  <si>
    <t>1445409025279</t>
  </si>
  <si>
    <t>Apple iPhone Xs 256GB - Space Gray - MYSHARE</t>
  </si>
  <si>
    <t>Apple iPhone Xs 256GB - Space Gray - MYSHARE_GSI</t>
  </si>
  <si>
    <t>1470108567942</t>
  </si>
  <si>
    <t>1464982828461</t>
  </si>
  <si>
    <t>Samsung Galaxy A40 - White - SMARTSHARE</t>
  </si>
  <si>
    <t>Samsung Galaxy A40 - White - SMARTSHARE_GSI</t>
  </si>
  <si>
    <t>1470097249852</t>
  </si>
  <si>
    <t>1344973744911</t>
  </si>
  <si>
    <t>Samsung Galaxy S7 Edge - Silver - AI BUS BIG</t>
  </si>
  <si>
    <t>Samsung Galaxy S7 Edge - Silver - AI BUS BIG_GSI</t>
  </si>
  <si>
    <t>1470104144342</t>
  </si>
  <si>
    <t>1468486378599</t>
  </si>
  <si>
    <t>Promo FS - Samsung Galaxy S10 128 GB - sconto 100%ET&amp;Rata&amp;MaxiRata - Smart Share Unlimited</t>
  </si>
  <si>
    <t>24 Mesi - Samsung Galaxy S10 128 GB - Black</t>
  </si>
  <si>
    <t>Promo FS - Samsung Galaxy S10 128 GB - sconto 100%ET&amp;Rata&amp;MaxiRata - Smart Share Unlimited_GSI</t>
  </si>
  <si>
    <t>1470098733402</t>
  </si>
  <si>
    <t>1445603158079</t>
  </si>
  <si>
    <t>Huawei P20 PRO - Black - SMARTSHARE UNLIMITED</t>
  </si>
  <si>
    <t>Huawei P20 PRO - Black - SMARTSHARE UNLIMITED_GSI</t>
  </si>
  <si>
    <t>1470106229612</t>
  </si>
  <si>
    <t>1344622578166</t>
  </si>
  <si>
    <t>Samsung Galaxy S7 Edge - Silver - BASIC</t>
  </si>
  <si>
    <t>Samsung Galaxy S7 Edge - Silver - BASIC_GSI</t>
  </si>
  <si>
    <t>1470111825962</t>
  </si>
  <si>
    <t>1460251640098</t>
  </si>
  <si>
    <t>Apple iPhone Xs Max 256GB - Silver - SUPER UNLIMITED</t>
  </si>
  <si>
    <t>Apple  iPhone Xs Max 256GB Silver</t>
  </si>
  <si>
    <t>1470103014032</t>
  </si>
  <si>
    <t>1448978801083</t>
  </si>
  <si>
    <t>Apple iPad Pro 11 - 256GB - Silver - ONLY GIGA - GIGABOOST</t>
  </si>
  <si>
    <t>Apple IPAD PRO 11 256GB Silver</t>
  </si>
  <si>
    <t>Apple iPad Pro 11 - 256GB - Silver - ONLY GIGA - GIGABOOST_GSI</t>
  </si>
  <si>
    <t>1470111553672</t>
  </si>
  <si>
    <t>1339278899119</t>
  </si>
  <si>
    <t>Huawei P10 Plus - Silver -  BASIC</t>
  </si>
  <si>
    <t>Huawei P10 Plus - Silver -  BASIC_GSI</t>
  </si>
  <si>
    <t>1470101540322</t>
  </si>
  <si>
    <t>1461143569171</t>
  </si>
  <si>
    <t>Samsung Galaxy A7 - Black - SMARTSHARE</t>
  </si>
  <si>
    <t>Samsung Galaxy A7 - Black - SMARTSHARE_GSI</t>
  </si>
  <si>
    <t>1470091039642</t>
  </si>
  <si>
    <t>1466435993795</t>
  </si>
  <si>
    <t>Promo CC - Huawei Y6 2019 - Brown - MYUNLIMITED</t>
  </si>
  <si>
    <t>Promo CC - Huawei Y6 2019 - Brown - MYUNLIMITED_GSI</t>
  </si>
  <si>
    <t>1470090200092</t>
  </si>
  <si>
    <t>1359040843830</t>
  </si>
  <si>
    <t>IAD WiFi FTTH HUAWEI HG8245Q - White - AIB GigaFibra e AB GigaFibra</t>
  </si>
  <si>
    <t>IAD WiFi FTTH HUAWEI HG8245Q - White - AIB GigaFibra e AB GigaFibra_GSI</t>
  </si>
  <si>
    <t>1470095103822</t>
  </si>
  <si>
    <t>1460221769992</t>
  </si>
  <si>
    <t>Apple iPhone Xs Max 512GB - Space Gray - SUPER UNLIMITED</t>
  </si>
  <si>
    <t>Apple iPhone Xs Max 512GB - Space Gray - SUPER UNLIMITED_GSI</t>
  </si>
  <si>
    <t>1470095532242</t>
  </si>
  <si>
    <t>1460304669678</t>
  </si>
  <si>
    <t>Apple iPhone Xr 64GB - Black - SUPER UNLIMITED</t>
  </si>
  <si>
    <t>Apple  iPhone Xr  64GB Black</t>
  </si>
  <si>
    <t>Apple iPhone Xr 64GB - Black - SUPER UNLIMITED_GSI</t>
  </si>
  <si>
    <t>1470096067002</t>
  </si>
  <si>
    <t>1308900939256</t>
  </si>
  <si>
    <t>Apple Iphone 7 128GB WT - Choose Black - UNLIMITED</t>
  </si>
  <si>
    <t>Apple Iphone 7 128GB WT - Choose Black - UNLIMITED_GSI</t>
  </si>
  <si>
    <t>1470095532342</t>
  </si>
  <si>
    <t>1339576703888</t>
  </si>
  <si>
    <t>Huawei P10 Silver  - AI BUS UNLI - PREMIUM - TOP MONDO</t>
  </si>
  <si>
    <t>Huawei P10 Silver  - AI BUS UNLI - PREMIUM - TOP MONDO_GSI</t>
  </si>
  <si>
    <t>1470104114282</t>
  </si>
  <si>
    <t>1464993087121</t>
  </si>
  <si>
    <t>Samsung Galaxy A50 - Black - MYUNLIMITED</t>
  </si>
  <si>
    <t>Samsung Galaxy A50 - Black - MYUNLIMITED_GSI</t>
  </si>
  <si>
    <t>1470097786892</t>
  </si>
  <si>
    <t>1445603613801</t>
  </si>
  <si>
    <t>Huawei P20 PRO - Blue - MYSHARE 30-60</t>
  </si>
  <si>
    <t>Huawei P20 PRO - Blue - MYSHARE 30-60_GSI</t>
  </si>
  <si>
    <t>1470102475832</t>
  </si>
  <si>
    <t>1468952312944</t>
  </si>
  <si>
    <t>Promo FS - sconto 100%ET - Only Giga Smart Share</t>
  </si>
  <si>
    <t>Promo FS - sconto 100%ET - Only Giga Smart Share_GSI</t>
  </si>
  <si>
    <t>1470090541802</t>
  </si>
  <si>
    <t>1460330927924</t>
  </si>
  <si>
    <t>WebPocket 4G - Black - SUPER GIGA 30</t>
  </si>
  <si>
    <t>WebPocket 4G - Black - SUPER GIGA 30_GSI</t>
  </si>
  <si>
    <t>1470095583332</t>
  </si>
  <si>
    <t>1467810946126</t>
  </si>
  <si>
    <t>LAR_20190612GalaxyTABS4_CRAL UNIVSTUDI</t>
  </si>
  <si>
    <t>Samsung Tab S4 Black - (ENT)</t>
  </si>
  <si>
    <t>LAR_20190612GalaxyTABS4_CRAL UNIVSTUDI_GSI</t>
  </si>
  <si>
    <t>1470081855762</t>
  </si>
  <si>
    <t>1468701834813</t>
  </si>
  <si>
    <t>Promo FS- Nextivity Cel-Fi Pro RS3- sconto 100% ET&amp;Rata&amp;MaxiRata – Super Unlimited</t>
  </si>
  <si>
    <t>Promo FS- Nextivity Cel-Fi Pro RS3- sconto 100% ET&amp;Rata&amp;MaxiRata – Super Unlimited_GSI</t>
  </si>
  <si>
    <t>1470091352882</t>
  </si>
  <si>
    <t>1371600024609</t>
  </si>
  <si>
    <t>Huawei P10 Plus - Silver -  MYUNLIMITED</t>
  </si>
  <si>
    <t>Huawei P10 Plus - Silver -  MYUNLIMITED_GSI</t>
  </si>
  <si>
    <t>1470099099162</t>
  </si>
  <si>
    <t>1445524024404</t>
  </si>
  <si>
    <t>Apple iPhone Xr 256GB - Blue - MYSHARE</t>
  </si>
  <si>
    <t>Apple iPhone Xr 256GB - Blue - MYSHARE_GSI</t>
  </si>
  <si>
    <t>1470096582652</t>
  </si>
  <si>
    <t>1445409025216</t>
  </si>
  <si>
    <t>Apple iPhone Xs Max 256GB - Gold - MYSHARE</t>
  </si>
  <si>
    <t>1429667383904</t>
  </si>
  <si>
    <t>Promo Canone 100% - D-Link DVA-5592 ADSL</t>
  </si>
  <si>
    <t>Apparati Wind Business ADSL</t>
  </si>
  <si>
    <t>Promo Canone 100% - D-Link DVA-5592 ADSL_GSI</t>
  </si>
  <si>
    <t>1470102849402</t>
  </si>
  <si>
    <t>1445428242217</t>
  </si>
  <si>
    <t>Apple iPhone Xs 64GB - Space Gray - MYSHARE</t>
  </si>
  <si>
    <t>Apple iPhone Xs 64GB - Space Gray - MYSHARE_GSI</t>
  </si>
  <si>
    <t>1470102408422</t>
  </si>
  <si>
    <t>1445598524933</t>
  </si>
  <si>
    <t>Apple iPhone Xr 64GB - Blue - SMARTSHARE UNLIMITED</t>
  </si>
  <si>
    <t>Apple iPhone Xr 64GB - Blue - SMARTSHARE UNLIMITED_GSI</t>
  </si>
  <si>
    <t>1470104991462</t>
  </si>
  <si>
    <t>1445609754710</t>
  </si>
  <si>
    <t>Huawei Mate 20 Lite - Blue - MYSHARE</t>
  </si>
  <si>
    <t>Huawei Mate 20 Lite - Blue - MYSHARE_GSI</t>
  </si>
  <si>
    <t>1470101540612</t>
  </si>
  <si>
    <t>1457968862295</t>
  </si>
  <si>
    <t>1470091022822</t>
  </si>
  <si>
    <t>1460310736354</t>
  </si>
  <si>
    <t>Apple iPad Pro 11 - 256GB - Space Grey - SUPER GIGA 70</t>
  </si>
  <si>
    <t>Apple iPad Pro 11 - 256GB - Space Grey - SUPER GIGA 70_GSI</t>
  </si>
  <si>
    <t>1470093184782</t>
  </si>
  <si>
    <t>1337686173272</t>
  </si>
  <si>
    <t>Switch PoE 24 porte DLINK - WSO SMALL, WSO LARGE, WSO EXTRA LARGE</t>
  </si>
  <si>
    <t>Switch 24porte(12 PoE)DLINK DGS-1100-24P</t>
  </si>
  <si>
    <t>000000000000008835</t>
  </si>
  <si>
    <t>Switch PoE 24 porte DLINK - WSO SMALL, WSO LARGE, WSO EXTRA LARGE_GSI</t>
  </si>
  <si>
    <t>1470098878232</t>
  </si>
  <si>
    <t>1344622578160</t>
  </si>
  <si>
    <t>Samsung Galaxy S7 Edge - Gold -  UNLIMITED</t>
  </si>
  <si>
    <t>Samsung Galaxy S7 Edge - Gold -  UNLIMITED_GSI</t>
  </si>
  <si>
    <t>1470111525912</t>
  </si>
  <si>
    <t>1422166218912</t>
  </si>
  <si>
    <t>Telefono VoIP Alcatel Temporis IP150- Black-WSO SMALL, WSO LARGE</t>
  </si>
  <si>
    <t>Telefono VoIP Alcatel Temporis IP150</t>
  </si>
  <si>
    <t>000000000000007057</t>
  </si>
  <si>
    <t>Telefono VoIP Alcatel Temporis IP150- Black-WSO SMALL, WSO LARGE_GSI</t>
  </si>
  <si>
    <t>1470094028242</t>
  </si>
  <si>
    <t>1339541295165</t>
  </si>
  <si>
    <t>Huawei P10 Plus - Black -  AI RIC BIG</t>
  </si>
  <si>
    <t>Huawei P10 Plus - Black -  AI RIC BIG_GSI</t>
  </si>
  <si>
    <t>1470094028292</t>
  </si>
  <si>
    <t>1445409025159</t>
  </si>
  <si>
    <t>Apple iPhone Xs Max 256GB - Silver - SMARTSHARE UNLIMITED</t>
  </si>
  <si>
    <t>Apple iPhone Xs Max 256GB - Space Gray - SMARTSHARE UNLIMITED_GSI</t>
  </si>
  <si>
    <t>1470104432492</t>
  </si>
  <si>
    <t>1445571272078</t>
  </si>
  <si>
    <t>Samsung Galaxy Note 9 - Black - MYSHARE 5-15</t>
  </si>
  <si>
    <t>Samsung Galaxy Note 9 - Black - MYSHARE 5-15_GSI</t>
  </si>
  <si>
    <t>1470103821182</t>
  </si>
  <si>
    <t>1339576703875</t>
  </si>
  <si>
    <t>Huawei P10 Black - AI BUS UNLI - PREMIUM - TOP MONDO</t>
  </si>
  <si>
    <t>Huawei P10 Black - AI BUS UNLI - PREMIUM - TOP MONDO_GSI</t>
  </si>
  <si>
    <t>1470098569812</t>
  </si>
  <si>
    <t>1339216192289</t>
  </si>
  <si>
    <t>KIT GIGASHARE Wi-Fi ZYXEL 4G - White - 10 GIGA</t>
  </si>
  <si>
    <t>KIT GIGASHARE Wi-Fi ZYXEL 4G - White - 10 GIGA_GSI</t>
  </si>
  <si>
    <t>1470103821502</t>
  </si>
  <si>
    <t>1445524024467</t>
  </si>
  <si>
    <t>Apple iPhone Xr 256GB - White - SMARTSHARE UNLIMITED</t>
  </si>
  <si>
    <t>Apple iPhone Xr 256GB - White - SMARTSHARE UNLIMITED_GSI</t>
  </si>
  <si>
    <t>1470103613982</t>
  </si>
  <si>
    <t>1460322317522</t>
  </si>
  <si>
    <t>WebPocket 4G+ Alcatel - White - SUPER GIGA 30</t>
  </si>
  <si>
    <t>WebPocket 4G+ Alcatel - White - SUPER GIGA 30_GSI</t>
  </si>
  <si>
    <t>1470092303122</t>
  </si>
  <si>
    <t>1464977659042</t>
  </si>
  <si>
    <t>Samsung Galaxy A50 - White - SMARTSHARE</t>
  </si>
  <si>
    <t>Samsung Galaxy A50 - White - SMARTSHARE_GSI</t>
  </si>
  <si>
    <t>1470098916762</t>
  </si>
  <si>
    <t>1427264387100</t>
  </si>
  <si>
    <t>Apple iPhone 8 Plus 256GB - Space gray - SMARTSHARE 500</t>
  </si>
  <si>
    <t>Apple iPhone 8 Plus 256GB - Space gray - SMARTSHARE 500_GSI</t>
  </si>
  <si>
    <t>1470093634872</t>
  </si>
  <si>
    <t>1374895010134</t>
  </si>
  <si>
    <t>Promo Canone 100% - AVM FritzBox! 7490 ADSL</t>
  </si>
  <si>
    <t>Promo Canone 100% - AVM FritzBox! 7490 ADSL_GSI</t>
  </si>
  <si>
    <t>1470098878172</t>
  </si>
  <si>
    <t>1445124335593</t>
  </si>
  <si>
    <t>Promo ad hoc - 24MESI - Tel.Cel ALCATEL WindSmart2018 Dark Blue</t>
  </si>
  <si>
    <t>Wind Smart 2018 - Black</t>
  </si>
  <si>
    <t>Promo ad hoc - 24MESI - Tel.Cel ALCATEL WindSmart2018 Dark Blue_GSI</t>
  </si>
  <si>
    <t>1470098902122</t>
  </si>
  <si>
    <t>1344622578148</t>
  </si>
  <si>
    <t>Samsung Galaxy S7 Edge - White - UNLIMITED</t>
  </si>
  <si>
    <t>Samsung Galaxy S7 Edge - White - UNLIMITED_GSI</t>
  </si>
  <si>
    <t>1470107854142</t>
  </si>
  <si>
    <t>1344622578106</t>
  </si>
  <si>
    <t>Samsung Galaxy S8 - Silver -  BASIC</t>
  </si>
  <si>
    <t>Samsung Galaxy S8 - Silver -  BASIC_GSI</t>
  </si>
  <si>
    <t>1470108487402</t>
  </si>
  <si>
    <t>1455296066778</t>
  </si>
  <si>
    <t>Samsung Tab A 10.1 - 32GB - Black - ONLY GIGA - GIGABOOST</t>
  </si>
  <si>
    <t>Samsung  Galaxy TAB A 10.1 32GB Black</t>
  </si>
  <si>
    <t>Samsung Tab A 10.1 - 32GB - Black - ONLY GIGA - GIGABOOST_GSI</t>
  </si>
  <si>
    <t>1470089676042</t>
  </si>
  <si>
    <t>1357672398228</t>
  </si>
  <si>
    <t>Wind Smart - Black - AI BUS UNLI. PREMIUM. TOP MONDO</t>
  </si>
  <si>
    <t>Wind Smart - Black - AI BUS UNLI. PREMIUM. TOP MONDO_GSI</t>
  </si>
  <si>
    <t>1470094217312</t>
  </si>
  <si>
    <t>1464966989984</t>
  </si>
  <si>
    <t>Samsung Galaxy A40 - White - SUPER UNLIMITED</t>
  </si>
  <si>
    <t>Samsung Galaxy A40 - White - SUPER UNLIMITED_GSI</t>
  </si>
  <si>
    <t>1470100785272</t>
  </si>
  <si>
    <t>1445589093714</t>
  </si>
  <si>
    <t>Apple iPhone Xr 128GB - White- MYSHARE</t>
  </si>
  <si>
    <t>Apple iPhone Xr 128GB - White- MYSHARE_GSI</t>
  </si>
  <si>
    <t>1470098878352</t>
  </si>
  <si>
    <t>1339541295099</t>
  </si>
  <si>
    <t>Samsung Galaxy S8 Plus - Violet -  AI RIC BIG</t>
  </si>
  <si>
    <t>Samsung Galaxy S8 Plus - Violet -  AI RIC BIG_GSI</t>
  </si>
  <si>
    <t>1470102179772</t>
  </si>
  <si>
    <t>1445598525011</t>
  </si>
  <si>
    <t>Apple iPhone Xr 64GB - White - SMARTSHARE UNLIMITED</t>
  </si>
  <si>
    <t>Apple iPhone Xr 64GB - White - SMARTSHARE UNLIMITED_GSI</t>
  </si>
  <si>
    <t>1470092229832</t>
  </si>
  <si>
    <t>1445609754726</t>
  </si>
  <si>
    <t>Huawei Mate 20 Lite - Blue - SMARTSHARE</t>
  </si>
  <si>
    <t>Huawei Mate 20 Lite - Blue - SMARTSHARE_GSI</t>
  </si>
  <si>
    <t>1470100869242</t>
  </si>
  <si>
    <t>1460288455249</t>
  </si>
  <si>
    <t>Samsung Galaxy Note 9 - Lavander - SUPER UNLIMITED</t>
  </si>
  <si>
    <t>Tel. Cel Samsung  Galaxy Note9 lavander</t>
  </si>
  <si>
    <t>Samsung Galaxy Note 9 - Lavander - SUPER UNLIMITED_GSI</t>
  </si>
  <si>
    <t>1470093762132</t>
  </si>
  <si>
    <t>1468961318399</t>
  </si>
  <si>
    <t>Promo FS - Wind Tab 10 - White - ONLY GIGA</t>
  </si>
  <si>
    <t>Promo FS - Wind Tab 10 - White - ONLY GIGA_GSI</t>
  </si>
  <si>
    <t>1470092229202</t>
  </si>
  <si>
    <t>1460288454791</t>
  </si>
  <si>
    <t>Samsung Galaxy S10+ 512 GB - White - SUPER UNLIMITED</t>
  </si>
  <si>
    <t>Tel.Cel Samsung GalaxyS10+512GBCerWhite</t>
  </si>
  <si>
    <t>Samsung Galaxy S10+ 512 GB - White - SUPER UNLIMITED_GSI</t>
  </si>
  <si>
    <t>1470083037692</t>
  </si>
  <si>
    <t>1431695349772</t>
  </si>
  <si>
    <t>KIT Hotspot Wi-Fi Wi-Next Naawigo 2018 – LEONARDO</t>
  </si>
  <si>
    <t>KIT Hotspot Wi-Fi Wi-Next Naawigo - 2018</t>
  </si>
  <si>
    <t>KIT Hotspot Wi-Fi Wi-Next Naawigo 2018</t>
  </si>
  <si>
    <t>000000000000009786</t>
  </si>
  <si>
    <t>KIT Hotspot Wi-Fi Wi-Next Naawigo 2018 – LEONARDO_GSI</t>
  </si>
  <si>
    <t>1470109270542</t>
  </si>
  <si>
    <t>1445423958541</t>
  </si>
  <si>
    <t>Apple iPhone Xs 256GB - Gold - SMARTSHARE UNLIMITED</t>
  </si>
  <si>
    <t>Apple iPhone Xs 256GB - Gold - SMARTSHARE UNLIMITED_GSI</t>
  </si>
  <si>
    <t>1470105802962</t>
  </si>
  <si>
    <t>1464987690094</t>
  </si>
  <si>
    <t>Huawei P20 PRO limited edition - Black - MYUNLIMITED 30</t>
  </si>
  <si>
    <t>Huawei P20 PRO limited edition - Black - MYUNLIMITED 30_GSI</t>
  </si>
  <si>
    <t>1470100828202</t>
  </si>
  <si>
    <t>1464938274842</t>
  </si>
  <si>
    <t>Huawei Mate 20 Pro limited edition - Blue -  MYSHARE 5-15</t>
  </si>
  <si>
    <t>Huawei Mate 20 Pro limited edition - Blue -  MYSHARE 5-15_GSI</t>
  </si>
  <si>
    <t>1470100094562</t>
  </si>
  <si>
    <t>1464966989990</t>
  </si>
  <si>
    <t>Samsung Galaxy J6 - Black - SUPER UNLIMITED</t>
  </si>
  <si>
    <t>Samsung Galaxy J6 - Black - SUPER UNLIMITED_GSI</t>
  </si>
  <si>
    <t>1470100785622</t>
  </si>
  <si>
    <t>1469071549792</t>
  </si>
  <si>
    <t>Promo FS - IPHONE XR 256 GB - sconto 100%ET&amp;Rata&amp;MaxiRata - Smart Share Unlimited</t>
  </si>
  <si>
    <t>24 Mesi - Apple IPhone Xr 256GB - Blue</t>
  </si>
  <si>
    <t>Promo FS - IPHONE XR 256 GB - sconto 100%ET&amp;Rata&amp;MaxiRata - Smart Share Unlimited_GSI</t>
  </si>
  <si>
    <t>1470090914392</t>
  </si>
  <si>
    <t>1461143569190</t>
  </si>
  <si>
    <t>Huawei P20 Lite - Blue -  MYSHARE</t>
  </si>
  <si>
    <t>Huawei P20 Lite - Blue -  MYSHARE_GSI</t>
  </si>
  <si>
    <t>1470081855722</t>
  </si>
  <si>
    <t>1458093948163</t>
  </si>
  <si>
    <t>Apple Ipad 9.7 128GB - Silver - ONLY GIGA - GIGABOOST</t>
  </si>
  <si>
    <t>Apple Ipad 9.7 128GB - Silver - ONLY GIGA - GIGABOOST_GSI</t>
  </si>
  <si>
    <t>1470095435852</t>
  </si>
  <si>
    <t>1422285888123</t>
  </si>
  <si>
    <t>Alcatel IP2015 IP DECT Base e Cordless - Black - WSO SMALL, WSO LARGE</t>
  </si>
  <si>
    <t>Alcatel IP2015 IP DECT Base e Cordless - Black - WSO SMALL, WSO LARGE_GSI</t>
  </si>
  <si>
    <t>1470096663812</t>
  </si>
  <si>
    <t>1460310736205</t>
  </si>
  <si>
    <t>Huawei Mate 20 Lite - Gold - SUPER UNLIMITED</t>
  </si>
  <si>
    <t>Tel.Cel Huawei Mate 20  Lite gold</t>
  </si>
  <si>
    <t>Huawei Mate 20 Lite - Gold - SUPER UNLIMITED_GSI</t>
  </si>
  <si>
    <t>1470090879202</t>
  </si>
  <si>
    <t>1465354186762</t>
  </si>
  <si>
    <t>Promo FS - Nextivity Cel-Fi Pro RS3 - sconto 100%ET&amp;Rata&amp;MaxiRata - My Share Unlimited 15 GB</t>
  </si>
  <si>
    <t>Promo FS - Nextivity Cel-Fi Pro RS3 - sconto 100%ET&amp;Rata&amp;MaxiRata - My Share Unlimited 15 GB_GSI</t>
  </si>
  <si>
    <t>1470084111742</t>
  </si>
  <si>
    <t>1422929564387</t>
  </si>
  <si>
    <t>Kit GigaSmartShare Wi-Fi ZYXEL 4G Mar18-Internet 10GB</t>
  </si>
  <si>
    <t>Kit GigaSmartShare Wi-Fi ZYXEL 4G Mar18-Internet 10GB_GSI</t>
  </si>
  <si>
    <t>1470098569692</t>
  </si>
  <si>
    <t>1445885015476</t>
  </si>
  <si>
    <t>Apple iPhone 8 64GB - Silver - MYUNLIMITED</t>
  </si>
  <si>
    <t>Apple iPhone 8 64GB - Silver - MYUNLIMITED_GSI</t>
  </si>
  <si>
    <t>1470098853832</t>
  </si>
  <si>
    <t>1456331838145</t>
  </si>
  <si>
    <t>Promo CRM-CBBS  - ZTE WebCube4-  White - Internet 10 GB</t>
  </si>
  <si>
    <t>Promo CRM-CBBS  - ZTE WebCube4-  White - Internet 10 GB_GSI</t>
  </si>
  <si>
    <t>1470083037702</t>
  </si>
  <si>
    <t>1339561658381</t>
  </si>
  <si>
    <t>Samsung Galaxy A5 - Gold - AI RIC UNLI. PREMIUM. TOP MONDO</t>
  </si>
  <si>
    <t>Samsung Galaxy A5 - Gold - AI RIC UNLI. PREMIUM. TOP MONDO_GSI</t>
  </si>
  <si>
    <t>1470098588762</t>
  </si>
  <si>
    <t>1445881319230</t>
  </si>
  <si>
    <t>Apple iPhone Xs 256GB - Gold - MYUNLIMITED</t>
  </si>
  <si>
    <t>Apple iPhone Xs 256GB - Gold - MYUNLIMITED_GSI</t>
  </si>
  <si>
    <t>1470102179722</t>
  </si>
  <si>
    <t>1445524024461</t>
  </si>
  <si>
    <t>Apple iPhone Xr 256GB - White- MYSHARE</t>
  </si>
  <si>
    <t>Apple iPhone Xr 256GB - White- MYSHARE_GSI</t>
  </si>
  <si>
    <t>1470101066542</t>
  </si>
  <si>
    <t>1460307928531</t>
  </si>
  <si>
    <t>Samsung Galaxy S10e 128 GB - Black - SUPER UNLIMITED</t>
  </si>
  <si>
    <t>Tel.Cel SamsungGalaxyS10e128GB PriBlack</t>
  </si>
  <si>
    <t>Samsung Galaxy S10e 128 GB - Black - SUPER UNLIMITED_GSI</t>
  </si>
  <si>
    <t>1470091352892</t>
  </si>
  <si>
    <t>1460249473983</t>
  </si>
  <si>
    <t>Apple iPhone X 64GB - Space gray - SUPER UNLIMITED</t>
  </si>
  <si>
    <t>Apple I Phone  X 64GB Space Grey</t>
  </si>
  <si>
    <t>Apple iPhone X 64GB - Space gray - SUPER UNLIMITED_GSI</t>
  </si>
  <si>
    <t>1470090879612</t>
  </si>
  <si>
    <t>1464977659049</t>
  </si>
  <si>
    <t>Samsung Galaxy A40 - Black - MYSHARE</t>
  </si>
  <si>
    <t>Samsung Galaxy A40 - Black - MYSHARE_GSI</t>
  </si>
  <si>
    <t>1470096552532</t>
  </si>
  <si>
    <t>1466672142486</t>
  </si>
  <si>
    <t>Promo CC - Huawei Y6 2019 Blue - SUPER UNLIMITED</t>
  </si>
  <si>
    <t>Promo CC - Huawei Y6 2019 Blue - SUPER UNLIMITED_GSI</t>
  </si>
  <si>
    <t>1470089676812</t>
  </si>
  <si>
    <t>1445428242180</t>
  </si>
  <si>
    <t>Apple iPhone Xs Max 64GB - Gold - SMARTSHARE UNLIMITED</t>
  </si>
  <si>
    <t>Apple iPhone Xs Max 64GB - Gold - SMARTSHARE UNLIMITED_GSI</t>
  </si>
  <si>
    <t>1470107132092</t>
  </si>
  <si>
    <t>1448713847834</t>
  </si>
  <si>
    <t>Xiaomi Mi A2 Lite - Black - SMARTSHARE</t>
  </si>
  <si>
    <t>Xiaomi Mi A2 Lite - Black - SMARTSHARE_GSI</t>
  </si>
  <si>
    <t>1470109174062</t>
  </si>
  <si>
    <t>1445864831341</t>
  </si>
  <si>
    <t>Web Cube 4 - White - 30 GIGA</t>
  </si>
  <si>
    <t>Web Cube 4 - White - 30 GIGA_GSI</t>
  </si>
  <si>
    <t>1470098906412</t>
  </si>
  <si>
    <t>1445598524897</t>
  </si>
  <si>
    <t>Apple iPhone Xr 64GB - Blue - MYSHARE</t>
  </si>
  <si>
    <t>Apple iPhone Xr 64GB - Blue - MYSHARE_GSI</t>
  </si>
  <si>
    <t>1470104206202</t>
  </si>
  <si>
    <t>1339541295001</t>
  </si>
  <si>
    <t>Samsung Galaxy A3 - Black - UNLIMITED</t>
  </si>
  <si>
    <t>Samsung Galaxy A3 - Black - UNLIMITED_GSI</t>
  </si>
  <si>
    <t>1470105014372</t>
  </si>
  <si>
    <t>1169864129490</t>
  </si>
  <si>
    <t>LG G4 Leather Black - AI BUSINESS BIG</t>
  </si>
  <si>
    <t>LG G4 Leather Black - AI BUSINESS BIG_GSI</t>
  </si>
  <si>
    <t>1470091109132</t>
  </si>
  <si>
    <t>1169864129496</t>
  </si>
  <si>
    <t>LG G4 Leather Black - AI RIC BIG</t>
  </si>
  <si>
    <t>LG G4 Leather Black - AI RIC BIG_GSI</t>
  </si>
  <si>
    <t>1470090704462</t>
  </si>
  <si>
    <t>1308839728289</t>
  </si>
  <si>
    <t>Apple Iphone 7 Plus 128GB Jet Black - UNLIMITED</t>
  </si>
  <si>
    <t>Apple Iphone 7 Plus 128 GB Jet black</t>
  </si>
  <si>
    <t>Apple Iphone 7 Plus 128GB - Jet Black</t>
  </si>
  <si>
    <t>000000000000008429</t>
  </si>
  <si>
    <t>Apple Iphone 7 Plus 128GB Jet Black - UNLIMITED_GSI</t>
  </si>
  <si>
    <t>1470090461022</t>
  </si>
  <si>
    <t>1308850097249</t>
  </si>
  <si>
    <t>Apple Iphone 7 Plus 32GB Choose Black - UNLIMITED</t>
  </si>
  <si>
    <t>Apple Iphone 7 Plus 32GB Choose Black - UNLIMITED_GSI</t>
  </si>
  <si>
    <t>1470087894512</t>
  </si>
  <si>
    <t>1308861726415</t>
  </si>
  <si>
    <t>Apple Iphone 7  128GB Choose Black - BASIC</t>
  </si>
  <si>
    <t>Apple Iphone 7  128GB Choose Black - BASIC_GSI</t>
  </si>
  <si>
    <t>1470089946912</t>
  </si>
  <si>
    <t>1309486040265</t>
  </si>
  <si>
    <t>Huawei P8 Lite - Black - AI BUS UNLI. PREMIUM. TOP MONDO</t>
  </si>
  <si>
    <t>Huawei P8 Lite - Black - AI BUS UNLI. PREMIUM. TOP MONDO_GSI</t>
  </si>
  <si>
    <t>1470090461502</t>
  </si>
  <si>
    <t>1457893502717</t>
  </si>
  <si>
    <t>Samsung Galaxy S10+ 512 GB - Black - SMARTSHARE UNLIMITED</t>
  </si>
  <si>
    <t>Samsung Galaxy S10+ 512 GB - Black - SMARTSHARE UNLIMITED_GSI</t>
  </si>
  <si>
    <t>1470088950522</t>
  </si>
  <si>
    <t>1461270234178</t>
  </si>
  <si>
    <t>Huawei P30 Pro 128GB -  Aurora - MYSHARE</t>
  </si>
  <si>
    <t>Huawei P30 Pro 128GB -  Aurora - MYSHARE_GSI</t>
  </si>
  <si>
    <t>1470088365152</t>
  </si>
  <si>
    <t>1308958551167</t>
  </si>
  <si>
    <t>Samsung Galaxy J7 - Black - UNLIMITED</t>
  </si>
  <si>
    <t>Samsung Galaxy J7 - Black - UNLIMITED_GSI</t>
  </si>
  <si>
    <t>1470087357732</t>
  </si>
  <si>
    <t>1308839728283</t>
  </si>
  <si>
    <t>Apple Iphone 7 Plus 128GB Jet Black - BASIC</t>
  </si>
  <si>
    <t>Apple Iphone 7 Plus 128GB Jet Black - BASIC_GSI</t>
  </si>
  <si>
    <t>1470082156142</t>
  </si>
  <si>
    <t>1309365003908</t>
  </si>
  <si>
    <t>Huawei P8 Lite - Black - UNLIMITED</t>
  </si>
  <si>
    <t>Huawei P8 Lite - Black - UNLIMITED_GSI</t>
  </si>
  <si>
    <t>1470090478352</t>
  </si>
  <si>
    <t>1461260701725</t>
  </si>
  <si>
    <t>Huawei P30 - Aurora - SUPER UNLIMITED</t>
  </si>
  <si>
    <t>Huawei P30 - Aurora - SUPER UNLIMITED_GSI</t>
  </si>
  <si>
    <t>1470089675972</t>
  </si>
  <si>
    <t>1200365122535</t>
  </si>
  <si>
    <t>Wind Tab 8"  - Internet 25GB</t>
  </si>
  <si>
    <t>Wind Tab 8"  - Internet 25GB_GSI</t>
  </si>
  <si>
    <t>1470092053012</t>
  </si>
  <si>
    <t>1176668269623</t>
  </si>
  <si>
    <t>M-POS INGENICO ICMP122 CLESS - AI BUSINESS UNL. PREMIUM. TOP MONDO</t>
  </si>
  <si>
    <t>M-POS INGENICO ICMP122 CLESS - AI BUSINESS UNL. PREMIUM. TOP MONDO_GSI</t>
  </si>
  <si>
    <t>1470085503322</t>
  </si>
  <si>
    <t>1142615089012</t>
  </si>
  <si>
    <t>Blackberry Passport Limited Edition - A I Aziende Ricaricabile Unlimited Premium e Top Mondo</t>
  </si>
  <si>
    <t>Blackberry Passport Limited Edition - A I Aziende Ricaricabile Unlimited Premium e Top Mondo_GSI</t>
  </si>
  <si>
    <t>1470088365432</t>
  </si>
  <si>
    <t>1159281657614</t>
  </si>
  <si>
    <t>Kit Microsoft Surface PRO3 64GB i3 - Promo Mobile Internet per nuove SIM Dati con Internet 5GB</t>
  </si>
  <si>
    <t>Kit Microsoft Surface+ZTE MF90+4GReady</t>
  </si>
  <si>
    <t>Kit Microsoft Surface PRO3 64GB I3 - Wi-Fi ZTE MF90+ 4G Ready</t>
  </si>
  <si>
    <t>000000000000007642</t>
  </si>
  <si>
    <t>Kit Microsoft Surface PRO3 64GB i3 - Promo Mobile Internet per nuove SIM Dati con Internet 5GB_GSI</t>
  </si>
  <si>
    <t>1470079837832</t>
  </si>
  <si>
    <t>1159281657619</t>
  </si>
  <si>
    <t>Kit Microsoft Surface PRO3 64GB i3 - Promo Mobile Internet per nuove SIM Dati con Internet 10GB</t>
  </si>
  <si>
    <t>Kit Microsoft Surface PRO3 64GB i3 - Promo Mobile Internet per nuove SIM Dati con Internet 10GB_GSI</t>
  </si>
  <si>
    <t>1470089676022</t>
  </si>
  <si>
    <t>1159281657635</t>
  </si>
  <si>
    <t>Kit Microsoft Surface PRO3 64GB i3 - Promo Mobile Internet per nuove SIM Dati con Internet 25GB</t>
  </si>
  <si>
    <t>Kit Microsoft Surface PRO3 64GB i3 - Promo Mobile Internet per nuove SIM Dati con Internet 25GB_GSI</t>
  </si>
  <si>
    <t>1470090914312</t>
  </si>
  <si>
    <t>1460307928164</t>
  </si>
  <si>
    <t>Apple iPhone Xr 64GB - Blue - SUPER UNLIMITED</t>
  </si>
  <si>
    <t>Apple  iPhone Xr 64GB Blue</t>
  </si>
  <si>
    <t>Apple iPhone Xr 64GB - Blue - SUPER UNLIMITED_GSI</t>
  </si>
  <si>
    <t>1470096158972</t>
  </si>
  <si>
    <t>1460310736277</t>
  </si>
  <si>
    <t>Samsung Galaxy A6 - Gold - SUPER UNLIMITED</t>
  </si>
  <si>
    <t>Tel.Cel Samsung Galaxy A6 32GB gold</t>
  </si>
  <si>
    <t>Samsung Galaxy A6 - Gold - SUPER UNLIMITED_GSI</t>
  </si>
  <si>
    <t>1470079837882</t>
  </si>
  <si>
    <t>1445856984861</t>
  </si>
  <si>
    <t>Nextivity Cel-Fi Pro RS3 - W3B Indoor Gigashare</t>
  </si>
  <si>
    <t>Nextivity Cel-Fi Pro RS3 - W3B Indoor Gigashare_GSI</t>
  </si>
  <si>
    <t>1470090914422</t>
  </si>
  <si>
    <t>1339568476747</t>
  </si>
  <si>
    <t>Samsung Galaxy A3 - Blue - AI RIC UNLI. PREMIUM. TOP MONDO</t>
  </si>
  <si>
    <t>Samsung Galaxy A3 - Blue - AI RIC UNLI. PREMIUM. TOP MONDO_GSI</t>
  </si>
  <si>
    <t>1470089968812</t>
  </si>
  <si>
    <t>1461260701692</t>
  </si>
  <si>
    <t>Huawei P30 Pro 128GB - Black - SUPER UNLIMITED</t>
  </si>
  <si>
    <t>Huawei P30 Pro 128GB - Black - SUPER UNLIMITED_GSI</t>
  </si>
  <si>
    <t>1470093633932</t>
  </si>
  <si>
    <t>1464993087135</t>
  </si>
  <si>
    <t>Samsung Galaxy A50 - White - MYUNLIMITED</t>
  </si>
  <si>
    <t>Samsung Galaxy A50 - White - MYUNLIMITED_GSI</t>
  </si>
  <si>
    <t>1470099099212</t>
  </si>
  <si>
    <t>1468269263563</t>
  </si>
  <si>
    <t>Huawei Y5 2019 - Blue - SMARTSHARE</t>
  </si>
  <si>
    <t>Huawei Y5 2019 - Blue - SMARTSHARE_GSI</t>
  </si>
  <si>
    <t>1470102589342</t>
  </si>
  <si>
    <t>1445603158063</t>
  </si>
  <si>
    <t>Huawei P20 PRO - Black - MYSHARE 5-15</t>
  </si>
  <si>
    <t>Huawei P20 PRO - Black - MYSHARE 5-15_GSI</t>
  </si>
  <si>
    <t>1470108998902</t>
  </si>
  <si>
    <t>1445961842829</t>
  </si>
  <si>
    <t>Samsung Galaxy A6 - Orchied Grey - MYUNLIMITED</t>
  </si>
  <si>
    <t>Tel.Cel Samsung GalaxyA6 32G OGrey</t>
  </si>
  <si>
    <t>30 Mesi - Samsung Galaxy A6 - Orchied Grey</t>
  </si>
  <si>
    <t>000000000000009848</t>
  </si>
  <si>
    <t>Samsung Galaxy A6 - Orchied Grey - MYUNLIMITED_GSI</t>
  </si>
  <si>
    <t>1470108002082</t>
  </si>
  <si>
    <t>1344973744979</t>
  </si>
  <si>
    <t>Samsung Galaxy S7 - Gold - AI BUS BIG</t>
  </si>
  <si>
    <t>Samsung Galaxy S7 - Gold - AI BUS BIG_GSI</t>
  </si>
  <si>
    <t>1470108002552</t>
  </si>
  <si>
    <t>1344962840592</t>
  </si>
  <si>
    <t>Samsung Galaxy S7 Edge - White -  AI BUS UNLI - PREMIUM - TOP MONDO</t>
  </si>
  <si>
    <t>Samsung Galaxy S7 Edge - White -  AI BUS UNLI - PREMIUM - TOP MONDO_GSI</t>
  </si>
  <si>
    <t>1470098878392</t>
  </si>
  <si>
    <t>1464966989432</t>
  </si>
  <si>
    <t>Samsung Galaxy A40 - Black - SUPER UNLIMITED</t>
  </si>
  <si>
    <t>Samsung Galaxy A40 - Black - SUPER UNLIMITED_GSI</t>
  </si>
  <si>
    <t>1470100268302</t>
  </si>
  <si>
    <t>1344938987216</t>
  </si>
  <si>
    <t>Samsung Galaxy S7 Edge - Black -  AI RIC BIG</t>
  </si>
  <si>
    <t>Samsung Galaxy S7 Edge - Black -  AI RIC BIG_GSI</t>
  </si>
  <si>
    <t>1470101963582</t>
  </si>
  <si>
    <t>1467940020928</t>
  </si>
  <si>
    <t>Promo Canone 100% - D-Link DVA-5592 FTTH Huawei</t>
  </si>
  <si>
    <t>Promo Canone 100% - D-Link DVA-5592 FTTH Huawei_GSI</t>
  </si>
  <si>
    <t>1470103036782</t>
  </si>
  <si>
    <t>1461143569183</t>
  </si>
  <si>
    <t>Samsung Galaxy A7 - Blue - SMARTSHARE</t>
  </si>
  <si>
    <t>Tel.Cel Samsung Galaxy  A7 Blue</t>
  </si>
  <si>
    <t>30 Mesi - Samsung Galaxy A7 - Blue</t>
  </si>
  <si>
    <t>000000000000009985</t>
  </si>
  <si>
    <t>Samsung Galaxy A7 - Blue - SMARTSHARE_GSI</t>
  </si>
  <si>
    <t>1470090704522</t>
  </si>
  <si>
    <t>Apple iPhone Xs Max 256GB - Space Gray - SUPER UNLIMITED_GSI</t>
  </si>
  <si>
    <t>1470095103502</t>
  </si>
  <si>
    <t>1374895010169</t>
  </si>
  <si>
    <t>Promo Canone 100% - Mini ONT GPON Nokia G-010G-P</t>
  </si>
  <si>
    <t>Promo Canone 100% - Mini ONT GPON Nokia G-010G-P_GSI</t>
  </si>
  <si>
    <t>1470095532452</t>
  </si>
  <si>
    <t>1464975913464</t>
  </si>
  <si>
    <t>Huawei P20 PRO Limited edition - Blac - SMARTSHARE UNLIMITED</t>
  </si>
  <si>
    <t>Huawei P20 PRO Limited edition - Blac - SMARTSHARE UNLIMITED_GSI</t>
  </si>
  <si>
    <t>1470095532492</t>
  </si>
  <si>
    <t>1182312764838</t>
  </si>
  <si>
    <t>LG G4 LEATHER BROWN AI BUSINESS UNL. PREMIUM. TOP MONDO</t>
  </si>
  <si>
    <t>LG G4 LEATHER BROWN AI BUSINESS UNL. PREMIUM. TOP MONDO_GSI</t>
  </si>
  <si>
    <t>1470091039072</t>
  </si>
  <si>
    <t>1182312764846</t>
  </si>
  <si>
    <t>LG G4 LEATHER BROWN AI  RIC BIG</t>
  </si>
  <si>
    <t>LG G4 LEATHER BROWN AI  RIC BIG_GSI</t>
  </si>
  <si>
    <t>1470090200022</t>
  </si>
  <si>
    <t>1453260599200</t>
  </si>
  <si>
    <t>Huawei P Smart 2019 - Blue 2019 - SMARTSHARE</t>
  </si>
  <si>
    <t>Huawei P Smart 2019 - Blue 2019 - SMARTSHARE_GSI</t>
  </si>
  <si>
    <t>1470090879012</t>
  </si>
  <si>
    <t>1460310736199</t>
  </si>
  <si>
    <t>Huawei Mate 20 Lite - Blue - SUPER UNLIMITED</t>
  </si>
  <si>
    <t>Huawei Mate 20 Lite - Blue - SUPER UNLIMITED_GSI</t>
  </si>
  <si>
    <t>1470094037562</t>
  </si>
  <si>
    <t>1445598524839</t>
  </si>
  <si>
    <t>Apple iPhone Xr 64GB - Black - MYSHARE</t>
  </si>
  <si>
    <t>Apple iPhone Xr 64GB - Black - MYSHARE_GSI</t>
  </si>
  <si>
    <t>1470101963572</t>
  </si>
  <si>
    <t>1431956855193</t>
  </si>
  <si>
    <t>Promo FS  Canone 100% - Mini ONT GPON Huawei HG8010H</t>
  </si>
  <si>
    <t>Promo FS  Canone 100% - Mini ONT GPON Huawei HG8010H_GSI</t>
  </si>
  <si>
    <t>1470100869322</t>
  </si>
  <si>
    <t>1468404947762</t>
  </si>
  <si>
    <t>Promo ad Hoc - Samsung Galaxy A40 – Black – Smart Share 500</t>
  </si>
  <si>
    <t>Promo ad Hoc - Samsung Galaxy A40 – Black – Smart Share 500_GSI</t>
  </si>
  <si>
    <t>1470090049452</t>
  </si>
  <si>
    <t>1468271113189</t>
  </si>
  <si>
    <t>Promo FS - Apple iPhone Xs 64GB - Silver - SUPER UNLIMITED</t>
  </si>
  <si>
    <t>Promo FS - Apple iPhone Xs 64GB - Silver - SUPER UNLIMITED_GSI</t>
  </si>
  <si>
    <t>1470090049472</t>
  </si>
  <si>
    <t>1388113035364</t>
  </si>
  <si>
    <t>Promo Easy Sales - iPad 128 GB Silver</t>
  </si>
  <si>
    <t>Apple IPAD 128GB WT Silver</t>
  </si>
  <si>
    <t>Apple IPAD 128GB Silver</t>
  </si>
  <si>
    <t>000000000000008877</t>
  </si>
  <si>
    <t>Promo Easy Sales - iPad 128 GB Silver_GSI</t>
  </si>
  <si>
    <t>1470097249682</t>
  </si>
  <si>
    <t>1278786597366</t>
  </si>
  <si>
    <t>Promo MV - Samsung Galaxy S7 Edge - Gold - AIB Unlimited New</t>
  </si>
  <si>
    <t>Promo MV - Samsung Galaxy S7 Edge - Gold - AIB Unlimited New_GSI</t>
  </si>
  <si>
    <t>1470109703052</t>
  </si>
  <si>
    <t>1461052648723</t>
  </si>
  <si>
    <t>1463339091912</t>
  </si>
  <si>
    <t>Promo FS - Nextivity Cel-Fi Pro RS3 - sconto 100% ET&amp;Rata&amp;MaxiRata - My Share 15GB</t>
  </si>
  <si>
    <t>Promo FS - Nextivity Cel-Fi Pro RS3 - sconto 100% ET&amp;Rata&amp;MaxiRata - My Share 15GB_GSI</t>
  </si>
  <si>
    <t>1470093277702</t>
  </si>
  <si>
    <t>1460221769998</t>
  </si>
  <si>
    <t>Apple iPhone Xs Max 512GB - Silver -SUPER UNLIMITED</t>
  </si>
  <si>
    <t>Apple iPhone  Xs Max 512GB Silver</t>
  </si>
  <si>
    <t>Apple iPhone Xs Max 512GB - Silver -SUPER UNLIMITED_GSI</t>
  </si>
  <si>
    <t>1470089968572</t>
  </si>
  <si>
    <t>1464993087156</t>
  </si>
  <si>
    <t>Samsung Galaxy A40 - White- MYUNLIMITED</t>
  </si>
  <si>
    <t>Samsung Galaxy A40 - White- MYUNLIMITED_GSI</t>
  </si>
  <si>
    <t>1470100487322</t>
  </si>
  <si>
    <t>1445881319794</t>
  </si>
  <si>
    <t>Apple iPhone Xs Max 64GB - Silver - MYUNLIMITED</t>
  </si>
  <si>
    <t>Apple iPhone Xs Max 64GB - Silver - MYUNLIMITED_GSI</t>
  </si>
  <si>
    <t>1470100487622</t>
  </si>
  <si>
    <t>1339278898993</t>
  </si>
  <si>
    <t>Samsung Galaxy S8 Plus - Silver -  BASIC</t>
  </si>
  <si>
    <t>Samsung Galaxy S8 Plus - Silver -  BASIC_GSI</t>
  </si>
  <si>
    <t>1470103036162</t>
  </si>
  <si>
    <t>1460304669636</t>
  </si>
  <si>
    <t>Samsung Galaxy S10+ 128 GB - Black - SUPER UNLIMITED</t>
  </si>
  <si>
    <t>Tel.Cel SamsungGalaxyS10+128GBPriBlack</t>
  </si>
  <si>
    <t>Samsung Galaxy S10+ 128 GB - Black - SUPER UNLIMITED_GSI</t>
  </si>
  <si>
    <t>1470096290522</t>
  </si>
  <si>
    <t>1445128506543</t>
  </si>
  <si>
    <t>Promo ad hoc - 30MESI - Tel.Cel ALCATEL WindSmart2018 Dark Blue</t>
  </si>
  <si>
    <t>Promo ad hoc - 30MESI - Tel.Cel ALCATEL WindSmart2018 Dark Blue_GSI</t>
  </si>
  <si>
    <t>1470098853192</t>
  </si>
  <si>
    <t>1339576703725</t>
  </si>
  <si>
    <t>Huawei P10 Plus - Black -  AI BUS UNLI - PREMIUM - TOP MONDO</t>
  </si>
  <si>
    <t>Huawei P10 Plus - Black -  AI BUS UNLI - PREMIUM - TOP MONDO_GSI</t>
  </si>
  <si>
    <t>1470104431902</t>
  </si>
  <si>
    <t>1446637022585</t>
  </si>
  <si>
    <t>Samsung Galaxy J6 - Orchied Grey - MYSHARE</t>
  </si>
  <si>
    <t>Tel.Cel Samsung Galaxy J6 Lavander</t>
  </si>
  <si>
    <t>30 Mesi - Samsung Galaxy J6 - Orchied Grey</t>
  </si>
  <si>
    <t>000000000000009764</t>
  </si>
  <si>
    <t>Samsung Galaxy J6 - Orchied Grey - MYSHARE_GSI</t>
  </si>
  <si>
    <t>1470101612092</t>
  </si>
  <si>
    <t>1461143569141</t>
  </si>
  <si>
    <t>Huawei Mate 20 Pro - Black - MYSHARE 30-60</t>
  </si>
  <si>
    <t>Huawei Mate 20 Pro - Black - MYSHARE 30-60_GSI</t>
  </si>
  <si>
    <t>1470084111512</t>
  </si>
  <si>
    <t>1445606530094</t>
  </si>
  <si>
    <t>Apple Iphone 6S 32GB - Silver - SMARTSHARE</t>
  </si>
  <si>
    <t>Apple Iphone 6S 32GB - Silver - SMARTSHARE_GSI</t>
  </si>
  <si>
    <t>1470107985972</t>
  </si>
  <si>
    <t>1464018813909</t>
  </si>
  <si>
    <t>Promo FS- Nextivity Cel-Fi Pro RS3- sconto 50% ET&amp;Rata&amp;MaxiRata – My Share Unlimited</t>
  </si>
  <si>
    <t>Promo FS- Nextivity Cel-Fi Pro RS3- sconto 50% ET&amp;Rata&amp;MaxiRata – My Share Unlimited_GSI</t>
  </si>
  <si>
    <t>1470092187512</t>
  </si>
  <si>
    <t>1461270234222</t>
  </si>
  <si>
    <t>Huawei P30 - Black  - Black - MYSHARE</t>
  </si>
  <si>
    <t>Huawei P30 - Black  - Black - MYSHARE_GSI</t>
  </si>
  <si>
    <t>1470100727142</t>
  </si>
  <si>
    <t>1403181789573</t>
  </si>
  <si>
    <t>Promo Canone 100% -IAD AVM FRITZ!BOX7490 ADSL</t>
  </si>
  <si>
    <t>Promo Canone 100% -IAD AVM FRITZ!BOX7490 ADSL_GSI</t>
  </si>
  <si>
    <t>1470091718122</t>
  </si>
  <si>
    <t>1468269263570</t>
  </si>
  <si>
    <t>Huawei Y5 2019- Black - MYUNLIMITED</t>
  </si>
  <si>
    <t>Huawei Y5 2019- Black - MYUNLIMITED_GSI</t>
  </si>
  <si>
    <t>1470106229042</t>
  </si>
  <si>
    <t>1182312764832</t>
  </si>
  <si>
    <t>LG G4 LEATHER BROWN  AI BUSINESS BIG</t>
  </si>
  <si>
    <t>LG G4 LEATHER BROWN  AI BUSINESS BIG_GSI</t>
  </si>
  <si>
    <t>1470091352822</t>
  </si>
  <si>
    <t>1461143569177</t>
  </si>
  <si>
    <t>Samsung Galaxy A7 - Blue - MYSHARE</t>
  </si>
  <si>
    <t>Samsung Galaxy A7 - Blue - MYSHARE_GSI</t>
  </si>
  <si>
    <t>1470093558722</t>
  </si>
  <si>
    <t>1468704033823</t>
  </si>
  <si>
    <t>Promo FS - Huawei Y5 2019 - Black – PT My Share</t>
  </si>
  <si>
    <t>Promo FS - Huawei Y5 2019 - Black – PT My Share_GSI</t>
  </si>
  <si>
    <t>1470096067032</t>
  </si>
  <si>
    <t>1468253028423</t>
  </si>
  <si>
    <t>Huawei Y6 2019 - Bl ack - SMARTSHARE</t>
  </si>
  <si>
    <t>Huawei Y6 2019 - Bl ack - SMARTSHARE_GSI</t>
  </si>
  <si>
    <t>1470103014632</t>
  </si>
  <si>
    <t>1460316909781</t>
  </si>
  <si>
    <t>Apple Ipad 9.7 128GB - Silver- SUPER GIGA 30</t>
  </si>
  <si>
    <t>Apple Ipad 9.7 128GB - Silver- SUPER GIGA 30_GSI</t>
  </si>
  <si>
    <t>1470094028102</t>
  </si>
  <si>
    <t>1344962839898</t>
  </si>
  <si>
    <t>Samsung Galaxy S7 - Gold - AI RIC BIG</t>
  </si>
  <si>
    <t>Samsung Galaxy S7 - Gold - AI RIC BIG_GSI</t>
  </si>
  <si>
    <t>1470104991782</t>
  </si>
  <si>
    <t>1468704599815</t>
  </si>
  <si>
    <t>Promo FS - Alcatel 1X 2019 - Black - Only Giga</t>
  </si>
  <si>
    <t>Promo FS - Alcatel 1X 2019 - Black - Only Giga_GSI</t>
  </si>
  <si>
    <t>1470096049522</t>
  </si>
  <si>
    <t>1464938274883</t>
  </si>
  <si>
    <t>Huawei Mate 20 Pro limited edition - Black - MYSHARE 30-60</t>
  </si>
  <si>
    <t>Huawei Mate 20 Pro limited edition - Black - MYSHARE 30-60_GSI</t>
  </si>
  <si>
    <t>1470094028272</t>
  </si>
  <si>
    <t>1460322317476</t>
  </si>
  <si>
    <t>Wind Tab 8 - Blue - SUPER GIGA 30</t>
  </si>
  <si>
    <t>Wind Tab 8 - Blue - SUPER GIGA 30_GSI</t>
  </si>
  <si>
    <t>1470089947222</t>
  </si>
  <si>
    <t>1456331838141</t>
  </si>
  <si>
    <t>Promo CRM-CBBS - ZTE WebCube4 - White - Internet 30 GB</t>
  </si>
  <si>
    <t>Promo CRM-CBBS - ZTE WebCube4 - White - Internet 30 GB_GSI</t>
  </si>
  <si>
    <t>1470082570792</t>
  </si>
  <si>
    <t>1464971715419</t>
  </si>
  <si>
    <t>Huawei Y6 2019 - Blue - SUPER UNLIMITED</t>
  </si>
  <si>
    <t>Huawei Y6 2019 - Blue - SUPER UNLIMITED_GSI</t>
  </si>
  <si>
    <t>1470101066162</t>
  </si>
  <si>
    <t>1339278898987</t>
  </si>
  <si>
    <t>Samsung Galaxy S8 Plus - Black -  UNLIMITED</t>
  </si>
  <si>
    <t>Samsung Galaxy S8 Plus - Black -  UNLIMITED_GSI</t>
  </si>
  <si>
    <t>1470103613902</t>
  </si>
  <si>
    <t>1445885015002</t>
  </si>
  <si>
    <t>Apple iPhone X 256GB - Space gray - MYUNLIMITED</t>
  </si>
  <si>
    <t>Apple iPhone X 256GB - Space gray - MYUNLIMITED_GSI</t>
  </si>
  <si>
    <t>1470098878302</t>
  </si>
  <si>
    <t>1461232932576</t>
  </si>
  <si>
    <t>1468639074913</t>
  </si>
  <si>
    <t>Promo FS - Alcatel 1X 2019 - Black – PT Smart Share Unlimited</t>
  </si>
  <si>
    <t>Promo FS - Alcatel 1X 2019 - Black – PT Smart Share Unlimited_GSI</t>
  </si>
  <si>
    <t>1470089968592</t>
  </si>
  <si>
    <t>1464983562736</t>
  </si>
  <si>
    <t>Huawei Y6 2019 - Blue - MYSHARE</t>
  </si>
  <si>
    <t>Huawei Y6 2019 - Blue - MYSHARE_GSI</t>
  </si>
  <si>
    <t>1470089968722</t>
  </si>
  <si>
    <t>1448713847829</t>
  </si>
  <si>
    <t>Xiaomi Mi A2 Lite - Black - MYSHARE</t>
  </si>
  <si>
    <t>Xiaomi Mi A2 Lite - Black - MYSHARE_GSI</t>
  </si>
  <si>
    <t>1470109342452</t>
  </si>
  <si>
    <t>1344622578190</t>
  </si>
  <si>
    <t>Samsung Galaxy S7 - White - BASIC</t>
  </si>
  <si>
    <t>Samsung Galaxy S7 - White - BASIC_GSI</t>
  </si>
  <si>
    <t>1470104114502</t>
  </si>
  <si>
    <t>1308938012895</t>
  </si>
  <si>
    <t>Apple Iphone 6S  32GB Grey - BASIC</t>
  </si>
  <si>
    <t>Apple Iphone 6S 32GB - Grey</t>
  </si>
  <si>
    <t>Apple Iphone 6S  32GB Grey - BASIC_GSI</t>
  </si>
  <si>
    <t>1470092229622</t>
  </si>
  <si>
    <t>1422285888103</t>
  </si>
  <si>
    <t>Telefono VoIP Alcatel Temporis IP700G - Black - WSO SMALL, WSO LARGE</t>
  </si>
  <si>
    <t>Telefono VoIP Alcatel Temporis IP700G</t>
  </si>
  <si>
    <t>000000000000007058</t>
  </si>
  <si>
    <t>Telefono VoIP Alcatel Temporis IP700G - Black - WSO SMALL, WSO LARGE_GSI</t>
  </si>
  <si>
    <t>1470092229732</t>
  </si>
  <si>
    <t>1344973744844</t>
  </si>
  <si>
    <t>Samsung Galaxy S7 Edge - Gold - AI BUS UNLI - PREMIUM - TOP MONDO</t>
  </si>
  <si>
    <t>Samsung Galaxy S7 Edge - Gold - AI BUS UNLI - PREMIUM - TOP MONDO_GSI</t>
  </si>
  <si>
    <t>1470109347412</t>
  </si>
  <si>
    <t>1460249473940</t>
  </si>
  <si>
    <t>Apple iPhone Xs 64GB - Space Gray - SUPER UNLIMITED</t>
  </si>
  <si>
    <t>Apple iPhone Xs 64GB - Space Gray - SUPER UNLIMITED_GSI</t>
  </si>
  <si>
    <t>1470096158982</t>
  </si>
  <si>
    <t>1467937397655</t>
  </si>
  <si>
    <t>Promo FS-Samsung Galaxy S10 128 GB - sconto 100% ET&amp;Rata&amp;MaxiRata - Smart Share Unlimited</t>
  </si>
  <si>
    <t>Promo FS-Samsung Galaxy S10 128 GB - sconto 100% ET&amp;Rata&amp;MaxiRata - Smart Share Unlimited_GSI</t>
  </si>
  <si>
    <t>1470096159012</t>
  </si>
  <si>
    <t>1357240226969</t>
  </si>
  <si>
    <t>Wind Smart 2017- Black - SMARTSHARE</t>
  </si>
  <si>
    <t>Wind Smart 2017- Black - SMARTSHARE_GSI</t>
  </si>
  <si>
    <t>1470096159482</t>
  </si>
  <si>
    <t>1468269263547</t>
  </si>
  <si>
    <t xml:space="preserve"> Huawei Y5 2019 - Blue - MYSHARE</t>
  </si>
  <si>
    <t xml:space="preserve"> Huawei Y5 2019 - Blue - MYSHARE_GSI</t>
  </si>
  <si>
    <t>1470105881212</t>
  </si>
  <si>
    <t>1460293131629</t>
  </si>
  <si>
    <t>Samsung Galaxy S10 512 GB - White - SUPER UNLIMITED</t>
  </si>
  <si>
    <t>Tel.Cel SamsungGalaxyS10 512GB PriWhite</t>
  </si>
  <si>
    <t>Samsung Galaxy S10 512 GB - White - SUPER UNLIMITED_GSI</t>
  </si>
  <si>
    <t>1470084111702</t>
  </si>
  <si>
    <t>1460310736388</t>
  </si>
  <si>
    <t>Apple Ipad 9.7 128GB - Space grey - SUPER GIGA 30</t>
  </si>
  <si>
    <t>Apple Ipad 9.7 128GB - Space grey - SUPER GIGA 30_GSI</t>
  </si>
  <si>
    <t>1470096048962</t>
  </si>
  <si>
    <t>1460309565923</t>
  </si>
  <si>
    <t>Huawei P20 PRO - Blue - SUPER UNLIMITED</t>
  </si>
  <si>
    <t>Tel.Cel Huawei P20  Pro  blue</t>
  </si>
  <si>
    <t>Huawei P20 PRO - Blue - SUPER UNLIMITED_GSI</t>
  </si>
  <si>
    <t>1470096049282</t>
  </si>
  <si>
    <t>1445589092894</t>
  </si>
  <si>
    <t>Apple iPhone Xr 128GB - Black - SMARTSHARE UNLIMITED</t>
  </si>
  <si>
    <t>Apple iPhone Xr 128GB - Black - SMARTSHARE UNLIMITED_GSI</t>
  </si>
  <si>
    <t>1470104114332</t>
  </si>
  <si>
    <t>1344938987194</t>
  </si>
  <si>
    <t>Samsung Galaxy S8 - Silver -  AI RIC UNLI - PREMIUM - TOP MONDO</t>
  </si>
  <si>
    <t>Samsung Galaxy S8 - Silver -  AI RIC UNLI - PREMIUM - TOP MONDO_GSI</t>
  </si>
  <si>
    <t>1470108021942</t>
  </si>
  <si>
    <t>1458124163038</t>
  </si>
  <si>
    <t>BlackBerry Key2 LE - Black - SMARTSHARE</t>
  </si>
  <si>
    <t>BlackBerry Key2 LE - Black - SMARTSHARE_GSI</t>
  </si>
  <si>
    <t>1470088950642</t>
  </si>
  <si>
    <t>1467929743293</t>
  </si>
  <si>
    <t>Promo FS - Huawei P30 - Black  - Smart Share Unlimited</t>
  </si>
  <si>
    <t>Tel.Cel Huawei  P30 Black</t>
  </si>
  <si>
    <t>Promo FS - Huawei P30 - Black  - Smart Share Unlimited_GSI</t>
  </si>
  <si>
    <t>1470091718452</t>
  </si>
  <si>
    <t>1464987690088</t>
  </si>
  <si>
    <t>Huawei P20 PRO limited edition - Black - MYUNLIMITED 15</t>
  </si>
  <si>
    <t>Huawei P20 PRO limited edition - Black - MYUNLIMITED 15_GSI</t>
  </si>
  <si>
    <t>1470098588502</t>
  </si>
  <si>
    <t>1467005245045</t>
  </si>
  <si>
    <t>Huawei P30 Pro 256GB - Black - SUPER UNLIMITED</t>
  </si>
  <si>
    <t>Huawei P30 Pro 256GB - Black - SUPER UNLIMITED_GSI</t>
  </si>
  <si>
    <t>1470105802972</t>
  </si>
  <si>
    <t>1344962839926</t>
  </si>
  <si>
    <t>Samsung Galaxy S7 - Silver -  AI RIC UNLI. PREMIUM. TOP MONDO</t>
  </si>
  <si>
    <t>Samsung Galaxy S7 - Silver -  AI RIC UNLI. PREMIUM. TOP MONDO_GSI</t>
  </si>
  <si>
    <t>1470108936252</t>
  </si>
  <si>
    <t>1461143569206</t>
  </si>
  <si>
    <t>Huawei P20 Lite- Blue -  SMARTSHARE</t>
  </si>
  <si>
    <t>Huawei P20 Lite- Blue -  SMARTSHARE_GSI</t>
  </si>
  <si>
    <t>1470092285212</t>
  </si>
  <si>
    <t>1464966989402</t>
  </si>
  <si>
    <t>Samsung Galaxy A50 - Black - SUPER UNLIMITED</t>
  </si>
  <si>
    <t>Samsung Galaxy A50 - Black - SUPER UNLIMITED_GSI</t>
  </si>
  <si>
    <t>1470100869122</t>
  </si>
  <si>
    <t>1339561658347</t>
  </si>
  <si>
    <t>Huawei P10 Silver  - AI RIC BIG</t>
  </si>
  <si>
    <t>Huawei P10 Silver  - AI RIC BIG_GSI</t>
  </si>
  <si>
    <t>1470100869142</t>
  </si>
  <si>
    <t>1467619062272</t>
  </si>
  <si>
    <t>Promo CRM-CBBS - ZTE WebCube4 - White - Only Giga</t>
  </si>
  <si>
    <t>Zte WebCube4  TRE (MF17)white</t>
  </si>
  <si>
    <t>Promo CRM-CBBS - ZTE WebCube4 - White - Only Giga_GSI</t>
  </si>
  <si>
    <t>1470092303752</t>
  </si>
  <si>
    <t>1456331838149</t>
  </si>
  <si>
    <t>1460322317426</t>
  </si>
  <si>
    <t>Apple iPad32GB - Silver - SUPER GIGA 70</t>
  </si>
  <si>
    <t>Apple iPad32GB - Silver - SUPER GIGA 70_GSI</t>
  </si>
  <si>
    <t>1470089968582</t>
  </si>
  <si>
    <t>1308938013361</t>
  </si>
  <si>
    <t>Apple Iphone 6S 32GB Grey - UNLIMITED</t>
  </si>
  <si>
    <t>Apple Iphone 6S 32GB Grey - UNLIMITED_GSI</t>
  </si>
  <si>
    <t>1470094217282</t>
  </si>
  <si>
    <t>1445524024246</t>
  </si>
  <si>
    <t>Samsung Galaxy Note 9 - Blue - SMARTSHARE UNLIMITED</t>
  </si>
  <si>
    <t>Samsung Galaxy Note 9 - Blue - SMARTSHARE UNLIMITED_GSI</t>
  </si>
  <si>
    <t>1470094217582</t>
  </si>
  <si>
    <t>1469298794253</t>
  </si>
  <si>
    <t>Promo FS - Apple iPhone 8 64GB (Space Gray) - sconto 100%ET&amp;Rata&amp;MaxiRata - Smart Share 500</t>
  </si>
  <si>
    <t>Promo FS - Apple iPhone 8 64GB (Space Gray) - sconto 100%ET&amp;Rata&amp;MaxiRata - Smart Share 500_GSI</t>
  </si>
  <si>
    <t>1470097785992</t>
  </si>
  <si>
    <t>1465039283091</t>
  </si>
  <si>
    <t>Samsung Galaxy J6 - Black - SMARTSHARE</t>
  </si>
  <si>
    <t>Samsung Galaxy J6 - Black - SMARTSHARE_GSI</t>
  </si>
  <si>
    <t>1470100487342</t>
  </si>
  <si>
    <t>1336685239512</t>
  </si>
  <si>
    <t>Apple Iphone 7 Plus 128GB WT Jet Black - UNLIMITED</t>
  </si>
  <si>
    <t>Apple Iphone 7 Plus 128GB WT Jet Black - UNLIMITED_GSI</t>
  </si>
  <si>
    <t>1470102407912</t>
  </si>
  <si>
    <t>1339561659213</t>
  </si>
  <si>
    <t>Samsung Galaxy A3 - Black- AI RIC BIG</t>
  </si>
  <si>
    <t>Samsung Galaxy A3 - Black- AI RIC BIG_GSI</t>
  </si>
  <si>
    <t>1470102475162</t>
  </si>
  <si>
    <t>1344962840148</t>
  </si>
  <si>
    <t>Samsung Galaxy S7 Edge - Black - AI BUS UNLI - PREMIUM - TOP MONDO</t>
  </si>
  <si>
    <t>Samsung Galaxy S7 Edge - Black - AI BUS UNLI - PREMIUM - TOP MONDO_GSI</t>
  </si>
  <si>
    <t>1470102408482</t>
  </si>
  <si>
    <t>1339541295067</t>
  </si>
  <si>
    <t>Samsung Galaxy S8 Plus - Black -  AI RIC UNLI - PREMIUM - TOP MONDO</t>
  </si>
  <si>
    <t>Samsung Galaxy S8 Plus - Black -  AI RIC UNLI - PREMIUM - TOP MONDO_GSI</t>
  </si>
  <si>
    <t>1470098569832</t>
  </si>
  <si>
    <t>CODICE OLD</t>
  </si>
  <si>
    <t>NOME PROMO OLD</t>
  </si>
  <si>
    <t>NOME_PROMO NEW</t>
  </si>
  <si>
    <t>CODICE_PROMO NEW</t>
  </si>
  <si>
    <t>CODICE_GSI</t>
  </si>
  <si>
    <t>0TLGG400OU5003</t>
  </si>
  <si>
    <t>0TAL327POU0008</t>
  </si>
  <si>
    <t>0TAL1287OU0001</t>
  </si>
  <si>
    <t>0THUASP8OU5001</t>
  </si>
  <si>
    <t>0TSAGAS1OU7029</t>
  </si>
  <si>
    <t>0THUASP8OU5002</t>
  </si>
  <si>
    <t>0TAL1287OU0023</t>
  </si>
  <si>
    <t>0TACTAX8OU5003</t>
  </si>
  <si>
    <t>0BMISUPRNS5001</t>
  </si>
  <si>
    <t>0TSAGAS1OU7014</t>
  </si>
  <si>
    <t>0TSAGAJ6OU0004</t>
  </si>
  <si>
    <t>0BNOG240NS5001</t>
  </si>
  <si>
    <t>0THUP30LOU7006</t>
  </si>
  <si>
    <t>0TSAGAS7OU5013</t>
  </si>
  <si>
    <t>0BAL3270NS5001</t>
  </si>
  <si>
    <t>0TSAGAA3OU5007</t>
  </si>
  <si>
    <t>0THUP100OU5002</t>
  </si>
  <si>
    <t>0TAC10X0OU0005</t>
  </si>
  <si>
    <t>0TSAGAA5OU7007</t>
  </si>
  <si>
    <t>0TSAGAS7OU5011</t>
  </si>
  <si>
    <t>0THUP300OU7004</t>
  </si>
  <si>
    <t>0TSAGAS1OU7016</t>
  </si>
  <si>
    <t>0TALIPNWOU0003</t>
  </si>
  <si>
    <t>0TSAGAS8OU5006</t>
  </si>
  <si>
    <t>0TAL25XPOU0001</t>
  </si>
  <si>
    <t>0THUP30LOU7004</t>
  </si>
  <si>
    <t>0TSAGAS8OU5005</t>
  </si>
  <si>
    <t>0BZY4506NS5002</t>
  </si>
  <si>
    <t>0TAL25XSOU0001</t>
  </si>
  <si>
    <t>1470089139132</t>
  </si>
  <si>
    <t>0TZTMF17DE0003</t>
  </si>
  <si>
    <t>0TSAGAS8OU5004</t>
  </si>
  <si>
    <t>0BHUP20PNS5001</t>
  </si>
  <si>
    <t>0THUMATEOU7008</t>
  </si>
  <si>
    <t>0THUMATEOU7007</t>
  </si>
  <si>
    <t>0TAL327POU0007</t>
  </si>
  <si>
    <t>0TLGG400OU5002</t>
  </si>
  <si>
    <t>0THUMATEOU7001</t>
  </si>
  <si>
    <t>0TAL25XPOU0003</t>
  </si>
  <si>
    <t>0TAL2509OU0003</t>
  </si>
  <si>
    <t>0RACIP155003</t>
  </si>
  <si>
    <t>0TSAGAA3OU5006</t>
  </si>
  <si>
    <t>0TSAGAS7OU5001</t>
  </si>
  <si>
    <t>0BDL5592NS5004</t>
  </si>
  <si>
    <t>0BHU8010NS5001</t>
  </si>
  <si>
    <t>0TSAGAA4OU7005</t>
  </si>
  <si>
    <t>0BHU8245NS5001</t>
  </si>
  <si>
    <t>0TSAGAS1OU7020</t>
  </si>
  <si>
    <t>0TAL1287OU0019</t>
  </si>
  <si>
    <t>0TSAGAJ7OU5001</t>
  </si>
  <si>
    <t>0TSAGAJ6OU7002</t>
  </si>
  <si>
    <t>0TAL64X0OU0001</t>
  </si>
  <si>
    <t>0TALIP12OU0013</t>
  </si>
  <si>
    <t>0THUP20POU0002</t>
  </si>
  <si>
    <t>0TSAGAN9OU7002</t>
  </si>
  <si>
    <t>0TAL326SOU0005</t>
  </si>
  <si>
    <t>0THUP10POU5002</t>
  </si>
  <si>
    <t>0THUY600OU7005</t>
  </si>
  <si>
    <t>0TAL64XSOU0001</t>
  </si>
  <si>
    <t>0TAL6409OU0002</t>
  </si>
  <si>
    <t>0TAL1287OU0024</t>
  </si>
  <si>
    <t>0TSAGAS7OU5002</t>
  </si>
  <si>
    <t>0TSAGAS1OU7017</t>
  </si>
  <si>
    <t>0RACIP155001</t>
  </si>
  <si>
    <t>0TSAGAA4OU7006</t>
  </si>
  <si>
    <t>0TACTA80OU5002</t>
  </si>
  <si>
    <t>0RDL55925001</t>
  </si>
  <si>
    <t>0RDL55925003</t>
  </si>
  <si>
    <t>0TAL51XPOU0002</t>
  </si>
  <si>
    <t>0THUPSMAOU7003</t>
  </si>
  <si>
    <t>0THUP20LOU0001</t>
  </si>
  <si>
    <t>0TAL3270OU0004</t>
  </si>
  <si>
    <t>0THUY600OU7008</t>
  </si>
  <si>
    <t>0TALIPNWOU0001</t>
  </si>
  <si>
    <t>0TSAGAA5OU7006</t>
  </si>
  <si>
    <t>0TSAGAS1OU7013</t>
  </si>
  <si>
    <t>0TSAGAS1OU7028</t>
  </si>
  <si>
    <t>0TSAGAS8OU5003</t>
  </si>
  <si>
    <t>0THUP20POU0001</t>
  </si>
  <si>
    <t>0THUP300OU7005</t>
  </si>
  <si>
    <t>0BHUP20PNS5002</t>
  </si>
  <si>
    <t>0TBBK200OU0002</t>
  </si>
  <si>
    <t>0TSAGAS1OU7021</t>
  </si>
  <si>
    <t>0TAL64XPOU0001</t>
  </si>
  <si>
    <t>0TSAGAS1OU7024</t>
  </si>
  <si>
    <t>0THUP30POU7011</t>
  </si>
  <si>
    <t>0BZY4506NS5003</t>
  </si>
  <si>
    <t>0TSAGAS7OU5009</t>
  </si>
  <si>
    <t>0THUP30POU7004</t>
  </si>
  <si>
    <t>0TAL25XSOU0003</t>
  </si>
  <si>
    <t>0TSAGAS8OU5002</t>
  </si>
  <si>
    <t>0TSAGAA5OU5007</t>
  </si>
  <si>
    <t>0TACMARTOU5001</t>
  </si>
  <si>
    <t>0RACIP705002</t>
  </si>
  <si>
    <t>0TSAGAS7OU5003</t>
  </si>
  <si>
    <t>0TSAGAA5OU5006</t>
  </si>
  <si>
    <t>0TSAGAJ7OU5006</t>
  </si>
  <si>
    <t>0TAL3270OU0011</t>
  </si>
  <si>
    <t>0TAL3270OU0014</t>
  </si>
  <si>
    <t>0TAL1287OU0005</t>
  </si>
  <si>
    <t>0TBBPRIVOU5001</t>
  </si>
  <si>
    <t>0TAL327POU0005</t>
  </si>
  <si>
    <t>0THUP30LOU7005</t>
  </si>
  <si>
    <t>0TSAGAA6OU7003</t>
  </si>
  <si>
    <t>0TAL1809OU0002</t>
  </si>
  <si>
    <t>0TSAGAS1OU7023</t>
  </si>
  <si>
    <t>0BNOG010NS5001</t>
  </si>
  <si>
    <t>0TAL1809OU0001</t>
  </si>
  <si>
    <t>0TXIMIA2OU7003</t>
  </si>
  <si>
    <t>0TSAGAS7OU5008</t>
  </si>
  <si>
    <t>0THUMATEOU7003</t>
  </si>
  <si>
    <t>0TAL6409OU0003</t>
  </si>
  <si>
    <t>0TAL64XPOU0003</t>
  </si>
  <si>
    <t>0TAL2509OU0001</t>
  </si>
  <si>
    <t>0TAL326SOU0006</t>
  </si>
  <si>
    <t>0THUP20LOU0002</t>
  </si>
  <si>
    <t>0ADEDE5018</t>
  </si>
  <si>
    <t>0TACWP4GDE0003</t>
  </si>
  <si>
    <t>0TALIP64OU0015</t>
  </si>
  <si>
    <t>0TAL1287OU0022</t>
  </si>
  <si>
    <t>0TAL64XSOU0002</t>
  </si>
  <si>
    <t>0THUMATEOU7002</t>
  </si>
  <si>
    <t>0TSAGAS7OU5010</t>
  </si>
  <si>
    <t>0BAL3270NS5002</t>
  </si>
  <si>
    <t>0TACTAA3OU5001</t>
  </si>
  <si>
    <t>0THUP30POU7005</t>
  </si>
  <si>
    <t>0RACIP205001</t>
  </si>
  <si>
    <t>0TAL326SOU0001</t>
  </si>
  <si>
    <t>0TAL647SOU0001</t>
  </si>
  <si>
    <t>0BBBPASSNS5002</t>
  </si>
  <si>
    <t>0THUP10POU5001</t>
  </si>
  <si>
    <t>0TALIP64OU0014</t>
  </si>
  <si>
    <t>0THUY500OU7010</t>
  </si>
  <si>
    <t>0TSAGAA5OU5001</t>
  </si>
  <si>
    <t>0BZTMF90NS5003</t>
  </si>
  <si>
    <t>0TAL64XPOU0002</t>
  </si>
  <si>
    <t>0TAL257SOU0002</t>
  </si>
  <si>
    <t>0TSAGAA5OU5005</t>
  </si>
  <si>
    <t>0TAL64X0OU0002</t>
  </si>
  <si>
    <t>0TAL6409OU0001</t>
  </si>
  <si>
    <t>0TAL1809OU0003</t>
  </si>
  <si>
    <t>0TACWISMOU5001</t>
  </si>
  <si>
    <t>0TAL51XPOU0001</t>
  </si>
  <si>
    <t>0TAL647SOU0003</t>
  </si>
  <si>
    <t>0TALIPNWOU0004</t>
  </si>
  <si>
    <t>0TAL3270OU0013</t>
  </si>
  <si>
    <t>0TAL2509OU0002</t>
  </si>
  <si>
    <t>0TXIMIA2OU7004</t>
  </si>
  <si>
    <t>0TACWP4GDE7002</t>
  </si>
  <si>
    <t>0RACIP705001</t>
  </si>
  <si>
    <t>0TSAGAN9OU7001</t>
  </si>
  <si>
    <t>0TAC10X0OU0006</t>
  </si>
  <si>
    <t>0TSAGAN9OU7003</t>
  </si>
  <si>
    <t>0TSAGAA6OU7001</t>
  </si>
  <si>
    <t>0TAL1287OU0029</t>
  </si>
  <si>
    <t>0THUPSMAOU7004</t>
  </si>
  <si>
    <t>0TALIPNWOU0002</t>
  </si>
  <si>
    <t>0TAL326SOU0013</t>
  </si>
  <si>
    <t>0TSATAA1OU0002</t>
  </si>
  <si>
    <t>0TSAGAA3OU5005</t>
  </si>
  <si>
    <t>0HSAACCSOU5008</t>
  </si>
  <si>
    <t>0TSAGAJ7OU5002</t>
  </si>
  <si>
    <t>0TAL1287OU0020</t>
  </si>
  <si>
    <t>0TAL326SOU0002</t>
  </si>
  <si>
    <t>0TSAGAA7OU0002</t>
  </si>
  <si>
    <t>0TALIPPROU0027</t>
  </si>
  <si>
    <t>0THUWIC4DE0001</t>
  </si>
  <si>
    <t>0THUP100OU5001</t>
  </si>
  <si>
    <t>0TSAGAS8OU5001</t>
  </si>
  <si>
    <t>0TAL25XSOU0002</t>
  </si>
  <si>
    <t>0BAV7490NS5002</t>
  </si>
  <si>
    <t>0TSATAS4OU0001</t>
  </si>
  <si>
    <t>0TAL25XPOU0002</t>
  </si>
  <si>
    <t>0RHU56715001</t>
  </si>
  <si>
    <t>0RACIP155002</t>
  </si>
  <si>
    <t>0BAV7490NS5004</t>
  </si>
  <si>
    <t>0TALIP12OU0012</t>
  </si>
  <si>
    <t>0TSAGAA4OU7007</t>
  </si>
  <si>
    <t>0TALIPPROU0026</t>
  </si>
  <si>
    <t>0TACWP4GDE5003</t>
  </si>
  <si>
    <t>0TALIPPROU0022</t>
  </si>
  <si>
    <t>0TSAGAA5OU7005</t>
  </si>
  <si>
    <t>0TALIPPROU0019</t>
  </si>
  <si>
    <t>0TAL1287OU0010</t>
  </si>
  <si>
    <t>0HIOACCWOU5001</t>
  </si>
  <si>
    <t>0TAL1287OU0028</t>
  </si>
  <si>
    <t>0TSAGAA6OU7002</t>
  </si>
  <si>
    <t>0TSAGAA7OU0001</t>
  </si>
  <si>
    <t>0TAL3270OU0003</t>
  </si>
  <si>
    <t>0RAV32725002</t>
  </si>
  <si>
    <t>0BNABANS5001</t>
  </si>
  <si>
    <t>0TSATAS3OU5001</t>
  </si>
  <si>
    <t>0TSATAA1OU0001</t>
  </si>
  <si>
    <t>0TSAGAJ6OU7001</t>
  </si>
  <si>
    <t>0TBBK100OU0001</t>
  </si>
  <si>
    <t>0RDL11085002</t>
  </si>
  <si>
    <t>0RDL11085003</t>
  </si>
  <si>
    <t>0BDLM222NS5001</t>
  </si>
  <si>
    <t>0TACTA10OU5001</t>
  </si>
  <si>
    <t>Modello</t>
  </si>
  <si>
    <t>CODICE GSI</t>
  </si>
  <si>
    <t>OFFERTA</t>
  </si>
  <si>
    <t>PREZZO LISTINO</t>
  </si>
  <si>
    <t xml:space="preserve">RATA MENSILE LISTINO STANDARD </t>
  </si>
  <si>
    <t>Canone Mensile Kasko</t>
  </si>
  <si>
    <t>Canone Mensile Kasko Premium</t>
  </si>
  <si>
    <t>KIT Quatra4000 NU CU Ant ext e Ant int</t>
  </si>
  <si>
    <t>0TDEQUNUOU7001</t>
  </si>
  <si>
    <t>TUTTI I LISTINI</t>
  </si>
  <si>
    <t>N/D</t>
  </si>
  <si>
    <t>Quatra4000 CU</t>
  </si>
  <si>
    <t>0TDEQU10OU7001</t>
  </si>
  <si>
    <t xml:space="preserve">USCITE DA LISTINO </t>
  </si>
  <si>
    <t xml:space="preserve"> </t>
  </si>
  <si>
    <t>N.B. Tutti gli altri device sono disponibili solo con rata mensile Standard.</t>
  </si>
  <si>
    <t>ANTICIPO</t>
  </si>
  <si>
    <t>RATA MENSILE</t>
  </si>
  <si>
    <t>RATA FINALE                      (scontata del 100% in caso di permanenza 30 mesi)</t>
  </si>
  <si>
    <r>
      <t xml:space="preserve">% SCONTO                             </t>
    </r>
    <r>
      <rPr>
        <sz val="14"/>
        <rFont val="Arial"/>
        <family val="2"/>
      </rPr>
      <t>(sconto della rata finale rispetto al prezzo di listino in promo)</t>
    </r>
  </si>
  <si>
    <t xml:space="preserve">NOME PROMO </t>
  </si>
  <si>
    <t>ID PROMO</t>
  </si>
  <si>
    <t>APPLE</t>
  </si>
  <si>
    <t>Apple iPhone 17 256GB - Black</t>
  </si>
  <si>
    <t>0TAL2570OU0001</t>
  </si>
  <si>
    <t>SUPER UNLIMITED | SUPER UNLIMITED PLUS | SUPER SMART 100</t>
  </si>
  <si>
    <t>Apple iPhone 17 256GB - White</t>
  </si>
  <si>
    <t>0TAL2570OU0002</t>
  </si>
  <si>
    <t>Apple iPhone 17 256GB - Mist Blue</t>
  </si>
  <si>
    <t>0TAL2570OU0003</t>
  </si>
  <si>
    <t>Apple iPhone Air 256GB - Space Black</t>
  </si>
  <si>
    <t>0TAL257AOU0001</t>
  </si>
  <si>
    <t>Apple iPhone Air 256GB - Cloud White</t>
  </si>
  <si>
    <t>0TAL257AOU0002</t>
  </si>
  <si>
    <t>Apple iPhone Air 256GB - Light Gold</t>
  </si>
  <si>
    <t>0TAL257AOU0003</t>
  </si>
  <si>
    <t>Apple iPhone 17 Pro 256GB - Silver</t>
  </si>
  <si>
    <t>0TAL257POU0001</t>
  </si>
  <si>
    <t>Apple iPhone 17 Pro 256GB - Cosmic Orange</t>
  </si>
  <si>
    <t>0TAL257POU0002</t>
  </si>
  <si>
    <t>Apple iPhone 17 Pro 256GB - Deep Blue</t>
  </si>
  <si>
    <t>0TAL257POU0003</t>
  </si>
  <si>
    <t>Apple iPhone 17 Pro Max 256GB - Silver</t>
  </si>
  <si>
    <t>0TAL257MOU0001</t>
  </si>
  <si>
    <t>Apple iPhone 17 Pro Max 256GB - Cosmic Orange</t>
  </si>
  <si>
    <t>0TAL257MOU0002</t>
  </si>
  <si>
    <t>Apple iPhone 17 Pro Max 256GB - Deep Blue</t>
  </si>
  <si>
    <t>0TAL257MOU0003</t>
  </si>
  <si>
    <t>Apple iPhone 17e 256GB - Black</t>
  </si>
  <si>
    <t>0TAL257EOU0001</t>
  </si>
  <si>
    <t>Apple iPhone 17e 256GB - White</t>
  </si>
  <si>
    <t>0TAL257EOU0002</t>
  </si>
  <si>
    <t>Apple iPhone 16 128GB - Nero</t>
  </si>
  <si>
    <t>0TAL1260OU0001</t>
  </si>
  <si>
    <t>Apple iPhone 16e 128GB - Black</t>
  </si>
  <si>
    <t>0TAL126EOU0001</t>
  </si>
  <si>
    <t>Apple iPhone 16e 128GB - White</t>
  </si>
  <si>
    <t>0TAL126EOU0002</t>
  </si>
  <si>
    <t>SAMSUNG</t>
  </si>
  <si>
    <t>Samsung Galaxy Z Fold8 Ultra 1 TB - Graphite</t>
  </si>
  <si>
    <t>0TSAGAFOOU7089</t>
  </si>
  <si>
    <t>Samsung Galaxy Z Fold8 Ultra 1 TB - Violet Shadow</t>
  </si>
  <si>
    <t>0TSAGAFOOU7090</t>
  </si>
  <si>
    <t>Samsung Galaxy Z Fold8 Ultra 512GB - Graphite</t>
  </si>
  <si>
    <t>0TSAGAFOOU7083</t>
  </si>
  <si>
    <t>Samsung Galaxy Z Fold8 Ultra 512GB - Violet Shadow</t>
  </si>
  <si>
    <t>0TSAGAFOOU7084</t>
  </si>
  <si>
    <t>Samsung Galaxy Z Fold8 Ultra 256GB - Graphite</t>
  </si>
  <si>
    <t>0TSAGAFOOU7077</t>
  </si>
  <si>
    <t>Samsung Galaxy Z Fold8 Ultra 256GB - Violet Shadow</t>
  </si>
  <si>
    <t>0TSAGAFOOU7078</t>
  </si>
  <si>
    <t>Samsung Galaxy Z Fold8 1 TB - Graphite</t>
  </si>
  <si>
    <t>0TSAGAFOOU7107</t>
  </si>
  <si>
    <t>Samsung Galaxy Z Fold8 1 TB - Lavender</t>
  </si>
  <si>
    <t>0TSAGAFOOU7108</t>
  </si>
  <si>
    <t>Samsung Galaxy Z Fold8 512GB - Graphite</t>
  </si>
  <si>
    <t>0TSAGAFOOU7101</t>
  </si>
  <si>
    <t>Samsung Galaxy Z Fold8 512GB - Lavender</t>
  </si>
  <si>
    <t>0TSAGAFOOU7102</t>
  </si>
  <si>
    <t>Samsung Galaxy Z Fold8 256GB - Graphite</t>
  </si>
  <si>
    <t>0TSAGAFOOU7095</t>
  </si>
  <si>
    <t>Samsung Galaxy Z Fold8 256GB - Lavender</t>
  </si>
  <si>
    <t>0TSAGAFOOU7096</t>
  </si>
  <si>
    <t>Samsung Galaxy Z Flip8 512GB - Graphite</t>
  </si>
  <si>
    <t>0TSAGAFPOU7119</t>
  </si>
  <si>
    <t>Samsung Galaxy Z Flip8 256GB - Graphite</t>
  </si>
  <si>
    <t>0TSAGAFPOU7113</t>
  </si>
  <si>
    <t>Samsung Galaxy S26 Ultra 1TB - Black</t>
  </si>
  <si>
    <t>0TSAGA26OU7053</t>
  </si>
  <si>
    <t>Samsung Galaxy S26 Ultra 1TB - Sky Blue</t>
  </si>
  <si>
    <t>0TSAGA26OU7054</t>
  </si>
  <si>
    <t>Samsung Galaxy S26 Ultra 1TB - Cobalt Violet</t>
  </si>
  <si>
    <t>0TSAGA26OU7055</t>
  </si>
  <si>
    <t>Samsung Galaxy S26 Ultra 512GB - Black</t>
  </si>
  <si>
    <t>0TSAGA26OU7045</t>
  </si>
  <si>
    <t>Samsung Galaxy S26 Ultra 512GB - Sky Blue</t>
  </si>
  <si>
    <t>0TSAGA26OU7046</t>
  </si>
  <si>
    <t>Samsung Galaxy S26 Ultra 512GB - Cobalt Violet</t>
  </si>
  <si>
    <t>0TSAGA26OU7047</t>
  </si>
  <si>
    <t>Samsung Galaxy S26 Ultra 256GB - Black</t>
  </si>
  <si>
    <t>0TSAGA26OU7037</t>
  </si>
  <si>
    <t>Samsung Galaxy S26 Ultra 256GB - Sky Blue</t>
  </si>
  <si>
    <t>0TSAGA26OU7038</t>
  </si>
  <si>
    <t>Samsung Galaxy S26 Ultra 256GB - Cobalt Violet</t>
  </si>
  <si>
    <t>0TSAGA26OU7039</t>
  </si>
  <si>
    <t>Samsung Galaxy S26+ 512GB - Black</t>
  </si>
  <si>
    <t>0TSAGA26OU7029</t>
  </si>
  <si>
    <t>Samsung Galaxy S26+ 512GB - Sky Blue</t>
  </si>
  <si>
    <t>0TSAGA26OU7030</t>
  </si>
  <si>
    <t>Samsung Galaxy S26+ 512GB - Cobalt Violet</t>
  </si>
  <si>
    <t>0TSAGA26OU7031</t>
  </si>
  <si>
    <t>Samsung Galaxy S26+ 256GB - Black</t>
  </si>
  <si>
    <t>0TSAGA26OU7021</t>
  </si>
  <si>
    <t>Samsung Galaxy S26+ 256GB - Sky Blue</t>
  </si>
  <si>
    <t>0TSAGA26OU7022</t>
  </si>
  <si>
    <t>Samsung Galaxy S26+ 256GB - Cobalt Violet</t>
  </si>
  <si>
    <t>0TSAGA26OU7023</t>
  </si>
  <si>
    <t>Samsung Galaxy S26 512GB - Black</t>
  </si>
  <si>
    <t>0TSAGA26OU7013</t>
  </si>
  <si>
    <t>Samsung Galaxy S26 512GB - Sky Blue</t>
  </si>
  <si>
    <t>0TSAGA26OU7014</t>
  </si>
  <si>
    <t>Samsung Galaxy S26 512GB - Cobalt Violet</t>
  </si>
  <si>
    <t>0TSAGA26OU7015</t>
  </si>
  <si>
    <t>Samsung Galaxy S26 256GB - Black</t>
  </si>
  <si>
    <t>0TSAGA26OU7005</t>
  </si>
  <si>
    <t>Samsung Galaxy S26 256GB - Sky Blue</t>
  </si>
  <si>
    <t>0TSAGA26OU7006</t>
  </si>
  <si>
    <t>Samsung Galaxy S26 256GB - Cobalt Violet</t>
  </si>
  <si>
    <t>0TSAGA26OU7007</t>
  </si>
  <si>
    <t>Samsung Galaxy Xcover 7 EE 128GB - Black</t>
  </si>
  <si>
    <t>0TSAGAXCOU7009</t>
  </si>
  <si>
    <t>Samsung Galaxy A17 5G 128GB - Black</t>
  </si>
  <si>
    <t>0TSAGAA1OU7205</t>
  </si>
  <si>
    <t>Samsung Galaxy A17 5G 128GB - Blue</t>
  </si>
  <si>
    <t>0TSAGAA1OU7207</t>
  </si>
  <si>
    <t>Samsung Galaxy A57 5G 256GB - Navy</t>
  </si>
  <si>
    <t>0TSAGAA5OU7126</t>
  </si>
  <si>
    <t>Samsung Galaxy A57 5G 256GB - Gray</t>
  </si>
  <si>
    <t>0TSAGAA5OU7127</t>
  </si>
  <si>
    <t>Samsung Galaxy A57 5G EE 128GB - Gray</t>
  </si>
  <si>
    <t>0TSAGAA5OU7131</t>
  </si>
  <si>
    <t>Samsung Galaxy A37 5G 128GB - Charcoal</t>
  </si>
  <si>
    <t>0TSAGAA3OU7091</t>
  </si>
  <si>
    <t>Samsung Galaxy A37 5G 128GB - Graygreen</t>
  </si>
  <si>
    <t>0TSAGAA3OU7092</t>
  </si>
  <si>
    <t>Samsung Galaxy A37 5G 128GB - White</t>
  </si>
  <si>
    <t>0TSAGAA3OU7093</t>
  </si>
  <si>
    <t>Samsung Galaxy A17 5G 128GB - Gray</t>
  </si>
  <si>
    <t>0TSAGAA1OU7206</t>
  </si>
  <si>
    <t>Samsung Galaxy A27 5G 128GB - Black</t>
  </si>
  <si>
    <t>0TSAGAA2OU7078</t>
  </si>
  <si>
    <t>Samsung Galaxy A27 5G 128GB - Blue</t>
  </si>
  <si>
    <t>0TSAGAA2OU7079</t>
  </si>
  <si>
    <t>OTHER</t>
  </si>
  <si>
    <t>Xiaomi 17T Pro 512GB - Black</t>
  </si>
  <si>
    <t>0TXI17PROU7003</t>
  </si>
  <si>
    <t>Xiaomi 17T 256GB - Black</t>
  </si>
  <si>
    <t>0TXI1725OU7003</t>
  </si>
  <si>
    <t>Xiaomi Redmi 15c 5G 128GB - Midnight Black</t>
  </si>
  <si>
    <t>0TXIRE15OU7034</t>
  </si>
  <si>
    <t>Honor 600 5G 256GB - Black</t>
  </si>
  <si>
    <t>0THO6025OU7003</t>
  </si>
  <si>
    <t>Honor 600 Pro 512GB - Black</t>
  </si>
  <si>
    <t>0THO60PROU7003</t>
  </si>
  <si>
    <t>Honor Magic V6 512GB - Black</t>
  </si>
  <si>
    <t>0THOMAV6OU7003</t>
  </si>
  <si>
    <t xml:space="preserve">Honor 600 Lite 5G 256GB  + EarBuds X7e Active - Velvet Black </t>
  </si>
  <si>
    <t>0BHO6025NS7003</t>
  </si>
  <si>
    <t>Honor 600 Smart 5G 128GB - Black</t>
  </si>
  <si>
    <t>0THO60SMOU7003</t>
  </si>
  <si>
    <t>Nextivity GO G41</t>
  </si>
  <si>
    <t>0TDEGO41OU7001</t>
  </si>
  <si>
    <t>Nextivity GO G51</t>
  </si>
  <si>
    <t>0TDEGO51OU7001</t>
  </si>
  <si>
    <t>Motorola Edge 70 Fusion 512GB + bundle Watch - Silhouette</t>
  </si>
  <si>
    <t>0BMOMO70NS7001</t>
  </si>
  <si>
    <t>Motorola Signature 512GB - Carbon</t>
  </si>
  <si>
    <t>0TMOSI51OU7002</t>
  </si>
  <si>
    <t>Motorola Razr 70 Plus  512GB - Mountain View</t>
  </si>
  <si>
    <t>0TMORA70OU7002</t>
  </si>
  <si>
    <t>Motorola Razr Fold  512GB - Blackened Blue</t>
  </si>
  <si>
    <t>0TMORAFOOU7003</t>
  </si>
  <si>
    <t>Motorola Moto G57 5G 256GB - Corsair</t>
  </si>
  <si>
    <t>0TMOMOG5OU7034</t>
  </si>
  <si>
    <t>TCL NXTPAPER 70 PRO 256GB - Stellar Blue</t>
  </si>
  <si>
    <t>0TTCNX70OU7002</t>
  </si>
  <si>
    <t>TCL K70 5G 128GB - Midnight Black</t>
  </si>
  <si>
    <t>0TTCK75GOU7004</t>
  </si>
  <si>
    <t>TCL K70 5G 128GB - Stardust Blue</t>
  </si>
  <si>
    <t>0TTCK75GOU7005</t>
  </si>
  <si>
    <t>New ZTE Blade A76 5G 128GB - Stardust Black</t>
  </si>
  <si>
    <t>0TZTBLA7OU7035</t>
  </si>
  <si>
    <t>ZTE Nubia Neo 5 GT 256GB - Black</t>
  </si>
  <si>
    <t>0TNUNEGTOU7002</t>
  </si>
  <si>
    <t>ZTE Nubia Air 5G 512GB - Black</t>
  </si>
  <si>
    <t>0TZTNU51OU7003</t>
  </si>
  <si>
    <t>ZTE Nubia Focus 2 5G 256GB - Obsidian Black</t>
  </si>
  <si>
    <t>0TZTNUFOOU7007</t>
  </si>
  <si>
    <t>USCITE DA LISTINO</t>
  </si>
  <si>
    <t>USCITA PRODOTTO</t>
  </si>
  <si>
    <t>N.B. Tutti gli altri device con SUPER FLEX sono disponibili solo con rata mensile Standard.</t>
  </si>
  <si>
    <t>ONE SHOT</t>
  </si>
  <si>
    <t>SUPER FLEX</t>
  </si>
  <si>
    <t>9991778482501884</t>
  </si>
  <si>
    <t>ZTE WebCube 4G+ NEXT - White</t>
  </si>
  <si>
    <t>0TZTWECUOU7003</t>
  </si>
  <si>
    <t>1576007678492</t>
  </si>
  <si>
    <t xml:space="preserve">WebPocket. 4G + ZTE MF971R - White </t>
  </si>
  <si>
    <t>0TZTM971DE7003</t>
  </si>
  <si>
    <t>1604462140130</t>
  </si>
  <si>
    <t>ZTE WebPocket. 4G LTE - Black</t>
  </si>
  <si>
    <t>0TZTM937DE7001</t>
  </si>
  <si>
    <t>1620227735471</t>
  </si>
  <si>
    <t>TCL IK41 - White</t>
  </si>
  <si>
    <t>0TTCIK41OU0001</t>
  </si>
  <si>
    <t>9991764239820097</t>
  </si>
  <si>
    <r>
      <t xml:space="preserve">RATA FINALE                      </t>
    </r>
    <r>
      <rPr>
        <sz val="16"/>
        <rFont val="Gotham"/>
      </rPr>
      <t>(scontata del 100% in caso di permanenza 30 mesi)</t>
    </r>
  </si>
  <si>
    <r>
      <t xml:space="preserve">% SCONTO                             </t>
    </r>
    <r>
      <rPr>
        <sz val="16"/>
        <rFont val="Gotham"/>
      </rPr>
      <t>(sconto della rata finale rispetto al prezzo di listino in promo)</t>
    </r>
  </si>
  <si>
    <t>NOME PROMO</t>
  </si>
  <si>
    <t>Apple</t>
  </si>
  <si>
    <t>Apple iPad Pro 11 Std Glass ed 2025 - Space Black</t>
  </si>
  <si>
    <t>0TALIPPROU0082</t>
  </si>
  <si>
    <t>SUPER GIGA 70 / SUPER GIGA UNLIMITED</t>
  </si>
  <si>
    <t>9991784788958698</t>
  </si>
  <si>
    <t>Apple iPad Pro 11 Std Glass ed 2025 - Silver</t>
  </si>
  <si>
    <t>0TALIPPROU0083</t>
  </si>
  <si>
    <t>9991784789249642</t>
  </si>
  <si>
    <t>Apple iPad Pro 13 Std Glass ed 2025 - Space Black</t>
  </si>
  <si>
    <t>0TALIPPROU0084</t>
  </si>
  <si>
    <t>9991784789446957</t>
  </si>
  <si>
    <t>Apple iPad Pro 13 Std Glass ed 2025 - Silver</t>
  </si>
  <si>
    <t>0TALIPPROU0085</t>
  </si>
  <si>
    <t>9991784789564199</t>
  </si>
  <si>
    <t>Apple iPad Air 11 2026 - 256GB - Space Gray</t>
  </si>
  <si>
    <t>0TALIP25OU0035</t>
  </si>
  <si>
    <t>9991784789672913</t>
  </si>
  <si>
    <t>Apple iPad 11 2025 - 256GB - Silver</t>
  </si>
  <si>
    <t>0TALIP25OU0030</t>
  </si>
  <si>
    <t>9991784789789049</t>
  </si>
  <si>
    <t>Apple iPad 11th gen (2025) 128GB - Silver</t>
  </si>
  <si>
    <t>0TALIP12OU0025</t>
  </si>
  <si>
    <t>9991784789962457</t>
  </si>
  <si>
    <t>Samsung Galaxy Tab A11+ 5G EE 128GB - Gray</t>
  </si>
  <si>
    <t>0TSATAA1OU7003</t>
  </si>
  <si>
    <t>SUPER GIGA 70 - SUPER GIGA 30 - SUPER GIGA UNLIMITED</t>
  </si>
  <si>
    <t>9991764244967877</t>
  </si>
  <si>
    <t>Samsung Galaxy Tab S11 ULTRA 5G 256GB Keyboard - Gray</t>
  </si>
  <si>
    <t>0BSAGAS1NS7002</t>
  </si>
  <si>
    <t>Samsung Galaxy Tab S11 EE 5G 128GB - Gray</t>
  </si>
  <si>
    <t>0TSATAS1OU7010</t>
  </si>
  <si>
    <t>9991776254125955</t>
  </si>
  <si>
    <t>Samsung Galaxy Tab S10 Lite 5G 128GB - Gray</t>
  </si>
  <si>
    <t>0TSATAS1OU7007</t>
  </si>
  <si>
    <t>9991776669748205</t>
  </si>
  <si>
    <t>Mobile Wi-Fi 5G Zyxel NR5309 - White</t>
  </si>
  <si>
    <t>0TZY5309OU7001</t>
  </si>
  <si>
    <t>SUPER GIGA UNLIMITED</t>
  </si>
  <si>
    <t>9991786341692276</t>
  </si>
  <si>
    <t>TCL TAB 11 FE LTE 128GB - Gray</t>
  </si>
  <si>
    <t>0TTCTA11OU7002</t>
  </si>
  <si>
    <t>1651923878102</t>
  </si>
  <si>
    <t>SUPER GIGA 30</t>
  </si>
  <si>
    <t>9991764244135475</t>
  </si>
  <si>
    <t>Mobile WiFi Connect Tmap W52 5G - Black</t>
  </si>
  <si>
    <t>0TZLW520OU7004</t>
  </si>
  <si>
    <t>9991781086195194</t>
  </si>
  <si>
    <t>9991764240231886</t>
  </si>
  <si>
    <t>ZTE WebPocket  4G+ NEW U20 - White</t>
  </si>
  <si>
    <t>0TZTU200DE7004</t>
  </si>
  <si>
    <t>9991764244723559</t>
  </si>
  <si>
    <t>WORK &amp; LIFE</t>
  </si>
  <si>
    <r>
      <t xml:space="preserve">RATA FINALE </t>
    </r>
    <r>
      <rPr>
        <sz val="14"/>
        <rFont val="Arial"/>
        <family val="2"/>
      </rPr>
      <t xml:space="preserve">(scontata del 100% in caso di permanenza </t>
    </r>
    <r>
      <rPr>
        <b/>
        <sz val="14"/>
        <rFont val="Arial"/>
        <family val="2"/>
      </rPr>
      <t>30 mesi</t>
    </r>
    <r>
      <rPr>
        <sz val="14"/>
        <rFont val="Arial"/>
        <family val="2"/>
      </rPr>
      <t>)</t>
    </r>
  </si>
  <si>
    <r>
      <t xml:space="preserve">% SCONTO </t>
    </r>
    <r>
      <rPr>
        <sz val="14"/>
        <rFont val="Arial"/>
        <family val="2"/>
      </rPr>
      <t>(sconto della rata finale rispetto al prezzo di listino in promo)</t>
    </r>
  </si>
  <si>
    <r>
      <t>Kit Accessori Cellularline</t>
    </r>
    <r>
      <rPr>
        <sz val="11"/>
        <color theme="1"/>
        <rFont val="Arial"/>
        <family val="2"/>
      </rPr>
      <t xml:space="preserve"> </t>
    </r>
  </si>
  <si>
    <t>0TDEACCWOU7003</t>
  </si>
  <si>
    <t>9991763368098496</t>
  </si>
  <si>
    <t xml:space="preserve">Apple Watch Series 11 GPS 46mm - Space Grey </t>
  </si>
  <si>
    <t>0TALACCSOU0041</t>
  </si>
  <si>
    <t>Apple AirPods Pro 3 - White</t>
  </si>
  <si>
    <t>0TALACCAOU0015</t>
  </si>
  <si>
    <t>Apple AirPods 4 - White</t>
  </si>
  <si>
    <t>0TALACCAOU0011</t>
  </si>
  <si>
    <t>AirPods 4 with Active Noise Cancellation - White</t>
  </si>
  <si>
    <t>0TALACCAOU0012</t>
  </si>
  <si>
    <t>Kit Accessori Apple</t>
  </si>
  <si>
    <t>0BALACCWNS7002</t>
  </si>
  <si>
    <t>Kit Apple USB type C - Black</t>
  </si>
  <si>
    <t>0BALACCWNS7003</t>
  </si>
  <si>
    <t>Kit Accessori Samsung</t>
  </si>
  <si>
    <t>0BSAACCWNS7001</t>
  </si>
  <si>
    <t>Samsung Galaxy Buds4 - White</t>
  </si>
  <si>
    <t>0TSAACCAOU7005</t>
  </si>
  <si>
    <t>I terminali sono offerti con formula di vendita rateizzata in 30 mesi, ed è previsto il pagamento del relativo corrispettivo in rate addebitate direttamente nella fattura dell’ abbonamento al servizio di fonia mobile. I terminali in promozione possono essere abbinati solo a SIM voce o SIM dati ad esclusione della SIM dati con piano Leonardo Mega U-Start.</t>
  </si>
  <si>
    <t>USCITA DA LISTINO</t>
  </si>
  <si>
    <r>
      <rPr>
        <b/>
        <sz val="28"/>
        <rFont val="Arial Black"/>
        <family val="2"/>
      </rPr>
      <t>GIGA</t>
    </r>
    <r>
      <rPr>
        <b/>
        <sz val="28"/>
        <color theme="6"/>
        <rFont val="Arial Black"/>
        <family val="2"/>
      </rPr>
      <t>BOOST</t>
    </r>
    <r>
      <rPr>
        <b/>
        <sz val="28"/>
        <rFont val="Arial Black"/>
        <family val="2"/>
      </rPr>
      <t xml:space="preserve">                                   </t>
    </r>
    <r>
      <rPr>
        <b/>
        <sz val="28"/>
        <color theme="0"/>
        <rFont val="Arial Black"/>
        <family val="2"/>
      </rPr>
      <t>GIGASHARE</t>
    </r>
  </si>
  <si>
    <t>PROMO</t>
  </si>
  <si>
    <t>PIANO TARIFFARIO</t>
  </si>
  <si>
    <t>PREZZO LISTINO IN PROMO</t>
  </si>
  <si>
    <t xml:space="preserve">RATA MENSILE LISTINO PROMO </t>
  </si>
  <si>
    <r>
      <t xml:space="preserve">RATA FINALE                      </t>
    </r>
    <r>
      <rPr>
        <sz val="18"/>
        <rFont val="Calibri"/>
        <family val="2"/>
        <scheme val="minor"/>
      </rPr>
      <t>(scontata del 100% in caso di permanenza 30 mesi)</t>
    </r>
  </si>
  <si>
    <r>
      <t xml:space="preserve">% SCONTO                             </t>
    </r>
    <r>
      <rPr>
        <sz val="18"/>
        <rFont val="Calibri"/>
        <family val="2"/>
        <scheme val="minor"/>
      </rPr>
      <t>(sconto della rata finale rispetto al prezzo di listino in promo)</t>
    </r>
  </si>
  <si>
    <t>ID PROMO GSI</t>
  </si>
  <si>
    <t>Samsung Galaxy Tab S9 128GB - Graphite</t>
  </si>
  <si>
    <t>0TSATAS9OU7009</t>
  </si>
  <si>
    <t>INTERNET 10 GB, INTERNET 30 GB</t>
  </si>
  <si>
    <t>Samsung Galaxy Tab S9 128GB - Graphite - GIGABOOST</t>
  </si>
  <si>
    <t>\</t>
  </si>
  <si>
    <t>Mobile WiFi Telsey 5G Mi-Fi X30</t>
  </si>
  <si>
    <t>0TZLTX30OU7001</t>
  </si>
  <si>
    <t>ONLY GIGA, INTERNET 10 GB, INTERNET 30 GB</t>
  </si>
  <si>
    <t>Mobile WiFi Telsey 5G Mi-Fi X30 - GIGABOOST</t>
  </si>
  <si>
    <t>ONLY GIGA, INTERNET 10 GB</t>
  </si>
  <si>
    <t xml:space="preserve"> ZTE WebCube 4G+ NEXT - White - ONLY GIGA - 10 GIGA</t>
  </si>
  <si>
    <t>INTERNET 30 GB</t>
  </si>
  <si>
    <t>ZTE WebCube 4G+ NEXT - White - 30 GIGA</t>
  </si>
  <si>
    <t>WEBPOCKET 4G+ NEXT TCL - BLACK</t>
  </si>
  <si>
    <t>0TTCMW12DE7001</t>
  </si>
  <si>
    <t>WEBPOCKET. 4G+ NEXT TCL - ONLY GIGA - GIGABOOST</t>
  </si>
  <si>
    <t>WebPocket. 4G + ZTE MF971R - White - 30 GIGA</t>
  </si>
  <si>
    <t>Web Pocket 4G+ TCL - White</t>
  </si>
  <si>
    <t>0TTCMW63OU700</t>
  </si>
  <si>
    <t>Web Pocket 4G+ TCL - White - GIGABOOST</t>
  </si>
  <si>
    <t xml:space="preserve"> ZTE WebPocket. 4G LTE - Black  - ONLY GIGA - GIGABOOST</t>
  </si>
  <si>
    <t>Alcatel IK41 - White</t>
  </si>
  <si>
    <t>0TACIK41OU0001</t>
  </si>
  <si>
    <t xml:space="preserve"> Alcatel IK41 - White - ONLY GIGA - GIGABOOST</t>
  </si>
  <si>
    <t>PREZZI LISTINO</t>
  </si>
  <si>
    <t>PROMO TERMINALI</t>
  </si>
  <si>
    <t>Feature</t>
  </si>
  <si>
    <t>Prezzo
 di Vendita Rateale
 IVA esclusa</t>
  </si>
  <si>
    <t xml:space="preserve">RATA MENSILE STANDARD </t>
  </si>
  <si>
    <t>PoE</t>
  </si>
  <si>
    <t xml:space="preserve">RATA INIZIALE </t>
  </si>
  <si>
    <t xml:space="preserve">PIANO TARIFFARIO OGGETTO DELLA PROMOZIONE </t>
  </si>
  <si>
    <t>NOME PROMO NEW</t>
  </si>
  <si>
    <t>ID PROMO NEW</t>
  </si>
  <si>
    <t>Codice Classe</t>
  </si>
  <si>
    <t>Apparati per offerta fisso</t>
  </si>
  <si>
    <t>Switch 24porte PoE DLINK DGS1210-28P</t>
  </si>
  <si>
    <t>SWITCH - 24 Porte (24 PoE)</t>
  </si>
  <si>
    <t>0RDL12107004</t>
  </si>
  <si>
    <t>SI</t>
  </si>
  <si>
    <t>Office PLUS, Office MAXI, Office Smart Power</t>
  </si>
  <si>
    <t>Switch PoE 24 porte DLINK_V2 - Office Smart Multilinea</t>
  </si>
  <si>
    <t>1688871194105</t>
  </si>
  <si>
    <t>ACCESSORI OS 2.0</t>
  </si>
  <si>
    <t>WSO SMALL, WSO LARGE, WSO EXTRALARGE</t>
  </si>
  <si>
    <t>Switch PoE 24 porte DLINK_V2 - WSO SMALL, WSO LARGE, WSO EXTRA LARGE</t>
  </si>
  <si>
    <t>1688876700231</t>
  </si>
  <si>
    <t>Switch 8 porte PoE DLINK DGS1100 M10</t>
  </si>
  <si>
    <t>SWITCH - 8 Porte (8 PoE)</t>
  </si>
  <si>
    <t>0RDL11087003</t>
  </si>
  <si>
    <t>si</t>
  </si>
  <si>
    <t>Switch PoE 8 porte DLINK_DGS1100 M10 -SMALL, WSO LARGE, WSO EXTRA LARGE</t>
  </si>
  <si>
    <t>1689892727073</t>
  </si>
  <si>
    <t>Switch PoE 8 porte DLINK_DGS1100 M10 - Office Smart Multilinea</t>
  </si>
  <si>
    <t>1689892727079</t>
  </si>
  <si>
    <t>Switch 48 porte PoE TPLink TL-SG3452P v2</t>
  </si>
  <si>
    <t>SWITCH - 48 Porte PoE TP-Link</t>
  </si>
  <si>
    <t>0RTP34527002</t>
  </si>
  <si>
    <t>Switch 48porte PoE TPLink TL-SG3452PV2 - WSO SMALL, WSO LARGE, WSO EXTRA LARGE_GSI</t>
  </si>
  <si>
    <t>Switch 48porte PoE TPLink TL-SG3452PV2 - Office Smart Multilinea_GSI</t>
  </si>
  <si>
    <t>Switch 24porte PoE TPLink TL-SG2428P v2</t>
  </si>
  <si>
    <t>SWITCH - 24 Porte (24 PoE) TP-Link</t>
  </si>
  <si>
    <t>0RTP24287002</t>
  </si>
  <si>
    <t>Switch PoE 24 porte TPLink TL-SG2428PV2 - WSO SMALL, WSO LARGE, WSO EXTRA LARGE_GSI</t>
  </si>
  <si>
    <t>Switch PoE 24 porte TPLink TL-SG2428PV2 - Office Smart Multilinea_GSI</t>
  </si>
  <si>
    <t>Switch 8 porte PoE TPLink SG2210P v2</t>
  </si>
  <si>
    <t>SWITCH - 8 Porte PoE TP-Link_V2</t>
  </si>
  <si>
    <t>0RTP22107003</t>
  </si>
  <si>
    <t>Switch PoE 8 porte TPLink TL-SG2210PV2 - WSO SMALL, WSO LARGE, WSO EXTRA LARGE_GSI</t>
  </si>
  <si>
    <t>Switch PoE 8 porte TPLink TL-SG2210PV2 - Office Smart Multilinea_GSI</t>
  </si>
  <si>
    <t>AP TPLink DECO X50
Indoor AX3K PoE</t>
  </si>
  <si>
    <t>ACCESS POINT AX3000 INDOOR</t>
  </si>
  <si>
    <t>0RTPDECO7001</t>
  </si>
  <si>
    <t>AP TPLink DECO X50 Indoor - WSO SMALL, WSO LARGE, WSO EXTRA LARGE_GSI</t>
  </si>
  <si>
    <t>AP TPLink DECO X50 Indoor AX3K PoE</t>
  </si>
  <si>
    <t>AP TPLink DECO X50 Indoor - Office Smart Multilinea_GSI</t>
  </si>
  <si>
    <t>AP TPLink DECO X50 Outdoor AX3K PoE</t>
  </si>
  <si>
    <t>ACCESS POINT AX3000 OUTDOOR</t>
  </si>
  <si>
    <t>0RTPDEOD7001</t>
  </si>
  <si>
    <t>AP TPLink DECO X50 Outdoor - WSO SMALL, WSO LARGE, WSO EXTRA LARGE_GSI</t>
  </si>
  <si>
    <t>AP TPLink DECO X50 Outdoor - Office Smart Multilinea_GSI</t>
  </si>
  <si>
    <t xml:space="preserve">D-Link DHN-100 Nuclias Connect Hub </t>
  </si>
  <si>
    <t>Nuclias Connect HUB</t>
  </si>
  <si>
    <t>0RDLDH107001</t>
  </si>
  <si>
    <t>NO</t>
  </si>
  <si>
    <t>HUB DLINK NUCLIAS DNH-100 - Office Smart Multilinea_GSI</t>
  </si>
  <si>
    <t>D-Link DPE-301GI Gb PoE+ Injector</t>
  </si>
  <si>
    <t>PoE Injector</t>
  </si>
  <si>
    <t>0RDLDP307001</t>
  </si>
  <si>
    <t>POE Injector DPE-301GI WSO SMALL, WSO LARGE, WSO EXTRA LARGE_GSI</t>
  </si>
  <si>
    <t>POE Injector DPE-301GI - Office Smart Multilinea_GSI</t>
  </si>
  <si>
    <t>Telefono VoIP Alcatel SP2602</t>
  </si>
  <si>
    <t>IP PHONE ALCATEL</t>
  </si>
  <si>
    <t>0RAC26027001</t>
  </si>
  <si>
    <t>Telefono VoIP Alcatel SP2602 - WSO</t>
  </si>
  <si>
    <t>nuova promo</t>
  </si>
  <si>
    <t>Telefono VoIP Alcatel SP2602 - Office Smart Multilinea</t>
  </si>
  <si>
    <t>IP PHONE OS 2.0</t>
  </si>
  <si>
    <t>Telefono VoIP Alcatel SP2604G</t>
  </si>
  <si>
    <t>0RAC26047001</t>
  </si>
  <si>
    <t>Telefono VoIP Alcatel SP2604G - WSO SMALL, WSO LARGE, WSO EXTRALARGE</t>
  </si>
  <si>
    <t>Telefono VoIP Alcatel SP2604G - Office Smart Multilinea</t>
  </si>
  <si>
    <t>Telefono VoIP Alcatel SP2502_V2</t>
  </si>
  <si>
    <t>0RAC25027002</t>
  </si>
  <si>
    <t>Telefono VoIP Telefono VoIP Alcatel SP2502_V2- Black-WSO SMALL, WSO LARGE_GSI</t>
  </si>
  <si>
    <t>Telefono VoIP Alcatel SP2502_V2- Black - Office Smart Multilinea_GSI</t>
  </si>
  <si>
    <t>Alimentatore IP Phone Alcatel SP2602</t>
  </si>
  <si>
    <t>ALIMENTATORE PER IP PHONES ALCATEL SP2602</t>
  </si>
  <si>
    <t>0RACSE267001</t>
  </si>
  <si>
    <t>Alimentatore IP Phone Alcatel SP2604G</t>
  </si>
  <si>
    <t>ALIMENTATORE PER IP PHONES ALCATEL SP2604G</t>
  </si>
  <si>
    <t>0RACSE267002</t>
  </si>
  <si>
    <t>ALIMENTATORE PER IP PHONES ALCATEL SP25xx</t>
  </si>
  <si>
    <t>0RACSE257001</t>
  </si>
  <si>
    <t>Alcatel Swisscom IP2015 Repeater Comp</t>
  </si>
  <si>
    <t>Ripetitore di Segnale DECT per ALCATEL</t>
  </si>
  <si>
    <t>0RAC20157002</t>
  </si>
  <si>
    <t>N/A</t>
  </si>
  <si>
    <t>POLY ROVE R8 DECT REPEATER</t>
  </si>
  <si>
    <t>Ripetitore di Segnale DECT per POLY ROVE 30</t>
  </si>
  <si>
    <t>0RPLR8RE7001</t>
  </si>
  <si>
    <t>POLY ROVE R8 DECT REPEATER - WSO</t>
  </si>
  <si>
    <t>POLY ROVE R8 DECT REPEATER - Office Smart Multilinea</t>
  </si>
  <si>
    <t xml:space="preserve"> Alcatel IP1550 conf call station</t>
  </si>
  <si>
    <t>Dispositivo VoIP Alcatel per audioconferenza</t>
  </si>
  <si>
    <t>0RAC15505001</t>
  </si>
  <si>
    <t>POLY ROVE 20 DECT IP BASE e PHONE</t>
  </si>
  <si>
    <t>KIT DECT POLY</t>
  </si>
  <si>
    <t>0RPLRO207001</t>
  </si>
  <si>
    <t>Yealink RT30 Repeater</t>
  </si>
  <si>
    <t>Ripetitore DECT RT30 per YEALINK</t>
  </si>
  <si>
    <t>0RYERT307001</t>
  </si>
  <si>
    <t>PROMO DECT RT30 REPEATER YEALINK_WSO</t>
  </si>
  <si>
    <t>PROMO DECT RT30 REPEATER YEALINK_OS</t>
  </si>
  <si>
    <t>Yealink W70 base e W73P DECT-IP</t>
  </si>
  <si>
    <t>KIT DECT YEALINK W70-W73P</t>
  </si>
  <si>
    <t>0RYEW70B7001</t>
  </si>
  <si>
    <t>KIT DECT YEALINK W70-W73P_WSO</t>
  </si>
  <si>
    <t>KIT DECT YEALINK W70-W73P_Office Smart Multilinea</t>
  </si>
  <si>
    <t>Yealink T43U Telefono VoIP</t>
  </si>
  <si>
    <t>IP-PHONE YEALINK T43U-Schermo B/N</t>
  </si>
  <si>
    <t>0RYET43U7001</t>
  </si>
  <si>
    <t>Yealink T46U Telefono VoIP</t>
  </si>
  <si>
    <t>IP-PHONE YEALINK T46U-Schermo a colori</t>
  </si>
  <si>
    <t>0RYET46U7001</t>
  </si>
  <si>
    <t>Yealink EXP43 Estensione Tastiera</t>
  </si>
  <si>
    <t>TASTIERA AGGIUNTIVA PER IP-PHONE YEALINK TXX</t>
  </si>
  <si>
    <t>0RYEEXP47001</t>
  </si>
  <si>
    <t>Alimentatore per  IP Phone Yealink Serie TXX</t>
  </si>
  <si>
    <t>Alimentatore IP Phone Yealink Serie TXX</t>
  </si>
  <si>
    <t>0RYEALTX7001</t>
  </si>
  <si>
    <t>Alimentatore per IP Phone Yealink Serie TXX</t>
  </si>
  <si>
    <t>SFP-FibEth-TPLINK 1Gb TL-SM311LM</t>
  </si>
  <si>
    <t>Ricetrasmettitore Ottico SFP
(Small Form Pluggable)</t>
  </si>
  <si>
    <t>0RTPSM317001</t>
  </si>
  <si>
    <t>SFP-FibEth-TPLINK 10Gb TL-SM5110-SR</t>
  </si>
  <si>
    <t>Ricetrasmettitore Ottico SFP 10GB
(Small Form Pluggable)</t>
  </si>
  <si>
    <t>0RTPSM517001</t>
  </si>
  <si>
    <t>SFP FTTH GPON ZYXEL PMG3000</t>
  </si>
  <si>
    <t>0RZYPM307001</t>
  </si>
  <si>
    <t>SUPER OFFICE ONE FIBRA 1000</t>
  </si>
  <si>
    <t>WSO SMALL, WSO LARGE, WSO EXTRALARGE, Office PLUS, Office MAXI, Office Smart Power</t>
  </si>
  <si>
    <t>Promo Canone 100% - Apparati ADSL Az FTTH Huawei</t>
  </si>
  <si>
    <t>Promo Canone 100% - Apparati ADSL Az FTTH Nokia</t>
  </si>
  <si>
    <t>KIT IAD VoIP ADB VM B8802</t>
  </si>
  <si>
    <t xml:space="preserve">Modem/Router d'accesso </t>
  </si>
  <si>
    <t>0BAD8802NS7001</t>
  </si>
  <si>
    <t>KIT SME DLink USB Adapt.4G LTE DWM222 A2</t>
  </si>
  <si>
    <t>Internet Key USB 4G LTE A2</t>
  </si>
  <si>
    <t>0BDLM222NS7002</t>
  </si>
  <si>
    <t>INTERNET 30 GIGA</t>
  </si>
  <si>
    <t>Sconto 100% Rata Finale (in caso di contratto di abbonamento attivo per l’intera durata contrattuale di 24 mesi).</t>
  </si>
  <si>
    <t>Tutti i prezzi sono da intendersi IVA esclusa</t>
  </si>
  <si>
    <t>SUPER UNLIMITED</t>
  </si>
  <si>
    <t>vendita promozionata</t>
  </si>
  <si>
    <t xml:space="preserve"> Piano Tariffario</t>
  </si>
  <si>
    <t xml:space="preserve"> Prezzo di listino</t>
  </si>
  <si>
    <t xml:space="preserve"> Rata mensile standard per 30 mesi</t>
  </si>
  <si>
    <t>rata iniziale</t>
  </si>
  <si>
    <t>rata mensile per 30 mesi</t>
  </si>
  <si>
    <t>rata finale</t>
  </si>
  <si>
    <t>% di sconto</t>
  </si>
  <si>
    <t xml:space="preserve">Samsung Galaxy Note 10+ </t>
  </si>
  <si>
    <t>Samsung Galaxy Note 10</t>
  </si>
  <si>
    <t>Huawei P30 Pro 256GB</t>
  </si>
  <si>
    <t>Huawei P30 Pro 128GB</t>
  </si>
  <si>
    <t>Huawei P30</t>
  </si>
  <si>
    <t>Huawei P Smart 2019</t>
  </si>
  <si>
    <t>MYSHARE / MYUNLIMITED</t>
  </si>
  <si>
    <t xml:space="preserve">MYSHARE / MYUNLIMITED </t>
  </si>
  <si>
    <t>SMARTSHARE</t>
  </si>
  <si>
    <t>SMARTSHARE 500</t>
  </si>
  <si>
    <t>SMARTSHARE UNLIMITED</t>
  </si>
  <si>
    <t>SUPER SMART</t>
  </si>
  <si>
    <t xml:space="preserve">RATA MENSILE </t>
  </si>
  <si>
    <r>
      <t xml:space="preserve">MAXI RATA FINALE
</t>
    </r>
    <r>
      <rPr>
        <sz val="11"/>
        <color theme="0"/>
        <rFont val="Calibri"/>
        <family val="2"/>
        <scheme val="minor"/>
      </rPr>
      <t>(scontata del 100% in caso di permanenza 24 mesi)</t>
    </r>
  </si>
  <si>
    <r>
      <t xml:space="preserve">% SCONTO
</t>
    </r>
    <r>
      <rPr>
        <sz val="11"/>
        <color theme="0"/>
        <rFont val="Calibri"/>
        <family val="2"/>
        <scheme val="minor"/>
      </rPr>
      <t>(sconto della maxi rata rispetto al prezzo di listino)</t>
    </r>
  </si>
  <si>
    <t>ONE STEP - Switch 48porte PoE TPLink TL-SG3452PV2 - Office Smart Multilinea</t>
  </si>
  <si>
    <t>9991733847094044</t>
  </si>
  <si>
    <t>Switch ONE STEP</t>
  </si>
  <si>
    <t>ONE STEP - Switch PoE 24 porte DLINK_V2 - Office Smart Multilinea</t>
  </si>
  <si>
    <t>9991779969414102</t>
  </si>
  <si>
    <t>ONE STEP - Switch PoE 8 porte DLINK_DGS1100 M10 - Office Smart Multilinea</t>
  </si>
  <si>
    <t>9991781087872577</t>
  </si>
  <si>
    <t>SWITCH - 24 Porte (24 PoE) TP-Link_V2</t>
  </si>
  <si>
    <t>ONE STEP - Switch PoE 24 porte TPLink TL-SG2428PV2 - Office Smart Multilinea</t>
  </si>
  <si>
    <t>9991729264032501</t>
  </si>
  <si>
    <t>ONE STEP - Switch PoE 8 porte TPLink TL-SG2210PV2 - Office Smart Multilinea</t>
  </si>
  <si>
    <t>9991729264214846</t>
  </si>
  <si>
    <t>Access Point ONE STEP</t>
  </si>
  <si>
    <t>ONE STEP - AP TPLink DECO X50 Indoor - Backup&amp;Binding_GSI</t>
  </si>
  <si>
    <t>9991732695747598</t>
  </si>
  <si>
    <t>ONE STEP - AP TPLink DECO X50 Outdoor - Backup&amp;Binding_GSI</t>
  </si>
  <si>
    <t>9991732891433727</t>
  </si>
  <si>
    <t>ONE STEP - HUB DLINK NUCLIAS DNH-100 - Office Smart Multilinea</t>
  </si>
  <si>
    <t>9991715781339287</t>
  </si>
  <si>
    <t>ONE STEP - POE Injector DPE-301GI - Office Smart Multilinea</t>
  </si>
  <si>
    <t>9991715782680527</t>
  </si>
  <si>
    <t>ONE STEP - Telefono VoIP Alcatel SP2502_V2- Black - Office Smart Multilinea</t>
  </si>
  <si>
    <t>9991715783294001</t>
  </si>
  <si>
    <t>IP Phone ONE STEP</t>
  </si>
  <si>
    <t>ONE STEP - Telefono VoIP Alcatel SP2602 - Office Smart Multilinea</t>
  </si>
  <si>
    <t>9991768827880620</t>
  </si>
  <si>
    <t>ONE STEP - Telefono VoIP Alcatel SP2604G - Office Smart Multilinea</t>
  </si>
  <si>
    <t>9991738775857841</t>
  </si>
  <si>
    <t>ONE STEP - PROMO DECT RT30 REPEATER YEALINK_OS</t>
  </si>
  <si>
    <t>9991716471334655</t>
  </si>
  <si>
    <t>Repeater ONE STEP</t>
  </si>
  <si>
    <t>ONE STEP - KIT DECT YEALINK W70-W73P_OS</t>
  </si>
  <si>
    <t>9991768828160188</t>
  </si>
  <si>
    <t>ONE STEP - POLY ROVE R8 DECT REPEATER_OS</t>
  </si>
  <si>
    <t>9991768405801241</t>
  </si>
  <si>
    <t>0TXIREN7OU7017</t>
  </si>
  <si>
    <t>Xiaomi Redmi Note 17 Pro - 256GB - Black</t>
  </si>
  <si>
    <t>0TXIREN7OU7009</t>
  </si>
  <si>
    <t>Xiaomi Redmi 17 5G - 256GB - Black</t>
  </si>
  <si>
    <t>0TXIREN7OU7003</t>
  </si>
  <si>
    <t>Xiaomi Redmi Note 17 5G - 256GB - Black</t>
  </si>
  <si>
    <t>Xiaomi Redmi 17 5G - 256GB - Blue</t>
  </si>
  <si>
    <t>0TXIRE17OU7004</t>
  </si>
  <si>
    <t>0TXIRE17OU7006</t>
  </si>
  <si>
    <t>Xiaomi Redmi 17c 5G - 128GB - Black</t>
  </si>
  <si>
    <t>0TXIRE17OU7010</t>
  </si>
  <si>
    <t>Xiaomi Redmi 17c 5G - 256GB - Brown</t>
  </si>
  <si>
    <t>0TXIRE17OU7011</t>
  </si>
  <si>
    <t>0TSAGA26OU7085</t>
  </si>
  <si>
    <t>0TSAGA26OU7086</t>
  </si>
  <si>
    <t>0TSAGA26OU7087</t>
  </si>
  <si>
    <t>0TTCP8PROU7003</t>
  </si>
  <si>
    <t>TCL P80 Pro 256GB - Midnight Black</t>
  </si>
  <si>
    <t>Samsung Galaxy S26 FE 128GB - Graphite</t>
  </si>
  <si>
    <t>Samsung Galaxy S26 FE 128GB - Pistachio</t>
  </si>
  <si>
    <t>Samsung Galaxy S26 FE 128GB - BlueBerry</t>
  </si>
  <si>
    <t>rimodulazione</t>
  </si>
  <si>
    <t>da configurare con maxi rata a 12 euro</t>
  </si>
  <si>
    <t>da chiudere il 14/09</t>
  </si>
  <si>
    <r>
      <t xml:space="preserve">MAXI RATA FINALE
</t>
    </r>
    <r>
      <rPr>
        <sz val="12"/>
        <color indexed="9"/>
        <rFont val="Calibri"/>
        <family val="2"/>
        <scheme val="minor"/>
      </rPr>
      <t>(scontata del 100% in caso di permanenza 24 mesi)</t>
    </r>
  </si>
  <si>
    <r>
      <t xml:space="preserve">% SCONTO
</t>
    </r>
    <r>
      <rPr>
        <sz val="12"/>
        <color indexed="9"/>
        <rFont val="Calibri"/>
        <family val="2"/>
        <scheme val="minor"/>
      </rPr>
      <t>(sconto della maxi rata rispetto al prezzo di listino)</t>
    </r>
  </si>
  <si>
    <t>uscita listino</t>
  </si>
  <si>
    <t>Xiaomi Redmi Note 17 Pro Max 256GB - Black</t>
  </si>
  <si>
    <t>da chiudere il 11/12/26</t>
  </si>
  <si>
    <t>KIT DECT YEALINK W70-W73P_SEPT26_WSO</t>
  </si>
  <si>
    <t>KIT DECT YEALINK W70-W73P_SEPT26_Office Smart Multilinea</t>
  </si>
  <si>
    <t>IP-PHONE YEALINK T43U-SEPT26_WSO</t>
  </si>
  <si>
    <t>IP-PHONE YEALINK T43U-SEPT26_Office Smart</t>
  </si>
  <si>
    <t>ONE STEP - KIT DECT YEALINK W70-W73P_SEPT26_OS</t>
  </si>
  <si>
    <t xml:space="preserve">rimodulazione </t>
  </si>
  <si>
    <t>9991789035539726</t>
  </si>
  <si>
    <t>Apple iPhone 18 Pro 256GB - Nero</t>
  </si>
  <si>
    <t>Apple iPhone 18 Pro 256GB - Argento</t>
  </si>
  <si>
    <t>Apple iPhone 18 Pro 256GB - Ghiacciaio</t>
  </si>
  <si>
    <t>Apple iPhone 18 Pro 256GB - Borgogna</t>
  </si>
  <si>
    <t>0TAL258POU0001</t>
  </si>
  <si>
    <t>0TAL258POU0002</t>
  </si>
  <si>
    <t>0TAL258POU0003</t>
  </si>
  <si>
    <t>0TAL258POU0004</t>
  </si>
  <si>
    <t>Apple iPhone 18 Pro 512GB - Nero</t>
  </si>
  <si>
    <t>Apple iPhone 18 Pro 512GB - Ghiacciaio</t>
  </si>
  <si>
    <t>Apple iPhone 18 Pro 512GB - Borgogna</t>
  </si>
  <si>
    <t>0TAL518POU0001</t>
  </si>
  <si>
    <t>0TAL518POU0002</t>
  </si>
  <si>
    <t>0TAL518POU0003</t>
  </si>
  <si>
    <t>0TAL518POU0004</t>
  </si>
  <si>
    <t>Apple iPhone 18 Pro 1TB - Nero</t>
  </si>
  <si>
    <t>Apple iPhone 18 Pro 1TB - Ghiacciaio</t>
  </si>
  <si>
    <t>Apple iPhone 18 Pro 1TB - Borgogna</t>
  </si>
  <si>
    <t>0TAL1T8POU0001</t>
  </si>
  <si>
    <t>0TAL1T8POU0002</t>
  </si>
  <si>
    <t>0TAL1T8POU0003</t>
  </si>
  <si>
    <t>0TAL1T8POU0004</t>
  </si>
  <si>
    <t>Apple iPhone 18 Pro 2TB - Nero</t>
  </si>
  <si>
    <t>Apple iPhone 18 Pro 2TB - Ghiacciaio</t>
  </si>
  <si>
    <t>Apple iPhone 18 Pro 2TB - Borgogna</t>
  </si>
  <si>
    <t>0TAL2T8POU0001</t>
  </si>
  <si>
    <t>0TAL2T8POU0002</t>
  </si>
  <si>
    <t>0TAL2T8POU0003</t>
  </si>
  <si>
    <t>0TAL2T8POU0004</t>
  </si>
  <si>
    <t>Apple iPhone 18 Pro Max 256GB - Nero</t>
  </si>
  <si>
    <t>Apple iPhone 18 Pro Max 256GB - Ghiacciaio</t>
  </si>
  <si>
    <t>Apple iPhone 18 Pro Max 256GB - Borgogna</t>
  </si>
  <si>
    <t>0TAL258MOU0001</t>
  </si>
  <si>
    <t>0TAL258MOU0002</t>
  </si>
  <si>
    <t>0TAL258MOU0003</t>
  </si>
  <si>
    <t>0TAL258MOU0004</t>
  </si>
  <si>
    <t>Apple iPhone 18 Pro Max 512GB - Nero</t>
  </si>
  <si>
    <t>Apple iPhone 18 Pro Max 512GB - Ghiacciaio</t>
  </si>
  <si>
    <t>Apple iPhone 18 Pro Max 512GB - Borgogna</t>
  </si>
  <si>
    <t>0TAL518MOU0001</t>
  </si>
  <si>
    <t>0TAL518MOU0002</t>
  </si>
  <si>
    <t>0TAL518MOU0003</t>
  </si>
  <si>
    <t>0TAL518MOU0004</t>
  </si>
  <si>
    <t>Apple iPhone 18 Pro Max 1TB - Nero</t>
  </si>
  <si>
    <t>Apple iPhone 18 Pro Max 1TB - Ghiacciaio</t>
  </si>
  <si>
    <t>Apple iPhone 18 Pro Max 1TB - Borgogna</t>
  </si>
  <si>
    <t>0TAL1T8MOU0001</t>
  </si>
  <si>
    <t>0TAL1T8MOU0002</t>
  </si>
  <si>
    <t>0TAL1T8MOU0003</t>
  </si>
  <si>
    <t>0TAL1T8MOU0004</t>
  </si>
  <si>
    <t>Apple iPhone 18 Pro Max 2TB - Nero</t>
  </si>
  <si>
    <t>Apple iPhone 18 Pro Max 2TB - Ghiacciaio</t>
  </si>
  <si>
    <t>Apple iPhone 18 Pro Max 2TB - Borgogna</t>
  </si>
  <si>
    <t>0TAL2T8MOU0001</t>
  </si>
  <si>
    <t>0TAL2T8MOU0002</t>
  </si>
  <si>
    <t>0TAL2T8MOU0003</t>
  </si>
  <si>
    <t>0TAL2T8MOU0004</t>
  </si>
  <si>
    <t>Apple iPhone 18 Pro Max 2TB - Argento</t>
  </si>
  <si>
    <t>Apple iPhone 18 Pro Max 1TB - Argento</t>
  </si>
  <si>
    <t>Apple iPhone 18 Pro Max 512GB - Argento</t>
  </si>
  <si>
    <t>Apple iPhone 18 Pro Max 256GB - Argento</t>
  </si>
  <si>
    <t>Apple iPhone 18 Pro 2TB - Argento</t>
  </si>
  <si>
    <t>Apple iPhone 18 Pro 1TB - Argento</t>
  </si>
  <si>
    <t>Apple iPhone 18 Pro 512GB - Argento</t>
  </si>
  <si>
    <t>ONE STEP - Yealink T43U Telefono VoIP_SEPT26</t>
  </si>
  <si>
    <t>ONE STEP - Yealink T46U Telefono VoIP_SEPT26</t>
  </si>
  <si>
    <t>IP - PHONE YEALINK T46U - SEPT26_Office Smart</t>
  </si>
  <si>
    <t>IP - PHONE YEALINK T46U - SEPT26_WSO</t>
  </si>
  <si>
    <t>SUPER OFFICE ADSL20 
SUPER OFFICE ONE 200
SUPER OFFICE ONE FIBRA</t>
  </si>
  <si>
    <t>SUPER Unlimited PRO | SUPER Unlimited MONDO| SUPER Smart 200</t>
  </si>
  <si>
    <t>SUPER Unlimited MONDO</t>
  </si>
  <si>
    <t>SUPER Unlomited MONDO | SUPER Unlimited PRO| SUPER Smart 200</t>
  </si>
  <si>
    <t xml:space="preserve">USCITA PRODOTTO </t>
  </si>
  <si>
    <t xml:space="preserve">USCITA PROMOZIONE </t>
  </si>
  <si>
    <t>AirPods 5 with Wireless Charging Case - White</t>
  </si>
  <si>
    <t>0TALACCAOU0017</t>
  </si>
  <si>
    <t>Apple AirPods 5 - White</t>
  </si>
  <si>
    <t>0TALACCAOU0018</t>
  </si>
  <si>
    <t>Apple Watch Series 12 46mm</t>
  </si>
  <si>
    <t>0TALACCSOU0042</t>
  </si>
  <si>
    <t>9991790085797135</t>
  </si>
  <si>
    <t>9991790086189704</t>
  </si>
  <si>
    <t>9991790090755594</t>
  </si>
  <si>
    <t>9991790091223869</t>
  </si>
  <si>
    <t>9991790147215601</t>
  </si>
  <si>
    <t>9991790149067605</t>
  </si>
  <si>
    <t>9991790150017075</t>
  </si>
  <si>
    <t>9991790150186462</t>
  </si>
  <si>
    <t>9991790150280683</t>
  </si>
  <si>
    <t>9991790150368218</t>
  </si>
  <si>
    <t>9991790150481891</t>
  </si>
  <si>
    <t>9991790150973523</t>
  </si>
  <si>
    <t>9991790151087126</t>
  </si>
  <si>
    <t>9991790151685591</t>
  </si>
  <si>
    <t>9991790151795334</t>
  </si>
  <si>
    <t>9991790151903315</t>
  </si>
  <si>
    <t>9991790152105718</t>
  </si>
  <si>
    <t>9991790152238518</t>
  </si>
  <si>
    <t>9991790152342100</t>
  </si>
  <si>
    <t>9991790152973833</t>
  </si>
  <si>
    <t>9991790153081536</t>
  </si>
  <si>
    <t>9991790153298319</t>
  </si>
  <si>
    <t>9991790153403454</t>
  </si>
  <si>
    <t>9991790153572440</t>
  </si>
  <si>
    <t>9991790153770827</t>
  </si>
  <si>
    <t>9991790153864591</t>
  </si>
  <si>
    <t>9991790153975844</t>
  </si>
  <si>
    <t>9991790154071268</t>
  </si>
  <si>
    <t>9991790154246415</t>
  </si>
  <si>
    <t>9991790154339735</t>
  </si>
  <si>
    <t>9991790154488009</t>
  </si>
  <si>
    <t>9991790154582887</t>
  </si>
  <si>
    <t>9991790154709291</t>
  </si>
  <si>
    <t>9991790154828059</t>
  </si>
  <si>
    <t>9991790154916220</t>
  </si>
  <si>
    <t>9991790154995724</t>
  </si>
  <si>
    <t>9991790156920879</t>
  </si>
  <si>
    <t>9991790157128836</t>
  </si>
  <si>
    <t>9991790157231504</t>
  </si>
  <si>
    <t>9991790157366310</t>
  </si>
  <si>
    <t>9991790157928431</t>
  </si>
  <si>
    <t>9991790158027693</t>
  </si>
  <si>
    <t>9991790158173419</t>
  </si>
  <si>
    <t>9991790158261508</t>
  </si>
  <si>
    <t>9991790158356160</t>
  </si>
  <si>
    <t>9991790158671899</t>
  </si>
  <si>
    <t>9991790158757090</t>
  </si>
  <si>
    <t>9991790158848242</t>
  </si>
  <si>
    <t>9991790159237001</t>
  </si>
  <si>
    <t>9991790159328366</t>
  </si>
  <si>
    <t>9991790162034659</t>
  </si>
  <si>
    <t>9991790162127615</t>
  </si>
  <si>
    <t>9991790162250083</t>
  </si>
  <si>
    <t>9991790162337489</t>
  </si>
  <si>
    <t>9991790162400792</t>
  </si>
  <si>
    <t>9991790162727086</t>
  </si>
  <si>
    <t>9991790166038989</t>
  </si>
  <si>
    <t>9991790166124743</t>
  </si>
  <si>
    <t>9991790166203872</t>
  </si>
  <si>
    <t>9991790166290675</t>
  </si>
  <si>
    <t>9991790166414559</t>
  </si>
  <si>
    <t>9991790166510743</t>
  </si>
  <si>
    <t>9991790166603688</t>
  </si>
  <si>
    <t>9991790166690863</t>
  </si>
  <si>
    <t>9991790166782197</t>
  </si>
  <si>
    <t>9991790166866322</t>
  </si>
  <si>
    <t>9991790166955202</t>
  </si>
  <si>
    <t>9991790167037540</t>
  </si>
  <si>
    <t>9991790167166180</t>
  </si>
  <si>
    <t>9991790167245875</t>
  </si>
  <si>
    <t>9991790167352921</t>
  </si>
  <si>
    <t>9991790167440373</t>
  </si>
  <si>
    <t>9991790167531195</t>
  </si>
  <si>
    <t>9991790167630323</t>
  </si>
  <si>
    <t>9991790167786587</t>
  </si>
  <si>
    <r>
      <t>Kit Accessori Cellularline</t>
    </r>
    <r>
      <rPr>
        <sz val="18"/>
        <color theme="1"/>
        <rFont val="Arial"/>
        <family val="2"/>
      </rPr>
      <t xml:space="preserve"> </t>
    </r>
  </si>
  <si>
    <t>9991789371273203</t>
  </si>
  <si>
    <t>9991789371492936</t>
  </si>
  <si>
    <t>9991790836021774</t>
  </si>
  <si>
    <t>9991790836209728</t>
  </si>
  <si>
    <t>9991790836320894</t>
  </si>
  <si>
    <t>9991790836562660</t>
  </si>
  <si>
    <t>9991790837015229</t>
  </si>
  <si>
    <t>9991790837299867</t>
  </si>
  <si>
    <t>9991790837676763</t>
  </si>
  <si>
    <t>9991790838034948</t>
  </si>
  <si>
    <t>9991790838219839</t>
  </si>
  <si>
    <t>9991790838370986</t>
  </si>
  <si>
    <t>9991790838610809</t>
  </si>
  <si>
    <t>9991790838741205</t>
  </si>
  <si>
    <t>9991790838849440</t>
  </si>
  <si>
    <t>9991790839004164</t>
  </si>
  <si>
    <t>9991790839112373</t>
  </si>
  <si>
    <t>9991790839325336</t>
  </si>
  <si>
    <t>9991790840190519</t>
  </si>
  <si>
    <t>9991790840321652</t>
  </si>
  <si>
    <t>9991790840426936</t>
  </si>
  <si>
    <t>9991790840627405</t>
  </si>
  <si>
    <t>9991790840741680</t>
  </si>
  <si>
    <t>9991790840929033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</si>
</sst>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&quot;€&quot;\ #,##0.00"/>
    <numFmt numFmtId="165" formatCode="_-[$€-410]\ * #,##0.00_-;\-[$€-410]\ * #,##0.00_-;_-[$€-410]\ * &quot;-&quot;??_-;_-@_-"/>
    <numFmt numFmtId="166" formatCode="_-&quot;€&quot;\ * #,##0.00_-;\-&quot;€&quot;\ * #,##0.00_-;_-&quot;€&quot;\ * &quot;-&quot;??_-;_-@_-"/>
    <numFmt numFmtId="167" formatCode="&quot;€&quot;\ #,##0"/>
    <numFmt numFmtId="168" formatCode="_-[$€-410]\ * #,##0_-;\-[$€-410]\ * #,##0_-;_-[$€-410]\ * &quot;-&quot;??_-;_-@_-"/>
    <numFmt numFmtId="169" formatCode="0.0000"/>
    <numFmt numFmtId="170" formatCode="_-* #,##0.00\ [$€-410]_-;\-* #,##0.00\ [$€-410]_-;_-* &quot;-&quot;??\ [$€-410]_-;_-@_-"/>
    <numFmt numFmtId="171" formatCode="_-* #,##0.00\ _€_-;\-* #,##0.00\ _€_-;_-* &quot;-&quot;??\ _€_-;_-@_-"/>
  </numFmts>
  <fonts count="1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36"/>
      <color theme="0"/>
      <name val="Arial"/>
      <family val="2"/>
    </font>
    <font>
      <b/>
      <sz val="18"/>
      <color indexed="9"/>
      <name val="Arial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0"/>
      <color rgb="FFFF0000"/>
      <name val="Arial"/>
      <family val="2"/>
    </font>
    <font>
      <sz val="48"/>
      <color theme="0"/>
      <name val="Arial"/>
      <family val="2"/>
    </font>
    <font>
      <b/>
      <sz val="11"/>
      <color indexed="9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sz val="12"/>
      <name val="HelveticaNeueLT Com 75 Bd"/>
      <family val="2"/>
    </font>
    <font>
      <b/>
      <sz val="11"/>
      <color theme="1"/>
      <name val="Calibri"/>
      <family val="2"/>
      <scheme val="minor"/>
    </font>
    <font>
      <b/>
      <sz val="16"/>
      <color indexed="9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8"/>
      <color indexed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8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4"/>
      <color indexed="9"/>
      <name val="Gotham"/>
    </font>
    <font>
      <b/>
      <sz val="14"/>
      <color theme="1"/>
      <name val="Arial"/>
      <family val="2"/>
    </font>
    <font>
      <b/>
      <sz val="20"/>
      <color rgb="FF00B050"/>
      <name val="Arial"/>
      <family val="2"/>
    </font>
    <font>
      <b/>
      <sz val="14"/>
      <color rgb="FF00B050"/>
      <name val="Arial"/>
      <family val="2"/>
    </font>
    <font>
      <sz val="36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6"/>
      <color theme="1"/>
      <name val="Arial"/>
      <family val="2"/>
    </font>
    <font>
      <b/>
      <sz val="20"/>
      <color theme="0"/>
      <name val="Gotham"/>
    </font>
    <font>
      <b/>
      <sz val="18"/>
      <color indexed="9"/>
      <name val="Gotham"/>
    </font>
    <font>
      <b/>
      <sz val="14"/>
      <name val="Gotham"/>
    </font>
    <font>
      <b/>
      <sz val="24"/>
      <name val="Arial"/>
      <family val="2"/>
    </font>
    <font>
      <b/>
      <sz val="14"/>
      <color rgb="FFFF0000"/>
      <name val="Arial"/>
      <family val="2"/>
    </font>
    <font>
      <b/>
      <sz val="16"/>
      <color indexed="9"/>
      <name val="Gotham"/>
    </font>
    <font>
      <b/>
      <sz val="16"/>
      <name val="Gotham"/>
    </font>
    <font>
      <sz val="16"/>
      <name val="Gotham"/>
    </font>
    <font>
      <b/>
      <sz val="22"/>
      <name val="Arial"/>
      <family val="2"/>
    </font>
    <font>
      <b/>
      <sz val="18"/>
      <color theme="1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20"/>
      <name val="Arial"/>
      <family val="2"/>
    </font>
    <font>
      <b/>
      <sz val="14"/>
      <color theme="0"/>
      <name val="Arial"/>
      <family val="2"/>
    </font>
    <font>
      <b/>
      <sz val="14"/>
      <color theme="9"/>
      <name val="Arial"/>
      <family val="2"/>
    </font>
    <font>
      <b/>
      <sz val="28"/>
      <name val="Arial Black"/>
      <family val="2"/>
    </font>
    <font>
      <b/>
      <sz val="28"/>
      <color theme="6"/>
      <name val="Arial Black"/>
      <family val="2"/>
    </font>
    <font>
      <b/>
      <sz val="28"/>
      <color theme="0"/>
      <name val="Arial Black"/>
      <family val="2"/>
    </font>
    <font>
      <b/>
      <sz val="24"/>
      <name val="Arial Black"/>
      <family val="2"/>
    </font>
    <font>
      <b/>
      <sz val="22"/>
      <color rgb="FFFF0000"/>
      <name val="Arial"/>
      <family val="2"/>
    </font>
    <font>
      <b/>
      <sz val="18"/>
      <name val="Arial"/>
      <family val="2"/>
    </font>
    <font>
      <sz val="18"/>
      <name val="Calibri"/>
      <family val="2"/>
      <scheme val="minor"/>
    </font>
    <font>
      <b/>
      <sz val="12"/>
      <name val="Arial"/>
      <family val="2"/>
    </font>
    <font>
      <b/>
      <sz val="8"/>
      <color indexed="9"/>
      <name val="Arial"/>
      <family val="2"/>
    </font>
    <font>
      <sz val="12"/>
      <name val="Trebuchet MS"/>
      <family val="2"/>
    </font>
    <font>
      <sz val="8"/>
      <name val="Arial"/>
      <family val="2"/>
    </font>
    <font>
      <sz val="8"/>
      <name val="Trebuchet MS"/>
      <family val="2"/>
    </font>
    <font>
      <sz val="10"/>
      <color theme="1"/>
      <name val="Arial"/>
      <family val="2"/>
    </font>
    <font>
      <i/>
      <sz val="12"/>
      <color indexed="9"/>
      <name val="Arial"/>
      <family val="2"/>
    </font>
    <font>
      <i/>
      <sz val="12"/>
      <name val="Arial"/>
      <family val="2"/>
    </font>
    <font>
      <sz val="12"/>
      <color indexed="8"/>
      <name val="Arial"/>
      <family val="2"/>
    </font>
    <font>
      <b/>
      <sz val="18"/>
      <name val="Gotham"/>
    </font>
    <font>
      <b/>
      <sz val="20"/>
      <color rgb="FFFF0000"/>
      <name val="Arial"/>
      <family val="2"/>
    </font>
    <font>
      <b/>
      <sz val="28"/>
      <name val="Arial"/>
      <family val="2"/>
    </font>
    <font>
      <b/>
      <sz val="2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0"/>
      <name val="Gotham"/>
    </font>
    <font>
      <sz val="36"/>
      <color rgb="FFFF000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18"/>
      <color theme="9"/>
      <name val="Arial"/>
      <family val="2"/>
    </font>
    <font>
      <b/>
      <sz val="16"/>
      <color rgb="FFFF000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8"/>
      <color theme="5"/>
      <name val="Arial"/>
      <family val="2"/>
    </font>
    <font>
      <b/>
      <sz val="24"/>
      <color rgb="FFFF0000"/>
      <name val="Arial"/>
      <family val="2"/>
    </font>
    <font>
      <b/>
      <sz val="20"/>
      <color rgb="FFFF0000"/>
      <name val="Gotham"/>
    </font>
    <font>
      <b/>
      <sz val="20"/>
      <name val="Gotham"/>
    </font>
    <font>
      <b/>
      <sz val="16"/>
      <color rgb="FF00B050"/>
      <name val="Arial"/>
      <family val="2"/>
    </font>
    <font>
      <b/>
      <sz val="10"/>
      <color theme="1"/>
      <name val="Arial"/>
      <family val="2"/>
    </font>
    <font>
      <sz val="22"/>
      <color rgb="FFFF0000"/>
      <name val="Arial"/>
      <family val="2"/>
    </font>
    <font>
      <b/>
      <sz val="28"/>
      <color rgb="FFFF0000"/>
      <name val="Arial"/>
      <family val="2"/>
    </font>
    <font>
      <b/>
      <sz val="18"/>
      <color rgb="FFFFC000"/>
      <name val="Arial"/>
      <family val="2"/>
    </font>
    <font>
      <sz val="11"/>
      <name val="Calibri"/>
      <family val="2"/>
      <scheme val="minor"/>
    </font>
    <font>
      <sz val="12"/>
      <color theme="3"/>
      <name val="Arial"/>
      <family val="2"/>
    </font>
    <font>
      <b/>
      <sz val="12"/>
      <color theme="0"/>
      <name val="Calibri"/>
      <family val="2"/>
      <scheme val="minor"/>
    </font>
    <font>
      <sz val="12"/>
      <color indexed="9"/>
      <name val="Calibri"/>
      <family val="2"/>
      <scheme val="minor"/>
    </font>
    <font>
      <b/>
      <sz val="12"/>
      <color indexed="9"/>
      <name val="Arial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Arial"/>
      <family val="2"/>
    </font>
    <font>
      <sz val="28"/>
      <color theme="1"/>
      <name val="Calibri"/>
      <family val="2"/>
      <scheme val="minor"/>
    </font>
    <font>
      <sz val="22"/>
      <name val="Arial"/>
      <family val="2"/>
    </font>
    <font>
      <b/>
      <sz val="18"/>
      <color rgb="FFFF0000"/>
      <name val="Arial"/>
      <family val="2"/>
    </font>
    <font>
      <sz val="18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9595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989"/>
        <bgColor indexed="64"/>
      </patternFill>
    </fill>
  </fills>
  <borders count="10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rgb="FFFF660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rgb="FFFF66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theme="1"/>
      </bottom>
      <diagonal/>
    </border>
    <border>
      <left style="thin">
        <color theme="7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auto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medium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medium">
        <color auto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theme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rgb="FFFF6600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rgb="FFFF6600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auto="1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1"/>
      </right>
      <top style="thin">
        <color indexed="64"/>
      </top>
      <bottom style="medium">
        <color auto="1"/>
      </bottom>
      <diagonal/>
    </border>
    <border>
      <left style="thin">
        <color theme="1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</borders>
  <cellStyleXfs count="26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1" fillId="0" borderId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64">
    <xf numFmtId="0" fontId="0" fillId="0" borderId="0" xfId="0"/>
    <xf numFmtId="0" fontId="2" fillId="2" borderId="0" xfId="1" applyFill="1"/>
    <xf numFmtId="0" fontId="2" fillId="2" borderId="0" xfId="1" applyFill="1" applyAlignment="1">
      <alignment wrapText="1"/>
    </xf>
    <xf numFmtId="49" fontId="5" fillId="3" borderId="1" xfId="1" applyNumberFormat="1" applyFont="1" applyFill="1" applyBorder="1" applyAlignment="1">
      <alignment horizontal="center" vertical="center" wrapText="1"/>
    </xf>
    <xf numFmtId="49" fontId="6" fillId="5" borderId="1" xfId="1" applyNumberFormat="1" applyFont="1" applyFill="1" applyBorder="1" applyAlignment="1">
      <alignment horizontal="center" vertical="center" wrapText="1"/>
    </xf>
    <xf numFmtId="49" fontId="6" fillId="6" borderId="1" xfId="1" applyNumberFormat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 wrapText="1"/>
    </xf>
    <xf numFmtId="0" fontId="2" fillId="2" borderId="0" xfId="1" applyFill="1" applyAlignment="1">
      <alignment horizontal="center" wrapText="1"/>
    </xf>
    <xf numFmtId="0" fontId="2" fillId="2" borderId="0" xfId="1" applyFill="1" applyAlignment="1">
      <alignment horizontal="center" vertical="center" wrapText="1"/>
    </xf>
    <xf numFmtId="0" fontId="2" fillId="2" borderId="0" xfId="1" applyFill="1" applyAlignment="1">
      <alignment horizontal="center" vertical="center"/>
    </xf>
    <xf numFmtId="0" fontId="2" fillId="0" borderId="0" xfId="1"/>
    <xf numFmtId="0" fontId="3" fillId="0" borderId="0" xfId="1" applyFont="1"/>
    <xf numFmtId="164" fontId="3" fillId="0" borderId="0" xfId="1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/>
    </xf>
    <xf numFmtId="0" fontId="3" fillId="2" borderId="0" xfId="1" applyFont="1" applyFill="1" applyAlignment="1">
      <alignment horizontal="center"/>
    </xf>
    <xf numFmtId="0" fontId="23" fillId="13" borderId="0" xfId="7" applyFont="1" applyFill="1" applyAlignment="1">
      <alignment horizontal="left" vertical="top" wrapText="1"/>
    </xf>
    <xf numFmtId="0" fontId="23" fillId="7" borderId="0" xfId="7" applyFont="1" applyFill="1" applyAlignment="1">
      <alignment horizontal="left" vertical="top" wrapText="1"/>
    </xf>
    <xf numFmtId="0" fontId="22" fillId="0" borderId="0" xfId="7" applyFont="1" applyAlignment="1">
      <alignment horizontal="left" vertical="top" wrapText="1"/>
    </xf>
    <xf numFmtId="0" fontId="23" fillId="14" borderId="0" xfId="7" applyFont="1" applyFill="1" applyAlignment="1">
      <alignment horizontal="left" vertical="top" wrapText="1"/>
    </xf>
    <xf numFmtId="0" fontId="21" fillId="0" borderId="0" xfId="8"/>
    <xf numFmtId="49" fontId="26" fillId="3" borderId="1" xfId="1" applyNumberFormat="1" applyFont="1" applyFill="1" applyBorder="1" applyAlignment="1">
      <alignment horizontal="center" vertical="center" wrapText="1"/>
    </xf>
    <xf numFmtId="49" fontId="16" fillId="3" borderId="1" xfId="1" applyNumberFormat="1" applyFont="1" applyFill="1" applyBorder="1" applyAlignment="1">
      <alignment horizontal="center" vertical="center" wrapText="1"/>
    </xf>
    <xf numFmtId="49" fontId="16" fillId="3" borderId="5" xfId="1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7" fillId="0" borderId="0" xfId="0" applyFont="1"/>
    <xf numFmtId="0" fontId="28" fillId="0" borderId="0" xfId="0" applyFont="1"/>
    <xf numFmtId="0" fontId="17" fillId="15" borderId="2" xfId="1" applyFont="1" applyFill="1" applyBorder="1" applyAlignment="1">
      <alignment horizontal="center" vertical="center" wrapText="1"/>
    </xf>
    <xf numFmtId="0" fontId="29" fillId="4" borderId="2" xfId="1" applyFont="1" applyFill="1" applyBorder="1" applyAlignment="1">
      <alignment horizontal="center" vertical="center" wrapText="1"/>
    </xf>
    <xf numFmtId="42" fontId="0" fillId="0" borderId="0" xfId="0" applyNumberFormat="1"/>
    <xf numFmtId="42" fontId="25" fillId="0" borderId="0" xfId="0" applyNumberFormat="1" applyFont="1"/>
    <xf numFmtId="44" fontId="0" fillId="0" borderId="0" xfId="0" applyNumberFormat="1"/>
    <xf numFmtId="49" fontId="5" fillId="3" borderId="2" xfId="1" applyNumberFormat="1" applyFont="1" applyFill="1" applyBorder="1" applyAlignment="1">
      <alignment horizontal="center" vertical="center" wrapText="1"/>
    </xf>
    <xf numFmtId="49" fontId="26" fillId="3" borderId="2" xfId="1" applyNumberFormat="1" applyFont="1" applyFill="1" applyBorder="1" applyAlignment="1">
      <alignment horizontal="center" vertical="center" wrapText="1"/>
    </xf>
    <xf numFmtId="49" fontId="16" fillId="3" borderId="3" xfId="1" applyNumberFormat="1" applyFont="1" applyFill="1" applyBorder="1" applyAlignment="1">
      <alignment horizontal="center" vertical="center" wrapText="1"/>
    </xf>
    <xf numFmtId="0" fontId="17" fillId="15" borderId="24" xfId="1" applyFont="1" applyFill="1" applyBorder="1" applyAlignment="1">
      <alignment horizontal="center" vertical="center" wrapText="1"/>
    </xf>
    <xf numFmtId="0" fontId="2" fillId="15" borderId="25" xfId="0" applyFont="1" applyFill="1" applyBorder="1" applyAlignment="1">
      <alignment horizontal="center" vertical="center" wrapText="1"/>
    </xf>
    <xf numFmtId="0" fontId="0" fillId="0" borderId="26" xfId="0" applyBorder="1"/>
    <xf numFmtId="0" fontId="2" fillId="15" borderId="27" xfId="0" applyFont="1" applyFill="1" applyBorder="1" applyAlignment="1">
      <alignment horizontal="center" vertical="center" wrapText="1"/>
    </xf>
    <xf numFmtId="42" fontId="25" fillId="0" borderId="1" xfId="0" applyNumberFormat="1" applyFont="1" applyBorder="1"/>
    <xf numFmtId="44" fontId="0" fillId="0" borderId="1" xfId="0" applyNumberFormat="1" applyBorder="1"/>
    <xf numFmtId="9" fontId="0" fillId="0" borderId="0" xfId="10" applyFont="1"/>
    <xf numFmtId="0" fontId="25" fillId="2" borderId="0" xfId="0" applyFont="1" applyFill="1" applyAlignment="1">
      <alignment horizontal="center" wrapText="1"/>
    </xf>
    <xf numFmtId="49" fontId="16" fillId="3" borderId="16" xfId="1" applyNumberFormat="1" applyFont="1" applyFill="1" applyBorder="1" applyAlignment="1">
      <alignment horizontal="center" vertical="center" wrapText="1"/>
    </xf>
    <xf numFmtId="49" fontId="16" fillId="2" borderId="0" xfId="1" applyNumberFormat="1" applyFont="1" applyFill="1" applyAlignment="1">
      <alignment horizontal="center" vertical="center" wrapText="1"/>
    </xf>
    <xf numFmtId="0" fontId="18" fillId="2" borderId="0" xfId="1" applyFont="1" applyFill="1"/>
    <xf numFmtId="0" fontId="32" fillId="4" borderId="10" xfId="1" applyFont="1" applyFill="1" applyBorder="1" applyAlignment="1">
      <alignment horizontal="center" vertical="center"/>
    </xf>
    <xf numFmtId="0" fontId="32" fillId="4" borderId="11" xfId="1" applyFont="1" applyFill="1" applyBorder="1" applyAlignment="1">
      <alignment horizontal="center" vertical="center"/>
    </xf>
    <xf numFmtId="0" fontId="32" fillId="4" borderId="12" xfId="1" applyFont="1" applyFill="1" applyBorder="1" applyAlignment="1">
      <alignment horizontal="center" vertical="center"/>
    </xf>
    <xf numFmtId="167" fontId="32" fillId="4" borderId="14" xfId="1" applyNumberFormat="1" applyFont="1" applyFill="1" applyBorder="1" applyAlignment="1">
      <alignment horizontal="center" vertical="center" wrapText="1"/>
    </xf>
    <xf numFmtId="0" fontId="32" fillId="4" borderId="13" xfId="1" applyFont="1" applyFill="1" applyBorder="1" applyAlignment="1">
      <alignment horizontal="center" vertical="center" wrapText="1"/>
    </xf>
    <xf numFmtId="167" fontId="32" fillId="4" borderId="13" xfId="1" applyNumberFormat="1" applyFont="1" applyFill="1" applyBorder="1" applyAlignment="1">
      <alignment horizontal="center" vertical="center" wrapText="1"/>
    </xf>
    <xf numFmtId="49" fontId="5" fillId="16" borderId="1" xfId="1" applyNumberFormat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horizontal="center" vertical="center"/>
    </xf>
    <xf numFmtId="0" fontId="36" fillId="2" borderId="0" xfId="1" applyFont="1" applyFill="1" applyAlignment="1">
      <alignment horizontal="center" vertical="center" wrapText="1"/>
    </xf>
    <xf numFmtId="0" fontId="37" fillId="12" borderId="0" xfId="1" applyFont="1" applyFill="1" applyAlignment="1">
      <alignment horizontal="center" vertical="center" wrapText="1"/>
    </xf>
    <xf numFmtId="0" fontId="36" fillId="12" borderId="0" xfId="1" applyFont="1" applyFill="1" applyAlignment="1">
      <alignment horizontal="center" vertical="center" wrapText="1"/>
    </xf>
    <xf numFmtId="0" fontId="3" fillId="9" borderId="0" xfId="1" applyFont="1" applyFill="1" applyAlignment="1">
      <alignment horizontal="center" vertical="center" wrapText="1"/>
    </xf>
    <xf numFmtId="164" fontId="3" fillId="9" borderId="0" xfId="1" applyNumberFormat="1" applyFont="1" applyFill="1" applyAlignment="1">
      <alignment horizontal="center" vertical="center" wrapText="1"/>
    </xf>
    <xf numFmtId="168" fontId="3" fillId="9" borderId="0" xfId="1" applyNumberFormat="1" applyFont="1" applyFill="1" applyAlignment="1">
      <alignment horizontal="center" vertical="center" wrapText="1"/>
    </xf>
    <xf numFmtId="167" fontId="3" fillId="9" borderId="0" xfId="1" applyNumberFormat="1" applyFont="1" applyFill="1" applyAlignment="1">
      <alignment horizontal="center" vertical="center" wrapText="1"/>
    </xf>
    <xf numFmtId="0" fontId="3" fillId="9" borderId="0" xfId="1" applyFont="1" applyFill="1" applyAlignment="1">
      <alignment vertical="center" wrapText="1"/>
    </xf>
    <xf numFmtId="0" fontId="12" fillId="2" borderId="0" xfId="1" applyFont="1" applyFill="1" applyAlignment="1">
      <alignment wrapText="1"/>
    </xf>
    <xf numFmtId="0" fontId="12" fillId="2" borderId="0" xfId="1" applyFont="1" applyFill="1"/>
    <xf numFmtId="49" fontId="46" fillId="16" borderId="3" xfId="1" applyNumberFormat="1" applyFont="1" applyFill="1" applyBorder="1" applyAlignment="1">
      <alignment horizontal="center" vertical="center" wrapText="1"/>
    </xf>
    <xf numFmtId="49" fontId="38" fillId="5" borderId="3" xfId="1" applyNumberFormat="1" applyFont="1" applyFill="1" applyBorder="1" applyAlignment="1">
      <alignment horizontal="center" vertical="center" wrapText="1"/>
    </xf>
    <xf numFmtId="49" fontId="38" fillId="6" borderId="3" xfId="1" applyNumberFormat="1" applyFont="1" applyFill="1" applyBorder="1" applyAlignment="1">
      <alignment horizontal="center" vertical="center" wrapText="1"/>
    </xf>
    <xf numFmtId="49" fontId="47" fillId="2" borderId="3" xfId="1" applyNumberFormat="1" applyFont="1" applyFill="1" applyBorder="1" applyAlignment="1">
      <alignment horizontal="center" vertical="center" wrapText="1"/>
    </xf>
    <xf numFmtId="1" fontId="46" fillId="16" borderId="3" xfId="1" applyNumberFormat="1" applyFont="1" applyFill="1" applyBorder="1" applyAlignment="1">
      <alignment horizontal="center" vertical="center" wrapText="1"/>
    </xf>
    <xf numFmtId="1" fontId="12" fillId="2" borderId="0" xfId="1" applyNumberFormat="1" applyFont="1" applyFill="1" applyAlignment="1">
      <alignment wrapText="1"/>
    </xf>
    <xf numFmtId="1" fontId="12" fillId="2" borderId="0" xfId="1" applyNumberFormat="1" applyFont="1" applyFill="1"/>
    <xf numFmtId="9" fontId="2" fillId="2" borderId="0" xfId="10" applyFont="1" applyFill="1" applyAlignment="1">
      <alignment horizontal="center" vertical="center" wrapText="1"/>
    </xf>
    <xf numFmtId="49" fontId="5" fillId="16" borderId="54" xfId="1" applyNumberFormat="1" applyFont="1" applyFill="1" applyBorder="1" applyAlignment="1">
      <alignment horizontal="center" vertical="center" wrapText="1"/>
    </xf>
    <xf numFmtId="0" fontId="41" fillId="2" borderId="45" xfId="1" applyFont="1" applyFill="1" applyBorder="1" applyAlignment="1">
      <alignment horizontal="center" vertical="center" wrapText="1"/>
    </xf>
    <xf numFmtId="0" fontId="40" fillId="2" borderId="6" xfId="0" applyFont="1" applyFill="1" applyBorder="1" applyAlignment="1">
      <alignment horizontal="center" vertical="center" wrapText="1"/>
    </xf>
    <xf numFmtId="49" fontId="50" fillId="16" borderId="30" xfId="1" applyNumberFormat="1" applyFont="1" applyFill="1" applyBorder="1" applyAlignment="1">
      <alignment horizontal="center" vertical="center" wrapText="1"/>
    </xf>
    <xf numFmtId="49" fontId="50" fillId="5" borderId="30" xfId="1" applyNumberFormat="1" applyFont="1" applyFill="1" applyBorder="1" applyAlignment="1">
      <alignment horizontal="center" vertical="center" wrapText="1"/>
    </xf>
    <xf numFmtId="49" fontId="50" fillId="6" borderId="30" xfId="1" applyNumberFormat="1" applyFont="1" applyFill="1" applyBorder="1" applyAlignment="1">
      <alignment horizontal="center" vertical="center" wrapText="1"/>
    </xf>
    <xf numFmtId="49" fontId="51" fillId="2" borderId="30" xfId="1" applyNumberFormat="1" applyFont="1" applyFill="1" applyBorder="1" applyAlignment="1">
      <alignment horizontal="center" vertical="center" wrapText="1"/>
    </xf>
    <xf numFmtId="0" fontId="0" fillId="2" borderId="0" xfId="0" applyFill="1"/>
    <xf numFmtId="0" fontId="41" fillId="2" borderId="55" xfId="1" applyFont="1" applyFill="1" applyBorder="1" applyAlignment="1">
      <alignment horizontal="center" vertical="center" wrapText="1"/>
    </xf>
    <xf numFmtId="0" fontId="7" fillId="0" borderId="0" xfId="1" applyFont="1" applyAlignment="1">
      <alignment wrapText="1"/>
    </xf>
    <xf numFmtId="0" fontId="39" fillId="0" borderId="0" xfId="1" applyFont="1" applyAlignment="1">
      <alignment horizontal="center" vertical="center" wrapText="1"/>
    </xf>
    <xf numFmtId="0" fontId="12" fillId="0" borderId="0" xfId="1" applyFont="1"/>
    <xf numFmtId="164" fontId="4" fillId="2" borderId="0" xfId="1" applyNumberFormat="1" applyFont="1" applyFill="1" applyAlignment="1">
      <alignment horizontal="center" vertical="center" wrapText="1"/>
    </xf>
    <xf numFmtId="0" fontId="12" fillId="2" borderId="0" xfId="1" applyFont="1" applyFill="1" applyAlignment="1">
      <alignment horizontal="center" vertical="center" wrapText="1"/>
    </xf>
    <xf numFmtId="0" fontId="57" fillId="0" borderId="0" xfId="0" applyFont="1"/>
    <xf numFmtId="0" fontId="57" fillId="2" borderId="0" xfId="0" applyFont="1" applyFill="1"/>
    <xf numFmtId="0" fontId="2" fillId="2" borderId="0" xfId="1" applyFill="1" applyAlignment="1">
      <alignment horizontal="left" vertical="center" wrapText="1"/>
    </xf>
    <xf numFmtId="0" fontId="60" fillId="0" borderId="0" xfId="1" applyFont="1" applyAlignment="1">
      <alignment horizontal="center" vertical="center" wrapText="1"/>
    </xf>
    <xf numFmtId="0" fontId="49" fillId="2" borderId="0" xfId="1" applyFont="1" applyFill="1" applyAlignment="1">
      <alignment horizontal="center" vertical="center"/>
    </xf>
    <xf numFmtId="165" fontId="8" fillId="0" borderId="3" xfId="1" applyNumberFormat="1" applyFont="1" applyBorder="1" applyAlignment="1">
      <alignment vertical="center" wrapText="1"/>
    </xf>
    <xf numFmtId="0" fontId="64" fillId="20" borderId="17" xfId="1" applyFont="1" applyFill="1" applyBorder="1" applyAlignment="1">
      <alignment horizontal="center" wrapText="1"/>
    </xf>
    <xf numFmtId="49" fontId="5" fillId="20" borderId="1" xfId="1" applyNumberFormat="1" applyFont="1" applyFill="1" applyBorder="1" applyAlignment="1">
      <alignment horizontal="center" vertical="center" wrapText="1"/>
    </xf>
    <xf numFmtId="49" fontId="5" fillId="5" borderId="1" xfId="1" applyNumberFormat="1" applyFont="1" applyFill="1" applyBorder="1" applyAlignment="1">
      <alignment horizontal="center" vertical="center" wrapText="1"/>
    </xf>
    <xf numFmtId="49" fontId="5" fillId="6" borderId="1" xfId="1" applyNumberFormat="1" applyFont="1" applyFill="1" applyBorder="1" applyAlignment="1">
      <alignment horizontal="center" vertical="center" wrapText="1"/>
    </xf>
    <xf numFmtId="49" fontId="66" fillId="2" borderId="1" xfId="1" applyNumberFormat="1" applyFont="1" applyFill="1" applyBorder="1" applyAlignment="1">
      <alignment horizontal="center" vertical="center" wrapText="1"/>
    </xf>
    <xf numFmtId="0" fontId="14" fillId="0" borderId="0" xfId="1" applyFont="1" applyAlignment="1">
      <alignment wrapText="1"/>
    </xf>
    <xf numFmtId="0" fontId="60" fillId="0" borderId="6" xfId="1" applyFont="1" applyBorder="1" applyAlignment="1">
      <alignment horizontal="center" vertical="center" wrapText="1"/>
    </xf>
    <xf numFmtId="0" fontId="14" fillId="0" borderId="0" xfId="1" applyFont="1"/>
    <xf numFmtId="0" fontId="68" fillId="2" borderId="0" xfId="1" applyFont="1" applyFill="1" applyAlignment="1">
      <alignment vertical="center"/>
    </xf>
    <xf numFmtId="0" fontId="69" fillId="4" borderId="14" xfId="4" applyFont="1" applyFill="1" applyBorder="1" applyAlignment="1">
      <alignment horizontal="center" vertical="center" wrapText="1"/>
    </xf>
    <xf numFmtId="0" fontId="69" fillId="4" borderId="14" xfId="4" applyFont="1" applyFill="1" applyBorder="1" applyAlignment="1">
      <alignment horizontal="center" vertical="center"/>
    </xf>
    <xf numFmtId="0" fontId="69" fillId="4" borderId="31" xfId="4" applyFont="1" applyFill="1" applyBorder="1" applyAlignment="1">
      <alignment horizontal="center" vertical="center" wrapText="1"/>
    </xf>
    <xf numFmtId="0" fontId="68" fillId="2" borderId="0" xfId="1" applyFont="1" applyFill="1" applyAlignment="1">
      <alignment horizontal="center" vertical="center"/>
    </xf>
    <xf numFmtId="0" fontId="68" fillId="8" borderId="22" xfId="1" applyFont="1" applyFill="1" applyBorder="1" applyAlignment="1">
      <alignment horizontal="center" vertical="center"/>
    </xf>
    <xf numFmtId="0" fontId="68" fillId="8" borderId="0" xfId="1" applyFont="1" applyFill="1" applyAlignment="1">
      <alignment vertical="center"/>
    </xf>
    <xf numFmtId="164" fontId="68" fillId="2" borderId="0" xfId="1" applyNumberFormat="1" applyFont="1" applyFill="1" applyAlignment="1">
      <alignment horizontal="center" vertical="center"/>
    </xf>
    <xf numFmtId="167" fontId="68" fillId="2" borderId="0" xfId="1" applyNumberFormat="1" applyFont="1" applyFill="1" applyAlignment="1">
      <alignment vertical="center"/>
    </xf>
    <xf numFmtId="0" fontId="18" fillId="0" borderId="0" xfId="1" applyFont="1"/>
    <xf numFmtId="0" fontId="18" fillId="0" borderId="0" xfId="1" applyFont="1" applyAlignment="1">
      <alignment horizontal="center"/>
    </xf>
    <xf numFmtId="0" fontId="68" fillId="2" borderId="4" xfId="1" applyFont="1" applyFill="1" applyBorder="1" applyAlignment="1">
      <alignment horizontal="center" vertical="center" wrapText="1"/>
    </xf>
    <xf numFmtId="1" fontId="18" fillId="2" borderId="0" xfId="4" applyNumberFormat="1" applyFont="1" applyFill="1" applyAlignment="1">
      <alignment horizontal="center" vertical="center" wrapText="1"/>
    </xf>
    <xf numFmtId="0" fontId="18" fillId="2" borderId="0" xfId="1" applyFont="1" applyFill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3" fillId="0" borderId="0" xfId="1" applyFont="1"/>
    <xf numFmtId="0" fontId="20" fillId="0" borderId="1" xfId="1" applyFont="1" applyBorder="1" applyAlignment="1">
      <alignment horizontal="center" vertical="center" wrapText="1"/>
    </xf>
    <xf numFmtId="0" fontId="71" fillId="0" borderId="1" xfId="1" applyFont="1" applyBorder="1" applyAlignment="1">
      <alignment horizontal="center" vertical="center" wrapText="1"/>
    </xf>
    <xf numFmtId="0" fontId="20" fillId="0" borderId="41" xfId="1" applyFont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66" fillId="0" borderId="0" xfId="1" applyFont="1" applyAlignment="1">
      <alignment horizontal="center" vertical="center" wrapText="1"/>
    </xf>
    <xf numFmtId="165" fontId="9" fillId="0" borderId="0" xfId="1" applyNumberFormat="1" applyFont="1" applyAlignment="1">
      <alignment horizontal="center" vertical="center" wrapText="1"/>
    </xf>
    <xf numFmtId="9" fontId="9" fillId="0" borderId="0" xfId="2" applyFont="1" applyFill="1" applyBorder="1" applyAlignment="1">
      <alignment horizontal="center" vertical="center" wrapText="1"/>
    </xf>
    <xf numFmtId="1" fontId="9" fillId="0" borderId="0" xfId="1" applyNumberFormat="1" applyFont="1" applyAlignment="1">
      <alignment horizontal="center" vertical="center" wrapText="1"/>
    </xf>
    <xf numFmtId="9" fontId="14" fillId="2" borderId="0" xfId="1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49" fillId="0" borderId="0" xfId="1" applyFont="1" applyAlignment="1">
      <alignment horizontal="center" vertical="center" wrapText="1"/>
    </xf>
    <xf numFmtId="1" fontId="9" fillId="0" borderId="1" xfId="1" applyNumberFormat="1" applyFont="1" applyBorder="1" applyAlignment="1">
      <alignment horizontal="center" vertical="center" wrapText="1"/>
    </xf>
    <xf numFmtId="49" fontId="38" fillId="24" borderId="3" xfId="1" applyNumberFormat="1" applyFont="1" applyFill="1" applyBorder="1" applyAlignment="1">
      <alignment horizontal="center" vertical="center" wrapText="1"/>
    </xf>
    <xf numFmtId="49" fontId="50" fillId="24" borderId="30" xfId="1" applyNumberFormat="1" applyFont="1" applyFill="1" applyBorder="1" applyAlignment="1">
      <alignment horizontal="center" vertical="center" wrapText="1"/>
    </xf>
    <xf numFmtId="49" fontId="6" fillId="24" borderId="1" xfId="1" applyNumberFormat="1" applyFont="1" applyFill="1" applyBorder="1" applyAlignment="1">
      <alignment horizontal="center" vertical="center" wrapText="1"/>
    </xf>
    <xf numFmtId="49" fontId="5" fillId="24" borderId="1" xfId="1" applyNumberFormat="1" applyFont="1" applyFill="1" applyBorder="1" applyAlignment="1">
      <alignment horizontal="center" vertical="center" wrapText="1"/>
    </xf>
    <xf numFmtId="164" fontId="20" fillId="0" borderId="20" xfId="1" applyNumberFormat="1" applyFont="1" applyBorder="1" applyAlignment="1">
      <alignment horizontal="center" vertical="center" wrapText="1"/>
    </xf>
    <xf numFmtId="0" fontId="72" fillId="0" borderId="20" xfId="5" applyFont="1" applyBorder="1" applyAlignment="1">
      <alignment horizontal="center" vertical="center" wrapText="1"/>
    </xf>
    <xf numFmtId="164" fontId="20" fillId="0" borderId="46" xfId="1" applyNumberFormat="1" applyFont="1" applyBorder="1" applyAlignment="1">
      <alignment horizontal="center" vertical="center" wrapText="1"/>
    </xf>
    <xf numFmtId="0" fontId="72" fillId="0" borderId="46" xfId="5" applyFont="1" applyBorder="1" applyAlignment="1">
      <alignment horizontal="center" vertical="center" wrapText="1"/>
    </xf>
    <xf numFmtId="1" fontId="2" fillId="0" borderId="46" xfId="4" applyNumberFormat="1" applyBorder="1" applyAlignment="1">
      <alignment horizontal="center" vertical="center" wrapText="1"/>
    </xf>
    <xf numFmtId="1" fontId="2" fillId="0" borderId="20" xfId="4" applyNumberFormat="1" applyBorder="1" applyAlignment="1">
      <alignment horizontal="center" vertical="center" wrapText="1"/>
    </xf>
    <xf numFmtId="0" fontId="20" fillId="0" borderId="76" xfId="1" applyFont="1" applyBorder="1" applyAlignment="1">
      <alignment horizontal="center" vertical="center" wrapText="1"/>
    </xf>
    <xf numFmtId="0" fontId="20" fillId="0" borderId="27" xfId="1" applyFont="1" applyBorder="1" applyAlignment="1">
      <alignment horizontal="center" vertical="center" wrapText="1"/>
    </xf>
    <xf numFmtId="0" fontId="20" fillId="0" borderId="95" xfId="1" applyFont="1" applyBorder="1" applyAlignment="1">
      <alignment horizontal="center" vertical="center" wrapText="1"/>
    </xf>
    <xf numFmtId="0" fontId="71" fillId="0" borderId="5" xfId="1" applyFont="1" applyBorder="1" applyAlignment="1">
      <alignment horizontal="center" vertical="center" wrapText="1"/>
    </xf>
    <xf numFmtId="0" fontId="20" fillId="0" borderId="5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165" fontId="9" fillId="0" borderId="1" xfId="1" applyNumberFormat="1" applyFont="1" applyBorder="1" applyAlignment="1">
      <alignment horizontal="center" vertical="center" wrapText="1"/>
    </xf>
    <xf numFmtId="9" fontId="9" fillId="0" borderId="1" xfId="10" applyFont="1" applyFill="1" applyBorder="1" applyAlignment="1">
      <alignment horizontal="center" vertical="center" wrapText="1"/>
    </xf>
    <xf numFmtId="2" fontId="9" fillId="0" borderId="1" xfId="1" applyNumberFormat="1" applyFont="1" applyBorder="1" applyAlignment="1">
      <alignment horizontal="center" vertical="center" wrapText="1"/>
    </xf>
    <xf numFmtId="165" fontId="11" fillId="0" borderId="2" xfId="1" applyNumberFormat="1" applyFont="1" applyBorder="1" applyAlignment="1">
      <alignment vertical="center" wrapText="1"/>
    </xf>
    <xf numFmtId="165" fontId="11" fillId="0" borderId="1" xfId="1" applyNumberFormat="1" applyFont="1" applyBorder="1" applyAlignment="1">
      <alignment vertical="center" wrapText="1"/>
    </xf>
    <xf numFmtId="0" fontId="66" fillId="0" borderId="1" xfId="1" applyFont="1" applyBorder="1" applyAlignment="1">
      <alignment horizontal="center" vertical="center" wrapText="1"/>
    </xf>
    <xf numFmtId="165" fontId="9" fillId="0" borderId="1" xfId="1" applyNumberFormat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54" fillId="0" borderId="0" xfId="1" applyFont="1" applyAlignment="1">
      <alignment horizontal="center" vertical="center" wrapText="1"/>
    </xf>
    <xf numFmtId="0" fontId="56" fillId="0" borderId="64" xfId="1" applyFont="1" applyBorder="1" applyAlignment="1">
      <alignment wrapText="1"/>
    </xf>
    <xf numFmtId="0" fontId="56" fillId="0" borderId="0" xfId="1" applyFont="1" applyAlignment="1">
      <alignment wrapText="1"/>
    </xf>
    <xf numFmtId="0" fontId="56" fillId="2" borderId="0" xfId="1" applyFont="1" applyFill="1" applyAlignment="1">
      <alignment horizontal="center" wrapText="1"/>
    </xf>
    <xf numFmtId="0" fontId="78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25" fillId="2" borderId="0" xfId="0" applyFont="1" applyFill="1"/>
    <xf numFmtId="0" fontId="81" fillId="2" borderId="0" xfId="0" applyFont="1" applyFill="1"/>
    <xf numFmtId="0" fontId="81" fillId="0" borderId="0" xfId="0" applyFont="1"/>
    <xf numFmtId="0" fontId="14" fillId="2" borderId="0" xfId="1" applyFont="1" applyFill="1" applyAlignment="1">
      <alignment wrapText="1"/>
    </xf>
    <xf numFmtId="9" fontId="9" fillId="0" borderId="1" xfId="16" applyFont="1" applyFill="1" applyBorder="1" applyAlignment="1">
      <alignment horizontal="center" vertical="center" wrapText="1"/>
    </xf>
    <xf numFmtId="49" fontId="83" fillId="24" borderId="3" xfId="1" applyNumberFormat="1" applyFont="1" applyFill="1" applyBorder="1" applyAlignment="1">
      <alignment horizontal="center" vertical="center" wrapText="1"/>
    </xf>
    <xf numFmtId="49" fontId="59" fillId="5" borderId="1" xfId="1" applyNumberFormat="1" applyFont="1" applyFill="1" applyBorder="1" applyAlignment="1">
      <alignment horizontal="center" vertical="center" wrapText="1"/>
    </xf>
    <xf numFmtId="49" fontId="59" fillId="6" borderId="1" xfId="1" applyNumberFormat="1" applyFont="1" applyFill="1" applyBorder="1" applyAlignment="1">
      <alignment horizontal="center" vertical="center" wrapText="1"/>
    </xf>
    <xf numFmtId="0" fontId="68" fillId="0" borderId="47" xfId="1" applyFont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19" fillId="2" borderId="0" xfId="1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168" fontId="3" fillId="2" borderId="0" xfId="1" applyNumberFormat="1" applyFont="1" applyFill="1" applyAlignment="1">
      <alignment horizontal="center" vertical="center" wrapText="1"/>
    </xf>
    <xf numFmtId="167" fontId="3" fillId="2" borderId="0" xfId="1" applyNumberFormat="1" applyFont="1" applyFill="1" applyAlignment="1">
      <alignment horizontal="center" vertical="center" wrapText="1"/>
    </xf>
    <xf numFmtId="0" fontId="70" fillId="2" borderId="0" xfId="5" applyFont="1" applyFill="1" applyAlignment="1">
      <alignment horizontal="center" vertical="center" wrapText="1"/>
    </xf>
    <xf numFmtId="0" fontId="66" fillId="0" borderId="5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2" fontId="9" fillId="0" borderId="5" xfId="1" applyNumberFormat="1" applyFont="1" applyBorder="1" applyAlignment="1">
      <alignment horizontal="center" vertical="center" wrapText="1"/>
    </xf>
    <xf numFmtId="165" fontId="9" fillId="0" borderId="5" xfId="1" applyNumberFormat="1" applyFont="1" applyBorder="1" applyAlignment="1">
      <alignment horizontal="center" vertical="center" wrapText="1"/>
    </xf>
    <xf numFmtId="9" fontId="9" fillId="0" borderId="5" xfId="16" applyFont="1" applyFill="1" applyBorder="1" applyAlignment="1">
      <alignment horizontal="center" vertical="center" wrapText="1"/>
    </xf>
    <xf numFmtId="1" fontId="9" fillId="0" borderId="5" xfId="1" applyNumberFormat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84" fillId="0" borderId="0" xfId="0" applyFont="1" applyAlignment="1">
      <alignment horizontal="center" vertical="center" textRotation="90"/>
    </xf>
    <xf numFmtId="165" fontId="44" fillId="0" borderId="1" xfId="1" applyNumberFormat="1" applyFont="1" applyBorder="1" applyAlignment="1">
      <alignment horizontal="center" vertical="center" wrapText="1"/>
    </xf>
    <xf numFmtId="2" fontId="44" fillId="0" borderId="1" xfId="1" applyNumberFormat="1" applyFont="1" applyBorder="1" applyAlignment="1">
      <alignment horizontal="center" vertical="center" wrapText="1"/>
    </xf>
    <xf numFmtId="1" fontId="44" fillId="0" borderId="1" xfId="1" applyNumberFormat="1" applyFont="1" applyBorder="1" applyAlignment="1">
      <alignment horizontal="center" vertical="center" wrapText="1"/>
    </xf>
    <xf numFmtId="9" fontId="44" fillId="0" borderId="1" xfId="16" applyFont="1" applyFill="1" applyBorder="1" applyAlignment="1">
      <alignment horizontal="center" vertical="center" wrapText="1"/>
    </xf>
    <xf numFmtId="49" fontId="66" fillId="16" borderId="1" xfId="1" applyNumberFormat="1" applyFont="1" applyFill="1" applyBorder="1" applyAlignment="1">
      <alignment horizontal="center" vertical="center" wrapText="1"/>
    </xf>
    <xf numFmtId="170" fontId="81" fillId="2" borderId="0" xfId="0" applyNumberFormat="1" applyFont="1" applyFill="1"/>
    <xf numFmtId="0" fontId="68" fillId="0" borderId="0" xfId="1" applyFont="1" applyAlignment="1">
      <alignment horizontal="center" vertical="center" wrapText="1"/>
    </xf>
    <xf numFmtId="44" fontId="20" fillId="0" borderId="1" xfId="17" applyFont="1" applyBorder="1" applyAlignment="1">
      <alignment horizontal="right" vertical="center" wrapText="1"/>
    </xf>
    <xf numFmtId="0" fontId="20" fillId="0" borderId="1" xfId="1" applyFont="1" applyBorder="1" applyAlignment="1">
      <alignment horizontal="right" vertical="center" wrapText="1"/>
    </xf>
    <xf numFmtId="9" fontId="20" fillId="0" borderId="1" xfId="10" applyFont="1" applyBorder="1" applyAlignment="1">
      <alignment horizontal="center" vertical="center" wrapText="1"/>
    </xf>
    <xf numFmtId="0" fontId="20" fillId="0" borderId="37" xfId="1" applyFont="1" applyBorder="1" applyAlignment="1">
      <alignment horizontal="center" vertical="center" wrapText="1"/>
    </xf>
    <xf numFmtId="44" fontId="20" fillId="0" borderId="27" xfId="17" applyFont="1" applyBorder="1" applyAlignment="1">
      <alignment horizontal="right" vertical="center" wrapText="1"/>
    </xf>
    <xf numFmtId="0" fontId="20" fillId="0" borderId="27" xfId="1" applyFont="1" applyBorder="1" applyAlignment="1">
      <alignment horizontal="right" vertical="center" wrapText="1"/>
    </xf>
    <xf numFmtId="0" fontId="20" fillId="0" borderId="70" xfId="1" applyFont="1" applyBorder="1" applyAlignment="1">
      <alignment horizontal="center" vertical="center" wrapText="1"/>
    </xf>
    <xf numFmtId="44" fontId="20" fillId="0" borderId="1" xfId="17" applyFont="1" applyFill="1" applyBorder="1" applyAlignment="1">
      <alignment horizontal="right" vertical="center" wrapText="1"/>
    </xf>
    <xf numFmtId="9" fontId="20" fillId="0" borderId="1" xfId="10" applyFont="1" applyFill="1" applyBorder="1" applyAlignment="1">
      <alignment horizontal="center" vertical="center" wrapText="1"/>
    </xf>
    <xf numFmtId="9" fontId="20" fillId="0" borderId="27" xfId="10" applyFont="1" applyBorder="1" applyAlignment="1">
      <alignment horizontal="center" vertical="center" wrapText="1"/>
    </xf>
    <xf numFmtId="0" fontId="0" fillId="0" borderId="8" xfId="0" applyBorder="1"/>
    <xf numFmtId="0" fontId="0" fillId="0" borderId="17" xfId="0" applyBorder="1"/>
    <xf numFmtId="0" fontId="12" fillId="0" borderId="0" xfId="1" applyFont="1" applyAlignment="1">
      <alignment horizontal="center" vertical="center" wrapText="1"/>
    </xf>
    <xf numFmtId="0" fontId="18" fillId="0" borderId="6" xfId="4" applyFont="1" applyBorder="1"/>
    <xf numFmtId="0" fontId="70" fillId="0" borderId="0" xfId="5" applyFont="1" applyAlignment="1">
      <alignment vertical="center" wrapText="1"/>
    </xf>
    <xf numFmtId="0" fontId="68" fillId="0" borderId="0" xfId="1" applyFont="1" applyAlignment="1">
      <alignment horizontal="center" vertical="center"/>
    </xf>
    <xf numFmtId="0" fontId="68" fillId="0" borderId="0" xfId="1" applyFont="1" applyAlignment="1">
      <alignment vertical="center"/>
    </xf>
    <xf numFmtId="0" fontId="68" fillId="0" borderId="6" xfId="1" applyFont="1" applyBorder="1" applyAlignment="1">
      <alignment vertical="center"/>
    </xf>
    <xf numFmtId="0" fontId="68" fillId="0" borderId="55" xfId="1" applyFont="1" applyBorder="1" applyAlignment="1">
      <alignment vertical="center"/>
    </xf>
    <xf numFmtId="0" fontId="68" fillId="0" borderId="18" xfId="1" applyFont="1" applyBorder="1" applyAlignment="1">
      <alignment vertical="center"/>
    </xf>
    <xf numFmtId="168" fontId="3" fillId="0" borderId="0" xfId="1" applyNumberFormat="1" applyFont="1" applyAlignment="1">
      <alignment horizontal="center" vertical="center" wrapText="1"/>
    </xf>
    <xf numFmtId="0" fontId="75" fillId="0" borderId="0" xfId="1" applyFont="1" applyAlignment="1">
      <alignment horizontal="center" vertical="center" wrapText="1"/>
    </xf>
    <xf numFmtId="169" fontId="18" fillId="0" borderId="0" xfId="1" applyNumberFormat="1" applyFont="1" applyAlignment="1">
      <alignment horizontal="center" vertical="center" wrapText="1"/>
    </xf>
    <xf numFmtId="0" fontId="76" fillId="0" borderId="0" xfId="1" applyFont="1" applyAlignment="1">
      <alignment horizontal="center" vertical="center" wrapText="1"/>
    </xf>
    <xf numFmtId="0" fontId="18" fillId="0" borderId="0" xfId="4" applyFont="1"/>
    <xf numFmtId="0" fontId="1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49" fontId="0" fillId="0" borderId="0" xfId="0" applyNumberFormat="1"/>
    <xf numFmtId="49" fontId="0" fillId="0" borderId="8" xfId="0" applyNumberFormat="1" applyBorder="1"/>
    <xf numFmtId="49" fontId="69" fillId="4" borderId="14" xfId="4" applyNumberFormat="1" applyFont="1" applyFill="1" applyBorder="1" applyAlignment="1">
      <alignment horizontal="center" vertical="center"/>
    </xf>
    <xf numFmtId="49" fontId="20" fillId="0" borderId="1" xfId="1" applyNumberFormat="1" applyFont="1" applyBorder="1" applyAlignment="1">
      <alignment horizontal="center" vertical="center" wrapText="1"/>
    </xf>
    <xf numFmtId="49" fontId="20" fillId="0" borderId="27" xfId="1" applyNumberFormat="1" applyFont="1" applyBorder="1" applyAlignment="1">
      <alignment horizontal="center" vertical="center" wrapText="1"/>
    </xf>
    <xf numFmtId="49" fontId="0" fillId="0" borderId="17" xfId="0" applyNumberFormat="1" applyBorder="1"/>
    <xf numFmtId="49" fontId="68" fillId="8" borderId="0" xfId="1" applyNumberFormat="1" applyFont="1" applyFill="1" applyAlignment="1">
      <alignment vertical="center"/>
    </xf>
    <xf numFmtId="49" fontId="2" fillId="0" borderId="51" xfId="4" applyNumberFormat="1" applyBorder="1" applyAlignment="1">
      <alignment horizontal="center" vertical="center" wrapText="1"/>
    </xf>
    <xf numFmtId="49" fontId="2" fillId="0" borderId="35" xfId="4" applyNumberForma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49" fontId="47" fillId="24" borderId="3" xfId="1" applyNumberFormat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wrapText="1"/>
    </xf>
    <xf numFmtId="49" fontId="50" fillId="16" borderId="29" xfId="1" applyNumberFormat="1" applyFont="1" applyFill="1" applyBorder="1" applyAlignment="1">
      <alignment horizontal="center" vertical="center" wrapText="1"/>
    </xf>
    <xf numFmtId="0" fontId="2" fillId="2" borderId="6" xfId="1" applyFill="1" applyBorder="1" applyAlignment="1">
      <alignment wrapText="1"/>
    </xf>
    <xf numFmtId="0" fontId="7" fillId="2" borderId="6" xfId="1" applyFont="1" applyFill="1" applyBorder="1" applyAlignment="1">
      <alignment horizontal="center" vertical="center" wrapText="1"/>
    </xf>
    <xf numFmtId="49" fontId="77" fillId="16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textRotation="90"/>
    </xf>
    <xf numFmtId="0" fontId="86" fillId="0" borderId="6" xfId="1" applyFont="1" applyBorder="1" applyAlignment="1">
      <alignment horizontal="center" vertical="center" wrapText="1"/>
    </xf>
    <xf numFmtId="0" fontId="90" fillId="0" borderId="45" xfId="1" applyFont="1" applyBorder="1" applyAlignment="1">
      <alignment horizontal="center" vertical="center" wrapText="1"/>
    </xf>
    <xf numFmtId="0" fontId="86" fillId="0" borderId="45" xfId="1" applyFont="1" applyBorder="1" applyAlignment="1">
      <alignment horizontal="center" vertical="center" wrapText="1"/>
    </xf>
    <xf numFmtId="49" fontId="7" fillId="5" borderId="1" xfId="1" applyNumberFormat="1" applyFont="1" applyFill="1" applyBorder="1" applyAlignment="1">
      <alignment horizontal="center" vertical="center" wrapText="1"/>
    </xf>
    <xf numFmtId="49" fontId="7" fillId="6" borderId="1" xfId="1" applyNumberFormat="1" applyFont="1" applyFill="1" applyBorder="1" applyAlignment="1">
      <alignment horizontal="center" vertical="center" wrapText="1"/>
    </xf>
    <xf numFmtId="0" fontId="94" fillId="2" borderId="45" xfId="1" applyFont="1" applyFill="1" applyBorder="1" applyAlignment="1">
      <alignment horizontal="center" vertical="center" wrapText="1"/>
    </xf>
    <xf numFmtId="0" fontId="44" fillId="0" borderId="1" xfId="1" applyFont="1" applyBorder="1" applyAlignment="1">
      <alignment horizontal="center" vertical="center" wrapText="1"/>
    </xf>
    <xf numFmtId="0" fontId="55" fillId="0" borderId="6" xfId="1" applyFont="1" applyBorder="1" applyAlignment="1">
      <alignment horizontal="center" vertical="center" wrapText="1"/>
    </xf>
    <xf numFmtId="0" fontId="41" fillId="0" borderId="0" xfId="1" applyFont="1" applyAlignment="1">
      <alignment vertical="center" wrapText="1"/>
    </xf>
    <xf numFmtId="0" fontId="54" fillId="0" borderId="2" xfId="1" applyFont="1" applyBorder="1" applyAlignment="1">
      <alignment horizontal="center" vertical="center" wrapText="1"/>
    </xf>
    <xf numFmtId="165" fontId="8" fillId="0" borderId="1" xfId="1" applyNumberFormat="1" applyFont="1" applyBorder="1" applyAlignment="1">
      <alignment vertical="center" wrapText="1"/>
    </xf>
    <xf numFmtId="0" fontId="10" fillId="0" borderId="1" xfId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49" fontId="44" fillId="0" borderId="1" xfId="1" applyNumberFormat="1" applyFont="1" applyBorder="1" applyAlignment="1">
      <alignment horizontal="center" vertical="center" wrapText="1"/>
    </xf>
    <xf numFmtId="49" fontId="50" fillId="16" borderId="25" xfId="1" applyNumberFormat="1" applyFont="1" applyFill="1" applyBorder="1" applyAlignment="1">
      <alignment horizontal="center" vertical="center" wrapText="1"/>
    </xf>
    <xf numFmtId="1" fontId="50" fillId="16" borderId="105" xfId="1" applyNumberFormat="1" applyFont="1" applyFill="1" applyBorder="1" applyAlignment="1">
      <alignment horizontal="center" vertical="center" wrapText="1"/>
    </xf>
    <xf numFmtId="0" fontId="53" fillId="2" borderId="0" xfId="1" applyFont="1" applyFill="1" applyAlignment="1">
      <alignment horizontal="center" vertical="center" wrapText="1"/>
    </xf>
    <xf numFmtId="2" fontId="9" fillId="2" borderId="1" xfId="1" applyNumberFormat="1" applyFont="1" applyFill="1" applyBorder="1" applyAlignment="1">
      <alignment horizontal="center" vertical="center" wrapText="1"/>
    </xf>
    <xf numFmtId="49" fontId="9" fillId="2" borderId="1" xfId="10" applyNumberFormat="1" applyFont="1" applyFill="1" applyBorder="1" applyAlignment="1">
      <alignment horizontal="center" vertical="center" wrapText="1"/>
    </xf>
    <xf numFmtId="0" fontId="54" fillId="0" borderId="1" xfId="1" applyFont="1" applyBorder="1" applyAlignment="1">
      <alignment horizontal="center" vertical="center" wrapText="1"/>
    </xf>
    <xf numFmtId="49" fontId="9" fillId="0" borderId="1" xfId="10" applyNumberFormat="1" applyFont="1" applyFill="1" applyBorder="1" applyAlignment="1">
      <alignment horizontal="center" vertical="center" wrapText="1"/>
    </xf>
    <xf numFmtId="0" fontId="2" fillId="0" borderId="0" xfId="1" applyAlignment="1">
      <alignment horizontal="center" wrapText="1"/>
    </xf>
    <xf numFmtId="0" fontId="87" fillId="0" borderId="0" xfId="1" applyFont="1" applyAlignment="1">
      <alignment horizontal="left"/>
    </xf>
    <xf numFmtId="49" fontId="44" fillId="0" borderId="1" xfId="10" applyNumberFormat="1" applyFont="1" applyFill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/>
    </xf>
    <xf numFmtId="0" fontId="68" fillId="0" borderId="47" xfId="1" applyFont="1" applyBorder="1" applyAlignment="1">
      <alignment horizontal="center" vertical="center"/>
    </xf>
    <xf numFmtId="0" fontId="68" fillId="2" borderId="4" xfId="1" applyFont="1" applyFill="1" applyBorder="1" applyAlignment="1">
      <alignment horizontal="center" vertical="center"/>
    </xf>
    <xf numFmtId="0" fontId="68" fillId="2" borderId="16" xfId="1" applyFont="1" applyFill="1" applyBorder="1" applyAlignment="1">
      <alignment horizontal="center" vertical="center"/>
    </xf>
    <xf numFmtId="0" fontId="95" fillId="2" borderId="0" xfId="1" applyFont="1" applyFill="1" applyAlignment="1">
      <alignment wrapText="1"/>
    </xf>
    <xf numFmtId="49" fontId="54" fillId="16" borderId="1" xfId="1" applyNumberFormat="1" applyFont="1" applyFill="1" applyBorder="1" applyAlignment="1">
      <alignment horizontal="center" vertical="center" wrapText="1"/>
    </xf>
    <xf numFmtId="1" fontId="9" fillId="0" borderId="1" xfId="10" applyNumberFormat="1" applyFont="1" applyFill="1" applyBorder="1" applyAlignment="1">
      <alignment horizontal="center" vertical="center" wrapText="1"/>
    </xf>
    <xf numFmtId="0" fontId="56" fillId="2" borderId="0" xfId="1" applyFont="1" applyFill="1" applyAlignment="1">
      <alignment wrapText="1"/>
    </xf>
    <xf numFmtId="165" fontId="11" fillId="0" borderId="3" xfId="1" applyNumberFormat="1" applyFont="1" applyBorder="1" applyAlignment="1">
      <alignment vertical="center" wrapText="1"/>
    </xf>
    <xf numFmtId="0" fontId="73" fillId="2" borderId="0" xfId="1" applyFont="1" applyFill="1" applyAlignment="1">
      <alignment wrapText="1"/>
    </xf>
    <xf numFmtId="2" fontId="44" fillId="0" borderId="0" xfId="1" applyNumberFormat="1" applyFont="1" applyAlignment="1">
      <alignment horizontal="center" vertical="center" wrapText="1"/>
    </xf>
    <xf numFmtId="165" fontId="87" fillId="2" borderId="0" xfId="1" applyNumberFormat="1" applyFont="1" applyFill="1" applyAlignment="1">
      <alignment horizontal="center" vertical="center" wrapText="1"/>
    </xf>
    <xf numFmtId="0" fontId="55" fillId="0" borderId="45" xfId="1" applyFont="1" applyBorder="1" applyAlignment="1">
      <alignment horizontal="center" vertical="center" wrapText="1"/>
    </xf>
    <xf numFmtId="0" fontId="0" fillId="2" borderId="6" xfId="0" applyFill="1" applyBorder="1"/>
    <xf numFmtId="0" fontId="65" fillId="0" borderId="53" xfId="1" applyFont="1" applyBorder="1" applyAlignment="1">
      <alignment horizontal="center" wrapText="1"/>
    </xf>
    <xf numFmtId="0" fontId="49" fillId="0" borderId="53" xfId="1" applyFont="1" applyBorder="1" applyAlignment="1">
      <alignment horizontal="center" vertical="center" wrapText="1"/>
    </xf>
    <xf numFmtId="170" fontId="96" fillId="0" borderId="0" xfId="1" applyNumberFormat="1" applyFont="1" applyAlignment="1">
      <alignment wrapText="1"/>
    </xf>
    <xf numFmtId="0" fontId="0" fillId="0" borderId="4" xfId="0" applyBorder="1" applyAlignment="1">
      <alignment horizontal="center" vertical="center"/>
    </xf>
    <xf numFmtId="0" fontId="18" fillId="0" borderId="47" xfId="1" applyFont="1" applyBorder="1" applyAlignment="1">
      <alignment horizontal="center" vertical="center" wrapText="1"/>
    </xf>
    <xf numFmtId="165" fontId="97" fillId="0" borderId="17" xfId="1" applyNumberFormat="1" applyFont="1" applyBorder="1" applyAlignment="1">
      <alignment horizontal="center" vertical="center" wrapText="1"/>
    </xf>
    <xf numFmtId="165" fontId="87" fillId="0" borderId="0" xfId="1" applyNumberFormat="1" applyFont="1" applyAlignment="1">
      <alignment horizontal="center" vertical="center" wrapText="1"/>
    </xf>
    <xf numFmtId="0" fontId="14" fillId="2" borderId="0" xfId="1" applyFont="1" applyFill="1"/>
    <xf numFmtId="165" fontId="9" fillId="2" borderId="1" xfId="1" applyNumberFormat="1" applyFont="1" applyFill="1" applyBorder="1" applyAlignment="1">
      <alignment horizontal="center" vertical="center" wrapText="1"/>
    </xf>
    <xf numFmtId="0" fontId="98" fillId="0" borderId="45" xfId="1" applyFont="1" applyBorder="1" applyAlignment="1">
      <alignment horizontal="center" vertical="center" wrapText="1"/>
    </xf>
    <xf numFmtId="0" fontId="98" fillId="2" borderId="45" xfId="1" applyFont="1" applyFill="1" applyBorder="1" applyAlignment="1">
      <alignment horizontal="center" vertical="center" wrapText="1"/>
    </xf>
    <xf numFmtId="0" fontId="68" fillId="2" borderId="6" xfId="1" applyFont="1" applyFill="1" applyBorder="1" applyAlignment="1">
      <alignment vertical="center"/>
    </xf>
    <xf numFmtId="0" fontId="44" fillId="0" borderId="54" xfId="1" applyFont="1" applyBorder="1" applyAlignment="1">
      <alignment horizontal="center" vertical="center" wrapText="1"/>
    </xf>
    <xf numFmtId="165" fontId="44" fillId="0" borderId="1" xfId="1" applyNumberFormat="1" applyFont="1" applyBorder="1" applyAlignment="1">
      <alignment vertical="center" wrapText="1"/>
    </xf>
    <xf numFmtId="9" fontId="44" fillId="0" borderId="1" xfId="10" applyFont="1" applyFill="1" applyBorder="1" applyAlignment="1">
      <alignment horizontal="center" vertical="center" wrapText="1"/>
    </xf>
    <xf numFmtId="49" fontId="44" fillId="0" borderId="1" xfId="0" applyNumberFormat="1" applyFont="1" applyBorder="1" applyAlignment="1">
      <alignment horizontal="center" vertical="center"/>
    </xf>
    <xf numFmtId="0" fontId="44" fillId="0" borderId="2" xfId="1" applyFont="1" applyBorder="1" applyAlignment="1">
      <alignment horizontal="center" vertical="center" wrapText="1"/>
    </xf>
    <xf numFmtId="0" fontId="68" fillId="27" borderId="47" xfId="1" applyFont="1" applyFill="1" applyBorder="1" applyAlignment="1">
      <alignment horizontal="center" vertical="center"/>
    </xf>
    <xf numFmtId="0" fontId="20" fillId="27" borderId="1" xfId="1" applyFont="1" applyFill="1" applyBorder="1" applyAlignment="1">
      <alignment horizontal="center" vertical="center" wrapText="1"/>
    </xf>
    <xf numFmtId="44" fontId="20" fillId="27" borderId="1" xfId="17" applyFont="1" applyFill="1" applyBorder="1" applyAlignment="1">
      <alignment horizontal="right" vertical="center" wrapText="1"/>
    </xf>
    <xf numFmtId="0" fontId="20" fillId="27" borderId="1" xfId="1" applyFont="1" applyFill="1" applyBorder="1" applyAlignment="1">
      <alignment horizontal="right" vertical="center" wrapText="1"/>
    </xf>
    <xf numFmtId="9" fontId="20" fillId="27" borderId="1" xfId="10" applyFont="1" applyFill="1" applyBorder="1" applyAlignment="1">
      <alignment horizontal="center" vertical="center" wrapText="1"/>
    </xf>
    <xf numFmtId="49" fontId="20" fillId="27" borderId="1" xfId="1" applyNumberFormat="1" applyFont="1" applyFill="1" applyBorder="1" applyAlignment="1">
      <alignment horizontal="center" vertical="center" wrapText="1"/>
    </xf>
    <xf numFmtId="0" fontId="20" fillId="27" borderId="37" xfId="1" applyFont="1" applyFill="1" applyBorder="1" applyAlignment="1">
      <alignment horizontal="center" vertical="center" wrapText="1"/>
    </xf>
    <xf numFmtId="0" fontId="20" fillId="11" borderId="1" xfId="1" applyFont="1" applyFill="1" applyBorder="1" applyAlignment="1">
      <alignment horizontal="center" vertical="center" wrapText="1"/>
    </xf>
    <xf numFmtId="44" fontId="20" fillId="11" borderId="1" xfId="17" applyFont="1" applyFill="1" applyBorder="1" applyAlignment="1">
      <alignment horizontal="right" vertical="center" wrapText="1"/>
    </xf>
    <xf numFmtId="0" fontId="20" fillId="11" borderId="1" xfId="1" applyFont="1" applyFill="1" applyBorder="1" applyAlignment="1">
      <alignment horizontal="right" vertical="center" wrapText="1"/>
    </xf>
    <xf numFmtId="9" fontId="20" fillId="11" borderId="1" xfId="10" applyFont="1" applyFill="1" applyBorder="1" applyAlignment="1">
      <alignment horizontal="center" vertical="center" wrapText="1"/>
    </xf>
    <xf numFmtId="49" fontId="20" fillId="11" borderId="1" xfId="1" applyNumberFormat="1" applyFont="1" applyFill="1" applyBorder="1" applyAlignment="1">
      <alignment horizontal="center" vertical="center" wrapText="1"/>
    </xf>
    <xf numFmtId="0" fontId="20" fillId="11" borderId="37" xfId="1" applyFont="1" applyFill="1" applyBorder="1" applyAlignment="1">
      <alignment horizontal="center" vertical="center" wrapText="1"/>
    </xf>
    <xf numFmtId="0" fontId="20" fillId="11" borderId="54" xfId="1" applyFont="1" applyFill="1" applyBorder="1" applyAlignment="1">
      <alignment horizontal="center" vertical="center" wrapText="1"/>
    </xf>
    <xf numFmtId="0" fontId="20" fillId="27" borderId="54" xfId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99" fillId="11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9" xfId="0" applyFill="1" applyBorder="1"/>
    <xf numFmtId="0" fontId="0" fillId="2" borderId="18" xfId="0" applyFill="1" applyBorder="1"/>
    <xf numFmtId="0" fontId="18" fillId="0" borderId="7" xfId="1" applyFont="1" applyBorder="1" applyAlignment="1">
      <alignment horizontal="center" vertical="center"/>
    </xf>
    <xf numFmtId="0" fontId="18" fillId="0" borderId="8" xfId="1" applyFont="1" applyBorder="1"/>
    <xf numFmtId="0" fontId="100" fillId="0" borderId="8" xfId="1" applyFont="1" applyBorder="1" applyAlignment="1">
      <alignment horizontal="left" vertical="center" wrapText="1"/>
    </xf>
    <xf numFmtId="0" fontId="18" fillId="0" borderId="8" xfId="1" applyFont="1" applyBorder="1" applyAlignment="1">
      <alignment horizontal="center"/>
    </xf>
    <xf numFmtId="0" fontId="18" fillId="0" borderId="28" xfId="1" applyFont="1" applyBorder="1" applyAlignment="1">
      <alignment horizontal="center"/>
    </xf>
    <xf numFmtId="0" fontId="18" fillId="0" borderId="9" xfId="4" applyFont="1" applyBorder="1"/>
    <xf numFmtId="0" fontId="34" fillId="4" borderId="10" xfId="1" applyFont="1" applyFill="1" applyBorder="1" applyAlignment="1">
      <alignment horizontal="center" vertical="center"/>
    </xf>
    <xf numFmtId="0" fontId="34" fillId="4" borderId="11" xfId="1" applyFont="1" applyFill="1" applyBorder="1" applyAlignment="1">
      <alignment horizontal="center" vertical="center"/>
    </xf>
    <xf numFmtId="0" fontId="34" fillId="4" borderId="12" xfId="1" applyFont="1" applyFill="1" applyBorder="1" applyAlignment="1">
      <alignment horizontal="center" vertical="center"/>
    </xf>
    <xf numFmtId="167" fontId="34" fillId="4" borderId="14" xfId="1" applyNumberFormat="1" applyFont="1" applyFill="1" applyBorder="1" applyAlignment="1">
      <alignment horizontal="center" vertical="center" wrapText="1"/>
    </xf>
    <xf numFmtId="0" fontId="34" fillId="4" borderId="13" xfId="1" applyFont="1" applyFill="1" applyBorder="1" applyAlignment="1">
      <alignment horizontal="center" vertical="center" wrapText="1"/>
    </xf>
    <xf numFmtId="167" fontId="34" fillId="4" borderId="13" xfId="1" applyNumberFormat="1" applyFont="1" applyFill="1" applyBorder="1" applyAlignment="1">
      <alignment horizontal="center" vertical="center" wrapText="1"/>
    </xf>
    <xf numFmtId="0" fontId="103" fillId="4" borderId="14" xfId="4" applyFont="1" applyFill="1" applyBorder="1" applyAlignment="1">
      <alignment horizontal="center" vertical="center" wrapText="1"/>
    </xf>
    <xf numFmtId="0" fontId="103" fillId="4" borderId="14" xfId="4" applyFont="1" applyFill="1" applyBorder="1" applyAlignment="1">
      <alignment horizontal="center" vertical="center"/>
    </xf>
    <xf numFmtId="0" fontId="103" fillId="4" borderId="31" xfId="4" applyFont="1" applyFill="1" applyBorder="1" applyAlignment="1">
      <alignment horizontal="center" vertical="center" wrapText="1"/>
    </xf>
    <xf numFmtId="0" fontId="104" fillId="0" borderId="4" xfId="0" applyFont="1" applyBorder="1"/>
    <xf numFmtId="0" fontId="3" fillId="0" borderId="4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4" fontId="3" fillId="0" borderId="1" xfId="17" applyFont="1" applyFill="1" applyBorder="1" applyAlignment="1">
      <alignment horizontal="center" vertical="center" wrapText="1"/>
    </xf>
    <xf numFmtId="44" fontId="3" fillId="0" borderId="1" xfId="17" applyFont="1" applyFill="1" applyBorder="1" applyAlignment="1">
      <alignment horizontal="right" vertical="center" wrapText="1"/>
    </xf>
    <xf numFmtId="0" fontId="3" fillId="0" borderId="1" xfId="1" applyFont="1" applyBorder="1" applyAlignment="1">
      <alignment horizontal="right" vertical="center" wrapText="1"/>
    </xf>
    <xf numFmtId="164" fontId="3" fillId="0" borderId="60" xfId="1" applyNumberFormat="1" applyFont="1" applyBorder="1" applyAlignment="1">
      <alignment horizontal="center" vertical="center" wrapText="1"/>
    </xf>
    <xf numFmtId="9" fontId="3" fillId="0" borderId="1" xfId="10" applyFont="1" applyFill="1" applyBorder="1" applyAlignment="1">
      <alignment horizontal="center" vertical="center" wrapText="1"/>
    </xf>
    <xf numFmtId="0" fontId="70" fillId="0" borderId="1" xfId="5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0" fontId="104" fillId="2" borderId="6" xfId="0" applyFont="1" applyFill="1" applyBorder="1"/>
    <xf numFmtId="0" fontId="104" fillId="2" borderId="0" xfId="0" applyFont="1" applyFill="1"/>
    <xf numFmtId="0" fontId="104" fillId="0" borderId="4" xfId="0" applyFont="1" applyBorder="1" applyAlignment="1">
      <alignment horizontal="center" vertical="center"/>
    </xf>
    <xf numFmtId="0" fontId="3" fillId="0" borderId="37" xfId="1" applyFont="1" applyBorder="1" applyAlignment="1">
      <alignment horizontal="center" vertical="center" wrapText="1"/>
    </xf>
    <xf numFmtId="0" fontId="104" fillId="0" borderId="6" xfId="0" applyFont="1" applyBorder="1"/>
    <xf numFmtId="0" fontId="104" fillId="0" borderId="0" xfId="0" applyFont="1"/>
    <xf numFmtId="0" fontId="3" fillId="0" borderId="75" xfId="1" applyFont="1" applyBorder="1" applyAlignment="1">
      <alignment horizontal="center" vertical="center" wrapText="1"/>
    </xf>
    <xf numFmtId="0" fontId="18" fillId="0" borderId="60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164" fontId="3" fillId="0" borderId="33" xfId="1" applyNumberFormat="1" applyFont="1" applyBorder="1" applyAlignment="1">
      <alignment horizontal="center" vertical="center" wrapText="1"/>
    </xf>
    <xf numFmtId="9" fontId="3" fillId="0" borderId="60" xfId="6" applyFont="1" applyFill="1" applyBorder="1" applyAlignment="1">
      <alignment horizontal="center" vertical="center" wrapText="1"/>
    </xf>
    <xf numFmtId="0" fontId="70" fillId="0" borderId="51" xfId="5" applyFont="1" applyBorder="1" applyAlignment="1">
      <alignment horizontal="center" vertical="center" wrapText="1"/>
    </xf>
    <xf numFmtId="1" fontId="18" fillId="0" borderId="5" xfId="4" applyNumberFormat="1" applyFont="1" applyBorder="1" applyAlignment="1">
      <alignment horizontal="center" vertical="center" wrapText="1"/>
    </xf>
    <xf numFmtId="0" fontId="70" fillId="0" borderId="58" xfId="5" applyFont="1" applyBorder="1" applyAlignment="1">
      <alignment horizontal="center" vertical="center" wrapText="1"/>
    </xf>
    <xf numFmtId="0" fontId="3" fillId="0" borderId="68" xfId="1" applyFont="1" applyBorder="1" applyAlignment="1">
      <alignment horizontal="center" vertical="center" wrapText="1"/>
    </xf>
    <xf numFmtId="0" fontId="18" fillId="0" borderId="69" xfId="1" applyFont="1" applyBorder="1" applyAlignment="1">
      <alignment horizontal="center" vertical="center" wrapText="1"/>
    </xf>
    <xf numFmtId="0" fontId="3" fillId="0" borderId="69" xfId="1" applyFont="1" applyBorder="1" applyAlignment="1">
      <alignment horizontal="center" vertical="center" wrapText="1"/>
    </xf>
    <xf numFmtId="164" fontId="3" fillId="0" borderId="69" xfId="1" applyNumberFormat="1" applyFont="1" applyBorder="1" applyAlignment="1">
      <alignment horizontal="center" vertical="center" wrapText="1"/>
    </xf>
    <xf numFmtId="9" fontId="3" fillId="0" borderId="69" xfId="6" applyFont="1" applyFill="1" applyBorder="1" applyAlignment="1">
      <alignment horizontal="center" vertical="center" wrapText="1"/>
    </xf>
    <xf numFmtId="0" fontId="70" fillId="0" borderId="69" xfId="5" applyFont="1" applyBorder="1" applyAlignment="1">
      <alignment horizontal="center" vertical="center" wrapText="1"/>
    </xf>
    <xf numFmtId="1" fontId="18" fillId="0" borderId="27" xfId="4" applyNumberFormat="1" applyFont="1" applyBorder="1" applyAlignment="1">
      <alignment horizontal="center" vertical="center" wrapText="1"/>
    </xf>
    <xf numFmtId="0" fontId="70" fillId="0" borderId="70" xfId="5" applyFont="1" applyBorder="1" applyAlignment="1">
      <alignment horizontal="center" vertical="center" wrapText="1"/>
    </xf>
    <xf numFmtId="0" fontId="3" fillId="0" borderId="79" xfId="1" applyFont="1" applyBorder="1" applyAlignment="1">
      <alignment horizontal="center" vertical="center" wrapText="1"/>
    </xf>
    <xf numFmtId="0" fontId="18" fillId="0" borderId="33" xfId="1" applyFont="1" applyBorder="1" applyAlignment="1">
      <alignment horizontal="center" vertical="center" wrapText="1"/>
    </xf>
    <xf numFmtId="164" fontId="3" fillId="0" borderId="80" xfId="1" applyNumberFormat="1" applyFont="1" applyBorder="1" applyAlignment="1">
      <alignment horizontal="center" vertical="center" wrapText="1"/>
    </xf>
    <xf numFmtId="9" fontId="3" fillId="0" borderId="33" xfId="6" applyFont="1" applyFill="1" applyBorder="1" applyAlignment="1">
      <alignment horizontal="center" vertical="center" wrapText="1"/>
    </xf>
    <xf numFmtId="0" fontId="70" fillId="0" borderId="81" xfId="5" applyFont="1" applyBorder="1" applyAlignment="1">
      <alignment horizontal="center" vertical="center" wrapText="1"/>
    </xf>
    <xf numFmtId="0" fontId="70" fillId="0" borderId="33" xfId="5" applyFont="1" applyBorder="1" applyAlignment="1">
      <alignment horizontal="center" vertical="center" wrapText="1"/>
    </xf>
    <xf numFmtId="1" fontId="18" fillId="0" borderId="57" xfId="4" applyNumberFormat="1" applyFont="1" applyBorder="1" applyAlignment="1">
      <alignment horizontal="center" vertical="center" wrapText="1"/>
    </xf>
    <xf numFmtId="164" fontId="3" fillId="0" borderId="82" xfId="1" applyNumberFormat="1" applyFont="1" applyBorder="1" applyAlignment="1">
      <alignment horizontal="center" vertical="center" wrapText="1"/>
    </xf>
    <xf numFmtId="9" fontId="3" fillId="0" borderId="82" xfId="6" applyFont="1" applyFill="1" applyBorder="1" applyAlignment="1">
      <alignment horizontal="center" vertical="center" wrapText="1"/>
    </xf>
    <xf numFmtId="0" fontId="70" fillId="0" borderId="83" xfId="5" applyFont="1" applyBorder="1" applyAlignment="1">
      <alignment horizontal="center" vertical="center" wrapText="1"/>
    </xf>
    <xf numFmtId="0" fontId="70" fillId="0" borderId="27" xfId="5" applyFont="1" applyBorder="1" applyAlignment="1">
      <alignment horizontal="center" vertical="center" wrapText="1"/>
    </xf>
    <xf numFmtId="0" fontId="3" fillId="0" borderId="60" xfId="1" applyFont="1" applyBorder="1" applyAlignment="1">
      <alignment horizontal="center" vertical="center" wrapText="1"/>
    </xf>
    <xf numFmtId="0" fontId="70" fillId="0" borderId="60" xfId="5" applyFont="1" applyBorder="1" applyAlignment="1">
      <alignment horizontal="center" vertical="center" wrapText="1"/>
    </xf>
    <xf numFmtId="0" fontId="3" fillId="0" borderId="59" xfId="1" applyFont="1" applyBorder="1" applyAlignment="1">
      <alignment horizontal="center" vertical="center" wrapText="1"/>
    </xf>
    <xf numFmtId="0" fontId="70" fillId="0" borderId="85" xfId="5" applyFont="1" applyBorder="1" applyAlignment="1">
      <alignment horizontal="center" vertical="center" wrapText="1"/>
    </xf>
    <xf numFmtId="1" fontId="18" fillId="0" borderId="56" xfId="4" applyNumberFormat="1" applyFont="1" applyBorder="1" applyAlignment="1">
      <alignment horizontal="center" vertical="center" wrapText="1"/>
    </xf>
    <xf numFmtId="0" fontId="3" fillId="0" borderId="34" xfId="1" applyFont="1" applyBorder="1" applyAlignment="1">
      <alignment horizontal="center" vertical="center" wrapText="1"/>
    </xf>
    <xf numFmtId="0" fontId="18" fillId="0" borderId="20" xfId="1" applyFont="1" applyBorder="1" applyAlignment="1">
      <alignment horizontal="center" vertical="center" wrapText="1"/>
    </xf>
    <xf numFmtId="0" fontId="3" fillId="0" borderId="35" xfId="1" applyFont="1" applyBorder="1" applyAlignment="1">
      <alignment horizontal="center" vertical="center" wrapText="1"/>
    </xf>
    <xf numFmtId="164" fontId="3" fillId="0" borderId="35" xfId="1" applyNumberFormat="1" applyFont="1" applyBorder="1" applyAlignment="1">
      <alignment horizontal="center" vertical="center" wrapText="1"/>
    </xf>
    <xf numFmtId="164" fontId="3" fillId="0" borderId="20" xfId="1" applyNumberFormat="1" applyFont="1" applyBorder="1" applyAlignment="1">
      <alignment horizontal="center" vertical="center" wrapText="1"/>
    </xf>
    <xf numFmtId="9" fontId="3" fillId="0" borderId="20" xfId="6" applyFont="1" applyFill="1" applyBorder="1" applyAlignment="1">
      <alignment horizontal="center" vertical="center" wrapText="1"/>
    </xf>
    <xf numFmtId="0" fontId="70" fillId="0" borderId="20" xfId="5" applyFont="1" applyBorder="1" applyAlignment="1">
      <alignment horizontal="center" vertical="center" wrapText="1"/>
    </xf>
    <xf numFmtId="0" fontId="70" fillId="0" borderId="71" xfId="5" applyFont="1" applyBorder="1" applyAlignment="1">
      <alignment horizontal="center" vertical="center" wrapText="1"/>
    </xf>
    <xf numFmtId="1" fontId="18" fillId="0" borderId="8" xfId="4" applyNumberFormat="1" applyFont="1" applyBorder="1" applyAlignment="1">
      <alignment horizontal="center" vertical="center" wrapText="1"/>
    </xf>
    <xf numFmtId="0" fontId="70" fillId="0" borderId="37" xfId="5" applyFont="1" applyBorder="1" applyAlignment="1">
      <alignment horizontal="center" vertical="center" wrapText="1"/>
    </xf>
    <xf numFmtId="0" fontId="70" fillId="0" borderId="82" xfId="5" applyFont="1" applyBorder="1" applyAlignment="1">
      <alignment horizontal="center" vertical="center" wrapText="1"/>
    </xf>
    <xf numFmtId="1" fontId="18" fillId="0" borderId="28" xfId="4" applyNumberFormat="1" applyFont="1" applyBorder="1" applyAlignment="1">
      <alignment horizontal="center" vertical="center" wrapText="1"/>
    </xf>
    <xf numFmtId="9" fontId="3" fillId="0" borderId="35" xfId="6" applyFont="1" applyFill="1" applyBorder="1" applyAlignment="1">
      <alignment horizontal="center" vertical="center" wrapText="1"/>
    </xf>
    <xf numFmtId="1" fontId="18" fillId="0" borderId="51" xfId="4" applyNumberFormat="1" applyFont="1" applyBorder="1" applyAlignment="1">
      <alignment horizontal="center" vertical="center" wrapText="1"/>
    </xf>
    <xf numFmtId="164" fontId="3" fillId="0" borderId="61" xfId="1" applyNumberFormat="1" applyFont="1" applyBorder="1" applyAlignment="1">
      <alignment horizontal="center" vertical="center" wrapText="1"/>
    </xf>
    <xf numFmtId="9" fontId="3" fillId="0" borderId="61" xfId="6" applyFont="1" applyFill="1" applyBorder="1" applyAlignment="1">
      <alignment horizontal="center" vertical="center" wrapText="1"/>
    </xf>
    <xf numFmtId="1" fontId="18" fillId="0" borderId="69" xfId="4" applyNumberFormat="1" applyFont="1" applyBorder="1" applyAlignment="1">
      <alignment horizontal="center" vertical="center" wrapText="1"/>
    </xf>
    <xf numFmtId="0" fontId="3" fillId="0" borderId="98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3" fillId="0" borderId="100" xfId="1" applyFont="1" applyBorder="1" applyAlignment="1">
      <alignment horizontal="center" vertical="center" wrapText="1"/>
    </xf>
    <xf numFmtId="164" fontId="3" fillId="0" borderId="51" xfId="1" applyNumberFormat="1" applyFont="1" applyBorder="1" applyAlignment="1">
      <alignment horizontal="center" vertical="center" wrapText="1"/>
    </xf>
    <xf numFmtId="9" fontId="3" fillId="0" borderId="101" xfId="6" applyFont="1" applyFill="1" applyBorder="1" applyAlignment="1">
      <alignment horizontal="center" vertical="center" wrapText="1"/>
    </xf>
    <xf numFmtId="1" fontId="18" fillId="0" borderId="17" xfId="4" applyNumberFormat="1" applyFont="1" applyBorder="1" applyAlignment="1">
      <alignment horizontal="center" vertical="center" wrapText="1"/>
    </xf>
    <xf numFmtId="1" fontId="18" fillId="0" borderId="1" xfId="4" applyNumberFormat="1" applyFont="1" applyBorder="1" applyAlignment="1">
      <alignment horizontal="center" vertical="center" wrapText="1"/>
    </xf>
    <xf numFmtId="0" fontId="70" fillId="0" borderId="77" xfId="5" applyFont="1" applyBorder="1" applyAlignment="1">
      <alignment horizontal="center" vertical="center" wrapText="1"/>
    </xf>
    <xf numFmtId="0" fontId="3" fillId="0" borderId="99" xfId="1" applyFont="1" applyBorder="1" applyAlignment="1">
      <alignment horizontal="center" vertical="center" wrapText="1"/>
    </xf>
    <xf numFmtId="0" fontId="3" fillId="0" borderId="91" xfId="1" applyFont="1" applyBorder="1" applyAlignment="1">
      <alignment horizontal="center" vertical="center" wrapText="1"/>
    </xf>
    <xf numFmtId="9" fontId="3" fillId="0" borderId="102" xfId="6" applyFont="1" applyFill="1" applyBorder="1" applyAlignment="1">
      <alignment horizontal="center" vertical="center" wrapText="1"/>
    </xf>
    <xf numFmtId="1" fontId="18" fillId="0" borderId="103" xfId="4" applyNumberFormat="1" applyFont="1" applyBorder="1" applyAlignment="1">
      <alignment horizontal="center" vertical="center" wrapText="1"/>
    </xf>
    <xf numFmtId="0" fontId="3" fillId="2" borderId="98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3" fillId="2" borderId="100" xfId="1" applyFont="1" applyFill="1" applyBorder="1" applyAlignment="1">
      <alignment horizontal="center" vertical="center" wrapText="1"/>
    </xf>
    <xf numFmtId="164" fontId="3" fillId="2" borderId="51" xfId="1" applyNumberFormat="1" applyFont="1" applyFill="1" applyBorder="1" applyAlignment="1">
      <alignment horizontal="center" vertical="center" wrapText="1"/>
    </xf>
    <xf numFmtId="9" fontId="3" fillId="2" borderId="101" xfId="6" applyFont="1" applyFill="1" applyBorder="1" applyAlignment="1">
      <alignment horizontal="center" vertical="center" wrapText="1"/>
    </xf>
    <xf numFmtId="0" fontId="70" fillId="2" borderId="1" xfId="5" applyFont="1" applyFill="1" applyBorder="1" applyAlignment="1">
      <alignment horizontal="center" vertical="center" wrapText="1"/>
    </xf>
    <xf numFmtId="1" fontId="18" fillId="2" borderId="17" xfId="4" applyNumberFormat="1" applyFont="1" applyFill="1" applyBorder="1" applyAlignment="1">
      <alignment horizontal="center" vertical="center" wrapText="1"/>
    </xf>
    <xf numFmtId="1" fontId="18" fillId="2" borderId="1" xfId="4" applyNumberFormat="1" applyFont="1" applyFill="1" applyBorder="1" applyAlignment="1">
      <alignment horizontal="center" vertical="center" wrapText="1"/>
    </xf>
    <xf numFmtId="0" fontId="70" fillId="2" borderId="77" xfId="5" applyFont="1" applyFill="1" applyBorder="1" applyAlignment="1">
      <alignment horizontal="center" vertical="center" wrapText="1"/>
    </xf>
    <xf numFmtId="0" fontId="3" fillId="0" borderId="39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164" fontId="3" fillId="0" borderId="19" xfId="1" applyNumberFormat="1" applyFont="1" applyBorder="1" applyAlignment="1">
      <alignment horizontal="center" vertical="center" wrapText="1"/>
    </xf>
    <xf numFmtId="0" fontId="70" fillId="0" borderId="35" xfId="5" applyFont="1" applyBorder="1" applyAlignment="1">
      <alignment horizontal="center" vertical="center" wrapText="1"/>
    </xf>
    <xf numFmtId="1" fontId="18" fillId="0" borderId="36" xfId="4" applyNumberFormat="1" applyFont="1" applyBorder="1" applyAlignment="1">
      <alignment horizontal="center" vertical="center" wrapText="1"/>
    </xf>
    <xf numFmtId="0" fontId="18" fillId="0" borderId="59" xfId="1" applyFont="1" applyBorder="1" applyAlignment="1">
      <alignment horizontal="center" vertical="center" wrapText="1"/>
    </xf>
    <xf numFmtId="164" fontId="3" fillId="0" borderId="57" xfId="1" applyNumberFormat="1" applyFont="1" applyBorder="1" applyAlignment="1">
      <alignment horizontal="center" vertical="center" wrapText="1"/>
    </xf>
    <xf numFmtId="0" fontId="70" fillId="0" borderId="57" xfId="5" applyFont="1" applyBorder="1" applyAlignment="1">
      <alignment horizontal="center" vertical="center" wrapText="1"/>
    </xf>
    <xf numFmtId="1" fontId="18" fillId="0" borderId="72" xfId="4" applyNumberFormat="1" applyFont="1" applyBorder="1" applyAlignment="1">
      <alignment horizontal="center" vertical="center" wrapText="1"/>
    </xf>
    <xf numFmtId="0" fontId="18" fillId="0" borderId="66" xfId="1" applyFont="1" applyBorder="1" applyAlignment="1">
      <alignment horizontal="center" vertical="center" wrapText="1"/>
    </xf>
    <xf numFmtId="0" fontId="18" fillId="0" borderId="61" xfId="1" applyFont="1" applyBorder="1" applyAlignment="1">
      <alignment horizontal="center" vertical="center" wrapText="1"/>
    </xf>
    <xf numFmtId="0" fontId="3" fillId="0" borderId="61" xfId="1" applyFont="1" applyBorder="1" applyAlignment="1">
      <alignment horizontal="center" vertical="center" wrapText="1"/>
    </xf>
    <xf numFmtId="164" fontId="3" fillId="0" borderId="62" xfId="1" applyNumberFormat="1" applyFont="1" applyBorder="1" applyAlignment="1">
      <alignment horizontal="center" vertical="center" wrapText="1"/>
    </xf>
    <xf numFmtId="164" fontId="3" fillId="0" borderId="27" xfId="1" applyNumberFormat="1" applyFont="1" applyBorder="1" applyAlignment="1">
      <alignment horizontal="center" vertical="center" wrapText="1"/>
    </xf>
    <xf numFmtId="1" fontId="18" fillId="0" borderId="73" xfId="4" applyNumberFormat="1" applyFont="1" applyBorder="1" applyAlignment="1">
      <alignment horizontal="center" vertical="center" wrapText="1"/>
    </xf>
    <xf numFmtId="0" fontId="70" fillId="0" borderId="63" xfId="5" applyFont="1" applyBorder="1" applyAlignment="1">
      <alignment horizontal="center" vertical="center" wrapText="1"/>
    </xf>
    <xf numFmtId="0" fontId="3" fillId="0" borderId="38" xfId="1" applyFont="1" applyBorder="1" applyAlignment="1">
      <alignment horizontal="center" vertical="center" wrapText="1"/>
    </xf>
    <xf numFmtId="1" fontId="18" fillId="0" borderId="65" xfId="4" applyNumberFormat="1" applyFont="1" applyBorder="1" applyAlignment="1">
      <alignment horizontal="center" vertical="center" wrapText="1"/>
    </xf>
    <xf numFmtId="1" fontId="18" fillId="0" borderId="20" xfId="4" applyNumberFormat="1" applyFont="1" applyBorder="1" applyAlignment="1">
      <alignment horizontal="center" vertical="center" wrapText="1"/>
    </xf>
    <xf numFmtId="0" fontId="70" fillId="0" borderId="74" xfId="5" applyFont="1" applyBorder="1" applyAlignment="1">
      <alignment horizontal="center" vertical="center" wrapText="1"/>
    </xf>
    <xf numFmtId="0" fontId="3" fillId="27" borderId="38" xfId="1" applyFont="1" applyFill="1" applyBorder="1" applyAlignment="1">
      <alignment horizontal="center" vertical="center" wrapText="1"/>
    </xf>
    <xf numFmtId="0" fontId="18" fillId="27" borderId="20" xfId="1" applyFont="1" applyFill="1" applyBorder="1" applyAlignment="1">
      <alignment horizontal="center" vertical="center" wrapText="1"/>
    </xf>
    <xf numFmtId="0" fontId="3" fillId="27" borderId="20" xfId="1" applyFont="1" applyFill="1" applyBorder="1" applyAlignment="1">
      <alignment horizontal="center" vertical="center" wrapText="1"/>
    </xf>
    <xf numFmtId="164" fontId="3" fillId="27" borderId="20" xfId="1" applyNumberFormat="1" applyFont="1" applyFill="1" applyBorder="1" applyAlignment="1">
      <alignment horizontal="center" vertical="center" wrapText="1"/>
    </xf>
    <xf numFmtId="9" fontId="3" fillId="27" borderId="20" xfId="6" applyFont="1" applyFill="1" applyBorder="1" applyAlignment="1">
      <alignment horizontal="center" vertical="center" wrapText="1"/>
    </xf>
    <xf numFmtId="0" fontId="70" fillId="27" borderId="20" xfId="5" applyFont="1" applyFill="1" applyBorder="1" applyAlignment="1">
      <alignment horizontal="center" vertical="center" wrapText="1"/>
    </xf>
    <xf numFmtId="1" fontId="18" fillId="27" borderId="65" xfId="4" applyNumberFormat="1" applyFont="1" applyFill="1" applyBorder="1" applyAlignment="1">
      <alignment horizontal="center" vertical="center" wrapText="1"/>
    </xf>
    <xf numFmtId="1" fontId="18" fillId="27" borderId="20" xfId="4" applyNumberFormat="1" applyFont="1" applyFill="1" applyBorder="1" applyAlignment="1">
      <alignment horizontal="center" vertical="center" wrapText="1"/>
    </xf>
    <xf numFmtId="0" fontId="70" fillId="27" borderId="74" xfId="5" applyFont="1" applyFill="1" applyBorder="1" applyAlignment="1">
      <alignment horizontal="center" vertical="center" wrapText="1"/>
    </xf>
    <xf numFmtId="0" fontId="3" fillId="0" borderId="55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9" fontId="3" fillId="0" borderId="3" xfId="6" applyFont="1" applyFill="1" applyBorder="1" applyAlignment="1">
      <alignment horizontal="center" vertical="center" wrapText="1"/>
    </xf>
    <xf numFmtId="0" fontId="70" fillId="0" borderId="46" xfId="5" applyFont="1" applyBorder="1" applyAlignment="1">
      <alignment horizontal="center" vertical="center" wrapText="1"/>
    </xf>
    <xf numFmtId="1" fontId="18" fillId="0" borderId="46" xfId="4" applyNumberFormat="1" applyFont="1" applyBorder="1" applyAlignment="1">
      <alignment horizontal="center" vertical="center" wrapText="1"/>
    </xf>
    <xf numFmtId="1" fontId="18" fillId="0" borderId="3" xfId="4" applyNumberFormat="1" applyFont="1" applyBorder="1" applyAlignment="1">
      <alignment horizontal="center" vertical="center" wrapText="1"/>
    </xf>
    <xf numFmtId="0" fontId="70" fillId="0" borderId="47" xfId="5" applyFont="1" applyBorder="1" applyAlignment="1">
      <alignment horizontal="center" vertical="center" wrapText="1"/>
    </xf>
    <xf numFmtId="0" fontId="3" fillId="0" borderId="76" xfId="1" applyFont="1" applyBorder="1" applyAlignment="1">
      <alignment horizontal="center" vertical="center" wrapText="1"/>
    </xf>
    <xf numFmtId="0" fontId="18" fillId="0" borderId="27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9" fontId="3" fillId="0" borderId="27" xfId="6" applyFont="1" applyFill="1" applyBorder="1" applyAlignment="1">
      <alignment horizontal="center" vertical="center" wrapText="1"/>
    </xf>
    <xf numFmtId="0" fontId="70" fillId="27" borderId="65" xfId="5" applyFont="1" applyFill="1" applyBorder="1" applyAlignment="1">
      <alignment horizontal="center" vertical="center" wrapText="1"/>
    </xf>
    <xf numFmtId="0" fontId="70" fillId="27" borderId="78" xfId="5" applyFont="1" applyFill="1" applyBorder="1" applyAlignment="1">
      <alignment horizontal="center" vertical="center" wrapText="1"/>
    </xf>
    <xf numFmtId="0" fontId="3" fillId="0" borderId="84" xfId="1" applyFont="1" applyBorder="1" applyAlignment="1">
      <alignment horizontal="center" vertical="center" wrapText="1"/>
    </xf>
    <xf numFmtId="0" fontId="18" fillId="0" borderId="57" xfId="1" applyFont="1" applyBorder="1" applyAlignment="1">
      <alignment horizontal="center" vertical="center" wrapText="1"/>
    </xf>
    <xf numFmtId="0" fontId="3" fillId="0" borderId="57" xfId="1" applyFont="1" applyBorder="1" applyAlignment="1">
      <alignment horizontal="center" vertical="center" wrapText="1"/>
    </xf>
    <xf numFmtId="9" fontId="3" fillId="0" borderId="57" xfId="6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9" fontId="3" fillId="0" borderId="1" xfId="6" applyFont="1" applyFill="1" applyBorder="1" applyAlignment="1">
      <alignment horizontal="center" vertical="center" wrapText="1"/>
    </xf>
    <xf numFmtId="0" fontId="18" fillId="27" borderId="1" xfId="1" applyFont="1" applyFill="1" applyBorder="1" applyAlignment="1">
      <alignment horizontal="center" vertical="center" wrapText="1"/>
    </xf>
    <xf numFmtId="0" fontId="3" fillId="27" borderId="1" xfId="1" applyFont="1" applyFill="1" applyBorder="1" applyAlignment="1">
      <alignment horizontal="center" vertical="center" wrapText="1"/>
    </xf>
    <xf numFmtId="164" fontId="105" fillId="27" borderId="1" xfId="1" applyNumberFormat="1" applyFont="1" applyFill="1" applyBorder="1" applyAlignment="1">
      <alignment horizontal="center" vertical="center" wrapText="1"/>
    </xf>
    <xf numFmtId="164" fontId="3" fillId="27" borderId="1" xfId="1" applyNumberFormat="1" applyFont="1" applyFill="1" applyBorder="1" applyAlignment="1">
      <alignment horizontal="center" vertical="center" wrapText="1"/>
    </xf>
    <xf numFmtId="9" fontId="3" fillId="27" borderId="1" xfId="6" applyFont="1" applyFill="1" applyBorder="1" applyAlignment="1">
      <alignment horizontal="center" vertical="center" wrapText="1"/>
    </xf>
    <xf numFmtId="0" fontId="70" fillId="27" borderId="1" xfId="5" applyFont="1" applyFill="1" applyBorder="1" applyAlignment="1">
      <alignment horizontal="center" vertical="center" wrapText="1"/>
    </xf>
    <xf numFmtId="1" fontId="18" fillId="27" borderId="1" xfId="4" applyNumberFormat="1" applyFont="1" applyFill="1" applyBorder="1" applyAlignment="1">
      <alignment horizontal="center" vertical="center" wrapText="1"/>
    </xf>
    <xf numFmtId="1" fontId="18" fillId="27" borderId="57" xfId="4" applyNumberFormat="1" applyFont="1" applyFill="1" applyBorder="1" applyAlignment="1">
      <alignment horizontal="center" vertical="center" wrapText="1"/>
    </xf>
    <xf numFmtId="0" fontId="70" fillId="27" borderId="37" xfId="5" applyFont="1" applyFill="1" applyBorder="1" applyAlignment="1">
      <alignment horizontal="center" vertical="center" wrapText="1"/>
    </xf>
    <xf numFmtId="0" fontId="18" fillId="11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164" fontId="105" fillId="11" borderId="1" xfId="1" applyNumberFormat="1" applyFont="1" applyFill="1" applyBorder="1" applyAlignment="1">
      <alignment horizontal="center" vertical="center" wrapText="1"/>
    </xf>
    <xf numFmtId="164" fontId="3" fillId="11" borderId="1" xfId="1" applyNumberFormat="1" applyFont="1" applyFill="1" applyBorder="1" applyAlignment="1">
      <alignment horizontal="center" vertical="center" wrapText="1"/>
    </xf>
    <xf numFmtId="9" fontId="3" fillId="11" borderId="1" xfId="6" applyFont="1" applyFill="1" applyBorder="1" applyAlignment="1">
      <alignment horizontal="center" vertical="center" wrapText="1"/>
    </xf>
    <xf numFmtId="0" fontId="70" fillId="11" borderId="1" xfId="5" applyFont="1" applyFill="1" applyBorder="1" applyAlignment="1">
      <alignment horizontal="center" vertical="center" wrapText="1"/>
    </xf>
    <xf numFmtId="1" fontId="18" fillId="11" borderId="57" xfId="4" applyNumberFormat="1" applyFont="1" applyFill="1" applyBorder="1" applyAlignment="1">
      <alignment horizontal="center" vertical="center" wrapText="1"/>
    </xf>
    <xf numFmtId="0" fontId="70" fillId="11" borderId="37" xfId="5" applyFont="1" applyFill="1" applyBorder="1" applyAlignment="1">
      <alignment horizontal="center" vertical="center" wrapText="1"/>
    </xf>
    <xf numFmtId="164" fontId="3" fillId="11" borderId="89" xfId="1" applyNumberFormat="1" applyFont="1" applyFill="1" applyBorder="1" applyAlignment="1">
      <alignment horizontal="center" vertical="center" wrapText="1"/>
    </xf>
    <xf numFmtId="164" fontId="3" fillId="11" borderId="20" xfId="1" applyNumberFormat="1" applyFont="1" applyFill="1" applyBorder="1" applyAlignment="1">
      <alignment horizontal="center" vertical="center" wrapText="1"/>
    </xf>
    <xf numFmtId="9" fontId="3" fillId="11" borderId="90" xfId="6" applyFont="1" applyFill="1" applyBorder="1" applyAlignment="1">
      <alignment horizontal="center" vertical="center" wrapText="1"/>
    </xf>
    <xf numFmtId="1" fontId="18" fillId="11" borderId="1" xfId="4" applyNumberFormat="1" applyFont="1" applyFill="1" applyBorder="1" applyAlignment="1">
      <alignment horizontal="center" vertical="center" wrapText="1"/>
    </xf>
    <xf numFmtId="164" fontId="3" fillId="0" borderId="89" xfId="1" applyNumberFormat="1" applyFont="1" applyBorder="1" applyAlignment="1">
      <alignment horizontal="center" vertical="center" wrapText="1"/>
    </xf>
    <xf numFmtId="9" fontId="3" fillId="0" borderId="90" xfId="6" applyFont="1" applyFill="1" applyBorder="1" applyAlignment="1">
      <alignment horizontal="center" vertical="center" wrapText="1"/>
    </xf>
    <xf numFmtId="0" fontId="18" fillId="0" borderId="41" xfId="1" applyFont="1" applyBorder="1" applyAlignment="1">
      <alignment horizontal="center" vertical="center" wrapText="1"/>
    </xf>
    <xf numFmtId="0" fontId="18" fillId="0" borderId="91" xfId="1" applyFont="1" applyBorder="1" applyAlignment="1">
      <alignment horizontal="center" vertical="center" wrapText="1"/>
    </xf>
    <xf numFmtId="0" fontId="18" fillId="0" borderId="76" xfId="1" applyFont="1" applyBorder="1" applyAlignment="1">
      <alignment horizontal="center" vertical="center" wrapText="1"/>
    </xf>
    <xf numFmtId="0" fontId="18" fillId="0" borderId="92" xfId="1" applyFont="1" applyBorder="1" applyAlignment="1">
      <alignment horizontal="center" vertical="center" wrapText="1"/>
    </xf>
    <xf numFmtId="164" fontId="3" fillId="0" borderId="93" xfId="1" applyNumberFormat="1" applyFont="1" applyBorder="1" applyAlignment="1">
      <alignment horizontal="center" vertical="center" wrapText="1"/>
    </xf>
    <xf numFmtId="9" fontId="3" fillId="0" borderId="94" xfId="6" applyFont="1" applyFill="1" applyBorder="1" applyAlignment="1">
      <alignment horizontal="center" vertical="center" wrapText="1"/>
    </xf>
    <xf numFmtId="0" fontId="3" fillId="0" borderId="95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164" fontId="3" fillId="0" borderId="46" xfId="1" applyNumberFormat="1" applyFont="1" applyBorder="1" applyAlignment="1">
      <alignment horizontal="center" vertical="center" wrapText="1"/>
    </xf>
    <xf numFmtId="9" fontId="3" fillId="0" borderId="46" xfId="6" applyFont="1" applyFill="1" applyBorder="1" applyAlignment="1">
      <alignment horizontal="center" vertical="center" wrapText="1"/>
    </xf>
    <xf numFmtId="0" fontId="3" fillId="0" borderId="96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70" fillId="0" borderId="65" xfId="5" applyFont="1" applyBorder="1" applyAlignment="1">
      <alignment horizontal="center" vertical="center" wrapText="1"/>
    </xf>
    <xf numFmtId="0" fontId="70" fillId="0" borderId="40" xfId="5" applyFont="1" applyBorder="1" applyAlignment="1">
      <alignment horizontal="center" vertical="center" wrapText="1"/>
    </xf>
    <xf numFmtId="1" fontId="18" fillId="0" borderId="35" xfId="4" applyNumberFormat="1" applyFont="1" applyBorder="1" applyAlignment="1">
      <alignment horizontal="center" vertical="center" wrapText="1"/>
    </xf>
    <xf numFmtId="0" fontId="3" fillId="0" borderId="85" xfId="1" applyFont="1" applyBorder="1" applyAlignment="1">
      <alignment horizontal="center" vertical="center" wrapText="1"/>
    </xf>
    <xf numFmtId="1" fontId="18" fillId="0" borderId="85" xfId="4" applyNumberFormat="1" applyFont="1" applyBorder="1" applyAlignment="1">
      <alignment horizontal="center" vertical="center" wrapText="1"/>
    </xf>
    <xf numFmtId="0" fontId="70" fillId="0" borderId="86" xfId="5" applyFont="1" applyBorder="1" applyAlignment="1">
      <alignment horizontal="center" vertical="center" wrapText="1"/>
    </xf>
    <xf numFmtId="0" fontId="18" fillId="0" borderId="48" xfId="1" applyFont="1" applyBorder="1" applyAlignment="1">
      <alignment horizontal="center" vertical="center" wrapText="1"/>
    </xf>
    <xf numFmtId="0" fontId="3" fillId="0" borderId="49" xfId="1" applyFont="1" applyBorder="1" applyAlignment="1">
      <alignment horizontal="center" vertical="center" wrapText="1"/>
    </xf>
    <xf numFmtId="9" fontId="3" fillId="0" borderId="51" xfId="6" applyFont="1" applyFill="1" applyBorder="1" applyAlignment="1">
      <alignment horizontal="center" vertical="center" wrapText="1"/>
    </xf>
    <xf numFmtId="0" fontId="70" fillId="0" borderId="50" xfId="5" applyFont="1" applyBorder="1" applyAlignment="1">
      <alignment horizontal="center" vertical="center" wrapText="1"/>
    </xf>
    <xf numFmtId="0" fontId="70" fillId="0" borderId="5" xfId="5" applyFont="1" applyBorder="1" applyAlignment="1">
      <alignment horizontal="center" vertical="center" wrapText="1"/>
    </xf>
    <xf numFmtId="9" fontId="3" fillId="0" borderId="70" xfId="6" applyFont="1" applyFill="1" applyBorder="1" applyAlignment="1">
      <alignment horizontal="center" vertical="center" wrapText="1"/>
    </xf>
    <xf numFmtId="0" fontId="3" fillId="0" borderId="32" xfId="1" applyFont="1" applyBorder="1" applyAlignment="1">
      <alignment horizontal="center" vertical="center" wrapText="1"/>
    </xf>
    <xf numFmtId="0" fontId="18" fillId="0" borderId="67" xfId="1" applyFont="1" applyBorder="1" applyAlignment="1">
      <alignment horizontal="center" vertical="center" wrapText="1"/>
    </xf>
    <xf numFmtId="0" fontId="3" fillId="0" borderId="42" xfId="1" applyFont="1" applyBorder="1" applyAlignment="1">
      <alignment horizontal="center" vertical="center" wrapText="1"/>
    </xf>
    <xf numFmtId="164" fontId="3" fillId="0" borderId="42" xfId="1" applyNumberFormat="1" applyFont="1" applyBorder="1" applyAlignment="1">
      <alignment horizontal="center" vertical="center" wrapText="1"/>
    </xf>
    <xf numFmtId="9" fontId="3" fillId="0" borderId="42" xfId="6" applyFont="1" applyFill="1" applyBorder="1" applyAlignment="1">
      <alignment horizontal="center" vertical="center" wrapText="1"/>
    </xf>
    <xf numFmtId="0" fontId="70" fillId="0" borderId="42" xfId="5" applyFont="1" applyBorder="1" applyAlignment="1">
      <alignment horizontal="center" vertical="center" wrapText="1"/>
    </xf>
    <xf numFmtId="1" fontId="18" fillId="0" borderId="43" xfId="4" applyNumberFormat="1" applyFont="1" applyBorder="1" applyAlignment="1">
      <alignment horizontal="center" vertical="center" wrapText="1"/>
    </xf>
    <xf numFmtId="0" fontId="70" fillId="0" borderId="87" xfId="5" applyFont="1" applyBorder="1" applyAlignment="1">
      <alignment horizontal="center" vertical="center" wrapText="1"/>
    </xf>
    <xf numFmtId="0" fontId="70" fillId="0" borderId="0" xfId="5" applyFont="1" applyAlignment="1">
      <alignment horizontal="center" vertical="center" wrapText="1"/>
    </xf>
    <xf numFmtId="0" fontId="3" fillId="2" borderId="17" xfId="1" applyFont="1" applyFill="1" applyBorder="1" applyAlignment="1">
      <alignment horizontal="center"/>
    </xf>
    <xf numFmtId="0" fontId="68" fillId="0" borderId="17" xfId="1" applyFont="1" applyBorder="1" applyAlignment="1">
      <alignment vertical="center"/>
    </xf>
    <xf numFmtId="0" fontId="18" fillId="0" borderId="17" xfId="1" applyFont="1" applyBorder="1" applyAlignment="1">
      <alignment horizontal="center"/>
    </xf>
    <xf numFmtId="0" fontId="68" fillId="2" borderId="17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3" fillId="27" borderId="106" xfId="1" applyFont="1" applyFill="1" applyBorder="1" applyAlignment="1">
      <alignment horizontal="center" vertical="center" wrapText="1"/>
    </xf>
    <xf numFmtId="0" fontId="68" fillId="2" borderId="55" xfId="1" applyFont="1" applyFill="1" applyBorder="1" applyAlignment="1">
      <alignment vertical="center"/>
    </xf>
    <xf numFmtId="0" fontId="3" fillId="27" borderId="54" xfId="1" applyFont="1" applyFill="1" applyBorder="1" applyAlignment="1">
      <alignment horizontal="center" vertical="center" wrapText="1"/>
    </xf>
    <xf numFmtId="0" fontId="3" fillId="11" borderId="54" xfId="1" applyFont="1" applyFill="1" applyBorder="1" applyAlignment="1">
      <alignment horizontal="center" vertical="center" wrapText="1"/>
    </xf>
    <xf numFmtId="0" fontId="68" fillId="11" borderId="1" xfId="1" applyFont="1" applyFill="1" applyBorder="1" applyAlignment="1">
      <alignment horizontal="center" vertical="center" wrapText="1"/>
    </xf>
    <xf numFmtId="1" fontId="18" fillId="15" borderId="1" xfId="4" applyNumberFormat="1" applyFont="1" applyFill="1" applyBorder="1" applyAlignment="1">
      <alignment horizontal="center" vertical="center" wrapText="1"/>
    </xf>
    <xf numFmtId="164" fontId="3" fillId="15" borderId="1" xfId="1" applyNumberFormat="1" applyFont="1" applyFill="1" applyBorder="1" applyAlignment="1">
      <alignment horizontal="center" vertical="center" wrapText="1"/>
    </xf>
    <xf numFmtId="164" fontId="3" fillId="15" borderId="20" xfId="1" applyNumberFormat="1" applyFont="1" applyFill="1" applyBorder="1" applyAlignment="1">
      <alignment horizontal="center" vertical="center" wrapText="1"/>
    </xf>
    <xf numFmtId="9" fontId="3" fillId="15" borderId="90" xfId="6" applyFont="1" applyFill="1" applyBorder="1" applyAlignment="1">
      <alignment horizontal="center" vertical="center" wrapText="1"/>
    </xf>
    <xf numFmtId="0" fontId="20" fillId="15" borderId="1" xfId="1" applyFont="1" applyFill="1" applyBorder="1" applyAlignment="1">
      <alignment horizontal="center" vertical="center" wrapText="1"/>
    </xf>
    <xf numFmtId="44" fontId="20" fillId="15" borderId="1" xfId="17" applyFont="1" applyFill="1" applyBorder="1" applyAlignment="1">
      <alignment horizontal="right" vertical="center" wrapText="1"/>
    </xf>
    <xf numFmtId="0" fontId="20" fillId="15" borderId="1" xfId="1" applyFont="1" applyFill="1" applyBorder="1" applyAlignment="1">
      <alignment horizontal="right" vertical="center" wrapText="1"/>
    </xf>
    <xf numFmtId="9" fontId="20" fillId="15" borderId="1" xfId="1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73" fillId="2" borderId="0" xfId="1" applyFont="1" applyFill="1"/>
    <xf numFmtId="0" fontId="99" fillId="2" borderId="0" xfId="0" applyFont="1" applyFill="1"/>
    <xf numFmtId="170" fontId="107" fillId="2" borderId="0" xfId="0" applyNumberFormat="1" applyFont="1" applyFill="1"/>
    <xf numFmtId="0" fontId="11" fillId="28" borderId="2" xfId="1" applyFont="1" applyFill="1" applyBorder="1" applyAlignment="1">
      <alignment horizontal="center" vertical="center" wrapText="1"/>
    </xf>
    <xf numFmtId="0" fontId="10" fillId="28" borderId="1" xfId="1" applyFont="1" applyFill="1" applyBorder="1" applyAlignment="1">
      <alignment horizontal="center" vertical="center" wrapText="1"/>
    </xf>
    <xf numFmtId="0" fontId="9" fillId="28" borderId="1" xfId="1" applyFont="1" applyFill="1" applyBorder="1" applyAlignment="1">
      <alignment horizontal="center" vertical="center" wrapText="1"/>
    </xf>
    <xf numFmtId="165" fontId="9" fillId="28" borderId="1" xfId="1" applyNumberFormat="1" applyFont="1" applyFill="1" applyBorder="1" applyAlignment="1">
      <alignment horizontal="center" vertical="center" wrapText="1"/>
    </xf>
    <xf numFmtId="165" fontId="11" fillId="28" borderId="1" xfId="1" applyNumberFormat="1" applyFont="1" applyFill="1" applyBorder="1" applyAlignment="1">
      <alignment horizontal="center" vertical="center" wrapText="1"/>
    </xf>
    <xf numFmtId="9" fontId="9" fillId="28" borderId="1" xfId="10" applyFont="1" applyFill="1" applyBorder="1" applyAlignment="1">
      <alignment horizontal="center" vertical="center" wrapText="1"/>
    </xf>
    <xf numFmtId="2" fontId="9" fillId="28" borderId="1" xfId="1" applyNumberFormat="1" applyFont="1" applyFill="1" applyBorder="1" applyAlignment="1">
      <alignment horizontal="center" vertical="center" wrapText="1"/>
    </xf>
    <xf numFmtId="49" fontId="9" fillId="28" borderId="1" xfId="1" applyNumberFormat="1" applyFont="1" applyFill="1" applyBorder="1" applyAlignment="1">
      <alignment horizontal="center" vertical="center" wrapText="1"/>
    </xf>
    <xf numFmtId="0" fontId="10" fillId="21" borderId="1" xfId="1" applyFont="1" applyFill="1" applyBorder="1" applyAlignment="1">
      <alignment horizontal="center" vertical="center" wrapText="1"/>
    </xf>
    <xf numFmtId="0" fontId="9" fillId="21" borderId="1" xfId="1" applyFont="1" applyFill="1" applyBorder="1" applyAlignment="1">
      <alignment horizontal="center" vertical="center" wrapText="1"/>
    </xf>
    <xf numFmtId="165" fontId="11" fillId="28" borderId="2" xfId="1" applyNumberFormat="1" applyFont="1" applyFill="1" applyBorder="1" applyAlignment="1">
      <alignment vertical="center" wrapText="1"/>
    </xf>
    <xf numFmtId="0" fontId="49" fillId="0" borderId="6" xfId="1" applyFont="1" applyBorder="1" applyAlignment="1">
      <alignment horizontal="center" vertical="center" wrapText="1"/>
    </xf>
    <xf numFmtId="165" fontId="11" fillId="21" borderId="2" xfId="1" applyNumberFormat="1" applyFont="1" applyFill="1" applyBorder="1" applyAlignment="1">
      <alignment vertical="center" wrapText="1"/>
    </xf>
    <xf numFmtId="170" fontId="108" fillId="2" borderId="0" xfId="1" applyNumberFormat="1" applyFont="1" applyFill="1"/>
    <xf numFmtId="0" fontId="66" fillId="15" borderId="1" xfId="1" applyFont="1" applyFill="1" applyBorder="1" applyAlignment="1">
      <alignment horizontal="center" vertical="center" wrapText="1"/>
    </xf>
    <xf numFmtId="0" fontId="9" fillId="15" borderId="1" xfId="1" applyFont="1" applyFill="1" applyBorder="1" applyAlignment="1">
      <alignment horizontal="center" vertical="center" wrapText="1"/>
    </xf>
    <xf numFmtId="165" fontId="9" fillId="15" borderId="1" xfId="1" applyNumberFormat="1" applyFont="1" applyFill="1" applyBorder="1" applyAlignment="1">
      <alignment horizontal="center" vertical="center" wrapText="1"/>
    </xf>
    <xf numFmtId="9" fontId="9" fillId="15" borderId="1" xfId="10" applyFont="1" applyFill="1" applyBorder="1" applyAlignment="1">
      <alignment horizontal="center" vertical="center" wrapText="1"/>
    </xf>
    <xf numFmtId="49" fontId="9" fillId="15" borderId="1" xfId="1" applyNumberFormat="1" applyFont="1" applyFill="1" applyBorder="1" applyAlignment="1">
      <alignment horizontal="center" vertical="center" wrapText="1"/>
    </xf>
    <xf numFmtId="2" fontId="9" fillId="15" borderId="1" xfId="1" applyNumberFormat="1" applyFont="1" applyFill="1" applyBorder="1" applyAlignment="1">
      <alignment horizontal="center" vertical="center" wrapText="1"/>
    </xf>
    <xf numFmtId="165" fontId="9" fillId="11" borderId="1" xfId="1" applyNumberFormat="1" applyFont="1" applyFill="1" applyBorder="1" applyAlignment="1">
      <alignment horizontal="center" vertical="center" wrapText="1"/>
    </xf>
    <xf numFmtId="0" fontId="66" fillId="11" borderId="1" xfId="1" applyFont="1" applyFill="1" applyBorder="1" applyAlignment="1">
      <alignment horizontal="center" vertical="center" wrapText="1"/>
    </xf>
    <xf numFmtId="0" fontId="9" fillId="11" borderId="1" xfId="1" applyFont="1" applyFill="1" applyBorder="1" applyAlignment="1">
      <alignment horizontal="center" vertical="center" wrapText="1"/>
    </xf>
    <xf numFmtId="9" fontId="9" fillId="11" borderId="1" xfId="10" applyFont="1" applyFill="1" applyBorder="1" applyAlignment="1">
      <alignment horizontal="center" vertical="center" wrapText="1"/>
    </xf>
    <xf numFmtId="2" fontId="9" fillId="11" borderId="1" xfId="1" applyNumberFormat="1" applyFont="1" applyFill="1" applyBorder="1" applyAlignment="1">
      <alignment horizontal="center" vertical="center" wrapText="1"/>
    </xf>
    <xf numFmtId="49" fontId="9" fillId="11" borderId="1" xfId="1" applyNumberFormat="1" applyFont="1" applyFill="1" applyBorder="1" applyAlignment="1">
      <alignment horizontal="center" vertical="center" wrapText="1"/>
    </xf>
    <xf numFmtId="0" fontId="66" fillId="11" borderId="54" xfId="1" applyFont="1" applyFill="1" applyBorder="1" applyAlignment="1">
      <alignment horizontal="center" vertical="center" wrapText="1"/>
    </xf>
    <xf numFmtId="0" fontId="66" fillId="15" borderId="54" xfId="1" applyFont="1" applyFill="1" applyBorder="1" applyAlignment="1">
      <alignment horizontal="center" vertical="center" wrapText="1"/>
    </xf>
    <xf numFmtId="0" fontId="10" fillId="11" borderId="1" xfId="1" applyFont="1" applyFill="1" applyBorder="1" applyAlignment="1">
      <alignment horizontal="center" vertical="center" wrapText="1"/>
    </xf>
    <xf numFmtId="165" fontId="11" fillId="11" borderId="1" xfId="1" applyNumberFormat="1" applyFont="1" applyFill="1" applyBorder="1" applyAlignment="1">
      <alignment horizontal="center" vertical="center" wrapText="1"/>
    </xf>
    <xf numFmtId="0" fontId="78" fillId="0" borderId="0" xfId="1" applyFont="1"/>
    <xf numFmtId="0" fontId="109" fillId="0" borderId="45" xfId="1" applyFont="1" applyBorder="1" applyAlignment="1">
      <alignment horizontal="center" vertical="center" wrapText="1"/>
    </xf>
    <xf numFmtId="0" fontId="109" fillId="0" borderId="6" xfId="1" applyFont="1" applyBorder="1" applyAlignment="1">
      <alignment horizontal="center" vertical="center" wrapText="1"/>
    </xf>
    <xf numFmtId="0" fontId="56" fillId="0" borderId="0" xfId="1" applyFont="1"/>
    <xf numFmtId="0" fontId="66" fillId="2" borderId="1" xfId="1" applyFont="1" applyFill="1" applyBorder="1" applyAlignment="1">
      <alignment horizontal="center" vertical="center" wrapText="1"/>
    </xf>
    <xf numFmtId="0" fontId="66" fillId="2" borderId="54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9" fontId="9" fillId="2" borderId="1" xfId="10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109" fillId="2" borderId="6" xfId="1" applyFont="1" applyFill="1" applyBorder="1" applyAlignment="1">
      <alignment horizontal="center" vertical="center" wrapText="1"/>
    </xf>
    <xf numFmtId="0" fontId="109" fillId="2" borderId="45" xfId="1" applyFont="1" applyFill="1" applyBorder="1" applyAlignment="1">
      <alignment horizontal="center" vertical="center" wrapText="1"/>
    </xf>
    <xf numFmtId="0" fontId="10" fillId="21" borderId="2" xfId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10" fillId="0" borderId="1" xfId="1" applyFont="1" applyBorder="1" applyAlignment="1">
      <alignment horizontal="center" vertical="center" wrapText="1"/>
    </xf>
    <xf numFmtId="0" fontId="10" fillId="11" borderId="2" xfId="1" applyFont="1" applyFill="1" applyBorder="1" applyAlignment="1">
      <alignment horizontal="center" vertical="center" wrapText="1"/>
    </xf>
    <xf numFmtId="49" fontId="106" fillId="11" borderId="57" xfId="4" applyNumberFormat="1" applyFont="1" applyFill="1" applyBorder="1" applyAlignment="1">
      <alignment horizontal="center" vertical="center" wrapText="1"/>
    </xf>
    <xf numFmtId="0" fontId="43" fillId="23" borderId="0" xfId="0" applyFont="1" applyFill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48" fillId="0" borderId="17" xfId="1" applyFont="1" applyBorder="1" applyAlignment="1">
      <alignment horizontal="center" vertical="center" wrapText="1"/>
    </xf>
    <xf numFmtId="0" fontId="91" fillId="0" borderId="17" xfId="1" applyFont="1" applyBorder="1" applyAlignment="1">
      <alignment horizontal="center" vertical="center" wrapText="1"/>
    </xf>
    <xf numFmtId="0" fontId="45" fillId="16" borderId="16" xfId="1" applyFont="1" applyFill="1" applyBorder="1" applyAlignment="1">
      <alignment horizontal="center" vertical="center"/>
    </xf>
    <xf numFmtId="0" fontId="45" fillId="16" borderId="17" xfId="1" applyFont="1" applyFill="1" applyBorder="1" applyAlignment="1">
      <alignment horizontal="center" vertical="center"/>
    </xf>
    <xf numFmtId="0" fontId="93" fillId="16" borderId="17" xfId="1" applyFont="1" applyFill="1" applyBorder="1" applyAlignment="1">
      <alignment horizontal="center" vertical="center"/>
    </xf>
    <xf numFmtId="0" fontId="92" fillId="16" borderId="17" xfId="1" applyFont="1" applyFill="1" applyBorder="1" applyAlignment="1">
      <alignment horizontal="center" vertical="center"/>
    </xf>
    <xf numFmtId="0" fontId="45" fillId="2" borderId="17" xfId="1" applyFont="1" applyFill="1" applyBorder="1" applyAlignment="1">
      <alignment horizontal="center" vertical="center"/>
    </xf>
    <xf numFmtId="0" fontId="85" fillId="25" borderId="104" xfId="0" applyFont="1" applyFill="1" applyBorder="1" applyAlignment="1">
      <alignment horizontal="center" vertical="center" textRotation="255"/>
    </xf>
    <xf numFmtId="0" fontId="0" fillId="0" borderId="104" xfId="0" applyBorder="1" applyAlignment="1">
      <alignment horizontal="center" vertical="center" textRotation="255"/>
    </xf>
    <xf numFmtId="0" fontId="43" fillId="26" borderId="0" xfId="0" applyFont="1" applyFill="1" applyAlignment="1">
      <alignment horizontal="center" vertical="center" textRotation="90"/>
    </xf>
    <xf numFmtId="0" fontId="45" fillId="16" borderId="52" xfId="1" applyFont="1" applyFill="1" applyBorder="1" applyAlignment="1">
      <alignment horizontal="center" vertical="center"/>
    </xf>
    <xf numFmtId="0" fontId="45" fillId="16" borderId="53" xfId="1" applyFont="1" applyFill="1" applyBorder="1" applyAlignment="1">
      <alignment horizontal="center" vertical="center"/>
    </xf>
    <xf numFmtId="0" fontId="45" fillId="16" borderId="54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164" fontId="9" fillId="2" borderId="0" xfId="1" applyNumberFormat="1" applyFont="1" applyFill="1" applyAlignment="1">
      <alignment horizontal="center" vertical="center" wrapText="1"/>
    </xf>
    <xf numFmtId="165" fontId="79" fillId="0" borderId="17" xfId="1" applyNumberFormat="1" applyFont="1" applyBorder="1" applyAlignment="1">
      <alignment horizontal="center" vertical="center" wrapText="1"/>
    </xf>
    <xf numFmtId="0" fontId="80" fillId="0" borderId="17" xfId="0" applyFont="1" applyBorder="1" applyAlignment="1">
      <alignment horizontal="center" vertical="center" wrapText="1"/>
    </xf>
    <xf numFmtId="0" fontId="2" fillId="2" borderId="0" xfId="1" applyFill="1" applyAlignment="1">
      <alignment horizontal="left" vertical="center" wrapText="1"/>
    </xf>
    <xf numFmtId="164" fontId="4" fillId="2" borderId="0" xfId="1" applyNumberFormat="1" applyFont="1" applyFill="1" applyAlignment="1">
      <alignment horizontal="center" vertical="center" wrapText="1"/>
    </xf>
    <xf numFmtId="0" fontId="43" fillId="22" borderId="0" xfId="0" applyFont="1" applyFill="1" applyAlignment="1">
      <alignment horizontal="center" vertical="center" textRotation="90"/>
    </xf>
    <xf numFmtId="0" fontId="43" fillId="17" borderId="0" xfId="0" applyFont="1" applyFill="1" applyAlignment="1">
      <alignment horizontal="center" vertical="center" textRotation="90"/>
    </xf>
    <xf numFmtId="0" fontId="65" fillId="0" borderId="53" xfId="1" applyFont="1" applyBorder="1" applyAlignment="1">
      <alignment horizontal="center" wrapText="1"/>
    </xf>
    <xf numFmtId="0" fontId="11" fillId="2" borderId="0" xfId="1" applyFont="1" applyFill="1" applyAlignment="1">
      <alignment horizontal="left" vertical="center" wrapText="1"/>
    </xf>
    <xf numFmtId="165" fontId="58" fillId="0" borderId="17" xfId="1" applyNumberFormat="1" applyFont="1" applyBorder="1" applyAlignment="1">
      <alignment horizontal="center" vertical="center" wrapText="1"/>
    </xf>
    <xf numFmtId="0" fontId="82" fillId="0" borderId="17" xfId="0" applyFont="1" applyBorder="1" applyAlignment="1">
      <alignment horizontal="center" vertical="center" wrapText="1"/>
    </xf>
    <xf numFmtId="0" fontId="42" fillId="19" borderId="56" xfId="0" applyFont="1" applyFill="1" applyBorder="1" applyAlignment="1">
      <alignment horizontal="center" vertical="center" textRotation="90"/>
    </xf>
    <xf numFmtId="0" fontId="61" fillId="20" borderId="17" xfId="1" applyFont="1" applyFill="1" applyBorder="1" applyAlignment="1">
      <alignment horizontal="center" wrapText="1"/>
    </xf>
    <xf numFmtId="164" fontId="4" fillId="16" borderId="52" xfId="1" applyNumberFormat="1" applyFont="1" applyFill="1" applyBorder="1" applyAlignment="1">
      <alignment horizontal="center" vertical="center" wrapText="1"/>
    </xf>
    <xf numFmtId="0" fontId="4" fillId="8" borderId="4" xfId="1" applyFont="1" applyFill="1" applyBorder="1" applyAlignment="1">
      <alignment horizontal="center" vertical="center" wrapText="1"/>
    </xf>
    <xf numFmtId="0" fontId="42" fillId="18" borderId="56" xfId="0" applyFont="1" applyFill="1" applyBorder="1" applyAlignment="1">
      <alignment horizontal="center" vertical="center" textRotation="90"/>
    </xf>
    <xf numFmtId="0" fontId="15" fillId="8" borderId="16" xfId="1" applyFont="1" applyFill="1" applyBorder="1" applyAlignment="1">
      <alignment horizontal="center" vertical="center"/>
    </xf>
    <xf numFmtId="0" fontId="15" fillId="8" borderId="17" xfId="1" applyFont="1" applyFill="1" applyBorder="1" applyAlignment="1">
      <alignment horizontal="center" vertical="center"/>
    </xf>
    <xf numFmtId="0" fontId="18" fillId="0" borderId="23" xfId="1" applyFont="1" applyBorder="1" applyAlignment="1">
      <alignment horizontal="left" vertical="center" wrapText="1"/>
    </xf>
    <xf numFmtId="0" fontId="18" fillId="0" borderId="12" xfId="1" applyFont="1" applyBorder="1" applyAlignment="1">
      <alignment horizontal="left" vertical="center" wrapText="1"/>
    </xf>
    <xf numFmtId="0" fontId="18" fillId="0" borderId="15" xfId="1" applyFont="1" applyBorder="1" applyAlignment="1">
      <alignment horizontal="left" vertical="center" wrapText="1"/>
    </xf>
    <xf numFmtId="0" fontId="53" fillId="0" borderId="17" xfId="1" applyFont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74" fillId="0" borderId="0" xfId="1" applyFont="1" applyAlignment="1">
      <alignment horizontal="center" vertical="center" wrapText="1"/>
    </xf>
    <xf numFmtId="167" fontId="3" fillId="2" borderId="0" xfId="1" applyNumberFormat="1" applyFont="1" applyFill="1" applyAlignment="1">
      <alignment horizontal="center" vertical="center" wrapText="1"/>
    </xf>
    <xf numFmtId="0" fontId="70" fillId="2" borderId="0" xfId="5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19" fillId="2" borderId="0" xfId="1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168" fontId="3" fillId="2" borderId="0" xfId="1" applyNumberFormat="1" applyFont="1" applyFill="1" applyAlignment="1">
      <alignment horizontal="center" vertical="center" wrapText="1"/>
    </xf>
    <xf numFmtId="0" fontId="68" fillId="0" borderId="47" xfId="1" applyFont="1" applyBorder="1" applyAlignment="1">
      <alignment horizontal="center" vertical="center" wrapText="1"/>
    </xf>
    <xf numFmtId="0" fontId="17" fillId="0" borderId="21" xfId="1" applyFont="1" applyBorder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7" fillId="0" borderId="44" xfId="1" applyFont="1" applyBorder="1" applyAlignment="1">
      <alignment horizontal="left" vertical="center" wrapText="1"/>
    </xf>
    <xf numFmtId="0" fontId="17" fillId="0" borderId="17" xfId="1" applyFont="1" applyBorder="1" applyAlignment="1">
      <alignment horizontal="left" vertical="center" wrapText="1"/>
    </xf>
    <xf numFmtId="0" fontId="68" fillId="27" borderId="1" xfId="1" applyFont="1" applyFill="1" applyBorder="1" applyAlignment="1">
      <alignment horizontal="center" vertical="center" wrapText="1"/>
    </xf>
    <xf numFmtId="0" fontId="68" fillId="11" borderId="1" xfId="1" applyFont="1" applyFill="1" applyBorder="1" applyAlignment="1">
      <alignment horizontal="center" vertical="center" wrapText="1"/>
    </xf>
    <xf numFmtId="0" fontId="18" fillId="0" borderId="8" xfId="1" applyFont="1" applyBorder="1" applyAlignment="1">
      <alignment horizontal="left" vertical="center" wrapText="1"/>
    </xf>
    <xf numFmtId="0" fontId="100" fillId="0" borderId="8" xfId="1" applyFont="1" applyBorder="1" applyAlignment="1">
      <alignment horizontal="left" vertical="center" wrapText="1"/>
    </xf>
    <xf numFmtId="0" fontId="101" fillId="10" borderId="23" xfId="1" applyFont="1" applyFill="1" applyBorder="1" applyAlignment="1">
      <alignment horizontal="center" vertical="center"/>
    </xf>
    <xf numFmtId="0" fontId="101" fillId="8" borderId="30" xfId="1" applyFont="1" applyFill="1" applyBorder="1" applyAlignment="1">
      <alignment horizontal="center" vertical="center"/>
    </xf>
    <xf numFmtId="0" fontId="33" fillId="11" borderId="32" xfId="1" applyFont="1" applyFill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0" fontId="25" fillId="7" borderId="23" xfId="0" applyFont="1" applyFill="1" applyBorder="1" applyAlignment="1">
      <alignment horizontal="center" wrapText="1"/>
    </xf>
    <xf numFmtId="0" fontId="25" fillId="7" borderId="12" xfId="0" applyFont="1" applyFill="1" applyBorder="1" applyAlignment="1">
      <alignment horizontal="center" wrapText="1"/>
    </xf>
    <xf numFmtId="0" fontId="25" fillId="7" borderId="15" xfId="0" applyFont="1" applyFill="1" applyBorder="1" applyAlignment="1">
      <alignment horizontal="center" wrapText="1"/>
    </xf>
    <xf numFmtId="42" fontId="25" fillId="0" borderId="2" xfId="0" applyNumberFormat="1" applyFont="1" applyBorder="1" applyAlignment="1">
      <alignment horizontal="center" vertical="center"/>
    </xf>
    <xf numFmtId="42" fontId="25" fillId="0" borderId="5" xfId="0" applyNumberFormat="1" applyFont="1" applyBorder="1" applyAlignment="1">
      <alignment horizontal="center" vertical="center"/>
    </xf>
    <xf numFmtId="0" fontId="73" fillId="0" borderId="21" xfId="1" applyFont="1" applyBorder="1" applyAlignment="1">
      <alignment horizontal="left" vertical="center" wrapText="1"/>
    </xf>
    <xf numFmtId="0" fontId="73" fillId="0" borderId="0" xfId="1" applyFont="1" applyAlignment="1">
      <alignment horizontal="left" vertical="center" wrapText="1"/>
    </xf>
    <xf numFmtId="0" fontId="73" fillId="0" borderId="44" xfId="1" applyFont="1" applyBorder="1" applyAlignment="1">
      <alignment horizontal="left" vertical="center" wrapText="1"/>
    </xf>
    <xf numFmtId="0" fontId="73" fillId="0" borderId="17" xfId="1" applyFont="1" applyBorder="1" applyAlignment="1">
      <alignment horizontal="left" vertical="center" wrapText="1"/>
    </xf>
    <xf numFmtId="0" fontId="30" fillId="10" borderId="23" xfId="1" applyFont="1" applyFill="1" applyBorder="1" applyAlignment="1">
      <alignment horizontal="center" vertical="center" wrapText="1"/>
    </xf>
    <xf numFmtId="0" fontId="31" fillId="10" borderId="29" xfId="1" applyFont="1" applyFill="1" applyBorder="1" applyAlignment="1">
      <alignment horizontal="center" vertical="center" wrapText="1"/>
    </xf>
    <xf numFmtId="0" fontId="30" fillId="8" borderId="30" xfId="1" applyFont="1" applyFill="1" applyBorder="1" applyAlignment="1">
      <alignment horizontal="center" vertical="center" wrapText="1"/>
    </xf>
    <xf numFmtId="0" fontId="30" fillId="8" borderId="88" xfId="1" applyFont="1" applyFill="1" applyBorder="1" applyAlignment="1">
      <alignment horizontal="center" vertical="center" wrapText="1"/>
    </xf>
    <xf numFmtId="0" fontId="33" fillId="11" borderId="30" xfId="1" applyFont="1" applyFill="1" applyBorder="1" applyAlignment="1">
      <alignment horizontal="center" vertical="center"/>
    </xf>
    <xf numFmtId="0" fontId="33" fillId="11" borderId="88" xfId="1" applyFont="1" applyFill="1" applyBorder="1" applyAlignment="1">
      <alignment horizontal="center" vertical="center"/>
    </xf>
  </cellXfs>
  <cellStyles count="26">
    <cellStyle name="Migliaia 2" xfId="23" xr:uid="{F73A427C-30D4-47CF-803A-AC2E42136FD5}"/>
    <cellStyle name="Migliaia 3" xfId="21" xr:uid="{38E4D73D-F3A8-4BE2-8AB4-5C1B18B6D15F}"/>
    <cellStyle name="Migliaia 4" xfId="25" xr:uid="{7493D656-D908-486C-B235-9F6FE80CDF4A}"/>
    <cellStyle name="Migliaia 5" xfId="20" xr:uid="{68BE3BBD-265B-45ED-99D5-03E60E62B6BB}"/>
    <cellStyle name="Normal 5" xfId="24" xr:uid="{C862DA8E-AED0-4625-BBC7-29E96CC76D69}"/>
    <cellStyle name="Normale" xfId="0" builtinId="0"/>
    <cellStyle name="Normale 10" xfId="1" xr:uid="{3E97FA06-B376-4155-BF2F-296F8ECF117F}"/>
    <cellStyle name="Normale 2" xfId="8" xr:uid="{CF58F34A-C738-4C71-91D7-C6135F45F4A0}"/>
    <cellStyle name="Normale 2 2" xfId="4" xr:uid="{2FE1C3BF-B5A7-411D-8953-25CD49377234}"/>
    <cellStyle name="Normale 2 2 3" xfId="5" xr:uid="{57525C72-9988-4F42-8B16-B4C7F51A149C}"/>
    <cellStyle name="Normale 3 2" xfId="22" xr:uid="{E6E021C5-95F9-4BE1-9F65-D12E745A9A40}"/>
    <cellStyle name="Normale 39" xfId="11" xr:uid="{FB232A8F-E98B-48AF-95B6-C592075BA14C}"/>
    <cellStyle name="Normale 39 9" xfId="12" xr:uid="{2CCC5D9F-1F93-41C2-82DC-553DBC56FE83}"/>
    <cellStyle name="Normale 39 9 3" xfId="14" xr:uid="{E8B97B15-E22F-4F76-9664-E1FBCB10A359}"/>
    <cellStyle name="Percent 3" xfId="9" xr:uid="{62E308FC-D914-4FBF-8206-96ECA74881A5}"/>
    <cellStyle name="Percentuale" xfId="10" builtinId="5"/>
    <cellStyle name="Percentuale 12" xfId="13" xr:uid="{AA351478-468F-4784-93B9-ECEC253D664B}"/>
    <cellStyle name="Percentuale 12 3" xfId="15" xr:uid="{31097871-A09F-43FE-972B-CC8A0AB6DF87}"/>
    <cellStyle name="Percentuale 2" xfId="2" xr:uid="{A2A3B0F1-9DDD-4789-969E-A44099D19C56}"/>
    <cellStyle name="Percentuale 2 2" xfId="16" xr:uid="{494D9305-2F23-48C9-AD78-1E3D200D3CBE}"/>
    <cellStyle name="Percentuale 3" xfId="6" xr:uid="{8F679EE5-FD54-405A-8831-434052D5FD4A}"/>
    <cellStyle name="Valuta" xfId="17" builtinId="4"/>
    <cellStyle name="Valuta [0] 2" xfId="7" xr:uid="{F2445C82-FAC9-40D2-BAB1-B39ADEAFD332}"/>
    <cellStyle name="Valuta 2" xfId="3" xr:uid="{A3BDEFD7-191D-4543-8427-9F5BB75146F5}"/>
    <cellStyle name="Valuta 3" xfId="18" xr:uid="{F19DED20-4B8F-4CF4-8BF3-D0242A4C3CA3}"/>
    <cellStyle name="Valuta 4" xfId="19" xr:uid="{C6E82603-E975-42F3-BEA5-43A68CC1A9D9}"/>
  </cellStyles>
  <dxfs count="0"/>
  <tableStyles count="0" defaultTableStyle="TableStyleMedium2" defaultPivotStyle="PivotStyleLight16"/>
  <colors>
    <mruColors>
      <color rgb="FFFF8989"/>
      <color rgb="FFFF2525"/>
      <color rgb="FFFF552D"/>
      <color rgb="FFFFFF66"/>
      <color rgb="FFFFFF99"/>
      <color rgb="FFFF9900"/>
      <color rgb="FFFF781D"/>
      <color rgb="FFFF6900"/>
      <color rgb="FF6BB584"/>
      <color rgb="FF5859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544285</xdr:colOff>
      <xdr:row>0</xdr:row>
      <xdr:rowOff>317500</xdr:rowOff>
    </xdr:from>
    <xdr:to>
      <xdr:col>1</xdr:col>
      <xdr:colOff>2837513</xdr:colOff>
      <xdr:row>1</xdr:row>
      <xdr:rowOff>112254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1156B66-9BCB-4AE1-8BA6-FB13935F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1165" y="317500"/>
          <a:ext cx="2293228" cy="1433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599873</xdr:colOff>
      <xdr:row>0</xdr:row>
      <xdr:rowOff>95250</xdr:rowOff>
    </xdr:from>
    <xdr:to>
      <xdr:col>2</xdr:col>
      <xdr:colOff>2802614</xdr:colOff>
      <xdr:row>2</xdr:row>
      <xdr:rowOff>21086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E51EBAD-C435-46A1-8AFF-63EE61C24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9213" y="95250"/>
          <a:ext cx="2202741" cy="14041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242553</xdr:colOff>
      <xdr:row>0</xdr:row>
      <xdr:rowOff>136286</xdr:rowOff>
    </xdr:from>
    <xdr:to>
      <xdr:col>2</xdr:col>
      <xdr:colOff>2513648</xdr:colOff>
      <xdr:row>2</xdr:row>
      <xdr:rowOff>4764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588B842-7156-4566-95D0-5014FC168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4193" y="136286"/>
          <a:ext cx="2271095" cy="14381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790373</xdr:colOff>
      <xdr:row>1</xdr:row>
      <xdr:rowOff>101330</xdr:rowOff>
    </xdr:from>
    <xdr:to>
      <xdr:col>2</xdr:col>
      <xdr:colOff>73700</xdr:colOff>
      <xdr:row>2</xdr:row>
      <xdr:rowOff>1426338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EA0CDCA-C719-46C0-B171-82237BB1D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0423" y="310880"/>
          <a:ext cx="2280527" cy="14266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2</xdr:col>
      <xdr:colOff>2495550</xdr:colOff>
      <xdr:row>9</xdr:row>
      <xdr:rowOff>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3076F3FF-C869-49D3-B282-EBBDF785FF66}"/>
            </a:ext>
          </a:extLst>
        </xdr:cNvPr>
        <xdr:cNvSpPr txBox="1"/>
      </xdr:nvSpPr>
      <xdr:spPr>
        <a:xfrm>
          <a:off x="2257425" y="17459325"/>
          <a:ext cx="2495550" cy="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2000" b="1" baseline="0">
              <a:solidFill>
                <a:schemeClr val="bg1"/>
              </a:solidFill>
            </a:rPr>
            <a:t>USCITA DA LISTINO</a:t>
          </a:r>
          <a:endParaRPr lang="it-IT" sz="20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173182</xdr:colOff>
      <xdr:row>0</xdr:row>
      <xdr:rowOff>0</xdr:rowOff>
    </xdr:from>
    <xdr:to>
      <xdr:col>1</xdr:col>
      <xdr:colOff>1526917</xdr:colOff>
      <xdr:row>1</xdr:row>
      <xdr:rowOff>711200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9581149-301D-46EA-9737-3625B5D40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2" y="0"/>
          <a:ext cx="1981519" cy="12555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2053167</xdr:colOff>
      <xdr:row>1</xdr:row>
      <xdr:rowOff>62834</xdr:rowOff>
    </xdr:from>
    <xdr:to>
      <xdr:col>1</xdr:col>
      <xdr:colOff>2973169</xdr:colOff>
      <xdr:row>1</xdr:row>
      <xdr:rowOff>810684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395F6BC-E220-4D5F-8570-80432C723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1217" y="221584"/>
          <a:ext cx="1024778" cy="747850"/>
        </a:xfrm>
        <a:prstGeom prst="rect">
          <a:avLst/>
        </a:prstGeom>
      </xdr:spPr>
    </xdr:pic>
    <xdr:clientData/>
  </xdr:twoCellAnchor>
  <xdr:twoCellAnchor editAs="oneCell">
    <xdr:from>
      <xdr:col>1</xdr:col>
      <xdr:colOff>555625</xdr:colOff>
      <xdr:row>1</xdr:row>
      <xdr:rowOff>15875</xdr:rowOff>
    </xdr:from>
    <xdr:to>
      <xdr:col>1</xdr:col>
      <xdr:colOff>1893724</xdr:colOff>
      <xdr:row>1</xdr:row>
      <xdr:rowOff>841374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BEDBDAC3-7B0C-4E48-8721-0DD17349C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675" y="174625"/>
          <a:ext cx="1338099" cy="8254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4233</xdr:colOff>
      <xdr:row>0</xdr:row>
      <xdr:rowOff>58208</xdr:rowOff>
    </xdr:from>
    <xdr:ext cx="1483455" cy="923715"/>
    <xdr:pic>
      <xdr:nvPicPr>
        <xdr:cNvPr id="2" name="Immagine 1">
          <a:extLst>
            <a:ext uri="{FF2B5EF4-FFF2-40B4-BE49-F238E27FC236}">
              <a16:creationId xmlns:a16="http://schemas.microsoft.com/office/drawing/2014/main" id="{821E6144-98EF-49A5-B6C4-E22317566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58" y="58208"/>
          <a:ext cx="1483455" cy="923715"/>
        </a:xfrm>
        <a:prstGeom prst="rect">
          <a:avLst/>
        </a:prstGeom>
      </xdr:spPr>
    </xdr:pic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38C75343-AE40-4813-9F92-107E4E829CF2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7ACBE4A5-23AD-4A47-9303-F2719718567B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14D92D4B-D207-470F-9261-8012AF87EB18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794D848A-D0F5-450B-9D3C-3490CF4D54DE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2D83E3A1-6454-4432-B191-C1F0744086AE}"/>
            </a:ext>
          </a:extLst>
        </xdr:cNvPr>
        <xdr:cNvSpPr txBox="1"/>
      </xdr:nvSpPr>
      <xdr:spPr>
        <a:xfrm>
          <a:off x="301688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9" name="CasellaDiTesto 8">
          <a:extLst>
            <a:ext uri="{FF2B5EF4-FFF2-40B4-BE49-F238E27FC236}">
              <a16:creationId xmlns:a16="http://schemas.microsoft.com/office/drawing/2014/main" id="{F93DC33E-40B6-4534-893C-37BF9C84F918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FBA2A70E-E521-419F-ABB9-1C76F5777B8B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11" name="CasellaDiTesto 10">
          <a:extLst>
            <a:ext uri="{FF2B5EF4-FFF2-40B4-BE49-F238E27FC236}">
              <a16:creationId xmlns:a16="http://schemas.microsoft.com/office/drawing/2014/main" id="{0DED4D74-FC1D-49E1-BA0E-E263644A8DD3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12" name="CasellaDiTesto 11">
          <a:extLst>
            <a:ext uri="{FF2B5EF4-FFF2-40B4-BE49-F238E27FC236}">
              <a16:creationId xmlns:a16="http://schemas.microsoft.com/office/drawing/2014/main" id="{42F81F23-89B1-484A-B6A1-AA7B387C5215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13" name="CasellaDiTesto 12">
          <a:extLst>
            <a:ext uri="{FF2B5EF4-FFF2-40B4-BE49-F238E27FC236}">
              <a16:creationId xmlns:a16="http://schemas.microsoft.com/office/drawing/2014/main" id="{505169CD-D3BA-483D-8604-8F8F25F387A1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14" name="CasellaDiTesto 13">
          <a:extLst>
            <a:ext uri="{FF2B5EF4-FFF2-40B4-BE49-F238E27FC236}">
              <a16:creationId xmlns:a16="http://schemas.microsoft.com/office/drawing/2014/main" id="{FE6DE345-D07E-45FE-870F-21E5B331915E}"/>
            </a:ext>
          </a:extLst>
        </xdr:cNvPr>
        <xdr:cNvSpPr txBox="1"/>
      </xdr:nvSpPr>
      <xdr:spPr>
        <a:xfrm>
          <a:off x="301688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15" name="CasellaDiTesto 14">
          <a:extLst>
            <a:ext uri="{FF2B5EF4-FFF2-40B4-BE49-F238E27FC236}">
              <a16:creationId xmlns:a16="http://schemas.microsoft.com/office/drawing/2014/main" id="{AE0D3CD7-52C7-489A-838F-0B0E50289349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A5D7DF62-4645-4E3C-9FAA-3F7C3272593E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17" name="CasellaDiTesto 16">
          <a:extLst>
            <a:ext uri="{FF2B5EF4-FFF2-40B4-BE49-F238E27FC236}">
              <a16:creationId xmlns:a16="http://schemas.microsoft.com/office/drawing/2014/main" id="{16686B06-3452-480F-9A6E-718BE9F1275E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18" name="CasellaDiTesto 17">
          <a:extLst>
            <a:ext uri="{FF2B5EF4-FFF2-40B4-BE49-F238E27FC236}">
              <a16:creationId xmlns:a16="http://schemas.microsoft.com/office/drawing/2014/main" id="{70F6222A-6232-48C9-A374-47EF6F201DB0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19" name="CasellaDiTesto 18">
          <a:extLst>
            <a:ext uri="{FF2B5EF4-FFF2-40B4-BE49-F238E27FC236}">
              <a16:creationId xmlns:a16="http://schemas.microsoft.com/office/drawing/2014/main" id="{8AFA930E-DAD0-45E0-ABF3-7E589BDD7A85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20" name="CasellaDiTesto 19">
          <a:extLst>
            <a:ext uri="{FF2B5EF4-FFF2-40B4-BE49-F238E27FC236}">
              <a16:creationId xmlns:a16="http://schemas.microsoft.com/office/drawing/2014/main" id="{0DBFDD43-9B66-40E8-A661-AE7D032D8924}"/>
            </a:ext>
          </a:extLst>
        </xdr:cNvPr>
        <xdr:cNvSpPr txBox="1"/>
      </xdr:nvSpPr>
      <xdr:spPr>
        <a:xfrm>
          <a:off x="34550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21" name="CasellaDiTesto 20">
          <a:extLst>
            <a:ext uri="{FF2B5EF4-FFF2-40B4-BE49-F238E27FC236}">
              <a16:creationId xmlns:a16="http://schemas.microsoft.com/office/drawing/2014/main" id="{87BCB42B-AF45-43AD-A017-B4FA51769585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22" name="CasellaDiTesto 21">
          <a:extLst>
            <a:ext uri="{FF2B5EF4-FFF2-40B4-BE49-F238E27FC236}">
              <a16:creationId xmlns:a16="http://schemas.microsoft.com/office/drawing/2014/main" id="{C9F5150A-4BB2-4434-A707-CFE58483BC22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23" name="CasellaDiTesto 22">
          <a:extLst>
            <a:ext uri="{FF2B5EF4-FFF2-40B4-BE49-F238E27FC236}">
              <a16:creationId xmlns:a16="http://schemas.microsoft.com/office/drawing/2014/main" id="{15B4E7BD-A81D-43B3-8FDB-18523CAEFFE0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24" name="CasellaDiTesto 23">
          <a:extLst>
            <a:ext uri="{FF2B5EF4-FFF2-40B4-BE49-F238E27FC236}">
              <a16:creationId xmlns:a16="http://schemas.microsoft.com/office/drawing/2014/main" id="{BD064F0B-9948-4DC9-99A5-82FD4FB760AA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25" name="CasellaDiTesto 24">
          <a:extLst>
            <a:ext uri="{FF2B5EF4-FFF2-40B4-BE49-F238E27FC236}">
              <a16:creationId xmlns:a16="http://schemas.microsoft.com/office/drawing/2014/main" id="{302C7ED4-1688-4551-A66F-6F4FC6DCF2C6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26" name="CasellaDiTesto 25">
          <a:extLst>
            <a:ext uri="{FF2B5EF4-FFF2-40B4-BE49-F238E27FC236}">
              <a16:creationId xmlns:a16="http://schemas.microsoft.com/office/drawing/2014/main" id="{ABBF5B79-C50D-4FBF-A528-E40CC8BF6483}"/>
            </a:ext>
          </a:extLst>
        </xdr:cNvPr>
        <xdr:cNvSpPr txBox="1"/>
      </xdr:nvSpPr>
      <xdr:spPr>
        <a:xfrm>
          <a:off x="34550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27" name="CasellaDiTesto 26">
          <a:extLst>
            <a:ext uri="{FF2B5EF4-FFF2-40B4-BE49-F238E27FC236}">
              <a16:creationId xmlns:a16="http://schemas.microsoft.com/office/drawing/2014/main" id="{33922BAA-1182-4C7C-B746-0CD281A69F8C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28" name="CasellaDiTesto 27">
          <a:extLst>
            <a:ext uri="{FF2B5EF4-FFF2-40B4-BE49-F238E27FC236}">
              <a16:creationId xmlns:a16="http://schemas.microsoft.com/office/drawing/2014/main" id="{4E3BFFF7-AB8A-41BB-8263-FF935E5FEB69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29" name="CasellaDiTesto 28">
          <a:extLst>
            <a:ext uri="{FF2B5EF4-FFF2-40B4-BE49-F238E27FC236}">
              <a16:creationId xmlns:a16="http://schemas.microsoft.com/office/drawing/2014/main" id="{E7FC044B-02B3-4ED5-A456-A03AB6A4E103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0" name="CasellaDiTesto 29">
          <a:extLst>
            <a:ext uri="{FF2B5EF4-FFF2-40B4-BE49-F238E27FC236}">
              <a16:creationId xmlns:a16="http://schemas.microsoft.com/office/drawing/2014/main" id="{9DFAD64C-488F-4EEB-A3A6-E4DC090DFC50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31" name="CasellaDiTesto 30">
          <a:extLst>
            <a:ext uri="{FF2B5EF4-FFF2-40B4-BE49-F238E27FC236}">
              <a16:creationId xmlns:a16="http://schemas.microsoft.com/office/drawing/2014/main" id="{31F76E12-3088-4FAD-BF12-CEB4FA05F09E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32" name="CasellaDiTesto 31">
          <a:extLst>
            <a:ext uri="{FF2B5EF4-FFF2-40B4-BE49-F238E27FC236}">
              <a16:creationId xmlns:a16="http://schemas.microsoft.com/office/drawing/2014/main" id="{8CDB99AD-5F06-4984-866F-0776667C89FE}"/>
            </a:ext>
          </a:extLst>
        </xdr:cNvPr>
        <xdr:cNvSpPr txBox="1"/>
      </xdr:nvSpPr>
      <xdr:spPr>
        <a:xfrm>
          <a:off x="301688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33" name="CasellaDiTesto 32">
          <a:extLst>
            <a:ext uri="{FF2B5EF4-FFF2-40B4-BE49-F238E27FC236}">
              <a16:creationId xmlns:a16="http://schemas.microsoft.com/office/drawing/2014/main" id="{ED99F09D-677B-4A05-A40D-E0028D2BC5F4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4" name="CasellaDiTesto 33">
          <a:extLst>
            <a:ext uri="{FF2B5EF4-FFF2-40B4-BE49-F238E27FC236}">
              <a16:creationId xmlns:a16="http://schemas.microsoft.com/office/drawing/2014/main" id="{FD3278F7-69E2-4DD8-9B2E-DCD79B0AA4FB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5" name="CasellaDiTesto 34">
          <a:extLst>
            <a:ext uri="{FF2B5EF4-FFF2-40B4-BE49-F238E27FC236}">
              <a16:creationId xmlns:a16="http://schemas.microsoft.com/office/drawing/2014/main" id="{687137F2-9FE5-4F26-AA07-A45B46041DBD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6" name="CasellaDiTesto 35">
          <a:extLst>
            <a:ext uri="{FF2B5EF4-FFF2-40B4-BE49-F238E27FC236}">
              <a16:creationId xmlns:a16="http://schemas.microsoft.com/office/drawing/2014/main" id="{FBB16714-BBDA-4B1B-9F27-BFE1C8816F58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37" name="CasellaDiTesto 36">
          <a:extLst>
            <a:ext uri="{FF2B5EF4-FFF2-40B4-BE49-F238E27FC236}">
              <a16:creationId xmlns:a16="http://schemas.microsoft.com/office/drawing/2014/main" id="{69AE0F98-09E2-4785-85FB-11A2674C9C50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38" name="CasellaDiTesto 37">
          <a:extLst>
            <a:ext uri="{FF2B5EF4-FFF2-40B4-BE49-F238E27FC236}">
              <a16:creationId xmlns:a16="http://schemas.microsoft.com/office/drawing/2014/main" id="{5D0E93AE-7E18-4521-9EFD-F816CCC1888D}"/>
            </a:ext>
          </a:extLst>
        </xdr:cNvPr>
        <xdr:cNvSpPr txBox="1"/>
      </xdr:nvSpPr>
      <xdr:spPr>
        <a:xfrm>
          <a:off x="301688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39" name="CasellaDiTesto 38">
          <a:extLst>
            <a:ext uri="{FF2B5EF4-FFF2-40B4-BE49-F238E27FC236}">
              <a16:creationId xmlns:a16="http://schemas.microsoft.com/office/drawing/2014/main" id="{F610405E-86BA-4B88-AA15-EF977380F207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0" name="CasellaDiTesto 39">
          <a:extLst>
            <a:ext uri="{FF2B5EF4-FFF2-40B4-BE49-F238E27FC236}">
              <a16:creationId xmlns:a16="http://schemas.microsoft.com/office/drawing/2014/main" id="{E3423445-840C-468A-973A-CBF5B32A4589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1" name="CasellaDiTesto 40">
          <a:extLst>
            <a:ext uri="{FF2B5EF4-FFF2-40B4-BE49-F238E27FC236}">
              <a16:creationId xmlns:a16="http://schemas.microsoft.com/office/drawing/2014/main" id="{0AEAF32C-C6B6-48D7-B821-805BCDBC1904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2" name="CasellaDiTesto 41">
          <a:extLst>
            <a:ext uri="{FF2B5EF4-FFF2-40B4-BE49-F238E27FC236}">
              <a16:creationId xmlns:a16="http://schemas.microsoft.com/office/drawing/2014/main" id="{77A759CE-04BE-41BE-9E02-A22C112FD6E8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43" name="CasellaDiTesto 42">
          <a:extLst>
            <a:ext uri="{FF2B5EF4-FFF2-40B4-BE49-F238E27FC236}">
              <a16:creationId xmlns:a16="http://schemas.microsoft.com/office/drawing/2014/main" id="{3A43DE71-CB90-4760-8A71-B58890D5E53A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44" name="CasellaDiTesto 43">
          <a:extLst>
            <a:ext uri="{FF2B5EF4-FFF2-40B4-BE49-F238E27FC236}">
              <a16:creationId xmlns:a16="http://schemas.microsoft.com/office/drawing/2014/main" id="{41C1F1DE-FCF7-4685-AF26-0354DDCFAB36}"/>
            </a:ext>
          </a:extLst>
        </xdr:cNvPr>
        <xdr:cNvSpPr txBox="1"/>
      </xdr:nvSpPr>
      <xdr:spPr>
        <a:xfrm>
          <a:off x="34550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45" name="CasellaDiTesto 44">
          <a:extLst>
            <a:ext uri="{FF2B5EF4-FFF2-40B4-BE49-F238E27FC236}">
              <a16:creationId xmlns:a16="http://schemas.microsoft.com/office/drawing/2014/main" id="{731FAEE6-6D54-4195-9F7B-15E819EDEE24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6" name="CasellaDiTesto 45">
          <a:extLst>
            <a:ext uri="{FF2B5EF4-FFF2-40B4-BE49-F238E27FC236}">
              <a16:creationId xmlns:a16="http://schemas.microsoft.com/office/drawing/2014/main" id="{8A7F30C4-2226-4E7F-BC17-FDBD865C4BE0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7" name="CasellaDiTesto 46">
          <a:extLst>
            <a:ext uri="{FF2B5EF4-FFF2-40B4-BE49-F238E27FC236}">
              <a16:creationId xmlns:a16="http://schemas.microsoft.com/office/drawing/2014/main" id="{891F4EB2-F743-463E-9DF0-CFA97D754FAA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8" name="CasellaDiTesto 47">
          <a:extLst>
            <a:ext uri="{FF2B5EF4-FFF2-40B4-BE49-F238E27FC236}">
              <a16:creationId xmlns:a16="http://schemas.microsoft.com/office/drawing/2014/main" id="{522905D9-DF0D-4808-86D1-1DE292F3C551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49" name="CasellaDiTesto 48">
          <a:extLst>
            <a:ext uri="{FF2B5EF4-FFF2-40B4-BE49-F238E27FC236}">
              <a16:creationId xmlns:a16="http://schemas.microsoft.com/office/drawing/2014/main" id="{61BA872C-E34A-4407-80C4-3AC389EE115D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50" name="CasellaDiTesto 49">
          <a:extLst>
            <a:ext uri="{FF2B5EF4-FFF2-40B4-BE49-F238E27FC236}">
              <a16:creationId xmlns:a16="http://schemas.microsoft.com/office/drawing/2014/main" id="{DED65E48-4281-4220-A6C9-8159877EC08D}"/>
            </a:ext>
          </a:extLst>
        </xdr:cNvPr>
        <xdr:cNvSpPr txBox="1"/>
      </xdr:nvSpPr>
      <xdr:spPr>
        <a:xfrm>
          <a:off x="34550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51" name="CasellaDiTesto 50">
          <a:extLst>
            <a:ext uri="{FF2B5EF4-FFF2-40B4-BE49-F238E27FC236}">
              <a16:creationId xmlns:a16="http://schemas.microsoft.com/office/drawing/2014/main" id="{196A24BE-7A39-4558-B121-7542AEEB9576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52" name="CasellaDiTesto 51">
          <a:extLst>
            <a:ext uri="{FF2B5EF4-FFF2-40B4-BE49-F238E27FC236}">
              <a16:creationId xmlns:a16="http://schemas.microsoft.com/office/drawing/2014/main" id="{9023FE58-1B8C-4822-BC44-7EBDB3677FCB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53" name="CasellaDiTesto 52">
          <a:extLst>
            <a:ext uri="{FF2B5EF4-FFF2-40B4-BE49-F238E27FC236}">
              <a16:creationId xmlns:a16="http://schemas.microsoft.com/office/drawing/2014/main" id="{E9AC3095-8D0F-45C6-8012-B45AB9B4CED2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54" name="CasellaDiTesto 53">
          <a:extLst>
            <a:ext uri="{FF2B5EF4-FFF2-40B4-BE49-F238E27FC236}">
              <a16:creationId xmlns:a16="http://schemas.microsoft.com/office/drawing/2014/main" id="{729B6923-FE43-48E4-8D61-9DE5DE9DEC7F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55" name="CasellaDiTesto 54">
          <a:extLst>
            <a:ext uri="{FF2B5EF4-FFF2-40B4-BE49-F238E27FC236}">
              <a16:creationId xmlns:a16="http://schemas.microsoft.com/office/drawing/2014/main" id="{7DC39BC2-F95B-4809-8BAB-AE165A945E52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41</xdr:row>
      <xdr:rowOff>0</xdr:rowOff>
    </xdr:from>
    <xdr:ext cx="184731" cy="264560"/>
    <xdr:sp macro="" textlink="">
      <xdr:nvSpPr>
        <xdr:cNvPr id="56" name="CasellaDiTesto 55">
          <a:extLst>
            <a:ext uri="{FF2B5EF4-FFF2-40B4-BE49-F238E27FC236}">
              <a16:creationId xmlns:a16="http://schemas.microsoft.com/office/drawing/2014/main" id="{C6E3CD92-A449-4766-A3C6-D84FFEFBC111}"/>
            </a:ext>
          </a:extLst>
        </xdr:cNvPr>
        <xdr:cNvSpPr txBox="1"/>
      </xdr:nvSpPr>
      <xdr:spPr>
        <a:xfrm>
          <a:off x="301688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57" name="CasellaDiTesto 56">
          <a:extLst>
            <a:ext uri="{FF2B5EF4-FFF2-40B4-BE49-F238E27FC236}">
              <a16:creationId xmlns:a16="http://schemas.microsoft.com/office/drawing/2014/main" id="{788306B1-EAB4-474D-9DA7-166C741B19C5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58" name="CasellaDiTesto 57">
          <a:extLst>
            <a:ext uri="{FF2B5EF4-FFF2-40B4-BE49-F238E27FC236}">
              <a16:creationId xmlns:a16="http://schemas.microsoft.com/office/drawing/2014/main" id="{9591950E-4D28-41B0-AD3E-950B1384000B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59" name="CasellaDiTesto 58">
          <a:extLst>
            <a:ext uri="{FF2B5EF4-FFF2-40B4-BE49-F238E27FC236}">
              <a16:creationId xmlns:a16="http://schemas.microsoft.com/office/drawing/2014/main" id="{340CD4BF-043B-4786-A470-E14F0731A462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60" name="CasellaDiTesto 59">
          <a:extLst>
            <a:ext uri="{FF2B5EF4-FFF2-40B4-BE49-F238E27FC236}">
              <a16:creationId xmlns:a16="http://schemas.microsoft.com/office/drawing/2014/main" id="{59515487-B192-418F-8735-402E19CBDE2E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61" name="CasellaDiTesto 60">
          <a:extLst>
            <a:ext uri="{FF2B5EF4-FFF2-40B4-BE49-F238E27FC236}">
              <a16:creationId xmlns:a16="http://schemas.microsoft.com/office/drawing/2014/main" id="{DFCB38BC-6A35-4D74-966A-117A32227C81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41</xdr:row>
      <xdr:rowOff>0</xdr:rowOff>
    </xdr:from>
    <xdr:ext cx="184731" cy="264560"/>
    <xdr:sp macro="" textlink="">
      <xdr:nvSpPr>
        <xdr:cNvPr id="62" name="CasellaDiTesto 61">
          <a:extLst>
            <a:ext uri="{FF2B5EF4-FFF2-40B4-BE49-F238E27FC236}">
              <a16:creationId xmlns:a16="http://schemas.microsoft.com/office/drawing/2014/main" id="{94036ABC-8FC2-44A0-B4E0-974785055DD3}"/>
            </a:ext>
          </a:extLst>
        </xdr:cNvPr>
        <xdr:cNvSpPr txBox="1"/>
      </xdr:nvSpPr>
      <xdr:spPr>
        <a:xfrm>
          <a:off x="301688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63" name="CasellaDiTesto 62">
          <a:extLst>
            <a:ext uri="{FF2B5EF4-FFF2-40B4-BE49-F238E27FC236}">
              <a16:creationId xmlns:a16="http://schemas.microsoft.com/office/drawing/2014/main" id="{68373CE9-1FCA-40DB-AC65-6B084444E1B1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64" name="CasellaDiTesto 63">
          <a:extLst>
            <a:ext uri="{FF2B5EF4-FFF2-40B4-BE49-F238E27FC236}">
              <a16:creationId xmlns:a16="http://schemas.microsoft.com/office/drawing/2014/main" id="{E9D52693-CD48-4DF0-96C5-C9F271DDD16C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65" name="CasellaDiTesto 64">
          <a:extLst>
            <a:ext uri="{FF2B5EF4-FFF2-40B4-BE49-F238E27FC236}">
              <a16:creationId xmlns:a16="http://schemas.microsoft.com/office/drawing/2014/main" id="{C9364F13-ECA8-4227-9A82-1320A40748B6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66" name="CasellaDiTesto 65">
          <a:extLst>
            <a:ext uri="{FF2B5EF4-FFF2-40B4-BE49-F238E27FC236}">
              <a16:creationId xmlns:a16="http://schemas.microsoft.com/office/drawing/2014/main" id="{928BE5F6-C82D-4694-BF6C-688B0C581EDA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67" name="CasellaDiTesto 66">
          <a:extLst>
            <a:ext uri="{FF2B5EF4-FFF2-40B4-BE49-F238E27FC236}">
              <a16:creationId xmlns:a16="http://schemas.microsoft.com/office/drawing/2014/main" id="{78AE4AB5-24FF-4B34-9583-956A6986BD9D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41</xdr:row>
      <xdr:rowOff>0</xdr:rowOff>
    </xdr:from>
    <xdr:ext cx="184731" cy="264560"/>
    <xdr:sp macro="" textlink="">
      <xdr:nvSpPr>
        <xdr:cNvPr id="68" name="CasellaDiTesto 67">
          <a:extLst>
            <a:ext uri="{FF2B5EF4-FFF2-40B4-BE49-F238E27FC236}">
              <a16:creationId xmlns:a16="http://schemas.microsoft.com/office/drawing/2014/main" id="{356B06BD-B9C5-4327-99B5-8BB273172579}"/>
            </a:ext>
          </a:extLst>
        </xdr:cNvPr>
        <xdr:cNvSpPr txBox="1"/>
      </xdr:nvSpPr>
      <xdr:spPr>
        <a:xfrm>
          <a:off x="345503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69" name="CasellaDiTesto 68">
          <a:extLst>
            <a:ext uri="{FF2B5EF4-FFF2-40B4-BE49-F238E27FC236}">
              <a16:creationId xmlns:a16="http://schemas.microsoft.com/office/drawing/2014/main" id="{CF712DD6-A059-4C7D-A6FA-417EBCCEC0E4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70" name="CasellaDiTesto 69">
          <a:extLst>
            <a:ext uri="{FF2B5EF4-FFF2-40B4-BE49-F238E27FC236}">
              <a16:creationId xmlns:a16="http://schemas.microsoft.com/office/drawing/2014/main" id="{41E429E9-D981-43B2-87E2-C678127ED6E2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71" name="CasellaDiTesto 70">
          <a:extLst>
            <a:ext uri="{FF2B5EF4-FFF2-40B4-BE49-F238E27FC236}">
              <a16:creationId xmlns:a16="http://schemas.microsoft.com/office/drawing/2014/main" id="{C33C087B-6724-4C04-B6D5-7ABB7ED4ECD2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72" name="CasellaDiTesto 71">
          <a:extLst>
            <a:ext uri="{FF2B5EF4-FFF2-40B4-BE49-F238E27FC236}">
              <a16:creationId xmlns:a16="http://schemas.microsoft.com/office/drawing/2014/main" id="{4F70FBCA-0E53-4D81-97E9-AA1267EB3C16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73" name="CasellaDiTesto 72">
          <a:extLst>
            <a:ext uri="{FF2B5EF4-FFF2-40B4-BE49-F238E27FC236}">
              <a16:creationId xmlns:a16="http://schemas.microsoft.com/office/drawing/2014/main" id="{7DDA25C9-37FD-4C6F-8F1B-91701DB33EF6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41</xdr:row>
      <xdr:rowOff>0</xdr:rowOff>
    </xdr:from>
    <xdr:ext cx="184731" cy="264560"/>
    <xdr:sp macro="" textlink="">
      <xdr:nvSpPr>
        <xdr:cNvPr id="74" name="CasellaDiTesto 73">
          <a:extLst>
            <a:ext uri="{FF2B5EF4-FFF2-40B4-BE49-F238E27FC236}">
              <a16:creationId xmlns:a16="http://schemas.microsoft.com/office/drawing/2014/main" id="{BC1B896E-6EAA-4F5B-9D16-E83E5FC4FC0E}"/>
            </a:ext>
          </a:extLst>
        </xdr:cNvPr>
        <xdr:cNvSpPr txBox="1"/>
      </xdr:nvSpPr>
      <xdr:spPr>
        <a:xfrm>
          <a:off x="345503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75" name="CasellaDiTesto 74">
          <a:extLst>
            <a:ext uri="{FF2B5EF4-FFF2-40B4-BE49-F238E27FC236}">
              <a16:creationId xmlns:a16="http://schemas.microsoft.com/office/drawing/2014/main" id="{34820E36-A7A2-4D9C-BB2D-1B0A73635A5E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76" name="CasellaDiTesto 75">
          <a:extLst>
            <a:ext uri="{FF2B5EF4-FFF2-40B4-BE49-F238E27FC236}">
              <a16:creationId xmlns:a16="http://schemas.microsoft.com/office/drawing/2014/main" id="{E4DD8E34-0F86-45A2-8081-D8E4612D3E37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77" name="CasellaDiTesto 76">
          <a:extLst>
            <a:ext uri="{FF2B5EF4-FFF2-40B4-BE49-F238E27FC236}">
              <a16:creationId xmlns:a16="http://schemas.microsoft.com/office/drawing/2014/main" id="{3E030308-973C-41B4-AFA9-D3A9ABF9DE2B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78" name="CasellaDiTesto 77">
          <a:extLst>
            <a:ext uri="{FF2B5EF4-FFF2-40B4-BE49-F238E27FC236}">
              <a16:creationId xmlns:a16="http://schemas.microsoft.com/office/drawing/2014/main" id="{942E0F75-278E-49A1-A0EE-7086516B903E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79" name="CasellaDiTesto 78">
          <a:extLst>
            <a:ext uri="{FF2B5EF4-FFF2-40B4-BE49-F238E27FC236}">
              <a16:creationId xmlns:a16="http://schemas.microsoft.com/office/drawing/2014/main" id="{5E615007-4615-46C1-9D99-E645609A9B52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41</xdr:row>
      <xdr:rowOff>0</xdr:rowOff>
    </xdr:from>
    <xdr:ext cx="184731" cy="264560"/>
    <xdr:sp macro="" textlink="">
      <xdr:nvSpPr>
        <xdr:cNvPr id="80" name="CasellaDiTesto 79">
          <a:extLst>
            <a:ext uri="{FF2B5EF4-FFF2-40B4-BE49-F238E27FC236}">
              <a16:creationId xmlns:a16="http://schemas.microsoft.com/office/drawing/2014/main" id="{FFB52EA9-01ED-47CC-8794-7C5243045396}"/>
            </a:ext>
          </a:extLst>
        </xdr:cNvPr>
        <xdr:cNvSpPr txBox="1"/>
      </xdr:nvSpPr>
      <xdr:spPr>
        <a:xfrm>
          <a:off x="301688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81" name="CasellaDiTesto 80">
          <a:extLst>
            <a:ext uri="{FF2B5EF4-FFF2-40B4-BE49-F238E27FC236}">
              <a16:creationId xmlns:a16="http://schemas.microsoft.com/office/drawing/2014/main" id="{24A1B7D3-DDEF-495C-BE4D-8F879B20EC4C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82" name="CasellaDiTesto 81">
          <a:extLst>
            <a:ext uri="{FF2B5EF4-FFF2-40B4-BE49-F238E27FC236}">
              <a16:creationId xmlns:a16="http://schemas.microsoft.com/office/drawing/2014/main" id="{AE0632F4-3AB3-44F5-9C5D-2BE3652FF49D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83" name="CasellaDiTesto 82">
          <a:extLst>
            <a:ext uri="{FF2B5EF4-FFF2-40B4-BE49-F238E27FC236}">
              <a16:creationId xmlns:a16="http://schemas.microsoft.com/office/drawing/2014/main" id="{0448EEF6-1EB7-431D-99B0-999F34596EF5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84" name="CasellaDiTesto 83">
          <a:extLst>
            <a:ext uri="{FF2B5EF4-FFF2-40B4-BE49-F238E27FC236}">
              <a16:creationId xmlns:a16="http://schemas.microsoft.com/office/drawing/2014/main" id="{578B9AF5-6C3B-41C1-B908-ACA64ADBFBB8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85" name="CasellaDiTesto 84">
          <a:extLst>
            <a:ext uri="{FF2B5EF4-FFF2-40B4-BE49-F238E27FC236}">
              <a16:creationId xmlns:a16="http://schemas.microsoft.com/office/drawing/2014/main" id="{38B6280F-3CAE-4F51-8C4C-794DF2FB55B8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41</xdr:row>
      <xdr:rowOff>0</xdr:rowOff>
    </xdr:from>
    <xdr:ext cx="184731" cy="264560"/>
    <xdr:sp macro="" textlink="">
      <xdr:nvSpPr>
        <xdr:cNvPr id="86" name="CasellaDiTesto 85">
          <a:extLst>
            <a:ext uri="{FF2B5EF4-FFF2-40B4-BE49-F238E27FC236}">
              <a16:creationId xmlns:a16="http://schemas.microsoft.com/office/drawing/2014/main" id="{4184191E-24C1-4569-A17D-DAC14D45EAB8}"/>
            </a:ext>
          </a:extLst>
        </xdr:cNvPr>
        <xdr:cNvSpPr txBox="1"/>
      </xdr:nvSpPr>
      <xdr:spPr>
        <a:xfrm>
          <a:off x="301688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87" name="CasellaDiTesto 86">
          <a:extLst>
            <a:ext uri="{FF2B5EF4-FFF2-40B4-BE49-F238E27FC236}">
              <a16:creationId xmlns:a16="http://schemas.microsoft.com/office/drawing/2014/main" id="{914DF20B-A3A4-4762-B533-3A3943894A47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88" name="CasellaDiTesto 87">
          <a:extLst>
            <a:ext uri="{FF2B5EF4-FFF2-40B4-BE49-F238E27FC236}">
              <a16:creationId xmlns:a16="http://schemas.microsoft.com/office/drawing/2014/main" id="{C0BB0F39-617A-4D4D-909A-2878A91924CB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89" name="CasellaDiTesto 88">
          <a:extLst>
            <a:ext uri="{FF2B5EF4-FFF2-40B4-BE49-F238E27FC236}">
              <a16:creationId xmlns:a16="http://schemas.microsoft.com/office/drawing/2014/main" id="{9E3CC5E8-0C5B-4D23-94DF-A69354375422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90" name="CasellaDiTesto 89">
          <a:extLst>
            <a:ext uri="{FF2B5EF4-FFF2-40B4-BE49-F238E27FC236}">
              <a16:creationId xmlns:a16="http://schemas.microsoft.com/office/drawing/2014/main" id="{65B69A2D-9055-4C83-8B6F-2812089DE44C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91" name="CasellaDiTesto 90">
          <a:extLst>
            <a:ext uri="{FF2B5EF4-FFF2-40B4-BE49-F238E27FC236}">
              <a16:creationId xmlns:a16="http://schemas.microsoft.com/office/drawing/2014/main" id="{54FC9748-A65C-4A6D-93E4-3B19C5AFC572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41</xdr:row>
      <xdr:rowOff>0</xdr:rowOff>
    </xdr:from>
    <xdr:ext cx="184731" cy="264560"/>
    <xdr:sp macro="" textlink="">
      <xdr:nvSpPr>
        <xdr:cNvPr id="92" name="CasellaDiTesto 91">
          <a:extLst>
            <a:ext uri="{FF2B5EF4-FFF2-40B4-BE49-F238E27FC236}">
              <a16:creationId xmlns:a16="http://schemas.microsoft.com/office/drawing/2014/main" id="{F84DBDCE-94C4-482C-8152-4F2CBBDDBF6F}"/>
            </a:ext>
          </a:extLst>
        </xdr:cNvPr>
        <xdr:cNvSpPr txBox="1"/>
      </xdr:nvSpPr>
      <xdr:spPr>
        <a:xfrm>
          <a:off x="345503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93" name="CasellaDiTesto 92">
          <a:extLst>
            <a:ext uri="{FF2B5EF4-FFF2-40B4-BE49-F238E27FC236}">
              <a16:creationId xmlns:a16="http://schemas.microsoft.com/office/drawing/2014/main" id="{7CAB3DF8-14C5-4EBA-A827-457760C1B5FE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94" name="CasellaDiTesto 93">
          <a:extLst>
            <a:ext uri="{FF2B5EF4-FFF2-40B4-BE49-F238E27FC236}">
              <a16:creationId xmlns:a16="http://schemas.microsoft.com/office/drawing/2014/main" id="{3830C95C-CF05-4EFB-AB9B-70738ABF8762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95" name="CasellaDiTesto 94">
          <a:extLst>
            <a:ext uri="{FF2B5EF4-FFF2-40B4-BE49-F238E27FC236}">
              <a16:creationId xmlns:a16="http://schemas.microsoft.com/office/drawing/2014/main" id="{939C7DC7-F95D-4BC2-902D-EE0594F04E74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96" name="CasellaDiTesto 95">
          <a:extLst>
            <a:ext uri="{FF2B5EF4-FFF2-40B4-BE49-F238E27FC236}">
              <a16:creationId xmlns:a16="http://schemas.microsoft.com/office/drawing/2014/main" id="{70DE54B8-A6E5-43DC-9C4A-C36D141C3C48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97" name="CasellaDiTesto 96">
          <a:extLst>
            <a:ext uri="{FF2B5EF4-FFF2-40B4-BE49-F238E27FC236}">
              <a16:creationId xmlns:a16="http://schemas.microsoft.com/office/drawing/2014/main" id="{A413E98C-37EA-4B68-82B2-2128B867E0BA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41</xdr:row>
      <xdr:rowOff>0</xdr:rowOff>
    </xdr:from>
    <xdr:ext cx="184731" cy="264560"/>
    <xdr:sp macro="" textlink="">
      <xdr:nvSpPr>
        <xdr:cNvPr id="98" name="CasellaDiTesto 97">
          <a:extLst>
            <a:ext uri="{FF2B5EF4-FFF2-40B4-BE49-F238E27FC236}">
              <a16:creationId xmlns:a16="http://schemas.microsoft.com/office/drawing/2014/main" id="{9C7E715D-5B37-4F5B-AF59-BC9F5B22277A}"/>
            </a:ext>
          </a:extLst>
        </xdr:cNvPr>
        <xdr:cNvSpPr txBox="1"/>
      </xdr:nvSpPr>
      <xdr:spPr>
        <a:xfrm>
          <a:off x="345503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99" name="CasellaDiTesto 98">
          <a:extLst>
            <a:ext uri="{FF2B5EF4-FFF2-40B4-BE49-F238E27FC236}">
              <a16:creationId xmlns:a16="http://schemas.microsoft.com/office/drawing/2014/main" id="{E763030B-B9F1-4372-9756-D5451B2EC2CD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14</xdr:col>
      <xdr:colOff>326950</xdr:colOff>
      <xdr:row>70</xdr:row>
      <xdr:rowOff>17041</xdr:rowOff>
    </xdr:from>
    <xdr:ext cx="1111250" cy="688274"/>
    <xdr:pic>
      <xdr:nvPicPr>
        <xdr:cNvPr id="101" name="Immagine 100">
          <a:extLst>
            <a:ext uri="{FF2B5EF4-FFF2-40B4-BE49-F238E27FC236}">
              <a16:creationId xmlns:a16="http://schemas.microsoft.com/office/drawing/2014/main" id="{36F03331-2F77-4EEC-8E23-E70952DDE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5850" y="45394141"/>
          <a:ext cx="1111250" cy="68827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5BD37E7-78EC-42E4-B695-0D3CEFFA5153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478FD80B-EAED-43AD-B9BF-EF0AB8B792D2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71A04CC0-BF99-44AD-8A66-2C20882D90E9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DE510222-CBE8-4721-8CC9-92FF82561DE8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794E5F26-B212-4C14-AE31-06C4019001EF}"/>
            </a:ext>
          </a:extLst>
        </xdr:cNvPr>
        <xdr:cNvSpPr txBox="1"/>
      </xdr:nvSpPr>
      <xdr:spPr>
        <a:xfrm>
          <a:off x="315214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E7358726-CB45-487B-A63D-7CADC0B51E0E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A17E8276-ABD0-47A8-A148-01F2E611AEB7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9" name="CasellaDiTesto 8">
          <a:extLst>
            <a:ext uri="{FF2B5EF4-FFF2-40B4-BE49-F238E27FC236}">
              <a16:creationId xmlns:a16="http://schemas.microsoft.com/office/drawing/2014/main" id="{BC0A35E0-922C-4F85-8BEA-03ED824E013B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0782ED43-3F36-48FB-85EB-0A1737F9EDB3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11" name="CasellaDiTesto 10">
          <a:extLst>
            <a:ext uri="{FF2B5EF4-FFF2-40B4-BE49-F238E27FC236}">
              <a16:creationId xmlns:a16="http://schemas.microsoft.com/office/drawing/2014/main" id="{E6A59D17-6C8E-4936-8140-730D2B74A30E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12" name="CasellaDiTesto 11">
          <a:extLst>
            <a:ext uri="{FF2B5EF4-FFF2-40B4-BE49-F238E27FC236}">
              <a16:creationId xmlns:a16="http://schemas.microsoft.com/office/drawing/2014/main" id="{BF457F6E-1E84-4DDF-8F36-6C313461E706}"/>
            </a:ext>
          </a:extLst>
        </xdr:cNvPr>
        <xdr:cNvSpPr txBox="1"/>
      </xdr:nvSpPr>
      <xdr:spPr>
        <a:xfrm>
          <a:off x="315214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13" name="CasellaDiTesto 12">
          <a:extLst>
            <a:ext uri="{FF2B5EF4-FFF2-40B4-BE49-F238E27FC236}">
              <a16:creationId xmlns:a16="http://schemas.microsoft.com/office/drawing/2014/main" id="{B52567FC-C269-43B5-B2A5-40578D333B37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14" name="CasellaDiTesto 13">
          <a:extLst>
            <a:ext uri="{FF2B5EF4-FFF2-40B4-BE49-F238E27FC236}">
              <a16:creationId xmlns:a16="http://schemas.microsoft.com/office/drawing/2014/main" id="{6A623B26-DAD6-44C2-9F71-D3093C36321A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15" name="CasellaDiTesto 14">
          <a:extLst>
            <a:ext uri="{FF2B5EF4-FFF2-40B4-BE49-F238E27FC236}">
              <a16:creationId xmlns:a16="http://schemas.microsoft.com/office/drawing/2014/main" id="{C538A215-AF7B-432C-8100-BCA40979CA2F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B66EF296-0C0E-401A-91EA-FD9F3295D573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17" name="CasellaDiTesto 16">
          <a:extLst>
            <a:ext uri="{FF2B5EF4-FFF2-40B4-BE49-F238E27FC236}">
              <a16:creationId xmlns:a16="http://schemas.microsoft.com/office/drawing/2014/main" id="{086824B5-79A0-43FF-8CFE-88A3C2FF4A83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18" name="CasellaDiTesto 17">
          <a:extLst>
            <a:ext uri="{FF2B5EF4-FFF2-40B4-BE49-F238E27FC236}">
              <a16:creationId xmlns:a16="http://schemas.microsoft.com/office/drawing/2014/main" id="{3FFC29F2-693D-4196-8606-FFE415F79CEA}"/>
            </a:ext>
          </a:extLst>
        </xdr:cNvPr>
        <xdr:cNvSpPr txBox="1"/>
      </xdr:nvSpPr>
      <xdr:spPr>
        <a:xfrm>
          <a:off x="359029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19" name="CasellaDiTesto 18">
          <a:extLst>
            <a:ext uri="{FF2B5EF4-FFF2-40B4-BE49-F238E27FC236}">
              <a16:creationId xmlns:a16="http://schemas.microsoft.com/office/drawing/2014/main" id="{B115C58B-9322-486B-AB26-5EDB9689B881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20" name="CasellaDiTesto 19">
          <a:extLst>
            <a:ext uri="{FF2B5EF4-FFF2-40B4-BE49-F238E27FC236}">
              <a16:creationId xmlns:a16="http://schemas.microsoft.com/office/drawing/2014/main" id="{9E570AF3-9952-415C-BCAA-958343D97CA0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21" name="CasellaDiTesto 20">
          <a:extLst>
            <a:ext uri="{FF2B5EF4-FFF2-40B4-BE49-F238E27FC236}">
              <a16:creationId xmlns:a16="http://schemas.microsoft.com/office/drawing/2014/main" id="{0A655EDE-2752-4FAE-ABEE-50E20323823D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22" name="CasellaDiTesto 21">
          <a:extLst>
            <a:ext uri="{FF2B5EF4-FFF2-40B4-BE49-F238E27FC236}">
              <a16:creationId xmlns:a16="http://schemas.microsoft.com/office/drawing/2014/main" id="{903BE421-D49D-4D07-9946-D8248948B440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23" name="CasellaDiTesto 22">
          <a:extLst>
            <a:ext uri="{FF2B5EF4-FFF2-40B4-BE49-F238E27FC236}">
              <a16:creationId xmlns:a16="http://schemas.microsoft.com/office/drawing/2014/main" id="{86303840-FC2E-444D-8772-51AE4A22477D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24" name="CasellaDiTesto 23">
          <a:extLst>
            <a:ext uri="{FF2B5EF4-FFF2-40B4-BE49-F238E27FC236}">
              <a16:creationId xmlns:a16="http://schemas.microsoft.com/office/drawing/2014/main" id="{B7C253F9-C646-4D86-97A0-7E3D770DE908}"/>
            </a:ext>
          </a:extLst>
        </xdr:cNvPr>
        <xdr:cNvSpPr txBox="1"/>
      </xdr:nvSpPr>
      <xdr:spPr>
        <a:xfrm>
          <a:off x="359029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25" name="CasellaDiTesto 24">
          <a:extLst>
            <a:ext uri="{FF2B5EF4-FFF2-40B4-BE49-F238E27FC236}">
              <a16:creationId xmlns:a16="http://schemas.microsoft.com/office/drawing/2014/main" id="{CDD76F44-EA60-4152-B342-C30C68FBA24B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26" name="CasellaDiTesto 25">
          <a:extLst>
            <a:ext uri="{FF2B5EF4-FFF2-40B4-BE49-F238E27FC236}">
              <a16:creationId xmlns:a16="http://schemas.microsoft.com/office/drawing/2014/main" id="{5111DF49-531C-4264-8B85-975977E86055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27" name="CasellaDiTesto 26">
          <a:extLst>
            <a:ext uri="{FF2B5EF4-FFF2-40B4-BE49-F238E27FC236}">
              <a16:creationId xmlns:a16="http://schemas.microsoft.com/office/drawing/2014/main" id="{74E8A796-0D17-4B15-B9C5-E4507655C58C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28" name="CasellaDiTesto 27">
          <a:extLst>
            <a:ext uri="{FF2B5EF4-FFF2-40B4-BE49-F238E27FC236}">
              <a16:creationId xmlns:a16="http://schemas.microsoft.com/office/drawing/2014/main" id="{4975ABF9-DB2B-4AF4-A9ED-89028A041023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29" name="CasellaDiTesto 28">
          <a:extLst>
            <a:ext uri="{FF2B5EF4-FFF2-40B4-BE49-F238E27FC236}">
              <a16:creationId xmlns:a16="http://schemas.microsoft.com/office/drawing/2014/main" id="{5178FA43-F52D-49B1-A17F-BCB47DEA3B5C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30" name="CasellaDiTesto 29">
          <a:extLst>
            <a:ext uri="{FF2B5EF4-FFF2-40B4-BE49-F238E27FC236}">
              <a16:creationId xmlns:a16="http://schemas.microsoft.com/office/drawing/2014/main" id="{CCA8D5F4-BAC5-480F-8090-D93323FE2812}"/>
            </a:ext>
          </a:extLst>
        </xdr:cNvPr>
        <xdr:cNvSpPr txBox="1"/>
      </xdr:nvSpPr>
      <xdr:spPr>
        <a:xfrm>
          <a:off x="315214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31" name="CasellaDiTesto 30">
          <a:extLst>
            <a:ext uri="{FF2B5EF4-FFF2-40B4-BE49-F238E27FC236}">
              <a16:creationId xmlns:a16="http://schemas.microsoft.com/office/drawing/2014/main" id="{CD04C008-6A68-4399-AAE4-4AAA6E0B3DEF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2" name="CasellaDiTesto 31">
          <a:extLst>
            <a:ext uri="{FF2B5EF4-FFF2-40B4-BE49-F238E27FC236}">
              <a16:creationId xmlns:a16="http://schemas.microsoft.com/office/drawing/2014/main" id="{721C4886-1E09-4144-B708-FB7AB3F57D3B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3" name="CasellaDiTesto 32">
          <a:extLst>
            <a:ext uri="{FF2B5EF4-FFF2-40B4-BE49-F238E27FC236}">
              <a16:creationId xmlns:a16="http://schemas.microsoft.com/office/drawing/2014/main" id="{A9DFE3A5-E5AB-42EE-B618-C2378B605B48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4" name="CasellaDiTesto 33">
          <a:extLst>
            <a:ext uri="{FF2B5EF4-FFF2-40B4-BE49-F238E27FC236}">
              <a16:creationId xmlns:a16="http://schemas.microsoft.com/office/drawing/2014/main" id="{14F8AAC5-0634-41A2-B24F-759250BC2B8A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35" name="CasellaDiTesto 34">
          <a:extLst>
            <a:ext uri="{FF2B5EF4-FFF2-40B4-BE49-F238E27FC236}">
              <a16:creationId xmlns:a16="http://schemas.microsoft.com/office/drawing/2014/main" id="{C85BEC4D-B287-4690-BE52-BA08FF82E376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36" name="CasellaDiTesto 35">
          <a:extLst>
            <a:ext uri="{FF2B5EF4-FFF2-40B4-BE49-F238E27FC236}">
              <a16:creationId xmlns:a16="http://schemas.microsoft.com/office/drawing/2014/main" id="{E93958FE-610A-44DC-A6A7-558F21E1D8CE}"/>
            </a:ext>
          </a:extLst>
        </xdr:cNvPr>
        <xdr:cNvSpPr txBox="1"/>
      </xdr:nvSpPr>
      <xdr:spPr>
        <a:xfrm>
          <a:off x="315214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37" name="CasellaDiTesto 36">
          <a:extLst>
            <a:ext uri="{FF2B5EF4-FFF2-40B4-BE49-F238E27FC236}">
              <a16:creationId xmlns:a16="http://schemas.microsoft.com/office/drawing/2014/main" id="{9D551F84-C8B8-468F-98C0-B1D2385143A4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38" name="CasellaDiTesto 37">
          <a:extLst>
            <a:ext uri="{FF2B5EF4-FFF2-40B4-BE49-F238E27FC236}">
              <a16:creationId xmlns:a16="http://schemas.microsoft.com/office/drawing/2014/main" id="{A1F5F5EF-09FB-46D6-BA22-2406B7D878F8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39" name="CasellaDiTesto 38">
          <a:extLst>
            <a:ext uri="{FF2B5EF4-FFF2-40B4-BE49-F238E27FC236}">
              <a16:creationId xmlns:a16="http://schemas.microsoft.com/office/drawing/2014/main" id="{161C03F7-2438-459E-BF2D-788642851375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0" name="CasellaDiTesto 39">
          <a:extLst>
            <a:ext uri="{FF2B5EF4-FFF2-40B4-BE49-F238E27FC236}">
              <a16:creationId xmlns:a16="http://schemas.microsoft.com/office/drawing/2014/main" id="{A97D6496-1283-4BE1-B0AB-FC33298BE25E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41" name="CasellaDiTesto 40">
          <a:extLst>
            <a:ext uri="{FF2B5EF4-FFF2-40B4-BE49-F238E27FC236}">
              <a16:creationId xmlns:a16="http://schemas.microsoft.com/office/drawing/2014/main" id="{793CAD43-D235-41AC-8D78-BE8C214D852C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42" name="CasellaDiTesto 41">
          <a:extLst>
            <a:ext uri="{FF2B5EF4-FFF2-40B4-BE49-F238E27FC236}">
              <a16:creationId xmlns:a16="http://schemas.microsoft.com/office/drawing/2014/main" id="{869C439A-FA5F-4127-8F01-C40481640425}"/>
            </a:ext>
          </a:extLst>
        </xdr:cNvPr>
        <xdr:cNvSpPr txBox="1"/>
      </xdr:nvSpPr>
      <xdr:spPr>
        <a:xfrm>
          <a:off x="359029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43" name="CasellaDiTesto 42">
          <a:extLst>
            <a:ext uri="{FF2B5EF4-FFF2-40B4-BE49-F238E27FC236}">
              <a16:creationId xmlns:a16="http://schemas.microsoft.com/office/drawing/2014/main" id="{04FB759E-7DF3-47CF-866A-8155FF865195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4" name="CasellaDiTesto 43">
          <a:extLst>
            <a:ext uri="{FF2B5EF4-FFF2-40B4-BE49-F238E27FC236}">
              <a16:creationId xmlns:a16="http://schemas.microsoft.com/office/drawing/2014/main" id="{B079D082-7183-49F2-975C-5454ED9057B2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5" name="CasellaDiTesto 44">
          <a:extLst>
            <a:ext uri="{FF2B5EF4-FFF2-40B4-BE49-F238E27FC236}">
              <a16:creationId xmlns:a16="http://schemas.microsoft.com/office/drawing/2014/main" id="{FDCF7E7C-5A4B-4DC2-AFEA-C9E40C387CDB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6" name="CasellaDiTesto 45">
          <a:extLst>
            <a:ext uri="{FF2B5EF4-FFF2-40B4-BE49-F238E27FC236}">
              <a16:creationId xmlns:a16="http://schemas.microsoft.com/office/drawing/2014/main" id="{0D6D873F-8184-4400-A5FA-8309683628D7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47" name="CasellaDiTesto 46">
          <a:extLst>
            <a:ext uri="{FF2B5EF4-FFF2-40B4-BE49-F238E27FC236}">
              <a16:creationId xmlns:a16="http://schemas.microsoft.com/office/drawing/2014/main" id="{AAC53DCC-F5C5-4C60-80A2-0AD9C850AF0F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48" name="CasellaDiTesto 47">
          <a:extLst>
            <a:ext uri="{FF2B5EF4-FFF2-40B4-BE49-F238E27FC236}">
              <a16:creationId xmlns:a16="http://schemas.microsoft.com/office/drawing/2014/main" id="{E0170B3D-E18D-4B26-A9AE-3A6DBF72D460}"/>
            </a:ext>
          </a:extLst>
        </xdr:cNvPr>
        <xdr:cNvSpPr txBox="1"/>
      </xdr:nvSpPr>
      <xdr:spPr>
        <a:xfrm>
          <a:off x="359029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49" name="CasellaDiTesto 48">
          <a:extLst>
            <a:ext uri="{FF2B5EF4-FFF2-40B4-BE49-F238E27FC236}">
              <a16:creationId xmlns:a16="http://schemas.microsoft.com/office/drawing/2014/main" id="{3031F2AD-3C38-494F-866F-7D3017BC1CAA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43</xdr:row>
      <xdr:rowOff>0</xdr:rowOff>
    </xdr:from>
    <xdr:ext cx="184731" cy="264560"/>
    <xdr:sp macro="" textlink="">
      <xdr:nvSpPr>
        <xdr:cNvPr id="50" name="CasellaDiTesto 49">
          <a:extLst>
            <a:ext uri="{FF2B5EF4-FFF2-40B4-BE49-F238E27FC236}">
              <a16:creationId xmlns:a16="http://schemas.microsoft.com/office/drawing/2014/main" id="{8807AFA4-1DCF-499C-994D-A57D1A06A15A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43</xdr:row>
      <xdr:rowOff>0</xdr:rowOff>
    </xdr:from>
    <xdr:ext cx="184731" cy="264560"/>
    <xdr:sp macro="" textlink="">
      <xdr:nvSpPr>
        <xdr:cNvPr id="51" name="CasellaDiTesto 50">
          <a:extLst>
            <a:ext uri="{FF2B5EF4-FFF2-40B4-BE49-F238E27FC236}">
              <a16:creationId xmlns:a16="http://schemas.microsoft.com/office/drawing/2014/main" id="{B3D6C21F-50CF-411F-AF30-29160739B828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43</xdr:row>
      <xdr:rowOff>0</xdr:rowOff>
    </xdr:from>
    <xdr:ext cx="184731" cy="264560"/>
    <xdr:sp macro="" textlink="">
      <xdr:nvSpPr>
        <xdr:cNvPr id="52" name="CasellaDiTesto 51">
          <a:extLst>
            <a:ext uri="{FF2B5EF4-FFF2-40B4-BE49-F238E27FC236}">
              <a16:creationId xmlns:a16="http://schemas.microsoft.com/office/drawing/2014/main" id="{7C611A91-B799-4540-9F87-8064B9405A03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43</xdr:row>
      <xdr:rowOff>0</xdr:rowOff>
    </xdr:from>
    <xdr:ext cx="184731" cy="264560"/>
    <xdr:sp macro="" textlink="">
      <xdr:nvSpPr>
        <xdr:cNvPr id="53" name="CasellaDiTesto 52">
          <a:extLst>
            <a:ext uri="{FF2B5EF4-FFF2-40B4-BE49-F238E27FC236}">
              <a16:creationId xmlns:a16="http://schemas.microsoft.com/office/drawing/2014/main" id="{89BC9BAA-0F32-426E-83A9-48EABA3AAFED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43</xdr:row>
      <xdr:rowOff>0</xdr:rowOff>
    </xdr:from>
    <xdr:ext cx="184731" cy="264560"/>
    <xdr:sp macro="" textlink="">
      <xdr:nvSpPr>
        <xdr:cNvPr id="54" name="CasellaDiTesto 53">
          <a:extLst>
            <a:ext uri="{FF2B5EF4-FFF2-40B4-BE49-F238E27FC236}">
              <a16:creationId xmlns:a16="http://schemas.microsoft.com/office/drawing/2014/main" id="{34E35A17-3C95-47D9-B04B-DA3775BE422F}"/>
            </a:ext>
          </a:extLst>
        </xdr:cNvPr>
        <xdr:cNvSpPr txBox="1"/>
      </xdr:nvSpPr>
      <xdr:spPr>
        <a:xfrm>
          <a:off x="315214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43</xdr:row>
      <xdr:rowOff>0</xdr:rowOff>
    </xdr:from>
    <xdr:ext cx="184731" cy="264560"/>
    <xdr:sp macro="" textlink="">
      <xdr:nvSpPr>
        <xdr:cNvPr id="55" name="CasellaDiTesto 54">
          <a:extLst>
            <a:ext uri="{FF2B5EF4-FFF2-40B4-BE49-F238E27FC236}">
              <a16:creationId xmlns:a16="http://schemas.microsoft.com/office/drawing/2014/main" id="{22A7B742-B50F-4535-8AC7-02DB91EF1ED0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43</xdr:row>
      <xdr:rowOff>0</xdr:rowOff>
    </xdr:from>
    <xdr:ext cx="184731" cy="264560"/>
    <xdr:sp macro="" textlink="">
      <xdr:nvSpPr>
        <xdr:cNvPr id="56" name="CasellaDiTesto 55">
          <a:extLst>
            <a:ext uri="{FF2B5EF4-FFF2-40B4-BE49-F238E27FC236}">
              <a16:creationId xmlns:a16="http://schemas.microsoft.com/office/drawing/2014/main" id="{FEE70B7C-1744-47B1-8CF9-BCE9B45DB32D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43</xdr:row>
      <xdr:rowOff>0</xdr:rowOff>
    </xdr:from>
    <xdr:ext cx="184731" cy="264560"/>
    <xdr:sp macro="" textlink="">
      <xdr:nvSpPr>
        <xdr:cNvPr id="57" name="CasellaDiTesto 56">
          <a:extLst>
            <a:ext uri="{FF2B5EF4-FFF2-40B4-BE49-F238E27FC236}">
              <a16:creationId xmlns:a16="http://schemas.microsoft.com/office/drawing/2014/main" id="{D1F51726-68DA-4BDB-B5BC-9053EAD75E19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43</xdr:row>
      <xdr:rowOff>0</xdr:rowOff>
    </xdr:from>
    <xdr:ext cx="184731" cy="264560"/>
    <xdr:sp macro="" textlink="">
      <xdr:nvSpPr>
        <xdr:cNvPr id="58" name="CasellaDiTesto 57">
          <a:extLst>
            <a:ext uri="{FF2B5EF4-FFF2-40B4-BE49-F238E27FC236}">
              <a16:creationId xmlns:a16="http://schemas.microsoft.com/office/drawing/2014/main" id="{B01A9D9B-00F8-4B25-A754-BADA195788FF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43</xdr:row>
      <xdr:rowOff>0</xdr:rowOff>
    </xdr:from>
    <xdr:ext cx="184731" cy="264560"/>
    <xdr:sp macro="" textlink="">
      <xdr:nvSpPr>
        <xdr:cNvPr id="59" name="CasellaDiTesto 58">
          <a:extLst>
            <a:ext uri="{FF2B5EF4-FFF2-40B4-BE49-F238E27FC236}">
              <a16:creationId xmlns:a16="http://schemas.microsoft.com/office/drawing/2014/main" id="{88D23DE6-CF99-4E50-B415-79814A9E921F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43</xdr:row>
      <xdr:rowOff>0</xdr:rowOff>
    </xdr:from>
    <xdr:ext cx="184731" cy="264560"/>
    <xdr:sp macro="" textlink="">
      <xdr:nvSpPr>
        <xdr:cNvPr id="60" name="CasellaDiTesto 59">
          <a:extLst>
            <a:ext uri="{FF2B5EF4-FFF2-40B4-BE49-F238E27FC236}">
              <a16:creationId xmlns:a16="http://schemas.microsoft.com/office/drawing/2014/main" id="{5E2987CC-9B58-4245-BF60-878500966BDB}"/>
            </a:ext>
          </a:extLst>
        </xdr:cNvPr>
        <xdr:cNvSpPr txBox="1"/>
      </xdr:nvSpPr>
      <xdr:spPr>
        <a:xfrm>
          <a:off x="315214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43</xdr:row>
      <xdr:rowOff>0</xdr:rowOff>
    </xdr:from>
    <xdr:ext cx="184731" cy="264560"/>
    <xdr:sp macro="" textlink="">
      <xdr:nvSpPr>
        <xdr:cNvPr id="61" name="CasellaDiTesto 60">
          <a:extLst>
            <a:ext uri="{FF2B5EF4-FFF2-40B4-BE49-F238E27FC236}">
              <a16:creationId xmlns:a16="http://schemas.microsoft.com/office/drawing/2014/main" id="{4161A834-B03C-494D-AB27-FC1653573B14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43</xdr:row>
      <xdr:rowOff>0</xdr:rowOff>
    </xdr:from>
    <xdr:ext cx="184731" cy="264560"/>
    <xdr:sp macro="" textlink="">
      <xdr:nvSpPr>
        <xdr:cNvPr id="62" name="CasellaDiTesto 61">
          <a:extLst>
            <a:ext uri="{FF2B5EF4-FFF2-40B4-BE49-F238E27FC236}">
              <a16:creationId xmlns:a16="http://schemas.microsoft.com/office/drawing/2014/main" id="{BA442A3E-9628-4CA9-8CFE-CAD5E162C6B6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43</xdr:row>
      <xdr:rowOff>0</xdr:rowOff>
    </xdr:from>
    <xdr:ext cx="184731" cy="264560"/>
    <xdr:sp macro="" textlink="">
      <xdr:nvSpPr>
        <xdr:cNvPr id="63" name="CasellaDiTesto 62">
          <a:extLst>
            <a:ext uri="{FF2B5EF4-FFF2-40B4-BE49-F238E27FC236}">
              <a16:creationId xmlns:a16="http://schemas.microsoft.com/office/drawing/2014/main" id="{C23BD91E-EABA-4DE7-8542-06535ACDBE0F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43</xdr:row>
      <xdr:rowOff>0</xdr:rowOff>
    </xdr:from>
    <xdr:ext cx="184731" cy="264560"/>
    <xdr:sp macro="" textlink="">
      <xdr:nvSpPr>
        <xdr:cNvPr id="64" name="CasellaDiTesto 63">
          <a:extLst>
            <a:ext uri="{FF2B5EF4-FFF2-40B4-BE49-F238E27FC236}">
              <a16:creationId xmlns:a16="http://schemas.microsoft.com/office/drawing/2014/main" id="{C7B2FE95-9AF2-4E53-A001-D7194D566D46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43</xdr:row>
      <xdr:rowOff>0</xdr:rowOff>
    </xdr:from>
    <xdr:ext cx="184731" cy="264560"/>
    <xdr:sp macro="" textlink="">
      <xdr:nvSpPr>
        <xdr:cNvPr id="65" name="CasellaDiTesto 64">
          <a:extLst>
            <a:ext uri="{FF2B5EF4-FFF2-40B4-BE49-F238E27FC236}">
              <a16:creationId xmlns:a16="http://schemas.microsoft.com/office/drawing/2014/main" id="{473D34C1-1D52-4151-9B86-DD8212090D16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43</xdr:row>
      <xdr:rowOff>0</xdr:rowOff>
    </xdr:from>
    <xdr:ext cx="184731" cy="264560"/>
    <xdr:sp macro="" textlink="">
      <xdr:nvSpPr>
        <xdr:cNvPr id="66" name="CasellaDiTesto 65">
          <a:extLst>
            <a:ext uri="{FF2B5EF4-FFF2-40B4-BE49-F238E27FC236}">
              <a16:creationId xmlns:a16="http://schemas.microsoft.com/office/drawing/2014/main" id="{453351BC-68FB-4254-B032-8340575A674B}"/>
            </a:ext>
          </a:extLst>
        </xdr:cNvPr>
        <xdr:cNvSpPr txBox="1"/>
      </xdr:nvSpPr>
      <xdr:spPr>
        <a:xfrm>
          <a:off x="359029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43</xdr:row>
      <xdr:rowOff>0</xdr:rowOff>
    </xdr:from>
    <xdr:ext cx="184731" cy="264560"/>
    <xdr:sp macro="" textlink="">
      <xdr:nvSpPr>
        <xdr:cNvPr id="67" name="CasellaDiTesto 66">
          <a:extLst>
            <a:ext uri="{FF2B5EF4-FFF2-40B4-BE49-F238E27FC236}">
              <a16:creationId xmlns:a16="http://schemas.microsoft.com/office/drawing/2014/main" id="{0ACFA90E-40AD-41AA-844E-D03F8C918604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43</xdr:row>
      <xdr:rowOff>0</xdr:rowOff>
    </xdr:from>
    <xdr:ext cx="184731" cy="264560"/>
    <xdr:sp macro="" textlink="">
      <xdr:nvSpPr>
        <xdr:cNvPr id="68" name="CasellaDiTesto 67">
          <a:extLst>
            <a:ext uri="{FF2B5EF4-FFF2-40B4-BE49-F238E27FC236}">
              <a16:creationId xmlns:a16="http://schemas.microsoft.com/office/drawing/2014/main" id="{C1EFC303-5898-4566-A632-EC57FEA8A661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43</xdr:row>
      <xdr:rowOff>0</xdr:rowOff>
    </xdr:from>
    <xdr:ext cx="184731" cy="264560"/>
    <xdr:sp macro="" textlink="">
      <xdr:nvSpPr>
        <xdr:cNvPr id="69" name="CasellaDiTesto 68">
          <a:extLst>
            <a:ext uri="{FF2B5EF4-FFF2-40B4-BE49-F238E27FC236}">
              <a16:creationId xmlns:a16="http://schemas.microsoft.com/office/drawing/2014/main" id="{8B45D81A-EBF0-45CD-84D3-287F287A23BA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43</xdr:row>
      <xdr:rowOff>0</xdr:rowOff>
    </xdr:from>
    <xdr:ext cx="184731" cy="264560"/>
    <xdr:sp macro="" textlink="">
      <xdr:nvSpPr>
        <xdr:cNvPr id="70" name="CasellaDiTesto 69">
          <a:extLst>
            <a:ext uri="{FF2B5EF4-FFF2-40B4-BE49-F238E27FC236}">
              <a16:creationId xmlns:a16="http://schemas.microsoft.com/office/drawing/2014/main" id="{E8BE0F2A-9DA4-4FE1-ACB3-303E24C941E0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43</xdr:row>
      <xdr:rowOff>0</xdr:rowOff>
    </xdr:from>
    <xdr:ext cx="184731" cy="264560"/>
    <xdr:sp macro="" textlink="">
      <xdr:nvSpPr>
        <xdr:cNvPr id="71" name="CasellaDiTesto 70">
          <a:extLst>
            <a:ext uri="{FF2B5EF4-FFF2-40B4-BE49-F238E27FC236}">
              <a16:creationId xmlns:a16="http://schemas.microsoft.com/office/drawing/2014/main" id="{0E1E8B38-FF6A-41E1-8B39-DDA22723525C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43</xdr:row>
      <xdr:rowOff>0</xdr:rowOff>
    </xdr:from>
    <xdr:ext cx="184731" cy="264560"/>
    <xdr:sp macro="" textlink="">
      <xdr:nvSpPr>
        <xdr:cNvPr id="72" name="CasellaDiTesto 71">
          <a:extLst>
            <a:ext uri="{FF2B5EF4-FFF2-40B4-BE49-F238E27FC236}">
              <a16:creationId xmlns:a16="http://schemas.microsoft.com/office/drawing/2014/main" id="{18AD13ED-3C84-4C0C-8D5B-792C092FD423}"/>
            </a:ext>
          </a:extLst>
        </xdr:cNvPr>
        <xdr:cNvSpPr txBox="1"/>
      </xdr:nvSpPr>
      <xdr:spPr>
        <a:xfrm>
          <a:off x="359029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43</xdr:row>
      <xdr:rowOff>0</xdr:rowOff>
    </xdr:from>
    <xdr:ext cx="184731" cy="264560"/>
    <xdr:sp macro="" textlink="">
      <xdr:nvSpPr>
        <xdr:cNvPr id="73" name="CasellaDiTesto 72">
          <a:extLst>
            <a:ext uri="{FF2B5EF4-FFF2-40B4-BE49-F238E27FC236}">
              <a16:creationId xmlns:a16="http://schemas.microsoft.com/office/drawing/2014/main" id="{5FE16607-00E7-4C6A-92E9-624A391053EC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43</xdr:row>
      <xdr:rowOff>0</xdr:rowOff>
    </xdr:from>
    <xdr:ext cx="184731" cy="264560"/>
    <xdr:sp macro="" textlink="">
      <xdr:nvSpPr>
        <xdr:cNvPr id="74" name="CasellaDiTesto 73">
          <a:extLst>
            <a:ext uri="{FF2B5EF4-FFF2-40B4-BE49-F238E27FC236}">
              <a16:creationId xmlns:a16="http://schemas.microsoft.com/office/drawing/2014/main" id="{09EF6742-1864-4DAC-9547-31B21FBCAC78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43</xdr:row>
      <xdr:rowOff>0</xdr:rowOff>
    </xdr:from>
    <xdr:ext cx="184731" cy="264560"/>
    <xdr:sp macro="" textlink="">
      <xdr:nvSpPr>
        <xdr:cNvPr id="75" name="CasellaDiTesto 74">
          <a:extLst>
            <a:ext uri="{FF2B5EF4-FFF2-40B4-BE49-F238E27FC236}">
              <a16:creationId xmlns:a16="http://schemas.microsoft.com/office/drawing/2014/main" id="{1181655E-6E15-4E13-B908-899D32EED3BF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43</xdr:row>
      <xdr:rowOff>0</xdr:rowOff>
    </xdr:from>
    <xdr:ext cx="184731" cy="264560"/>
    <xdr:sp macro="" textlink="">
      <xdr:nvSpPr>
        <xdr:cNvPr id="76" name="CasellaDiTesto 75">
          <a:extLst>
            <a:ext uri="{FF2B5EF4-FFF2-40B4-BE49-F238E27FC236}">
              <a16:creationId xmlns:a16="http://schemas.microsoft.com/office/drawing/2014/main" id="{9F492446-53A5-419B-A2F8-DB57EFE5E85A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43</xdr:row>
      <xdr:rowOff>0</xdr:rowOff>
    </xdr:from>
    <xdr:ext cx="184731" cy="264560"/>
    <xdr:sp macro="" textlink="">
      <xdr:nvSpPr>
        <xdr:cNvPr id="77" name="CasellaDiTesto 76">
          <a:extLst>
            <a:ext uri="{FF2B5EF4-FFF2-40B4-BE49-F238E27FC236}">
              <a16:creationId xmlns:a16="http://schemas.microsoft.com/office/drawing/2014/main" id="{2DB97836-DD53-449C-BF1D-39AC84893AEE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43</xdr:row>
      <xdr:rowOff>0</xdr:rowOff>
    </xdr:from>
    <xdr:ext cx="184731" cy="264560"/>
    <xdr:sp macro="" textlink="">
      <xdr:nvSpPr>
        <xdr:cNvPr id="78" name="CasellaDiTesto 77">
          <a:extLst>
            <a:ext uri="{FF2B5EF4-FFF2-40B4-BE49-F238E27FC236}">
              <a16:creationId xmlns:a16="http://schemas.microsoft.com/office/drawing/2014/main" id="{C01AA1FD-75A8-4D3C-90E9-FC1931997D81}"/>
            </a:ext>
          </a:extLst>
        </xdr:cNvPr>
        <xdr:cNvSpPr txBox="1"/>
      </xdr:nvSpPr>
      <xdr:spPr>
        <a:xfrm>
          <a:off x="315214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43</xdr:row>
      <xdr:rowOff>0</xdr:rowOff>
    </xdr:from>
    <xdr:ext cx="184731" cy="264560"/>
    <xdr:sp macro="" textlink="">
      <xdr:nvSpPr>
        <xdr:cNvPr id="79" name="CasellaDiTesto 78">
          <a:extLst>
            <a:ext uri="{FF2B5EF4-FFF2-40B4-BE49-F238E27FC236}">
              <a16:creationId xmlns:a16="http://schemas.microsoft.com/office/drawing/2014/main" id="{597573B6-3559-4924-80CC-D528C2730EEA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43</xdr:row>
      <xdr:rowOff>0</xdr:rowOff>
    </xdr:from>
    <xdr:ext cx="184731" cy="264560"/>
    <xdr:sp macro="" textlink="">
      <xdr:nvSpPr>
        <xdr:cNvPr id="80" name="CasellaDiTesto 79">
          <a:extLst>
            <a:ext uri="{FF2B5EF4-FFF2-40B4-BE49-F238E27FC236}">
              <a16:creationId xmlns:a16="http://schemas.microsoft.com/office/drawing/2014/main" id="{67A6825A-1D33-4F6D-9996-285AE79E33E3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43</xdr:row>
      <xdr:rowOff>0</xdr:rowOff>
    </xdr:from>
    <xdr:ext cx="184731" cy="264560"/>
    <xdr:sp macro="" textlink="">
      <xdr:nvSpPr>
        <xdr:cNvPr id="81" name="CasellaDiTesto 80">
          <a:extLst>
            <a:ext uri="{FF2B5EF4-FFF2-40B4-BE49-F238E27FC236}">
              <a16:creationId xmlns:a16="http://schemas.microsoft.com/office/drawing/2014/main" id="{9575D3B4-79A9-4314-BAB5-A626C9EA2B7B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43</xdr:row>
      <xdr:rowOff>0</xdr:rowOff>
    </xdr:from>
    <xdr:ext cx="184731" cy="264560"/>
    <xdr:sp macro="" textlink="">
      <xdr:nvSpPr>
        <xdr:cNvPr id="82" name="CasellaDiTesto 81">
          <a:extLst>
            <a:ext uri="{FF2B5EF4-FFF2-40B4-BE49-F238E27FC236}">
              <a16:creationId xmlns:a16="http://schemas.microsoft.com/office/drawing/2014/main" id="{11FE6358-8F26-4E09-9F58-F73C3F0F4CEF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43</xdr:row>
      <xdr:rowOff>0</xdr:rowOff>
    </xdr:from>
    <xdr:ext cx="184731" cy="264560"/>
    <xdr:sp macro="" textlink="">
      <xdr:nvSpPr>
        <xdr:cNvPr id="83" name="CasellaDiTesto 82">
          <a:extLst>
            <a:ext uri="{FF2B5EF4-FFF2-40B4-BE49-F238E27FC236}">
              <a16:creationId xmlns:a16="http://schemas.microsoft.com/office/drawing/2014/main" id="{012C4CF6-6E43-4516-AF0A-248FF1BF7704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43</xdr:row>
      <xdr:rowOff>0</xdr:rowOff>
    </xdr:from>
    <xdr:ext cx="184731" cy="264560"/>
    <xdr:sp macro="" textlink="">
      <xdr:nvSpPr>
        <xdr:cNvPr id="84" name="CasellaDiTesto 83">
          <a:extLst>
            <a:ext uri="{FF2B5EF4-FFF2-40B4-BE49-F238E27FC236}">
              <a16:creationId xmlns:a16="http://schemas.microsoft.com/office/drawing/2014/main" id="{8F2F2E12-A937-456D-BA62-4C19AC41475E}"/>
            </a:ext>
          </a:extLst>
        </xdr:cNvPr>
        <xdr:cNvSpPr txBox="1"/>
      </xdr:nvSpPr>
      <xdr:spPr>
        <a:xfrm>
          <a:off x="315214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43</xdr:row>
      <xdr:rowOff>0</xdr:rowOff>
    </xdr:from>
    <xdr:ext cx="184731" cy="264560"/>
    <xdr:sp macro="" textlink="">
      <xdr:nvSpPr>
        <xdr:cNvPr id="85" name="CasellaDiTesto 84">
          <a:extLst>
            <a:ext uri="{FF2B5EF4-FFF2-40B4-BE49-F238E27FC236}">
              <a16:creationId xmlns:a16="http://schemas.microsoft.com/office/drawing/2014/main" id="{A588B72B-18E2-40F5-9530-1B48191E386A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43</xdr:row>
      <xdr:rowOff>0</xdr:rowOff>
    </xdr:from>
    <xdr:ext cx="184731" cy="264560"/>
    <xdr:sp macro="" textlink="">
      <xdr:nvSpPr>
        <xdr:cNvPr id="86" name="CasellaDiTesto 85">
          <a:extLst>
            <a:ext uri="{FF2B5EF4-FFF2-40B4-BE49-F238E27FC236}">
              <a16:creationId xmlns:a16="http://schemas.microsoft.com/office/drawing/2014/main" id="{E12A772F-B05B-4C31-ADA7-BA4C0B60C454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43</xdr:row>
      <xdr:rowOff>0</xdr:rowOff>
    </xdr:from>
    <xdr:ext cx="184731" cy="264560"/>
    <xdr:sp macro="" textlink="">
      <xdr:nvSpPr>
        <xdr:cNvPr id="87" name="CasellaDiTesto 86">
          <a:extLst>
            <a:ext uri="{FF2B5EF4-FFF2-40B4-BE49-F238E27FC236}">
              <a16:creationId xmlns:a16="http://schemas.microsoft.com/office/drawing/2014/main" id="{54FEBB46-6C23-4B8F-86DC-496E2A269FDD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43</xdr:row>
      <xdr:rowOff>0</xdr:rowOff>
    </xdr:from>
    <xdr:ext cx="184731" cy="264560"/>
    <xdr:sp macro="" textlink="">
      <xdr:nvSpPr>
        <xdr:cNvPr id="88" name="CasellaDiTesto 87">
          <a:extLst>
            <a:ext uri="{FF2B5EF4-FFF2-40B4-BE49-F238E27FC236}">
              <a16:creationId xmlns:a16="http://schemas.microsoft.com/office/drawing/2014/main" id="{7CE0E89B-9ED7-4537-8D27-AFB8776A1A8E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43</xdr:row>
      <xdr:rowOff>0</xdr:rowOff>
    </xdr:from>
    <xdr:ext cx="184731" cy="264560"/>
    <xdr:sp macro="" textlink="">
      <xdr:nvSpPr>
        <xdr:cNvPr id="89" name="CasellaDiTesto 88">
          <a:extLst>
            <a:ext uri="{FF2B5EF4-FFF2-40B4-BE49-F238E27FC236}">
              <a16:creationId xmlns:a16="http://schemas.microsoft.com/office/drawing/2014/main" id="{1E715698-CB49-4C7E-8900-91B267CF0D26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43</xdr:row>
      <xdr:rowOff>0</xdr:rowOff>
    </xdr:from>
    <xdr:ext cx="184731" cy="264560"/>
    <xdr:sp macro="" textlink="">
      <xdr:nvSpPr>
        <xdr:cNvPr id="90" name="CasellaDiTesto 89">
          <a:extLst>
            <a:ext uri="{FF2B5EF4-FFF2-40B4-BE49-F238E27FC236}">
              <a16:creationId xmlns:a16="http://schemas.microsoft.com/office/drawing/2014/main" id="{5F0B9008-2D46-4150-873A-53E42DDED31C}"/>
            </a:ext>
          </a:extLst>
        </xdr:cNvPr>
        <xdr:cNvSpPr txBox="1"/>
      </xdr:nvSpPr>
      <xdr:spPr>
        <a:xfrm>
          <a:off x="359029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43</xdr:row>
      <xdr:rowOff>0</xdr:rowOff>
    </xdr:from>
    <xdr:ext cx="184731" cy="264560"/>
    <xdr:sp macro="" textlink="">
      <xdr:nvSpPr>
        <xdr:cNvPr id="91" name="CasellaDiTesto 90">
          <a:extLst>
            <a:ext uri="{FF2B5EF4-FFF2-40B4-BE49-F238E27FC236}">
              <a16:creationId xmlns:a16="http://schemas.microsoft.com/office/drawing/2014/main" id="{D83E97B6-03DF-4D76-B0B2-97481729DC83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43</xdr:row>
      <xdr:rowOff>0</xdr:rowOff>
    </xdr:from>
    <xdr:ext cx="184731" cy="264560"/>
    <xdr:sp macro="" textlink="">
      <xdr:nvSpPr>
        <xdr:cNvPr id="92" name="CasellaDiTesto 91">
          <a:extLst>
            <a:ext uri="{FF2B5EF4-FFF2-40B4-BE49-F238E27FC236}">
              <a16:creationId xmlns:a16="http://schemas.microsoft.com/office/drawing/2014/main" id="{A59784B7-BB01-4551-87BA-88DE636DF808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43</xdr:row>
      <xdr:rowOff>0</xdr:rowOff>
    </xdr:from>
    <xdr:ext cx="184731" cy="264560"/>
    <xdr:sp macro="" textlink="">
      <xdr:nvSpPr>
        <xdr:cNvPr id="93" name="CasellaDiTesto 92">
          <a:extLst>
            <a:ext uri="{FF2B5EF4-FFF2-40B4-BE49-F238E27FC236}">
              <a16:creationId xmlns:a16="http://schemas.microsoft.com/office/drawing/2014/main" id="{DF5AACB1-30A8-48E8-8290-AC6BD89D6B08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43</xdr:row>
      <xdr:rowOff>0</xdr:rowOff>
    </xdr:from>
    <xdr:ext cx="184731" cy="264560"/>
    <xdr:sp macro="" textlink="">
      <xdr:nvSpPr>
        <xdr:cNvPr id="94" name="CasellaDiTesto 93">
          <a:extLst>
            <a:ext uri="{FF2B5EF4-FFF2-40B4-BE49-F238E27FC236}">
              <a16:creationId xmlns:a16="http://schemas.microsoft.com/office/drawing/2014/main" id="{3CB660F0-F23B-44A0-B8F5-0D3921090141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43</xdr:row>
      <xdr:rowOff>0</xdr:rowOff>
    </xdr:from>
    <xdr:ext cx="184731" cy="264560"/>
    <xdr:sp macro="" textlink="">
      <xdr:nvSpPr>
        <xdr:cNvPr id="95" name="CasellaDiTesto 94">
          <a:extLst>
            <a:ext uri="{FF2B5EF4-FFF2-40B4-BE49-F238E27FC236}">
              <a16:creationId xmlns:a16="http://schemas.microsoft.com/office/drawing/2014/main" id="{B9BBDDF0-CA86-4FEE-827B-D2025C3C1548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43</xdr:row>
      <xdr:rowOff>0</xdr:rowOff>
    </xdr:from>
    <xdr:ext cx="184731" cy="264560"/>
    <xdr:sp macro="" textlink="">
      <xdr:nvSpPr>
        <xdr:cNvPr id="96" name="CasellaDiTesto 95">
          <a:extLst>
            <a:ext uri="{FF2B5EF4-FFF2-40B4-BE49-F238E27FC236}">
              <a16:creationId xmlns:a16="http://schemas.microsoft.com/office/drawing/2014/main" id="{1686A7BB-18F6-4168-8784-C64306C33B05}"/>
            </a:ext>
          </a:extLst>
        </xdr:cNvPr>
        <xdr:cNvSpPr txBox="1"/>
      </xdr:nvSpPr>
      <xdr:spPr>
        <a:xfrm>
          <a:off x="359029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43</xdr:row>
      <xdr:rowOff>0</xdr:rowOff>
    </xdr:from>
    <xdr:ext cx="184731" cy="264560"/>
    <xdr:sp macro="" textlink="">
      <xdr:nvSpPr>
        <xdr:cNvPr id="97" name="CasellaDiTesto 96">
          <a:extLst>
            <a:ext uri="{FF2B5EF4-FFF2-40B4-BE49-F238E27FC236}">
              <a16:creationId xmlns:a16="http://schemas.microsoft.com/office/drawing/2014/main" id="{F7B4C343-61EE-45C2-90D5-3DA7E7389800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0</xdr:col>
      <xdr:colOff>60389</xdr:colOff>
      <xdr:row>0</xdr:row>
      <xdr:rowOff>64589</xdr:rowOff>
    </xdr:from>
    <xdr:ext cx="1483455" cy="923715"/>
    <xdr:pic>
      <xdr:nvPicPr>
        <xdr:cNvPr id="98" name="Immagine 97">
          <a:extLst>
            <a:ext uri="{FF2B5EF4-FFF2-40B4-BE49-F238E27FC236}">
              <a16:creationId xmlns:a16="http://schemas.microsoft.com/office/drawing/2014/main" id="{04B5A11D-447F-4177-A7C6-202E2A24C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9" y="64589"/>
          <a:ext cx="1483455" cy="923715"/>
        </a:xfrm>
        <a:prstGeom prst="rect">
          <a:avLst/>
        </a:prstGeom>
      </xdr:spPr>
    </xdr:pic>
    <xdr:clientData/>
  </xdr:oneCellAnchor>
  <xdr:oneCellAnchor>
    <xdr:from>
      <xdr:col>14</xdr:col>
      <xdr:colOff>326950</xdr:colOff>
      <xdr:row>70</xdr:row>
      <xdr:rowOff>17041</xdr:rowOff>
    </xdr:from>
    <xdr:ext cx="1111250" cy="688274"/>
    <xdr:pic>
      <xdr:nvPicPr>
        <xdr:cNvPr id="99" name="Immagine 98">
          <a:extLst>
            <a:ext uri="{FF2B5EF4-FFF2-40B4-BE49-F238E27FC236}">
              <a16:creationId xmlns:a16="http://schemas.microsoft.com/office/drawing/2014/main" id="{1F454A1E-0E86-41AB-9C15-F5AA6573E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8400" y="52623616"/>
          <a:ext cx="1111250" cy="688274"/>
        </a:xfrm>
        <a:prstGeom prst="rect">
          <a:avLst/>
        </a:prstGeom>
      </xdr:spPr>
    </xdr:pic>
    <xdr:clientData/>
  </xdr:oneCellAnchor>
  <xdr:oneCellAnchor>
    <xdr:from>
      <xdr:col>14</xdr:col>
      <xdr:colOff>349249</xdr:colOff>
      <xdr:row>38</xdr:row>
      <xdr:rowOff>42335</xdr:rowOff>
    </xdr:from>
    <xdr:ext cx="1111250" cy="688274"/>
    <xdr:pic>
      <xdr:nvPicPr>
        <xdr:cNvPr id="105" name="Immagine 104">
          <a:extLst>
            <a:ext uri="{FF2B5EF4-FFF2-40B4-BE49-F238E27FC236}">
              <a16:creationId xmlns:a16="http://schemas.microsoft.com/office/drawing/2014/main" id="{55D95BD2-FDB0-4FA2-8D38-A2745A1FD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41749" y="12320060"/>
          <a:ext cx="1111250" cy="68827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DeLucaF\AppData\Local\Microsoft\Windows\Temporary%20Internet%20Files\Content.Outlook\EWTP1I2D\esempio%20Template%20Fascia%20-%20v0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scia_1"/>
      <sheetName val="Fascia_2"/>
      <sheetName val="Fascia_3"/>
      <sheetName val="LOV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Dati</v>
          </cell>
          <cell r="C2" t="str">
            <v>Prepagato</v>
          </cell>
        </row>
        <row r="3">
          <cell r="A3" t="str">
            <v>Voce+Dati</v>
          </cell>
          <cell r="C3" t="str">
            <v>Postpagato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9C0B-2A9D-4C38-8F4E-6F8A9DA4FCF9}">
  <sheetPr codeName="Foglio1" filterMode="1"/>
  <dimension ref="A1:G916"/>
  <sheetViews>
    <sheetView workbookViewId="0">
      <pane ySplit="1" topLeftCell="A2" activePane="bottomLeft" state="frozen"/>
      <selection activeCell="E1" sqref="E1"/>
      <selection pane="bottomLeft" activeCell="B950" sqref="B950"/>
    </sheetView>
  </sheetViews>
  <sheetFormatPr defaultRowHeight="13.2"/>
  <cols>
    <col min="1" max="1" width="18.5546875" style="10" customWidth="1"/>
    <col min="2" max="2" width="64.5546875" style="10" customWidth="1"/>
    <col min="3" max="3" width="39" style="10" customWidth="1"/>
    <col min="4" max="4" width="87.33203125" style="10" customWidth="1"/>
    <col min="5" max="5" width="25.5546875" style="10" customWidth="1"/>
    <col min="6" max="6" width="73.5546875" style="10" customWidth="1"/>
    <col min="7" max="7" width="27.33203125" style="10" customWidth="1"/>
    <col min="8" max="256" width="9.33203125" style="10"/>
    <col min="257" max="257" width="18.5546875" style="10" customWidth="1"/>
    <col min="258" max="258" width="64.5546875" style="10" customWidth="1"/>
    <col min="259" max="259" width="39" style="10" customWidth="1"/>
    <col min="260" max="260" width="87.33203125" style="10" customWidth="1"/>
    <col min="261" max="261" width="25.5546875" style="10" customWidth="1"/>
    <col min="262" max="262" width="73.5546875" style="10" customWidth="1"/>
    <col min="263" max="263" width="27.33203125" style="10" customWidth="1"/>
    <col min="264" max="512" width="9.33203125" style="10"/>
    <col min="513" max="513" width="18.5546875" style="10" customWidth="1"/>
    <col min="514" max="514" width="64.5546875" style="10" customWidth="1"/>
    <col min="515" max="515" width="39" style="10" customWidth="1"/>
    <col min="516" max="516" width="87.33203125" style="10" customWidth="1"/>
    <col min="517" max="517" width="25.5546875" style="10" customWidth="1"/>
    <col min="518" max="518" width="73.5546875" style="10" customWidth="1"/>
    <col min="519" max="519" width="27.33203125" style="10" customWidth="1"/>
    <col min="520" max="768" width="9.33203125" style="10"/>
    <col min="769" max="769" width="18.5546875" style="10" customWidth="1"/>
    <col min="770" max="770" width="64.5546875" style="10" customWidth="1"/>
    <col min="771" max="771" width="39" style="10" customWidth="1"/>
    <col min="772" max="772" width="87.33203125" style="10" customWidth="1"/>
    <col min="773" max="773" width="25.5546875" style="10" customWidth="1"/>
    <col min="774" max="774" width="73.5546875" style="10" customWidth="1"/>
    <col min="775" max="775" width="27.33203125" style="10" customWidth="1"/>
    <col min="776" max="1024" width="9.33203125" style="10"/>
    <col min="1025" max="1025" width="18.5546875" style="10" customWidth="1"/>
    <col min="1026" max="1026" width="64.5546875" style="10" customWidth="1"/>
    <col min="1027" max="1027" width="39" style="10" customWidth="1"/>
    <col min="1028" max="1028" width="87.33203125" style="10" customWidth="1"/>
    <col min="1029" max="1029" width="25.5546875" style="10" customWidth="1"/>
    <col min="1030" max="1030" width="73.5546875" style="10" customWidth="1"/>
    <col min="1031" max="1031" width="27.33203125" style="10" customWidth="1"/>
    <col min="1032" max="1280" width="9.33203125" style="10"/>
    <col min="1281" max="1281" width="18.5546875" style="10" customWidth="1"/>
    <col min="1282" max="1282" width="64.5546875" style="10" customWidth="1"/>
    <col min="1283" max="1283" width="39" style="10" customWidth="1"/>
    <col min="1284" max="1284" width="87.33203125" style="10" customWidth="1"/>
    <col min="1285" max="1285" width="25.5546875" style="10" customWidth="1"/>
    <col min="1286" max="1286" width="73.5546875" style="10" customWidth="1"/>
    <col min="1287" max="1287" width="27.33203125" style="10" customWidth="1"/>
    <col min="1288" max="1536" width="9.33203125" style="10"/>
    <col min="1537" max="1537" width="18.5546875" style="10" customWidth="1"/>
    <col min="1538" max="1538" width="64.5546875" style="10" customWidth="1"/>
    <col min="1539" max="1539" width="39" style="10" customWidth="1"/>
    <col min="1540" max="1540" width="87.33203125" style="10" customWidth="1"/>
    <col min="1541" max="1541" width="25.5546875" style="10" customWidth="1"/>
    <col min="1542" max="1542" width="73.5546875" style="10" customWidth="1"/>
    <col min="1543" max="1543" width="27.33203125" style="10" customWidth="1"/>
    <col min="1544" max="1792" width="9.33203125" style="10"/>
    <col min="1793" max="1793" width="18.5546875" style="10" customWidth="1"/>
    <col min="1794" max="1794" width="64.5546875" style="10" customWidth="1"/>
    <col min="1795" max="1795" width="39" style="10" customWidth="1"/>
    <col min="1796" max="1796" width="87.33203125" style="10" customWidth="1"/>
    <col min="1797" max="1797" width="25.5546875" style="10" customWidth="1"/>
    <col min="1798" max="1798" width="73.5546875" style="10" customWidth="1"/>
    <col min="1799" max="1799" width="27.33203125" style="10" customWidth="1"/>
    <col min="1800" max="2048" width="9.33203125" style="10"/>
    <col min="2049" max="2049" width="18.5546875" style="10" customWidth="1"/>
    <col min="2050" max="2050" width="64.5546875" style="10" customWidth="1"/>
    <col min="2051" max="2051" width="39" style="10" customWidth="1"/>
    <col min="2052" max="2052" width="87.33203125" style="10" customWidth="1"/>
    <col min="2053" max="2053" width="25.5546875" style="10" customWidth="1"/>
    <col min="2054" max="2054" width="73.5546875" style="10" customWidth="1"/>
    <col min="2055" max="2055" width="27.33203125" style="10" customWidth="1"/>
    <col min="2056" max="2304" width="9.33203125" style="10"/>
    <col min="2305" max="2305" width="18.5546875" style="10" customWidth="1"/>
    <col min="2306" max="2306" width="64.5546875" style="10" customWidth="1"/>
    <col min="2307" max="2307" width="39" style="10" customWidth="1"/>
    <col min="2308" max="2308" width="87.33203125" style="10" customWidth="1"/>
    <col min="2309" max="2309" width="25.5546875" style="10" customWidth="1"/>
    <col min="2310" max="2310" width="73.5546875" style="10" customWidth="1"/>
    <col min="2311" max="2311" width="27.33203125" style="10" customWidth="1"/>
    <col min="2312" max="2560" width="9.33203125" style="10"/>
    <col min="2561" max="2561" width="18.5546875" style="10" customWidth="1"/>
    <col min="2562" max="2562" width="64.5546875" style="10" customWidth="1"/>
    <col min="2563" max="2563" width="39" style="10" customWidth="1"/>
    <col min="2564" max="2564" width="87.33203125" style="10" customWidth="1"/>
    <col min="2565" max="2565" width="25.5546875" style="10" customWidth="1"/>
    <col min="2566" max="2566" width="73.5546875" style="10" customWidth="1"/>
    <col min="2567" max="2567" width="27.33203125" style="10" customWidth="1"/>
    <col min="2568" max="2816" width="9.33203125" style="10"/>
    <col min="2817" max="2817" width="18.5546875" style="10" customWidth="1"/>
    <col min="2818" max="2818" width="64.5546875" style="10" customWidth="1"/>
    <col min="2819" max="2819" width="39" style="10" customWidth="1"/>
    <col min="2820" max="2820" width="87.33203125" style="10" customWidth="1"/>
    <col min="2821" max="2821" width="25.5546875" style="10" customWidth="1"/>
    <col min="2822" max="2822" width="73.5546875" style="10" customWidth="1"/>
    <col min="2823" max="2823" width="27.33203125" style="10" customWidth="1"/>
    <col min="2824" max="3072" width="9.33203125" style="10"/>
    <col min="3073" max="3073" width="18.5546875" style="10" customWidth="1"/>
    <col min="3074" max="3074" width="64.5546875" style="10" customWidth="1"/>
    <col min="3075" max="3075" width="39" style="10" customWidth="1"/>
    <col min="3076" max="3076" width="87.33203125" style="10" customWidth="1"/>
    <col min="3077" max="3077" width="25.5546875" style="10" customWidth="1"/>
    <col min="3078" max="3078" width="73.5546875" style="10" customWidth="1"/>
    <col min="3079" max="3079" width="27.33203125" style="10" customWidth="1"/>
    <col min="3080" max="3328" width="9.33203125" style="10"/>
    <col min="3329" max="3329" width="18.5546875" style="10" customWidth="1"/>
    <col min="3330" max="3330" width="64.5546875" style="10" customWidth="1"/>
    <col min="3331" max="3331" width="39" style="10" customWidth="1"/>
    <col min="3332" max="3332" width="87.33203125" style="10" customWidth="1"/>
    <col min="3333" max="3333" width="25.5546875" style="10" customWidth="1"/>
    <col min="3334" max="3334" width="73.5546875" style="10" customWidth="1"/>
    <col min="3335" max="3335" width="27.33203125" style="10" customWidth="1"/>
    <col min="3336" max="3584" width="9.33203125" style="10"/>
    <col min="3585" max="3585" width="18.5546875" style="10" customWidth="1"/>
    <col min="3586" max="3586" width="64.5546875" style="10" customWidth="1"/>
    <col min="3587" max="3587" width="39" style="10" customWidth="1"/>
    <col min="3588" max="3588" width="87.33203125" style="10" customWidth="1"/>
    <col min="3589" max="3589" width="25.5546875" style="10" customWidth="1"/>
    <col min="3590" max="3590" width="73.5546875" style="10" customWidth="1"/>
    <col min="3591" max="3591" width="27.33203125" style="10" customWidth="1"/>
    <col min="3592" max="3840" width="9.33203125" style="10"/>
    <col min="3841" max="3841" width="18.5546875" style="10" customWidth="1"/>
    <col min="3842" max="3842" width="64.5546875" style="10" customWidth="1"/>
    <col min="3843" max="3843" width="39" style="10" customWidth="1"/>
    <col min="3844" max="3844" width="87.33203125" style="10" customWidth="1"/>
    <col min="3845" max="3845" width="25.5546875" style="10" customWidth="1"/>
    <col min="3846" max="3846" width="73.5546875" style="10" customWidth="1"/>
    <col min="3847" max="3847" width="27.33203125" style="10" customWidth="1"/>
    <col min="3848" max="4096" width="9.33203125" style="10"/>
    <col min="4097" max="4097" width="18.5546875" style="10" customWidth="1"/>
    <col min="4098" max="4098" width="64.5546875" style="10" customWidth="1"/>
    <col min="4099" max="4099" width="39" style="10" customWidth="1"/>
    <col min="4100" max="4100" width="87.33203125" style="10" customWidth="1"/>
    <col min="4101" max="4101" width="25.5546875" style="10" customWidth="1"/>
    <col min="4102" max="4102" width="73.5546875" style="10" customWidth="1"/>
    <col min="4103" max="4103" width="27.33203125" style="10" customWidth="1"/>
    <col min="4104" max="4352" width="9.33203125" style="10"/>
    <col min="4353" max="4353" width="18.5546875" style="10" customWidth="1"/>
    <col min="4354" max="4354" width="64.5546875" style="10" customWidth="1"/>
    <col min="4355" max="4355" width="39" style="10" customWidth="1"/>
    <col min="4356" max="4356" width="87.33203125" style="10" customWidth="1"/>
    <col min="4357" max="4357" width="25.5546875" style="10" customWidth="1"/>
    <col min="4358" max="4358" width="73.5546875" style="10" customWidth="1"/>
    <col min="4359" max="4359" width="27.33203125" style="10" customWidth="1"/>
    <col min="4360" max="4608" width="9.33203125" style="10"/>
    <col min="4609" max="4609" width="18.5546875" style="10" customWidth="1"/>
    <col min="4610" max="4610" width="64.5546875" style="10" customWidth="1"/>
    <col min="4611" max="4611" width="39" style="10" customWidth="1"/>
    <col min="4612" max="4612" width="87.33203125" style="10" customWidth="1"/>
    <col min="4613" max="4613" width="25.5546875" style="10" customWidth="1"/>
    <col min="4614" max="4614" width="73.5546875" style="10" customWidth="1"/>
    <col min="4615" max="4615" width="27.33203125" style="10" customWidth="1"/>
    <col min="4616" max="4864" width="9.33203125" style="10"/>
    <col min="4865" max="4865" width="18.5546875" style="10" customWidth="1"/>
    <col min="4866" max="4866" width="64.5546875" style="10" customWidth="1"/>
    <col min="4867" max="4867" width="39" style="10" customWidth="1"/>
    <col min="4868" max="4868" width="87.33203125" style="10" customWidth="1"/>
    <col min="4869" max="4869" width="25.5546875" style="10" customWidth="1"/>
    <col min="4870" max="4870" width="73.5546875" style="10" customWidth="1"/>
    <col min="4871" max="4871" width="27.33203125" style="10" customWidth="1"/>
    <col min="4872" max="5120" width="9.33203125" style="10"/>
    <col min="5121" max="5121" width="18.5546875" style="10" customWidth="1"/>
    <col min="5122" max="5122" width="64.5546875" style="10" customWidth="1"/>
    <col min="5123" max="5123" width="39" style="10" customWidth="1"/>
    <col min="5124" max="5124" width="87.33203125" style="10" customWidth="1"/>
    <col min="5125" max="5125" width="25.5546875" style="10" customWidth="1"/>
    <col min="5126" max="5126" width="73.5546875" style="10" customWidth="1"/>
    <col min="5127" max="5127" width="27.33203125" style="10" customWidth="1"/>
    <col min="5128" max="5376" width="9.33203125" style="10"/>
    <col min="5377" max="5377" width="18.5546875" style="10" customWidth="1"/>
    <col min="5378" max="5378" width="64.5546875" style="10" customWidth="1"/>
    <col min="5379" max="5379" width="39" style="10" customWidth="1"/>
    <col min="5380" max="5380" width="87.33203125" style="10" customWidth="1"/>
    <col min="5381" max="5381" width="25.5546875" style="10" customWidth="1"/>
    <col min="5382" max="5382" width="73.5546875" style="10" customWidth="1"/>
    <col min="5383" max="5383" width="27.33203125" style="10" customWidth="1"/>
    <col min="5384" max="5632" width="9.33203125" style="10"/>
    <col min="5633" max="5633" width="18.5546875" style="10" customWidth="1"/>
    <col min="5634" max="5634" width="64.5546875" style="10" customWidth="1"/>
    <col min="5635" max="5635" width="39" style="10" customWidth="1"/>
    <col min="5636" max="5636" width="87.33203125" style="10" customWidth="1"/>
    <col min="5637" max="5637" width="25.5546875" style="10" customWidth="1"/>
    <col min="5638" max="5638" width="73.5546875" style="10" customWidth="1"/>
    <col min="5639" max="5639" width="27.33203125" style="10" customWidth="1"/>
    <col min="5640" max="5888" width="9.33203125" style="10"/>
    <col min="5889" max="5889" width="18.5546875" style="10" customWidth="1"/>
    <col min="5890" max="5890" width="64.5546875" style="10" customWidth="1"/>
    <col min="5891" max="5891" width="39" style="10" customWidth="1"/>
    <col min="5892" max="5892" width="87.33203125" style="10" customWidth="1"/>
    <col min="5893" max="5893" width="25.5546875" style="10" customWidth="1"/>
    <col min="5894" max="5894" width="73.5546875" style="10" customWidth="1"/>
    <col min="5895" max="5895" width="27.33203125" style="10" customWidth="1"/>
    <col min="5896" max="6144" width="9.33203125" style="10"/>
    <col min="6145" max="6145" width="18.5546875" style="10" customWidth="1"/>
    <col min="6146" max="6146" width="64.5546875" style="10" customWidth="1"/>
    <col min="6147" max="6147" width="39" style="10" customWidth="1"/>
    <col min="6148" max="6148" width="87.33203125" style="10" customWidth="1"/>
    <col min="6149" max="6149" width="25.5546875" style="10" customWidth="1"/>
    <col min="6150" max="6150" width="73.5546875" style="10" customWidth="1"/>
    <col min="6151" max="6151" width="27.33203125" style="10" customWidth="1"/>
    <col min="6152" max="6400" width="9.33203125" style="10"/>
    <col min="6401" max="6401" width="18.5546875" style="10" customWidth="1"/>
    <col min="6402" max="6402" width="64.5546875" style="10" customWidth="1"/>
    <col min="6403" max="6403" width="39" style="10" customWidth="1"/>
    <col min="6404" max="6404" width="87.33203125" style="10" customWidth="1"/>
    <col min="6405" max="6405" width="25.5546875" style="10" customWidth="1"/>
    <col min="6406" max="6406" width="73.5546875" style="10" customWidth="1"/>
    <col min="6407" max="6407" width="27.33203125" style="10" customWidth="1"/>
    <col min="6408" max="6656" width="9.33203125" style="10"/>
    <col min="6657" max="6657" width="18.5546875" style="10" customWidth="1"/>
    <col min="6658" max="6658" width="64.5546875" style="10" customWidth="1"/>
    <col min="6659" max="6659" width="39" style="10" customWidth="1"/>
    <col min="6660" max="6660" width="87.33203125" style="10" customWidth="1"/>
    <col min="6661" max="6661" width="25.5546875" style="10" customWidth="1"/>
    <col min="6662" max="6662" width="73.5546875" style="10" customWidth="1"/>
    <col min="6663" max="6663" width="27.33203125" style="10" customWidth="1"/>
    <col min="6664" max="6912" width="9.33203125" style="10"/>
    <col min="6913" max="6913" width="18.5546875" style="10" customWidth="1"/>
    <col min="6914" max="6914" width="64.5546875" style="10" customWidth="1"/>
    <col min="6915" max="6915" width="39" style="10" customWidth="1"/>
    <col min="6916" max="6916" width="87.33203125" style="10" customWidth="1"/>
    <col min="6917" max="6917" width="25.5546875" style="10" customWidth="1"/>
    <col min="6918" max="6918" width="73.5546875" style="10" customWidth="1"/>
    <col min="6919" max="6919" width="27.33203125" style="10" customWidth="1"/>
    <col min="6920" max="7168" width="9.33203125" style="10"/>
    <col min="7169" max="7169" width="18.5546875" style="10" customWidth="1"/>
    <col min="7170" max="7170" width="64.5546875" style="10" customWidth="1"/>
    <col min="7171" max="7171" width="39" style="10" customWidth="1"/>
    <col min="7172" max="7172" width="87.33203125" style="10" customWidth="1"/>
    <col min="7173" max="7173" width="25.5546875" style="10" customWidth="1"/>
    <col min="7174" max="7174" width="73.5546875" style="10" customWidth="1"/>
    <col min="7175" max="7175" width="27.33203125" style="10" customWidth="1"/>
    <col min="7176" max="7424" width="9.33203125" style="10"/>
    <col min="7425" max="7425" width="18.5546875" style="10" customWidth="1"/>
    <col min="7426" max="7426" width="64.5546875" style="10" customWidth="1"/>
    <col min="7427" max="7427" width="39" style="10" customWidth="1"/>
    <col min="7428" max="7428" width="87.33203125" style="10" customWidth="1"/>
    <col min="7429" max="7429" width="25.5546875" style="10" customWidth="1"/>
    <col min="7430" max="7430" width="73.5546875" style="10" customWidth="1"/>
    <col min="7431" max="7431" width="27.33203125" style="10" customWidth="1"/>
    <col min="7432" max="7680" width="9.33203125" style="10"/>
    <col min="7681" max="7681" width="18.5546875" style="10" customWidth="1"/>
    <col min="7682" max="7682" width="64.5546875" style="10" customWidth="1"/>
    <col min="7683" max="7683" width="39" style="10" customWidth="1"/>
    <col min="7684" max="7684" width="87.33203125" style="10" customWidth="1"/>
    <col min="7685" max="7685" width="25.5546875" style="10" customWidth="1"/>
    <col min="7686" max="7686" width="73.5546875" style="10" customWidth="1"/>
    <col min="7687" max="7687" width="27.33203125" style="10" customWidth="1"/>
    <col min="7688" max="7936" width="9.33203125" style="10"/>
    <col min="7937" max="7937" width="18.5546875" style="10" customWidth="1"/>
    <col min="7938" max="7938" width="64.5546875" style="10" customWidth="1"/>
    <col min="7939" max="7939" width="39" style="10" customWidth="1"/>
    <col min="7940" max="7940" width="87.33203125" style="10" customWidth="1"/>
    <col min="7941" max="7941" width="25.5546875" style="10" customWidth="1"/>
    <col min="7942" max="7942" width="73.5546875" style="10" customWidth="1"/>
    <col min="7943" max="7943" width="27.33203125" style="10" customWidth="1"/>
    <col min="7944" max="8192" width="9.33203125" style="10"/>
    <col min="8193" max="8193" width="18.5546875" style="10" customWidth="1"/>
    <col min="8194" max="8194" width="64.5546875" style="10" customWidth="1"/>
    <col min="8195" max="8195" width="39" style="10" customWidth="1"/>
    <col min="8196" max="8196" width="87.33203125" style="10" customWidth="1"/>
    <col min="8197" max="8197" width="25.5546875" style="10" customWidth="1"/>
    <col min="8198" max="8198" width="73.5546875" style="10" customWidth="1"/>
    <col min="8199" max="8199" width="27.33203125" style="10" customWidth="1"/>
    <col min="8200" max="8448" width="9.33203125" style="10"/>
    <col min="8449" max="8449" width="18.5546875" style="10" customWidth="1"/>
    <col min="8450" max="8450" width="64.5546875" style="10" customWidth="1"/>
    <col min="8451" max="8451" width="39" style="10" customWidth="1"/>
    <col min="8452" max="8452" width="87.33203125" style="10" customWidth="1"/>
    <col min="8453" max="8453" width="25.5546875" style="10" customWidth="1"/>
    <col min="8454" max="8454" width="73.5546875" style="10" customWidth="1"/>
    <col min="8455" max="8455" width="27.33203125" style="10" customWidth="1"/>
    <col min="8456" max="8704" width="9.33203125" style="10"/>
    <col min="8705" max="8705" width="18.5546875" style="10" customWidth="1"/>
    <col min="8706" max="8706" width="64.5546875" style="10" customWidth="1"/>
    <col min="8707" max="8707" width="39" style="10" customWidth="1"/>
    <col min="8708" max="8708" width="87.33203125" style="10" customWidth="1"/>
    <col min="8709" max="8709" width="25.5546875" style="10" customWidth="1"/>
    <col min="8710" max="8710" width="73.5546875" style="10" customWidth="1"/>
    <col min="8711" max="8711" width="27.33203125" style="10" customWidth="1"/>
    <col min="8712" max="8960" width="9.33203125" style="10"/>
    <col min="8961" max="8961" width="18.5546875" style="10" customWidth="1"/>
    <col min="8962" max="8962" width="64.5546875" style="10" customWidth="1"/>
    <col min="8963" max="8963" width="39" style="10" customWidth="1"/>
    <col min="8964" max="8964" width="87.33203125" style="10" customWidth="1"/>
    <col min="8965" max="8965" width="25.5546875" style="10" customWidth="1"/>
    <col min="8966" max="8966" width="73.5546875" style="10" customWidth="1"/>
    <col min="8967" max="8967" width="27.33203125" style="10" customWidth="1"/>
    <col min="8968" max="9216" width="9.33203125" style="10"/>
    <col min="9217" max="9217" width="18.5546875" style="10" customWidth="1"/>
    <col min="9218" max="9218" width="64.5546875" style="10" customWidth="1"/>
    <col min="9219" max="9219" width="39" style="10" customWidth="1"/>
    <col min="9220" max="9220" width="87.33203125" style="10" customWidth="1"/>
    <col min="9221" max="9221" width="25.5546875" style="10" customWidth="1"/>
    <col min="9222" max="9222" width="73.5546875" style="10" customWidth="1"/>
    <col min="9223" max="9223" width="27.33203125" style="10" customWidth="1"/>
    <col min="9224" max="9472" width="9.33203125" style="10"/>
    <col min="9473" max="9473" width="18.5546875" style="10" customWidth="1"/>
    <col min="9474" max="9474" width="64.5546875" style="10" customWidth="1"/>
    <col min="9475" max="9475" width="39" style="10" customWidth="1"/>
    <col min="9476" max="9476" width="87.33203125" style="10" customWidth="1"/>
    <col min="9477" max="9477" width="25.5546875" style="10" customWidth="1"/>
    <col min="9478" max="9478" width="73.5546875" style="10" customWidth="1"/>
    <col min="9479" max="9479" width="27.33203125" style="10" customWidth="1"/>
    <col min="9480" max="9728" width="9.33203125" style="10"/>
    <col min="9729" max="9729" width="18.5546875" style="10" customWidth="1"/>
    <col min="9730" max="9730" width="64.5546875" style="10" customWidth="1"/>
    <col min="9731" max="9731" width="39" style="10" customWidth="1"/>
    <col min="9732" max="9732" width="87.33203125" style="10" customWidth="1"/>
    <col min="9733" max="9733" width="25.5546875" style="10" customWidth="1"/>
    <col min="9734" max="9734" width="73.5546875" style="10" customWidth="1"/>
    <col min="9735" max="9735" width="27.33203125" style="10" customWidth="1"/>
    <col min="9736" max="9984" width="9.33203125" style="10"/>
    <col min="9985" max="9985" width="18.5546875" style="10" customWidth="1"/>
    <col min="9986" max="9986" width="64.5546875" style="10" customWidth="1"/>
    <col min="9987" max="9987" width="39" style="10" customWidth="1"/>
    <col min="9988" max="9988" width="87.33203125" style="10" customWidth="1"/>
    <col min="9989" max="9989" width="25.5546875" style="10" customWidth="1"/>
    <col min="9990" max="9990" width="73.5546875" style="10" customWidth="1"/>
    <col min="9991" max="9991" width="27.33203125" style="10" customWidth="1"/>
    <col min="9992" max="10240" width="9.33203125" style="10"/>
    <col min="10241" max="10241" width="18.5546875" style="10" customWidth="1"/>
    <col min="10242" max="10242" width="64.5546875" style="10" customWidth="1"/>
    <col min="10243" max="10243" width="39" style="10" customWidth="1"/>
    <col min="10244" max="10244" width="87.33203125" style="10" customWidth="1"/>
    <col min="10245" max="10245" width="25.5546875" style="10" customWidth="1"/>
    <col min="10246" max="10246" width="73.5546875" style="10" customWidth="1"/>
    <col min="10247" max="10247" width="27.33203125" style="10" customWidth="1"/>
    <col min="10248" max="10496" width="9.33203125" style="10"/>
    <col min="10497" max="10497" width="18.5546875" style="10" customWidth="1"/>
    <col min="10498" max="10498" width="64.5546875" style="10" customWidth="1"/>
    <col min="10499" max="10499" width="39" style="10" customWidth="1"/>
    <col min="10500" max="10500" width="87.33203125" style="10" customWidth="1"/>
    <col min="10501" max="10501" width="25.5546875" style="10" customWidth="1"/>
    <col min="10502" max="10502" width="73.5546875" style="10" customWidth="1"/>
    <col min="10503" max="10503" width="27.33203125" style="10" customWidth="1"/>
    <col min="10504" max="10752" width="9.33203125" style="10"/>
    <col min="10753" max="10753" width="18.5546875" style="10" customWidth="1"/>
    <col min="10754" max="10754" width="64.5546875" style="10" customWidth="1"/>
    <col min="10755" max="10755" width="39" style="10" customWidth="1"/>
    <col min="10756" max="10756" width="87.33203125" style="10" customWidth="1"/>
    <col min="10757" max="10757" width="25.5546875" style="10" customWidth="1"/>
    <col min="10758" max="10758" width="73.5546875" style="10" customWidth="1"/>
    <col min="10759" max="10759" width="27.33203125" style="10" customWidth="1"/>
    <col min="10760" max="11008" width="9.33203125" style="10"/>
    <col min="11009" max="11009" width="18.5546875" style="10" customWidth="1"/>
    <col min="11010" max="11010" width="64.5546875" style="10" customWidth="1"/>
    <col min="11011" max="11011" width="39" style="10" customWidth="1"/>
    <col min="11012" max="11012" width="87.33203125" style="10" customWidth="1"/>
    <col min="11013" max="11013" width="25.5546875" style="10" customWidth="1"/>
    <col min="11014" max="11014" width="73.5546875" style="10" customWidth="1"/>
    <col min="11015" max="11015" width="27.33203125" style="10" customWidth="1"/>
    <col min="11016" max="11264" width="9.33203125" style="10"/>
    <col min="11265" max="11265" width="18.5546875" style="10" customWidth="1"/>
    <col min="11266" max="11266" width="64.5546875" style="10" customWidth="1"/>
    <col min="11267" max="11267" width="39" style="10" customWidth="1"/>
    <col min="11268" max="11268" width="87.33203125" style="10" customWidth="1"/>
    <col min="11269" max="11269" width="25.5546875" style="10" customWidth="1"/>
    <col min="11270" max="11270" width="73.5546875" style="10" customWidth="1"/>
    <col min="11271" max="11271" width="27.33203125" style="10" customWidth="1"/>
    <col min="11272" max="11520" width="9.33203125" style="10"/>
    <col min="11521" max="11521" width="18.5546875" style="10" customWidth="1"/>
    <col min="11522" max="11522" width="64.5546875" style="10" customWidth="1"/>
    <col min="11523" max="11523" width="39" style="10" customWidth="1"/>
    <col min="11524" max="11524" width="87.33203125" style="10" customWidth="1"/>
    <col min="11525" max="11525" width="25.5546875" style="10" customWidth="1"/>
    <col min="11526" max="11526" width="73.5546875" style="10" customWidth="1"/>
    <col min="11527" max="11527" width="27.33203125" style="10" customWidth="1"/>
    <col min="11528" max="11776" width="9.33203125" style="10"/>
    <col min="11777" max="11777" width="18.5546875" style="10" customWidth="1"/>
    <col min="11778" max="11778" width="64.5546875" style="10" customWidth="1"/>
    <col min="11779" max="11779" width="39" style="10" customWidth="1"/>
    <col min="11780" max="11780" width="87.33203125" style="10" customWidth="1"/>
    <col min="11781" max="11781" width="25.5546875" style="10" customWidth="1"/>
    <col min="11782" max="11782" width="73.5546875" style="10" customWidth="1"/>
    <col min="11783" max="11783" width="27.33203125" style="10" customWidth="1"/>
    <col min="11784" max="12032" width="9.33203125" style="10"/>
    <col min="12033" max="12033" width="18.5546875" style="10" customWidth="1"/>
    <col min="12034" max="12034" width="64.5546875" style="10" customWidth="1"/>
    <col min="12035" max="12035" width="39" style="10" customWidth="1"/>
    <col min="12036" max="12036" width="87.33203125" style="10" customWidth="1"/>
    <col min="12037" max="12037" width="25.5546875" style="10" customWidth="1"/>
    <col min="12038" max="12038" width="73.5546875" style="10" customWidth="1"/>
    <col min="12039" max="12039" width="27.33203125" style="10" customWidth="1"/>
    <col min="12040" max="12288" width="9.33203125" style="10"/>
    <col min="12289" max="12289" width="18.5546875" style="10" customWidth="1"/>
    <col min="12290" max="12290" width="64.5546875" style="10" customWidth="1"/>
    <col min="12291" max="12291" width="39" style="10" customWidth="1"/>
    <col min="12292" max="12292" width="87.33203125" style="10" customWidth="1"/>
    <col min="12293" max="12293" width="25.5546875" style="10" customWidth="1"/>
    <col min="12294" max="12294" width="73.5546875" style="10" customWidth="1"/>
    <col min="12295" max="12295" width="27.33203125" style="10" customWidth="1"/>
    <col min="12296" max="12544" width="9.33203125" style="10"/>
    <col min="12545" max="12545" width="18.5546875" style="10" customWidth="1"/>
    <col min="12546" max="12546" width="64.5546875" style="10" customWidth="1"/>
    <col min="12547" max="12547" width="39" style="10" customWidth="1"/>
    <col min="12548" max="12548" width="87.33203125" style="10" customWidth="1"/>
    <col min="12549" max="12549" width="25.5546875" style="10" customWidth="1"/>
    <col min="12550" max="12550" width="73.5546875" style="10" customWidth="1"/>
    <col min="12551" max="12551" width="27.33203125" style="10" customWidth="1"/>
    <col min="12552" max="12800" width="9.33203125" style="10"/>
    <col min="12801" max="12801" width="18.5546875" style="10" customWidth="1"/>
    <col min="12802" max="12802" width="64.5546875" style="10" customWidth="1"/>
    <col min="12803" max="12803" width="39" style="10" customWidth="1"/>
    <col min="12804" max="12804" width="87.33203125" style="10" customWidth="1"/>
    <col min="12805" max="12805" width="25.5546875" style="10" customWidth="1"/>
    <col min="12806" max="12806" width="73.5546875" style="10" customWidth="1"/>
    <col min="12807" max="12807" width="27.33203125" style="10" customWidth="1"/>
    <col min="12808" max="13056" width="9.33203125" style="10"/>
    <col min="13057" max="13057" width="18.5546875" style="10" customWidth="1"/>
    <col min="13058" max="13058" width="64.5546875" style="10" customWidth="1"/>
    <col min="13059" max="13059" width="39" style="10" customWidth="1"/>
    <col min="13060" max="13060" width="87.33203125" style="10" customWidth="1"/>
    <col min="13061" max="13061" width="25.5546875" style="10" customWidth="1"/>
    <col min="13062" max="13062" width="73.5546875" style="10" customWidth="1"/>
    <col min="13063" max="13063" width="27.33203125" style="10" customWidth="1"/>
    <col min="13064" max="13312" width="9.33203125" style="10"/>
    <col min="13313" max="13313" width="18.5546875" style="10" customWidth="1"/>
    <col min="13314" max="13314" width="64.5546875" style="10" customWidth="1"/>
    <col min="13315" max="13315" width="39" style="10" customWidth="1"/>
    <col min="13316" max="13316" width="87.33203125" style="10" customWidth="1"/>
    <col min="13317" max="13317" width="25.5546875" style="10" customWidth="1"/>
    <col min="13318" max="13318" width="73.5546875" style="10" customWidth="1"/>
    <col min="13319" max="13319" width="27.33203125" style="10" customWidth="1"/>
    <col min="13320" max="13568" width="9.33203125" style="10"/>
    <col min="13569" max="13569" width="18.5546875" style="10" customWidth="1"/>
    <col min="13570" max="13570" width="64.5546875" style="10" customWidth="1"/>
    <col min="13571" max="13571" width="39" style="10" customWidth="1"/>
    <col min="13572" max="13572" width="87.33203125" style="10" customWidth="1"/>
    <col min="13573" max="13573" width="25.5546875" style="10" customWidth="1"/>
    <col min="13574" max="13574" width="73.5546875" style="10" customWidth="1"/>
    <col min="13575" max="13575" width="27.33203125" style="10" customWidth="1"/>
    <col min="13576" max="13824" width="9.33203125" style="10"/>
    <col min="13825" max="13825" width="18.5546875" style="10" customWidth="1"/>
    <col min="13826" max="13826" width="64.5546875" style="10" customWidth="1"/>
    <col min="13827" max="13827" width="39" style="10" customWidth="1"/>
    <col min="13828" max="13828" width="87.33203125" style="10" customWidth="1"/>
    <col min="13829" max="13829" width="25.5546875" style="10" customWidth="1"/>
    <col min="13830" max="13830" width="73.5546875" style="10" customWidth="1"/>
    <col min="13831" max="13831" width="27.33203125" style="10" customWidth="1"/>
    <col min="13832" max="14080" width="9.33203125" style="10"/>
    <col min="14081" max="14081" width="18.5546875" style="10" customWidth="1"/>
    <col min="14082" max="14082" width="64.5546875" style="10" customWidth="1"/>
    <col min="14083" max="14083" width="39" style="10" customWidth="1"/>
    <col min="14084" max="14084" width="87.33203125" style="10" customWidth="1"/>
    <col min="14085" max="14085" width="25.5546875" style="10" customWidth="1"/>
    <col min="14086" max="14086" width="73.5546875" style="10" customWidth="1"/>
    <col min="14087" max="14087" width="27.33203125" style="10" customWidth="1"/>
    <col min="14088" max="14336" width="9.33203125" style="10"/>
    <col min="14337" max="14337" width="18.5546875" style="10" customWidth="1"/>
    <col min="14338" max="14338" width="64.5546875" style="10" customWidth="1"/>
    <col min="14339" max="14339" width="39" style="10" customWidth="1"/>
    <col min="14340" max="14340" width="87.33203125" style="10" customWidth="1"/>
    <col min="14341" max="14341" width="25.5546875" style="10" customWidth="1"/>
    <col min="14342" max="14342" width="73.5546875" style="10" customWidth="1"/>
    <col min="14343" max="14343" width="27.33203125" style="10" customWidth="1"/>
    <col min="14344" max="14592" width="9.33203125" style="10"/>
    <col min="14593" max="14593" width="18.5546875" style="10" customWidth="1"/>
    <col min="14594" max="14594" width="64.5546875" style="10" customWidth="1"/>
    <col min="14595" max="14595" width="39" style="10" customWidth="1"/>
    <col min="14596" max="14596" width="87.33203125" style="10" customWidth="1"/>
    <col min="14597" max="14597" width="25.5546875" style="10" customWidth="1"/>
    <col min="14598" max="14598" width="73.5546875" style="10" customWidth="1"/>
    <col min="14599" max="14599" width="27.33203125" style="10" customWidth="1"/>
    <col min="14600" max="14848" width="9.33203125" style="10"/>
    <col min="14849" max="14849" width="18.5546875" style="10" customWidth="1"/>
    <col min="14850" max="14850" width="64.5546875" style="10" customWidth="1"/>
    <col min="14851" max="14851" width="39" style="10" customWidth="1"/>
    <col min="14852" max="14852" width="87.33203125" style="10" customWidth="1"/>
    <col min="14853" max="14853" width="25.5546875" style="10" customWidth="1"/>
    <col min="14854" max="14854" width="73.5546875" style="10" customWidth="1"/>
    <col min="14855" max="14855" width="27.33203125" style="10" customWidth="1"/>
    <col min="14856" max="15104" width="9.33203125" style="10"/>
    <col min="15105" max="15105" width="18.5546875" style="10" customWidth="1"/>
    <col min="15106" max="15106" width="64.5546875" style="10" customWidth="1"/>
    <col min="15107" max="15107" width="39" style="10" customWidth="1"/>
    <col min="15108" max="15108" width="87.33203125" style="10" customWidth="1"/>
    <col min="15109" max="15109" width="25.5546875" style="10" customWidth="1"/>
    <col min="15110" max="15110" width="73.5546875" style="10" customWidth="1"/>
    <col min="15111" max="15111" width="27.33203125" style="10" customWidth="1"/>
    <col min="15112" max="15360" width="9.33203125" style="10"/>
    <col min="15361" max="15361" width="18.5546875" style="10" customWidth="1"/>
    <col min="15362" max="15362" width="64.5546875" style="10" customWidth="1"/>
    <col min="15363" max="15363" width="39" style="10" customWidth="1"/>
    <col min="15364" max="15364" width="87.33203125" style="10" customWidth="1"/>
    <col min="15365" max="15365" width="25.5546875" style="10" customWidth="1"/>
    <col min="15366" max="15366" width="73.5546875" style="10" customWidth="1"/>
    <col min="15367" max="15367" width="27.33203125" style="10" customWidth="1"/>
    <col min="15368" max="15616" width="9.33203125" style="10"/>
    <col min="15617" max="15617" width="18.5546875" style="10" customWidth="1"/>
    <col min="15618" max="15618" width="64.5546875" style="10" customWidth="1"/>
    <col min="15619" max="15619" width="39" style="10" customWidth="1"/>
    <col min="15620" max="15620" width="87.33203125" style="10" customWidth="1"/>
    <col min="15621" max="15621" width="25.5546875" style="10" customWidth="1"/>
    <col min="15622" max="15622" width="73.5546875" style="10" customWidth="1"/>
    <col min="15623" max="15623" width="27.33203125" style="10" customWidth="1"/>
    <col min="15624" max="15872" width="9.33203125" style="10"/>
    <col min="15873" max="15873" width="18.5546875" style="10" customWidth="1"/>
    <col min="15874" max="15874" width="64.5546875" style="10" customWidth="1"/>
    <col min="15875" max="15875" width="39" style="10" customWidth="1"/>
    <col min="15876" max="15876" width="87.33203125" style="10" customWidth="1"/>
    <col min="15877" max="15877" width="25.5546875" style="10" customWidth="1"/>
    <col min="15878" max="15878" width="73.5546875" style="10" customWidth="1"/>
    <col min="15879" max="15879" width="27.33203125" style="10" customWidth="1"/>
    <col min="15880" max="16128" width="9.33203125" style="10"/>
    <col min="16129" max="16129" width="18.5546875" style="10" customWidth="1"/>
    <col min="16130" max="16130" width="64.5546875" style="10" customWidth="1"/>
    <col min="16131" max="16131" width="39" style="10" customWidth="1"/>
    <col min="16132" max="16132" width="87.33203125" style="10" customWidth="1"/>
    <col min="16133" max="16133" width="25.5546875" style="10" customWidth="1"/>
    <col min="16134" max="16134" width="73.5546875" style="10" customWidth="1"/>
    <col min="16135" max="16135" width="27.33203125" style="10" customWidth="1"/>
    <col min="16136" max="16384" width="9.33203125" style="10"/>
  </cols>
  <sheetData>
    <row r="1" spans="1:7" ht="15.6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6" t="s">
        <v>6</v>
      </c>
    </row>
    <row r="2" spans="1:7" hidden="1">
      <c r="A2" s="17" t="s">
        <v>7</v>
      </c>
      <c r="B2" s="17" t="s">
        <v>8</v>
      </c>
      <c r="C2" s="17" t="s">
        <v>9</v>
      </c>
      <c r="D2" s="17" t="s">
        <v>10</v>
      </c>
      <c r="E2" s="17" t="s">
        <v>11</v>
      </c>
      <c r="F2" s="17" t="s">
        <v>12</v>
      </c>
      <c r="G2" s="17" t="s">
        <v>13</v>
      </c>
    </row>
    <row r="3" spans="1:7" hidden="1">
      <c r="A3" s="17" t="s">
        <v>14</v>
      </c>
      <c r="B3" s="17" t="s">
        <v>15</v>
      </c>
      <c r="C3" s="17" t="s">
        <v>16</v>
      </c>
      <c r="D3" s="17" t="s">
        <v>17</v>
      </c>
      <c r="E3" s="17" t="s">
        <v>18</v>
      </c>
      <c r="F3" s="17" t="s">
        <v>19</v>
      </c>
      <c r="G3" s="17" t="s">
        <v>20</v>
      </c>
    </row>
    <row r="4" spans="1:7" ht="26.4" hidden="1">
      <c r="A4" s="17" t="s">
        <v>21</v>
      </c>
      <c r="B4" s="17" t="s">
        <v>22</v>
      </c>
      <c r="C4" s="17" t="s">
        <v>23</v>
      </c>
      <c r="D4" s="17" t="s">
        <v>24</v>
      </c>
      <c r="E4" s="17" t="s">
        <v>25</v>
      </c>
      <c r="F4" s="17" t="s">
        <v>26</v>
      </c>
      <c r="G4" s="17" t="s">
        <v>27</v>
      </c>
    </row>
    <row r="5" spans="1:7" hidden="1">
      <c r="A5" s="17" t="s">
        <v>28</v>
      </c>
      <c r="B5" s="17" t="s">
        <v>29</v>
      </c>
      <c r="C5" s="17" t="s">
        <v>30</v>
      </c>
      <c r="D5" s="17" t="s">
        <v>31</v>
      </c>
      <c r="E5" s="17" t="s">
        <v>32</v>
      </c>
      <c r="F5" s="17" t="s">
        <v>33</v>
      </c>
      <c r="G5" s="17" t="s">
        <v>34</v>
      </c>
    </row>
    <row r="6" spans="1:7" hidden="1">
      <c r="A6" s="17" t="s">
        <v>35</v>
      </c>
      <c r="B6" s="17" t="s">
        <v>36</v>
      </c>
      <c r="C6" s="17" t="s">
        <v>37</v>
      </c>
      <c r="D6" s="17" t="s">
        <v>38</v>
      </c>
      <c r="E6" s="17" t="s">
        <v>39</v>
      </c>
      <c r="F6" s="17" t="s">
        <v>40</v>
      </c>
      <c r="G6" s="17" t="s">
        <v>41</v>
      </c>
    </row>
    <row r="7" spans="1:7" hidden="1">
      <c r="A7" s="17" t="s">
        <v>42</v>
      </c>
      <c r="B7" s="17" t="s">
        <v>43</v>
      </c>
      <c r="C7" s="17" t="s">
        <v>44</v>
      </c>
      <c r="D7" s="17" t="s">
        <v>45</v>
      </c>
      <c r="E7" s="17" t="s">
        <v>46</v>
      </c>
      <c r="F7" s="17" t="s">
        <v>47</v>
      </c>
      <c r="G7" s="17" t="s">
        <v>48</v>
      </c>
    </row>
    <row r="8" spans="1:7" hidden="1">
      <c r="A8" s="17" t="s">
        <v>49</v>
      </c>
      <c r="B8" s="17" t="s">
        <v>50</v>
      </c>
      <c r="C8" s="17" t="s">
        <v>51</v>
      </c>
      <c r="D8" s="17" t="s">
        <v>52</v>
      </c>
      <c r="E8" s="17" t="s">
        <v>53</v>
      </c>
      <c r="F8" s="17" t="s">
        <v>54</v>
      </c>
      <c r="G8" s="17" t="s">
        <v>55</v>
      </c>
    </row>
    <row r="9" spans="1:7" hidden="1">
      <c r="A9" s="17" t="s">
        <v>56</v>
      </c>
      <c r="B9" s="17" t="s">
        <v>57</v>
      </c>
      <c r="C9" s="17" t="s">
        <v>58</v>
      </c>
      <c r="D9" s="17" t="s">
        <v>59</v>
      </c>
      <c r="E9" s="17" t="s">
        <v>60</v>
      </c>
      <c r="F9" s="17" t="s">
        <v>61</v>
      </c>
      <c r="G9" s="17" t="s">
        <v>62</v>
      </c>
    </row>
    <row r="10" spans="1:7" hidden="1">
      <c r="A10" s="17" t="s">
        <v>63</v>
      </c>
      <c r="B10" s="17" t="s">
        <v>64</v>
      </c>
      <c r="C10" s="17" t="s">
        <v>65</v>
      </c>
      <c r="D10" s="17" t="s">
        <v>66</v>
      </c>
      <c r="E10" s="17" t="s">
        <v>67</v>
      </c>
      <c r="F10" s="17" t="s">
        <v>68</v>
      </c>
      <c r="G10" s="17" t="s">
        <v>69</v>
      </c>
    </row>
    <row r="11" spans="1:7" hidden="1">
      <c r="A11" s="17" t="s">
        <v>70</v>
      </c>
      <c r="B11" s="17" t="s">
        <v>71</v>
      </c>
      <c r="C11" s="17" t="s">
        <v>72</v>
      </c>
      <c r="D11" s="17" t="s">
        <v>73</v>
      </c>
      <c r="E11" s="17" t="s">
        <v>74</v>
      </c>
      <c r="F11" s="17" t="s">
        <v>75</v>
      </c>
      <c r="G11" s="17" t="s">
        <v>76</v>
      </c>
    </row>
    <row r="12" spans="1:7" hidden="1">
      <c r="A12" s="17" t="s">
        <v>77</v>
      </c>
      <c r="B12" s="17" t="s">
        <v>78</v>
      </c>
      <c r="C12" s="17" t="s">
        <v>79</v>
      </c>
      <c r="D12" s="17" t="s">
        <v>80</v>
      </c>
      <c r="E12" s="17" t="s">
        <v>81</v>
      </c>
      <c r="F12" s="17" t="s">
        <v>82</v>
      </c>
      <c r="G12" s="17" t="s">
        <v>83</v>
      </c>
    </row>
    <row r="13" spans="1:7" hidden="1">
      <c r="A13" s="17" t="s">
        <v>84</v>
      </c>
      <c r="B13" s="17" t="s">
        <v>85</v>
      </c>
      <c r="C13" s="17" t="s">
        <v>86</v>
      </c>
      <c r="D13" s="17" t="s">
        <v>87</v>
      </c>
      <c r="E13" s="17" t="s">
        <v>88</v>
      </c>
      <c r="F13" s="17" t="s">
        <v>89</v>
      </c>
      <c r="G13" s="17" t="s">
        <v>90</v>
      </c>
    </row>
    <row r="14" spans="1:7" hidden="1">
      <c r="A14" s="17" t="s">
        <v>91</v>
      </c>
      <c r="B14" s="17" t="s">
        <v>92</v>
      </c>
      <c r="C14" s="17" t="s">
        <v>93</v>
      </c>
      <c r="D14" s="17" t="s">
        <v>94</v>
      </c>
      <c r="E14" s="17" t="s">
        <v>95</v>
      </c>
      <c r="F14" s="17" t="s">
        <v>96</v>
      </c>
      <c r="G14" s="17" t="s">
        <v>97</v>
      </c>
    </row>
    <row r="15" spans="1:7" ht="26.4" hidden="1">
      <c r="A15" s="17" t="s">
        <v>98</v>
      </c>
      <c r="B15" s="17" t="s">
        <v>99</v>
      </c>
      <c r="C15" s="17" t="s">
        <v>100</v>
      </c>
      <c r="D15" s="17" t="s">
        <v>101</v>
      </c>
      <c r="E15" s="17" t="s">
        <v>102</v>
      </c>
      <c r="F15" s="17" t="s">
        <v>103</v>
      </c>
      <c r="G15" s="17" t="s">
        <v>104</v>
      </c>
    </row>
    <row r="16" spans="1:7" hidden="1">
      <c r="A16" s="17" t="s">
        <v>105</v>
      </c>
      <c r="B16" s="17" t="s">
        <v>106</v>
      </c>
      <c r="C16" s="17" t="s">
        <v>107</v>
      </c>
      <c r="D16" s="17" t="s">
        <v>108</v>
      </c>
      <c r="E16" s="17" t="s">
        <v>109</v>
      </c>
      <c r="F16" s="17" t="s">
        <v>110</v>
      </c>
      <c r="G16" s="17" t="s">
        <v>111</v>
      </c>
    </row>
    <row r="17" spans="1:7" hidden="1">
      <c r="A17" s="17" t="s">
        <v>112</v>
      </c>
      <c r="B17" s="17" t="s">
        <v>113</v>
      </c>
      <c r="C17" s="17" t="s">
        <v>114</v>
      </c>
      <c r="D17" s="17" t="s">
        <v>115</v>
      </c>
      <c r="E17" s="17" t="s">
        <v>116</v>
      </c>
      <c r="F17" s="17" t="s">
        <v>117</v>
      </c>
      <c r="G17" s="17" t="s">
        <v>118</v>
      </c>
    </row>
    <row r="18" spans="1:7" hidden="1">
      <c r="A18" s="17" t="s">
        <v>119</v>
      </c>
      <c r="B18" s="17" t="s">
        <v>120</v>
      </c>
      <c r="C18" s="17" t="s">
        <v>121</v>
      </c>
      <c r="D18" s="17" t="s">
        <v>122</v>
      </c>
      <c r="E18" s="17" t="s">
        <v>123</v>
      </c>
      <c r="F18" s="17" t="s">
        <v>124</v>
      </c>
      <c r="G18" s="17" t="s">
        <v>125</v>
      </c>
    </row>
    <row r="19" spans="1:7" hidden="1">
      <c r="A19" s="17" t="s">
        <v>126</v>
      </c>
      <c r="B19" s="17" t="s">
        <v>127</v>
      </c>
      <c r="C19" s="17" t="s">
        <v>128</v>
      </c>
      <c r="D19" s="17" t="s">
        <v>129</v>
      </c>
      <c r="E19" s="17" t="s">
        <v>130</v>
      </c>
      <c r="F19" s="17" t="s">
        <v>131</v>
      </c>
      <c r="G19" s="17" t="s">
        <v>132</v>
      </c>
    </row>
    <row r="20" spans="1:7" hidden="1">
      <c r="A20" s="17" t="s">
        <v>133</v>
      </c>
      <c r="B20" s="17" t="s">
        <v>134</v>
      </c>
      <c r="C20" s="17" t="s">
        <v>135</v>
      </c>
      <c r="D20" s="17" t="s">
        <v>136</v>
      </c>
      <c r="E20" s="17" t="s">
        <v>137</v>
      </c>
      <c r="F20" s="17" t="s">
        <v>138</v>
      </c>
      <c r="G20" s="17" t="s">
        <v>139</v>
      </c>
    </row>
    <row r="21" spans="1:7" hidden="1">
      <c r="A21" s="17" t="s">
        <v>140</v>
      </c>
      <c r="B21" s="17" t="s">
        <v>141</v>
      </c>
      <c r="C21" s="17" t="s">
        <v>58</v>
      </c>
      <c r="D21" s="17" t="s">
        <v>59</v>
      </c>
      <c r="E21" s="17" t="s">
        <v>60</v>
      </c>
      <c r="F21" s="17" t="s">
        <v>142</v>
      </c>
      <c r="G21" s="17" t="s">
        <v>143</v>
      </c>
    </row>
    <row r="22" spans="1:7" hidden="1">
      <c r="A22" s="17" t="s">
        <v>144</v>
      </c>
      <c r="B22" s="17" t="s">
        <v>141</v>
      </c>
      <c r="C22" s="17" t="s">
        <v>58</v>
      </c>
      <c r="D22" s="17" t="s">
        <v>59</v>
      </c>
      <c r="E22" s="17" t="s">
        <v>60</v>
      </c>
      <c r="F22" s="17" t="s">
        <v>142</v>
      </c>
      <c r="G22" s="17" t="s">
        <v>143</v>
      </c>
    </row>
    <row r="23" spans="1:7" hidden="1">
      <c r="A23" s="17" t="s">
        <v>145</v>
      </c>
      <c r="B23" s="17" t="s">
        <v>146</v>
      </c>
      <c r="C23" s="17" t="s">
        <v>147</v>
      </c>
      <c r="D23" s="17" t="s">
        <v>148</v>
      </c>
      <c r="E23" s="17" t="s">
        <v>149</v>
      </c>
      <c r="F23" s="17" t="s">
        <v>150</v>
      </c>
      <c r="G23" s="17" t="s">
        <v>151</v>
      </c>
    </row>
    <row r="24" spans="1:7" hidden="1">
      <c r="A24" s="17" t="s">
        <v>152</v>
      </c>
      <c r="B24" s="17" t="s">
        <v>153</v>
      </c>
      <c r="C24" s="17" t="s">
        <v>154</v>
      </c>
      <c r="D24" s="17" t="s">
        <v>155</v>
      </c>
      <c r="E24" s="17" t="s">
        <v>156</v>
      </c>
      <c r="F24" s="17" t="s">
        <v>157</v>
      </c>
      <c r="G24" s="17" t="s">
        <v>158</v>
      </c>
    </row>
    <row r="25" spans="1:7" hidden="1">
      <c r="A25" s="17" t="s">
        <v>159</v>
      </c>
      <c r="B25" s="17" t="s">
        <v>160</v>
      </c>
      <c r="C25" s="17" t="s">
        <v>161</v>
      </c>
      <c r="D25" s="17" t="s">
        <v>162</v>
      </c>
      <c r="E25" s="17" t="s">
        <v>163</v>
      </c>
      <c r="F25" s="17" t="s">
        <v>164</v>
      </c>
      <c r="G25" s="17">
        <v>1470089139132</v>
      </c>
    </row>
    <row r="26" spans="1:7" hidden="1">
      <c r="A26" s="17" t="s">
        <v>165</v>
      </c>
      <c r="B26" s="17" t="s">
        <v>43</v>
      </c>
      <c r="C26" s="17" t="s">
        <v>44</v>
      </c>
      <c r="D26" s="17" t="s">
        <v>45</v>
      </c>
      <c r="E26" s="17" t="s">
        <v>46</v>
      </c>
      <c r="F26" s="17" t="s">
        <v>47</v>
      </c>
      <c r="G26" s="17" t="s">
        <v>166</v>
      </c>
    </row>
    <row r="27" spans="1:7" hidden="1">
      <c r="A27" s="17" t="s">
        <v>167</v>
      </c>
      <c r="B27" s="17" t="s">
        <v>168</v>
      </c>
      <c r="C27" s="17" t="s">
        <v>169</v>
      </c>
      <c r="D27" s="17" t="s">
        <v>170</v>
      </c>
      <c r="E27" s="17" t="s">
        <v>171</v>
      </c>
      <c r="F27" s="17" t="s">
        <v>172</v>
      </c>
      <c r="G27" s="17" t="s">
        <v>173</v>
      </c>
    </row>
    <row r="28" spans="1:7" hidden="1">
      <c r="A28" s="17" t="s">
        <v>174</v>
      </c>
      <c r="B28" s="17" t="s">
        <v>175</v>
      </c>
      <c r="C28" s="17" t="s">
        <v>176</v>
      </c>
      <c r="D28" s="17" t="s">
        <v>177</v>
      </c>
      <c r="E28" s="17" t="s">
        <v>178</v>
      </c>
      <c r="F28" s="17" t="s">
        <v>179</v>
      </c>
      <c r="G28" s="17" t="s">
        <v>180</v>
      </c>
    </row>
    <row r="29" spans="1:7" hidden="1">
      <c r="A29" s="17" t="s">
        <v>181</v>
      </c>
      <c r="B29" s="17" t="s">
        <v>182</v>
      </c>
      <c r="C29" s="17" t="s">
        <v>183</v>
      </c>
      <c r="D29" s="17" t="s">
        <v>184</v>
      </c>
      <c r="E29" s="17" t="s">
        <v>185</v>
      </c>
      <c r="F29" s="17" t="s">
        <v>186</v>
      </c>
      <c r="G29" s="17" t="s">
        <v>187</v>
      </c>
    </row>
    <row r="30" spans="1:7" ht="26.4" hidden="1">
      <c r="A30" s="17" t="s">
        <v>188</v>
      </c>
      <c r="B30" s="17" t="s">
        <v>189</v>
      </c>
      <c r="C30" s="17" t="s">
        <v>190</v>
      </c>
      <c r="D30" s="17" t="s">
        <v>191</v>
      </c>
      <c r="E30" s="17" t="s">
        <v>192</v>
      </c>
      <c r="F30" s="17" t="s">
        <v>193</v>
      </c>
      <c r="G30" s="17" t="s">
        <v>194</v>
      </c>
    </row>
    <row r="31" spans="1:7" hidden="1">
      <c r="A31" s="17" t="s">
        <v>195</v>
      </c>
      <c r="B31" s="17" t="s">
        <v>196</v>
      </c>
      <c r="C31" s="17" t="s">
        <v>197</v>
      </c>
      <c r="D31" s="17" t="s">
        <v>198</v>
      </c>
      <c r="E31" s="17" t="s">
        <v>199</v>
      </c>
      <c r="F31" s="17" t="s">
        <v>200</v>
      </c>
      <c r="G31" s="17" t="s">
        <v>201</v>
      </c>
    </row>
    <row r="32" spans="1:7" hidden="1">
      <c r="A32" s="17" t="s">
        <v>202</v>
      </c>
      <c r="B32" s="17" t="s">
        <v>203</v>
      </c>
      <c r="C32" s="17" t="s">
        <v>204</v>
      </c>
      <c r="D32" s="17" t="s">
        <v>122</v>
      </c>
      <c r="E32" s="17" t="s">
        <v>205</v>
      </c>
      <c r="F32" s="17" t="s">
        <v>206</v>
      </c>
      <c r="G32" s="17" t="s">
        <v>207</v>
      </c>
    </row>
    <row r="33" spans="1:7" hidden="1">
      <c r="A33" s="17" t="s">
        <v>208</v>
      </c>
      <c r="B33" s="17" t="s">
        <v>209</v>
      </c>
      <c r="C33" s="17" t="s">
        <v>210</v>
      </c>
      <c r="D33" s="17" t="s">
        <v>211</v>
      </c>
      <c r="E33" s="17" t="s">
        <v>212</v>
      </c>
      <c r="F33" s="17" t="s">
        <v>213</v>
      </c>
      <c r="G33" s="17" t="s">
        <v>214</v>
      </c>
    </row>
    <row r="34" spans="1:7" hidden="1">
      <c r="A34" s="17" t="s">
        <v>215</v>
      </c>
      <c r="B34" s="17" t="s">
        <v>216</v>
      </c>
      <c r="C34" s="17" t="s">
        <v>217</v>
      </c>
      <c r="D34" s="17" t="s">
        <v>218</v>
      </c>
      <c r="E34" s="17" t="s">
        <v>219</v>
      </c>
      <c r="F34" s="17" t="s">
        <v>220</v>
      </c>
      <c r="G34" s="17" t="s">
        <v>221</v>
      </c>
    </row>
    <row r="35" spans="1:7" hidden="1">
      <c r="A35" s="17" t="s">
        <v>222</v>
      </c>
      <c r="B35" s="17" t="s">
        <v>223</v>
      </c>
      <c r="C35" s="17" t="s">
        <v>224</v>
      </c>
      <c r="D35" s="17" t="s">
        <v>225</v>
      </c>
      <c r="E35" s="17" t="s">
        <v>226</v>
      </c>
      <c r="F35" s="17" t="s">
        <v>227</v>
      </c>
      <c r="G35" s="17" t="s">
        <v>228</v>
      </c>
    </row>
    <row r="36" spans="1:7" hidden="1">
      <c r="A36" s="17" t="s">
        <v>229</v>
      </c>
      <c r="B36" s="17" t="s">
        <v>230</v>
      </c>
      <c r="C36" s="17" t="s">
        <v>231</v>
      </c>
      <c r="D36" s="17" t="s">
        <v>232</v>
      </c>
      <c r="E36" s="17" t="s">
        <v>233</v>
      </c>
      <c r="F36" s="17" t="s">
        <v>234</v>
      </c>
      <c r="G36" s="17" t="s">
        <v>235</v>
      </c>
    </row>
    <row r="37" spans="1:7" hidden="1">
      <c r="A37" s="17" t="s">
        <v>236</v>
      </c>
      <c r="B37" s="17" t="s">
        <v>237</v>
      </c>
      <c r="C37" s="17" t="s">
        <v>238</v>
      </c>
      <c r="D37" s="17" t="s">
        <v>239</v>
      </c>
      <c r="E37" s="17" t="s">
        <v>240</v>
      </c>
      <c r="F37" s="17" t="s">
        <v>241</v>
      </c>
      <c r="G37" s="17" t="s">
        <v>242</v>
      </c>
    </row>
    <row r="38" spans="1:7" hidden="1">
      <c r="A38" s="17" t="s">
        <v>243</v>
      </c>
      <c r="B38" s="17" t="s">
        <v>244</v>
      </c>
      <c r="C38" s="17" t="s">
        <v>169</v>
      </c>
      <c r="D38" s="17" t="s">
        <v>170</v>
      </c>
      <c r="E38" s="17" t="s">
        <v>171</v>
      </c>
      <c r="F38" s="17" t="s">
        <v>245</v>
      </c>
      <c r="G38" s="17" t="s">
        <v>246</v>
      </c>
    </row>
    <row r="39" spans="1:7" hidden="1">
      <c r="A39" s="17" t="s">
        <v>247</v>
      </c>
      <c r="B39" s="17" t="s">
        <v>248</v>
      </c>
      <c r="C39" s="17" t="s">
        <v>249</v>
      </c>
      <c r="D39" s="17" t="s">
        <v>250</v>
      </c>
      <c r="E39" s="17" t="s">
        <v>251</v>
      </c>
      <c r="F39" s="17" t="s">
        <v>252</v>
      </c>
      <c r="G39" s="17" t="s">
        <v>253</v>
      </c>
    </row>
    <row r="40" spans="1:7" hidden="1">
      <c r="A40" s="17" t="s">
        <v>254</v>
      </c>
      <c r="B40" s="17" t="s">
        <v>255</v>
      </c>
      <c r="C40" s="17" t="s">
        <v>256</v>
      </c>
      <c r="D40" s="17" t="s">
        <v>80</v>
      </c>
      <c r="E40" s="17" t="s">
        <v>81</v>
      </c>
      <c r="F40" s="17" t="s">
        <v>257</v>
      </c>
      <c r="G40" s="17" t="s">
        <v>258</v>
      </c>
    </row>
    <row r="41" spans="1:7" hidden="1">
      <c r="A41" s="17" t="s">
        <v>259</v>
      </c>
      <c r="B41" s="17" t="s">
        <v>260</v>
      </c>
      <c r="C41" s="17" t="s">
        <v>261</v>
      </c>
      <c r="D41" s="17" t="s">
        <v>262</v>
      </c>
      <c r="E41" s="17" t="s">
        <v>263</v>
      </c>
      <c r="F41" s="17" t="s">
        <v>264</v>
      </c>
      <c r="G41" s="17" t="s">
        <v>265</v>
      </c>
    </row>
    <row r="42" spans="1:7" ht="26.4" hidden="1">
      <c r="A42" s="17" t="s">
        <v>266</v>
      </c>
      <c r="B42" s="17" t="s">
        <v>267</v>
      </c>
      <c r="C42" s="17" t="s">
        <v>100</v>
      </c>
      <c r="D42" s="17" t="s">
        <v>101</v>
      </c>
      <c r="E42" s="17" t="s">
        <v>102</v>
      </c>
      <c r="F42" s="17" t="s">
        <v>268</v>
      </c>
      <c r="G42" s="17" t="s">
        <v>269</v>
      </c>
    </row>
    <row r="43" spans="1:7" hidden="1">
      <c r="A43" s="17" t="s">
        <v>270</v>
      </c>
      <c r="B43" s="17" t="s">
        <v>271</v>
      </c>
      <c r="C43" s="17" t="s">
        <v>272</v>
      </c>
      <c r="D43" s="17" t="s">
        <v>273</v>
      </c>
      <c r="E43" s="17" t="s">
        <v>274</v>
      </c>
      <c r="F43" s="17" t="s">
        <v>275</v>
      </c>
      <c r="G43" s="17" t="s">
        <v>276</v>
      </c>
    </row>
    <row r="44" spans="1:7" hidden="1">
      <c r="A44" s="17" t="s">
        <v>277</v>
      </c>
      <c r="B44" s="17" t="s">
        <v>278</v>
      </c>
      <c r="C44" s="17" t="s">
        <v>279</v>
      </c>
      <c r="D44" s="17" t="s">
        <v>278</v>
      </c>
      <c r="E44" s="17" t="s">
        <v>280</v>
      </c>
      <c r="F44" s="17" t="s">
        <v>281</v>
      </c>
      <c r="G44" s="17" t="s">
        <v>282</v>
      </c>
    </row>
    <row r="45" spans="1:7" hidden="1">
      <c r="A45" s="17" t="s">
        <v>259</v>
      </c>
      <c r="B45" s="17" t="s">
        <v>260</v>
      </c>
      <c r="C45" s="17" t="s">
        <v>261</v>
      </c>
      <c r="D45" s="17" t="s">
        <v>262</v>
      </c>
      <c r="E45" s="17" t="s">
        <v>263</v>
      </c>
      <c r="F45" s="17" t="s">
        <v>264</v>
      </c>
      <c r="G45" s="17" t="s">
        <v>283</v>
      </c>
    </row>
    <row r="46" spans="1:7" hidden="1">
      <c r="A46" s="17" t="s">
        <v>284</v>
      </c>
      <c r="B46" s="17" t="s">
        <v>285</v>
      </c>
      <c r="C46" s="17" t="s">
        <v>286</v>
      </c>
      <c r="D46" s="17" t="s">
        <v>287</v>
      </c>
      <c r="E46" s="17" t="s">
        <v>288</v>
      </c>
      <c r="F46" s="17" t="s">
        <v>289</v>
      </c>
      <c r="G46" s="17" t="s">
        <v>290</v>
      </c>
    </row>
    <row r="47" spans="1:7" hidden="1">
      <c r="A47" s="17" t="s">
        <v>291</v>
      </c>
      <c r="B47" s="17" t="s">
        <v>292</v>
      </c>
      <c r="C47" s="17" t="s">
        <v>293</v>
      </c>
      <c r="D47" s="17" t="s">
        <v>294</v>
      </c>
      <c r="E47" s="17" t="s">
        <v>295</v>
      </c>
      <c r="F47" s="17" t="s">
        <v>296</v>
      </c>
      <c r="G47" s="17" t="s">
        <v>297</v>
      </c>
    </row>
    <row r="48" spans="1:7" hidden="1">
      <c r="A48" s="17" t="s">
        <v>298</v>
      </c>
      <c r="B48" s="17" t="s">
        <v>299</v>
      </c>
      <c r="C48" s="17" t="s">
        <v>121</v>
      </c>
      <c r="D48" s="17" t="s">
        <v>122</v>
      </c>
      <c r="E48" s="17" t="s">
        <v>123</v>
      </c>
      <c r="F48" s="17" t="s">
        <v>300</v>
      </c>
      <c r="G48" s="17" t="s">
        <v>301</v>
      </c>
    </row>
    <row r="49" spans="1:7" hidden="1">
      <c r="A49" s="17" t="s">
        <v>302</v>
      </c>
      <c r="B49" s="17" t="s">
        <v>303</v>
      </c>
      <c r="C49" s="17" t="s">
        <v>304</v>
      </c>
      <c r="D49" s="17" t="s">
        <v>305</v>
      </c>
      <c r="E49" s="17" t="s">
        <v>306</v>
      </c>
      <c r="F49" s="17" t="s">
        <v>307</v>
      </c>
      <c r="G49" s="17" t="s">
        <v>308</v>
      </c>
    </row>
    <row r="50" spans="1:7" hidden="1">
      <c r="A50" s="17" t="s">
        <v>309</v>
      </c>
      <c r="B50" s="17" t="s">
        <v>310</v>
      </c>
      <c r="C50" s="17" t="s">
        <v>311</v>
      </c>
      <c r="D50" s="17" t="s">
        <v>312</v>
      </c>
      <c r="E50" s="17" t="s">
        <v>313</v>
      </c>
      <c r="F50" s="17" t="s">
        <v>314</v>
      </c>
      <c r="G50" s="17" t="s">
        <v>315</v>
      </c>
    </row>
    <row r="51" spans="1:7" hidden="1">
      <c r="A51" s="17" t="s">
        <v>316</v>
      </c>
      <c r="B51" s="17" t="s">
        <v>317</v>
      </c>
      <c r="C51" s="17" t="s">
        <v>318</v>
      </c>
      <c r="D51" s="17" t="s">
        <v>319</v>
      </c>
      <c r="E51" s="17" t="s">
        <v>320</v>
      </c>
      <c r="F51" s="17" t="s">
        <v>321</v>
      </c>
      <c r="G51" s="17" t="s">
        <v>322</v>
      </c>
    </row>
    <row r="52" spans="1:7" ht="26.4" hidden="1">
      <c r="A52" s="17" t="s">
        <v>323</v>
      </c>
      <c r="B52" s="17" t="s">
        <v>324</v>
      </c>
      <c r="C52" s="17" t="s">
        <v>325</v>
      </c>
      <c r="D52" s="17" t="s">
        <v>326</v>
      </c>
      <c r="E52" s="17" t="s">
        <v>219</v>
      </c>
      <c r="F52" s="17" t="s">
        <v>327</v>
      </c>
      <c r="G52" s="17" t="s">
        <v>328</v>
      </c>
    </row>
    <row r="53" spans="1:7" hidden="1">
      <c r="A53" s="17" t="s">
        <v>329</v>
      </c>
      <c r="B53" s="17" t="s">
        <v>330</v>
      </c>
      <c r="C53" s="17" t="s">
        <v>331</v>
      </c>
      <c r="D53" s="17" t="s">
        <v>332</v>
      </c>
      <c r="E53" s="17" t="s">
        <v>333</v>
      </c>
      <c r="F53" s="17" t="s">
        <v>334</v>
      </c>
      <c r="G53" s="17" t="s">
        <v>335</v>
      </c>
    </row>
    <row r="54" spans="1:7">
      <c r="A54" s="17" t="s">
        <v>336</v>
      </c>
      <c r="B54" s="17" t="s">
        <v>337</v>
      </c>
      <c r="C54" s="17" t="s">
        <v>338</v>
      </c>
      <c r="D54" s="17" t="s">
        <v>339</v>
      </c>
      <c r="E54" s="17" t="s">
        <v>340</v>
      </c>
      <c r="F54" s="17" t="s">
        <v>341</v>
      </c>
      <c r="G54" s="17" t="s">
        <v>342</v>
      </c>
    </row>
    <row r="55" spans="1:7" hidden="1">
      <c r="A55" s="17" t="s">
        <v>343</v>
      </c>
      <c r="B55" s="17" t="s">
        <v>344</v>
      </c>
      <c r="C55" s="17" t="s">
        <v>345</v>
      </c>
      <c r="D55" s="17" t="s">
        <v>346</v>
      </c>
      <c r="E55" s="17" t="s">
        <v>347</v>
      </c>
      <c r="F55" s="17" t="s">
        <v>348</v>
      </c>
      <c r="G55" s="17" t="s">
        <v>349</v>
      </c>
    </row>
    <row r="56" spans="1:7" hidden="1">
      <c r="A56" s="17" t="s">
        <v>350</v>
      </c>
      <c r="B56" s="17" t="s">
        <v>351</v>
      </c>
      <c r="C56" s="17" t="s">
        <v>352</v>
      </c>
      <c r="D56" s="17" t="s">
        <v>211</v>
      </c>
      <c r="E56" s="17" t="s">
        <v>353</v>
      </c>
      <c r="F56" s="17" t="s">
        <v>354</v>
      </c>
      <c r="G56" s="17" t="s">
        <v>355</v>
      </c>
    </row>
    <row r="57" spans="1:7" hidden="1">
      <c r="A57" s="17" t="s">
        <v>356</v>
      </c>
      <c r="B57" s="17" t="s">
        <v>357</v>
      </c>
      <c r="C57" s="17" t="s">
        <v>358</v>
      </c>
      <c r="D57" s="17" t="s">
        <v>359</v>
      </c>
      <c r="E57" s="17" t="s">
        <v>360</v>
      </c>
      <c r="F57" s="17" t="s">
        <v>361</v>
      </c>
      <c r="G57" s="17" t="s">
        <v>362</v>
      </c>
    </row>
    <row r="58" spans="1:7" ht="26.4" hidden="1">
      <c r="A58" s="17" t="s">
        <v>363</v>
      </c>
      <c r="B58" s="17" t="s">
        <v>364</v>
      </c>
      <c r="C58" s="17" t="s">
        <v>365</v>
      </c>
      <c r="D58" s="17" t="s">
        <v>366</v>
      </c>
      <c r="E58" s="17" t="s">
        <v>367</v>
      </c>
      <c r="F58" s="17" t="s">
        <v>368</v>
      </c>
      <c r="G58" s="17" t="s">
        <v>369</v>
      </c>
    </row>
    <row r="59" spans="1:7" hidden="1">
      <c r="A59" s="17" t="s">
        <v>370</v>
      </c>
      <c r="B59" s="17" t="s">
        <v>371</v>
      </c>
      <c r="C59" s="17" t="s">
        <v>135</v>
      </c>
      <c r="D59" s="17" t="s">
        <v>136</v>
      </c>
      <c r="E59" s="17" t="s">
        <v>137</v>
      </c>
      <c r="F59" s="17" t="s">
        <v>372</v>
      </c>
      <c r="G59" s="17" t="s">
        <v>373</v>
      </c>
    </row>
    <row r="60" spans="1:7" hidden="1">
      <c r="A60" s="17" t="s">
        <v>374</v>
      </c>
      <c r="B60" s="17" t="s">
        <v>375</v>
      </c>
      <c r="C60" s="17" t="s">
        <v>376</v>
      </c>
      <c r="D60" s="17" t="s">
        <v>377</v>
      </c>
      <c r="E60" s="17" t="s">
        <v>378</v>
      </c>
      <c r="F60" s="17" t="s">
        <v>379</v>
      </c>
      <c r="G60" s="17" t="s">
        <v>380</v>
      </c>
    </row>
    <row r="61" spans="1:7" hidden="1">
      <c r="A61" s="17" t="s">
        <v>381</v>
      </c>
      <c r="B61" s="17" t="s">
        <v>382</v>
      </c>
      <c r="C61" s="17" t="s">
        <v>383</v>
      </c>
      <c r="D61" s="17" t="s">
        <v>384</v>
      </c>
      <c r="E61" s="17" t="s">
        <v>385</v>
      </c>
      <c r="F61" s="17" t="s">
        <v>386</v>
      </c>
      <c r="G61" s="17" t="s">
        <v>387</v>
      </c>
    </row>
    <row r="62" spans="1:7" hidden="1">
      <c r="A62" s="17" t="s">
        <v>388</v>
      </c>
      <c r="B62" s="17" t="s">
        <v>389</v>
      </c>
      <c r="C62" s="17" t="s">
        <v>390</v>
      </c>
      <c r="D62" s="17" t="s">
        <v>391</v>
      </c>
      <c r="E62" s="17" t="s">
        <v>392</v>
      </c>
      <c r="F62" s="17" t="s">
        <v>393</v>
      </c>
      <c r="G62" s="17" t="s">
        <v>394</v>
      </c>
    </row>
    <row r="63" spans="1:7" ht="26.4" hidden="1">
      <c r="A63" s="17" t="s">
        <v>395</v>
      </c>
      <c r="B63" s="17" t="s">
        <v>396</v>
      </c>
      <c r="C63" s="17" t="s">
        <v>397</v>
      </c>
      <c r="D63" s="17" t="s">
        <v>398</v>
      </c>
      <c r="E63" s="17" t="s">
        <v>399</v>
      </c>
      <c r="F63" s="17" t="s">
        <v>400</v>
      </c>
      <c r="G63" s="17" t="s">
        <v>401</v>
      </c>
    </row>
    <row r="64" spans="1:7" ht="26.4" hidden="1">
      <c r="A64" s="17" t="s">
        <v>402</v>
      </c>
      <c r="B64" s="17" t="s">
        <v>403</v>
      </c>
      <c r="C64" s="17" t="s">
        <v>404</v>
      </c>
      <c r="D64" s="17" t="s">
        <v>405</v>
      </c>
      <c r="E64" s="17" t="s">
        <v>406</v>
      </c>
      <c r="F64" s="17" t="s">
        <v>407</v>
      </c>
      <c r="G64" s="17" t="s">
        <v>408</v>
      </c>
    </row>
    <row r="65" spans="1:7" hidden="1">
      <c r="A65" s="17" t="s">
        <v>409</v>
      </c>
      <c r="B65" s="17" t="s">
        <v>410</v>
      </c>
      <c r="C65" s="17" t="s">
        <v>411</v>
      </c>
      <c r="D65" s="17" t="s">
        <v>412</v>
      </c>
      <c r="E65" s="17" t="s">
        <v>413</v>
      </c>
      <c r="F65" s="17" t="s">
        <v>414</v>
      </c>
      <c r="G65" s="17" t="s">
        <v>415</v>
      </c>
    </row>
    <row r="66" spans="1:7" hidden="1">
      <c r="A66" s="17" t="s">
        <v>416</v>
      </c>
      <c r="B66" s="17" t="s">
        <v>417</v>
      </c>
      <c r="C66" s="17" t="s">
        <v>418</v>
      </c>
      <c r="D66" s="17" t="s">
        <v>419</v>
      </c>
      <c r="E66" s="17" t="s">
        <v>420</v>
      </c>
      <c r="F66" s="17" t="s">
        <v>421</v>
      </c>
      <c r="G66" s="17" t="s">
        <v>422</v>
      </c>
    </row>
    <row r="67" spans="1:7" hidden="1">
      <c r="A67" s="17" t="s">
        <v>423</v>
      </c>
      <c r="B67" s="17" t="s">
        <v>424</v>
      </c>
      <c r="C67" s="17" t="s">
        <v>217</v>
      </c>
      <c r="D67" s="17" t="s">
        <v>218</v>
      </c>
      <c r="E67" s="17" t="s">
        <v>219</v>
      </c>
      <c r="F67" s="17" t="s">
        <v>425</v>
      </c>
      <c r="G67" s="17" t="s">
        <v>426</v>
      </c>
    </row>
    <row r="68" spans="1:7" hidden="1">
      <c r="A68" s="17" t="s">
        <v>427</v>
      </c>
      <c r="B68" s="17" t="s">
        <v>428</v>
      </c>
      <c r="C68" s="17" t="s">
        <v>429</v>
      </c>
      <c r="D68" s="17" t="s">
        <v>430</v>
      </c>
      <c r="E68" s="17" t="s">
        <v>431</v>
      </c>
      <c r="F68" s="17" t="s">
        <v>432</v>
      </c>
      <c r="G68" s="17" t="s">
        <v>433</v>
      </c>
    </row>
    <row r="69" spans="1:7" ht="26.4" hidden="1">
      <c r="A69" s="17" t="s">
        <v>434</v>
      </c>
      <c r="B69" s="17" t="s">
        <v>435</v>
      </c>
      <c r="C69" s="17" t="s">
        <v>397</v>
      </c>
      <c r="D69" s="17" t="s">
        <v>398</v>
      </c>
      <c r="E69" s="17" t="s">
        <v>399</v>
      </c>
      <c r="F69" s="17" t="s">
        <v>436</v>
      </c>
      <c r="G69" s="17" t="s">
        <v>437</v>
      </c>
    </row>
    <row r="70" spans="1:7" hidden="1">
      <c r="A70" s="17" t="s">
        <v>438</v>
      </c>
      <c r="B70" s="17" t="s">
        <v>439</v>
      </c>
      <c r="C70" s="17" t="s">
        <v>365</v>
      </c>
      <c r="D70" s="17" t="s">
        <v>366</v>
      </c>
      <c r="E70" s="17" t="s">
        <v>367</v>
      </c>
      <c r="F70" s="17" t="s">
        <v>440</v>
      </c>
      <c r="G70" s="17" t="s">
        <v>441</v>
      </c>
    </row>
    <row r="71" spans="1:7" hidden="1">
      <c r="A71" s="17" t="s">
        <v>442</v>
      </c>
      <c r="B71" s="17" t="s">
        <v>443</v>
      </c>
      <c r="C71" s="17" t="s">
        <v>444</v>
      </c>
      <c r="D71" s="17" t="s">
        <v>122</v>
      </c>
      <c r="E71" s="17" t="s">
        <v>445</v>
      </c>
      <c r="F71" s="17" t="s">
        <v>446</v>
      </c>
      <c r="G71" s="17" t="s">
        <v>447</v>
      </c>
    </row>
    <row r="72" spans="1:7" hidden="1">
      <c r="A72" s="17" t="s">
        <v>448</v>
      </c>
      <c r="B72" s="17" t="s">
        <v>449</v>
      </c>
      <c r="C72" s="17" t="s">
        <v>161</v>
      </c>
      <c r="D72" s="17" t="s">
        <v>162</v>
      </c>
      <c r="E72" s="17" t="s">
        <v>163</v>
      </c>
      <c r="F72" s="17" t="s">
        <v>450</v>
      </c>
      <c r="G72" s="17" t="s">
        <v>451</v>
      </c>
    </row>
    <row r="73" spans="1:7" hidden="1">
      <c r="A73" s="17" t="s">
        <v>452</v>
      </c>
      <c r="B73" s="17" t="s">
        <v>453</v>
      </c>
      <c r="C73" s="17" t="s">
        <v>454</v>
      </c>
      <c r="D73" s="17" t="s">
        <v>455</v>
      </c>
      <c r="E73" s="17" t="s">
        <v>456</v>
      </c>
      <c r="F73" s="17" t="s">
        <v>457</v>
      </c>
      <c r="G73" s="17" t="s">
        <v>458</v>
      </c>
    </row>
    <row r="74" spans="1:7" hidden="1">
      <c r="A74" s="17" t="s">
        <v>459</v>
      </c>
      <c r="B74" s="17" t="s">
        <v>460</v>
      </c>
      <c r="C74" s="17" t="s">
        <v>461</v>
      </c>
      <c r="D74" s="17" t="s">
        <v>462</v>
      </c>
      <c r="E74" s="17" t="s">
        <v>463</v>
      </c>
      <c r="F74" s="17" t="s">
        <v>464</v>
      </c>
      <c r="G74" s="17" t="s">
        <v>465</v>
      </c>
    </row>
    <row r="75" spans="1:7" hidden="1">
      <c r="A75" s="17" t="s">
        <v>466</v>
      </c>
      <c r="B75" s="17" t="s">
        <v>467</v>
      </c>
      <c r="C75" s="17" t="s">
        <v>183</v>
      </c>
      <c r="D75" s="17" t="s">
        <v>468</v>
      </c>
      <c r="E75" s="17" t="s">
        <v>185</v>
      </c>
      <c r="F75" s="17" t="s">
        <v>469</v>
      </c>
      <c r="G75" s="17" t="s">
        <v>470</v>
      </c>
    </row>
    <row r="76" spans="1:7" hidden="1">
      <c r="A76" s="17" t="s">
        <v>471</v>
      </c>
      <c r="B76" s="17" t="s">
        <v>472</v>
      </c>
      <c r="C76" s="17" t="s">
        <v>404</v>
      </c>
      <c r="D76" s="17" t="s">
        <v>405</v>
      </c>
      <c r="E76" s="17" t="s">
        <v>406</v>
      </c>
      <c r="F76" s="17" t="s">
        <v>473</v>
      </c>
      <c r="G76" s="17" t="s">
        <v>474</v>
      </c>
    </row>
    <row r="77" spans="1:7" ht="26.4" hidden="1">
      <c r="A77" s="17" t="s">
        <v>475</v>
      </c>
      <c r="B77" s="17" t="s">
        <v>476</v>
      </c>
      <c r="C77" s="17" t="s">
        <v>477</v>
      </c>
      <c r="D77" s="17" t="s">
        <v>478</v>
      </c>
      <c r="E77" s="17" t="s">
        <v>479</v>
      </c>
      <c r="F77" s="17" t="s">
        <v>480</v>
      </c>
      <c r="G77" s="17" t="s">
        <v>481</v>
      </c>
    </row>
    <row r="78" spans="1:7" hidden="1">
      <c r="A78" s="17" t="s">
        <v>482</v>
      </c>
      <c r="B78" s="17" t="s">
        <v>483</v>
      </c>
      <c r="C78" s="17" t="s">
        <v>210</v>
      </c>
      <c r="D78" s="17" t="s">
        <v>211</v>
      </c>
      <c r="E78" s="17" t="s">
        <v>212</v>
      </c>
      <c r="F78" s="17" t="s">
        <v>484</v>
      </c>
      <c r="G78" s="17" t="s">
        <v>485</v>
      </c>
    </row>
    <row r="79" spans="1:7" hidden="1">
      <c r="A79" s="17" t="s">
        <v>486</v>
      </c>
      <c r="B79" s="17" t="s">
        <v>487</v>
      </c>
      <c r="C79" s="17" t="s">
        <v>488</v>
      </c>
      <c r="D79" s="17" t="s">
        <v>489</v>
      </c>
      <c r="E79" s="17" t="s">
        <v>490</v>
      </c>
      <c r="F79" s="17" t="s">
        <v>491</v>
      </c>
      <c r="G79" s="17" t="s">
        <v>492</v>
      </c>
    </row>
    <row r="80" spans="1:7" hidden="1">
      <c r="A80" s="17" t="s">
        <v>493</v>
      </c>
      <c r="B80" s="17" t="s">
        <v>494</v>
      </c>
      <c r="C80" s="17" t="s">
        <v>495</v>
      </c>
      <c r="D80" s="17" t="s">
        <v>184</v>
      </c>
      <c r="E80" s="17" t="s">
        <v>185</v>
      </c>
      <c r="F80" s="17" t="s">
        <v>496</v>
      </c>
      <c r="G80" s="17" t="s">
        <v>497</v>
      </c>
    </row>
    <row r="81" spans="1:7" hidden="1">
      <c r="A81" s="17" t="s">
        <v>174</v>
      </c>
      <c r="B81" s="17" t="s">
        <v>175</v>
      </c>
      <c r="C81" s="17" t="s">
        <v>176</v>
      </c>
      <c r="D81" s="17" t="s">
        <v>177</v>
      </c>
      <c r="E81" s="17" t="s">
        <v>178</v>
      </c>
      <c r="F81" s="17" t="s">
        <v>179</v>
      </c>
      <c r="G81" s="17" t="s">
        <v>498</v>
      </c>
    </row>
    <row r="82" spans="1:7" hidden="1">
      <c r="A82" s="17" t="s">
        <v>499</v>
      </c>
      <c r="B82" s="17" t="s">
        <v>500</v>
      </c>
      <c r="C82" s="17" t="s">
        <v>501</v>
      </c>
      <c r="D82" s="17" t="s">
        <v>502</v>
      </c>
      <c r="E82" s="17" t="s">
        <v>503</v>
      </c>
      <c r="F82" s="17" t="s">
        <v>504</v>
      </c>
      <c r="G82" s="17" t="s">
        <v>505</v>
      </c>
    </row>
    <row r="83" spans="1:7" hidden="1">
      <c r="A83" s="17" t="s">
        <v>506</v>
      </c>
      <c r="B83" s="17" t="s">
        <v>507</v>
      </c>
      <c r="C83" s="17" t="s">
        <v>508</v>
      </c>
      <c r="D83" s="17" t="s">
        <v>509</v>
      </c>
      <c r="E83" s="17" t="s">
        <v>510</v>
      </c>
      <c r="F83" s="17" t="s">
        <v>511</v>
      </c>
      <c r="G83" s="17" t="s">
        <v>512</v>
      </c>
    </row>
    <row r="84" spans="1:7" ht="26.4" hidden="1">
      <c r="A84" s="17" t="s">
        <v>188</v>
      </c>
      <c r="B84" s="17" t="s">
        <v>189</v>
      </c>
      <c r="C84" s="17" t="s">
        <v>190</v>
      </c>
      <c r="D84" s="17" t="s">
        <v>191</v>
      </c>
      <c r="E84" s="17" t="s">
        <v>192</v>
      </c>
      <c r="F84" s="17" t="s">
        <v>193</v>
      </c>
      <c r="G84" s="17" t="s">
        <v>513</v>
      </c>
    </row>
    <row r="85" spans="1:7" hidden="1">
      <c r="A85" s="17" t="s">
        <v>514</v>
      </c>
      <c r="B85" s="17" t="s">
        <v>515</v>
      </c>
      <c r="C85" s="17" t="s">
        <v>516</v>
      </c>
      <c r="D85" s="17" t="s">
        <v>517</v>
      </c>
      <c r="E85" s="17" t="s">
        <v>518</v>
      </c>
      <c r="F85" s="17" t="s">
        <v>519</v>
      </c>
      <c r="G85" s="17" t="s">
        <v>520</v>
      </c>
    </row>
    <row r="86" spans="1:7" hidden="1">
      <c r="A86" s="17" t="s">
        <v>521</v>
      </c>
      <c r="B86" s="17" t="s">
        <v>522</v>
      </c>
      <c r="C86" s="17" t="s">
        <v>523</v>
      </c>
      <c r="D86" s="17" t="s">
        <v>524</v>
      </c>
      <c r="E86" s="17" t="s">
        <v>525</v>
      </c>
      <c r="F86" s="17" t="s">
        <v>526</v>
      </c>
      <c r="G86" s="17" t="s">
        <v>527</v>
      </c>
    </row>
    <row r="87" spans="1:7" hidden="1">
      <c r="A87" s="17" t="s">
        <v>528</v>
      </c>
      <c r="B87" s="17" t="s">
        <v>529</v>
      </c>
      <c r="C87" s="17" t="s">
        <v>516</v>
      </c>
      <c r="D87" s="17" t="s">
        <v>517</v>
      </c>
      <c r="E87" s="17" t="s">
        <v>518</v>
      </c>
      <c r="F87" s="17" t="s">
        <v>530</v>
      </c>
      <c r="G87" s="17" t="s">
        <v>531</v>
      </c>
    </row>
    <row r="88" spans="1:7" hidden="1">
      <c r="A88" s="17" t="s">
        <v>532</v>
      </c>
      <c r="B88" s="17" t="s">
        <v>533</v>
      </c>
      <c r="C88" s="17" t="s">
        <v>534</v>
      </c>
      <c r="D88" s="17" t="s">
        <v>535</v>
      </c>
      <c r="E88" s="17" t="s">
        <v>536</v>
      </c>
      <c r="F88" s="17" t="s">
        <v>537</v>
      </c>
      <c r="G88" s="17" t="s">
        <v>538</v>
      </c>
    </row>
    <row r="89" spans="1:7" hidden="1">
      <c r="A89" s="17" t="s">
        <v>539</v>
      </c>
      <c r="B89" s="17" t="s">
        <v>540</v>
      </c>
      <c r="C89" s="17" t="s">
        <v>541</v>
      </c>
      <c r="D89" s="17" t="s">
        <v>542</v>
      </c>
      <c r="E89" s="17" t="s">
        <v>543</v>
      </c>
      <c r="F89" s="17" t="s">
        <v>544</v>
      </c>
      <c r="G89" s="17" t="s">
        <v>545</v>
      </c>
    </row>
    <row r="90" spans="1:7" hidden="1">
      <c r="A90" s="17" t="s">
        <v>546</v>
      </c>
      <c r="B90" s="17" t="s">
        <v>547</v>
      </c>
      <c r="C90" s="17" t="s">
        <v>272</v>
      </c>
      <c r="D90" s="17" t="s">
        <v>273</v>
      </c>
      <c r="E90" s="17" t="s">
        <v>274</v>
      </c>
      <c r="F90" s="17" t="s">
        <v>548</v>
      </c>
      <c r="G90" s="17" t="s">
        <v>549</v>
      </c>
    </row>
    <row r="91" spans="1:7" hidden="1">
      <c r="A91" s="17" t="s">
        <v>550</v>
      </c>
      <c r="B91" s="17" t="s">
        <v>551</v>
      </c>
      <c r="C91" s="17" t="s">
        <v>552</v>
      </c>
      <c r="D91" s="17" t="s">
        <v>553</v>
      </c>
      <c r="E91" s="17" t="s">
        <v>554</v>
      </c>
      <c r="F91" s="17" t="s">
        <v>555</v>
      </c>
      <c r="G91" s="17" t="s">
        <v>556</v>
      </c>
    </row>
    <row r="92" spans="1:7" hidden="1">
      <c r="A92" s="17" t="s">
        <v>557</v>
      </c>
      <c r="B92" s="17" t="s">
        <v>558</v>
      </c>
      <c r="C92" s="17" t="s">
        <v>559</v>
      </c>
      <c r="D92" s="17" t="s">
        <v>560</v>
      </c>
      <c r="E92" s="17" t="s">
        <v>561</v>
      </c>
      <c r="F92" s="17" t="s">
        <v>562</v>
      </c>
      <c r="G92" s="17" t="s">
        <v>563</v>
      </c>
    </row>
    <row r="93" spans="1:7" hidden="1">
      <c r="A93" s="17" t="s">
        <v>564</v>
      </c>
      <c r="B93" s="17" t="s">
        <v>565</v>
      </c>
      <c r="C93" s="17" t="s">
        <v>566</v>
      </c>
      <c r="D93" s="17" t="s">
        <v>567</v>
      </c>
      <c r="E93" s="17" t="s">
        <v>568</v>
      </c>
      <c r="F93" s="17" t="s">
        <v>569</v>
      </c>
      <c r="G93" s="17" t="s">
        <v>570</v>
      </c>
    </row>
    <row r="94" spans="1:7" hidden="1">
      <c r="A94" s="17" t="s">
        <v>571</v>
      </c>
      <c r="B94" s="17" t="s">
        <v>572</v>
      </c>
      <c r="C94" s="17" t="s">
        <v>488</v>
      </c>
      <c r="D94" s="17" t="s">
        <v>489</v>
      </c>
      <c r="E94" s="17" t="s">
        <v>490</v>
      </c>
      <c r="F94" s="17" t="s">
        <v>573</v>
      </c>
      <c r="G94" s="17" t="s">
        <v>574</v>
      </c>
    </row>
    <row r="95" spans="1:7" hidden="1">
      <c r="A95" s="17" t="s">
        <v>575</v>
      </c>
      <c r="B95" s="17" t="s">
        <v>576</v>
      </c>
      <c r="C95" s="17" t="s">
        <v>577</v>
      </c>
      <c r="D95" s="17" t="s">
        <v>578</v>
      </c>
      <c r="E95" s="17" t="s">
        <v>579</v>
      </c>
      <c r="F95" s="17" t="s">
        <v>580</v>
      </c>
      <c r="G95" s="17" t="s">
        <v>581</v>
      </c>
    </row>
    <row r="96" spans="1:7" hidden="1">
      <c r="A96" s="17" t="s">
        <v>582</v>
      </c>
      <c r="B96" s="17" t="s">
        <v>583</v>
      </c>
      <c r="C96" s="17" t="s">
        <v>584</v>
      </c>
      <c r="D96" s="17" t="s">
        <v>585</v>
      </c>
      <c r="E96" s="17" t="s">
        <v>586</v>
      </c>
      <c r="F96" s="17" t="s">
        <v>587</v>
      </c>
      <c r="G96" s="17" t="s">
        <v>588</v>
      </c>
    </row>
    <row r="97" spans="1:7" hidden="1">
      <c r="A97" s="17" t="s">
        <v>589</v>
      </c>
      <c r="B97" s="17" t="s">
        <v>590</v>
      </c>
      <c r="C97" s="17" t="s">
        <v>591</v>
      </c>
      <c r="D97" s="17" t="s">
        <v>592</v>
      </c>
      <c r="E97" s="17" t="s">
        <v>593</v>
      </c>
      <c r="F97" s="17" t="s">
        <v>594</v>
      </c>
      <c r="G97" s="17" t="s">
        <v>595</v>
      </c>
    </row>
    <row r="98" spans="1:7" hidden="1">
      <c r="A98" s="17" t="s">
        <v>596</v>
      </c>
      <c r="B98" s="17" t="s">
        <v>597</v>
      </c>
      <c r="C98" s="17" t="s">
        <v>598</v>
      </c>
      <c r="D98" s="17" t="s">
        <v>599</v>
      </c>
      <c r="E98" s="17" t="s">
        <v>600</v>
      </c>
      <c r="F98" s="17" t="s">
        <v>601</v>
      </c>
      <c r="G98" s="17" t="s">
        <v>602</v>
      </c>
    </row>
    <row r="99" spans="1:7" hidden="1">
      <c r="A99" s="17" t="s">
        <v>603</v>
      </c>
      <c r="B99" s="17" t="s">
        <v>604</v>
      </c>
      <c r="C99" s="17" t="s">
        <v>605</v>
      </c>
      <c r="D99" s="17" t="s">
        <v>606</v>
      </c>
      <c r="E99" s="17" t="s">
        <v>607</v>
      </c>
      <c r="F99" s="17" t="s">
        <v>608</v>
      </c>
      <c r="G99" s="17" t="s">
        <v>609</v>
      </c>
    </row>
    <row r="100" spans="1:7" hidden="1">
      <c r="A100" s="17" t="s">
        <v>610</v>
      </c>
      <c r="B100" s="17" t="s">
        <v>611</v>
      </c>
      <c r="C100" s="17" t="s">
        <v>376</v>
      </c>
      <c r="D100" s="17" t="s">
        <v>377</v>
      </c>
      <c r="E100" s="17" t="s">
        <v>378</v>
      </c>
      <c r="F100" s="17" t="s">
        <v>612</v>
      </c>
      <c r="G100" s="17" t="s">
        <v>613</v>
      </c>
    </row>
    <row r="101" spans="1:7" hidden="1">
      <c r="A101" s="17" t="s">
        <v>614</v>
      </c>
      <c r="B101" s="17" t="s">
        <v>615</v>
      </c>
      <c r="C101" s="17" t="s">
        <v>616</v>
      </c>
      <c r="D101" s="17" t="s">
        <v>617</v>
      </c>
      <c r="E101" s="17" t="s">
        <v>618</v>
      </c>
      <c r="F101" s="17" t="s">
        <v>619</v>
      </c>
      <c r="G101" s="17" t="s">
        <v>620</v>
      </c>
    </row>
    <row r="102" spans="1:7" hidden="1">
      <c r="A102" s="17" t="s">
        <v>621</v>
      </c>
      <c r="B102" s="17" t="s">
        <v>622</v>
      </c>
      <c r="C102" s="17" t="s">
        <v>623</v>
      </c>
      <c r="D102" s="17" t="s">
        <v>211</v>
      </c>
      <c r="E102" s="17" t="s">
        <v>624</v>
      </c>
      <c r="F102" s="17" t="s">
        <v>625</v>
      </c>
      <c r="G102" s="17" t="s">
        <v>626</v>
      </c>
    </row>
    <row r="103" spans="1:7" hidden="1">
      <c r="A103" s="17" t="s">
        <v>627</v>
      </c>
      <c r="B103" s="17" t="s">
        <v>628</v>
      </c>
      <c r="C103" s="17" t="s">
        <v>629</v>
      </c>
      <c r="D103" s="17" t="s">
        <v>630</v>
      </c>
      <c r="E103" s="17" t="s">
        <v>631</v>
      </c>
      <c r="F103" s="17" t="s">
        <v>632</v>
      </c>
      <c r="G103" s="17" t="s">
        <v>633</v>
      </c>
    </row>
    <row r="104" spans="1:7" hidden="1">
      <c r="A104" s="17" t="s">
        <v>634</v>
      </c>
      <c r="B104" s="17" t="s">
        <v>635</v>
      </c>
      <c r="C104" s="17" t="s">
        <v>358</v>
      </c>
      <c r="D104" s="17" t="s">
        <v>359</v>
      </c>
      <c r="E104" s="17" t="s">
        <v>360</v>
      </c>
      <c r="F104" s="17" t="s">
        <v>636</v>
      </c>
      <c r="G104" s="17" t="s">
        <v>637</v>
      </c>
    </row>
    <row r="105" spans="1:7" hidden="1">
      <c r="A105" s="17" t="s">
        <v>638</v>
      </c>
      <c r="B105" s="17" t="s">
        <v>639</v>
      </c>
      <c r="C105" s="17" t="s">
        <v>640</v>
      </c>
      <c r="D105" s="17" t="s">
        <v>398</v>
      </c>
      <c r="E105" s="17" t="s">
        <v>399</v>
      </c>
      <c r="F105" s="17" t="s">
        <v>641</v>
      </c>
      <c r="G105" s="17" t="s">
        <v>642</v>
      </c>
    </row>
    <row r="106" spans="1:7" hidden="1">
      <c r="A106" s="17" t="s">
        <v>643</v>
      </c>
      <c r="B106" s="17" t="s">
        <v>644</v>
      </c>
      <c r="C106" s="17" t="s">
        <v>508</v>
      </c>
      <c r="D106" s="17" t="s">
        <v>645</v>
      </c>
      <c r="E106" s="17" t="s">
        <v>510</v>
      </c>
      <c r="F106" s="17" t="s">
        <v>646</v>
      </c>
      <c r="G106" s="17" t="s">
        <v>647</v>
      </c>
    </row>
    <row r="107" spans="1:7" hidden="1">
      <c r="A107" s="17" t="s">
        <v>648</v>
      </c>
      <c r="B107" s="17" t="s">
        <v>649</v>
      </c>
      <c r="C107" s="17" t="s">
        <v>650</v>
      </c>
      <c r="D107" s="17" t="s">
        <v>651</v>
      </c>
      <c r="E107" s="17" t="s">
        <v>652</v>
      </c>
      <c r="F107" s="17" t="s">
        <v>653</v>
      </c>
      <c r="G107" s="17" t="s">
        <v>654</v>
      </c>
    </row>
    <row r="108" spans="1:7" hidden="1">
      <c r="A108" s="17" t="s">
        <v>655</v>
      </c>
      <c r="B108" s="17" t="s">
        <v>656</v>
      </c>
      <c r="C108" s="17" t="s">
        <v>30</v>
      </c>
      <c r="D108" s="17" t="s">
        <v>31</v>
      </c>
      <c r="E108" s="17" t="s">
        <v>32</v>
      </c>
      <c r="F108" s="17" t="s">
        <v>657</v>
      </c>
      <c r="G108" s="17" t="s">
        <v>658</v>
      </c>
    </row>
    <row r="109" spans="1:7" ht="26.4" hidden="1">
      <c r="A109" s="17" t="s">
        <v>165</v>
      </c>
      <c r="B109" s="17" t="s">
        <v>43</v>
      </c>
      <c r="C109" s="17" t="s">
        <v>44</v>
      </c>
      <c r="D109" s="17" t="s">
        <v>45</v>
      </c>
      <c r="E109" s="17" t="s">
        <v>46</v>
      </c>
      <c r="F109" s="17" t="s">
        <v>47</v>
      </c>
      <c r="G109" s="17" t="s">
        <v>48</v>
      </c>
    </row>
    <row r="110" spans="1:7" hidden="1">
      <c r="A110" s="17" t="s">
        <v>659</v>
      </c>
      <c r="B110" s="17" t="s">
        <v>660</v>
      </c>
      <c r="C110" s="17" t="s">
        <v>9</v>
      </c>
      <c r="D110" s="17" t="s">
        <v>10</v>
      </c>
      <c r="E110" s="17" t="s">
        <v>11</v>
      </c>
      <c r="F110" s="17" t="s">
        <v>661</v>
      </c>
      <c r="G110" s="17" t="s">
        <v>662</v>
      </c>
    </row>
    <row r="111" spans="1:7" hidden="1">
      <c r="A111" s="17" t="s">
        <v>663</v>
      </c>
      <c r="B111" s="17" t="s">
        <v>664</v>
      </c>
      <c r="C111" s="17" t="s">
        <v>665</v>
      </c>
      <c r="D111" s="17" t="s">
        <v>666</v>
      </c>
      <c r="E111" s="17" t="s">
        <v>667</v>
      </c>
      <c r="F111" s="17" t="s">
        <v>668</v>
      </c>
      <c r="G111" s="17" t="s">
        <v>669</v>
      </c>
    </row>
    <row r="112" spans="1:7" hidden="1">
      <c r="A112" s="17" t="s">
        <v>670</v>
      </c>
      <c r="B112" s="17" t="s">
        <v>671</v>
      </c>
      <c r="C112" s="17" t="s">
        <v>58</v>
      </c>
      <c r="D112" s="17" t="s">
        <v>59</v>
      </c>
      <c r="E112" s="17" t="s">
        <v>60</v>
      </c>
      <c r="F112" s="17" t="s">
        <v>672</v>
      </c>
      <c r="G112" s="17" t="s">
        <v>673</v>
      </c>
    </row>
    <row r="113" spans="1:7" hidden="1">
      <c r="A113" s="17" t="s">
        <v>674</v>
      </c>
      <c r="B113" s="17" t="s">
        <v>671</v>
      </c>
      <c r="C113" s="17" t="s">
        <v>58</v>
      </c>
      <c r="D113" s="17" t="s">
        <v>59</v>
      </c>
      <c r="E113" s="17" t="s">
        <v>60</v>
      </c>
      <c r="F113" s="17" t="s">
        <v>672</v>
      </c>
      <c r="G113" s="17" t="s">
        <v>673</v>
      </c>
    </row>
    <row r="114" spans="1:7" ht="26.4" hidden="1">
      <c r="A114" s="17" t="s">
        <v>675</v>
      </c>
      <c r="B114" s="17" t="s">
        <v>676</v>
      </c>
      <c r="C114" s="17" t="s">
        <v>677</v>
      </c>
      <c r="D114" s="17" t="s">
        <v>678</v>
      </c>
      <c r="E114" s="17" t="s">
        <v>679</v>
      </c>
      <c r="F114" s="17" t="s">
        <v>680</v>
      </c>
      <c r="G114" s="17" t="s">
        <v>681</v>
      </c>
    </row>
    <row r="115" spans="1:7" ht="26.4" hidden="1">
      <c r="A115" s="17" t="s">
        <v>682</v>
      </c>
      <c r="B115" s="17" t="s">
        <v>683</v>
      </c>
      <c r="C115" s="17" t="s">
        <v>684</v>
      </c>
      <c r="D115" s="17" t="s">
        <v>685</v>
      </c>
      <c r="E115" s="17" t="s">
        <v>686</v>
      </c>
      <c r="F115" s="17" t="s">
        <v>687</v>
      </c>
      <c r="G115" s="17" t="s">
        <v>688</v>
      </c>
    </row>
    <row r="116" spans="1:7" ht="26.4" hidden="1">
      <c r="A116" s="17" t="s">
        <v>689</v>
      </c>
      <c r="B116" s="17" t="s">
        <v>690</v>
      </c>
      <c r="C116" s="17" t="s">
        <v>44</v>
      </c>
      <c r="D116" s="17" t="s">
        <v>45</v>
      </c>
      <c r="E116" s="17" t="s">
        <v>46</v>
      </c>
      <c r="F116" s="17" t="s">
        <v>691</v>
      </c>
      <c r="G116" s="17" t="s">
        <v>692</v>
      </c>
    </row>
    <row r="117" spans="1:7" ht="26.4" hidden="1">
      <c r="A117" s="17" t="s">
        <v>693</v>
      </c>
      <c r="B117" s="17" t="s">
        <v>99</v>
      </c>
      <c r="C117" s="17" t="s">
        <v>100</v>
      </c>
      <c r="D117" s="17" t="s">
        <v>101</v>
      </c>
      <c r="E117" s="17" t="s">
        <v>102</v>
      </c>
      <c r="F117" s="17" t="s">
        <v>103</v>
      </c>
      <c r="G117" s="17" t="s">
        <v>104</v>
      </c>
    </row>
    <row r="118" spans="1:7" hidden="1">
      <c r="A118" s="17" t="s">
        <v>694</v>
      </c>
      <c r="B118" s="17" t="s">
        <v>695</v>
      </c>
      <c r="C118" s="17" t="s">
        <v>696</v>
      </c>
      <c r="D118" s="17" t="s">
        <v>697</v>
      </c>
      <c r="E118" s="17" t="s">
        <v>698</v>
      </c>
      <c r="F118" s="17" t="s">
        <v>699</v>
      </c>
      <c r="G118" s="17" t="s">
        <v>700</v>
      </c>
    </row>
    <row r="119" spans="1:7" hidden="1">
      <c r="A119" s="17" t="s">
        <v>701</v>
      </c>
      <c r="B119" s="17" t="s">
        <v>702</v>
      </c>
      <c r="C119" s="17" t="s">
        <v>411</v>
      </c>
      <c r="D119" s="17" t="s">
        <v>412</v>
      </c>
      <c r="E119" s="17" t="s">
        <v>413</v>
      </c>
      <c r="F119" s="17" t="s">
        <v>703</v>
      </c>
      <c r="G119" s="17" t="s">
        <v>704</v>
      </c>
    </row>
    <row r="120" spans="1:7" hidden="1">
      <c r="A120" s="17" t="s">
        <v>705</v>
      </c>
      <c r="B120" s="17" t="s">
        <v>706</v>
      </c>
      <c r="C120" s="17" t="s">
        <v>304</v>
      </c>
      <c r="D120" s="17" t="s">
        <v>305</v>
      </c>
      <c r="E120" s="17" t="s">
        <v>306</v>
      </c>
      <c r="F120" s="17" t="s">
        <v>707</v>
      </c>
      <c r="G120" s="17" t="s">
        <v>708</v>
      </c>
    </row>
    <row r="121" spans="1:7">
      <c r="A121" s="17" t="s">
        <v>709</v>
      </c>
      <c r="B121" s="17" t="s">
        <v>710</v>
      </c>
      <c r="C121" s="17" t="s">
        <v>338</v>
      </c>
      <c r="D121" s="17" t="s">
        <v>339</v>
      </c>
      <c r="E121" s="17" t="s">
        <v>340</v>
      </c>
      <c r="F121" s="17" t="s">
        <v>711</v>
      </c>
      <c r="G121" s="17" t="s">
        <v>712</v>
      </c>
    </row>
    <row r="122" spans="1:7" hidden="1">
      <c r="A122" s="17" t="s">
        <v>713</v>
      </c>
      <c r="B122" s="17" t="s">
        <v>714</v>
      </c>
      <c r="C122" s="17" t="s">
        <v>715</v>
      </c>
      <c r="D122" s="17" t="s">
        <v>716</v>
      </c>
      <c r="E122" s="17" t="s">
        <v>717</v>
      </c>
      <c r="F122" s="17" t="s">
        <v>718</v>
      </c>
      <c r="G122" s="17" t="s">
        <v>719</v>
      </c>
    </row>
    <row r="123" spans="1:7" hidden="1">
      <c r="A123" s="17" t="s">
        <v>720</v>
      </c>
      <c r="B123" s="17" t="s">
        <v>721</v>
      </c>
      <c r="C123" s="17" t="s">
        <v>107</v>
      </c>
      <c r="D123" s="17" t="s">
        <v>108</v>
      </c>
      <c r="E123" s="17" t="s">
        <v>109</v>
      </c>
      <c r="F123" s="17" t="s">
        <v>722</v>
      </c>
      <c r="G123" s="17" t="s">
        <v>723</v>
      </c>
    </row>
    <row r="124" spans="1:7" hidden="1">
      <c r="A124" s="17" t="s">
        <v>724</v>
      </c>
      <c r="B124" s="17" t="s">
        <v>725</v>
      </c>
      <c r="C124" s="17" t="s">
        <v>726</v>
      </c>
      <c r="D124" s="17" t="s">
        <v>727</v>
      </c>
      <c r="E124" s="17" t="s">
        <v>728</v>
      </c>
      <c r="F124" s="17" t="s">
        <v>729</v>
      </c>
      <c r="G124" s="17" t="s">
        <v>730</v>
      </c>
    </row>
    <row r="125" spans="1:7" hidden="1">
      <c r="A125" s="17" t="s">
        <v>731</v>
      </c>
      <c r="B125" s="17" t="s">
        <v>732</v>
      </c>
      <c r="C125" s="17" t="s">
        <v>311</v>
      </c>
      <c r="D125" s="17" t="s">
        <v>312</v>
      </c>
      <c r="E125" s="17" t="s">
        <v>313</v>
      </c>
      <c r="F125" s="17" t="s">
        <v>733</v>
      </c>
      <c r="G125" s="17" t="s">
        <v>734</v>
      </c>
    </row>
    <row r="126" spans="1:7" hidden="1">
      <c r="A126" s="17" t="s">
        <v>735</v>
      </c>
      <c r="B126" s="17" t="s">
        <v>732</v>
      </c>
      <c r="C126" s="17" t="s">
        <v>311</v>
      </c>
      <c r="D126" s="17" t="s">
        <v>312</v>
      </c>
      <c r="E126" s="17" t="s">
        <v>313</v>
      </c>
      <c r="F126" s="17" t="s">
        <v>736</v>
      </c>
      <c r="G126" s="17" t="s">
        <v>737</v>
      </c>
    </row>
    <row r="127" spans="1:7" hidden="1">
      <c r="A127" s="17" t="s">
        <v>738</v>
      </c>
      <c r="B127" s="17" t="s">
        <v>739</v>
      </c>
      <c r="C127" s="17" t="s">
        <v>454</v>
      </c>
      <c r="D127" s="17" t="s">
        <v>455</v>
      </c>
      <c r="E127" s="17" t="s">
        <v>456</v>
      </c>
      <c r="F127" s="17" t="s">
        <v>740</v>
      </c>
      <c r="G127" s="17" t="s">
        <v>741</v>
      </c>
    </row>
    <row r="128" spans="1:7" hidden="1">
      <c r="A128" s="17" t="s">
        <v>742</v>
      </c>
      <c r="B128" s="17" t="s">
        <v>743</v>
      </c>
      <c r="C128" s="17" t="s">
        <v>744</v>
      </c>
      <c r="D128" s="17" t="s">
        <v>745</v>
      </c>
      <c r="E128" s="17" t="s">
        <v>746</v>
      </c>
      <c r="F128" s="17" t="s">
        <v>747</v>
      </c>
      <c r="G128" s="17" t="s">
        <v>748</v>
      </c>
    </row>
    <row r="129" spans="1:7" hidden="1">
      <c r="A129" s="17" t="s">
        <v>749</v>
      </c>
      <c r="B129" s="17" t="s">
        <v>750</v>
      </c>
      <c r="C129" s="17" t="s">
        <v>516</v>
      </c>
      <c r="D129" s="17" t="s">
        <v>517</v>
      </c>
      <c r="E129" s="17" t="s">
        <v>518</v>
      </c>
      <c r="F129" s="17" t="s">
        <v>751</v>
      </c>
      <c r="G129" s="17" t="s">
        <v>752</v>
      </c>
    </row>
    <row r="130" spans="1:7" hidden="1">
      <c r="A130" s="17" t="s">
        <v>753</v>
      </c>
      <c r="B130" s="17" t="s">
        <v>754</v>
      </c>
      <c r="C130" s="17" t="s">
        <v>755</v>
      </c>
      <c r="D130" s="17" t="s">
        <v>756</v>
      </c>
      <c r="E130" s="17" t="s">
        <v>757</v>
      </c>
      <c r="F130" s="17" t="s">
        <v>758</v>
      </c>
      <c r="G130" s="17" t="s">
        <v>759</v>
      </c>
    </row>
    <row r="131" spans="1:7" hidden="1">
      <c r="A131" s="17" t="s">
        <v>760</v>
      </c>
      <c r="B131" s="17" t="s">
        <v>761</v>
      </c>
      <c r="C131" s="17" t="s">
        <v>397</v>
      </c>
      <c r="D131" s="17" t="s">
        <v>398</v>
      </c>
      <c r="E131" s="17" t="s">
        <v>399</v>
      </c>
      <c r="F131" s="17" t="s">
        <v>762</v>
      </c>
      <c r="G131" s="17" t="s">
        <v>763</v>
      </c>
    </row>
    <row r="132" spans="1:7" hidden="1">
      <c r="A132" s="17" t="s">
        <v>764</v>
      </c>
      <c r="B132" s="17" t="s">
        <v>765</v>
      </c>
      <c r="C132" s="17" t="s">
        <v>766</v>
      </c>
      <c r="D132" s="17" t="s">
        <v>767</v>
      </c>
      <c r="E132" s="17" t="s">
        <v>768</v>
      </c>
      <c r="F132" s="17" t="s">
        <v>769</v>
      </c>
      <c r="G132" s="17" t="s">
        <v>770</v>
      </c>
    </row>
    <row r="133" spans="1:7" hidden="1">
      <c r="A133" s="17" t="s">
        <v>771</v>
      </c>
      <c r="B133" s="17" t="s">
        <v>772</v>
      </c>
      <c r="C133" s="17" t="s">
        <v>358</v>
      </c>
      <c r="D133" s="17" t="s">
        <v>359</v>
      </c>
      <c r="E133" s="17" t="s">
        <v>360</v>
      </c>
      <c r="F133" s="17" t="s">
        <v>773</v>
      </c>
      <c r="G133" s="17" t="s">
        <v>774</v>
      </c>
    </row>
    <row r="134" spans="1:7">
      <c r="A134" s="17" t="s">
        <v>775</v>
      </c>
      <c r="B134" s="17" t="s">
        <v>776</v>
      </c>
      <c r="C134" s="17" t="s">
        <v>777</v>
      </c>
      <c r="D134" s="17" t="s">
        <v>778</v>
      </c>
      <c r="E134" s="17" t="s">
        <v>779</v>
      </c>
      <c r="F134" s="17" t="s">
        <v>780</v>
      </c>
      <c r="G134" s="17" t="s">
        <v>781</v>
      </c>
    </row>
    <row r="135" spans="1:7" hidden="1">
      <c r="A135" s="17" t="s">
        <v>782</v>
      </c>
      <c r="B135" s="17" t="s">
        <v>783</v>
      </c>
      <c r="C135" s="17" t="s">
        <v>784</v>
      </c>
      <c r="D135" s="17" t="s">
        <v>785</v>
      </c>
      <c r="E135" s="17" t="s">
        <v>786</v>
      </c>
      <c r="F135" s="17" t="s">
        <v>787</v>
      </c>
      <c r="G135" s="17" t="s">
        <v>788</v>
      </c>
    </row>
    <row r="136" spans="1:7" hidden="1">
      <c r="A136" s="17" t="s">
        <v>789</v>
      </c>
      <c r="B136" s="17" t="s">
        <v>175</v>
      </c>
      <c r="C136" s="17" t="s">
        <v>790</v>
      </c>
      <c r="D136" s="17" t="s">
        <v>791</v>
      </c>
      <c r="E136" s="17" t="s">
        <v>792</v>
      </c>
      <c r="F136" s="17" t="s">
        <v>179</v>
      </c>
      <c r="G136" s="17" t="s">
        <v>180</v>
      </c>
    </row>
    <row r="137" spans="1:7" hidden="1">
      <c r="A137" s="17" t="s">
        <v>793</v>
      </c>
      <c r="B137" s="17" t="s">
        <v>794</v>
      </c>
      <c r="C137" s="17" t="s">
        <v>501</v>
      </c>
      <c r="D137" s="17" t="s">
        <v>502</v>
      </c>
      <c r="E137" s="17" t="s">
        <v>503</v>
      </c>
      <c r="F137" s="17" t="s">
        <v>795</v>
      </c>
      <c r="G137" s="17" t="s">
        <v>796</v>
      </c>
    </row>
    <row r="138" spans="1:7" hidden="1">
      <c r="A138" s="17" t="s">
        <v>797</v>
      </c>
      <c r="B138" s="17" t="s">
        <v>798</v>
      </c>
      <c r="C138" s="17" t="s">
        <v>376</v>
      </c>
      <c r="D138" s="17" t="s">
        <v>377</v>
      </c>
      <c r="E138" s="17" t="s">
        <v>378</v>
      </c>
      <c r="F138" s="17" t="s">
        <v>799</v>
      </c>
      <c r="G138" s="17" t="s">
        <v>800</v>
      </c>
    </row>
    <row r="139" spans="1:7" hidden="1">
      <c r="A139" s="17" t="s">
        <v>801</v>
      </c>
      <c r="B139" s="17" t="s">
        <v>802</v>
      </c>
      <c r="C139" s="17" t="s">
        <v>803</v>
      </c>
      <c r="D139" s="17" t="s">
        <v>804</v>
      </c>
      <c r="E139" s="17" t="s">
        <v>805</v>
      </c>
      <c r="F139" s="17" t="s">
        <v>806</v>
      </c>
      <c r="G139" s="17" t="s">
        <v>807</v>
      </c>
    </row>
    <row r="140" spans="1:7" hidden="1">
      <c r="A140" s="17" t="s">
        <v>808</v>
      </c>
      <c r="B140" s="17" t="s">
        <v>809</v>
      </c>
      <c r="C140" s="17" t="s">
        <v>810</v>
      </c>
      <c r="D140" s="17" t="s">
        <v>811</v>
      </c>
      <c r="E140" s="17" t="s">
        <v>812</v>
      </c>
      <c r="F140" s="17" t="s">
        <v>813</v>
      </c>
      <c r="G140" s="17" t="s">
        <v>814</v>
      </c>
    </row>
    <row r="141" spans="1:7" hidden="1">
      <c r="A141" s="17" t="s">
        <v>815</v>
      </c>
      <c r="B141" s="17" t="s">
        <v>816</v>
      </c>
      <c r="C141" s="17" t="s">
        <v>817</v>
      </c>
      <c r="D141" s="17" t="s">
        <v>818</v>
      </c>
      <c r="E141" s="17" t="s">
        <v>819</v>
      </c>
      <c r="F141" s="17" t="s">
        <v>820</v>
      </c>
      <c r="G141" s="17" t="s">
        <v>821</v>
      </c>
    </row>
    <row r="142" spans="1:7" ht="26.4" hidden="1">
      <c r="A142" s="17" t="s">
        <v>822</v>
      </c>
      <c r="B142" s="17" t="s">
        <v>823</v>
      </c>
      <c r="C142" s="17" t="s">
        <v>824</v>
      </c>
      <c r="D142" s="17" t="s">
        <v>825</v>
      </c>
      <c r="E142" s="17" t="s">
        <v>826</v>
      </c>
      <c r="F142" s="17" t="s">
        <v>827</v>
      </c>
      <c r="G142" s="17" t="s">
        <v>828</v>
      </c>
    </row>
    <row r="143" spans="1:7" hidden="1">
      <c r="A143" s="17" t="s">
        <v>829</v>
      </c>
      <c r="B143" s="17" t="s">
        <v>830</v>
      </c>
      <c r="C143" s="17" t="s">
        <v>831</v>
      </c>
      <c r="D143" s="17" t="s">
        <v>832</v>
      </c>
      <c r="E143" s="17" t="s">
        <v>833</v>
      </c>
      <c r="F143" s="17" t="s">
        <v>834</v>
      </c>
      <c r="G143" s="17" t="s">
        <v>835</v>
      </c>
    </row>
    <row r="144" spans="1:7" hidden="1">
      <c r="A144" s="17" t="s">
        <v>836</v>
      </c>
      <c r="B144" s="17" t="s">
        <v>837</v>
      </c>
      <c r="C144" s="17" t="s">
        <v>566</v>
      </c>
      <c r="D144" s="17" t="s">
        <v>567</v>
      </c>
      <c r="E144" s="17" t="s">
        <v>568</v>
      </c>
      <c r="F144" s="17" t="s">
        <v>838</v>
      </c>
      <c r="G144" s="17" t="s">
        <v>839</v>
      </c>
    </row>
    <row r="145" spans="1:7" hidden="1">
      <c r="A145" s="17" t="s">
        <v>840</v>
      </c>
      <c r="B145" s="17" t="s">
        <v>841</v>
      </c>
      <c r="C145" s="17" t="s">
        <v>623</v>
      </c>
      <c r="D145" s="17" t="s">
        <v>211</v>
      </c>
      <c r="E145" s="17" t="s">
        <v>624</v>
      </c>
      <c r="F145" s="17" t="s">
        <v>842</v>
      </c>
      <c r="G145" s="17" t="s">
        <v>843</v>
      </c>
    </row>
    <row r="146" spans="1:7" hidden="1">
      <c r="A146" s="17" t="s">
        <v>844</v>
      </c>
      <c r="B146" s="17" t="s">
        <v>845</v>
      </c>
      <c r="C146" s="17" t="s">
        <v>846</v>
      </c>
      <c r="D146" s="17" t="s">
        <v>847</v>
      </c>
      <c r="E146" s="17" t="s">
        <v>848</v>
      </c>
      <c r="F146" s="17" t="s">
        <v>849</v>
      </c>
      <c r="G146" s="17" t="s">
        <v>850</v>
      </c>
    </row>
    <row r="147" spans="1:7" hidden="1">
      <c r="A147" s="17" t="s">
        <v>851</v>
      </c>
      <c r="B147" s="17" t="s">
        <v>852</v>
      </c>
      <c r="C147" s="17" t="s">
        <v>65</v>
      </c>
      <c r="D147" s="17" t="s">
        <v>66</v>
      </c>
      <c r="E147" s="17" t="s">
        <v>67</v>
      </c>
      <c r="F147" s="17" t="s">
        <v>853</v>
      </c>
      <c r="G147" s="17" t="s">
        <v>854</v>
      </c>
    </row>
    <row r="148" spans="1:7" ht="26.4" hidden="1">
      <c r="A148" s="17" t="s">
        <v>855</v>
      </c>
      <c r="B148" s="17" t="s">
        <v>856</v>
      </c>
      <c r="C148" s="17" t="s">
        <v>477</v>
      </c>
      <c r="D148" s="17" t="s">
        <v>478</v>
      </c>
      <c r="E148" s="17" t="s">
        <v>479</v>
      </c>
      <c r="F148" s="17" t="s">
        <v>857</v>
      </c>
      <c r="G148" s="17" t="s">
        <v>858</v>
      </c>
    </row>
    <row r="149" spans="1:7" hidden="1">
      <c r="A149" s="17" t="s">
        <v>859</v>
      </c>
      <c r="B149" s="17" t="s">
        <v>860</v>
      </c>
      <c r="C149" s="17" t="s">
        <v>861</v>
      </c>
      <c r="D149" s="17" t="s">
        <v>862</v>
      </c>
      <c r="E149" s="17" t="s">
        <v>863</v>
      </c>
      <c r="F149" s="17" t="s">
        <v>864</v>
      </c>
      <c r="G149" s="17" t="s">
        <v>865</v>
      </c>
    </row>
    <row r="150" spans="1:7" hidden="1">
      <c r="A150" s="17" t="s">
        <v>866</v>
      </c>
      <c r="B150" s="17" t="s">
        <v>867</v>
      </c>
      <c r="C150" s="17" t="s">
        <v>868</v>
      </c>
      <c r="D150" s="17" t="s">
        <v>478</v>
      </c>
      <c r="E150" s="17" t="s">
        <v>869</v>
      </c>
      <c r="F150" s="17" t="s">
        <v>870</v>
      </c>
      <c r="G150" s="17" t="s">
        <v>871</v>
      </c>
    </row>
    <row r="151" spans="1:7" hidden="1">
      <c r="A151" s="17" t="s">
        <v>872</v>
      </c>
      <c r="B151" s="17" t="s">
        <v>873</v>
      </c>
      <c r="C151" s="17" t="s">
        <v>128</v>
      </c>
      <c r="D151" s="17" t="s">
        <v>129</v>
      </c>
      <c r="E151" s="17" t="s">
        <v>130</v>
      </c>
      <c r="F151" s="17" t="s">
        <v>874</v>
      </c>
      <c r="G151" s="17" t="s">
        <v>875</v>
      </c>
    </row>
    <row r="152" spans="1:7" hidden="1">
      <c r="A152" s="17" t="s">
        <v>876</v>
      </c>
      <c r="B152" s="17" t="s">
        <v>877</v>
      </c>
      <c r="C152" s="17" t="s">
        <v>878</v>
      </c>
      <c r="D152" s="17" t="s">
        <v>332</v>
      </c>
      <c r="E152" s="17" t="s">
        <v>333</v>
      </c>
      <c r="F152" s="17" t="s">
        <v>879</v>
      </c>
      <c r="G152" s="17" t="s">
        <v>880</v>
      </c>
    </row>
    <row r="153" spans="1:7" hidden="1">
      <c r="A153" s="17" t="s">
        <v>881</v>
      </c>
      <c r="B153" s="17" t="s">
        <v>882</v>
      </c>
      <c r="C153" s="17" t="s">
        <v>231</v>
      </c>
      <c r="D153" s="17" t="s">
        <v>232</v>
      </c>
      <c r="E153" s="17" t="s">
        <v>233</v>
      </c>
      <c r="F153" s="17" t="s">
        <v>883</v>
      </c>
      <c r="G153" s="17" t="s">
        <v>884</v>
      </c>
    </row>
    <row r="154" spans="1:7" hidden="1">
      <c r="A154" s="17" t="s">
        <v>885</v>
      </c>
      <c r="B154" s="17" t="s">
        <v>886</v>
      </c>
      <c r="C154" s="17" t="s">
        <v>887</v>
      </c>
      <c r="D154" s="17" t="s">
        <v>888</v>
      </c>
      <c r="E154" s="17" t="s">
        <v>889</v>
      </c>
      <c r="F154" s="17" t="s">
        <v>890</v>
      </c>
      <c r="G154" s="17" t="s">
        <v>891</v>
      </c>
    </row>
    <row r="155" spans="1:7" ht="26.4" hidden="1">
      <c r="A155" s="17" t="s">
        <v>892</v>
      </c>
      <c r="B155" s="17" t="s">
        <v>893</v>
      </c>
      <c r="C155" s="17" t="s">
        <v>894</v>
      </c>
      <c r="D155" s="17" t="s">
        <v>895</v>
      </c>
      <c r="E155" s="17" t="s">
        <v>896</v>
      </c>
      <c r="F155" s="17" t="s">
        <v>897</v>
      </c>
      <c r="G155" s="17" t="s">
        <v>898</v>
      </c>
    </row>
    <row r="156" spans="1:7" hidden="1">
      <c r="A156" s="17" t="s">
        <v>899</v>
      </c>
      <c r="B156" s="17" t="s">
        <v>494</v>
      </c>
      <c r="C156" s="17" t="s">
        <v>495</v>
      </c>
      <c r="D156" s="17" t="s">
        <v>184</v>
      </c>
      <c r="E156" s="17" t="s">
        <v>185</v>
      </c>
      <c r="F156" s="17" t="s">
        <v>496</v>
      </c>
      <c r="G156" s="17" t="s">
        <v>900</v>
      </c>
    </row>
    <row r="157" spans="1:7" hidden="1">
      <c r="A157" s="17" t="s">
        <v>493</v>
      </c>
      <c r="B157" s="17" t="s">
        <v>494</v>
      </c>
      <c r="C157" s="17" t="s">
        <v>495</v>
      </c>
      <c r="D157" s="17" t="s">
        <v>184</v>
      </c>
      <c r="E157" s="17" t="s">
        <v>185</v>
      </c>
      <c r="F157" s="17" t="s">
        <v>496</v>
      </c>
      <c r="G157" s="17" t="s">
        <v>900</v>
      </c>
    </row>
    <row r="158" spans="1:7" hidden="1">
      <c r="A158" s="17" t="s">
        <v>901</v>
      </c>
      <c r="B158" s="17" t="s">
        <v>902</v>
      </c>
      <c r="C158" s="17" t="s">
        <v>903</v>
      </c>
      <c r="D158" s="17" t="s">
        <v>904</v>
      </c>
      <c r="E158" s="17" t="s">
        <v>905</v>
      </c>
      <c r="F158" s="17" t="s">
        <v>906</v>
      </c>
      <c r="G158" s="17" t="s">
        <v>907</v>
      </c>
    </row>
    <row r="159" spans="1:7" hidden="1">
      <c r="A159" s="17" t="s">
        <v>908</v>
      </c>
      <c r="B159" s="17" t="s">
        <v>909</v>
      </c>
      <c r="C159" s="17" t="s">
        <v>846</v>
      </c>
      <c r="D159" s="17" t="s">
        <v>847</v>
      </c>
      <c r="E159" s="17" t="s">
        <v>848</v>
      </c>
      <c r="F159" s="17" t="s">
        <v>910</v>
      </c>
      <c r="G159" s="17" t="s">
        <v>911</v>
      </c>
    </row>
    <row r="160" spans="1:7" hidden="1">
      <c r="A160" s="17" t="s">
        <v>912</v>
      </c>
      <c r="B160" s="17" t="s">
        <v>913</v>
      </c>
      <c r="C160" s="17" t="s">
        <v>914</v>
      </c>
      <c r="D160" s="17" t="s">
        <v>915</v>
      </c>
      <c r="E160" s="17" t="s">
        <v>916</v>
      </c>
      <c r="F160" s="17" t="s">
        <v>917</v>
      </c>
      <c r="G160" s="17" t="s">
        <v>918</v>
      </c>
    </row>
    <row r="161" spans="1:7" hidden="1">
      <c r="A161" s="17" t="s">
        <v>919</v>
      </c>
      <c r="B161" s="17" t="s">
        <v>920</v>
      </c>
      <c r="C161" s="17" t="s">
        <v>921</v>
      </c>
      <c r="D161" s="17" t="s">
        <v>922</v>
      </c>
      <c r="E161" s="17" t="s">
        <v>923</v>
      </c>
      <c r="F161" s="17" t="s">
        <v>924</v>
      </c>
      <c r="G161" s="17" t="s">
        <v>925</v>
      </c>
    </row>
    <row r="162" spans="1:7" ht="26.4" hidden="1">
      <c r="A162" s="17" t="s">
        <v>926</v>
      </c>
      <c r="B162" s="17" t="s">
        <v>927</v>
      </c>
      <c r="C162" s="17" t="s">
        <v>928</v>
      </c>
      <c r="D162" s="17" t="s">
        <v>929</v>
      </c>
      <c r="E162" s="17" t="s">
        <v>930</v>
      </c>
      <c r="F162" s="17" t="s">
        <v>931</v>
      </c>
      <c r="G162" s="17" t="s">
        <v>932</v>
      </c>
    </row>
    <row r="163" spans="1:7" hidden="1">
      <c r="A163" s="17" t="s">
        <v>933</v>
      </c>
      <c r="B163" s="17" t="s">
        <v>934</v>
      </c>
      <c r="C163" s="17" t="s">
        <v>935</v>
      </c>
      <c r="D163" s="17" t="s">
        <v>936</v>
      </c>
      <c r="E163" s="17" t="s">
        <v>937</v>
      </c>
      <c r="F163" s="17" t="s">
        <v>938</v>
      </c>
      <c r="G163" s="17" t="s">
        <v>939</v>
      </c>
    </row>
    <row r="164" spans="1:7" hidden="1">
      <c r="A164" s="17" t="s">
        <v>940</v>
      </c>
      <c r="B164" s="17" t="s">
        <v>941</v>
      </c>
      <c r="C164" s="17" t="s">
        <v>942</v>
      </c>
      <c r="D164" s="17" t="s">
        <v>943</v>
      </c>
      <c r="E164" s="17" t="s">
        <v>944</v>
      </c>
      <c r="F164" s="17" t="s">
        <v>945</v>
      </c>
      <c r="G164" s="17" t="s">
        <v>946</v>
      </c>
    </row>
    <row r="165" spans="1:7" hidden="1">
      <c r="A165" s="17" t="s">
        <v>947</v>
      </c>
      <c r="B165" s="17" t="s">
        <v>948</v>
      </c>
      <c r="C165" s="17" t="s">
        <v>949</v>
      </c>
      <c r="D165" s="17" t="s">
        <v>950</v>
      </c>
      <c r="E165" s="17" t="s">
        <v>951</v>
      </c>
      <c r="F165" s="17" t="s">
        <v>952</v>
      </c>
      <c r="G165" s="17" t="s">
        <v>953</v>
      </c>
    </row>
    <row r="166" spans="1:7" hidden="1">
      <c r="A166" s="17" t="s">
        <v>954</v>
      </c>
      <c r="B166" s="17" t="s">
        <v>955</v>
      </c>
      <c r="C166" s="17" t="s">
        <v>956</v>
      </c>
      <c r="D166" s="17" t="s">
        <v>957</v>
      </c>
      <c r="E166" s="17" t="s">
        <v>958</v>
      </c>
      <c r="F166" s="17" t="s">
        <v>959</v>
      </c>
      <c r="G166" s="17" t="s">
        <v>960</v>
      </c>
    </row>
    <row r="167" spans="1:7" hidden="1">
      <c r="A167" s="17" t="s">
        <v>961</v>
      </c>
      <c r="B167" s="17" t="s">
        <v>962</v>
      </c>
      <c r="C167" s="17" t="s">
        <v>204</v>
      </c>
      <c r="D167" s="17" t="s">
        <v>122</v>
      </c>
      <c r="E167" s="17" t="s">
        <v>205</v>
      </c>
      <c r="F167" s="17" t="s">
        <v>963</v>
      </c>
      <c r="G167" s="17" t="s">
        <v>964</v>
      </c>
    </row>
    <row r="168" spans="1:7" hidden="1">
      <c r="A168" s="17" t="s">
        <v>965</v>
      </c>
      <c r="B168" s="17" t="s">
        <v>966</v>
      </c>
      <c r="C168" s="17" t="s">
        <v>967</v>
      </c>
      <c r="D168" s="17" t="s">
        <v>968</v>
      </c>
      <c r="E168" s="17" t="s">
        <v>969</v>
      </c>
      <c r="F168" s="17" t="s">
        <v>970</v>
      </c>
      <c r="G168" s="17" t="s">
        <v>971</v>
      </c>
    </row>
    <row r="169" spans="1:7" hidden="1">
      <c r="A169" s="17" t="s">
        <v>972</v>
      </c>
      <c r="B169" s="17" t="s">
        <v>973</v>
      </c>
      <c r="C169" s="17" t="s">
        <v>868</v>
      </c>
      <c r="D169" s="17" t="s">
        <v>974</v>
      </c>
      <c r="E169" s="17" t="s">
        <v>869</v>
      </c>
      <c r="F169" s="17" t="s">
        <v>975</v>
      </c>
      <c r="G169" s="17" t="s">
        <v>976</v>
      </c>
    </row>
    <row r="170" spans="1:7" hidden="1">
      <c r="A170" s="17" t="s">
        <v>977</v>
      </c>
      <c r="B170" s="17" t="s">
        <v>978</v>
      </c>
      <c r="C170" s="17" t="s">
        <v>979</v>
      </c>
      <c r="D170" s="17" t="s">
        <v>980</v>
      </c>
      <c r="E170" s="17" t="s">
        <v>981</v>
      </c>
      <c r="F170" s="17" t="s">
        <v>982</v>
      </c>
      <c r="G170" s="17" t="s">
        <v>983</v>
      </c>
    </row>
    <row r="171" spans="1:7" hidden="1">
      <c r="A171" s="17" t="s">
        <v>984</v>
      </c>
      <c r="B171" s="17" t="s">
        <v>985</v>
      </c>
      <c r="C171" s="17" t="s">
        <v>204</v>
      </c>
      <c r="D171" s="17" t="s">
        <v>122</v>
      </c>
      <c r="E171" s="17" t="s">
        <v>205</v>
      </c>
      <c r="F171" s="17" t="s">
        <v>986</v>
      </c>
      <c r="G171" s="17" t="s">
        <v>987</v>
      </c>
    </row>
    <row r="172" spans="1:7" hidden="1">
      <c r="A172" s="17" t="s">
        <v>988</v>
      </c>
      <c r="B172" s="17" t="s">
        <v>989</v>
      </c>
      <c r="C172" s="17" t="s">
        <v>107</v>
      </c>
      <c r="D172" s="17" t="s">
        <v>108</v>
      </c>
      <c r="E172" s="17" t="s">
        <v>109</v>
      </c>
      <c r="F172" s="17" t="s">
        <v>990</v>
      </c>
      <c r="G172" s="17" t="s">
        <v>991</v>
      </c>
    </row>
    <row r="173" spans="1:7" hidden="1">
      <c r="A173" s="17" t="s">
        <v>992</v>
      </c>
      <c r="B173" s="17" t="s">
        <v>993</v>
      </c>
      <c r="C173" s="17" t="s">
        <v>994</v>
      </c>
      <c r="D173" s="17" t="s">
        <v>995</v>
      </c>
      <c r="E173" s="17" t="s">
        <v>996</v>
      </c>
      <c r="F173" s="17" t="s">
        <v>997</v>
      </c>
      <c r="G173" s="17" t="s">
        <v>998</v>
      </c>
    </row>
    <row r="174" spans="1:7" hidden="1">
      <c r="A174" s="17" t="s">
        <v>999</v>
      </c>
      <c r="B174" s="17" t="s">
        <v>1000</v>
      </c>
      <c r="C174" s="17" t="s">
        <v>810</v>
      </c>
      <c r="D174" s="17" t="s">
        <v>811</v>
      </c>
      <c r="E174" s="17" t="s">
        <v>812</v>
      </c>
      <c r="F174" s="17" t="s">
        <v>1001</v>
      </c>
      <c r="G174" s="17" t="s">
        <v>1002</v>
      </c>
    </row>
    <row r="175" spans="1:7" hidden="1">
      <c r="A175" s="17" t="s">
        <v>1003</v>
      </c>
      <c r="B175" s="17" t="s">
        <v>1004</v>
      </c>
      <c r="C175" s="17" t="s">
        <v>566</v>
      </c>
      <c r="D175" s="17" t="s">
        <v>567</v>
      </c>
      <c r="E175" s="17" t="s">
        <v>568</v>
      </c>
      <c r="F175" s="17" t="s">
        <v>1005</v>
      </c>
      <c r="G175" s="17" t="s">
        <v>1006</v>
      </c>
    </row>
    <row r="176" spans="1:7" hidden="1">
      <c r="A176" s="17" t="s">
        <v>1007</v>
      </c>
      <c r="B176" s="17" t="s">
        <v>1008</v>
      </c>
      <c r="C176" s="17" t="s">
        <v>1009</v>
      </c>
      <c r="D176" s="17" t="s">
        <v>1010</v>
      </c>
      <c r="E176" s="17" t="s">
        <v>1011</v>
      </c>
      <c r="F176" s="17" t="s">
        <v>1012</v>
      </c>
      <c r="G176" s="17" t="s">
        <v>1013</v>
      </c>
    </row>
    <row r="177" spans="1:7" hidden="1">
      <c r="A177" s="17" t="s">
        <v>1014</v>
      </c>
      <c r="B177" s="17" t="s">
        <v>1015</v>
      </c>
      <c r="C177" s="17" t="s">
        <v>1016</v>
      </c>
      <c r="D177" s="17" t="s">
        <v>915</v>
      </c>
      <c r="E177" s="17" t="s">
        <v>916</v>
      </c>
      <c r="F177" s="17" t="s">
        <v>1017</v>
      </c>
      <c r="G177" s="17" t="s">
        <v>1018</v>
      </c>
    </row>
    <row r="178" spans="1:7" hidden="1">
      <c r="A178" s="17" t="s">
        <v>1019</v>
      </c>
      <c r="B178" s="17" t="s">
        <v>1020</v>
      </c>
      <c r="C178" s="17" t="s">
        <v>914</v>
      </c>
      <c r="D178" s="17" t="s">
        <v>915</v>
      </c>
      <c r="E178" s="17" t="s">
        <v>916</v>
      </c>
      <c r="F178" s="17" t="s">
        <v>1021</v>
      </c>
      <c r="G178" s="17" t="s">
        <v>1022</v>
      </c>
    </row>
    <row r="179" spans="1:7" ht="26.4" hidden="1">
      <c r="A179" s="17" t="s">
        <v>1023</v>
      </c>
      <c r="B179" s="17" t="s">
        <v>1024</v>
      </c>
      <c r="C179" s="17" t="s">
        <v>1025</v>
      </c>
      <c r="D179" s="17" t="s">
        <v>825</v>
      </c>
      <c r="E179" s="17" t="s">
        <v>826</v>
      </c>
      <c r="F179" s="17" t="s">
        <v>1026</v>
      </c>
      <c r="G179" s="17" t="s">
        <v>1027</v>
      </c>
    </row>
    <row r="180" spans="1:7" ht="26.4" hidden="1">
      <c r="A180" s="17" t="s">
        <v>1028</v>
      </c>
      <c r="B180" s="17" t="s">
        <v>1024</v>
      </c>
      <c r="C180" s="17" t="s">
        <v>1025</v>
      </c>
      <c r="D180" s="17" t="s">
        <v>825</v>
      </c>
      <c r="E180" s="17" t="s">
        <v>826</v>
      </c>
      <c r="F180" s="17" t="s">
        <v>1026</v>
      </c>
      <c r="G180" s="17" t="s">
        <v>1027</v>
      </c>
    </row>
    <row r="181" spans="1:7" ht="26.4" hidden="1">
      <c r="A181" s="17" t="s">
        <v>1029</v>
      </c>
      <c r="B181" s="17" t="s">
        <v>1030</v>
      </c>
      <c r="C181" s="17" t="s">
        <v>325</v>
      </c>
      <c r="D181" s="17" t="s">
        <v>326</v>
      </c>
      <c r="E181" s="17" t="s">
        <v>219</v>
      </c>
      <c r="F181" s="17" t="s">
        <v>1031</v>
      </c>
      <c r="G181" s="17" t="s">
        <v>1032</v>
      </c>
    </row>
    <row r="182" spans="1:7" ht="26.4" hidden="1">
      <c r="A182" s="17" t="s">
        <v>1033</v>
      </c>
      <c r="B182" s="17" t="s">
        <v>1034</v>
      </c>
      <c r="C182" s="17" t="s">
        <v>44</v>
      </c>
      <c r="D182" s="17" t="s">
        <v>45</v>
      </c>
      <c r="E182" s="17" t="s">
        <v>46</v>
      </c>
      <c r="F182" s="17" t="s">
        <v>1035</v>
      </c>
      <c r="G182" s="17" t="s">
        <v>1036</v>
      </c>
    </row>
    <row r="183" spans="1:7" hidden="1">
      <c r="A183" s="17" t="s">
        <v>1037</v>
      </c>
      <c r="B183" s="17" t="s">
        <v>1038</v>
      </c>
      <c r="C183" s="17" t="s">
        <v>846</v>
      </c>
      <c r="D183" s="17" t="s">
        <v>847</v>
      </c>
      <c r="E183" s="17" t="s">
        <v>848</v>
      </c>
      <c r="F183" s="17" t="s">
        <v>1039</v>
      </c>
      <c r="G183" s="17" t="s">
        <v>1040</v>
      </c>
    </row>
    <row r="184" spans="1:7" hidden="1">
      <c r="A184" s="17" t="s">
        <v>1041</v>
      </c>
      <c r="B184" s="17" t="s">
        <v>1042</v>
      </c>
      <c r="C184" s="17" t="s">
        <v>1043</v>
      </c>
      <c r="D184" s="17" t="s">
        <v>419</v>
      </c>
      <c r="E184" s="17" t="s">
        <v>420</v>
      </c>
      <c r="F184" s="17" t="s">
        <v>1044</v>
      </c>
      <c r="G184" s="17" t="s">
        <v>1045</v>
      </c>
    </row>
    <row r="185" spans="1:7" hidden="1">
      <c r="A185" s="17" t="s">
        <v>1046</v>
      </c>
      <c r="B185" s="17" t="s">
        <v>1047</v>
      </c>
      <c r="C185" s="17" t="s">
        <v>1048</v>
      </c>
      <c r="D185" s="17" t="s">
        <v>1049</v>
      </c>
      <c r="E185" s="17" t="s">
        <v>1050</v>
      </c>
      <c r="F185" s="17" t="s">
        <v>1051</v>
      </c>
      <c r="G185" s="17" t="s">
        <v>1052</v>
      </c>
    </row>
    <row r="186" spans="1:7" hidden="1">
      <c r="A186" s="17" t="s">
        <v>1053</v>
      </c>
      <c r="B186" s="17" t="s">
        <v>1054</v>
      </c>
      <c r="C186" s="17" t="s">
        <v>128</v>
      </c>
      <c r="D186" s="17" t="s">
        <v>129</v>
      </c>
      <c r="E186" s="17" t="s">
        <v>130</v>
      </c>
      <c r="F186" s="17" t="s">
        <v>1055</v>
      </c>
      <c r="G186" s="17" t="s">
        <v>1056</v>
      </c>
    </row>
    <row r="187" spans="1:7" hidden="1">
      <c r="A187" s="17" t="s">
        <v>1057</v>
      </c>
      <c r="B187" s="17" t="s">
        <v>1058</v>
      </c>
      <c r="C187" s="17" t="s">
        <v>766</v>
      </c>
      <c r="D187" s="17" t="s">
        <v>767</v>
      </c>
      <c r="E187" s="17" t="s">
        <v>768</v>
      </c>
      <c r="F187" s="17" t="s">
        <v>1059</v>
      </c>
      <c r="G187" s="17" t="s">
        <v>1060</v>
      </c>
    </row>
    <row r="188" spans="1:7" hidden="1">
      <c r="A188" s="17" t="s">
        <v>1061</v>
      </c>
      <c r="B188" s="17" t="s">
        <v>1062</v>
      </c>
      <c r="C188" s="17" t="s">
        <v>304</v>
      </c>
      <c r="D188" s="17" t="s">
        <v>305</v>
      </c>
      <c r="E188" s="17" t="s">
        <v>306</v>
      </c>
      <c r="F188" s="17" t="s">
        <v>1063</v>
      </c>
      <c r="G188" s="17" t="s">
        <v>1064</v>
      </c>
    </row>
    <row r="189" spans="1:7" hidden="1">
      <c r="A189" s="17" t="s">
        <v>1065</v>
      </c>
      <c r="B189" s="17" t="s">
        <v>1066</v>
      </c>
      <c r="C189" s="17" t="s">
        <v>197</v>
      </c>
      <c r="D189" s="17" t="s">
        <v>198</v>
      </c>
      <c r="E189" s="17" t="s">
        <v>199</v>
      </c>
      <c r="F189" s="17" t="s">
        <v>1067</v>
      </c>
      <c r="G189" s="17" t="s">
        <v>1068</v>
      </c>
    </row>
    <row r="190" spans="1:7" hidden="1">
      <c r="A190" s="17" t="s">
        <v>1069</v>
      </c>
      <c r="B190" s="17" t="s">
        <v>1070</v>
      </c>
      <c r="C190" s="17" t="s">
        <v>65</v>
      </c>
      <c r="D190" s="17" t="s">
        <v>66</v>
      </c>
      <c r="E190" s="17" t="s">
        <v>67</v>
      </c>
      <c r="F190" s="17" t="s">
        <v>1071</v>
      </c>
      <c r="G190" s="17" t="s">
        <v>1072</v>
      </c>
    </row>
    <row r="191" spans="1:7" hidden="1">
      <c r="A191" s="17" t="s">
        <v>1073</v>
      </c>
      <c r="B191" s="17" t="s">
        <v>1070</v>
      </c>
      <c r="C191" s="17" t="s">
        <v>65</v>
      </c>
      <c r="D191" s="17" t="s">
        <v>66</v>
      </c>
      <c r="E191" s="17" t="s">
        <v>67</v>
      </c>
      <c r="F191" s="17" t="s">
        <v>1071</v>
      </c>
      <c r="G191" s="17" t="s">
        <v>1072</v>
      </c>
    </row>
    <row r="192" spans="1:7" hidden="1">
      <c r="A192" s="17" t="s">
        <v>1074</v>
      </c>
      <c r="B192" s="17" t="s">
        <v>1075</v>
      </c>
      <c r="C192" s="17" t="s">
        <v>1076</v>
      </c>
      <c r="D192" s="17" t="s">
        <v>542</v>
      </c>
      <c r="E192" s="17" t="s">
        <v>543</v>
      </c>
      <c r="F192" s="17" t="s">
        <v>1077</v>
      </c>
      <c r="G192" s="17" t="s">
        <v>1078</v>
      </c>
    </row>
    <row r="193" spans="1:7" hidden="1">
      <c r="A193" s="17" t="s">
        <v>1079</v>
      </c>
      <c r="B193" s="17" t="s">
        <v>1080</v>
      </c>
      <c r="C193" s="17" t="s">
        <v>696</v>
      </c>
      <c r="D193" s="17" t="s">
        <v>697</v>
      </c>
      <c r="E193" s="17" t="s">
        <v>698</v>
      </c>
      <c r="F193" s="17" t="s">
        <v>1081</v>
      </c>
      <c r="G193" s="17" t="s">
        <v>1082</v>
      </c>
    </row>
    <row r="194" spans="1:7" ht="26.4" hidden="1">
      <c r="A194" s="17" t="s">
        <v>1083</v>
      </c>
      <c r="B194" s="17" t="s">
        <v>1084</v>
      </c>
      <c r="C194" s="17" t="s">
        <v>640</v>
      </c>
      <c r="D194" s="17" t="s">
        <v>398</v>
      </c>
      <c r="E194" s="17" t="s">
        <v>399</v>
      </c>
      <c r="F194" s="17" t="s">
        <v>1085</v>
      </c>
      <c r="G194" s="17" t="s">
        <v>1086</v>
      </c>
    </row>
    <row r="195" spans="1:7" hidden="1">
      <c r="A195" s="17" t="s">
        <v>1087</v>
      </c>
      <c r="B195" s="17" t="s">
        <v>1088</v>
      </c>
      <c r="C195" s="17" t="s">
        <v>1089</v>
      </c>
      <c r="D195" s="17" t="s">
        <v>1090</v>
      </c>
      <c r="E195" s="17" t="s">
        <v>1091</v>
      </c>
      <c r="F195" s="17" t="s">
        <v>1092</v>
      </c>
      <c r="G195" s="17" t="s">
        <v>1093</v>
      </c>
    </row>
    <row r="196" spans="1:7" hidden="1">
      <c r="A196" s="17" t="s">
        <v>1094</v>
      </c>
      <c r="B196" s="17" t="s">
        <v>1095</v>
      </c>
      <c r="C196" s="17" t="s">
        <v>1096</v>
      </c>
      <c r="D196" s="17" t="s">
        <v>1097</v>
      </c>
      <c r="E196" s="17" t="s">
        <v>1098</v>
      </c>
      <c r="F196" s="17" t="s">
        <v>1099</v>
      </c>
      <c r="G196" s="17" t="s">
        <v>1100</v>
      </c>
    </row>
    <row r="197" spans="1:7" hidden="1">
      <c r="A197" s="17" t="s">
        <v>789</v>
      </c>
      <c r="B197" s="17" t="s">
        <v>175</v>
      </c>
      <c r="C197" s="17" t="s">
        <v>790</v>
      </c>
      <c r="D197" s="17" t="s">
        <v>791</v>
      </c>
      <c r="E197" s="17" t="s">
        <v>792</v>
      </c>
      <c r="F197" s="17" t="s">
        <v>179</v>
      </c>
      <c r="G197" s="17" t="s">
        <v>498</v>
      </c>
    </row>
    <row r="198" spans="1:7" hidden="1">
      <c r="A198" s="17" t="s">
        <v>1101</v>
      </c>
      <c r="B198" s="17" t="s">
        <v>1102</v>
      </c>
      <c r="C198" s="17" t="s">
        <v>304</v>
      </c>
      <c r="D198" s="17" t="s">
        <v>305</v>
      </c>
      <c r="E198" s="17" t="s">
        <v>306</v>
      </c>
      <c r="F198" s="17" t="s">
        <v>1103</v>
      </c>
      <c r="G198" s="17" t="s">
        <v>1104</v>
      </c>
    </row>
    <row r="199" spans="1:7" hidden="1">
      <c r="A199" s="17" t="s">
        <v>1105</v>
      </c>
      <c r="B199" s="17" t="s">
        <v>1106</v>
      </c>
      <c r="C199" s="17" t="s">
        <v>1107</v>
      </c>
      <c r="D199" s="17" t="s">
        <v>1108</v>
      </c>
      <c r="E199" s="17" t="s">
        <v>226</v>
      </c>
      <c r="F199" s="17" t="s">
        <v>1109</v>
      </c>
      <c r="G199" s="17" t="s">
        <v>1110</v>
      </c>
    </row>
    <row r="200" spans="1:7" hidden="1">
      <c r="A200" s="17" t="s">
        <v>1111</v>
      </c>
      <c r="B200" s="17" t="s">
        <v>1112</v>
      </c>
      <c r="C200" s="17" t="s">
        <v>1113</v>
      </c>
      <c r="D200" s="17" t="s">
        <v>745</v>
      </c>
      <c r="E200" s="17" t="s">
        <v>746</v>
      </c>
      <c r="F200" s="17" t="s">
        <v>1114</v>
      </c>
      <c r="G200" s="17" t="s">
        <v>1115</v>
      </c>
    </row>
    <row r="201" spans="1:7" hidden="1">
      <c r="A201" s="17" t="s">
        <v>1116</v>
      </c>
      <c r="B201" s="17" t="s">
        <v>1117</v>
      </c>
      <c r="C201" s="17" t="s">
        <v>726</v>
      </c>
      <c r="D201" s="17" t="s">
        <v>727</v>
      </c>
      <c r="E201" s="17" t="s">
        <v>728</v>
      </c>
      <c r="F201" s="17" t="s">
        <v>1118</v>
      </c>
      <c r="G201" s="17" t="s">
        <v>1119</v>
      </c>
    </row>
    <row r="202" spans="1:7" hidden="1">
      <c r="A202" s="17" t="s">
        <v>1120</v>
      </c>
      <c r="B202" s="17" t="s">
        <v>1121</v>
      </c>
      <c r="C202" s="17" t="s">
        <v>1122</v>
      </c>
      <c r="D202" s="17" t="s">
        <v>1123</v>
      </c>
      <c r="E202" s="17" t="s">
        <v>1124</v>
      </c>
      <c r="F202" s="17" t="s">
        <v>1125</v>
      </c>
      <c r="G202" s="17" t="s">
        <v>1126</v>
      </c>
    </row>
    <row r="203" spans="1:7" ht="26.4" hidden="1">
      <c r="A203" s="17" t="s">
        <v>1127</v>
      </c>
      <c r="B203" s="17" t="s">
        <v>1128</v>
      </c>
      <c r="C203" s="17" t="s">
        <v>1129</v>
      </c>
      <c r="D203" s="17" t="s">
        <v>785</v>
      </c>
      <c r="E203" s="17" t="s">
        <v>786</v>
      </c>
      <c r="F203" s="17" t="s">
        <v>1130</v>
      </c>
      <c r="G203" s="17" t="s">
        <v>1131</v>
      </c>
    </row>
    <row r="204" spans="1:7" hidden="1">
      <c r="A204" s="17" t="s">
        <v>1132</v>
      </c>
      <c r="B204" s="17" t="s">
        <v>1133</v>
      </c>
      <c r="C204" s="17" t="s">
        <v>1134</v>
      </c>
      <c r="D204" s="17" t="s">
        <v>1135</v>
      </c>
      <c r="E204" s="17" t="s">
        <v>1136</v>
      </c>
      <c r="F204" s="17" t="s">
        <v>1137</v>
      </c>
      <c r="G204" s="17" t="s">
        <v>1138</v>
      </c>
    </row>
    <row r="205" spans="1:7" hidden="1">
      <c r="A205" s="17" t="s">
        <v>1139</v>
      </c>
      <c r="B205" s="17" t="s">
        <v>1140</v>
      </c>
      <c r="C205" s="17" t="s">
        <v>1141</v>
      </c>
      <c r="D205" s="17" t="s">
        <v>1142</v>
      </c>
      <c r="E205" s="17" t="s">
        <v>1143</v>
      </c>
      <c r="F205" s="17" t="s">
        <v>1144</v>
      </c>
      <c r="G205" s="17" t="s">
        <v>1145</v>
      </c>
    </row>
    <row r="206" spans="1:7" ht="26.4" hidden="1">
      <c r="A206" s="17" t="s">
        <v>1146</v>
      </c>
      <c r="B206" s="17" t="s">
        <v>1034</v>
      </c>
      <c r="C206" s="17" t="s">
        <v>44</v>
      </c>
      <c r="D206" s="17" t="s">
        <v>45</v>
      </c>
      <c r="E206" s="17" t="s">
        <v>46</v>
      </c>
      <c r="F206" s="17" t="s">
        <v>1035</v>
      </c>
      <c r="G206" s="17" t="s">
        <v>1147</v>
      </c>
    </row>
    <row r="207" spans="1:7" hidden="1">
      <c r="A207" s="17" t="s">
        <v>1148</v>
      </c>
      <c r="B207" s="17" t="s">
        <v>1149</v>
      </c>
      <c r="C207" s="17" t="s">
        <v>1150</v>
      </c>
      <c r="D207" s="17" t="s">
        <v>287</v>
      </c>
      <c r="E207" s="17" t="s">
        <v>288</v>
      </c>
      <c r="F207" s="17" t="s">
        <v>1151</v>
      </c>
      <c r="G207" s="17" t="s">
        <v>1152</v>
      </c>
    </row>
    <row r="208" spans="1:7" ht="26.4" hidden="1">
      <c r="A208" s="17" t="s">
        <v>1153</v>
      </c>
      <c r="B208" s="17" t="s">
        <v>1154</v>
      </c>
      <c r="C208" s="17" t="s">
        <v>894</v>
      </c>
      <c r="D208" s="17" t="s">
        <v>895</v>
      </c>
      <c r="E208" s="17" t="s">
        <v>896</v>
      </c>
      <c r="F208" s="17" t="s">
        <v>1155</v>
      </c>
      <c r="G208" s="17" t="s">
        <v>1156</v>
      </c>
    </row>
    <row r="209" spans="1:7" hidden="1">
      <c r="A209" s="17" t="s">
        <v>1157</v>
      </c>
      <c r="B209" s="17" t="s">
        <v>1158</v>
      </c>
      <c r="C209" s="17" t="s">
        <v>1159</v>
      </c>
      <c r="D209" s="17" t="s">
        <v>1160</v>
      </c>
      <c r="E209" s="17" t="s">
        <v>1161</v>
      </c>
      <c r="F209" s="17" t="s">
        <v>1162</v>
      </c>
      <c r="G209" s="17" t="s">
        <v>1163</v>
      </c>
    </row>
    <row r="210" spans="1:7" hidden="1">
      <c r="A210" s="17" t="s">
        <v>1164</v>
      </c>
      <c r="B210" s="17" t="s">
        <v>1165</v>
      </c>
      <c r="C210" s="17" t="s">
        <v>1166</v>
      </c>
      <c r="D210" s="17" t="s">
        <v>1167</v>
      </c>
      <c r="E210" s="17" t="s">
        <v>1168</v>
      </c>
      <c r="F210" s="17" t="s">
        <v>1169</v>
      </c>
      <c r="G210" s="17" t="s">
        <v>1170</v>
      </c>
    </row>
    <row r="211" spans="1:7" ht="26.4" hidden="1">
      <c r="A211" s="17" t="s">
        <v>1171</v>
      </c>
      <c r="B211" s="17" t="s">
        <v>1172</v>
      </c>
      <c r="C211" s="17" t="s">
        <v>715</v>
      </c>
      <c r="D211" s="17" t="s">
        <v>716</v>
      </c>
      <c r="E211" s="17" t="s">
        <v>717</v>
      </c>
      <c r="F211" s="17" t="s">
        <v>1173</v>
      </c>
      <c r="G211" s="17" t="s">
        <v>1174</v>
      </c>
    </row>
    <row r="212" spans="1:7" hidden="1">
      <c r="A212" s="17" t="s">
        <v>1175</v>
      </c>
      <c r="B212" s="17" t="s">
        <v>1176</v>
      </c>
      <c r="C212" s="17" t="s">
        <v>1177</v>
      </c>
      <c r="D212" s="17" t="s">
        <v>1178</v>
      </c>
      <c r="E212" s="17" t="s">
        <v>1179</v>
      </c>
      <c r="F212" s="17" t="s">
        <v>1180</v>
      </c>
      <c r="G212" s="17" t="s">
        <v>1181</v>
      </c>
    </row>
    <row r="213" spans="1:7" hidden="1">
      <c r="A213" s="17" t="s">
        <v>1182</v>
      </c>
      <c r="B213" s="17" t="s">
        <v>1183</v>
      </c>
      <c r="C213" s="17" t="s">
        <v>1184</v>
      </c>
      <c r="D213" s="17" t="s">
        <v>1185</v>
      </c>
      <c r="E213" s="17" t="s">
        <v>1186</v>
      </c>
      <c r="F213" s="17" t="s">
        <v>1187</v>
      </c>
      <c r="G213" s="17" t="s">
        <v>1188</v>
      </c>
    </row>
    <row r="214" spans="1:7" hidden="1">
      <c r="A214" s="17" t="s">
        <v>1189</v>
      </c>
      <c r="B214" s="17" t="s">
        <v>1190</v>
      </c>
      <c r="C214" s="17" t="s">
        <v>1191</v>
      </c>
      <c r="D214" s="17" t="s">
        <v>1192</v>
      </c>
      <c r="E214" s="17" t="s">
        <v>1193</v>
      </c>
      <c r="F214" s="17" t="s">
        <v>1194</v>
      </c>
      <c r="G214" s="17" t="s">
        <v>1195</v>
      </c>
    </row>
    <row r="215" spans="1:7" hidden="1">
      <c r="A215" s="17" t="s">
        <v>851</v>
      </c>
      <c r="B215" s="17" t="s">
        <v>852</v>
      </c>
      <c r="C215" s="17" t="s">
        <v>65</v>
      </c>
      <c r="D215" s="17" t="s">
        <v>66</v>
      </c>
      <c r="E215" s="17" t="s">
        <v>67</v>
      </c>
      <c r="F215" s="17" t="s">
        <v>853</v>
      </c>
      <c r="G215" s="17" t="s">
        <v>1196</v>
      </c>
    </row>
    <row r="216" spans="1:7" hidden="1">
      <c r="A216" s="17" t="s">
        <v>1197</v>
      </c>
      <c r="B216" s="17" t="s">
        <v>1198</v>
      </c>
      <c r="C216" s="17" t="s">
        <v>1199</v>
      </c>
      <c r="D216" s="17" t="s">
        <v>1200</v>
      </c>
      <c r="E216" s="17" t="s">
        <v>1201</v>
      </c>
      <c r="F216" s="17" t="s">
        <v>1202</v>
      </c>
      <c r="G216" s="17" t="s">
        <v>1203</v>
      </c>
    </row>
    <row r="217" spans="1:7" hidden="1">
      <c r="A217" s="17" t="s">
        <v>1204</v>
      </c>
      <c r="B217" s="17" t="s">
        <v>1205</v>
      </c>
      <c r="C217" s="17" t="s">
        <v>16</v>
      </c>
      <c r="D217" s="17" t="s">
        <v>17</v>
      </c>
      <c r="E217" s="17" t="s">
        <v>18</v>
      </c>
      <c r="F217" s="17" t="s">
        <v>1206</v>
      </c>
      <c r="G217" s="17" t="s">
        <v>1207</v>
      </c>
    </row>
    <row r="218" spans="1:7" hidden="1">
      <c r="A218" s="17" t="s">
        <v>1208</v>
      </c>
      <c r="B218" s="17" t="s">
        <v>1209</v>
      </c>
      <c r="C218" s="17" t="s">
        <v>1043</v>
      </c>
      <c r="D218" s="17" t="s">
        <v>419</v>
      </c>
      <c r="E218" s="17" t="s">
        <v>420</v>
      </c>
      <c r="F218" s="17" t="s">
        <v>1210</v>
      </c>
      <c r="G218" s="17" t="s">
        <v>1211</v>
      </c>
    </row>
    <row r="219" spans="1:7" hidden="1">
      <c r="A219" s="17" t="s">
        <v>1212</v>
      </c>
      <c r="B219" s="17" t="s">
        <v>1213</v>
      </c>
      <c r="C219" s="17" t="s">
        <v>1214</v>
      </c>
      <c r="D219" s="17" t="s">
        <v>232</v>
      </c>
      <c r="E219" s="17" t="s">
        <v>233</v>
      </c>
      <c r="F219" s="17" t="s">
        <v>1215</v>
      </c>
      <c r="G219" s="17" t="s">
        <v>1216</v>
      </c>
    </row>
    <row r="220" spans="1:7" hidden="1">
      <c r="A220" s="17" t="s">
        <v>1217</v>
      </c>
      <c r="B220" s="17" t="s">
        <v>1218</v>
      </c>
      <c r="C220" s="17" t="s">
        <v>1219</v>
      </c>
      <c r="D220" s="17" t="s">
        <v>239</v>
      </c>
      <c r="E220" s="17" t="s">
        <v>240</v>
      </c>
      <c r="F220" s="17" t="s">
        <v>1220</v>
      </c>
      <c r="G220" s="17" t="s">
        <v>1221</v>
      </c>
    </row>
    <row r="221" spans="1:7" hidden="1">
      <c r="A221" s="17" t="s">
        <v>423</v>
      </c>
      <c r="B221" s="17" t="s">
        <v>424</v>
      </c>
      <c r="C221" s="17" t="s">
        <v>217</v>
      </c>
      <c r="D221" s="17" t="s">
        <v>218</v>
      </c>
      <c r="E221" s="17" t="s">
        <v>219</v>
      </c>
      <c r="F221" s="17" t="s">
        <v>425</v>
      </c>
      <c r="G221" s="17" t="s">
        <v>1222</v>
      </c>
    </row>
    <row r="222" spans="1:7" hidden="1">
      <c r="A222" s="17" t="s">
        <v>1223</v>
      </c>
      <c r="B222" s="17" t="s">
        <v>1224</v>
      </c>
      <c r="C222" s="17" t="s">
        <v>1225</v>
      </c>
      <c r="D222" s="17" t="s">
        <v>148</v>
      </c>
      <c r="E222" s="17" t="s">
        <v>149</v>
      </c>
      <c r="F222" s="17" t="s">
        <v>1226</v>
      </c>
      <c r="G222" s="17" t="s">
        <v>1227</v>
      </c>
    </row>
    <row r="223" spans="1:7" hidden="1">
      <c r="A223" s="17" t="s">
        <v>1228</v>
      </c>
      <c r="B223" s="17" t="s">
        <v>1229</v>
      </c>
      <c r="C223" s="17" t="s">
        <v>488</v>
      </c>
      <c r="D223" s="17" t="s">
        <v>1230</v>
      </c>
      <c r="E223" s="17" t="s">
        <v>490</v>
      </c>
      <c r="F223" s="17" t="s">
        <v>1231</v>
      </c>
      <c r="G223" s="17" t="s">
        <v>1232</v>
      </c>
    </row>
    <row r="224" spans="1:7" hidden="1">
      <c r="A224" s="17" t="s">
        <v>1233</v>
      </c>
      <c r="B224" s="17" t="s">
        <v>1234</v>
      </c>
      <c r="C224" s="17" t="s">
        <v>1235</v>
      </c>
      <c r="D224" s="17" t="s">
        <v>1236</v>
      </c>
      <c r="E224" s="17" t="s">
        <v>1237</v>
      </c>
      <c r="F224" s="17" t="s">
        <v>1238</v>
      </c>
      <c r="G224" s="17" t="s">
        <v>1239</v>
      </c>
    </row>
    <row r="225" spans="1:7" hidden="1">
      <c r="A225" s="17" t="s">
        <v>1240</v>
      </c>
      <c r="B225" s="17" t="s">
        <v>1241</v>
      </c>
      <c r="C225" s="17" t="s">
        <v>949</v>
      </c>
      <c r="D225" s="17" t="s">
        <v>1242</v>
      </c>
      <c r="E225" s="17" t="s">
        <v>951</v>
      </c>
      <c r="F225" s="17" t="s">
        <v>1243</v>
      </c>
      <c r="G225" s="17" t="s">
        <v>1244</v>
      </c>
    </row>
    <row r="226" spans="1:7" hidden="1">
      <c r="A226" s="17" t="s">
        <v>1245</v>
      </c>
      <c r="B226" s="17" t="s">
        <v>1246</v>
      </c>
      <c r="C226" s="17" t="s">
        <v>1247</v>
      </c>
      <c r="D226" s="17" t="s">
        <v>1248</v>
      </c>
      <c r="E226" s="17" t="s">
        <v>1249</v>
      </c>
      <c r="F226" s="17" t="s">
        <v>1250</v>
      </c>
      <c r="G226" s="17" t="s">
        <v>1251</v>
      </c>
    </row>
    <row r="227" spans="1:7" hidden="1">
      <c r="A227" s="17" t="s">
        <v>1252</v>
      </c>
      <c r="B227" s="17" t="s">
        <v>1253</v>
      </c>
      <c r="C227" s="17" t="s">
        <v>231</v>
      </c>
      <c r="D227" s="17" t="s">
        <v>232</v>
      </c>
      <c r="E227" s="17" t="s">
        <v>233</v>
      </c>
      <c r="F227" s="17" t="s">
        <v>1254</v>
      </c>
      <c r="G227" s="17" t="s">
        <v>1255</v>
      </c>
    </row>
    <row r="228" spans="1:7" ht="26.4" hidden="1">
      <c r="A228" s="17" t="s">
        <v>693</v>
      </c>
      <c r="B228" s="17" t="s">
        <v>99</v>
      </c>
      <c r="C228" s="17" t="s">
        <v>100</v>
      </c>
      <c r="D228" s="17" t="s">
        <v>101</v>
      </c>
      <c r="E228" s="17" t="s">
        <v>102</v>
      </c>
      <c r="F228" s="17" t="s">
        <v>103</v>
      </c>
      <c r="G228" s="17" t="s">
        <v>1256</v>
      </c>
    </row>
    <row r="229" spans="1:7" hidden="1">
      <c r="A229" s="17" t="s">
        <v>1257</v>
      </c>
      <c r="B229" s="17" t="s">
        <v>1258</v>
      </c>
      <c r="C229" s="17" t="s">
        <v>176</v>
      </c>
      <c r="D229" s="17" t="s">
        <v>177</v>
      </c>
      <c r="E229" s="17" t="s">
        <v>178</v>
      </c>
      <c r="F229" s="17" t="s">
        <v>1259</v>
      </c>
      <c r="G229" s="17" t="s">
        <v>1260</v>
      </c>
    </row>
    <row r="230" spans="1:7" ht="26.4" hidden="1">
      <c r="A230" s="17" t="s">
        <v>1261</v>
      </c>
      <c r="B230" s="17" t="s">
        <v>1262</v>
      </c>
      <c r="C230" s="17" t="s">
        <v>169</v>
      </c>
      <c r="D230" s="17" t="s">
        <v>170</v>
      </c>
      <c r="E230" s="17" t="s">
        <v>171</v>
      </c>
      <c r="F230" s="17" t="s">
        <v>1263</v>
      </c>
      <c r="G230" s="17" t="s">
        <v>1264</v>
      </c>
    </row>
    <row r="231" spans="1:7" hidden="1">
      <c r="A231" s="17" t="s">
        <v>1265</v>
      </c>
      <c r="B231" s="17" t="s">
        <v>1266</v>
      </c>
      <c r="C231" s="17" t="s">
        <v>1267</v>
      </c>
      <c r="D231" s="17" t="s">
        <v>832</v>
      </c>
      <c r="E231" s="17" t="s">
        <v>1268</v>
      </c>
      <c r="F231" s="17" t="s">
        <v>1269</v>
      </c>
      <c r="G231" s="17" t="s">
        <v>1270</v>
      </c>
    </row>
    <row r="232" spans="1:7" hidden="1">
      <c r="A232" s="17" t="s">
        <v>1271</v>
      </c>
      <c r="B232" s="17" t="s">
        <v>1272</v>
      </c>
      <c r="C232" s="17" t="s">
        <v>861</v>
      </c>
      <c r="D232" s="17" t="s">
        <v>862</v>
      </c>
      <c r="E232" s="17" t="s">
        <v>863</v>
      </c>
      <c r="F232" s="17" t="s">
        <v>1273</v>
      </c>
      <c r="G232" s="17" t="s">
        <v>1274</v>
      </c>
    </row>
    <row r="233" spans="1:7" ht="26.4" hidden="1">
      <c r="A233" s="17" t="s">
        <v>1275</v>
      </c>
      <c r="B233" s="17" t="s">
        <v>1276</v>
      </c>
      <c r="C233" s="17" t="s">
        <v>684</v>
      </c>
      <c r="D233" s="17" t="s">
        <v>685</v>
      </c>
      <c r="E233" s="17" t="s">
        <v>686</v>
      </c>
      <c r="F233" s="17" t="s">
        <v>1277</v>
      </c>
      <c r="G233" s="17" t="s">
        <v>1278</v>
      </c>
    </row>
    <row r="234" spans="1:7" hidden="1">
      <c r="A234" s="17" t="s">
        <v>1279</v>
      </c>
      <c r="B234" s="17" t="s">
        <v>1280</v>
      </c>
      <c r="C234" s="17" t="s">
        <v>495</v>
      </c>
      <c r="D234" s="17" t="s">
        <v>184</v>
      </c>
      <c r="E234" s="17" t="s">
        <v>185</v>
      </c>
      <c r="F234" s="17" t="s">
        <v>1281</v>
      </c>
      <c r="G234" s="17" t="s">
        <v>1282</v>
      </c>
    </row>
    <row r="235" spans="1:7" hidden="1">
      <c r="A235" s="17" t="s">
        <v>1283</v>
      </c>
      <c r="B235" s="17" t="s">
        <v>1284</v>
      </c>
      <c r="C235" s="17" t="s">
        <v>1285</v>
      </c>
      <c r="D235" s="17" t="s">
        <v>1286</v>
      </c>
      <c r="E235" s="17" t="s">
        <v>1287</v>
      </c>
      <c r="F235" s="17" t="s">
        <v>1288</v>
      </c>
      <c r="G235" s="17" t="s">
        <v>1289</v>
      </c>
    </row>
    <row r="236" spans="1:7" hidden="1">
      <c r="A236" s="17" t="s">
        <v>1290</v>
      </c>
      <c r="B236" s="17" t="s">
        <v>1291</v>
      </c>
      <c r="C236" s="17" t="s">
        <v>1292</v>
      </c>
      <c r="D236" s="17" t="s">
        <v>38</v>
      </c>
      <c r="E236" s="17" t="s">
        <v>1293</v>
      </c>
      <c r="F236" s="17" t="s">
        <v>1294</v>
      </c>
      <c r="G236" s="17" t="s">
        <v>1295</v>
      </c>
    </row>
    <row r="237" spans="1:7" hidden="1">
      <c r="A237" s="17" t="s">
        <v>1296</v>
      </c>
      <c r="B237" s="17" t="s">
        <v>1297</v>
      </c>
      <c r="C237" s="17" t="s">
        <v>584</v>
      </c>
      <c r="D237" s="17" t="s">
        <v>585</v>
      </c>
      <c r="E237" s="17" t="s">
        <v>586</v>
      </c>
      <c r="F237" s="17" t="s">
        <v>1298</v>
      </c>
      <c r="G237" s="17" t="s">
        <v>1299</v>
      </c>
    </row>
    <row r="238" spans="1:7" ht="26.4" hidden="1">
      <c r="A238" s="17" t="s">
        <v>1153</v>
      </c>
      <c r="B238" s="17" t="s">
        <v>1154</v>
      </c>
      <c r="C238" s="17" t="s">
        <v>894</v>
      </c>
      <c r="D238" s="17" t="s">
        <v>895</v>
      </c>
      <c r="E238" s="17" t="s">
        <v>896</v>
      </c>
      <c r="F238" s="17" t="s">
        <v>1155</v>
      </c>
      <c r="G238" s="17" t="s">
        <v>1300</v>
      </c>
    </row>
    <row r="239" spans="1:7" hidden="1">
      <c r="A239" s="17" t="s">
        <v>1301</v>
      </c>
      <c r="B239" s="17" t="s">
        <v>1302</v>
      </c>
      <c r="C239" s="17" t="s">
        <v>1292</v>
      </c>
      <c r="D239" s="17" t="s">
        <v>38</v>
      </c>
      <c r="E239" s="17" t="s">
        <v>1293</v>
      </c>
      <c r="F239" s="17" t="s">
        <v>1303</v>
      </c>
      <c r="G239" s="17" t="s">
        <v>1304</v>
      </c>
    </row>
    <row r="240" spans="1:7" ht="26.4" hidden="1">
      <c r="A240" s="17" t="s">
        <v>1305</v>
      </c>
      <c r="B240" s="17" t="s">
        <v>1306</v>
      </c>
      <c r="C240" s="17" t="s">
        <v>9</v>
      </c>
      <c r="D240" s="17" t="s">
        <v>10</v>
      </c>
      <c r="E240" s="17" t="s">
        <v>11</v>
      </c>
      <c r="F240" s="17" t="s">
        <v>1307</v>
      </c>
      <c r="G240" s="17" t="s">
        <v>1308</v>
      </c>
    </row>
    <row r="241" spans="1:7" hidden="1">
      <c r="A241" s="17" t="s">
        <v>1309</v>
      </c>
      <c r="B241" s="17" t="s">
        <v>1310</v>
      </c>
      <c r="C241" s="17" t="s">
        <v>9</v>
      </c>
      <c r="D241" s="17" t="s">
        <v>10</v>
      </c>
      <c r="E241" s="17" t="s">
        <v>11</v>
      </c>
      <c r="F241" s="17" t="s">
        <v>1311</v>
      </c>
      <c r="G241" s="17" t="s">
        <v>1312</v>
      </c>
    </row>
    <row r="242" spans="1:7" hidden="1">
      <c r="A242" s="17" t="s">
        <v>1313</v>
      </c>
      <c r="B242" s="17" t="s">
        <v>1314</v>
      </c>
      <c r="C242" s="17" t="s">
        <v>1315</v>
      </c>
      <c r="D242" s="17" t="s">
        <v>1316</v>
      </c>
      <c r="E242" s="17" t="s">
        <v>1317</v>
      </c>
      <c r="F242" s="17" t="s">
        <v>1318</v>
      </c>
      <c r="G242" s="17" t="s">
        <v>1319</v>
      </c>
    </row>
    <row r="243" spans="1:7" hidden="1">
      <c r="A243" s="17" t="s">
        <v>1320</v>
      </c>
      <c r="B243" s="17" t="s">
        <v>1321</v>
      </c>
      <c r="C243" s="17" t="s">
        <v>345</v>
      </c>
      <c r="D243" s="17" t="s">
        <v>346</v>
      </c>
      <c r="E243" s="17" t="s">
        <v>347</v>
      </c>
      <c r="F243" s="17" t="s">
        <v>1322</v>
      </c>
      <c r="G243" s="17" t="s">
        <v>1323</v>
      </c>
    </row>
    <row r="244" spans="1:7" hidden="1">
      <c r="A244" s="17" t="s">
        <v>1324</v>
      </c>
      <c r="B244" s="17" t="s">
        <v>1325</v>
      </c>
      <c r="C244" s="17" t="s">
        <v>37</v>
      </c>
      <c r="D244" s="17" t="s">
        <v>1326</v>
      </c>
      <c r="E244" s="17" t="s">
        <v>39</v>
      </c>
      <c r="F244" s="17" t="s">
        <v>1327</v>
      </c>
      <c r="G244" s="17" t="s">
        <v>1328</v>
      </c>
    </row>
    <row r="245" spans="1:7" hidden="1">
      <c r="A245" s="17" t="s">
        <v>1329</v>
      </c>
      <c r="B245" s="17" t="s">
        <v>1330</v>
      </c>
      <c r="C245" s="17" t="s">
        <v>1315</v>
      </c>
      <c r="D245" s="17" t="s">
        <v>1316</v>
      </c>
      <c r="E245" s="17" t="s">
        <v>1317</v>
      </c>
      <c r="F245" s="17" t="s">
        <v>1331</v>
      </c>
      <c r="G245" s="17" t="s">
        <v>1332</v>
      </c>
    </row>
    <row r="246" spans="1:7" hidden="1">
      <c r="A246" s="17" t="s">
        <v>1333</v>
      </c>
      <c r="B246" s="17" t="s">
        <v>1334</v>
      </c>
      <c r="C246" s="17" t="s">
        <v>37</v>
      </c>
      <c r="D246" s="17" t="s">
        <v>1326</v>
      </c>
      <c r="E246" s="17" t="s">
        <v>39</v>
      </c>
      <c r="F246" s="17" t="s">
        <v>1335</v>
      </c>
      <c r="G246" s="17" t="s">
        <v>1336</v>
      </c>
    </row>
    <row r="247" spans="1:7" hidden="1">
      <c r="A247" s="17" t="s">
        <v>1337</v>
      </c>
      <c r="B247" s="17" t="s">
        <v>57</v>
      </c>
      <c r="C247" s="17" t="s">
        <v>58</v>
      </c>
      <c r="D247" s="17" t="s">
        <v>59</v>
      </c>
      <c r="E247" s="17" t="s">
        <v>60</v>
      </c>
      <c r="F247" s="17" t="s">
        <v>61</v>
      </c>
      <c r="G247" s="17" t="s">
        <v>62</v>
      </c>
    </row>
    <row r="248" spans="1:7" ht="26.4" hidden="1">
      <c r="A248" s="17" t="s">
        <v>1338</v>
      </c>
      <c r="B248" s="17" t="s">
        <v>1339</v>
      </c>
      <c r="C248" s="17" t="s">
        <v>928</v>
      </c>
      <c r="D248" s="17" t="s">
        <v>929</v>
      </c>
      <c r="E248" s="17" t="s">
        <v>930</v>
      </c>
      <c r="F248" s="17" t="s">
        <v>1340</v>
      </c>
      <c r="G248" s="17" t="s">
        <v>1341</v>
      </c>
    </row>
    <row r="249" spans="1:7" hidden="1">
      <c r="A249" s="17" t="s">
        <v>1342</v>
      </c>
      <c r="B249" s="17" t="s">
        <v>1343</v>
      </c>
      <c r="C249" s="17" t="s">
        <v>169</v>
      </c>
      <c r="D249" s="17" t="s">
        <v>170</v>
      </c>
      <c r="E249" s="17" t="s">
        <v>171</v>
      </c>
      <c r="F249" s="17" t="s">
        <v>1344</v>
      </c>
      <c r="G249" s="17" t="s">
        <v>1345</v>
      </c>
    </row>
    <row r="250" spans="1:7" hidden="1">
      <c r="A250" s="17" t="s">
        <v>1346</v>
      </c>
      <c r="B250" s="17" t="s">
        <v>1347</v>
      </c>
      <c r="C250" s="17" t="s">
        <v>1348</v>
      </c>
      <c r="D250" s="17" t="s">
        <v>1349</v>
      </c>
      <c r="E250" s="17" t="s">
        <v>1350</v>
      </c>
      <c r="F250" s="17" t="s">
        <v>1351</v>
      </c>
      <c r="G250" s="17" t="s">
        <v>1352</v>
      </c>
    </row>
    <row r="251" spans="1:7" hidden="1">
      <c r="A251" s="17" t="s">
        <v>1353</v>
      </c>
      <c r="B251" s="17" t="s">
        <v>1354</v>
      </c>
      <c r="C251" s="17" t="s">
        <v>1355</v>
      </c>
      <c r="D251" s="17" t="s">
        <v>1356</v>
      </c>
      <c r="E251" s="17" t="s">
        <v>385</v>
      </c>
      <c r="F251" s="17" t="s">
        <v>1357</v>
      </c>
      <c r="G251" s="17" t="s">
        <v>1358</v>
      </c>
    </row>
    <row r="252" spans="1:7" ht="26.4" hidden="1">
      <c r="A252" s="17" t="s">
        <v>1359</v>
      </c>
      <c r="B252" s="17" t="s">
        <v>1360</v>
      </c>
      <c r="C252" s="17" t="s">
        <v>477</v>
      </c>
      <c r="D252" s="17" t="s">
        <v>478</v>
      </c>
      <c r="E252" s="17" t="s">
        <v>479</v>
      </c>
      <c r="F252" s="17" t="s">
        <v>1361</v>
      </c>
      <c r="G252" s="17" t="s">
        <v>1362</v>
      </c>
    </row>
    <row r="253" spans="1:7" hidden="1">
      <c r="A253" s="17" t="s">
        <v>1363</v>
      </c>
      <c r="B253" s="17" t="s">
        <v>1364</v>
      </c>
      <c r="C253" s="17" t="s">
        <v>365</v>
      </c>
      <c r="D253" s="17" t="s">
        <v>366</v>
      </c>
      <c r="E253" s="17" t="s">
        <v>367</v>
      </c>
      <c r="F253" s="17" t="s">
        <v>1365</v>
      </c>
      <c r="G253" s="17" t="s">
        <v>1366</v>
      </c>
    </row>
    <row r="254" spans="1:7" hidden="1">
      <c r="A254" s="17" t="s">
        <v>1367</v>
      </c>
      <c r="B254" s="17" t="s">
        <v>1368</v>
      </c>
      <c r="C254" s="17" t="s">
        <v>197</v>
      </c>
      <c r="D254" s="17" t="s">
        <v>198</v>
      </c>
      <c r="E254" s="17" t="s">
        <v>199</v>
      </c>
      <c r="F254" s="17" t="s">
        <v>1369</v>
      </c>
      <c r="G254" s="17" t="s">
        <v>1370</v>
      </c>
    </row>
    <row r="255" spans="1:7" hidden="1">
      <c r="A255" s="17" t="s">
        <v>1371</v>
      </c>
      <c r="B255" s="17" t="s">
        <v>1372</v>
      </c>
      <c r="C255" s="17" t="s">
        <v>629</v>
      </c>
      <c r="D255" s="17" t="s">
        <v>630</v>
      </c>
      <c r="E255" s="17" t="s">
        <v>631</v>
      </c>
      <c r="F255" s="17" t="s">
        <v>1373</v>
      </c>
      <c r="G255" s="17" t="s">
        <v>1374</v>
      </c>
    </row>
    <row r="256" spans="1:7" hidden="1">
      <c r="A256" s="17" t="s">
        <v>1375</v>
      </c>
      <c r="B256" s="17" t="s">
        <v>1376</v>
      </c>
      <c r="C256" s="17" t="s">
        <v>249</v>
      </c>
      <c r="D256" s="17" t="s">
        <v>250</v>
      </c>
      <c r="E256" s="17" t="s">
        <v>251</v>
      </c>
      <c r="F256" s="17" t="s">
        <v>1377</v>
      </c>
      <c r="G256" s="17" t="s">
        <v>1378</v>
      </c>
    </row>
    <row r="257" spans="1:7" hidden="1">
      <c r="A257" s="17" t="s">
        <v>1379</v>
      </c>
      <c r="B257" s="17" t="s">
        <v>1380</v>
      </c>
      <c r="C257" s="17" t="s">
        <v>107</v>
      </c>
      <c r="D257" s="17" t="s">
        <v>108</v>
      </c>
      <c r="E257" s="17" t="s">
        <v>109</v>
      </c>
      <c r="F257" s="17" t="s">
        <v>1381</v>
      </c>
      <c r="G257" s="17" t="s">
        <v>1382</v>
      </c>
    </row>
    <row r="258" spans="1:7" hidden="1">
      <c r="A258" s="17" t="s">
        <v>1383</v>
      </c>
      <c r="B258" s="17" t="s">
        <v>1384</v>
      </c>
      <c r="C258" s="17" t="s">
        <v>1247</v>
      </c>
      <c r="D258" s="17" t="s">
        <v>1248</v>
      </c>
      <c r="E258" s="17" t="s">
        <v>1249</v>
      </c>
      <c r="F258" s="17" t="s">
        <v>1385</v>
      </c>
      <c r="G258" s="17" t="s">
        <v>1386</v>
      </c>
    </row>
    <row r="259" spans="1:7" hidden="1">
      <c r="A259" s="17" t="s">
        <v>1387</v>
      </c>
      <c r="B259" s="17" t="s">
        <v>1388</v>
      </c>
      <c r="C259" s="17" t="s">
        <v>293</v>
      </c>
      <c r="D259" s="17" t="s">
        <v>294</v>
      </c>
      <c r="E259" s="17" t="s">
        <v>295</v>
      </c>
      <c r="F259" s="17" t="s">
        <v>1389</v>
      </c>
      <c r="G259" s="17" t="s">
        <v>1390</v>
      </c>
    </row>
    <row r="260" spans="1:7" hidden="1">
      <c r="A260" s="17" t="s">
        <v>1391</v>
      </c>
      <c r="B260" s="17" t="s">
        <v>1392</v>
      </c>
      <c r="C260" s="17" t="s">
        <v>1393</v>
      </c>
      <c r="D260" s="17" t="s">
        <v>804</v>
      </c>
      <c r="E260" s="17" t="s">
        <v>805</v>
      </c>
      <c r="F260" s="17" t="s">
        <v>1394</v>
      </c>
      <c r="G260" s="17" t="s">
        <v>1395</v>
      </c>
    </row>
    <row r="261" spans="1:7" hidden="1">
      <c r="A261" s="17" t="s">
        <v>1396</v>
      </c>
      <c r="B261" s="17" t="s">
        <v>1397</v>
      </c>
      <c r="C261" s="17" t="s">
        <v>1398</v>
      </c>
      <c r="D261" s="17" t="s">
        <v>1399</v>
      </c>
      <c r="E261" s="17" t="s">
        <v>1400</v>
      </c>
      <c r="F261" s="17" t="s">
        <v>1401</v>
      </c>
      <c r="G261" s="17" t="s">
        <v>1402</v>
      </c>
    </row>
    <row r="262" spans="1:7" ht="26.4" hidden="1">
      <c r="A262" s="17" t="s">
        <v>1403</v>
      </c>
      <c r="B262" s="17" t="s">
        <v>1404</v>
      </c>
      <c r="C262" s="17" t="s">
        <v>894</v>
      </c>
      <c r="D262" s="17" t="s">
        <v>895</v>
      </c>
      <c r="E262" s="17" t="s">
        <v>896</v>
      </c>
      <c r="F262" s="17" t="s">
        <v>1405</v>
      </c>
      <c r="G262" s="17" t="s">
        <v>1406</v>
      </c>
    </row>
    <row r="263" spans="1:7" hidden="1">
      <c r="A263" s="17" t="s">
        <v>1407</v>
      </c>
      <c r="B263" s="17" t="s">
        <v>1408</v>
      </c>
      <c r="C263" s="17" t="s">
        <v>1409</v>
      </c>
      <c r="D263" s="17" t="s">
        <v>1410</v>
      </c>
      <c r="E263" s="17" t="s">
        <v>1411</v>
      </c>
      <c r="F263" s="17" t="s">
        <v>1412</v>
      </c>
      <c r="G263" s="17" t="s">
        <v>1413</v>
      </c>
    </row>
    <row r="264" spans="1:7" hidden="1">
      <c r="A264" s="17" t="s">
        <v>1414</v>
      </c>
      <c r="B264" s="17" t="s">
        <v>1415</v>
      </c>
      <c r="C264" s="17" t="s">
        <v>949</v>
      </c>
      <c r="D264" s="17" t="s">
        <v>950</v>
      </c>
      <c r="E264" s="17" t="s">
        <v>951</v>
      </c>
      <c r="F264" s="17" t="s">
        <v>1416</v>
      </c>
      <c r="G264" s="17" t="s">
        <v>1417</v>
      </c>
    </row>
    <row r="265" spans="1:7" hidden="1">
      <c r="A265" s="17" t="s">
        <v>1418</v>
      </c>
      <c r="B265" s="17" t="s">
        <v>1419</v>
      </c>
      <c r="C265" s="17" t="s">
        <v>1420</v>
      </c>
      <c r="D265" s="17" t="s">
        <v>1421</v>
      </c>
      <c r="E265" s="17" t="s">
        <v>1422</v>
      </c>
      <c r="F265" s="17" t="s">
        <v>1423</v>
      </c>
      <c r="G265" s="17" t="s">
        <v>1424</v>
      </c>
    </row>
    <row r="266" spans="1:7" hidden="1">
      <c r="A266" s="17" t="s">
        <v>1425</v>
      </c>
      <c r="B266" s="17" t="s">
        <v>1426</v>
      </c>
      <c r="C266" s="17" t="s">
        <v>1427</v>
      </c>
      <c r="D266" s="17" t="s">
        <v>1428</v>
      </c>
      <c r="E266" s="17" t="s">
        <v>1429</v>
      </c>
      <c r="F266" s="17" t="s">
        <v>1430</v>
      </c>
      <c r="G266" s="17" t="s">
        <v>1431</v>
      </c>
    </row>
    <row r="267" spans="1:7" ht="26.4" hidden="1">
      <c r="A267" s="17" t="s">
        <v>1403</v>
      </c>
      <c r="B267" s="17" t="s">
        <v>1404</v>
      </c>
      <c r="C267" s="17" t="s">
        <v>894</v>
      </c>
      <c r="D267" s="17" t="s">
        <v>895</v>
      </c>
      <c r="E267" s="17" t="s">
        <v>896</v>
      </c>
      <c r="F267" s="17" t="s">
        <v>1405</v>
      </c>
      <c r="G267" s="17" t="s">
        <v>1432</v>
      </c>
    </row>
    <row r="268" spans="1:7" hidden="1">
      <c r="A268" s="17" t="s">
        <v>1433</v>
      </c>
      <c r="B268" s="17" t="s">
        <v>1434</v>
      </c>
      <c r="C268" s="17" t="s">
        <v>256</v>
      </c>
      <c r="D268" s="17" t="s">
        <v>80</v>
      </c>
      <c r="E268" s="17" t="s">
        <v>81</v>
      </c>
      <c r="F268" s="17" t="s">
        <v>1435</v>
      </c>
      <c r="G268" s="17" t="s">
        <v>1436</v>
      </c>
    </row>
    <row r="269" spans="1:7" ht="26.4" hidden="1">
      <c r="A269" s="17" t="s">
        <v>1437</v>
      </c>
      <c r="B269" s="17" t="s">
        <v>1438</v>
      </c>
      <c r="C269" s="17" t="s">
        <v>1439</v>
      </c>
      <c r="D269" s="17" t="s">
        <v>974</v>
      </c>
      <c r="E269" s="17" t="s">
        <v>1440</v>
      </c>
      <c r="F269" s="17" t="s">
        <v>1441</v>
      </c>
      <c r="G269" s="17" t="s">
        <v>1442</v>
      </c>
    </row>
    <row r="270" spans="1:7" hidden="1">
      <c r="A270" s="17" t="s">
        <v>1443</v>
      </c>
      <c r="B270" s="17" t="s">
        <v>830</v>
      </c>
      <c r="C270" s="17" t="s">
        <v>831</v>
      </c>
      <c r="D270" s="17" t="s">
        <v>832</v>
      </c>
      <c r="E270" s="17" t="s">
        <v>833</v>
      </c>
      <c r="F270" s="17" t="s">
        <v>834</v>
      </c>
      <c r="G270" s="17" t="s">
        <v>835</v>
      </c>
    </row>
    <row r="271" spans="1:7" hidden="1">
      <c r="A271" s="17" t="s">
        <v>1444</v>
      </c>
      <c r="B271" s="17" t="s">
        <v>1445</v>
      </c>
      <c r="C271" s="17" t="s">
        <v>1159</v>
      </c>
      <c r="D271" s="17" t="s">
        <v>1160</v>
      </c>
      <c r="E271" s="17" t="s">
        <v>1161</v>
      </c>
      <c r="F271" s="17" t="s">
        <v>1446</v>
      </c>
      <c r="G271" s="17" t="s">
        <v>1447</v>
      </c>
    </row>
    <row r="272" spans="1:7" hidden="1">
      <c r="A272" s="17" t="s">
        <v>1448</v>
      </c>
      <c r="B272" s="17" t="s">
        <v>1449</v>
      </c>
      <c r="C272" s="17" t="s">
        <v>1450</v>
      </c>
      <c r="D272" s="17" t="s">
        <v>122</v>
      </c>
      <c r="E272" s="17" t="s">
        <v>1451</v>
      </c>
      <c r="F272" s="17" t="s">
        <v>1452</v>
      </c>
      <c r="G272" s="17" t="s">
        <v>1453</v>
      </c>
    </row>
    <row r="273" spans="1:7" hidden="1">
      <c r="A273" s="17" t="s">
        <v>1454</v>
      </c>
      <c r="B273" s="17" t="s">
        <v>1455</v>
      </c>
      <c r="C273" s="17" t="s">
        <v>516</v>
      </c>
      <c r="D273" s="17" t="s">
        <v>517</v>
      </c>
      <c r="E273" s="17" t="s">
        <v>518</v>
      </c>
      <c r="F273" s="17" t="s">
        <v>1456</v>
      </c>
      <c r="G273" s="17" t="s">
        <v>1457</v>
      </c>
    </row>
    <row r="274" spans="1:7" hidden="1">
      <c r="A274" s="17" t="s">
        <v>1458</v>
      </c>
      <c r="B274" s="17" t="s">
        <v>1459</v>
      </c>
      <c r="C274" s="17" t="s">
        <v>979</v>
      </c>
      <c r="D274" s="17" t="s">
        <v>1460</v>
      </c>
      <c r="E274" s="17" t="s">
        <v>981</v>
      </c>
      <c r="F274" s="17" t="s">
        <v>1461</v>
      </c>
      <c r="G274" s="17" t="s">
        <v>1462</v>
      </c>
    </row>
    <row r="275" spans="1:7" hidden="1">
      <c r="A275" s="17" t="s">
        <v>1463</v>
      </c>
      <c r="B275" s="17" t="s">
        <v>1464</v>
      </c>
      <c r="C275" s="17" t="s">
        <v>444</v>
      </c>
      <c r="D275" s="17" t="s">
        <v>122</v>
      </c>
      <c r="E275" s="17" t="s">
        <v>445</v>
      </c>
      <c r="F275" s="17" t="s">
        <v>1465</v>
      </c>
      <c r="G275" s="17" t="s">
        <v>1466</v>
      </c>
    </row>
    <row r="276" spans="1:7" hidden="1">
      <c r="A276" s="17" t="s">
        <v>1467</v>
      </c>
      <c r="B276" s="17" t="s">
        <v>1468</v>
      </c>
      <c r="C276" s="17" t="s">
        <v>204</v>
      </c>
      <c r="D276" s="17" t="s">
        <v>122</v>
      </c>
      <c r="E276" s="17" t="s">
        <v>205</v>
      </c>
      <c r="F276" s="17" t="s">
        <v>1469</v>
      </c>
      <c r="G276" s="17" t="s">
        <v>1470</v>
      </c>
    </row>
    <row r="277" spans="1:7" hidden="1">
      <c r="A277" s="17" t="s">
        <v>1471</v>
      </c>
      <c r="B277" s="17" t="s">
        <v>1472</v>
      </c>
      <c r="C277" s="17" t="s">
        <v>650</v>
      </c>
      <c r="D277" s="17" t="s">
        <v>651</v>
      </c>
      <c r="E277" s="17" t="s">
        <v>652</v>
      </c>
      <c r="F277" s="17" t="s">
        <v>1473</v>
      </c>
      <c r="G277" s="17" t="s">
        <v>1474</v>
      </c>
    </row>
    <row r="278" spans="1:7" hidden="1">
      <c r="A278" s="17" t="s">
        <v>1475</v>
      </c>
      <c r="B278" s="17" t="s">
        <v>1476</v>
      </c>
      <c r="C278" s="17" t="s">
        <v>887</v>
      </c>
      <c r="D278" s="17" t="s">
        <v>1477</v>
      </c>
      <c r="E278" s="17" t="s">
        <v>889</v>
      </c>
      <c r="F278" s="17" t="s">
        <v>1478</v>
      </c>
      <c r="G278" s="17" t="s">
        <v>1479</v>
      </c>
    </row>
    <row r="279" spans="1:7" hidden="1">
      <c r="A279" s="17" t="s">
        <v>1480</v>
      </c>
      <c r="B279" s="17" t="s">
        <v>1481</v>
      </c>
      <c r="C279" s="17" t="s">
        <v>726</v>
      </c>
      <c r="D279" s="17" t="s">
        <v>727</v>
      </c>
      <c r="E279" s="17" t="s">
        <v>728</v>
      </c>
      <c r="F279" s="17" t="s">
        <v>1482</v>
      </c>
      <c r="G279" s="17" t="s">
        <v>1483</v>
      </c>
    </row>
    <row r="280" spans="1:7" hidden="1">
      <c r="A280" s="17" t="s">
        <v>1484</v>
      </c>
      <c r="B280" s="17" t="s">
        <v>1485</v>
      </c>
      <c r="C280" s="17" t="s">
        <v>1486</v>
      </c>
      <c r="D280" s="17" t="s">
        <v>1487</v>
      </c>
      <c r="E280" s="17" t="s">
        <v>1488</v>
      </c>
      <c r="F280" s="17" t="s">
        <v>1489</v>
      </c>
      <c r="G280" s="17" t="s">
        <v>1490</v>
      </c>
    </row>
    <row r="281" spans="1:7" ht="26.4" hidden="1">
      <c r="A281" s="17" t="s">
        <v>1491</v>
      </c>
      <c r="B281" s="17" t="s">
        <v>1492</v>
      </c>
      <c r="C281" s="17" t="s">
        <v>1493</v>
      </c>
      <c r="D281" s="17" t="s">
        <v>1494</v>
      </c>
      <c r="E281" s="17" t="s">
        <v>1495</v>
      </c>
      <c r="F281" s="17" t="s">
        <v>1496</v>
      </c>
      <c r="G281" s="17" t="s">
        <v>1497</v>
      </c>
    </row>
    <row r="282" spans="1:7" ht="26.4" hidden="1">
      <c r="A282" s="17" t="s">
        <v>1498</v>
      </c>
      <c r="B282" s="17" t="s">
        <v>1499</v>
      </c>
      <c r="C282" s="17" t="s">
        <v>397</v>
      </c>
      <c r="D282" s="17" t="s">
        <v>398</v>
      </c>
      <c r="E282" s="17" t="s">
        <v>399</v>
      </c>
      <c r="F282" s="17" t="s">
        <v>1500</v>
      </c>
      <c r="G282" s="17" t="s">
        <v>1501</v>
      </c>
    </row>
    <row r="283" spans="1:7" hidden="1">
      <c r="A283" s="17" t="s">
        <v>1502</v>
      </c>
      <c r="B283" s="17" t="s">
        <v>1503</v>
      </c>
      <c r="C283" s="17" t="s">
        <v>861</v>
      </c>
      <c r="D283" s="17" t="s">
        <v>862</v>
      </c>
      <c r="E283" s="17" t="s">
        <v>863</v>
      </c>
      <c r="F283" s="17" t="s">
        <v>1504</v>
      </c>
      <c r="G283" s="17" t="s">
        <v>1505</v>
      </c>
    </row>
    <row r="284" spans="1:7" hidden="1">
      <c r="A284" s="17" t="s">
        <v>829</v>
      </c>
      <c r="B284" s="17" t="s">
        <v>830</v>
      </c>
      <c r="C284" s="17" t="s">
        <v>831</v>
      </c>
      <c r="D284" s="17" t="s">
        <v>832</v>
      </c>
      <c r="E284" s="17" t="s">
        <v>833</v>
      </c>
      <c r="F284" s="17" t="s">
        <v>834</v>
      </c>
      <c r="G284" s="17" t="s">
        <v>1506</v>
      </c>
    </row>
    <row r="285" spans="1:7" hidden="1">
      <c r="A285" s="17" t="s">
        <v>1507</v>
      </c>
      <c r="B285" s="17" t="s">
        <v>1508</v>
      </c>
      <c r="C285" s="17" t="s">
        <v>1509</v>
      </c>
      <c r="D285" s="17" t="s">
        <v>1510</v>
      </c>
      <c r="E285" s="17" t="s">
        <v>1511</v>
      </c>
      <c r="F285" s="17" t="s">
        <v>1512</v>
      </c>
      <c r="G285" s="17" t="s">
        <v>1513</v>
      </c>
    </row>
    <row r="286" spans="1:7" hidden="1">
      <c r="A286" s="17" t="s">
        <v>1514</v>
      </c>
      <c r="B286" s="17" t="s">
        <v>1515</v>
      </c>
      <c r="C286" s="17" t="s">
        <v>404</v>
      </c>
      <c r="D286" s="17" t="s">
        <v>405</v>
      </c>
      <c r="E286" s="17" t="s">
        <v>406</v>
      </c>
      <c r="F286" s="17" t="s">
        <v>1516</v>
      </c>
      <c r="G286" s="17" t="s">
        <v>1517</v>
      </c>
    </row>
    <row r="287" spans="1:7" hidden="1">
      <c r="A287" s="17" t="s">
        <v>1518</v>
      </c>
      <c r="B287" s="17" t="s">
        <v>1519</v>
      </c>
      <c r="C287" s="17" t="s">
        <v>1520</v>
      </c>
      <c r="D287" s="17" t="s">
        <v>1521</v>
      </c>
      <c r="E287" s="17" t="s">
        <v>1522</v>
      </c>
      <c r="F287" s="17" t="s">
        <v>1523</v>
      </c>
      <c r="G287" s="17" t="s">
        <v>1524</v>
      </c>
    </row>
    <row r="288" spans="1:7" hidden="1">
      <c r="A288" s="17" t="s">
        <v>1525</v>
      </c>
      <c r="B288" s="17" t="s">
        <v>1526</v>
      </c>
      <c r="C288" s="17" t="s">
        <v>1527</v>
      </c>
      <c r="D288" s="17" t="s">
        <v>312</v>
      </c>
      <c r="E288" s="17" t="s">
        <v>313</v>
      </c>
      <c r="F288" s="17" t="s">
        <v>1528</v>
      </c>
      <c r="G288" s="17" t="s">
        <v>1529</v>
      </c>
    </row>
    <row r="289" spans="1:7" hidden="1">
      <c r="A289" s="17" t="s">
        <v>1530</v>
      </c>
      <c r="B289" s="17" t="s">
        <v>1531</v>
      </c>
      <c r="C289" s="17" t="s">
        <v>161</v>
      </c>
      <c r="D289" s="17" t="s">
        <v>162</v>
      </c>
      <c r="E289" s="17" t="s">
        <v>163</v>
      </c>
      <c r="F289" s="17" t="s">
        <v>1532</v>
      </c>
      <c r="G289" s="17" t="s">
        <v>1533</v>
      </c>
    </row>
    <row r="290" spans="1:7" hidden="1">
      <c r="A290" s="17" t="s">
        <v>1534</v>
      </c>
      <c r="B290" s="17" t="s">
        <v>1535</v>
      </c>
      <c r="C290" s="17" t="s">
        <v>1536</v>
      </c>
      <c r="D290" s="17" t="s">
        <v>1537</v>
      </c>
      <c r="E290" s="17" t="s">
        <v>1538</v>
      </c>
      <c r="F290" s="17" t="s">
        <v>1539</v>
      </c>
      <c r="G290" s="17" t="s">
        <v>1540</v>
      </c>
    </row>
    <row r="291" spans="1:7" ht="26.4" hidden="1">
      <c r="A291" s="17" t="s">
        <v>1541</v>
      </c>
      <c r="B291" s="17" t="s">
        <v>1542</v>
      </c>
      <c r="C291" s="17" t="s">
        <v>640</v>
      </c>
      <c r="D291" s="17" t="s">
        <v>398</v>
      </c>
      <c r="E291" s="17" t="s">
        <v>399</v>
      </c>
      <c r="F291" s="17" t="s">
        <v>1543</v>
      </c>
      <c r="G291" s="17" t="s">
        <v>1544</v>
      </c>
    </row>
    <row r="292" spans="1:7" hidden="1">
      <c r="A292" s="17" t="s">
        <v>1545</v>
      </c>
      <c r="B292" s="17" t="s">
        <v>1546</v>
      </c>
      <c r="C292" s="17" t="s">
        <v>1547</v>
      </c>
      <c r="D292" s="17" t="s">
        <v>1548</v>
      </c>
      <c r="E292" s="17" t="s">
        <v>1549</v>
      </c>
      <c r="F292" s="17" t="s">
        <v>1550</v>
      </c>
      <c r="G292" s="17" t="s">
        <v>1551</v>
      </c>
    </row>
    <row r="293" spans="1:7" hidden="1">
      <c r="A293" s="17" t="s">
        <v>1552</v>
      </c>
      <c r="B293" s="17" t="s">
        <v>1553</v>
      </c>
      <c r="C293" s="17" t="s">
        <v>210</v>
      </c>
      <c r="D293" s="17" t="s">
        <v>211</v>
      </c>
      <c r="E293" s="17" t="s">
        <v>212</v>
      </c>
      <c r="F293" s="17" t="s">
        <v>1554</v>
      </c>
      <c r="G293" s="17" t="s">
        <v>1555</v>
      </c>
    </row>
    <row r="294" spans="1:7" ht="26.4" hidden="1">
      <c r="A294" s="17" t="s">
        <v>1556</v>
      </c>
      <c r="B294" s="17" t="s">
        <v>1557</v>
      </c>
      <c r="C294" s="17" t="s">
        <v>677</v>
      </c>
      <c r="D294" s="17" t="s">
        <v>678</v>
      </c>
      <c r="E294" s="17" t="s">
        <v>679</v>
      </c>
      <c r="F294" s="17" t="s">
        <v>1558</v>
      </c>
      <c r="G294" s="17" t="s">
        <v>1559</v>
      </c>
    </row>
    <row r="295" spans="1:7" hidden="1">
      <c r="A295" s="17" t="s">
        <v>1560</v>
      </c>
      <c r="B295" s="17" t="s">
        <v>1561</v>
      </c>
      <c r="C295" s="17" t="s">
        <v>488</v>
      </c>
      <c r="D295" s="17" t="s">
        <v>489</v>
      </c>
      <c r="E295" s="17" t="s">
        <v>490</v>
      </c>
      <c r="F295" s="17" t="s">
        <v>1562</v>
      </c>
      <c r="G295" s="17" t="s">
        <v>1563</v>
      </c>
    </row>
    <row r="296" spans="1:7" ht="26.4" hidden="1">
      <c r="A296" s="17" t="s">
        <v>1564</v>
      </c>
      <c r="B296" s="17" t="s">
        <v>1565</v>
      </c>
      <c r="C296" s="17" t="s">
        <v>1025</v>
      </c>
      <c r="D296" s="17" t="s">
        <v>825</v>
      </c>
      <c r="E296" s="17" t="s">
        <v>826</v>
      </c>
      <c r="F296" s="17" t="s">
        <v>1566</v>
      </c>
      <c r="G296" s="17" t="s">
        <v>1567</v>
      </c>
    </row>
    <row r="297" spans="1:7" hidden="1">
      <c r="A297" s="17" t="s">
        <v>1568</v>
      </c>
      <c r="B297" s="17" t="s">
        <v>1569</v>
      </c>
      <c r="C297" s="17" t="s">
        <v>1570</v>
      </c>
      <c r="D297" s="17" t="s">
        <v>818</v>
      </c>
      <c r="E297" s="17" t="s">
        <v>819</v>
      </c>
      <c r="F297" s="17" t="s">
        <v>1571</v>
      </c>
      <c r="G297" s="17" t="s">
        <v>1572</v>
      </c>
    </row>
    <row r="298" spans="1:7" hidden="1">
      <c r="A298" s="17" t="s">
        <v>1573</v>
      </c>
      <c r="B298" s="17" t="s">
        <v>1574</v>
      </c>
      <c r="C298" s="17" t="s">
        <v>1107</v>
      </c>
      <c r="D298" s="17" t="s">
        <v>1108</v>
      </c>
      <c r="E298" s="17" t="s">
        <v>226</v>
      </c>
      <c r="F298" s="17" t="s">
        <v>1575</v>
      </c>
      <c r="G298" s="17" t="s">
        <v>1576</v>
      </c>
    </row>
    <row r="299" spans="1:7" hidden="1">
      <c r="A299" s="17" t="s">
        <v>1577</v>
      </c>
      <c r="B299" s="17" t="s">
        <v>1578</v>
      </c>
      <c r="C299" s="17" t="s">
        <v>846</v>
      </c>
      <c r="D299" s="17" t="s">
        <v>847</v>
      </c>
      <c r="E299" s="17" t="s">
        <v>848</v>
      </c>
      <c r="F299" s="17" t="s">
        <v>1579</v>
      </c>
      <c r="G299" s="17" t="s">
        <v>1580</v>
      </c>
    </row>
    <row r="300" spans="1:7" hidden="1">
      <c r="A300" s="17" t="s">
        <v>1581</v>
      </c>
      <c r="B300" s="17" t="s">
        <v>1582</v>
      </c>
      <c r="C300" s="17" t="s">
        <v>249</v>
      </c>
      <c r="D300" s="17" t="s">
        <v>250</v>
      </c>
      <c r="E300" s="17" t="s">
        <v>251</v>
      </c>
      <c r="F300" s="17" t="s">
        <v>1583</v>
      </c>
      <c r="G300" s="17" t="s">
        <v>1584</v>
      </c>
    </row>
    <row r="301" spans="1:7" hidden="1">
      <c r="A301" s="17" t="s">
        <v>1585</v>
      </c>
      <c r="B301" s="17" t="s">
        <v>1586</v>
      </c>
      <c r="C301" s="17" t="s">
        <v>147</v>
      </c>
      <c r="D301" s="17" t="s">
        <v>148</v>
      </c>
      <c r="E301" s="17" t="s">
        <v>149</v>
      </c>
      <c r="F301" s="17" t="s">
        <v>1587</v>
      </c>
      <c r="G301" s="17" t="s">
        <v>1588</v>
      </c>
    </row>
    <row r="302" spans="1:7" hidden="1">
      <c r="A302" s="17" t="s">
        <v>1589</v>
      </c>
      <c r="B302" s="17" t="s">
        <v>1590</v>
      </c>
      <c r="C302" s="17" t="s">
        <v>293</v>
      </c>
      <c r="D302" s="17" t="s">
        <v>294</v>
      </c>
      <c r="E302" s="17" t="s">
        <v>295</v>
      </c>
      <c r="F302" s="17" t="s">
        <v>1591</v>
      </c>
      <c r="G302" s="17" t="s">
        <v>1592</v>
      </c>
    </row>
    <row r="303" spans="1:7" hidden="1">
      <c r="A303" s="17" t="s">
        <v>1593</v>
      </c>
      <c r="B303" s="17" t="s">
        <v>1594</v>
      </c>
      <c r="C303" s="17" t="s">
        <v>390</v>
      </c>
      <c r="D303" s="17" t="s">
        <v>391</v>
      </c>
      <c r="E303" s="17" t="s">
        <v>392</v>
      </c>
      <c r="F303" s="17" t="s">
        <v>1595</v>
      </c>
      <c r="G303" s="17" t="s">
        <v>1596</v>
      </c>
    </row>
    <row r="304" spans="1:7" hidden="1">
      <c r="A304" s="17" t="s">
        <v>1597</v>
      </c>
      <c r="B304" s="17" t="s">
        <v>1598</v>
      </c>
      <c r="C304" s="17" t="s">
        <v>352</v>
      </c>
      <c r="D304" s="17" t="s">
        <v>211</v>
      </c>
      <c r="E304" s="17" t="s">
        <v>353</v>
      </c>
      <c r="F304" s="17" t="s">
        <v>1599</v>
      </c>
      <c r="G304" s="17" t="s">
        <v>1600</v>
      </c>
    </row>
    <row r="305" spans="1:7" hidden="1">
      <c r="A305" s="17" t="s">
        <v>1337</v>
      </c>
      <c r="B305" s="17" t="s">
        <v>57</v>
      </c>
      <c r="C305" s="17" t="s">
        <v>58</v>
      </c>
      <c r="D305" s="17" t="s">
        <v>59</v>
      </c>
      <c r="E305" s="17" t="s">
        <v>60</v>
      </c>
      <c r="F305" s="17" t="s">
        <v>61</v>
      </c>
      <c r="G305" s="17" t="s">
        <v>1601</v>
      </c>
    </row>
    <row r="306" spans="1:7" ht="26.4" hidden="1">
      <c r="A306" s="17" t="s">
        <v>1602</v>
      </c>
      <c r="B306" s="17" t="s">
        <v>1603</v>
      </c>
      <c r="C306" s="17" t="s">
        <v>1604</v>
      </c>
      <c r="D306" s="17" t="s">
        <v>1605</v>
      </c>
      <c r="E306" s="17" t="s">
        <v>1606</v>
      </c>
      <c r="F306" s="17" t="s">
        <v>1607</v>
      </c>
      <c r="G306" s="17" t="s">
        <v>1608</v>
      </c>
    </row>
    <row r="307" spans="1:7" hidden="1">
      <c r="A307" s="17" t="s">
        <v>1609</v>
      </c>
      <c r="B307" s="17" t="s">
        <v>1610</v>
      </c>
      <c r="C307" s="17" t="s">
        <v>766</v>
      </c>
      <c r="D307" s="17" t="s">
        <v>767</v>
      </c>
      <c r="E307" s="17" t="s">
        <v>768</v>
      </c>
      <c r="F307" s="17" t="s">
        <v>1611</v>
      </c>
      <c r="G307" s="17" t="s">
        <v>1612</v>
      </c>
    </row>
    <row r="308" spans="1:7" hidden="1">
      <c r="A308" s="17" t="s">
        <v>1613</v>
      </c>
      <c r="B308" s="17" t="s">
        <v>1614</v>
      </c>
      <c r="C308" s="17" t="s">
        <v>404</v>
      </c>
      <c r="D308" s="17" t="s">
        <v>405</v>
      </c>
      <c r="E308" s="17" t="s">
        <v>406</v>
      </c>
      <c r="F308" s="17" t="s">
        <v>1615</v>
      </c>
      <c r="G308" s="17" t="s">
        <v>1616</v>
      </c>
    </row>
    <row r="309" spans="1:7" ht="26.4" hidden="1">
      <c r="A309" s="17" t="s">
        <v>1171</v>
      </c>
      <c r="B309" s="17" t="s">
        <v>1172</v>
      </c>
      <c r="C309" s="17" t="s">
        <v>715</v>
      </c>
      <c r="D309" s="17" t="s">
        <v>716</v>
      </c>
      <c r="E309" s="17" t="s">
        <v>717</v>
      </c>
      <c r="F309" s="17" t="s">
        <v>1173</v>
      </c>
      <c r="G309" s="17" t="s">
        <v>1617</v>
      </c>
    </row>
    <row r="310" spans="1:7" hidden="1">
      <c r="A310" s="17" t="s">
        <v>1618</v>
      </c>
      <c r="B310" s="17" t="s">
        <v>1619</v>
      </c>
      <c r="C310" s="17" t="s">
        <v>1620</v>
      </c>
      <c r="D310" s="17" t="s">
        <v>1621</v>
      </c>
      <c r="E310" s="17" t="s">
        <v>1622</v>
      </c>
      <c r="F310" s="17" t="s">
        <v>1623</v>
      </c>
      <c r="G310" s="17" t="s">
        <v>1624</v>
      </c>
    </row>
    <row r="311" spans="1:7" ht="26.4" hidden="1">
      <c r="A311" s="17" t="s">
        <v>713</v>
      </c>
      <c r="B311" s="17" t="s">
        <v>714</v>
      </c>
      <c r="C311" s="17" t="s">
        <v>715</v>
      </c>
      <c r="D311" s="17" t="s">
        <v>716</v>
      </c>
      <c r="E311" s="17" t="s">
        <v>717</v>
      </c>
      <c r="F311" s="17" t="s">
        <v>718</v>
      </c>
      <c r="G311" s="17" t="s">
        <v>1625</v>
      </c>
    </row>
    <row r="312" spans="1:7" ht="26.4" hidden="1">
      <c r="A312" s="17" t="s">
        <v>1626</v>
      </c>
      <c r="B312" s="17" t="s">
        <v>1627</v>
      </c>
      <c r="C312" s="17" t="s">
        <v>861</v>
      </c>
      <c r="D312" s="17" t="s">
        <v>862</v>
      </c>
      <c r="E312" s="17" t="s">
        <v>863</v>
      </c>
      <c r="F312" s="17" t="s">
        <v>1628</v>
      </c>
      <c r="G312" s="17" t="s">
        <v>1629</v>
      </c>
    </row>
    <row r="313" spans="1:7" hidden="1">
      <c r="A313" s="17" t="s">
        <v>1630</v>
      </c>
      <c r="B313" s="17" t="s">
        <v>1631</v>
      </c>
      <c r="C313" s="17" t="s">
        <v>204</v>
      </c>
      <c r="D313" s="17" t="s">
        <v>122</v>
      </c>
      <c r="E313" s="17" t="s">
        <v>205</v>
      </c>
      <c r="F313" s="17" t="s">
        <v>1632</v>
      </c>
      <c r="G313" s="17" t="s">
        <v>1633</v>
      </c>
    </row>
    <row r="314" spans="1:7" hidden="1">
      <c r="A314" s="17" t="s">
        <v>1634</v>
      </c>
      <c r="B314" s="17" t="s">
        <v>1635</v>
      </c>
      <c r="C314" s="17" t="s">
        <v>1159</v>
      </c>
      <c r="D314" s="17" t="s">
        <v>1160</v>
      </c>
      <c r="E314" s="17" t="s">
        <v>1161</v>
      </c>
      <c r="F314" s="17" t="s">
        <v>1636</v>
      </c>
      <c r="G314" s="17" t="s">
        <v>1637</v>
      </c>
    </row>
    <row r="315" spans="1:7" hidden="1">
      <c r="A315" s="17" t="s">
        <v>1638</v>
      </c>
      <c r="B315" s="17" t="s">
        <v>1639</v>
      </c>
      <c r="C315" s="17" t="s">
        <v>903</v>
      </c>
      <c r="D315" s="17" t="s">
        <v>904</v>
      </c>
      <c r="E315" s="17" t="s">
        <v>905</v>
      </c>
      <c r="F315" s="17" t="s">
        <v>1640</v>
      </c>
      <c r="G315" s="17" t="s">
        <v>1641</v>
      </c>
    </row>
    <row r="316" spans="1:7" hidden="1">
      <c r="A316" s="17" t="s">
        <v>674</v>
      </c>
      <c r="B316" s="17" t="s">
        <v>671</v>
      </c>
      <c r="C316" s="17" t="s">
        <v>58</v>
      </c>
      <c r="D316" s="17" t="s">
        <v>59</v>
      </c>
      <c r="E316" s="17" t="s">
        <v>60</v>
      </c>
      <c r="F316" s="17" t="s">
        <v>672</v>
      </c>
      <c r="G316" s="17" t="s">
        <v>1642</v>
      </c>
    </row>
    <row r="317" spans="1:7" hidden="1">
      <c r="A317" s="17" t="s">
        <v>1643</v>
      </c>
      <c r="B317" s="17" t="s">
        <v>64</v>
      </c>
      <c r="C317" s="17" t="s">
        <v>65</v>
      </c>
      <c r="D317" s="17" t="s">
        <v>66</v>
      </c>
      <c r="E317" s="17" t="s">
        <v>67</v>
      </c>
      <c r="F317" s="17" t="s">
        <v>68</v>
      </c>
      <c r="G317" s="17" t="s">
        <v>1644</v>
      </c>
    </row>
    <row r="318" spans="1:7" hidden="1">
      <c r="A318" s="17" t="s">
        <v>1645</v>
      </c>
      <c r="B318" s="17" t="s">
        <v>1646</v>
      </c>
      <c r="C318" s="17" t="s">
        <v>1159</v>
      </c>
      <c r="D318" s="17" t="s">
        <v>1160</v>
      </c>
      <c r="E318" s="17" t="s">
        <v>1161</v>
      </c>
      <c r="F318" s="17" t="s">
        <v>1647</v>
      </c>
      <c r="G318" s="17" t="s">
        <v>1648</v>
      </c>
    </row>
    <row r="319" spans="1:7" hidden="1">
      <c r="A319" s="17" t="s">
        <v>1649</v>
      </c>
      <c r="B319" s="17" t="s">
        <v>1650</v>
      </c>
      <c r="C319" s="17" t="s">
        <v>1348</v>
      </c>
      <c r="D319" s="17" t="s">
        <v>1349</v>
      </c>
      <c r="E319" s="17" t="s">
        <v>1350</v>
      </c>
      <c r="F319" s="17" t="s">
        <v>1651</v>
      </c>
      <c r="G319" s="17" t="s">
        <v>1652</v>
      </c>
    </row>
    <row r="320" spans="1:7" hidden="1">
      <c r="A320" s="17" t="s">
        <v>1653</v>
      </c>
      <c r="B320" s="17" t="s">
        <v>1654</v>
      </c>
      <c r="C320" s="17" t="s">
        <v>846</v>
      </c>
      <c r="D320" s="17" t="s">
        <v>847</v>
      </c>
      <c r="E320" s="17" t="s">
        <v>848</v>
      </c>
      <c r="F320" s="17" t="s">
        <v>1655</v>
      </c>
      <c r="G320" s="17" t="s">
        <v>1656</v>
      </c>
    </row>
    <row r="321" spans="1:7" hidden="1">
      <c r="A321" s="17" t="s">
        <v>1657</v>
      </c>
      <c r="B321" s="17" t="s">
        <v>1658</v>
      </c>
      <c r="C321" s="17" t="s">
        <v>358</v>
      </c>
      <c r="D321" s="17" t="s">
        <v>359</v>
      </c>
      <c r="E321" s="17" t="s">
        <v>360</v>
      </c>
      <c r="F321" s="17" t="s">
        <v>1659</v>
      </c>
      <c r="G321" s="17" t="s">
        <v>1660</v>
      </c>
    </row>
    <row r="322" spans="1:7" hidden="1">
      <c r="A322" s="17" t="s">
        <v>1661</v>
      </c>
      <c r="B322" s="17" t="s">
        <v>1662</v>
      </c>
      <c r="C322" s="17" t="s">
        <v>629</v>
      </c>
      <c r="D322" s="17" t="s">
        <v>630</v>
      </c>
      <c r="E322" s="17" t="s">
        <v>631</v>
      </c>
      <c r="F322" s="17" t="s">
        <v>1663</v>
      </c>
      <c r="G322" s="17" t="s">
        <v>1664</v>
      </c>
    </row>
    <row r="323" spans="1:7" hidden="1">
      <c r="A323" s="17" t="s">
        <v>1665</v>
      </c>
      <c r="B323" s="17" t="s">
        <v>1666</v>
      </c>
      <c r="C323" s="17" t="s">
        <v>204</v>
      </c>
      <c r="D323" s="17" t="s">
        <v>122</v>
      </c>
      <c r="E323" s="17" t="s">
        <v>205</v>
      </c>
      <c r="F323" s="17" t="s">
        <v>1667</v>
      </c>
      <c r="G323" s="17" t="s">
        <v>1668</v>
      </c>
    </row>
    <row r="324" spans="1:7" hidden="1">
      <c r="A324" s="17" t="s">
        <v>1669</v>
      </c>
      <c r="B324" s="17" t="s">
        <v>1670</v>
      </c>
      <c r="C324" s="17" t="s">
        <v>949</v>
      </c>
      <c r="D324" s="17" t="s">
        <v>950</v>
      </c>
      <c r="E324" s="17" t="s">
        <v>951</v>
      </c>
      <c r="F324" s="17" t="s">
        <v>1671</v>
      </c>
      <c r="G324" s="17" t="s">
        <v>1672</v>
      </c>
    </row>
    <row r="325" spans="1:7" hidden="1">
      <c r="A325" s="17" t="s">
        <v>1673</v>
      </c>
      <c r="B325" s="17" t="s">
        <v>1674</v>
      </c>
      <c r="C325" s="17" t="s">
        <v>1675</v>
      </c>
      <c r="D325" s="17" t="s">
        <v>895</v>
      </c>
      <c r="E325" s="17" t="s">
        <v>896</v>
      </c>
      <c r="F325" s="17" t="s">
        <v>1676</v>
      </c>
      <c r="G325" s="17" t="s">
        <v>1677</v>
      </c>
    </row>
    <row r="326" spans="1:7" hidden="1">
      <c r="A326" s="17" t="s">
        <v>1678</v>
      </c>
      <c r="B326" s="17" t="s">
        <v>1679</v>
      </c>
      <c r="C326" s="17" t="s">
        <v>1680</v>
      </c>
      <c r="D326" s="17" t="s">
        <v>1421</v>
      </c>
      <c r="E326" s="17" t="s">
        <v>1422</v>
      </c>
      <c r="F326" s="17" t="s">
        <v>1681</v>
      </c>
      <c r="G326" s="17" t="s">
        <v>1682</v>
      </c>
    </row>
    <row r="327" spans="1:7" hidden="1">
      <c r="A327" s="17" t="s">
        <v>1683</v>
      </c>
      <c r="B327" s="17" t="s">
        <v>1684</v>
      </c>
      <c r="C327" s="17" t="s">
        <v>1685</v>
      </c>
      <c r="D327" s="17" t="s">
        <v>391</v>
      </c>
      <c r="E327" s="17" t="s">
        <v>392</v>
      </c>
      <c r="F327" s="17" t="s">
        <v>1686</v>
      </c>
      <c r="G327" s="17" t="s">
        <v>1687</v>
      </c>
    </row>
    <row r="328" spans="1:7" hidden="1">
      <c r="A328" s="17" t="s">
        <v>1688</v>
      </c>
      <c r="B328" s="17" t="s">
        <v>1689</v>
      </c>
      <c r="C328" s="17" t="s">
        <v>1690</v>
      </c>
      <c r="D328" s="17" t="s">
        <v>1691</v>
      </c>
      <c r="E328" s="17" t="s">
        <v>1692</v>
      </c>
      <c r="F328" s="17" t="s">
        <v>1693</v>
      </c>
      <c r="G328" s="17" t="s">
        <v>1694</v>
      </c>
    </row>
    <row r="329" spans="1:7" hidden="1">
      <c r="A329" s="17" t="s">
        <v>1695</v>
      </c>
      <c r="B329" s="17" t="s">
        <v>1696</v>
      </c>
      <c r="C329" s="17" t="s">
        <v>30</v>
      </c>
      <c r="D329" s="17" t="s">
        <v>31</v>
      </c>
      <c r="E329" s="17" t="s">
        <v>32</v>
      </c>
      <c r="F329" s="17" t="s">
        <v>1697</v>
      </c>
      <c r="G329" s="17" t="s">
        <v>1698</v>
      </c>
    </row>
    <row r="330" spans="1:7" ht="26.4" hidden="1">
      <c r="A330" s="17" t="s">
        <v>1699</v>
      </c>
      <c r="B330" s="17" t="s">
        <v>1700</v>
      </c>
      <c r="C330" s="17" t="s">
        <v>623</v>
      </c>
      <c r="D330" s="17" t="s">
        <v>211</v>
      </c>
      <c r="E330" s="17" t="s">
        <v>624</v>
      </c>
      <c r="F330" s="17" t="s">
        <v>1701</v>
      </c>
      <c r="G330" s="17" t="s">
        <v>1702</v>
      </c>
    </row>
    <row r="331" spans="1:7" hidden="1">
      <c r="A331" s="17" t="s">
        <v>1703</v>
      </c>
      <c r="B331" s="17" t="s">
        <v>1704</v>
      </c>
      <c r="C331" s="17" t="s">
        <v>1705</v>
      </c>
      <c r="D331" s="17" t="s">
        <v>1706</v>
      </c>
      <c r="E331" s="17" t="s">
        <v>1707</v>
      </c>
      <c r="F331" s="17" t="s">
        <v>1708</v>
      </c>
      <c r="G331" s="17" t="s">
        <v>1709</v>
      </c>
    </row>
    <row r="332" spans="1:7" ht="26.4" hidden="1">
      <c r="A332" s="17" t="s">
        <v>1710</v>
      </c>
      <c r="B332" s="17" t="s">
        <v>1711</v>
      </c>
      <c r="C332" s="17" t="s">
        <v>1712</v>
      </c>
      <c r="D332" s="17" t="s">
        <v>1713</v>
      </c>
      <c r="E332" s="17" t="s">
        <v>1714</v>
      </c>
      <c r="F332" s="17" t="s">
        <v>1715</v>
      </c>
      <c r="G332" s="17" t="s">
        <v>1716</v>
      </c>
    </row>
    <row r="333" spans="1:7" hidden="1">
      <c r="A333" s="17" t="s">
        <v>1265</v>
      </c>
      <c r="B333" s="17" t="s">
        <v>1266</v>
      </c>
      <c r="C333" s="17" t="s">
        <v>1267</v>
      </c>
      <c r="D333" s="17" t="s">
        <v>832</v>
      </c>
      <c r="E333" s="17" t="s">
        <v>1268</v>
      </c>
      <c r="F333" s="17" t="s">
        <v>1269</v>
      </c>
      <c r="G333" s="17" t="s">
        <v>1717</v>
      </c>
    </row>
    <row r="334" spans="1:7" ht="26.4" hidden="1">
      <c r="A334" s="17" t="s">
        <v>1718</v>
      </c>
      <c r="B334" s="17" t="s">
        <v>1719</v>
      </c>
      <c r="C334" s="17" t="s">
        <v>1712</v>
      </c>
      <c r="D334" s="17" t="s">
        <v>1713</v>
      </c>
      <c r="E334" s="17" t="s">
        <v>1714</v>
      </c>
      <c r="F334" s="17" t="s">
        <v>1720</v>
      </c>
      <c r="G334" s="17" t="s">
        <v>1721</v>
      </c>
    </row>
    <row r="335" spans="1:7" hidden="1">
      <c r="A335" s="17" t="s">
        <v>1722</v>
      </c>
      <c r="B335" s="17" t="s">
        <v>1723</v>
      </c>
      <c r="C335" s="17" t="s">
        <v>1520</v>
      </c>
      <c r="D335" s="17" t="s">
        <v>1521</v>
      </c>
      <c r="E335" s="17" t="s">
        <v>1522</v>
      </c>
      <c r="F335" s="17" t="s">
        <v>1724</v>
      </c>
      <c r="G335" s="17" t="s">
        <v>1725</v>
      </c>
    </row>
    <row r="336" spans="1:7" hidden="1">
      <c r="A336" s="17" t="s">
        <v>1726</v>
      </c>
      <c r="B336" s="17" t="s">
        <v>1727</v>
      </c>
      <c r="C336" s="17" t="s">
        <v>726</v>
      </c>
      <c r="D336" s="17" t="s">
        <v>727</v>
      </c>
      <c r="E336" s="17" t="s">
        <v>728</v>
      </c>
      <c r="F336" s="17" t="s">
        <v>1728</v>
      </c>
      <c r="G336" s="17" t="s">
        <v>1729</v>
      </c>
    </row>
    <row r="337" spans="1:7" hidden="1">
      <c r="A337" s="17" t="s">
        <v>1730</v>
      </c>
      <c r="B337" s="17" t="s">
        <v>1731</v>
      </c>
      <c r="C337" s="17" t="s">
        <v>1732</v>
      </c>
      <c r="D337" s="17" t="s">
        <v>1733</v>
      </c>
      <c r="E337" s="17" t="s">
        <v>1734</v>
      </c>
      <c r="F337" s="17" t="s">
        <v>1735</v>
      </c>
      <c r="G337" s="17" t="s">
        <v>1736</v>
      </c>
    </row>
    <row r="338" spans="1:7" hidden="1">
      <c r="A338" s="17" t="s">
        <v>1471</v>
      </c>
      <c r="B338" s="17" t="s">
        <v>1472</v>
      </c>
      <c r="C338" s="17" t="s">
        <v>650</v>
      </c>
      <c r="D338" s="17" t="s">
        <v>651</v>
      </c>
      <c r="E338" s="17" t="s">
        <v>652</v>
      </c>
      <c r="F338" s="17" t="s">
        <v>1473</v>
      </c>
      <c r="G338" s="17" t="s">
        <v>1737</v>
      </c>
    </row>
    <row r="339" spans="1:7" hidden="1">
      <c r="A339" s="17" t="s">
        <v>1738</v>
      </c>
      <c r="B339" s="17" t="s">
        <v>1739</v>
      </c>
      <c r="C339" s="17" t="s">
        <v>584</v>
      </c>
      <c r="D339" s="17" t="s">
        <v>585</v>
      </c>
      <c r="E339" s="17" t="s">
        <v>586</v>
      </c>
      <c r="F339" s="17" t="s">
        <v>1740</v>
      </c>
      <c r="G339" s="17" t="s">
        <v>1741</v>
      </c>
    </row>
    <row r="340" spans="1:7" hidden="1">
      <c r="A340" s="17" t="s">
        <v>1742</v>
      </c>
      <c r="B340" s="17" t="s">
        <v>1743</v>
      </c>
      <c r="C340" s="17" t="s">
        <v>37</v>
      </c>
      <c r="D340" s="17" t="s">
        <v>38</v>
      </c>
      <c r="E340" s="17" t="s">
        <v>39</v>
      </c>
      <c r="F340" s="17" t="s">
        <v>1744</v>
      </c>
      <c r="G340" s="17" t="s">
        <v>1745</v>
      </c>
    </row>
    <row r="341" spans="1:7" hidden="1">
      <c r="A341" s="17" t="s">
        <v>1746</v>
      </c>
      <c r="B341" s="17" t="s">
        <v>1747</v>
      </c>
      <c r="C341" s="17" t="s">
        <v>1285</v>
      </c>
      <c r="D341" s="17" t="s">
        <v>1286</v>
      </c>
      <c r="E341" s="17" t="s">
        <v>1287</v>
      </c>
      <c r="F341" s="17" t="s">
        <v>1748</v>
      </c>
      <c r="G341" s="17" t="s">
        <v>1749</v>
      </c>
    </row>
    <row r="342" spans="1:7" hidden="1">
      <c r="A342" s="17" t="s">
        <v>1073</v>
      </c>
      <c r="B342" s="17" t="s">
        <v>1070</v>
      </c>
      <c r="C342" s="17" t="s">
        <v>65</v>
      </c>
      <c r="D342" s="17" t="s">
        <v>66</v>
      </c>
      <c r="E342" s="17" t="s">
        <v>67</v>
      </c>
      <c r="F342" s="17" t="s">
        <v>1071</v>
      </c>
      <c r="G342" s="17" t="s">
        <v>1750</v>
      </c>
    </row>
    <row r="343" spans="1:7" hidden="1">
      <c r="A343" s="17" t="s">
        <v>1751</v>
      </c>
      <c r="B343" s="17" t="s">
        <v>1752</v>
      </c>
      <c r="C343" s="17" t="s">
        <v>495</v>
      </c>
      <c r="D343" s="17" t="s">
        <v>184</v>
      </c>
      <c r="E343" s="17" t="s">
        <v>185</v>
      </c>
      <c r="F343" s="17" t="s">
        <v>1753</v>
      </c>
      <c r="G343" s="17" t="s">
        <v>1754</v>
      </c>
    </row>
    <row r="344" spans="1:7" hidden="1">
      <c r="A344" s="17" t="s">
        <v>1755</v>
      </c>
      <c r="B344" s="17" t="s">
        <v>1756</v>
      </c>
      <c r="C344" s="17" t="s">
        <v>72</v>
      </c>
      <c r="D344" s="17" t="s">
        <v>73</v>
      </c>
      <c r="E344" s="17" t="s">
        <v>74</v>
      </c>
      <c r="F344" s="17" t="s">
        <v>1757</v>
      </c>
      <c r="G344" s="17" t="s">
        <v>1758</v>
      </c>
    </row>
    <row r="345" spans="1:7" hidden="1">
      <c r="A345" s="17" t="s">
        <v>1759</v>
      </c>
      <c r="B345" s="17" t="s">
        <v>1760</v>
      </c>
      <c r="C345" s="17" t="s">
        <v>1315</v>
      </c>
      <c r="D345" s="17" t="s">
        <v>1316</v>
      </c>
      <c r="E345" s="17" t="s">
        <v>1317</v>
      </c>
      <c r="F345" s="17" t="s">
        <v>1761</v>
      </c>
      <c r="G345" s="17" t="s">
        <v>1762</v>
      </c>
    </row>
    <row r="346" spans="1:7" ht="26.4" hidden="1">
      <c r="A346" s="17" t="s">
        <v>1763</v>
      </c>
      <c r="B346" s="17" t="s">
        <v>1764</v>
      </c>
      <c r="C346" s="17" t="s">
        <v>23</v>
      </c>
      <c r="D346" s="17" t="s">
        <v>24</v>
      </c>
      <c r="E346" s="17" t="s">
        <v>25</v>
      </c>
      <c r="F346" s="17" t="s">
        <v>1765</v>
      </c>
      <c r="G346" s="17" t="s">
        <v>1766</v>
      </c>
    </row>
    <row r="347" spans="1:7" hidden="1">
      <c r="A347" s="17" t="s">
        <v>1767</v>
      </c>
      <c r="B347" s="17" t="s">
        <v>1768</v>
      </c>
      <c r="C347" s="17" t="s">
        <v>979</v>
      </c>
      <c r="D347" s="17" t="s">
        <v>1460</v>
      </c>
      <c r="E347" s="17" t="s">
        <v>981</v>
      </c>
      <c r="F347" s="17" t="s">
        <v>1769</v>
      </c>
      <c r="G347" s="17" t="s">
        <v>1770</v>
      </c>
    </row>
    <row r="348" spans="1:7" hidden="1">
      <c r="A348" s="17" t="s">
        <v>1771</v>
      </c>
      <c r="B348" s="17" t="s">
        <v>1772</v>
      </c>
      <c r="C348" s="17" t="s">
        <v>128</v>
      </c>
      <c r="D348" s="17" t="s">
        <v>129</v>
      </c>
      <c r="E348" s="17" t="s">
        <v>130</v>
      </c>
      <c r="F348" s="17" t="s">
        <v>1773</v>
      </c>
      <c r="G348" s="17" t="s">
        <v>1774</v>
      </c>
    </row>
    <row r="349" spans="1:7" hidden="1">
      <c r="A349" s="17" t="s">
        <v>1775</v>
      </c>
      <c r="B349" s="17" t="s">
        <v>1776</v>
      </c>
      <c r="C349" s="17" t="s">
        <v>784</v>
      </c>
      <c r="D349" s="17" t="s">
        <v>1167</v>
      </c>
      <c r="E349" s="17" t="s">
        <v>786</v>
      </c>
      <c r="F349" s="17" t="s">
        <v>1777</v>
      </c>
      <c r="G349" s="17" t="s">
        <v>1778</v>
      </c>
    </row>
    <row r="350" spans="1:7" hidden="1">
      <c r="A350" s="17" t="s">
        <v>1779</v>
      </c>
      <c r="B350" s="17" t="s">
        <v>1780</v>
      </c>
      <c r="C350" s="17" t="s">
        <v>1781</v>
      </c>
      <c r="D350" s="17" t="s">
        <v>1782</v>
      </c>
      <c r="E350" s="17" t="s">
        <v>1783</v>
      </c>
      <c r="F350" s="17" t="s">
        <v>1784</v>
      </c>
      <c r="G350" s="17" t="s">
        <v>1785</v>
      </c>
    </row>
    <row r="351" spans="1:7" hidden="1">
      <c r="A351" s="17" t="s">
        <v>1786</v>
      </c>
      <c r="B351" s="17" t="s">
        <v>1787</v>
      </c>
      <c r="C351" s="17" t="s">
        <v>650</v>
      </c>
      <c r="D351" s="17" t="s">
        <v>651</v>
      </c>
      <c r="E351" s="17" t="s">
        <v>652</v>
      </c>
      <c r="F351" s="17" t="s">
        <v>1788</v>
      </c>
      <c r="G351" s="17" t="s">
        <v>1789</v>
      </c>
    </row>
    <row r="352" spans="1:7" ht="26.4" hidden="1">
      <c r="A352" s="17" t="s">
        <v>1790</v>
      </c>
      <c r="B352" s="17" t="s">
        <v>1791</v>
      </c>
      <c r="C352" s="17" t="s">
        <v>824</v>
      </c>
      <c r="D352" s="17" t="s">
        <v>825</v>
      </c>
      <c r="E352" s="17" t="s">
        <v>826</v>
      </c>
      <c r="F352" s="17" t="s">
        <v>1792</v>
      </c>
      <c r="G352" s="17" t="s">
        <v>1793</v>
      </c>
    </row>
    <row r="353" spans="1:7" hidden="1">
      <c r="A353" s="17" t="s">
        <v>1794</v>
      </c>
      <c r="B353" s="17" t="s">
        <v>1795</v>
      </c>
      <c r="C353" s="17" t="s">
        <v>1796</v>
      </c>
      <c r="D353" s="17" t="s">
        <v>1797</v>
      </c>
      <c r="E353" s="17" t="s">
        <v>1798</v>
      </c>
      <c r="F353" s="17" t="s">
        <v>1799</v>
      </c>
      <c r="G353" s="17" t="s">
        <v>1800</v>
      </c>
    </row>
    <row r="354" spans="1:7" hidden="1">
      <c r="A354" s="17" t="s">
        <v>1801</v>
      </c>
      <c r="B354" s="17" t="s">
        <v>1802</v>
      </c>
      <c r="C354" s="17" t="s">
        <v>1803</v>
      </c>
      <c r="D354" s="17" t="s">
        <v>1428</v>
      </c>
      <c r="E354" s="17" t="s">
        <v>1429</v>
      </c>
      <c r="F354" s="17" t="s">
        <v>1804</v>
      </c>
      <c r="G354" s="17" t="s">
        <v>1805</v>
      </c>
    </row>
    <row r="355" spans="1:7" ht="26.4" hidden="1">
      <c r="A355" s="17" t="s">
        <v>1806</v>
      </c>
      <c r="B355" s="17" t="s">
        <v>714</v>
      </c>
      <c r="C355" s="17" t="s">
        <v>715</v>
      </c>
      <c r="D355" s="17" t="s">
        <v>716</v>
      </c>
      <c r="E355" s="17" t="s">
        <v>717</v>
      </c>
      <c r="F355" s="17" t="s">
        <v>718</v>
      </c>
      <c r="G355" s="17" t="s">
        <v>719</v>
      </c>
    </row>
    <row r="356" spans="1:7" hidden="1">
      <c r="A356" s="17" t="s">
        <v>1807</v>
      </c>
      <c r="B356" s="17" t="s">
        <v>1808</v>
      </c>
      <c r="C356" s="17" t="s">
        <v>444</v>
      </c>
      <c r="D356" s="17" t="s">
        <v>122</v>
      </c>
      <c r="E356" s="17" t="s">
        <v>445</v>
      </c>
      <c r="F356" s="17" t="s">
        <v>1809</v>
      </c>
      <c r="G356" s="17" t="s">
        <v>1810</v>
      </c>
    </row>
    <row r="357" spans="1:7" hidden="1">
      <c r="A357" s="17" t="s">
        <v>1811</v>
      </c>
      <c r="B357" s="17" t="s">
        <v>1812</v>
      </c>
      <c r="C357" s="17" t="s">
        <v>1813</v>
      </c>
      <c r="D357" s="17" t="s">
        <v>1814</v>
      </c>
      <c r="E357" s="17" t="s">
        <v>1815</v>
      </c>
      <c r="F357" s="17" t="s">
        <v>1816</v>
      </c>
      <c r="G357" s="17" t="s">
        <v>1817</v>
      </c>
    </row>
    <row r="358" spans="1:7" hidden="1">
      <c r="A358" s="17" t="s">
        <v>1818</v>
      </c>
      <c r="B358" s="17" t="s">
        <v>1819</v>
      </c>
      <c r="C358" s="17" t="s">
        <v>1450</v>
      </c>
      <c r="D358" s="17" t="s">
        <v>122</v>
      </c>
      <c r="E358" s="17" t="s">
        <v>1451</v>
      </c>
      <c r="F358" s="17" t="s">
        <v>1820</v>
      </c>
      <c r="G358" s="17" t="s">
        <v>1821</v>
      </c>
    </row>
    <row r="359" spans="1:7" ht="26.4" hidden="1">
      <c r="A359" s="17" t="s">
        <v>1822</v>
      </c>
      <c r="B359" s="17" t="s">
        <v>1823</v>
      </c>
      <c r="C359" s="17" t="s">
        <v>1604</v>
      </c>
      <c r="D359" s="17" t="s">
        <v>1605</v>
      </c>
      <c r="E359" s="17" t="s">
        <v>1606</v>
      </c>
      <c r="F359" s="17" t="s">
        <v>1824</v>
      </c>
      <c r="G359" s="17" t="s">
        <v>1825</v>
      </c>
    </row>
    <row r="360" spans="1:7" hidden="1">
      <c r="A360" s="17" t="s">
        <v>1826</v>
      </c>
      <c r="B360" s="17" t="s">
        <v>1827</v>
      </c>
      <c r="C360" s="17" t="s">
        <v>1409</v>
      </c>
      <c r="D360" s="17" t="s">
        <v>1410</v>
      </c>
      <c r="E360" s="17" t="s">
        <v>1411</v>
      </c>
      <c r="F360" s="17" t="s">
        <v>1828</v>
      </c>
      <c r="G360" s="17" t="s">
        <v>1829</v>
      </c>
    </row>
    <row r="361" spans="1:7" hidden="1">
      <c r="A361" s="17" t="s">
        <v>1830</v>
      </c>
      <c r="B361" s="17" t="s">
        <v>1831</v>
      </c>
      <c r="C361" s="17" t="s">
        <v>107</v>
      </c>
      <c r="D361" s="17" t="s">
        <v>108</v>
      </c>
      <c r="E361" s="17" t="s">
        <v>109</v>
      </c>
      <c r="F361" s="17" t="s">
        <v>1832</v>
      </c>
      <c r="G361" s="17" t="s">
        <v>1833</v>
      </c>
    </row>
    <row r="362" spans="1:7" hidden="1">
      <c r="A362" s="17" t="s">
        <v>844</v>
      </c>
      <c r="B362" s="17" t="s">
        <v>845</v>
      </c>
      <c r="C362" s="17" t="s">
        <v>846</v>
      </c>
      <c r="D362" s="17" t="s">
        <v>847</v>
      </c>
      <c r="E362" s="17" t="s">
        <v>848</v>
      </c>
      <c r="F362" s="17" t="s">
        <v>849</v>
      </c>
      <c r="G362" s="17" t="s">
        <v>1834</v>
      </c>
    </row>
    <row r="363" spans="1:7" hidden="1">
      <c r="A363" s="17" t="s">
        <v>1835</v>
      </c>
      <c r="B363" s="17" t="s">
        <v>1836</v>
      </c>
      <c r="C363" s="17" t="s">
        <v>1837</v>
      </c>
      <c r="D363" s="17" t="s">
        <v>980</v>
      </c>
      <c r="E363" s="17" t="s">
        <v>1838</v>
      </c>
      <c r="F363" s="17" t="s">
        <v>1839</v>
      </c>
      <c r="G363" s="17" t="s">
        <v>1840</v>
      </c>
    </row>
    <row r="364" spans="1:7" ht="26.4" hidden="1">
      <c r="A364" s="17" t="s">
        <v>1841</v>
      </c>
      <c r="B364" s="17" t="s">
        <v>1842</v>
      </c>
      <c r="C364" s="17" t="s">
        <v>23</v>
      </c>
      <c r="D364" s="17" t="s">
        <v>24</v>
      </c>
      <c r="E364" s="17" t="s">
        <v>25</v>
      </c>
      <c r="F364" s="17" t="s">
        <v>1843</v>
      </c>
      <c r="G364" s="17" t="s">
        <v>1844</v>
      </c>
    </row>
    <row r="365" spans="1:7" ht="26.4" hidden="1">
      <c r="A365" s="17" t="s">
        <v>1845</v>
      </c>
      <c r="B365" s="17" t="s">
        <v>1842</v>
      </c>
      <c r="C365" s="17" t="s">
        <v>23</v>
      </c>
      <c r="D365" s="17" t="s">
        <v>24</v>
      </c>
      <c r="E365" s="17" t="s">
        <v>25</v>
      </c>
      <c r="F365" s="17" t="s">
        <v>1843</v>
      </c>
      <c r="G365" s="17" t="s">
        <v>1844</v>
      </c>
    </row>
    <row r="366" spans="1:7" hidden="1">
      <c r="A366" s="17" t="s">
        <v>1846</v>
      </c>
      <c r="B366" s="17" t="s">
        <v>1847</v>
      </c>
      <c r="C366" s="17" t="s">
        <v>169</v>
      </c>
      <c r="D366" s="17" t="s">
        <v>170</v>
      </c>
      <c r="E366" s="17" t="s">
        <v>171</v>
      </c>
      <c r="F366" s="17" t="s">
        <v>1848</v>
      </c>
      <c r="G366" s="17" t="s">
        <v>1849</v>
      </c>
    </row>
    <row r="367" spans="1:7" hidden="1">
      <c r="A367" s="17" t="s">
        <v>1850</v>
      </c>
      <c r="B367" s="17" t="s">
        <v>1851</v>
      </c>
      <c r="C367" s="17" t="s">
        <v>1852</v>
      </c>
      <c r="D367" s="17" t="s">
        <v>1853</v>
      </c>
      <c r="E367" s="17" t="s">
        <v>1854</v>
      </c>
      <c r="F367" s="17" t="s">
        <v>1855</v>
      </c>
      <c r="G367" s="17" t="s">
        <v>1856</v>
      </c>
    </row>
    <row r="368" spans="1:7" hidden="1">
      <c r="A368" s="17" t="s">
        <v>1857</v>
      </c>
      <c r="B368" s="17" t="s">
        <v>1858</v>
      </c>
      <c r="C368" s="17" t="s">
        <v>1859</v>
      </c>
      <c r="D368" s="17" t="s">
        <v>936</v>
      </c>
      <c r="E368" s="17" t="s">
        <v>937</v>
      </c>
      <c r="F368" s="17" t="s">
        <v>1860</v>
      </c>
      <c r="G368" s="17" t="s">
        <v>1861</v>
      </c>
    </row>
    <row r="369" spans="1:7" hidden="1">
      <c r="A369" s="17" t="s">
        <v>1862</v>
      </c>
      <c r="B369" s="17" t="s">
        <v>1863</v>
      </c>
      <c r="C369" s="17" t="s">
        <v>154</v>
      </c>
      <c r="D369" s="17" t="s">
        <v>155</v>
      </c>
      <c r="E369" s="17" t="s">
        <v>156</v>
      </c>
      <c r="F369" s="17" t="s">
        <v>1864</v>
      </c>
      <c r="G369" s="17" t="s">
        <v>1865</v>
      </c>
    </row>
    <row r="370" spans="1:7">
      <c r="A370" s="17" t="s">
        <v>1866</v>
      </c>
      <c r="B370" s="17" t="s">
        <v>1867</v>
      </c>
      <c r="C370" s="17" t="s">
        <v>338</v>
      </c>
      <c r="D370" s="17" t="s">
        <v>339</v>
      </c>
      <c r="E370" s="17" t="s">
        <v>340</v>
      </c>
      <c r="F370" s="17" t="s">
        <v>1868</v>
      </c>
      <c r="G370" s="17" t="s">
        <v>1869</v>
      </c>
    </row>
    <row r="371" spans="1:7" hidden="1">
      <c r="A371" s="17" t="s">
        <v>1870</v>
      </c>
      <c r="B371" s="17" t="s">
        <v>1871</v>
      </c>
      <c r="C371" s="17" t="s">
        <v>566</v>
      </c>
      <c r="D371" s="17" t="s">
        <v>567</v>
      </c>
      <c r="E371" s="17" t="s">
        <v>568</v>
      </c>
      <c r="F371" s="17" t="s">
        <v>1872</v>
      </c>
      <c r="G371" s="17" t="s">
        <v>1873</v>
      </c>
    </row>
    <row r="372" spans="1:7" hidden="1">
      <c r="A372" s="17" t="s">
        <v>1874</v>
      </c>
      <c r="B372" s="17" t="s">
        <v>1875</v>
      </c>
      <c r="C372" s="17" t="s">
        <v>1096</v>
      </c>
      <c r="D372" s="17" t="s">
        <v>1097</v>
      </c>
      <c r="E372" s="17" t="s">
        <v>1098</v>
      </c>
      <c r="F372" s="17" t="s">
        <v>1876</v>
      </c>
      <c r="G372" s="17" t="s">
        <v>1877</v>
      </c>
    </row>
    <row r="373" spans="1:7" hidden="1">
      <c r="A373" s="17" t="s">
        <v>1878</v>
      </c>
      <c r="B373" s="17" t="s">
        <v>845</v>
      </c>
      <c r="C373" s="17" t="s">
        <v>1705</v>
      </c>
      <c r="D373" s="17" t="s">
        <v>1706</v>
      </c>
      <c r="E373" s="17" t="s">
        <v>1707</v>
      </c>
      <c r="F373" s="17" t="s">
        <v>849</v>
      </c>
      <c r="G373" s="17" t="s">
        <v>850</v>
      </c>
    </row>
    <row r="374" spans="1:7" hidden="1">
      <c r="A374" s="17" t="s">
        <v>1879</v>
      </c>
      <c r="B374" s="17" t="s">
        <v>1880</v>
      </c>
      <c r="C374" s="17" t="s">
        <v>1705</v>
      </c>
      <c r="D374" s="17" t="s">
        <v>1706</v>
      </c>
      <c r="E374" s="17" t="s">
        <v>1707</v>
      </c>
      <c r="F374" s="17" t="s">
        <v>1881</v>
      </c>
      <c r="G374" s="17" t="s">
        <v>1882</v>
      </c>
    </row>
    <row r="375" spans="1:7" ht="26.4" hidden="1">
      <c r="A375" s="17" t="s">
        <v>1841</v>
      </c>
      <c r="B375" s="17" t="s">
        <v>1842</v>
      </c>
      <c r="C375" s="17" t="s">
        <v>23</v>
      </c>
      <c r="D375" s="17" t="s">
        <v>24</v>
      </c>
      <c r="E375" s="17" t="s">
        <v>25</v>
      </c>
      <c r="F375" s="17" t="s">
        <v>1843</v>
      </c>
      <c r="G375" s="17" t="s">
        <v>1883</v>
      </c>
    </row>
    <row r="376" spans="1:7" hidden="1">
      <c r="A376" s="17" t="s">
        <v>1884</v>
      </c>
      <c r="B376" s="17" t="s">
        <v>1885</v>
      </c>
      <c r="C376" s="17" t="s">
        <v>488</v>
      </c>
      <c r="D376" s="17" t="s">
        <v>489</v>
      </c>
      <c r="E376" s="17" t="s">
        <v>490</v>
      </c>
      <c r="F376" s="17" t="s">
        <v>1886</v>
      </c>
      <c r="G376" s="17" t="s">
        <v>1887</v>
      </c>
    </row>
    <row r="377" spans="1:7" hidden="1">
      <c r="A377" s="17" t="s">
        <v>1888</v>
      </c>
      <c r="B377" s="17" t="s">
        <v>1889</v>
      </c>
      <c r="C377" s="17" t="s">
        <v>1547</v>
      </c>
      <c r="D377" s="17" t="s">
        <v>1548</v>
      </c>
      <c r="E377" s="17" t="s">
        <v>1549</v>
      </c>
      <c r="F377" s="17" t="s">
        <v>1890</v>
      </c>
      <c r="G377" s="17" t="s">
        <v>1891</v>
      </c>
    </row>
    <row r="378" spans="1:7" hidden="1">
      <c r="A378" s="17" t="s">
        <v>1892</v>
      </c>
      <c r="B378" s="17" t="s">
        <v>1893</v>
      </c>
      <c r="C378" s="17" t="s">
        <v>397</v>
      </c>
      <c r="D378" s="17" t="s">
        <v>1894</v>
      </c>
      <c r="E378" s="17" t="s">
        <v>399</v>
      </c>
      <c r="F378" s="17" t="s">
        <v>1895</v>
      </c>
      <c r="G378" s="17" t="s">
        <v>1896</v>
      </c>
    </row>
    <row r="379" spans="1:7" hidden="1">
      <c r="A379" s="17" t="s">
        <v>1879</v>
      </c>
      <c r="B379" s="17" t="s">
        <v>1880</v>
      </c>
      <c r="C379" s="17" t="s">
        <v>1705</v>
      </c>
      <c r="D379" s="17" t="s">
        <v>1706</v>
      </c>
      <c r="E379" s="17" t="s">
        <v>1707</v>
      </c>
      <c r="F379" s="17" t="s">
        <v>1881</v>
      </c>
      <c r="G379" s="17" t="s">
        <v>1897</v>
      </c>
    </row>
    <row r="380" spans="1:7" hidden="1">
      <c r="A380" s="17" t="s">
        <v>1898</v>
      </c>
      <c r="B380" s="17" t="s">
        <v>1899</v>
      </c>
      <c r="C380" s="17" t="s">
        <v>154</v>
      </c>
      <c r="D380" s="17" t="s">
        <v>155</v>
      </c>
      <c r="E380" s="17" t="s">
        <v>156</v>
      </c>
      <c r="F380" s="17" t="s">
        <v>1900</v>
      </c>
      <c r="G380" s="17" t="s">
        <v>1901</v>
      </c>
    </row>
    <row r="381" spans="1:7" hidden="1">
      <c r="A381" s="17" t="s">
        <v>1902</v>
      </c>
      <c r="B381" s="17" t="s">
        <v>1903</v>
      </c>
      <c r="C381" s="17" t="s">
        <v>1904</v>
      </c>
      <c r="D381" s="17" t="s">
        <v>1905</v>
      </c>
      <c r="E381" s="17" t="s">
        <v>1906</v>
      </c>
      <c r="F381" s="17" t="s">
        <v>1907</v>
      </c>
      <c r="G381" s="17" t="s">
        <v>1908</v>
      </c>
    </row>
    <row r="382" spans="1:7" hidden="1">
      <c r="A382" s="17" t="s">
        <v>1443</v>
      </c>
      <c r="B382" s="17" t="s">
        <v>830</v>
      </c>
      <c r="C382" s="17" t="s">
        <v>831</v>
      </c>
      <c r="D382" s="17" t="s">
        <v>832</v>
      </c>
      <c r="E382" s="17" t="s">
        <v>833</v>
      </c>
      <c r="F382" s="17" t="s">
        <v>834</v>
      </c>
      <c r="G382" s="17" t="s">
        <v>1506</v>
      </c>
    </row>
    <row r="383" spans="1:7" hidden="1">
      <c r="A383" s="17" t="s">
        <v>1909</v>
      </c>
      <c r="B383" s="17" t="s">
        <v>1910</v>
      </c>
      <c r="C383" s="17" t="s">
        <v>135</v>
      </c>
      <c r="D383" s="17" t="s">
        <v>136</v>
      </c>
      <c r="E383" s="17" t="s">
        <v>137</v>
      </c>
      <c r="F383" s="17" t="s">
        <v>1911</v>
      </c>
      <c r="G383" s="17" t="s">
        <v>1912</v>
      </c>
    </row>
    <row r="384" spans="1:7" ht="26.4" hidden="1">
      <c r="A384" s="17" t="s">
        <v>1913</v>
      </c>
      <c r="B384" s="17" t="s">
        <v>1914</v>
      </c>
      <c r="C384" s="17" t="s">
        <v>1915</v>
      </c>
      <c r="D384" s="17" t="s">
        <v>1916</v>
      </c>
      <c r="E384" s="17" t="s">
        <v>1917</v>
      </c>
      <c r="F384" s="17" t="s">
        <v>1918</v>
      </c>
      <c r="G384" s="17" t="s">
        <v>1919</v>
      </c>
    </row>
    <row r="385" spans="1:7" hidden="1">
      <c r="A385" s="17" t="s">
        <v>1920</v>
      </c>
      <c r="B385" s="17" t="s">
        <v>1921</v>
      </c>
      <c r="C385" s="17" t="s">
        <v>1922</v>
      </c>
      <c r="D385" s="17" t="s">
        <v>1923</v>
      </c>
      <c r="E385" s="17" t="s">
        <v>1924</v>
      </c>
      <c r="F385" s="17" t="s">
        <v>1925</v>
      </c>
      <c r="G385" s="17" t="s">
        <v>1926</v>
      </c>
    </row>
    <row r="386" spans="1:7" hidden="1">
      <c r="A386" s="17" t="s">
        <v>1927</v>
      </c>
      <c r="B386" s="17" t="s">
        <v>1928</v>
      </c>
      <c r="C386" s="17" t="s">
        <v>256</v>
      </c>
      <c r="D386" s="17" t="s">
        <v>80</v>
      </c>
      <c r="E386" s="17" t="s">
        <v>81</v>
      </c>
      <c r="F386" s="17" t="s">
        <v>1929</v>
      </c>
      <c r="G386" s="17" t="s">
        <v>1930</v>
      </c>
    </row>
    <row r="387" spans="1:7" hidden="1">
      <c r="A387" s="17" t="s">
        <v>1931</v>
      </c>
      <c r="B387" s="17" t="s">
        <v>1932</v>
      </c>
      <c r="C387" s="17" t="s">
        <v>358</v>
      </c>
      <c r="D387" s="17" t="s">
        <v>359</v>
      </c>
      <c r="E387" s="17" t="s">
        <v>360</v>
      </c>
      <c r="F387" s="17" t="s">
        <v>1933</v>
      </c>
      <c r="G387" s="17" t="s">
        <v>1934</v>
      </c>
    </row>
    <row r="388" spans="1:7" hidden="1">
      <c r="A388" s="17" t="s">
        <v>1935</v>
      </c>
      <c r="B388" s="17" t="s">
        <v>1936</v>
      </c>
      <c r="C388" s="17" t="s">
        <v>1937</v>
      </c>
      <c r="D388" s="17" t="s">
        <v>1097</v>
      </c>
      <c r="E388" s="17" t="s">
        <v>1098</v>
      </c>
      <c r="F388" s="17" t="s">
        <v>1938</v>
      </c>
      <c r="G388" s="17" t="s">
        <v>1939</v>
      </c>
    </row>
    <row r="389" spans="1:7" hidden="1">
      <c r="A389" s="17" t="s">
        <v>1940</v>
      </c>
      <c r="B389" s="17" t="s">
        <v>1941</v>
      </c>
      <c r="C389" s="17" t="s">
        <v>204</v>
      </c>
      <c r="D389" s="17" t="s">
        <v>122</v>
      </c>
      <c r="E389" s="17" t="s">
        <v>205</v>
      </c>
      <c r="F389" s="17" t="s">
        <v>1942</v>
      </c>
      <c r="G389" s="17" t="s">
        <v>1943</v>
      </c>
    </row>
    <row r="390" spans="1:7" hidden="1">
      <c r="A390" s="17" t="s">
        <v>1944</v>
      </c>
      <c r="B390" s="17" t="s">
        <v>1945</v>
      </c>
      <c r="C390" s="17" t="s">
        <v>217</v>
      </c>
      <c r="D390" s="17" t="s">
        <v>218</v>
      </c>
      <c r="E390" s="17" t="s">
        <v>219</v>
      </c>
      <c r="F390" s="17" t="s">
        <v>1946</v>
      </c>
      <c r="G390" s="17" t="s">
        <v>1947</v>
      </c>
    </row>
    <row r="391" spans="1:7" hidden="1">
      <c r="A391" s="17" t="s">
        <v>486</v>
      </c>
      <c r="B391" s="17" t="s">
        <v>487</v>
      </c>
      <c r="C391" s="17" t="s">
        <v>488</v>
      </c>
      <c r="D391" s="17" t="s">
        <v>489</v>
      </c>
      <c r="E391" s="17" t="s">
        <v>490</v>
      </c>
      <c r="F391" s="17" t="s">
        <v>491</v>
      </c>
      <c r="G391" s="17" t="s">
        <v>1948</v>
      </c>
    </row>
    <row r="392" spans="1:7" hidden="1">
      <c r="A392" s="17" t="s">
        <v>1949</v>
      </c>
      <c r="B392" s="17" t="s">
        <v>1950</v>
      </c>
      <c r="C392" s="17" t="s">
        <v>1859</v>
      </c>
      <c r="D392" s="17" t="s">
        <v>936</v>
      </c>
      <c r="E392" s="17" t="s">
        <v>937</v>
      </c>
      <c r="F392" s="17" t="s">
        <v>1951</v>
      </c>
      <c r="G392" s="17" t="s">
        <v>1952</v>
      </c>
    </row>
    <row r="393" spans="1:7" hidden="1">
      <c r="A393" s="17" t="s">
        <v>1953</v>
      </c>
      <c r="B393" s="17" t="s">
        <v>1954</v>
      </c>
      <c r="C393" s="17" t="s">
        <v>1219</v>
      </c>
      <c r="D393" s="17" t="s">
        <v>239</v>
      </c>
      <c r="E393" s="17" t="s">
        <v>240</v>
      </c>
      <c r="F393" s="17" t="s">
        <v>1955</v>
      </c>
      <c r="G393" s="17" t="s">
        <v>1956</v>
      </c>
    </row>
    <row r="394" spans="1:7" hidden="1">
      <c r="A394" s="17" t="s">
        <v>1957</v>
      </c>
      <c r="B394" s="17" t="s">
        <v>1958</v>
      </c>
      <c r="C394" s="17" t="s">
        <v>358</v>
      </c>
      <c r="D394" s="17" t="s">
        <v>359</v>
      </c>
      <c r="E394" s="17" t="s">
        <v>360</v>
      </c>
      <c r="F394" s="17" t="s">
        <v>1959</v>
      </c>
      <c r="G394" s="17" t="s">
        <v>1960</v>
      </c>
    </row>
    <row r="395" spans="1:7" hidden="1">
      <c r="A395" s="17" t="s">
        <v>1961</v>
      </c>
      <c r="B395" s="17" t="s">
        <v>1962</v>
      </c>
      <c r="C395" s="17" t="s">
        <v>598</v>
      </c>
      <c r="D395" s="17" t="s">
        <v>599</v>
      </c>
      <c r="E395" s="17" t="s">
        <v>600</v>
      </c>
      <c r="F395" s="17" t="s">
        <v>1963</v>
      </c>
      <c r="G395" s="17" t="s">
        <v>1964</v>
      </c>
    </row>
    <row r="396" spans="1:7" ht="26.4" hidden="1">
      <c r="A396" s="17" t="s">
        <v>1965</v>
      </c>
      <c r="B396" s="17" t="s">
        <v>1966</v>
      </c>
      <c r="C396" s="17" t="s">
        <v>1967</v>
      </c>
      <c r="D396" s="17" t="s">
        <v>1968</v>
      </c>
      <c r="E396" s="17" t="s">
        <v>1969</v>
      </c>
      <c r="F396" s="17" t="s">
        <v>1970</v>
      </c>
      <c r="G396" s="17" t="s">
        <v>1971</v>
      </c>
    </row>
    <row r="397" spans="1:7" hidden="1">
      <c r="A397" s="17" t="s">
        <v>1972</v>
      </c>
      <c r="B397" s="17" t="s">
        <v>1973</v>
      </c>
      <c r="C397" s="17" t="s">
        <v>665</v>
      </c>
      <c r="D397" s="17" t="s">
        <v>666</v>
      </c>
      <c r="E397" s="17" t="s">
        <v>667</v>
      </c>
      <c r="F397" s="17" t="s">
        <v>1974</v>
      </c>
      <c r="G397" s="17" t="s">
        <v>1975</v>
      </c>
    </row>
    <row r="398" spans="1:7" hidden="1">
      <c r="A398" s="17" t="s">
        <v>1976</v>
      </c>
      <c r="B398" s="17" t="s">
        <v>1977</v>
      </c>
      <c r="C398" s="17" t="s">
        <v>1420</v>
      </c>
      <c r="D398" s="17" t="s">
        <v>1421</v>
      </c>
      <c r="E398" s="17" t="s">
        <v>1422</v>
      </c>
      <c r="F398" s="17" t="s">
        <v>1978</v>
      </c>
      <c r="G398" s="17" t="s">
        <v>1979</v>
      </c>
    </row>
    <row r="399" spans="1:7" hidden="1">
      <c r="A399" s="17" t="s">
        <v>1980</v>
      </c>
      <c r="B399" s="17" t="s">
        <v>1981</v>
      </c>
      <c r="C399" s="17" t="s">
        <v>1982</v>
      </c>
      <c r="D399" s="17" t="s">
        <v>1691</v>
      </c>
      <c r="E399" s="17" t="s">
        <v>1692</v>
      </c>
      <c r="F399" s="17" t="s">
        <v>1983</v>
      </c>
      <c r="G399" s="17" t="s">
        <v>1984</v>
      </c>
    </row>
    <row r="400" spans="1:7" hidden="1">
      <c r="A400" s="17" t="s">
        <v>1985</v>
      </c>
      <c r="B400" s="17" t="s">
        <v>1986</v>
      </c>
      <c r="C400" s="17" t="s">
        <v>903</v>
      </c>
      <c r="D400" s="17" t="s">
        <v>904</v>
      </c>
      <c r="E400" s="17" t="s">
        <v>905</v>
      </c>
      <c r="F400" s="17" t="s">
        <v>1987</v>
      </c>
      <c r="G400" s="17" t="s">
        <v>1988</v>
      </c>
    </row>
    <row r="401" spans="1:7" hidden="1">
      <c r="A401" s="17" t="s">
        <v>1989</v>
      </c>
      <c r="B401" s="17" t="s">
        <v>1990</v>
      </c>
      <c r="C401" s="17" t="s">
        <v>1991</v>
      </c>
      <c r="D401" s="17" t="s">
        <v>1992</v>
      </c>
      <c r="E401" s="17" t="s">
        <v>1993</v>
      </c>
      <c r="F401" s="17" t="s">
        <v>1994</v>
      </c>
      <c r="G401" s="17" t="s">
        <v>1995</v>
      </c>
    </row>
    <row r="402" spans="1:7" hidden="1">
      <c r="A402" s="17" t="s">
        <v>1996</v>
      </c>
      <c r="B402" s="17" t="s">
        <v>1997</v>
      </c>
      <c r="C402" s="17" t="s">
        <v>1998</v>
      </c>
      <c r="D402" s="17" t="s">
        <v>1999</v>
      </c>
      <c r="E402" s="17" t="s">
        <v>2000</v>
      </c>
      <c r="F402" s="17" t="s">
        <v>2001</v>
      </c>
      <c r="G402" s="17" t="s">
        <v>2002</v>
      </c>
    </row>
    <row r="403" spans="1:7" hidden="1">
      <c r="A403" s="17" t="s">
        <v>2003</v>
      </c>
      <c r="B403" s="17" t="s">
        <v>2004</v>
      </c>
      <c r="C403" s="17" t="s">
        <v>949</v>
      </c>
      <c r="D403" s="17" t="s">
        <v>1242</v>
      </c>
      <c r="E403" s="17" t="s">
        <v>951</v>
      </c>
      <c r="F403" s="17" t="s">
        <v>2005</v>
      </c>
      <c r="G403" s="17" t="s">
        <v>2006</v>
      </c>
    </row>
    <row r="404" spans="1:7" hidden="1">
      <c r="A404" s="17" t="s">
        <v>2007</v>
      </c>
      <c r="B404" s="17" t="s">
        <v>2008</v>
      </c>
      <c r="C404" s="17" t="s">
        <v>1199</v>
      </c>
      <c r="D404" s="17" t="s">
        <v>1200</v>
      </c>
      <c r="E404" s="17" t="s">
        <v>1201</v>
      </c>
      <c r="F404" s="17" t="s">
        <v>2009</v>
      </c>
      <c r="G404" s="17" t="s">
        <v>2010</v>
      </c>
    </row>
    <row r="405" spans="1:7" hidden="1">
      <c r="A405" s="17" t="s">
        <v>2011</v>
      </c>
      <c r="B405" s="17" t="s">
        <v>2012</v>
      </c>
      <c r="C405" s="17" t="s">
        <v>1107</v>
      </c>
      <c r="D405" s="17" t="s">
        <v>225</v>
      </c>
      <c r="E405" s="17" t="s">
        <v>226</v>
      </c>
      <c r="F405" s="17" t="s">
        <v>2013</v>
      </c>
      <c r="G405" s="17" t="s">
        <v>2014</v>
      </c>
    </row>
    <row r="406" spans="1:7" hidden="1">
      <c r="A406" s="17" t="s">
        <v>2015</v>
      </c>
      <c r="B406" s="17" t="s">
        <v>2016</v>
      </c>
      <c r="C406" s="17" t="s">
        <v>2017</v>
      </c>
      <c r="D406" s="17" t="s">
        <v>2018</v>
      </c>
      <c r="E406" s="17" t="s">
        <v>2019</v>
      </c>
      <c r="F406" s="17" t="s">
        <v>2020</v>
      </c>
      <c r="G406" s="17" t="s">
        <v>2021</v>
      </c>
    </row>
    <row r="407" spans="1:7" ht="26.4" hidden="1">
      <c r="A407" s="17" t="s">
        <v>1806</v>
      </c>
      <c r="B407" s="17" t="s">
        <v>714</v>
      </c>
      <c r="C407" s="17" t="s">
        <v>715</v>
      </c>
      <c r="D407" s="17" t="s">
        <v>716</v>
      </c>
      <c r="E407" s="17" t="s">
        <v>717</v>
      </c>
      <c r="F407" s="17" t="s">
        <v>718</v>
      </c>
      <c r="G407" s="17" t="s">
        <v>1625</v>
      </c>
    </row>
    <row r="408" spans="1:7" ht="26.4" hidden="1">
      <c r="A408" s="17" t="s">
        <v>2022</v>
      </c>
      <c r="B408" s="17" t="s">
        <v>189</v>
      </c>
      <c r="C408" s="17" t="s">
        <v>190</v>
      </c>
      <c r="D408" s="17" t="s">
        <v>191</v>
      </c>
      <c r="E408" s="17" t="s">
        <v>192</v>
      </c>
      <c r="F408" s="17" t="s">
        <v>193</v>
      </c>
      <c r="G408" s="17" t="s">
        <v>513</v>
      </c>
    </row>
    <row r="409" spans="1:7" hidden="1">
      <c r="A409" s="17" t="s">
        <v>2023</v>
      </c>
      <c r="B409" s="17" t="s">
        <v>2024</v>
      </c>
      <c r="C409" s="17" t="s">
        <v>100</v>
      </c>
      <c r="D409" s="17" t="s">
        <v>2025</v>
      </c>
      <c r="E409" s="17" t="s">
        <v>102</v>
      </c>
      <c r="F409" s="17" t="s">
        <v>2026</v>
      </c>
      <c r="G409" s="17" t="s">
        <v>2027</v>
      </c>
    </row>
    <row r="410" spans="1:7" hidden="1">
      <c r="A410" s="17" t="s">
        <v>2028</v>
      </c>
      <c r="B410" s="17" t="s">
        <v>2029</v>
      </c>
      <c r="C410" s="17" t="s">
        <v>1089</v>
      </c>
      <c r="D410" s="17" t="s">
        <v>1090</v>
      </c>
      <c r="E410" s="17" t="s">
        <v>1091</v>
      </c>
      <c r="F410" s="17" t="s">
        <v>2030</v>
      </c>
      <c r="G410" s="17" t="s">
        <v>2031</v>
      </c>
    </row>
    <row r="411" spans="1:7" ht="26.4" hidden="1">
      <c r="A411" s="17" t="s">
        <v>2032</v>
      </c>
      <c r="B411" s="17" t="s">
        <v>2033</v>
      </c>
      <c r="C411" s="17" t="s">
        <v>404</v>
      </c>
      <c r="D411" s="17" t="s">
        <v>405</v>
      </c>
      <c r="E411" s="17" t="s">
        <v>406</v>
      </c>
      <c r="F411" s="17" t="s">
        <v>2034</v>
      </c>
      <c r="G411" s="17" t="s">
        <v>2035</v>
      </c>
    </row>
    <row r="412" spans="1:7" hidden="1">
      <c r="A412" s="17" t="s">
        <v>2036</v>
      </c>
      <c r="B412" s="17" t="s">
        <v>2037</v>
      </c>
      <c r="C412" s="17" t="s">
        <v>1922</v>
      </c>
      <c r="D412" s="17" t="s">
        <v>1923</v>
      </c>
      <c r="E412" s="17" t="s">
        <v>1924</v>
      </c>
      <c r="F412" s="17" t="s">
        <v>2038</v>
      </c>
      <c r="G412" s="17" t="s">
        <v>2039</v>
      </c>
    </row>
    <row r="413" spans="1:7" hidden="1">
      <c r="A413" s="17" t="s">
        <v>2040</v>
      </c>
      <c r="B413" s="17" t="s">
        <v>2041</v>
      </c>
      <c r="C413" s="17" t="s">
        <v>1450</v>
      </c>
      <c r="D413" s="17" t="s">
        <v>122</v>
      </c>
      <c r="E413" s="17" t="s">
        <v>1451</v>
      </c>
      <c r="F413" s="17" t="s">
        <v>2042</v>
      </c>
      <c r="G413" s="17" t="s">
        <v>2043</v>
      </c>
    </row>
    <row r="414" spans="1:7" hidden="1">
      <c r="A414" s="17" t="s">
        <v>2044</v>
      </c>
      <c r="B414" s="17" t="s">
        <v>2045</v>
      </c>
      <c r="C414" s="17" t="s">
        <v>2046</v>
      </c>
      <c r="D414" s="17" t="s">
        <v>578</v>
      </c>
      <c r="E414" s="17" t="s">
        <v>2047</v>
      </c>
      <c r="F414" s="17" t="s">
        <v>2048</v>
      </c>
      <c r="G414" s="17" t="s">
        <v>2049</v>
      </c>
    </row>
    <row r="415" spans="1:7" ht="26.4" hidden="1">
      <c r="A415" s="17" t="s">
        <v>1033</v>
      </c>
      <c r="B415" s="17" t="s">
        <v>1034</v>
      </c>
      <c r="C415" s="17" t="s">
        <v>44</v>
      </c>
      <c r="D415" s="17" t="s">
        <v>45</v>
      </c>
      <c r="E415" s="17" t="s">
        <v>46</v>
      </c>
      <c r="F415" s="17" t="s">
        <v>1035</v>
      </c>
      <c r="G415" s="17" t="s">
        <v>1147</v>
      </c>
    </row>
    <row r="416" spans="1:7" hidden="1">
      <c r="A416" s="17" t="s">
        <v>2050</v>
      </c>
      <c r="B416" s="17" t="s">
        <v>2051</v>
      </c>
      <c r="C416" s="17" t="s">
        <v>2052</v>
      </c>
      <c r="D416" s="17" t="s">
        <v>1185</v>
      </c>
      <c r="E416" s="17" t="s">
        <v>1186</v>
      </c>
      <c r="F416" s="17" t="s">
        <v>2053</v>
      </c>
      <c r="G416" s="17" t="s">
        <v>2054</v>
      </c>
    </row>
    <row r="417" spans="1:7" ht="26.4" hidden="1">
      <c r="A417" s="17" t="s">
        <v>2055</v>
      </c>
      <c r="B417" s="17" t="s">
        <v>2056</v>
      </c>
      <c r="C417" s="17" t="s">
        <v>1025</v>
      </c>
      <c r="D417" s="17" t="s">
        <v>825</v>
      </c>
      <c r="E417" s="17" t="s">
        <v>826</v>
      </c>
      <c r="F417" s="17" t="s">
        <v>2057</v>
      </c>
      <c r="G417" s="17" t="s">
        <v>2058</v>
      </c>
    </row>
    <row r="418" spans="1:7" hidden="1">
      <c r="A418" s="17" t="s">
        <v>2059</v>
      </c>
      <c r="B418" s="17" t="s">
        <v>2060</v>
      </c>
      <c r="C418" s="17" t="s">
        <v>2061</v>
      </c>
      <c r="D418" s="17" t="s">
        <v>2062</v>
      </c>
      <c r="E418" s="17" t="s">
        <v>2063</v>
      </c>
      <c r="F418" s="17" t="s">
        <v>2064</v>
      </c>
      <c r="G418" s="17" t="s">
        <v>2065</v>
      </c>
    </row>
    <row r="419" spans="1:7" hidden="1">
      <c r="A419" s="17" t="s">
        <v>2066</v>
      </c>
      <c r="B419" s="17" t="s">
        <v>2067</v>
      </c>
      <c r="C419" s="17" t="s">
        <v>318</v>
      </c>
      <c r="D419" s="17" t="s">
        <v>319</v>
      </c>
      <c r="E419" s="17" t="s">
        <v>320</v>
      </c>
      <c r="F419" s="17" t="s">
        <v>2068</v>
      </c>
      <c r="G419" s="17" t="s">
        <v>2069</v>
      </c>
    </row>
    <row r="420" spans="1:7" hidden="1">
      <c r="A420" s="17" t="s">
        <v>2070</v>
      </c>
      <c r="B420" s="17" t="s">
        <v>2071</v>
      </c>
      <c r="C420" s="17" t="s">
        <v>135</v>
      </c>
      <c r="D420" s="17" t="s">
        <v>136</v>
      </c>
      <c r="E420" s="17" t="s">
        <v>137</v>
      </c>
      <c r="F420" s="17" t="s">
        <v>2072</v>
      </c>
      <c r="G420" s="17" t="s">
        <v>2073</v>
      </c>
    </row>
    <row r="421" spans="1:7" ht="26.4" hidden="1">
      <c r="A421" s="17" t="s">
        <v>2074</v>
      </c>
      <c r="B421" s="17" t="s">
        <v>1172</v>
      </c>
      <c r="C421" s="17" t="s">
        <v>715</v>
      </c>
      <c r="D421" s="17" t="s">
        <v>716</v>
      </c>
      <c r="E421" s="17" t="s">
        <v>717</v>
      </c>
      <c r="F421" s="17" t="s">
        <v>1173</v>
      </c>
      <c r="G421" s="17" t="s">
        <v>1174</v>
      </c>
    </row>
    <row r="422" spans="1:7" ht="26.4" hidden="1">
      <c r="A422" s="17" t="s">
        <v>2075</v>
      </c>
      <c r="B422" s="17" t="s">
        <v>2076</v>
      </c>
      <c r="C422" s="17" t="s">
        <v>715</v>
      </c>
      <c r="D422" s="17" t="s">
        <v>716</v>
      </c>
      <c r="E422" s="17" t="s">
        <v>717</v>
      </c>
      <c r="F422" s="17" t="s">
        <v>2077</v>
      </c>
      <c r="G422" s="17" t="s">
        <v>2078</v>
      </c>
    </row>
    <row r="423" spans="1:7" hidden="1">
      <c r="A423" s="17" t="s">
        <v>2079</v>
      </c>
      <c r="B423" s="17" t="s">
        <v>2080</v>
      </c>
      <c r="C423" s="17" t="s">
        <v>584</v>
      </c>
      <c r="D423" s="17" t="s">
        <v>585</v>
      </c>
      <c r="E423" s="17" t="s">
        <v>586</v>
      </c>
      <c r="F423" s="17" t="s">
        <v>2081</v>
      </c>
      <c r="G423" s="17" t="s">
        <v>2082</v>
      </c>
    </row>
    <row r="424" spans="1:7" hidden="1">
      <c r="A424" s="17" t="s">
        <v>2083</v>
      </c>
      <c r="B424" s="17" t="s">
        <v>852</v>
      </c>
      <c r="C424" s="17" t="s">
        <v>65</v>
      </c>
      <c r="D424" s="17" t="s">
        <v>66</v>
      </c>
      <c r="E424" s="17" t="s">
        <v>67</v>
      </c>
      <c r="F424" s="17" t="s">
        <v>853</v>
      </c>
      <c r="G424" s="17" t="s">
        <v>1196</v>
      </c>
    </row>
    <row r="425" spans="1:7" hidden="1">
      <c r="A425" s="17" t="s">
        <v>2084</v>
      </c>
      <c r="B425" s="17" t="s">
        <v>2085</v>
      </c>
      <c r="C425" s="17" t="s">
        <v>1348</v>
      </c>
      <c r="D425" s="17" t="s">
        <v>1349</v>
      </c>
      <c r="E425" s="17" t="s">
        <v>1350</v>
      </c>
      <c r="F425" s="17" t="s">
        <v>2086</v>
      </c>
      <c r="G425" s="17" t="s">
        <v>2087</v>
      </c>
    </row>
    <row r="426" spans="1:7" hidden="1">
      <c r="A426" s="17" t="s">
        <v>2088</v>
      </c>
      <c r="B426" s="17" t="s">
        <v>2089</v>
      </c>
      <c r="C426" s="17" t="s">
        <v>1520</v>
      </c>
      <c r="D426" s="17" t="s">
        <v>1521</v>
      </c>
      <c r="E426" s="17" t="s">
        <v>1522</v>
      </c>
      <c r="F426" s="17" t="s">
        <v>2090</v>
      </c>
      <c r="G426" s="17" t="s">
        <v>2091</v>
      </c>
    </row>
    <row r="427" spans="1:7" hidden="1">
      <c r="A427" s="17" t="s">
        <v>2092</v>
      </c>
      <c r="B427" s="17" t="s">
        <v>2093</v>
      </c>
      <c r="C427" s="17" t="s">
        <v>1813</v>
      </c>
      <c r="D427" s="17" t="s">
        <v>1814</v>
      </c>
      <c r="E427" s="17" t="s">
        <v>1815</v>
      </c>
      <c r="F427" s="17" t="s">
        <v>2094</v>
      </c>
      <c r="G427" s="17" t="s">
        <v>2095</v>
      </c>
    </row>
    <row r="428" spans="1:7" hidden="1">
      <c r="A428" s="17" t="s">
        <v>2096</v>
      </c>
      <c r="B428" s="17" t="s">
        <v>2097</v>
      </c>
      <c r="C428" s="17" t="s">
        <v>684</v>
      </c>
      <c r="D428" s="17" t="s">
        <v>685</v>
      </c>
      <c r="E428" s="17" t="s">
        <v>686</v>
      </c>
      <c r="F428" s="17" t="s">
        <v>2098</v>
      </c>
      <c r="G428" s="17" t="s">
        <v>2099</v>
      </c>
    </row>
    <row r="429" spans="1:7" ht="26.4" hidden="1">
      <c r="A429" s="17" t="s">
        <v>2100</v>
      </c>
      <c r="B429" s="17" t="s">
        <v>2101</v>
      </c>
      <c r="C429" s="17" t="s">
        <v>190</v>
      </c>
      <c r="D429" s="17" t="s">
        <v>191</v>
      </c>
      <c r="E429" s="17" t="s">
        <v>192</v>
      </c>
      <c r="F429" s="17" t="s">
        <v>2102</v>
      </c>
      <c r="G429" s="17" t="s">
        <v>2103</v>
      </c>
    </row>
    <row r="430" spans="1:7" hidden="1">
      <c r="A430" s="17" t="s">
        <v>2104</v>
      </c>
      <c r="B430" s="17" t="s">
        <v>2105</v>
      </c>
      <c r="C430" s="17" t="s">
        <v>37</v>
      </c>
      <c r="D430" s="17" t="s">
        <v>1326</v>
      </c>
      <c r="E430" s="17" t="s">
        <v>39</v>
      </c>
      <c r="F430" s="17" t="s">
        <v>2106</v>
      </c>
      <c r="G430" s="17" t="s">
        <v>2107</v>
      </c>
    </row>
    <row r="431" spans="1:7" hidden="1">
      <c r="A431" s="17" t="s">
        <v>2108</v>
      </c>
      <c r="B431" s="17" t="s">
        <v>2109</v>
      </c>
      <c r="C431" s="17" t="s">
        <v>2110</v>
      </c>
      <c r="D431" s="17" t="s">
        <v>2111</v>
      </c>
      <c r="E431" s="17" t="s">
        <v>2112</v>
      </c>
      <c r="F431" s="17" t="s">
        <v>2113</v>
      </c>
      <c r="G431" s="17" t="s">
        <v>2114</v>
      </c>
    </row>
    <row r="432" spans="1:7" hidden="1">
      <c r="A432" s="17" t="s">
        <v>2115</v>
      </c>
      <c r="B432" s="17" t="s">
        <v>2116</v>
      </c>
      <c r="C432" s="17" t="s">
        <v>2117</v>
      </c>
      <c r="D432" s="17" t="s">
        <v>2118</v>
      </c>
      <c r="E432" s="17" t="s">
        <v>2119</v>
      </c>
      <c r="F432" s="17" t="s">
        <v>2120</v>
      </c>
      <c r="G432" s="17" t="s">
        <v>2121</v>
      </c>
    </row>
    <row r="433" spans="1:7" hidden="1">
      <c r="A433" s="17" t="s">
        <v>2122</v>
      </c>
      <c r="B433" s="17" t="s">
        <v>2123</v>
      </c>
      <c r="C433" s="17" t="s">
        <v>956</v>
      </c>
      <c r="D433" s="17" t="s">
        <v>957</v>
      </c>
      <c r="E433" s="17" t="s">
        <v>958</v>
      </c>
      <c r="F433" s="17" t="s">
        <v>2124</v>
      </c>
      <c r="G433" s="17" t="s">
        <v>2125</v>
      </c>
    </row>
    <row r="434" spans="1:7" hidden="1">
      <c r="A434" s="17" t="s">
        <v>2126</v>
      </c>
      <c r="B434" s="17" t="s">
        <v>2127</v>
      </c>
      <c r="C434" s="17" t="s">
        <v>2117</v>
      </c>
      <c r="D434" s="17" t="s">
        <v>2118</v>
      </c>
      <c r="E434" s="17" t="s">
        <v>2119</v>
      </c>
      <c r="F434" s="17" t="s">
        <v>2128</v>
      </c>
      <c r="G434" s="17" t="s">
        <v>2129</v>
      </c>
    </row>
    <row r="435" spans="1:7" ht="26.4" hidden="1">
      <c r="A435" s="17" t="s">
        <v>2130</v>
      </c>
      <c r="B435" s="17" t="s">
        <v>2131</v>
      </c>
      <c r="C435" s="17" t="s">
        <v>677</v>
      </c>
      <c r="D435" s="17" t="s">
        <v>678</v>
      </c>
      <c r="E435" s="17" t="s">
        <v>679</v>
      </c>
      <c r="F435" s="17" t="s">
        <v>2132</v>
      </c>
      <c r="G435" s="17" t="s">
        <v>2133</v>
      </c>
    </row>
    <row r="436" spans="1:7" hidden="1">
      <c r="A436" s="17" t="s">
        <v>1069</v>
      </c>
      <c r="B436" s="17" t="s">
        <v>1070</v>
      </c>
      <c r="C436" s="17" t="s">
        <v>65</v>
      </c>
      <c r="D436" s="17" t="s">
        <v>66</v>
      </c>
      <c r="E436" s="17" t="s">
        <v>67</v>
      </c>
      <c r="F436" s="17" t="s">
        <v>1071</v>
      </c>
      <c r="G436" s="17" t="s">
        <v>1750</v>
      </c>
    </row>
    <row r="437" spans="1:7" ht="26.4" hidden="1">
      <c r="A437" s="17" t="s">
        <v>2134</v>
      </c>
      <c r="B437" s="17" t="s">
        <v>1154</v>
      </c>
      <c r="C437" s="17" t="s">
        <v>894</v>
      </c>
      <c r="D437" s="17" t="s">
        <v>895</v>
      </c>
      <c r="E437" s="17" t="s">
        <v>896</v>
      </c>
      <c r="F437" s="17" t="s">
        <v>1155</v>
      </c>
      <c r="G437" s="17" t="s">
        <v>1300</v>
      </c>
    </row>
    <row r="438" spans="1:7" hidden="1">
      <c r="A438" s="17" t="s">
        <v>2135</v>
      </c>
      <c r="B438" s="17" t="s">
        <v>2136</v>
      </c>
      <c r="C438" s="17" t="s">
        <v>37</v>
      </c>
      <c r="D438" s="17" t="s">
        <v>1326</v>
      </c>
      <c r="E438" s="17" t="s">
        <v>39</v>
      </c>
      <c r="F438" s="17" t="s">
        <v>2137</v>
      </c>
      <c r="G438" s="17" t="s">
        <v>2138</v>
      </c>
    </row>
    <row r="439" spans="1:7" hidden="1">
      <c r="A439" s="17" t="s">
        <v>2139</v>
      </c>
      <c r="B439" s="17" t="s">
        <v>2140</v>
      </c>
      <c r="C439" s="17" t="s">
        <v>72</v>
      </c>
      <c r="D439" s="17" t="s">
        <v>73</v>
      </c>
      <c r="E439" s="17" t="s">
        <v>74</v>
      </c>
      <c r="F439" s="17" t="s">
        <v>2141</v>
      </c>
      <c r="G439" s="17" t="s">
        <v>2142</v>
      </c>
    </row>
    <row r="440" spans="1:7" hidden="1">
      <c r="A440" s="17" t="s">
        <v>2143</v>
      </c>
      <c r="B440" s="17" t="s">
        <v>2144</v>
      </c>
      <c r="C440" s="17" t="s">
        <v>2145</v>
      </c>
      <c r="D440" s="17" t="s">
        <v>2146</v>
      </c>
      <c r="E440" s="17" t="s">
        <v>2147</v>
      </c>
      <c r="F440" s="17" t="s">
        <v>2148</v>
      </c>
      <c r="G440" s="17" t="s">
        <v>2149</v>
      </c>
    </row>
    <row r="441" spans="1:7" hidden="1">
      <c r="A441" s="17" t="s">
        <v>2150</v>
      </c>
      <c r="B441" s="17" t="s">
        <v>2151</v>
      </c>
      <c r="C441" s="17" t="s">
        <v>72</v>
      </c>
      <c r="D441" s="17" t="s">
        <v>73</v>
      </c>
      <c r="E441" s="17" t="s">
        <v>74</v>
      </c>
      <c r="F441" s="17" t="s">
        <v>2152</v>
      </c>
      <c r="G441" s="17" t="s">
        <v>2153</v>
      </c>
    </row>
    <row r="442" spans="1:7" hidden="1">
      <c r="A442" s="17" t="s">
        <v>2154</v>
      </c>
      <c r="B442" s="17" t="s">
        <v>2155</v>
      </c>
      <c r="C442" s="17" t="s">
        <v>1199</v>
      </c>
      <c r="D442" s="17" t="s">
        <v>1200</v>
      </c>
      <c r="E442" s="17" t="s">
        <v>1201</v>
      </c>
      <c r="F442" s="17" t="s">
        <v>2156</v>
      </c>
      <c r="G442" s="17" t="s">
        <v>2157</v>
      </c>
    </row>
    <row r="443" spans="1:7" hidden="1">
      <c r="A443" s="17" t="s">
        <v>2158</v>
      </c>
      <c r="B443" s="17" t="s">
        <v>2159</v>
      </c>
      <c r="C443" s="17" t="s">
        <v>846</v>
      </c>
      <c r="D443" s="17" t="s">
        <v>847</v>
      </c>
      <c r="E443" s="17" t="s">
        <v>848</v>
      </c>
      <c r="F443" s="17" t="s">
        <v>2160</v>
      </c>
      <c r="G443" s="17" t="s">
        <v>2161</v>
      </c>
    </row>
    <row r="444" spans="1:7" ht="26.4" hidden="1">
      <c r="A444" s="17" t="s">
        <v>2162</v>
      </c>
      <c r="B444" s="17" t="s">
        <v>2163</v>
      </c>
      <c r="C444" s="17" t="s">
        <v>640</v>
      </c>
      <c r="D444" s="17" t="s">
        <v>398</v>
      </c>
      <c r="E444" s="17" t="s">
        <v>399</v>
      </c>
      <c r="F444" s="17" t="s">
        <v>2164</v>
      </c>
      <c r="G444" s="17" t="s">
        <v>2165</v>
      </c>
    </row>
    <row r="445" spans="1:7" ht="26.4" hidden="1">
      <c r="A445" s="17" t="s">
        <v>892</v>
      </c>
      <c r="B445" s="17" t="s">
        <v>893</v>
      </c>
      <c r="C445" s="17" t="s">
        <v>894</v>
      </c>
      <c r="D445" s="17" t="s">
        <v>895</v>
      </c>
      <c r="E445" s="17" t="s">
        <v>896</v>
      </c>
      <c r="F445" s="17" t="s">
        <v>897</v>
      </c>
      <c r="G445" s="17" t="s">
        <v>2166</v>
      </c>
    </row>
    <row r="446" spans="1:7" hidden="1">
      <c r="A446" s="17" t="s">
        <v>2167</v>
      </c>
      <c r="B446" s="17" t="s">
        <v>2168</v>
      </c>
      <c r="C446" s="17" t="s">
        <v>726</v>
      </c>
      <c r="D446" s="17" t="s">
        <v>727</v>
      </c>
      <c r="E446" s="17" t="s">
        <v>728</v>
      </c>
      <c r="F446" s="17" t="s">
        <v>2169</v>
      </c>
      <c r="G446" s="17" t="s">
        <v>2170</v>
      </c>
    </row>
    <row r="447" spans="1:7" hidden="1">
      <c r="A447" s="17" t="s">
        <v>2171</v>
      </c>
      <c r="B447" s="17" t="s">
        <v>2172</v>
      </c>
      <c r="C447" s="17" t="s">
        <v>2173</v>
      </c>
      <c r="D447" s="17" t="s">
        <v>2174</v>
      </c>
      <c r="E447" s="17" t="s">
        <v>2175</v>
      </c>
      <c r="F447" s="17" t="s">
        <v>2176</v>
      </c>
      <c r="G447" s="17" t="s">
        <v>2177</v>
      </c>
    </row>
    <row r="448" spans="1:7" hidden="1">
      <c r="A448" s="17" t="s">
        <v>2178</v>
      </c>
      <c r="B448" s="17" t="s">
        <v>2179</v>
      </c>
      <c r="C448" s="17" t="s">
        <v>2180</v>
      </c>
      <c r="D448" s="17" t="s">
        <v>2181</v>
      </c>
      <c r="E448" s="17" t="s">
        <v>2182</v>
      </c>
      <c r="F448" s="17" t="s">
        <v>2183</v>
      </c>
      <c r="G448" s="17" t="s">
        <v>2184</v>
      </c>
    </row>
    <row r="449" spans="1:7" hidden="1">
      <c r="A449" s="17" t="s">
        <v>2185</v>
      </c>
      <c r="B449" s="17" t="s">
        <v>2186</v>
      </c>
      <c r="C449" s="17" t="s">
        <v>2017</v>
      </c>
      <c r="D449" s="17" t="s">
        <v>2018</v>
      </c>
      <c r="E449" s="17" t="s">
        <v>2019</v>
      </c>
      <c r="F449" s="17" t="s">
        <v>2187</v>
      </c>
      <c r="G449" s="17" t="s">
        <v>2188</v>
      </c>
    </row>
    <row r="450" spans="1:7" ht="26.4" hidden="1">
      <c r="A450" s="17" t="s">
        <v>2189</v>
      </c>
      <c r="B450" s="17" t="s">
        <v>2190</v>
      </c>
      <c r="C450" s="17" t="s">
        <v>2191</v>
      </c>
      <c r="D450" s="17" t="s">
        <v>2192</v>
      </c>
      <c r="E450" s="17" t="s">
        <v>2193</v>
      </c>
      <c r="F450" s="17" t="s">
        <v>2194</v>
      </c>
      <c r="G450" s="17" t="s">
        <v>2195</v>
      </c>
    </row>
    <row r="451" spans="1:7" hidden="1">
      <c r="A451" s="17" t="s">
        <v>2196</v>
      </c>
      <c r="B451" s="17" t="s">
        <v>2197</v>
      </c>
      <c r="C451" s="17" t="s">
        <v>790</v>
      </c>
      <c r="D451" s="17" t="s">
        <v>791</v>
      </c>
      <c r="E451" s="17" t="s">
        <v>792</v>
      </c>
      <c r="F451" s="17" t="s">
        <v>2198</v>
      </c>
      <c r="G451" s="17" t="s">
        <v>2199</v>
      </c>
    </row>
    <row r="452" spans="1:7" hidden="1">
      <c r="A452" s="17" t="s">
        <v>2200</v>
      </c>
      <c r="B452" s="17" t="s">
        <v>2201</v>
      </c>
      <c r="C452" s="17" t="s">
        <v>2202</v>
      </c>
      <c r="D452" s="17" t="s">
        <v>2203</v>
      </c>
      <c r="E452" s="17" t="s">
        <v>2204</v>
      </c>
      <c r="F452" s="17" t="s">
        <v>2205</v>
      </c>
      <c r="G452" s="17" t="s">
        <v>2206</v>
      </c>
    </row>
    <row r="453" spans="1:7" hidden="1">
      <c r="A453" s="17" t="s">
        <v>2207</v>
      </c>
      <c r="B453" s="17" t="s">
        <v>2208</v>
      </c>
      <c r="C453" s="17" t="s">
        <v>566</v>
      </c>
      <c r="D453" s="17" t="s">
        <v>567</v>
      </c>
      <c r="E453" s="17" t="s">
        <v>568</v>
      </c>
      <c r="F453" s="17" t="s">
        <v>2209</v>
      </c>
      <c r="G453" s="17" t="s">
        <v>2210</v>
      </c>
    </row>
    <row r="454" spans="1:7" hidden="1">
      <c r="A454" s="17" t="s">
        <v>2211</v>
      </c>
      <c r="B454" s="17" t="s">
        <v>2212</v>
      </c>
      <c r="C454" s="17" t="s">
        <v>383</v>
      </c>
      <c r="D454" s="17" t="s">
        <v>384</v>
      </c>
      <c r="E454" s="17" t="s">
        <v>385</v>
      </c>
      <c r="F454" s="17" t="s">
        <v>2213</v>
      </c>
      <c r="G454" s="17" t="s">
        <v>2214</v>
      </c>
    </row>
    <row r="455" spans="1:7" ht="26.4" hidden="1">
      <c r="A455" s="17" t="s">
        <v>2215</v>
      </c>
      <c r="B455" s="17" t="s">
        <v>2216</v>
      </c>
      <c r="C455" s="17" t="s">
        <v>2217</v>
      </c>
      <c r="D455" s="17" t="s">
        <v>2218</v>
      </c>
      <c r="E455" s="17" t="s">
        <v>2219</v>
      </c>
      <c r="F455" s="17" t="s">
        <v>2220</v>
      </c>
      <c r="G455" s="17" t="s">
        <v>2221</v>
      </c>
    </row>
    <row r="456" spans="1:7" hidden="1">
      <c r="A456" s="17" t="s">
        <v>2222</v>
      </c>
      <c r="B456" s="17" t="s">
        <v>2223</v>
      </c>
      <c r="C456" s="17" t="s">
        <v>304</v>
      </c>
      <c r="D456" s="17" t="s">
        <v>305</v>
      </c>
      <c r="E456" s="17" t="s">
        <v>306</v>
      </c>
      <c r="F456" s="17" t="s">
        <v>2224</v>
      </c>
      <c r="G456" s="17" t="s">
        <v>2225</v>
      </c>
    </row>
    <row r="457" spans="1:7" hidden="1">
      <c r="A457" s="17" t="s">
        <v>2226</v>
      </c>
      <c r="B457" s="17" t="s">
        <v>2227</v>
      </c>
      <c r="C457" s="17" t="s">
        <v>1427</v>
      </c>
      <c r="D457" s="17" t="s">
        <v>1428</v>
      </c>
      <c r="E457" s="17" t="s">
        <v>1429</v>
      </c>
      <c r="F457" s="17" t="s">
        <v>2228</v>
      </c>
      <c r="G457" s="17" t="s">
        <v>2229</v>
      </c>
    </row>
    <row r="458" spans="1:7" hidden="1">
      <c r="A458" s="17" t="s">
        <v>2230</v>
      </c>
      <c r="B458" s="17" t="s">
        <v>2231</v>
      </c>
      <c r="C458" s="17" t="s">
        <v>1712</v>
      </c>
      <c r="D458" s="17" t="s">
        <v>1713</v>
      </c>
      <c r="E458" s="17" t="s">
        <v>1714</v>
      </c>
      <c r="F458" s="17" t="s">
        <v>2232</v>
      </c>
      <c r="G458" s="17" t="s">
        <v>2233</v>
      </c>
    </row>
    <row r="459" spans="1:7" ht="26.4" hidden="1">
      <c r="A459" s="17" t="s">
        <v>2234</v>
      </c>
      <c r="B459" s="17" t="s">
        <v>1404</v>
      </c>
      <c r="C459" s="17" t="s">
        <v>894</v>
      </c>
      <c r="D459" s="17" t="s">
        <v>895</v>
      </c>
      <c r="E459" s="17" t="s">
        <v>896</v>
      </c>
      <c r="F459" s="17" t="s">
        <v>1405</v>
      </c>
      <c r="G459" s="17" t="s">
        <v>1406</v>
      </c>
    </row>
    <row r="460" spans="1:7" hidden="1">
      <c r="A460" s="17" t="s">
        <v>731</v>
      </c>
      <c r="B460" s="17" t="s">
        <v>732</v>
      </c>
      <c r="C460" s="17" t="s">
        <v>311</v>
      </c>
      <c r="D460" s="17" t="s">
        <v>312</v>
      </c>
      <c r="E460" s="17" t="s">
        <v>313</v>
      </c>
      <c r="F460" s="17" t="s">
        <v>2235</v>
      </c>
      <c r="G460" s="17" t="s">
        <v>2236</v>
      </c>
    </row>
    <row r="461" spans="1:7" hidden="1">
      <c r="A461" s="17" t="s">
        <v>2237</v>
      </c>
      <c r="B461" s="17" t="s">
        <v>2238</v>
      </c>
      <c r="C461" s="17" t="s">
        <v>1409</v>
      </c>
      <c r="D461" s="17" t="s">
        <v>1410</v>
      </c>
      <c r="E461" s="17" t="s">
        <v>1411</v>
      </c>
      <c r="F461" s="17" t="s">
        <v>2239</v>
      </c>
      <c r="G461" s="17" t="s">
        <v>2240</v>
      </c>
    </row>
    <row r="462" spans="1:7" hidden="1">
      <c r="A462" s="17" t="s">
        <v>2241</v>
      </c>
      <c r="B462" s="17" t="s">
        <v>2242</v>
      </c>
      <c r="C462" s="17" t="s">
        <v>921</v>
      </c>
      <c r="D462" s="17" t="s">
        <v>922</v>
      </c>
      <c r="E462" s="17" t="s">
        <v>923</v>
      </c>
      <c r="F462" s="17" t="s">
        <v>2243</v>
      </c>
      <c r="G462" s="17" t="s">
        <v>2244</v>
      </c>
    </row>
    <row r="463" spans="1:7" hidden="1">
      <c r="A463" s="17" t="s">
        <v>2245</v>
      </c>
      <c r="B463" s="17" t="s">
        <v>2246</v>
      </c>
      <c r="C463" s="17" t="s">
        <v>2247</v>
      </c>
      <c r="D463" s="17" t="s">
        <v>2248</v>
      </c>
      <c r="E463" s="17" t="s">
        <v>2249</v>
      </c>
      <c r="F463" s="17" t="s">
        <v>2250</v>
      </c>
      <c r="G463" s="17" t="s">
        <v>2251</v>
      </c>
    </row>
    <row r="464" spans="1:7" hidden="1">
      <c r="A464" s="17" t="s">
        <v>2252</v>
      </c>
      <c r="B464" s="17" t="s">
        <v>2253</v>
      </c>
      <c r="C464" s="17" t="s">
        <v>210</v>
      </c>
      <c r="D464" s="17" t="s">
        <v>211</v>
      </c>
      <c r="E464" s="17" t="s">
        <v>212</v>
      </c>
      <c r="F464" s="17" t="s">
        <v>2254</v>
      </c>
      <c r="G464" s="17" t="s">
        <v>2255</v>
      </c>
    </row>
    <row r="465" spans="1:7" hidden="1">
      <c r="A465" s="17" t="s">
        <v>2256</v>
      </c>
      <c r="B465" s="17" t="s">
        <v>2257</v>
      </c>
      <c r="C465" s="17" t="s">
        <v>383</v>
      </c>
      <c r="D465" s="17" t="s">
        <v>384</v>
      </c>
      <c r="E465" s="17" t="s">
        <v>385</v>
      </c>
      <c r="F465" s="17" t="s">
        <v>2258</v>
      </c>
      <c r="G465" s="17" t="s">
        <v>2259</v>
      </c>
    </row>
    <row r="466" spans="1:7" ht="26.4" hidden="1">
      <c r="A466" s="17" t="s">
        <v>2260</v>
      </c>
      <c r="B466" s="17" t="s">
        <v>2261</v>
      </c>
      <c r="C466" s="17" t="s">
        <v>2191</v>
      </c>
      <c r="D466" s="17" t="s">
        <v>2192</v>
      </c>
      <c r="E466" s="17" t="s">
        <v>2193</v>
      </c>
      <c r="F466" s="17" t="s">
        <v>2262</v>
      </c>
      <c r="G466" s="17" t="s">
        <v>2263</v>
      </c>
    </row>
    <row r="467" spans="1:7" hidden="1">
      <c r="A467" s="17" t="s">
        <v>2264</v>
      </c>
      <c r="B467" s="17" t="s">
        <v>2265</v>
      </c>
      <c r="C467" s="17" t="s">
        <v>584</v>
      </c>
      <c r="D467" s="17" t="s">
        <v>585</v>
      </c>
      <c r="E467" s="17" t="s">
        <v>586</v>
      </c>
      <c r="F467" s="17" t="s">
        <v>2266</v>
      </c>
      <c r="G467" s="17" t="s">
        <v>2267</v>
      </c>
    </row>
    <row r="468" spans="1:7" hidden="1">
      <c r="A468" s="17" t="s">
        <v>1878</v>
      </c>
      <c r="B468" s="17" t="s">
        <v>845</v>
      </c>
      <c r="C468" s="17" t="s">
        <v>1705</v>
      </c>
      <c r="D468" s="17" t="s">
        <v>1706</v>
      </c>
      <c r="E468" s="17" t="s">
        <v>1707</v>
      </c>
      <c r="F468" s="17" t="s">
        <v>849</v>
      </c>
      <c r="G468" s="17" t="s">
        <v>1834</v>
      </c>
    </row>
    <row r="469" spans="1:7" hidden="1">
      <c r="A469" s="17" t="s">
        <v>2268</v>
      </c>
      <c r="B469" s="17" t="s">
        <v>2269</v>
      </c>
      <c r="C469" s="17" t="s">
        <v>1247</v>
      </c>
      <c r="D469" s="17" t="s">
        <v>1248</v>
      </c>
      <c r="E469" s="17" t="s">
        <v>1249</v>
      </c>
      <c r="F469" s="17" t="s">
        <v>2270</v>
      </c>
      <c r="G469" s="17" t="s">
        <v>2271</v>
      </c>
    </row>
    <row r="470" spans="1:7" ht="26.4" hidden="1">
      <c r="A470" s="17" t="s">
        <v>2022</v>
      </c>
      <c r="B470" s="17" t="s">
        <v>189</v>
      </c>
      <c r="C470" s="17" t="s">
        <v>190</v>
      </c>
      <c r="D470" s="17" t="s">
        <v>191</v>
      </c>
      <c r="E470" s="17" t="s">
        <v>192</v>
      </c>
      <c r="F470" s="17" t="s">
        <v>193</v>
      </c>
      <c r="G470" s="17" t="s">
        <v>194</v>
      </c>
    </row>
    <row r="471" spans="1:7" hidden="1">
      <c r="A471" s="17" t="s">
        <v>2272</v>
      </c>
      <c r="B471" s="17" t="s">
        <v>2273</v>
      </c>
      <c r="C471" s="17" t="s">
        <v>1998</v>
      </c>
      <c r="D471" s="17" t="s">
        <v>2274</v>
      </c>
      <c r="E471" s="17" t="s">
        <v>2000</v>
      </c>
      <c r="F471" s="17" t="s">
        <v>2275</v>
      </c>
      <c r="G471" s="17" t="s">
        <v>2276</v>
      </c>
    </row>
    <row r="472" spans="1:7" hidden="1">
      <c r="A472" s="17" t="s">
        <v>2277</v>
      </c>
      <c r="B472" s="17" t="s">
        <v>2278</v>
      </c>
      <c r="C472" s="17" t="s">
        <v>16</v>
      </c>
      <c r="D472" s="17" t="s">
        <v>17</v>
      </c>
      <c r="E472" s="17" t="s">
        <v>18</v>
      </c>
      <c r="F472" s="17" t="s">
        <v>2279</v>
      </c>
      <c r="G472" s="17" t="s">
        <v>2280</v>
      </c>
    </row>
    <row r="473" spans="1:7" hidden="1">
      <c r="A473" s="17" t="s">
        <v>2281</v>
      </c>
      <c r="B473" s="17" t="s">
        <v>2282</v>
      </c>
      <c r="C473" s="17" t="s">
        <v>2283</v>
      </c>
      <c r="D473" s="17" t="s">
        <v>2284</v>
      </c>
      <c r="E473" s="17" t="s">
        <v>2285</v>
      </c>
      <c r="F473" s="17" t="s">
        <v>2286</v>
      </c>
      <c r="G473" s="17" t="s">
        <v>2287</v>
      </c>
    </row>
    <row r="474" spans="1:7" ht="26.4" hidden="1">
      <c r="A474" s="17" t="s">
        <v>2234</v>
      </c>
      <c r="B474" s="17" t="s">
        <v>1404</v>
      </c>
      <c r="C474" s="17" t="s">
        <v>894</v>
      </c>
      <c r="D474" s="17" t="s">
        <v>895</v>
      </c>
      <c r="E474" s="17" t="s">
        <v>896</v>
      </c>
      <c r="F474" s="17" t="s">
        <v>1405</v>
      </c>
      <c r="G474" s="17" t="s">
        <v>1432</v>
      </c>
    </row>
    <row r="475" spans="1:7" hidden="1">
      <c r="A475" s="17" t="s">
        <v>2288</v>
      </c>
      <c r="B475" s="17" t="s">
        <v>2289</v>
      </c>
      <c r="C475" s="17" t="s">
        <v>2290</v>
      </c>
      <c r="D475" s="17" t="s">
        <v>2291</v>
      </c>
      <c r="E475" s="17" t="s">
        <v>2292</v>
      </c>
      <c r="F475" s="17" t="s">
        <v>2293</v>
      </c>
      <c r="G475" s="17" t="s">
        <v>2294</v>
      </c>
    </row>
    <row r="476" spans="1:7" hidden="1">
      <c r="A476" s="17" t="s">
        <v>2295</v>
      </c>
      <c r="B476" s="17" t="s">
        <v>2296</v>
      </c>
      <c r="C476" s="17" t="s">
        <v>390</v>
      </c>
      <c r="D476" s="17" t="s">
        <v>391</v>
      </c>
      <c r="E476" s="17" t="s">
        <v>392</v>
      </c>
      <c r="F476" s="17" t="s">
        <v>2297</v>
      </c>
      <c r="G476" s="17" t="s">
        <v>2298</v>
      </c>
    </row>
    <row r="477" spans="1:7" hidden="1">
      <c r="A477" s="17" t="s">
        <v>2299</v>
      </c>
      <c r="B477" s="17" t="s">
        <v>2300</v>
      </c>
      <c r="C477" s="17" t="s">
        <v>2301</v>
      </c>
      <c r="D477" s="17" t="s">
        <v>968</v>
      </c>
      <c r="E477" s="17" t="s">
        <v>969</v>
      </c>
      <c r="F477" s="17" t="s">
        <v>2302</v>
      </c>
      <c r="G477" s="17" t="s">
        <v>2303</v>
      </c>
    </row>
    <row r="478" spans="1:7" hidden="1">
      <c r="A478" s="17" t="s">
        <v>2304</v>
      </c>
      <c r="B478" s="17" t="s">
        <v>2305</v>
      </c>
      <c r="C478" s="17" t="s">
        <v>1705</v>
      </c>
      <c r="D478" s="17" t="s">
        <v>1706</v>
      </c>
      <c r="E478" s="17" t="s">
        <v>1707</v>
      </c>
      <c r="F478" s="17" t="s">
        <v>2306</v>
      </c>
      <c r="G478" s="17" t="s">
        <v>2307</v>
      </c>
    </row>
    <row r="479" spans="1:7" hidden="1">
      <c r="A479" s="17" t="s">
        <v>2308</v>
      </c>
      <c r="B479" s="17" t="s">
        <v>2309</v>
      </c>
      <c r="C479" s="17" t="s">
        <v>2310</v>
      </c>
      <c r="D479" s="17" t="s">
        <v>2311</v>
      </c>
      <c r="E479" s="17" t="s">
        <v>2312</v>
      </c>
      <c r="F479" s="17" t="s">
        <v>2313</v>
      </c>
      <c r="G479" s="17" t="s">
        <v>2314</v>
      </c>
    </row>
    <row r="480" spans="1:7" hidden="1">
      <c r="A480" s="17" t="s">
        <v>2083</v>
      </c>
      <c r="B480" s="17" t="s">
        <v>852</v>
      </c>
      <c r="C480" s="17" t="s">
        <v>65</v>
      </c>
      <c r="D480" s="17" t="s">
        <v>66</v>
      </c>
      <c r="E480" s="17" t="s">
        <v>67</v>
      </c>
      <c r="F480" s="17" t="s">
        <v>853</v>
      </c>
      <c r="G480" s="17" t="s">
        <v>854</v>
      </c>
    </row>
    <row r="481" spans="1:7" hidden="1">
      <c r="A481" s="17" t="s">
        <v>2315</v>
      </c>
      <c r="B481" s="17" t="s">
        <v>2316</v>
      </c>
      <c r="C481" s="17" t="s">
        <v>766</v>
      </c>
      <c r="D481" s="17" t="s">
        <v>767</v>
      </c>
      <c r="E481" s="17" t="s">
        <v>768</v>
      </c>
      <c r="F481" s="17" t="s">
        <v>2317</v>
      </c>
      <c r="G481" s="17" t="s">
        <v>2318</v>
      </c>
    </row>
    <row r="482" spans="1:7" hidden="1">
      <c r="A482" s="17" t="s">
        <v>2319</v>
      </c>
      <c r="B482" s="17" t="s">
        <v>2320</v>
      </c>
      <c r="C482" s="17" t="s">
        <v>161</v>
      </c>
      <c r="D482" s="17" t="s">
        <v>162</v>
      </c>
      <c r="E482" s="17" t="s">
        <v>163</v>
      </c>
      <c r="F482" s="17" t="s">
        <v>2321</v>
      </c>
      <c r="G482" s="17" t="s">
        <v>2322</v>
      </c>
    </row>
    <row r="483" spans="1:7" hidden="1">
      <c r="A483" s="17" t="s">
        <v>2323</v>
      </c>
      <c r="B483" s="17" t="s">
        <v>2324</v>
      </c>
      <c r="C483" s="17" t="s">
        <v>2325</v>
      </c>
      <c r="D483" s="17" t="s">
        <v>94</v>
      </c>
      <c r="E483" s="17" t="s">
        <v>95</v>
      </c>
      <c r="F483" s="17" t="s">
        <v>2326</v>
      </c>
      <c r="G483" s="17" t="s">
        <v>2327</v>
      </c>
    </row>
    <row r="484" spans="1:7" ht="26.4" hidden="1">
      <c r="A484" s="17" t="s">
        <v>1845</v>
      </c>
      <c r="B484" s="17" t="s">
        <v>1842</v>
      </c>
      <c r="C484" s="17" t="s">
        <v>23</v>
      </c>
      <c r="D484" s="17" t="s">
        <v>24</v>
      </c>
      <c r="E484" s="17" t="s">
        <v>25</v>
      </c>
      <c r="F484" s="17" t="s">
        <v>1843</v>
      </c>
      <c r="G484" s="17" t="s">
        <v>1883</v>
      </c>
    </row>
    <row r="485" spans="1:7" hidden="1">
      <c r="A485" s="17" t="s">
        <v>2328</v>
      </c>
      <c r="B485" s="17" t="s">
        <v>2329</v>
      </c>
      <c r="C485" s="17" t="s">
        <v>903</v>
      </c>
      <c r="D485" s="17" t="s">
        <v>904</v>
      </c>
      <c r="E485" s="17" t="s">
        <v>905</v>
      </c>
      <c r="F485" s="17" t="s">
        <v>2330</v>
      </c>
      <c r="G485" s="17" t="s">
        <v>2331</v>
      </c>
    </row>
    <row r="486" spans="1:7" hidden="1">
      <c r="A486" s="17" t="s">
        <v>2332</v>
      </c>
      <c r="B486" s="17" t="s">
        <v>2333</v>
      </c>
      <c r="C486" s="17" t="s">
        <v>1009</v>
      </c>
      <c r="D486" s="17" t="s">
        <v>1010</v>
      </c>
      <c r="E486" s="17" t="s">
        <v>1011</v>
      </c>
      <c r="F486" s="17" t="s">
        <v>2334</v>
      </c>
      <c r="G486" s="17" t="s">
        <v>2335</v>
      </c>
    </row>
    <row r="487" spans="1:7" hidden="1">
      <c r="A487" s="17" t="s">
        <v>2336</v>
      </c>
      <c r="B487" s="17" t="s">
        <v>2337</v>
      </c>
      <c r="C487" s="17" t="s">
        <v>868</v>
      </c>
      <c r="D487" s="17" t="s">
        <v>478</v>
      </c>
      <c r="E487" s="17" t="s">
        <v>869</v>
      </c>
      <c r="F487" s="17" t="s">
        <v>2338</v>
      </c>
      <c r="G487" s="17" t="s">
        <v>2339</v>
      </c>
    </row>
    <row r="488" spans="1:7" hidden="1">
      <c r="A488" s="17" t="s">
        <v>2340</v>
      </c>
      <c r="B488" s="17" t="s">
        <v>2341</v>
      </c>
      <c r="C488" s="17" t="s">
        <v>766</v>
      </c>
      <c r="D488" s="17" t="s">
        <v>767</v>
      </c>
      <c r="E488" s="17" t="s">
        <v>768</v>
      </c>
      <c r="F488" s="17" t="s">
        <v>2342</v>
      </c>
      <c r="G488" s="17" t="s">
        <v>2343</v>
      </c>
    </row>
    <row r="489" spans="1:7" ht="26.4" hidden="1">
      <c r="A489" s="17" t="s">
        <v>2344</v>
      </c>
      <c r="B489" s="17" t="s">
        <v>690</v>
      </c>
      <c r="C489" s="17" t="s">
        <v>44</v>
      </c>
      <c r="D489" s="17" t="s">
        <v>45</v>
      </c>
      <c r="E489" s="17" t="s">
        <v>46</v>
      </c>
      <c r="F489" s="17" t="s">
        <v>691</v>
      </c>
      <c r="G489" s="17" t="s">
        <v>2345</v>
      </c>
    </row>
    <row r="490" spans="1:7" ht="26.4" hidden="1">
      <c r="A490" s="17" t="s">
        <v>2346</v>
      </c>
      <c r="B490" s="17" t="s">
        <v>2347</v>
      </c>
      <c r="C490" s="17" t="s">
        <v>397</v>
      </c>
      <c r="D490" s="17" t="s">
        <v>398</v>
      </c>
      <c r="E490" s="17" t="s">
        <v>399</v>
      </c>
      <c r="F490" s="17" t="s">
        <v>2348</v>
      </c>
      <c r="G490" s="17" t="s">
        <v>2349</v>
      </c>
    </row>
    <row r="491" spans="1:7" ht="26.4" hidden="1">
      <c r="A491" s="17" t="s">
        <v>1564</v>
      </c>
      <c r="B491" s="17" t="s">
        <v>1565</v>
      </c>
      <c r="C491" s="17" t="s">
        <v>1025</v>
      </c>
      <c r="D491" s="17" t="s">
        <v>825</v>
      </c>
      <c r="E491" s="17" t="s">
        <v>826</v>
      </c>
      <c r="F491" s="17" t="s">
        <v>1566</v>
      </c>
      <c r="G491" s="17" t="s">
        <v>2350</v>
      </c>
    </row>
    <row r="492" spans="1:7" hidden="1">
      <c r="A492" s="17" t="s">
        <v>2351</v>
      </c>
      <c r="B492" s="17" t="s">
        <v>2352</v>
      </c>
      <c r="C492" s="17" t="s">
        <v>461</v>
      </c>
      <c r="D492" s="17" t="s">
        <v>462</v>
      </c>
      <c r="E492" s="17" t="s">
        <v>463</v>
      </c>
      <c r="F492" s="17" t="s">
        <v>2353</v>
      </c>
      <c r="G492" s="17" t="s">
        <v>2354</v>
      </c>
    </row>
    <row r="493" spans="1:7" hidden="1">
      <c r="A493" s="17" t="s">
        <v>2355</v>
      </c>
      <c r="B493" s="17" t="s">
        <v>2356</v>
      </c>
      <c r="C493" s="17" t="s">
        <v>2357</v>
      </c>
      <c r="D493" s="17" t="s">
        <v>1236</v>
      </c>
      <c r="E493" s="17" t="s">
        <v>1237</v>
      </c>
      <c r="F493" s="17" t="s">
        <v>2358</v>
      </c>
      <c r="G493" s="17" t="s">
        <v>2359</v>
      </c>
    </row>
    <row r="494" spans="1:7" hidden="1">
      <c r="A494" s="17" t="s">
        <v>2360</v>
      </c>
      <c r="B494" s="17" t="s">
        <v>2361</v>
      </c>
      <c r="C494" s="17" t="s">
        <v>1107</v>
      </c>
      <c r="D494" s="17" t="s">
        <v>1108</v>
      </c>
      <c r="E494" s="17" t="s">
        <v>226</v>
      </c>
      <c r="F494" s="17" t="s">
        <v>2362</v>
      </c>
      <c r="G494" s="17" t="s">
        <v>2363</v>
      </c>
    </row>
    <row r="495" spans="1:7" hidden="1">
      <c r="A495" s="17" t="s">
        <v>2364</v>
      </c>
      <c r="B495" s="17" t="s">
        <v>2365</v>
      </c>
      <c r="C495" s="17" t="s">
        <v>2366</v>
      </c>
      <c r="D495" s="17" t="s">
        <v>2367</v>
      </c>
      <c r="E495" s="17" t="s">
        <v>2368</v>
      </c>
      <c r="F495" s="17" t="s">
        <v>2369</v>
      </c>
      <c r="G495" s="17" t="s">
        <v>2370</v>
      </c>
    </row>
    <row r="496" spans="1:7">
      <c r="A496" s="17" t="s">
        <v>2371</v>
      </c>
      <c r="B496" s="17" t="s">
        <v>2372</v>
      </c>
      <c r="C496" s="17" t="s">
        <v>338</v>
      </c>
      <c r="D496" s="17" t="s">
        <v>339</v>
      </c>
      <c r="E496" s="17" t="s">
        <v>340</v>
      </c>
      <c r="F496" s="17" t="s">
        <v>2373</v>
      </c>
      <c r="G496" s="17" t="s">
        <v>2374</v>
      </c>
    </row>
    <row r="497" spans="1:7" hidden="1">
      <c r="A497" s="17" t="s">
        <v>2375</v>
      </c>
      <c r="B497" s="17" t="s">
        <v>2376</v>
      </c>
      <c r="C497" s="17" t="s">
        <v>1520</v>
      </c>
      <c r="D497" s="17" t="s">
        <v>1521</v>
      </c>
      <c r="E497" s="17" t="s">
        <v>1522</v>
      </c>
      <c r="F497" s="17" t="s">
        <v>2377</v>
      </c>
      <c r="G497" s="17" t="s">
        <v>2378</v>
      </c>
    </row>
    <row r="498" spans="1:7" hidden="1">
      <c r="A498" s="17" t="s">
        <v>2379</v>
      </c>
      <c r="B498" s="17" t="s">
        <v>2380</v>
      </c>
      <c r="C498" s="17" t="s">
        <v>2366</v>
      </c>
      <c r="D498" s="17" t="s">
        <v>2367</v>
      </c>
      <c r="E498" s="17" t="s">
        <v>2368</v>
      </c>
      <c r="F498" s="17" t="s">
        <v>2381</v>
      </c>
      <c r="G498" s="17" t="s">
        <v>2382</v>
      </c>
    </row>
    <row r="499" spans="1:7" ht="26.4" hidden="1">
      <c r="A499" s="17" t="s">
        <v>2383</v>
      </c>
      <c r="B499" s="17" t="s">
        <v>2384</v>
      </c>
      <c r="C499" s="17" t="s">
        <v>1129</v>
      </c>
      <c r="D499" s="17" t="s">
        <v>785</v>
      </c>
      <c r="E499" s="17" t="s">
        <v>786</v>
      </c>
      <c r="F499" s="17" t="s">
        <v>2385</v>
      </c>
      <c r="G499" s="17" t="s">
        <v>2386</v>
      </c>
    </row>
    <row r="500" spans="1:7" hidden="1">
      <c r="A500" s="17" t="s">
        <v>2387</v>
      </c>
      <c r="B500" s="17" t="s">
        <v>2388</v>
      </c>
      <c r="C500" s="17" t="s">
        <v>1781</v>
      </c>
      <c r="D500" s="17" t="s">
        <v>1782</v>
      </c>
      <c r="E500" s="17" t="s">
        <v>1783</v>
      </c>
      <c r="F500" s="17" t="s">
        <v>2389</v>
      </c>
      <c r="G500" s="17" t="s">
        <v>2390</v>
      </c>
    </row>
    <row r="501" spans="1:7" hidden="1">
      <c r="A501" s="17" t="s">
        <v>2391</v>
      </c>
      <c r="B501" s="17" t="s">
        <v>2392</v>
      </c>
      <c r="C501" s="17" t="s">
        <v>121</v>
      </c>
      <c r="D501" s="17" t="s">
        <v>122</v>
      </c>
      <c r="E501" s="17" t="s">
        <v>123</v>
      </c>
      <c r="F501" s="17" t="s">
        <v>2393</v>
      </c>
      <c r="G501" s="17" t="s">
        <v>2394</v>
      </c>
    </row>
    <row r="502" spans="1:7" hidden="1">
      <c r="A502" s="17" t="s">
        <v>2395</v>
      </c>
      <c r="B502" s="17" t="s">
        <v>2396</v>
      </c>
      <c r="C502" s="17" t="s">
        <v>1166</v>
      </c>
      <c r="D502" s="17" t="s">
        <v>1167</v>
      </c>
      <c r="E502" s="17" t="s">
        <v>1168</v>
      </c>
      <c r="F502" s="17" t="s">
        <v>2397</v>
      </c>
      <c r="G502" s="17" t="s">
        <v>2398</v>
      </c>
    </row>
    <row r="503" spans="1:7" ht="26.4" hidden="1">
      <c r="A503" s="17" t="s">
        <v>1498</v>
      </c>
      <c r="B503" s="17" t="s">
        <v>1499</v>
      </c>
      <c r="C503" s="17" t="s">
        <v>397</v>
      </c>
      <c r="D503" s="17" t="s">
        <v>398</v>
      </c>
      <c r="E503" s="17" t="s">
        <v>399</v>
      </c>
      <c r="F503" s="17" t="s">
        <v>1500</v>
      </c>
      <c r="G503" s="17" t="s">
        <v>2399</v>
      </c>
    </row>
    <row r="504" spans="1:7" hidden="1">
      <c r="A504" s="17" t="s">
        <v>2400</v>
      </c>
      <c r="B504" s="17" t="s">
        <v>2401</v>
      </c>
      <c r="C504" s="17" t="s">
        <v>1076</v>
      </c>
      <c r="D504" s="17" t="s">
        <v>542</v>
      </c>
      <c r="E504" s="17" t="s">
        <v>543</v>
      </c>
      <c r="F504" s="17" t="s">
        <v>2402</v>
      </c>
      <c r="G504" s="17" t="s">
        <v>2403</v>
      </c>
    </row>
    <row r="505" spans="1:7" hidden="1">
      <c r="A505" s="17" t="s">
        <v>2404</v>
      </c>
      <c r="B505" s="17" t="s">
        <v>2405</v>
      </c>
      <c r="C505" s="17" t="s">
        <v>1813</v>
      </c>
      <c r="D505" s="17" t="s">
        <v>1814</v>
      </c>
      <c r="E505" s="17" t="s">
        <v>1815</v>
      </c>
      <c r="F505" s="17" t="s">
        <v>2406</v>
      </c>
      <c r="G505" s="17" t="s">
        <v>2407</v>
      </c>
    </row>
    <row r="506" spans="1:7" hidden="1">
      <c r="A506" s="17" t="s">
        <v>2408</v>
      </c>
      <c r="B506" s="17" t="s">
        <v>2409</v>
      </c>
      <c r="C506" s="17" t="s">
        <v>2202</v>
      </c>
      <c r="D506" s="17" t="s">
        <v>2203</v>
      </c>
      <c r="E506" s="17" t="s">
        <v>2204</v>
      </c>
      <c r="F506" s="17" t="s">
        <v>2410</v>
      </c>
      <c r="G506" s="17" t="s">
        <v>2411</v>
      </c>
    </row>
    <row r="507" spans="1:7" hidden="1">
      <c r="A507" s="17" t="s">
        <v>2412</v>
      </c>
      <c r="B507" s="17" t="s">
        <v>2413</v>
      </c>
      <c r="C507" s="17" t="s">
        <v>744</v>
      </c>
      <c r="D507" s="17" t="s">
        <v>745</v>
      </c>
      <c r="E507" s="17" t="s">
        <v>746</v>
      </c>
      <c r="F507" s="17" t="s">
        <v>2414</v>
      </c>
      <c r="G507" s="17" t="s">
        <v>2415</v>
      </c>
    </row>
    <row r="508" spans="1:7" hidden="1">
      <c r="A508" s="17" t="s">
        <v>2416</v>
      </c>
      <c r="B508" s="17" t="s">
        <v>2417</v>
      </c>
      <c r="C508" s="17" t="s">
        <v>2418</v>
      </c>
      <c r="D508" s="17" t="s">
        <v>319</v>
      </c>
      <c r="E508" s="17" t="s">
        <v>2419</v>
      </c>
      <c r="F508" s="17" t="s">
        <v>2420</v>
      </c>
      <c r="G508" s="17" t="s">
        <v>2421</v>
      </c>
    </row>
    <row r="509" spans="1:7" hidden="1">
      <c r="A509" s="17" t="s">
        <v>2422</v>
      </c>
      <c r="B509" s="17" t="s">
        <v>2423</v>
      </c>
      <c r="C509" s="17" t="s">
        <v>2424</v>
      </c>
      <c r="D509" s="17" t="s">
        <v>1010</v>
      </c>
      <c r="E509" s="17" t="s">
        <v>1011</v>
      </c>
      <c r="F509" s="17" t="s">
        <v>2425</v>
      </c>
      <c r="G509" s="17" t="s">
        <v>2426</v>
      </c>
    </row>
    <row r="510" spans="1:7" ht="26.4" hidden="1">
      <c r="A510" s="17" t="s">
        <v>2427</v>
      </c>
      <c r="B510" s="17" t="s">
        <v>1565</v>
      </c>
      <c r="C510" s="17" t="s">
        <v>1025</v>
      </c>
      <c r="D510" s="17" t="s">
        <v>825</v>
      </c>
      <c r="E510" s="17" t="s">
        <v>826</v>
      </c>
      <c r="F510" s="17" t="s">
        <v>1566</v>
      </c>
      <c r="G510" s="17" t="s">
        <v>1567</v>
      </c>
    </row>
    <row r="511" spans="1:7" hidden="1">
      <c r="A511" s="17" t="s">
        <v>2428</v>
      </c>
      <c r="B511" s="17" t="s">
        <v>2429</v>
      </c>
      <c r="C511" s="17" t="s">
        <v>2430</v>
      </c>
      <c r="D511" s="17" t="s">
        <v>1521</v>
      </c>
      <c r="E511" s="17" t="s">
        <v>1522</v>
      </c>
      <c r="F511" s="17" t="s">
        <v>2431</v>
      </c>
      <c r="G511" s="17" t="s">
        <v>2432</v>
      </c>
    </row>
    <row r="512" spans="1:7" hidden="1">
      <c r="A512" s="17" t="s">
        <v>1046</v>
      </c>
      <c r="B512" s="17" t="s">
        <v>1047</v>
      </c>
      <c r="C512" s="17" t="s">
        <v>1048</v>
      </c>
      <c r="D512" s="17" t="s">
        <v>1049</v>
      </c>
      <c r="E512" s="17" t="s">
        <v>1050</v>
      </c>
      <c r="F512" s="17" t="s">
        <v>1051</v>
      </c>
      <c r="G512" s="17" t="s">
        <v>2433</v>
      </c>
    </row>
    <row r="513" spans="1:7" hidden="1">
      <c r="A513" s="17" t="s">
        <v>2434</v>
      </c>
      <c r="B513" s="17" t="s">
        <v>2435</v>
      </c>
      <c r="C513" s="17" t="s">
        <v>1450</v>
      </c>
      <c r="D513" s="17" t="s">
        <v>122</v>
      </c>
      <c r="E513" s="17" t="s">
        <v>1451</v>
      </c>
      <c r="F513" s="17" t="s">
        <v>2436</v>
      </c>
      <c r="G513" s="17" t="s">
        <v>2437</v>
      </c>
    </row>
    <row r="514" spans="1:7" hidden="1">
      <c r="A514" s="17" t="s">
        <v>2438</v>
      </c>
      <c r="B514" s="17" t="s">
        <v>2439</v>
      </c>
      <c r="C514" s="17" t="s">
        <v>2366</v>
      </c>
      <c r="D514" s="17" t="s">
        <v>2367</v>
      </c>
      <c r="E514" s="17" t="s">
        <v>2368</v>
      </c>
      <c r="F514" s="17" t="s">
        <v>2440</v>
      </c>
      <c r="G514" s="17" t="s">
        <v>2441</v>
      </c>
    </row>
    <row r="515" spans="1:7" hidden="1">
      <c r="A515" s="17" t="s">
        <v>2442</v>
      </c>
      <c r="B515" s="17" t="s">
        <v>2443</v>
      </c>
      <c r="C515" s="17" t="s">
        <v>311</v>
      </c>
      <c r="D515" s="17" t="s">
        <v>312</v>
      </c>
      <c r="E515" s="17" t="s">
        <v>313</v>
      </c>
      <c r="F515" s="17" t="s">
        <v>2444</v>
      </c>
      <c r="G515" s="17" t="s">
        <v>2445</v>
      </c>
    </row>
    <row r="516" spans="1:7" hidden="1">
      <c r="A516" s="17" t="s">
        <v>2446</v>
      </c>
      <c r="B516" s="17" t="s">
        <v>2447</v>
      </c>
      <c r="C516" s="17" t="s">
        <v>1096</v>
      </c>
      <c r="D516" s="17" t="s">
        <v>1097</v>
      </c>
      <c r="E516" s="17" t="s">
        <v>1098</v>
      </c>
      <c r="F516" s="17" t="s">
        <v>2448</v>
      </c>
      <c r="G516" s="17" t="s">
        <v>2449</v>
      </c>
    </row>
    <row r="517" spans="1:7" hidden="1">
      <c r="A517" s="17" t="s">
        <v>2450</v>
      </c>
      <c r="B517" s="17" t="s">
        <v>2451</v>
      </c>
      <c r="C517" s="17" t="s">
        <v>2452</v>
      </c>
      <c r="D517" s="17" t="s">
        <v>2453</v>
      </c>
      <c r="E517" s="17" t="s">
        <v>2454</v>
      </c>
      <c r="F517" s="17" t="s">
        <v>2455</v>
      </c>
      <c r="G517" s="17" t="s">
        <v>2456</v>
      </c>
    </row>
    <row r="518" spans="1:7" hidden="1">
      <c r="A518" s="17" t="s">
        <v>2457</v>
      </c>
      <c r="B518" s="17" t="s">
        <v>2458</v>
      </c>
      <c r="C518" s="17" t="s">
        <v>1393</v>
      </c>
      <c r="D518" s="17" t="s">
        <v>804</v>
      </c>
      <c r="E518" s="17" t="s">
        <v>805</v>
      </c>
      <c r="F518" s="17" t="s">
        <v>2459</v>
      </c>
      <c r="G518" s="17" t="s">
        <v>2460</v>
      </c>
    </row>
    <row r="519" spans="1:7" hidden="1">
      <c r="A519" s="17" t="s">
        <v>2461</v>
      </c>
      <c r="B519" s="17" t="s">
        <v>2462</v>
      </c>
      <c r="C519" s="17" t="s">
        <v>2310</v>
      </c>
      <c r="D519" s="17" t="s">
        <v>2311</v>
      </c>
      <c r="E519" s="17" t="s">
        <v>2312</v>
      </c>
      <c r="F519" s="17" t="s">
        <v>2463</v>
      </c>
      <c r="G519" s="17" t="s">
        <v>2464</v>
      </c>
    </row>
    <row r="520" spans="1:7" hidden="1">
      <c r="A520" s="17" t="s">
        <v>2465</v>
      </c>
      <c r="B520" s="17" t="s">
        <v>2466</v>
      </c>
      <c r="C520" s="17" t="s">
        <v>2467</v>
      </c>
      <c r="D520" s="17" t="s">
        <v>697</v>
      </c>
      <c r="E520" s="17" t="s">
        <v>698</v>
      </c>
      <c r="F520" s="17" t="s">
        <v>2468</v>
      </c>
      <c r="G520" s="17" t="s">
        <v>2469</v>
      </c>
    </row>
    <row r="521" spans="1:7" hidden="1">
      <c r="A521" s="17" t="s">
        <v>2470</v>
      </c>
      <c r="B521" s="17" t="s">
        <v>2471</v>
      </c>
      <c r="C521" s="17" t="s">
        <v>2472</v>
      </c>
      <c r="D521" s="17" t="s">
        <v>2291</v>
      </c>
      <c r="E521" s="17" t="s">
        <v>869</v>
      </c>
      <c r="F521" s="17" t="s">
        <v>2473</v>
      </c>
      <c r="G521" s="17" t="s">
        <v>2474</v>
      </c>
    </row>
    <row r="522" spans="1:7" hidden="1">
      <c r="A522" s="17" t="s">
        <v>1279</v>
      </c>
      <c r="B522" s="17" t="s">
        <v>1280</v>
      </c>
      <c r="C522" s="17" t="s">
        <v>495</v>
      </c>
      <c r="D522" s="17" t="s">
        <v>184</v>
      </c>
      <c r="E522" s="17" t="s">
        <v>185</v>
      </c>
      <c r="F522" s="17" t="s">
        <v>1281</v>
      </c>
      <c r="G522" s="17" t="s">
        <v>2475</v>
      </c>
    </row>
    <row r="523" spans="1:7" hidden="1">
      <c r="A523" s="17" t="s">
        <v>2476</v>
      </c>
      <c r="B523" s="17" t="s">
        <v>1280</v>
      </c>
      <c r="C523" s="17" t="s">
        <v>495</v>
      </c>
      <c r="D523" s="17" t="s">
        <v>184</v>
      </c>
      <c r="E523" s="17" t="s">
        <v>185</v>
      </c>
      <c r="F523" s="17" t="s">
        <v>1281</v>
      </c>
      <c r="G523" s="17" t="s">
        <v>2475</v>
      </c>
    </row>
    <row r="524" spans="1:7" hidden="1">
      <c r="A524" s="17" t="s">
        <v>2477</v>
      </c>
      <c r="B524" s="17" t="s">
        <v>487</v>
      </c>
      <c r="C524" s="17" t="s">
        <v>488</v>
      </c>
      <c r="D524" s="17" t="s">
        <v>489</v>
      </c>
      <c r="E524" s="17" t="s">
        <v>490</v>
      </c>
      <c r="F524" s="17" t="s">
        <v>491</v>
      </c>
      <c r="G524" s="17" t="s">
        <v>492</v>
      </c>
    </row>
    <row r="525" spans="1:7" hidden="1">
      <c r="A525" s="17" t="s">
        <v>899</v>
      </c>
      <c r="B525" s="17" t="s">
        <v>494</v>
      </c>
      <c r="C525" s="17" t="s">
        <v>495</v>
      </c>
      <c r="D525" s="17" t="s">
        <v>184</v>
      </c>
      <c r="E525" s="17" t="s">
        <v>185</v>
      </c>
      <c r="F525" s="17" t="s">
        <v>496</v>
      </c>
      <c r="G525" s="17" t="s">
        <v>497</v>
      </c>
    </row>
    <row r="526" spans="1:7" hidden="1">
      <c r="A526" s="17" t="s">
        <v>144</v>
      </c>
      <c r="B526" s="17" t="s">
        <v>141</v>
      </c>
      <c r="C526" s="17" t="s">
        <v>58</v>
      </c>
      <c r="D526" s="17" t="s">
        <v>59</v>
      </c>
      <c r="E526" s="17" t="s">
        <v>60</v>
      </c>
      <c r="F526" s="17" t="s">
        <v>142</v>
      </c>
      <c r="G526" s="17" t="s">
        <v>2478</v>
      </c>
    </row>
    <row r="527" spans="1:7" hidden="1">
      <c r="A527" s="17" t="s">
        <v>2479</v>
      </c>
      <c r="B527" s="17" t="s">
        <v>2480</v>
      </c>
      <c r="C527" s="17" t="s">
        <v>1089</v>
      </c>
      <c r="D527" s="17" t="s">
        <v>1090</v>
      </c>
      <c r="E527" s="17" t="s">
        <v>1091</v>
      </c>
      <c r="F527" s="17" t="s">
        <v>2481</v>
      </c>
      <c r="G527" s="17" t="s">
        <v>2482</v>
      </c>
    </row>
    <row r="528" spans="1:7" ht="26.4" hidden="1">
      <c r="A528" s="17" t="s">
        <v>2483</v>
      </c>
      <c r="B528" s="17" t="s">
        <v>2484</v>
      </c>
      <c r="C528" s="17" t="s">
        <v>1967</v>
      </c>
      <c r="D528" s="17" t="s">
        <v>1968</v>
      </c>
      <c r="E528" s="17" t="s">
        <v>1969</v>
      </c>
      <c r="F528" s="17" t="s">
        <v>2485</v>
      </c>
      <c r="G528" s="17" t="s">
        <v>2486</v>
      </c>
    </row>
    <row r="529" spans="1:7" hidden="1">
      <c r="A529" s="17" t="s">
        <v>2487</v>
      </c>
      <c r="B529" s="17" t="s">
        <v>2488</v>
      </c>
      <c r="C529" s="17" t="s">
        <v>1922</v>
      </c>
      <c r="D529" s="17" t="s">
        <v>1923</v>
      </c>
      <c r="E529" s="17" t="s">
        <v>1924</v>
      </c>
      <c r="F529" s="17" t="s">
        <v>2489</v>
      </c>
      <c r="G529" s="17" t="s">
        <v>2490</v>
      </c>
    </row>
    <row r="530" spans="1:7" hidden="1">
      <c r="A530" s="17" t="s">
        <v>2491</v>
      </c>
      <c r="B530" s="17" t="s">
        <v>2492</v>
      </c>
      <c r="C530" s="17" t="s">
        <v>217</v>
      </c>
      <c r="D530" s="17" t="s">
        <v>218</v>
      </c>
      <c r="E530" s="17" t="s">
        <v>219</v>
      </c>
      <c r="F530" s="17" t="s">
        <v>2493</v>
      </c>
      <c r="G530" s="17" t="s">
        <v>2494</v>
      </c>
    </row>
    <row r="531" spans="1:7" ht="26.4" hidden="1">
      <c r="A531" s="17" t="s">
        <v>2495</v>
      </c>
      <c r="B531" s="17" t="s">
        <v>2496</v>
      </c>
      <c r="C531" s="17" t="s">
        <v>2452</v>
      </c>
      <c r="D531" s="17" t="s">
        <v>2453</v>
      </c>
      <c r="E531" s="17" t="s">
        <v>2454</v>
      </c>
      <c r="F531" s="17" t="s">
        <v>2497</v>
      </c>
      <c r="G531" s="17" t="s">
        <v>2498</v>
      </c>
    </row>
    <row r="532" spans="1:7" hidden="1">
      <c r="A532" s="17" t="s">
        <v>2499</v>
      </c>
      <c r="B532" s="17" t="s">
        <v>2500</v>
      </c>
      <c r="C532" s="17" t="s">
        <v>623</v>
      </c>
      <c r="D532" s="17" t="s">
        <v>211</v>
      </c>
      <c r="E532" s="17" t="s">
        <v>624</v>
      </c>
      <c r="F532" s="17" t="s">
        <v>2501</v>
      </c>
      <c r="G532" s="17" t="s">
        <v>2502</v>
      </c>
    </row>
    <row r="533" spans="1:7" hidden="1">
      <c r="A533" s="17" t="s">
        <v>2503</v>
      </c>
      <c r="B533" s="17" t="s">
        <v>2504</v>
      </c>
      <c r="C533" s="17" t="s">
        <v>454</v>
      </c>
      <c r="D533" s="17" t="s">
        <v>455</v>
      </c>
      <c r="E533" s="17" t="s">
        <v>456</v>
      </c>
      <c r="F533" s="17" t="s">
        <v>2505</v>
      </c>
      <c r="G533" s="17" t="s">
        <v>2506</v>
      </c>
    </row>
    <row r="534" spans="1:7" hidden="1">
      <c r="A534" s="17" t="s">
        <v>2507</v>
      </c>
      <c r="B534" s="17" t="s">
        <v>2508</v>
      </c>
      <c r="C534" s="17" t="s">
        <v>376</v>
      </c>
      <c r="D534" s="17" t="s">
        <v>377</v>
      </c>
      <c r="E534" s="17" t="s">
        <v>378</v>
      </c>
      <c r="F534" s="17" t="s">
        <v>2509</v>
      </c>
      <c r="G534" s="17" t="s">
        <v>2510</v>
      </c>
    </row>
    <row r="535" spans="1:7" hidden="1">
      <c r="A535" s="17" t="s">
        <v>2511</v>
      </c>
      <c r="B535" s="17" t="s">
        <v>2512</v>
      </c>
      <c r="C535" s="17" t="s">
        <v>100</v>
      </c>
      <c r="D535" s="17" t="s">
        <v>2025</v>
      </c>
      <c r="E535" s="17" t="s">
        <v>102</v>
      </c>
      <c r="F535" s="17" t="s">
        <v>2513</v>
      </c>
      <c r="G535" s="17" t="s">
        <v>2514</v>
      </c>
    </row>
    <row r="536" spans="1:7" hidden="1">
      <c r="A536" s="17" t="s">
        <v>2515</v>
      </c>
      <c r="B536" s="17" t="s">
        <v>2516</v>
      </c>
      <c r="C536" s="17" t="s">
        <v>2517</v>
      </c>
      <c r="D536" s="17" t="s">
        <v>2518</v>
      </c>
      <c r="E536" s="17" t="s">
        <v>2519</v>
      </c>
      <c r="F536" s="17" t="s">
        <v>2520</v>
      </c>
      <c r="G536" s="17" t="s">
        <v>2521</v>
      </c>
    </row>
    <row r="537" spans="1:7" ht="26.4" hidden="1">
      <c r="A537" s="17" t="s">
        <v>2522</v>
      </c>
      <c r="B537" s="17" t="s">
        <v>2523</v>
      </c>
      <c r="C537" s="17" t="s">
        <v>2524</v>
      </c>
      <c r="D537" s="17" t="s">
        <v>2525</v>
      </c>
      <c r="E537" s="17" t="s">
        <v>2526</v>
      </c>
      <c r="F537" s="17" t="s">
        <v>2527</v>
      </c>
      <c r="G537" s="17" t="s">
        <v>2528</v>
      </c>
    </row>
    <row r="538" spans="1:7" ht="26.4" hidden="1">
      <c r="A538" s="17" t="s">
        <v>2529</v>
      </c>
      <c r="B538" s="17" t="s">
        <v>2530</v>
      </c>
      <c r="C538" s="17" t="s">
        <v>1191</v>
      </c>
      <c r="D538" s="17" t="s">
        <v>1192</v>
      </c>
      <c r="E538" s="17" t="s">
        <v>1193</v>
      </c>
      <c r="F538" s="17" t="s">
        <v>2531</v>
      </c>
      <c r="G538" s="17" t="s">
        <v>2532</v>
      </c>
    </row>
    <row r="539" spans="1:7" hidden="1">
      <c r="A539" s="17" t="s">
        <v>2533</v>
      </c>
      <c r="B539" s="17" t="s">
        <v>2534</v>
      </c>
      <c r="C539" s="17" t="s">
        <v>2535</v>
      </c>
      <c r="D539" s="17" t="s">
        <v>2536</v>
      </c>
      <c r="E539" s="17" t="s">
        <v>2537</v>
      </c>
      <c r="F539" s="17" t="s">
        <v>2538</v>
      </c>
      <c r="G539" s="17" t="s">
        <v>2539</v>
      </c>
    </row>
    <row r="540" spans="1:7" hidden="1">
      <c r="A540" s="17" t="s">
        <v>2540</v>
      </c>
      <c r="B540" s="17" t="s">
        <v>2541</v>
      </c>
      <c r="C540" s="17" t="s">
        <v>2542</v>
      </c>
      <c r="D540" s="17" t="s">
        <v>832</v>
      </c>
      <c r="E540" s="17" t="s">
        <v>2543</v>
      </c>
      <c r="F540" s="17" t="s">
        <v>2544</v>
      </c>
      <c r="G540" s="17" t="s">
        <v>2545</v>
      </c>
    </row>
    <row r="541" spans="1:7" hidden="1">
      <c r="A541" s="17" t="s">
        <v>2546</v>
      </c>
      <c r="B541" s="17" t="s">
        <v>2547</v>
      </c>
      <c r="C541" s="17" t="s">
        <v>1998</v>
      </c>
      <c r="D541" s="17" t="s">
        <v>1999</v>
      </c>
      <c r="E541" s="17" t="s">
        <v>2000</v>
      </c>
      <c r="F541" s="17" t="s">
        <v>2548</v>
      </c>
      <c r="G541" s="17" t="s">
        <v>2549</v>
      </c>
    </row>
    <row r="542" spans="1:7" hidden="1">
      <c r="A542" s="17" t="s">
        <v>2550</v>
      </c>
      <c r="B542" s="17" t="s">
        <v>2551</v>
      </c>
      <c r="C542" s="17" t="s">
        <v>2552</v>
      </c>
      <c r="D542" s="17" t="s">
        <v>645</v>
      </c>
      <c r="E542" s="17" t="s">
        <v>510</v>
      </c>
      <c r="F542" s="17" t="s">
        <v>2553</v>
      </c>
      <c r="G542" s="17" t="s">
        <v>2554</v>
      </c>
    </row>
    <row r="543" spans="1:7" hidden="1">
      <c r="A543" s="17" t="s">
        <v>2555</v>
      </c>
      <c r="B543" s="17" t="s">
        <v>2556</v>
      </c>
      <c r="C543" s="17" t="s">
        <v>2301</v>
      </c>
      <c r="D543" s="17" t="s">
        <v>968</v>
      </c>
      <c r="E543" s="17" t="s">
        <v>969</v>
      </c>
      <c r="F543" s="17" t="s">
        <v>2557</v>
      </c>
      <c r="G543" s="17" t="s">
        <v>2558</v>
      </c>
    </row>
    <row r="544" spans="1:7" ht="26.4" hidden="1">
      <c r="A544" s="17" t="s">
        <v>1556</v>
      </c>
      <c r="B544" s="17" t="s">
        <v>1557</v>
      </c>
      <c r="C544" s="17" t="s">
        <v>677</v>
      </c>
      <c r="D544" s="17" t="s">
        <v>678</v>
      </c>
      <c r="E544" s="17" t="s">
        <v>679</v>
      </c>
      <c r="F544" s="17" t="s">
        <v>1558</v>
      </c>
      <c r="G544" s="17" t="s">
        <v>2559</v>
      </c>
    </row>
    <row r="545" spans="1:7" hidden="1">
      <c r="A545" s="17" t="s">
        <v>2560</v>
      </c>
      <c r="B545" s="17" t="s">
        <v>1266</v>
      </c>
      <c r="C545" s="17" t="s">
        <v>1267</v>
      </c>
      <c r="D545" s="17" t="s">
        <v>832</v>
      </c>
      <c r="E545" s="17" t="s">
        <v>1268</v>
      </c>
      <c r="F545" s="17" t="s">
        <v>1269</v>
      </c>
      <c r="G545" s="17" t="s">
        <v>1717</v>
      </c>
    </row>
    <row r="546" spans="1:7" hidden="1">
      <c r="A546" s="17" t="s">
        <v>2561</v>
      </c>
      <c r="B546" s="17" t="s">
        <v>2562</v>
      </c>
      <c r="C546" s="17" t="s">
        <v>903</v>
      </c>
      <c r="D546" s="17" t="s">
        <v>904</v>
      </c>
      <c r="E546" s="17" t="s">
        <v>905</v>
      </c>
      <c r="F546" s="17" t="s">
        <v>2563</v>
      </c>
      <c r="G546" s="17" t="s">
        <v>2564</v>
      </c>
    </row>
    <row r="547" spans="1:7" hidden="1">
      <c r="A547" s="17" t="s">
        <v>2565</v>
      </c>
      <c r="B547" s="17" t="s">
        <v>2566</v>
      </c>
      <c r="C547" s="17" t="s">
        <v>1409</v>
      </c>
      <c r="D547" s="17" t="s">
        <v>1410</v>
      </c>
      <c r="E547" s="17" t="s">
        <v>1411</v>
      </c>
      <c r="F547" s="17" t="s">
        <v>2567</v>
      </c>
      <c r="G547" s="17" t="s">
        <v>2568</v>
      </c>
    </row>
    <row r="548" spans="1:7" hidden="1">
      <c r="A548" s="17" t="s">
        <v>2569</v>
      </c>
      <c r="B548" s="17" t="s">
        <v>2570</v>
      </c>
      <c r="C548" s="17" t="s">
        <v>903</v>
      </c>
      <c r="D548" s="17" t="s">
        <v>904</v>
      </c>
      <c r="E548" s="17" t="s">
        <v>905</v>
      </c>
      <c r="F548" s="17" t="s">
        <v>2571</v>
      </c>
      <c r="G548" s="17" t="s">
        <v>2572</v>
      </c>
    </row>
    <row r="549" spans="1:7" hidden="1">
      <c r="A549" s="17" t="s">
        <v>2573</v>
      </c>
      <c r="B549" s="17" t="s">
        <v>2574</v>
      </c>
      <c r="C549" s="17" t="s">
        <v>2017</v>
      </c>
      <c r="D549" s="17" t="s">
        <v>2018</v>
      </c>
      <c r="E549" s="17" t="s">
        <v>2019</v>
      </c>
      <c r="F549" s="17" t="s">
        <v>2575</v>
      </c>
      <c r="G549" s="17" t="s">
        <v>2576</v>
      </c>
    </row>
    <row r="550" spans="1:7" hidden="1">
      <c r="A550" s="17" t="s">
        <v>2577</v>
      </c>
      <c r="B550" s="17" t="s">
        <v>2578</v>
      </c>
      <c r="C550" s="17" t="s">
        <v>86</v>
      </c>
      <c r="D550" s="17" t="s">
        <v>87</v>
      </c>
      <c r="E550" s="17" t="s">
        <v>88</v>
      </c>
      <c r="F550" s="17" t="s">
        <v>2579</v>
      </c>
      <c r="G550" s="17" t="s">
        <v>2580</v>
      </c>
    </row>
    <row r="551" spans="1:7" hidden="1">
      <c r="A551" s="17" t="s">
        <v>2581</v>
      </c>
      <c r="B551" s="17" t="s">
        <v>2582</v>
      </c>
      <c r="C551" s="17" t="s">
        <v>956</v>
      </c>
      <c r="D551" s="17" t="s">
        <v>957</v>
      </c>
      <c r="E551" s="17" t="s">
        <v>958</v>
      </c>
      <c r="F551" s="17" t="s">
        <v>2583</v>
      </c>
      <c r="G551" s="17" t="s">
        <v>2584</v>
      </c>
    </row>
    <row r="552" spans="1:7" hidden="1">
      <c r="A552" s="17" t="s">
        <v>2585</v>
      </c>
      <c r="B552" s="17" t="s">
        <v>2586</v>
      </c>
      <c r="C552" s="17" t="s">
        <v>2587</v>
      </c>
      <c r="D552" s="17" t="s">
        <v>2588</v>
      </c>
      <c r="E552" s="17" t="s">
        <v>2589</v>
      </c>
      <c r="F552" s="17" t="s">
        <v>2590</v>
      </c>
      <c r="G552" s="17" t="s">
        <v>2591</v>
      </c>
    </row>
    <row r="553" spans="1:7" ht="26.4" hidden="1">
      <c r="A553" s="17" t="s">
        <v>2592</v>
      </c>
      <c r="B553" s="17" t="s">
        <v>2131</v>
      </c>
      <c r="C553" s="17" t="s">
        <v>677</v>
      </c>
      <c r="D553" s="17" t="s">
        <v>678</v>
      </c>
      <c r="E553" s="17" t="s">
        <v>679</v>
      </c>
      <c r="F553" s="17" t="s">
        <v>2132</v>
      </c>
      <c r="G553" s="17" t="s">
        <v>2133</v>
      </c>
    </row>
    <row r="554" spans="1:7" hidden="1">
      <c r="A554" s="17" t="s">
        <v>2593</v>
      </c>
      <c r="B554" s="17" t="s">
        <v>2594</v>
      </c>
      <c r="C554" s="17" t="s">
        <v>1486</v>
      </c>
      <c r="D554" s="17" t="s">
        <v>1487</v>
      </c>
      <c r="E554" s="17" t="s">
        <v>1488</v>
      </c>
      <c r="F554" s="17" t="s">
        <v>2595</v>
      </c>
      <c r="G554" s="17" t="s">
        <v>2596</v>
      </c>
    </row>
    <row r="555" spans="1:7" ht="26.4" hidden="1">
      <c r="A555" s="17" t="s">
        <v>2597</v>
      </c>
      <c r="B555" s="17" t="s">
        <v>2598</v>
      </c>
      <c r="C555" s="17" t="s">
        <v>2599</v>
      </c>
      <c r="D555" s="17" t="s">
        <v>2599</v>
      </c>
      <c r="E555" s="17" t="s">
        <v>2600</v>
      </c>
      <c r="F555" s="17" t="s">
        <v>2601</v>
      </c>
      <c r="G555" s="17" t="s">
        <v>2602</v>
      </c>
    </row>
    <row r="556" spans="1:7" hidden="1">
      <c r="A556" s="17" t="s">
        <v>1643</v>
      </c>
      <c r="B556" s="17" t="s">
        <v>64</v>
      </c>
      <c r="C556" s="17" t="s">
        <v>65</v>
      </c>
      <c r="D556" s="17" t="s">
        <v>66</v>
      </c>
      <c r="E556" s="17" t="s">
        <v>67</v>
      </c>
      <c r="F556" s="17" t="s">
        <v>68</v>
      </c>
      <c r="G556" s="17" t="s">
        <v>69</v>
      </c>
    </row>
    <row r="557" spans="1:7" ht="26.4" hidden="1">
      <c r="A557" s="17" t="s">
        <v>2344</v>
      </c>
      <c r="B557" s="17" t="s">
        <v>690</v>
      </c>
      <c r="C557" s="17" t="s">
        <v>44</v>
      </c>
      <c r="D557" s="17" t="s">
        <v>45</v>
      </c>
      <c r="E557" s="17" t="s">
        <v>46</v>
      </c>
      <c r="F557" s="17" t="s">
        <v>691</v>
      </c>
      <c r="G557" s="17" t="s">
        <v>692</v>
      </c>
    </row>
    <row r="558" spans="1:7" ht="26.4" hidden="1">
      <c r="A558" s="17" t="s">
        <v>2603</v>
      </c>
      <c r="B558" s="17" t="s">
        <v>893</v>
      </c>
      <c r="C558" s="17" t="s">
        <v>894</v>
      </c>
      <c r="D558" s="17" t="s">
        <v>895</v>
      </c>
      <c r="E558" s="17" t="s">
        <v>896</v>
      </c>
      <c r="F558" s="17" t="s">
        <v>897</v>
      </c>
      <c r="G558" s="17" t="s">
        <v>2166</v>
      </c>
    </row>
    <row r="559" spans="1:7" hidden="1">
      <c r="A559" s="17" t="s">
        <v>2604</v>
      </c>
      <c r="B559" s="17" t="s">
        <v>2605</v>
      </c>
      <c r="C559" s="17" t="s">
        <v>51</v>
      </c>
      <c r="D559" s="17" t="s">
        <v>52</v>
      </c>
      <c r="E559" s="17" t="s">
        <v>53</v>
      </c>
      <c r="F559" s="17" t="s">
        <v>2606</v>
      </c>
      <c r="G559" s="17" t="s">
        <v>2607</v>
      </c>
    </row>
    <row r="560" spans="1:7" ht="26.4" hidden="1">
      <c r="A560" s="17" t="s">
        <v>2608</v>
      </c>
      <c r="B560" s="17" t="s">
        <v>2056</v>
      </c>
      <c r="C560" s="17" t="s">
        <v>1025</v>
      </c>
      <c r="D560" s="17" t="s">
        <v>825</v>
      </c>
      <c r="E560" s="17" t="s">
        <v>826</v>
      </c>
      <c r="F560" s="17" t="s">
        <v>2057</v>
      </c>
      <c r="G560" s="17" t="s">
        <v>2609</v>
      </c>
    </row>
    <row r="561" spans="1:7" hidden="1">
      <c r="A561" s="17" t="s">
        <v>1751</v>
      </c>
      <c r="B561" s="17" t="s">
        <v>1752</v>
      </c>
      <c r="C561" s="17" t="s">
        <v>495</v>
      </c>
      <c r="D561" s="17" t="s">
        <v>184</v>
      </c>
      <c r="E561" s="17" t="s">
        <v>185</v>
      </c>
      <c r="F561" s="17" t="s">
        <v>1753</v>
      </c>
      <c r="G561" s="17" t="s">
        <v>2610</v>
      </c>
    </row>
    <row r="562" spans="1:7" hidden="1">
      <c r="A562" s="17" t="s">
        <v>2611</v>
      </c>
      <c r="B562" s="17" t="s">
        <v>2612</v>
      </c>
      <c r="C562" s="17" t="s">
        <v>444</v>
      </c>
      <c r="D562" s="17" t="s">
        <v>122</v>
      </c>
      <c r="E562" s="17" t="s">
        <v>445</v>
      </c>
      <c r="F562" s="17" t="s">
        <v>2613</v>
      </c>
      <c r="G562" s="17" t="s">
        <v>2614</v>
      </c>
    </row>
    <row r="563" spans="1:7" ht="26.4" hidden="1">
      <c r="A563" s="17" t="s">
        <v>2615</v>
      </c>
      <c r="B563" s="17" t="s">
        <v>2616</v>
      </c>
      <c r="C563" s="17" t="s">
        <v>1967</v>
      </c>
      <c r="D563" s="17" t="s">
        <v>1968</v>
      </c>
      <c r="E563" s="17" t="s">
        <v>1969</v>
      </c>
      <c r="F563" s="17" t="s">
        <v>2617</v>
      </c>
      <c r="G563" s="17" t="s">
        <v>2618</v>
      </c>
    </row>
    <row r="564" spans="1:7" hidden="1">
      <c r="A564" s="17" t="s">
        <v>2619</v>
      </c>
      <c r="B564" s="17" t="s">
        <v>2620</v>
      </c>
      <c r="C564" s="17" t="s">
        <v>1922</v>
      </c>
      <c r="D564" s="17" t="s">
        <v>1923</v>
      </c>
      <c r="E564" s="17" t="s">
        <v>1924</v>
      </c>
      <c r="F564" s="17" t="s">
        <v>2621</v>
      </c>
      <c r="G564" s="17" t="s">
        <v>2622</v>
      </c>
    </row>
    <row r="565" spans="1:7" hidden="1">
      <c r="A565" s="17" t="s">
        <v>2623</v>
      </c>
      <c r="B565" s="17" t="s">
        <v>2624</v>
      </c>
      <c r="C565" s="17" t="s">
        <v>559</v>
      </c>
      <c r="D565" s="17" t="s">
        <v>560</v>
      </c>
      <c r="E565" s="17" t="s">
        <v>561</v>
      </c>
      <c r="F565" s="17" t="s">
        <v>2625</v>
      </c>
      <c r="G565" s="17" t="s">
        <v>2626</v>
      </c>
    </row>
    <row r="566" spans="1:7" hidden="1">
      <c r="A566" s="17" t="s">
        <v>2627</v>
      </c>
      <c r="B566" s="17" t="s">
        <v>2628</v>
      </c>
      <c r="C566" s="17" t="s">
        <v>107</v>
      </c>
      <c r="D566" s="17" t="s">
        <v>108</v>
      </c>
      <c r="E566" s="17" t="s">
        <v>109</v>
      </c>
      <c r="F566" s="17" t="s">
        <v>2629</v>
      </c>
      <c r="G566" s="17" t="s">
        <v>2630</v>
      </c>
    </row>
    <row r="567" spans="1:7" hidden="1">
      <c r="A567" s="17" t="s">
        <v>2631</v>
      </c>
      <c r="B567" s="17" t="s">
        <v>2632</v>
      </c>
      <c r="C567" s="17" t="s">
        <v>605</v>
      </c>
      <c r="D567" s="17" t="s">
        <v>606</v>
      </c>
      <c r="E567" s="17" t="s">
        <v>607</v>
      </c>
      <c r="F567" s="17" t="s">
        <v>2633</v>
      </c>
      <c r="G567" s="17" t="s">
        <v>2634</v>
      </c>
    </row>
    <row r="568" spans="1:7" hidden="1">
      <c r="A568" s="17" t="s">
        <v>2635</v>
      </c>
      <c r="B568" s="17" t="s">
        <v>2636</v>
      </c>
      <c r="C568" s="17" t="s">
        <v>650</v>
      </c>
      <c r="D568" s="17" t="s">
        <v>651</v>
      </c>
      <c r="E568" s="17" t="s">
        <v>652</v>
      </c>
      <c r="F568" s="17" t="s">
        <v>2637</v>
      </c>
      <c r="G568" s="17" t="s">
        <v>2638</v>
      </c>
    </row>
    <row r="569" spans="1:7" hidden="1">
      <c r="A569" s="17" t="s">
        <v>2639</v>
      </c>
      <c r="B569" s="17" t="s">
        <v>2640</v>
      </c>
      <c r="C569" s="17" t="s">
        <v>559</v>
      </c>
      <c r="D569" s="17" t="s">
        <v>560</v>
      </c>
      <c r="E569" s="17" t="s">
        <v>561</v>
      </c>
      <c r="F569" s="17" t="s">
        <v>2641</v>
      </c>
      <c r="G569" s="17" t="s">
        <v>2642</v>
      </c>
    </row>
    <row r="570" spans="1:7" hidden="1">
      <c r="A570" s="17" t="s">
        <v>2643</v>
      </c>
      <c r="B570" s="17" t="s">
        <v>2644</v>
      </c>
      <c r="C570" s="17" t="s">
        <v>331</v>
      </c>
      <c r="D570" s="17" t="s">
        <v>332</v>
      </c>
      <c r="E570" s="17" t="s">
        <v>333</v>
      </c>
      <c r="F570" s="17" t="s">
        <v>2645</v>
      </c>
      <c r="G570" s="17" t="s">
        <v>2646</v>
      </c>
    </row>
    <row r="571" spans="1:7" hidden="1">
      <c r="A571" s="17" t="s">
        <v>2647</v>
      </c>
      <c r="B571" s="17" t="s">
        <v>2648</v>
      </c>
      <c r="C571" s="17" t="s">
        <v>650</v>
      </c>
      <c r="D571" s="17" t="s">
        <v>651</v>
      </c>
      <c r="E571" s="17" t="s">
        <v>652</v>
      </c>
      <c r="F571" s="17" t="s">
        <v>2649</v>
      </c>
      <c r="G571" s="17" t="s">
        <v>2650</v>
      </c>
    </row>
    <row r="572" spans="1:7" hidden="1">
      <c r="A572" s="17" t="s">
        <v>2651</v>
      </c>
      <c r="B572" s="17" t="s">
        <v>2652</v>
      </c>
      <c r="C572" s="17" t="s">
        <v>1712</v>
      </c>
      <c r="D572" s="17" t="s">
        <v>1713</v>
      </c>
      <c r="E572" s="17" t="s">
        <v>1714</v>
      </c>
      <c r="F572" s="17" t="s">
        <v>2653</v>
      </c>
      <c r="G572" s="17" t="s">
        <v>2654</v>
      </c>
    </row>
    <row r="573" spans="1:7" hidden="1">
      <c r="A573" s="17" t="s">
        <v>2655</v>
      </c>
      <c r="B573" s="17" t="s">
        <v>2656</v>
      </c>
      <c r="C573" s="17" t="s">
        <v>444</v>
      </c>
      <c r="D573" s="17" t="s">
        <v>122</v>
      </c>
      <c r="E573" s="17" t="s">
        <v>445</v>
      </c>
      <c r="F573" s="17" t="s">
        <v>2657</v>
      </c>
      <c r="G573" s="17" t="s">
        <v>2658</v>
      </c>
    </row>
    <row r="574" spans="1:7" hidden="1">
      <c r="A574" s="17" t="s">
        <v>2659</v>
      </c>
      <c r="B574" s="17" t="s">
        <v>2660</v>
      </c>
      <c r="C574" s="17" t="s">
        <v>293</v>
      </c>
      <c r="D574" s="17" t="s">
        <v>294</v>
      </c>
      <c r="E574" s="17" t="s">
        <v>295</v>
      </c>
      <c r="F574" s="17" t="s">
        <v>2661</v>
      </c>
      <c r="G574" s="17" t="s">
        <v>2662</v>
      </c>
    </row>
    <row r="575" spans="1:7" hidden="1">
      <c r="A575" s="17" t="s">
        <v>2663</v>
      </c>
      <c r="B575" s="17" t="s">
        <v>2664</v>
      </c>
      <c r="C575" s="17" t="s">
        <v>501</v>
      </c>
      <c r="D575" s="17" t="s">
        <v>502</v>
      </c>
      <c r="E575" s="17" t="s">
        <v>503</v>
      </c>
      <c r="F575" s="17" t="s">
        <v>2665</v>
      </c>
      <c r="G575" s="17" t="s">
        <v>2666</v>
      </c>
    </row>
    <row r="576" spans="1:7" hidden="1">
      <c r="A576" s="17" t="s">
        <v>2667</v>
      </c>
      <c r="B576" s="17" t="s">
        <v>2668</v>
      </c>
      <c r="C576" s="17" t="s">
        <v>2669</v>
      </c>
      <c r="D576" s="17" t="s">
        <v>2670</v>
      </c>
      <c r="E576" s="17" t="s">
        <v>2671</v>
      </c>
      <c r="F576" s="17" t="s">
        <v>2672</v>
      </c>
      <c r="G576" s="17" t="s">
        <v>2673</v>
      </c>
    </row>
    <row r="577" spans="1:7" ht="26.4" hidden="1">
      <c r="A577" s="17" t="s">
        <v>2674</v>
      </c>
      <c r="B577" s="17" t="s">
        <v>2675</v>
      </c>
      <c r="C577" s="17" t="s">
        <v>1604</v>
      </c>
      <c r="D577" s="17" t="s">
        <v>1605</v>
      </c>
      <c r="E577" s="17" t="s">
        <v>1606</v>
      </c>
      <c r="F577" s="17" t="s">
        <v>2676</v>
      </c>
      <c r="G577" s="17" t="s">
        <v>2677</v>
      </c>
    </row>
    <row r="578" spans="1:7" ht="26.4" hidden="1">
      <c r="A578" s="17" t="s">
        <v>2678</v>
      </c>
      <c r="B578" s="17" t="s">
        <v>2679</v>
      </c>
      <c r="C578" s="17" t="s">
        <v>928</v>
      </c>
      <c r="D578" s="17" t="s">
        <v>929</v>
      </c>
      <c r="E578" s="17" t="s">
        <v>930</v>
      </c>
      <c r="F578" s="17" t="s">
        <v>2680</v>
      </c>
      <c r="G578" s="17" t="s">
        <v>2681</v>
      </c>
    </row>
    <row r="579" spans="1:7" hidden="1">
      <c r="A579" s="17" t="s">
        <v>2682</v>
      </c>
      <c r="B579" s="17" t="s">
        <v>794</v>
      </c>
      <c r="C579" s="17" t="s">
        <v>501</v>
      </c>
      <c r="D579" s="17" t="s">
        <v>502</v>
      </c>
      <c r="E579" s="17" t="s">
        <v>503</v>
      </c>
      <c r="F579" s="17" t="s">
        <v>795</v>
      </c>
      <c r="G579" s="17" t="s">
        <v>2683</v>
      </c>
    </row>
    <row r="580" spans="1:7" ht="26.4" hidden="1">
      <c r="A580" s="17" t="s">
        <v>42</v>
      </c>
      <c r="B580" s="17" t="s">
        <v>43</v>
      </c>
      <c r="C580" s="17" t="s">
        <v>44</v>
      </c>
      <c r="D580" s="17" t="s">
        <v>45</v>
      </c>
      <c r="E580" s="17" t="s">
        <v>46</v>
      </c>
      <c r="F580" s="17" t="s">
        <v>47</v>
      </c>
      <c r="G580" s="17" t="s">
        <v>166</v>
      </c>
    </row>
    <row r="581" spans="1:7" hidden="1">
      <c r="A581" s="17" t="s">
        <v>2684</v>
      </c>
      <c r="B581" s="17" t="s">
        <v>2685</v>
      </c>
      <c r="C581" s="17" t="s">
        <v>1509</v>
      </c>
      <c r="D581" s="17" t="s">
        <v>1510</v>
      </c>
      <c r="E581" s="17" t="s">
        <v>1511</v>
      </c>
      <c r="F581" s="17" t="s">
        <v>2686</v>
      </c>
      <c r="G581" s="17" t="s">
        <v>2687</v>
      </c>
    </row>
    <row r="582" spans="1:7" hidden="1">
      <c r="A582" s="17" t="s">
        <v>2688</v>
      </c>
      <c r="B582" s="17" t="s">
        <v>2689</v>
      </c>
      <c r="C582" s="17" t="s">
        <v>293</v>
      </c>
      <c r="D582" s="17" t="s">
        <v>294</v>
      </c>
      <c r="E582" s="17" t="s">
        <v>295</v>
      </c>
      <c r="F582" s="17" t="s">
        <v>2690</v>
      </c>
      <c r="G582" s="17" t="s">
        <v>2691</v>
      </c>
    </row>
    <row r="583" spans="1:7" hidden="1">
      <c r="A583" s="17" t="s">
        <v>2692</v>
      </c>
      <c r="B583" s="17" t="s">
        <v>2693</v>
      </c>
      <c r="C583" s="17" t="s">
        <v>169</v>
      </c>
      <c r="D583" s="17" t="s">
        <v>170</v>
      </c>
      <c r="E583" s="17" t="s">
        <v>171</v>
      </c>
      <c r="F583" s="17" t="s">
        <v>2694</v>
      </c>
      <c r="G583" s="17" t="s">
        <v>2695</v>
      </c>
    </row>
    <row r="584" spans="1:7">
      <c r="A584" s="17" t="s">
        <v>2696</v>
      </c>
      <c r="B584" s="17" t="s">
        <v>2697</v>
      </c>
      <c r="C584" s="17" t="s">
        <v>777</v>
      </c>
      <c r="D584" s="17" t="s">
        <v>778</v>
      </c>
      <c r="E584" s="17" t="s">
        <v>779</v>
      </c>
      <c r="F584" s="17" t="s">
        <v>2698</v>
      </c>
      <c r="G584" s="17" t="s">
        <v>2699</v>
      </c>
    </row>
    <row r="585" spans="1:7" hidden="1">
      <c r="A585" s="17" t="s">
        <v>2700</v>
      </c>
      <c r="B585" s="17" t="s">
        <v>2701</v>
      </c>
      <c r="C585" s="17" t="s">
        <v>1089</v>
      </c>
      <c r="D585" s="17" t="s">
        <v>1090</v>
      </c>
      <c r="E585" s="17" t="s">
        <v>1091</v>
      </c>
      <c r="F585" s="17" t="s">
        <v>2702</v>
      </c>
      <c r="G585" s="17" t="s">
        <v>2703</v>
      </c>
    </row>
    <row r="586" spans="1:7" hidden="1">
      <c r="A586" s="17" t="s">
        <v>2704</v>
      </c>
      <c r="B586" s="17" t="s">
        <v>2705</v>
      </c>
      <c r="C586" s="17" t="s">
        <v>1509</v>
      </c>
      <c r="D586" s="17" t="s">
        <v>1510</v>
      </c>
      <c r="E586" s="17" t="s">
        <v>1511</v>
      </c>
      <c r="F586" s="17" t="s">
        <v>2706</v>
      </c>
      <c r="G586" s="17" t="s">
        <v>2707</v>
      </c>
    </row>
    <row r="587" spans="1:7" hidden="1">
      <c r="A587" s="17" t="s">
        <v>2708</v>
      </c>
      <c r="B587" s="17" t="s">
        <v>2709</v>
      </c>
      <c r="C587" s="17" t="s">
        <v>352</v>
      </c>
      <c r="D587" s="17" t="s">
        <v>211</v>
      </c>
      <c r="E587" s="17" t="s">
        <v>353</v>
      </c>
      <c r="F587" s="17" t="s">
        <v>2710</v>
      </c>
      <c r="G587" s="17" t="s">
        <v>2711</v>
      </c>
    </row>
    <row r="588" spans="1:7" hidden="1">
      <c r="A588" s="17" t="s">
        <v>2712</v>
      </c>
      <c r="B588" s="17" t="s">
        <v>2713</v>
      </c>
      <c r="C588" s="17" t="s">
        <v>1016</v>
      </c>
      <c r="D588" s="17" t="s">
        <v>915</v>
      </c>
      <c r="E588" s="17" t="s">
        <v>916</v>
      </c>
      <c r="F588" s="17" t="s">
        <v>2714</v>
      </c>
      <c r="G588" s="17" t="s">
        <v>2715</v>
      </c>
    </row>
    <row r="589" spans="1:7" hidden="1">
      <c r="A589" s="17" t="s">
        <v>2716</v>
      </c>
      <c r="B589" s="17" t="s">
        <v>2717</v>
      </c>
      <c r="C589" s="17" t="s">
        <v>411</v>
      </c>
      <c r="D589" s="17" t="s">
        <v>412</v>
      </c>
      <c r="E589" s="17" t="s">
        <v>413</v>
      </c>
      <c r="F589" s="17" t="s">
        <v>2718</v>
      </c>
      <c r="G589" s="17" t="s">
        <v>2719</v>
      </c>
    </row>
    <row r="590" spans="1:7" hidden="1">
      <c r="A590" s="17" t="s">
        <v>2720</v>
      </c>
      <c r="B590" s="17" t="s">
        <v>2721</v>
      </c>
      <c r="C590" s="17" t="s">
        <v>2722</v>
      </c>
      <c r="D590" s="17" t="s">
        <v>2723</v>
      </c>
      <c r="E590" s="17" t="s">
        <v>2724</v>
      </c>
      <c r="F590" s="17" t="s">
        <v>2725</v>
      </c>
      <c r="G590" s="17" t="s">
        <v>2726</v>
      </c>
    </row>
    <row r="591" spans="1:7" hidden="1">
      <c r="A591" s="17" t="s">
        <v>2727</v>
      </c>
      <c r="B591" s="17" t="s">
        <v>2728</v>
      </c>
      <c r="C591" s="17" t="s">
        <v>887</v>
      </c>
      <c r="D591" s="17" t="s">
        <v>888</v>
      </c>
      <c r="E591" s="17" t="s">
        <v>889</v>
      </c>
      <c r="F591" s="17" t="s">
        <v>2729</v>
      </c>
      <c r="G591" s="17" t="s">
        <v>2730</v>
      </c>
    </row>
    <row r="592" spans="1:7" ht="26.4" hidden="1">
      <c r="A592" s="17" t="s">
        <v>2731</v>
      </c>
      <c r="B592" s="17" t="s">
        <v>2732</v>
      </c>
      <c r="C592" s="17" t="s">
        <v>2733</v>
      </c>
      <c r="D592" s="17" t="s">
        <v>191</v>
      </c>
      <c r="E592" s="17" t="s">
        <v>192</v>
      </c>
      <c r="F592" s="17" t="s">
        <v>2734</v>
      </c>
      <c r="G592" s="17" t="s">
        <v>2735</v>
      </c>
    </row>
    <row r="593" spans="1:7" hidden="1">
      <c r="A593" s="17" t="s">
        <v>2736</v>
      </c>
      <c r="B593" s="17" t="s">
        <v>2737</v>
      </c>
      <c r="C593" s="17" t="s">
        <v>2738</v>
      </c>
      <c r="D593" s="17" t="s">
        <v>2739</v>
      </c>
      <c r="E593" s="17" t="s">
        <v>2740</v>
      </c>
      <c r="F593" s="17" t="s">
        <v>2741</v>
      </c>
      <c r="G593" s="17" t="s">
        <v>2742</v>
      </c>
    </row>
    <row r="594" spans="1:7" hidden="1">
      <c r="A594" s="17" t="s">
        <v>2743</v>
      </c>
      <c r="B594" s="17" t="s">
        <v>2744</v>
      </c>
      <c r="C594" s="17" t="s">
        <v>331</v>
      </c>
      <c r="D594" s="17" t="s">
        <v>332</v>
      </c>
      <c r="E594" s="17" t="s">
        <v>333</v>
      </c>
      <c r="F594" s="17" t="s">
        <v>2745</v>
      </c>
      <c r="G594" s="17" t="s">
        <v>2746</v>
      </c>
    </row>
    <row r="595" spans="1:7" hidden="1">
      <c r="A595" s="17" t="s">
        <v>2747</v>
      </c>
      <c r="B595" s="17" t="s">
        <v>2748</v>
      </c>
      <c r="C595" s="17" t="s">
        <v>293</v>
      </c>
      <c r="D595" s="17" t="s">
        <v>294</v>
      </c>
      <c r="E595" s="17" t="s">
        <v>295</v>
      </c>
      <c r="F595" s="17" t="s">
        <v>2749</v>
      </c>
      <c r="G595" s="17" t="s">
        <v>2750</v>
      </c>
    </row>
    <row r="596" spans="1:7" ht="26.4" hidden="1">
      <c r="A596" s="17" t="s">
        <v>2603</v>
      </c>
      <c r="B596" s="17" t="s">
        <v>893</v>
      </c>
      <c r="C596" s="17" t="s">
        <v>894</v>
      </c>
      <c r="D596" s="17" t="s">
        <v>895</v>
      </c>
      <c r="E596" s="17" t="s">
        <v>896</v>
      </c>
      <c r="F596" s="17" t="s">
        <v>897</v>
      </c>
      <c r="G596" s="17" t="s">
        <v>898</v>
      </c>
    </row>
    <row r="597" spans="1:7" hidden="1">
      <c r="A597" s="17" t="s">
        <v>2751</v>
      </c>
      <c r="B597" s="17" t="s">
        <v>260</v>
      </c>
      <c r="C597" s="17" t="s">
        <v>2752</v>
      </c>
      <c r="D597" s="17" t="s">
        <v>262</v>
      </c>
      <c r="E597" s="17" t="s">
        <v>263</v>
      </c>
      <c r="F597" s="17" t="s">
        <v>264</v>
      </c>
      <c r="G597" s="17" t="s">
        <v>283</v>
      </c>
    </row>
    <row r="598" spans="1:7" hidden="1">
      <c r="A598" s="17" t="s">
        <v>2753</v>
      </c>
      <c r="B598" s="17" t="s">
        <v>2754</v>
      </c>
      <c r="C598" s="17" t="s">
        <v>1134</v>
      </c>
      <c r="D598" s="17" t="s">
        <v>1135</v>
      </c>
      <c r="E598" s="17" t="s">
        <v>1136</v>
      </c>
      <c r="F598" s="17" t="s">
        <v>2755</v>
      </c>
      <c r="G598" s="17" t="s">
        <v>2756</v>
      </c>
    </row>
    <row r="599" spans="1:7" hidden="1">
      <c r="A599" s="17" t="s">
        <v>2757</v>
      </c>
      <c r="B599" s="17" t="s">
        <v>2758</v>
      </c>
      <c r="C599" s="17" t="s">
        <v>1705</v>
      </c>
      <c r="D599" s="17" t="s">
        <v>1706</v>
      </c>
      <c r="E599" s="17" t="s">
        <v>1707</v>
      </c>
      <c r="F599" s="17" t="s">
        <v>2759</v>
      </c>
      <c r="G599" s="17" t="s">
        <v>2760</v>
      </c>
    </row>
    <row r="600" spans="1:7" hidden="1">
      <c r="A600" s="17" t="s">
        <v>2761</v>
      </c>
      <c r="B600" s="17" t="s">
        <v>2762</v>
      </c>
      <c r="C600" s="17" t="s">
        <v>261</v>
      </c>
      <c r="D600" s="17" t="s">
        <v>262</v>
      </c>
      <c r="E600" s="17" t="s">
        <v>263</v>
      </c>
      <c r="F600" s="17" t="s">
        <v>2763</v>
      </c>
      <c r="G600" s="17" t="s">
        <v>2764</v>
      </c>
    </row>
    <row r="601" spans="1:7" ht="26.4" hidden="1">
      <c r="A601" s="17" t="s">
        <v>2765</v>
      </c>
      <c r="B601" s="17" t="s">
        <v>1499</v>
      </c>
      <c r="C601" s="17" t="s">
        <v>397</v>
      </c>
      <c r="D601" s="17" t="s">
        <v>398</v>
      </c>
      <c r="E601" s="17" t="s">
        <v>399</v>
      </c>
      <c r="F601" s="17" t="s">
        <v>1500</v>
      </c>
      <c r="G601" s="17" t="s">
        <v>1501</v>
      </c>
    </row>
    <row r="602" spans="1:7" hidden="1">
      <c r="A602" s="17" t="s">
        <v>2766</v>
      </c>
      <c r="B602" s="17" t="s">
        <v>2767</v>
      </c>
      <c r="C602" s="17" t="s">
        <v>696</v>
      </c>
      <c r="D602" s="17" t="s">
        <v>697</v>
      </c>
      <c r="E602" s="17" t="s">
        <v>698</v>
      </c>
      <c r="F602" s="17" t="s">
        <v>2768</v>
      </c>
      <c r="G602" s="17" t="s">
        <v>2769</v>
      </c>
    </row>
    <row r="603" spans="1:7" hidden="1">
      <c r="A603" s="17" t="s">
        <v>2770</v>
      </c>
      <c r="B603" s="17" t="s">
        <v>2771</v>
      </c>
      <c r="C603" s="17" t="s">
        <v>461</v>
      </c>
      <c r="D603" s="17" t="s">
        <v>462</v>
      </c>
      <c r="E603" s="17" t="s">
        <v>463</v>
      </c>
      <c r="F603" s="17" t="s">
        <v>2772</v>
      </c>
      <c r="G603" s="17" t="s">
        <v>2773</v>
      </c>
    </row>
    <row r="604" spans="1:7" hidden="1">
      <c r="A604" s="17" t="s">
        <v>2774</v>
      </c>
      <c r="B604" s="17" t="s">
        <v>2775</v>
      </c>
      <c r="C604" s="17" t="s">
        <v>1009</v>
      </c>
      <c r="D604" s="17" t="s">
        <v>1010</v>
      </c>
      <c r="E604" s="17" t="s">
        <v>1011</v>
      </c>
      <c r="F604" s="17" t="s">
        <v>2776</v>
      </c>
      <c r="G604" s="17" t="s">
        <v>2777</v>
      </c>
    </row>
    <row r="605" spans="1:7" ht="26.4" hidden="1">
      <c r="A605" s="17" t="s">
        <v>2778</v>
      </c>
      <c r="B605" s="17" t="s">
        <v>2779</v>
      </c>
      <c r="C605" s="17" t="s">
        <v>352</v>
      </c>
      <c r="D605" s="17" t="s">
        <v>211</v>
      </c>
      <c r="E605" s="17" t="s">
        <v>353</v>
      </c>
      <c r="F605" s="17" t="s">
        <v>2780</v>
      </c>
      <c r="G605" s="17" t="s">
        <v>2781</v>
      </c>
    </row>
    <row r="606" spans="1:7" hidden="1">
      <c r="A606" s="17" t="s">
        <v>2782</v>
      </c>
      <c r="B606" s="17" t="s">
        <v>2783</v>
      </c>
      <c r="C606" s="17" t="s">
        <v>2784</v>
      </c>
      <c r="D606" s="17" t="s">
        <v>592</v>
      </c>
      <c r="E606" s="17" t="s">
        <v>593</v>
      </c>
      <c r="F606" s="17" t="s">
        <v>2785</v>
      </c>
      <c r="G606" s="17" t="s">
        <v>2786</v>
      </c>
    </row>
    <row r="607" spans="1:7" ht="26.4" hidden="1">
      <c r="A607" s="17" t="s">
        <v>2765</v>
      </c>
      <c r="B607" s="17" t="s">
        <v>1499</v>
      </c>
      <c r="C607" s="17" t="s">
        <v>397</v>
      </c>
      <c r="D607" s="17" t="s">
        <v>398</v>
      </c>
      <c r="E607" s="17" t="s">
        <v>399</v>
      </c>
      <c r="F607" s="17" t="s">
        <v>1500</v>
      </c>
      <c r="G607" s="17" t="s">
        <v>2399</v>
      </c>
    </row>
    <row r="608" spans="1:7" hidden="1">
      <c r="A608" s="17" t="s">
        <v>2787</v>
      </c>
      <c r="B608" s="17" t="s">
        <v>2788</v>
      </c>
      <c r="C608" s="17" t="s">
        <v>2789</v>
      </c>
      <c r="D608" s="17" t="s">
        <v>2203</v>
      </c>
      <c r="E608" s="17" t="s">
        <v>2204</v>
      </c>
      <c r="F608" s="17" t="s">
        <v>2790</v>
      </c>
      <c r="G608" s="17" t="s">
        <v>2791</v>
      </c>
    </row>
    <row r="609" spans="1:7" hidden="1">
      <c r="A609" s="17" t="s">
        <v>2792</v>
      </c>
      <c r="B609" s="17" t="s">
        <v>2793</v>
      </c>
      <c r="C609" s="17" t="s">
        <v>128</v>
      </c>
      <c r="D609" s="17" t="s">
        <v>129</v>
      </c>
      <c r="E609" s="17" t="s">
        <v>130</v>
      </c>
      <c r="F609" s="17" t="s">
        <v>2794</v>
      </c>
      <c r="G609" s="17" t="s">
        <v>2795</v>
      </c>
    </row>
    <row r="610" spans="1:7" hidden="1">
      <c r="A610" s="17" t="s">
        <v>2796</v>
      </c>
      <c r="B610" s="17" t="s">
        <v>2797</v>
      </c>
      <c r="C610" s="17" t="s">
        <v>1076</v>
      </c>
      <c r="D610" s="17" t="s">
        <v>542</v>
      </c>
      <c r="E610" s="17" t="s">
        <v>543</v>
      </c>
      <c r="F610" s="17" t="s">
        <v>2798</v>
      </c>
      <c r="G610" s="17" t="s">
        <v>2799</v>
      </c>
    </row>
    <row r="611" spans="1:7" ht="26.4" hidden="1">
      <c r="A611" s="17" t="s">
        <v>2800</v>
      </c>
      <c r="B611" s="17" t="s">
        <v>2801</v>
      </c>
      <c r="C611" s="17" t="s">
        <v>2145</v>
      </c>
      <c r="D611" s="17" t="s">
        <v>2146</v>
      </c>
      <c r="E611" s="17" t="s">
        <v>2147</v>
      </c>
      <c r="F611" s="17" t="s">
        <v>2802</v>
      </c>
      <c r="G611" s="17" t="s">
        <v>2803</v>
      </c>
    </row>
    <row r="612" spans="1:7" hidden="1">
      <c r="A612" s="17" t="s">
        <v>2804</v>
      </c>
      <c r="B612" s="17" t="s">
        <v>2805</v>
      </c>
      <c r="C612" s="17" t="s">
        <v>1450</v>
      </c>
      <c r="D612" s="17" t="s">
        <v>122</v>
      </c>
      <c r="E612" s="17" t="s">
        <v>1451</v>
      </c>
      <c r="F612" s="17" t="s">
        <v>2806</v>
      </c>
      <c r="G612" s="17" t="s">
        <v>2807</v>
      </c>
    </row>
    <row r="613" spans="1:7" hidden="1">
      <c r="A613" s="17" t="s">
        <v>2808</v>
      </c>
      <c r="B613" s="17" t="s">
        <v>2809</v>
      </c>
      <c r="C613" s="17" t="s">
        <v>2810</v>
      </c>
      <c r="D613" s="17" t="s">
        <v>430</v>
      </c>
      <c r="E613" s="17" t="s">
        <v>431</v>
      </c>
      <c r="F613" s="17" t="s">
        <v>2811</v>
      </c>
      <c r="G613" s="17" t="s">
        <v>2812</v>
      </c>
    </row>
    <row r="614" spans="1:7" hidden="1">
      <c r="A614" s="17" t="s">
        <v>2813</v>
      </c>
      <c r="B614" s="17" t="s">
        <v>2814</v>
      </c>
      <c r="C614" s="17" t="s">
        <v>147</v>
      </c>
      <c r="D614" s="17" t="s">
        <v>148</v>
      </c>
      <c r="E614" s="17" t="s">
        <v>149</v>
      </c>
      <c r="F614" s="17" t="s">
        <v>2815</v>
      </c>
      <c r="G614" s="17" t="s">
        <v>2816</v>
      </c>
    </row>
    <row r="615" spans="1:7" hidden="1">
      <c r="A615" s="17" t="s">
        <v>2817</v>
      </c>
      <c r="B615" s="17" t="s">
        <v>2818</v>
      </c>
      <c r="C615" s="17" t="s">
        <v>559</v>
      </c>
      <c r="D615" s="17" t="s">
        <v>560</v>
      </c>
      <c r="E615" s="17" t="s">
        <v>561</v>
      </c>
      <c r="F615" s="17" t="s">
        <v>2819</v>
      </c>
      <c r="G615" s="17" t="s">
        <v>2820</v>
      </c>
    </row>
    <row r="616" spans="1:7" hidden="1">
      <c r="A616" s="17" t="s">
        <v>2821</v>
      </c>
      <c r="B616" s="17" t="s">
        <v>2822</v>
      </c>
      <c r="C616" s="17" t="s">
        <v>1922</v>
      </c>
      <c r="D616" s="17" t="s">
        <v>1923</v>
      </c>
      <c r="E616" s="17" t="s">
        <v>1924</v>
      </c>
      <c r="F616" s="17" t="s">
        <v>2823</v>
      </c>
      <c r="G616" s="17" t="s">
        <v>2824</v>
      </c>
    </row>
    <row r="617" spans="1:7" hidden="1">
      <c r="A617" s="17" t="s">
        <v>2825</v>
      </c>
      <c r="B617" s="17" t="s">
        <v>2826</v>
      </c>
      <c r="C617" s="17" t="s">
        <v>559</v>
      </c>
      <c r="D617" s="17" t="s">
        <v>560</v>
      </c>
      <c r="E617" s="17" t="s">
        <v>561</v>
      </c>
      <c r="F617" s="17" t="s">
        <v>2827</v>
      </c>
      <c r="G617" s="17" t="s">
        <v>2828</v>
      </c>
    </row>
    <row r="618" spans="1:7" hidden="1">
      <c r="A618" s="17" t="s">
        <v>2829</v>
      </c>
      <c r="B618" s="17" t="s">
        <v>1047</v>
      </c>
      <c r="C618" s="17" t="s">
        <v>1122</v>
      </c>
      <c r="D618" s="17" t="s">
        <v>1049</v>
      </c>
      <c r="E618" s="17" t="s">
        <v>1124</v>
      </c>
      <c r="F618" s="17" t="s">
        <v>1051</v>
      </c>
      <c r="G618" s="17" t="s">
        <v>2433</v>
      </c>
    </row>
    <row r="619" spans="1:7" hidden="1">
      <c r="A619" s="17" t="s">
        <v>2830</v>
      </c>
      <c r="B619" s="17" t="s">
        <v>2831</v>
      </c>
      <c r="C619" s="17" t="s">
        <v>1781</v>
      </c>
      <c r="D619" s="17" t="s">
        <v>1782</v>
      </c>
      <c r="E619" s="17" t="s">
        <v>1783</v>
      </c>
      <c r="F619" s="17" t="s">
        <v>2832</v>
      </c>
      <c r="G619" s="17" t="s">
        <v>2833</v>
      </c>
    </row>
    <row r="620" spans="1:7" hidden="1">
      <c r="A620" s="17" t="s">
        <v>2834</v>
      </c>
      <c r="B620" s="17" t="s">
        <v>2835</v>
      </c>
      <c r="C620" s="17" t="s">
        <v>2180</v>
      </c>
      <c r="D620" s="17" t="s">
        <v>2181</v>
      </c>
      <c r="E620" s="17" t="s">
        <v>2182</v>
      </c>
      <c r="F620" s="17" t="s">
        <v>2836</v>
      </c>
      <c r="G620" s="17" t="s">
        <v>2837</v>
      </c>
    </row>
    <row r="621" spans="1:7" hidden="1">
      <c r="A621" s="17" t="s">
        <v>2838</v>
      </c>
      <c r="B621" s="17" t="s">
        <v>2839</v>
      </c>
      <c r="C621" s="17" t="s">
        <v>16</v>
      </c>
      <c r="D621" s="17" t="s">
        <v>17</v>
      </c>
      <c r="E621" s="17" t="s">
        <v>18</v>
      </c>
      <c r="F621" s="17" t="s">
        <v>2840</v>
      </c>
      <c r="G621" s="17" t="s">
        <v>2841</v>
      </c>
    </row>
    <row r="622" spans="1:7" hidden="1">
      <c r="A622" s="17" t="s">
        <v>2842</v>
      </c>
      <c r="B622" s="17" t="s">
        <v>2843</v>
      </c>
      <c r="C622" s="17" t="s">
        <v>224</v>
      </c>
      <c r="D622" s="17" t="s">
        <v>225</v>
      </c>
      <c r="E622" s="17" t="s">
        <v>226</v>
      </c>
      <c r="F622" s="17" t="s">
        <v>2844</v>
      </c>
      <c r="G622" s="17" t="s">
        <v>2845</v>
      </c>
    </row>
    <row r="623" spans="1:7" hidden="1">
      <c r="A623" s="17" t="s">
        <v>2846</v>
      </c>
      <c r="B623" s="17" t="s">
        <v>2847</v>
      </c>
      <c r="C623" s="17" t="s">
        <v>1813</v>
      </c>
      <c r="D623" s="17" t="s">
        <v>1814</v>
      </c>
      <c r="E623" s="17" t="s">
        <v>1815</v>
      </c>
      <c r="F623" s="17" t="s">
        <v>2848</v>
      </c>
      <c r="G623" s="17" t="s">
        <v>2849</v>
      </c>
    </row>
    <row r="624" spans="1:7" hidden="1">
      <c r="A624" s="17" t="s">
        <v>2850</v>
      </c>
      <c r="B624" s="17" t="s">
        <v>2851</v>
      </c>
      <c r="C624" s="17" t="s">
        <v>286</v>
      </c>
      <c r="D624" s="17" t="s">
        <v>287</v>
      </c>
      <c r="E624" s="17" t="s">
        <v>288</v>
      </c>
      <c r="F624" s="17" t="s">
        <v>2852</v>
      </c>
      <c r="G624" s="17" t="s">
        <v>2853</v>
      </c>
    </row>
    <row r="625" spans="1:7" ht="26.4" hidden="1">
      <c r="A625" s="17" t="s">
        <v>2854</v>
      </c>
      <c r="B625" s="17" t="s">
        <v>2855</v>
      </c>
      <c r="C625" s="17" t="s">
        <v>2856</v>
      </c>
      <c r="D625" s="17" t="s">
        <v>45</v>
      </c>
      <c r="E625" s="17" t="s">
        <v>46</v>
      </c>
      <c r="F625" s="17" t="s">
        <v>2857</v>
      </c>
      <c r="G625" s="17" t="s">
        <v>2858</v>
      </c>
    </row>
    <row r="626" spans="1:7" hidden="1">
      <c r="A626" s="17" t="s">
        <v>2859</v>
      </c>
      <c r="B626" s="17" t="s">
        <v>2860</v>
      </c>
      <c r="C626" s="17" t="s">
        <v>784</v>
      </c>
      <c r="D626" s="17" t="s">
        <v>785</v>
      </c>
      <c r="E626" s="17" t="s">
        <v>786</v>
      </c>
      <c r="F626" s="17" t="s">
        <v>2861</v>
      </c>
      <c r="G626" s="17" t="s">
        <v>2862</v>
      </c>
    </row>
    <row r="627" spans="1:7" hidden="1">
      <c r="A627" s="17" t="s">
        <v>56</v>
      </c>
      <c r="B627" s="17" t="s">
        <v>57</v>
      </c>
      <c r="C627" s="17" t="s">
        <v>58</v>
      </c>
      <c r="D627" s="17" t="s">
        <v>59</v>
      </c>
      <c r="E627" s="17" t="s">
        <v>60</v>
      </c>
      <c r="F627" s="17" t="s">
        <v>61</v>
      </c>
      <c r="G627" s="17" t="s">
        <v>1601</v>
      </c>
    </row>
    <row r="628" spans="1:7" hidden="1">
      <c r="A628" s="17" t="s">
        <v>2863</v>
      </c>
      <c r="B628" s="17" t="s">
        <v>2864</v>
      </c>
      <c r="C628" s="17" t="s">
        <v>1509</v>
      </c>
      <c r="D628" s="17" t="s">
        <v>1510</v>
      </c>
      <c r="E628" s="17" t="s">
        <v>1511</v>
      </c>
      <c r="F628" s="17" t="s">
        <v>2865</v>
      </c>
      <c r="G628" s="17" t="s">
        <v>2866</v>
      </c>
    </row>
    <row r="629" spans="1:7" hidden="1">
      <c r="A629" s="17" t="s">
        <v>2867</v>
      </c>
      <c r="B629" s="17" t="s">
        <v>2868</v>
      </c>
      <c r="C629" s="17" t="s">
        <v>2061</v>
      </c>
      <c r="D629" s="17" t="s">
        <v>2062</v>
      </c>
      <c r="E629" s="17" t="s">
        <v>2063</v>
      </c>
      <c r="F629" s="17" t="s">
        <v>2557</v>
      </c>
      <c r="G629" s="17" t="s">
        <v>2558</v>
      </c>
    </row>
    <row r="630" spans="1:7" hidden="1">
      <c r="A630" s="17" t="s">
        <v>2869</v>
      </c>
      <c r="B630" s="17" t="s">
        <v>2870</v>
      </c>
      <c r="C630" s="17" t="s">
        <v>1852</v>
      </c>
      <c r="D630" s="17" t="s">
        <v>1853</v>
      </c>
      <c r="E630" s="17" t="s">
        <v>1854</v>
      </c>
      <c r="F630" s="17" t="s">
        <v>2871</v>
      </c>
      <c r="G630" s="17" t="s">
        <v>2872</v>
      </c>
    </row>
    <row r="631" spans="1:7" hidden="1">
      <c r="A631" s="17" t="s">
        <v>2873</v>
      </c>
      <c r="B631" s="17" t="s">
        <v>2874</v>
      </c>
      <c r="C631" s="17" t="s">
        <v>176</v>
      </c>
      <c r="D631" s="17" t="s">
        <v>177</v>
      </c>
      <c r="E631" s="17" t="s">
        <v>178</v>
      </c>
      <c r="F631" s="17" t="s">
        <v>2875</v>
      </c>
      <c r="G631" s="17" t="s">
        <v>2876</v>
      </c>
    </row>
    <row r="632" spans="1:7" hidden="1">
      <c r="A632" s="17" t="s">
        <v>2877</v>
      </c>
      <c r="B632" s="17" t="s">
        <v>2878</v>
      </c>
      <c r="C632" s="17" t="s">
        <v>501</v>
      </c>
      <c r="D632" s="17" t="s">
        <v>502</v>
      </c>
      <c r="E632" s="17" t="s">
        <v>503</v>
      </c>
      <c r="F632" s="17" t="s">
        <v>2879</v>
      </c>
      <c r="G632" s="17" t="s">
        <v>2880</v>
      </c>
    </row>
    <row r="633" spans="1:7" ht="26.4" hidden="1">
      <c r="A633" s="17" t="s">
        <v>2881</v>
      </c>
      <c r="B633" s="17" t="s">
        <v>2882</v>
      </c>
      <c r="C633" s="17" t="s">
        <v>2883</v>
      </c>
      <c r="D633" s="17" t="s">
        <v>2884</v>
      </c>
      <c r="E633" s="17" t="s">
        <v>2885</v>
      </c>
      <c r="F633" s="17" t="s">
        <v>2886</v>
      </c>
      <c r="G633" s="17" t="s">
        <v>2887</v>
      </c>
    </row>
    <row r="634" spans="1:7" hidden="1">
      <c r="A634" s="17" t="s">
        <v>2888</v>
      </c>
      <c r="B634" s="17" t="s">
        <v>2889</v>
      </c>
      <c r="C634" s="17" t="s">
        <v>566</v>
      </c>
      <c r="D634" s="17" t="s">
        <v>567</v>
      </c>
      <c r="E634" s="17" t="s">
        <v>568</v>
      </c>
      <c r="F634" s="17" t="s">
        <v>2890</v>
      </c>
      <c r="G634" s="17" t="s">
        <v>2891</v>
      </c>
    </row>
    <row r="635" spans="1:7" hidden="1">
      <c r="A635" s="17" t="s">
        <v>2892</v>
      </c>
      <c r="B635" s="17" t="s">
        <v>2893</v>
      </c>
      <c r="C635" s="17" t="s">
        <v>559</v>
      </c>
      <c r="D635" s="17" t="s">
        <v>560</v>
      </c>
      <c r="E635" s="17" t="s">
        <v>561</v>
      </c>
      <c r="F635" s="17" t="s">
        <v>2894</v>
      </c>
      <c r="G635" s="17" t="s">
        <v>2895</v>
      </c>
    </row>
    <row r="636" spans="1:7" hidden="1">
      <c r="A636" s="17" t="s">
        <v>63</v>
      </c>
      <c r="B636" s="17" t="s">
        <v>64</v>
      </c>
      <c r="C636" s="17" t="s">
        <v>65</v>
      </c>
      <c r="D636" s="17" t="s">
        <v>66</v>
      </c>
      <c r="E636" s="17" t="s">
        <v>67</v>
      </c>
      <c r="F636" s="17" t="s">
        <v>68</v>
      </c>
      <c r="G636" s="17" t="s">
        <v>1644</v>
      </c>
    </row>
    <row r="637" spans="1:7" hidden="1">
      <c r="A637" s="17" t="s">
        <v>2896</v>
      </c>
      <c r="B637" s="17" t="s">
        <v>2897</v>
      </c>
      <c r="C637" s="17" t="s">
        <v>1509</v>
      </c>
      <c r="D637" s="17" t="s">
        <v>1510</v>
      </c>
      <c r="E637" s="17" t="s">
        <v>1511</v>
      </c>
      <c r="F637" s="17" t="s">
        <v>2898</v>
      </c>
      <c r="G637" s="17" t="s">
        <v>2899</v>
      </c>
    </row>
    <row r="638" spans="1:7" hidden="1">
      <c r="A638" s="17" t="s">
        <v>2900</v>
      </c>
      <c r="B638" s="17" t="s">
        <v>2901</v>
      </c>
      <c r="C638" s="17" t="s">
        <v>1570</v>
      </c>
      <c r="D638" s="17" t="s">
        <v>818</v>
      </c>
      <c r="E638" s="17" t="s">
        <v>819</v>
      </c>
      <c r="F638" s="17" t="s">
        <v>2902</v>
      </c>
      <c r="G638" s="17" t="s">
        <v>2903</v>
      </c>
    </row>
    <row r="639" spans="1:7" hidden="1">
      <c r="A639" s="17" t="s">
        <v>2904</v>
      </c>
      <c r="B639" s="17" t="s">
        <v>2905</v>
      </c>
      <c r="C639" s="17" t="s">
        <v>2906</v>
      </c>
      <c r="D639" s="17" t="s">
        <v>995</v>
      </c>
      <c r="E639" s="17" t="s">
        <v>996</v>
      </c>
      <c r="F639" s="17" t="s">
        <v>2907</v>
      </c>
      <c r="G639" s="17" t="s">
        <v>2908</v>
      </c>
    </row>
    <row r="640" spans="1:7" hidden="1">
      <c r="A640" s="17" t="s">
        <v>2909</v>
      </c>
      <c r="B640" s="17" t="s">
        <v>2910</v>
      </c>
      <c r="C640" s="17" t="s">
        <v>304</v>
      </c>
      <c r="D640" s="17" t="s">
        <v>305</v>
      </c>
      <c r="E640" s="17" t="s">
        <v>306</v>
      </c>
      <c r="F640" s="17" t="s">
        <v>2911</v>
      </c>
      <c r="G640" s="17" t="s">
        <v>2912</v>
      </c>
    </row>
    <row r="641" spans="1:7" hidden="1">
      <c r="A641" s="17" t="s">
        <v>2913</v>
      </c>
      <c r="B641" s="17" t="s">
        <v>2914</v>
      </c>
      <c r="C641" s="17" t="s">
        <v>418</v>
      </c>
      <c r="D641" s="17" t="s">
        <v>419</v>
      </c>
      <c r="E641" s="17" t="s">
        <v>420</v>
      </c>
      <c r="F641" s="17" t="s">
        <v>2915</v>
      </c>
      <c r="G641" s="17" t="s">
        <v>2916</v>
      </c>
    </row>
    <row r="642" spans="1:7" hidden="1">
      <c r="A642" s="17" t="s">
        <v>2917</v>
      </c>
      <c r="B642" s="17" t="s">
        <v>2918</v>
      </c>
      <c r="C642" s="17" t="s">
        <v>121</v>
      </c>
      <c r="D642" s="17" t="s">
        <v>122</v>
      </c>
      <c r="E642" s="17" t="s">
        <v>123</v>
      </c>
      <c r="F642" s="17" t="s">
        <v>2919</v>
      </c>
      <c r="G642" s="17" t="s">
        <v>2920</v>
      </c>
    </row>
    <row r="643" spans="1:7" hidden="1">
      <c r="A643" s="17" t="s">
        <v>2921</v>
      </c>
      <c r="B643" s="17" t="s">
        <v>2922</v>
      </c>
      <c r="C643" s="17" t="s">
        <v>93</v>
      </c>
      <c r="D643" s="17" t="s">
        <v>94</v>
      </c>
      <c r="E643" s="17" t="s">
        <v>95</v>
      </c>
      <c r="F643" s="17" t="s">
        <v>2923</v>
      </c>
      <c r="G643" s="17" t="s">
        <v>2924</v>
      </c>
    </row>
    <row r="644" spans="1:7" hidden="1">
      <c r="A644" s="17" t="s">
        <v>2925</v>
      </c>
      <c r="B644" s="17" t="s">
        <v>2926</v>
      </c>
      <c r="C644" s="17" t="s">
        <v>1409</v>
      </c>
      <c r="D644" s="17" t="s">
        <v>1410</v>
      </c>
      <c r="E644" s="17" t="s">
        <v>1411</v>
      </c>
      <c r="F644" s="17" t="s">
        <v>2927</v>
      </c>
      <c r="G644" s="17" t="s">
        <v>2928</v>
      </c>
    </row>
    <row r="645" spans="1:7" ht="26.4" hidden="1">
      <c r="A645" s="17" t="s">
        <v>2929</v>
      </c>
      <c r="B645" s="17" t="s">
        <v>2076</v>
      </c>
      <c r="C645" s="17" t="s">
        <v>715</v>
      </c>
      <c r="D645" s="17" t="s">
        <v>716</v>
      </c>
      <c r="E645" s="17" t="s">
        <v>717</v>
      </c>
      <c r="F645" s="17" t="s">
        <v>2077</v>
      </c>
      <c r="G645" s="17" t="s">
        <v>2078</v>
      </c>
    </row>
    <row r="646" spans="1:7" hidden="1">
      <c r="A646" s="17" t="s">
        <v>2930</v>
      </c>
      <c r="B646" s="17" t="s">
        <v>2931</v>
      </c>
      <c r="C646" s="17" t="s">
        <v>810</v>
      </c>
      <c r="D646" s="17" t="s">
        <v>811</v>
      </c>
      <c r="E646" s="17" t="s">
        <v>812</v>
      </c>
      <c r="F646" s="17" t="s">
        <v>2932</v>
      </c>
      <c r="G646" s="17" t="s">
        <v>2933</v>
      </c>
    </row>
    <row r="647" spans="1:7" ht="26.4" hidden="1">
      <c r="A647" s="17" t="s">
        <v>2075</v>
      </c>
      <c r="B647" s="17" t="s">
        <v>2076</v>
      </c>
      <c r="C647" s="17" t="s">
        <v>715</v>
      </c>
      <c r="D647" s="17" t="s">
        <v>716</v>
      </c>
      <c r="E647" s="17" t="s">
        <v>717</v>
      </c>
      <c r="F647" s="17" t="s">
        <v>2077</v>
      </c>
      <c r="G647" s="17" t="s">
        <v>2934</v>
      </c>
    </row>
    <row r="648" spans="1:7" ht="26.4" hidden="1">
      <c r="A648" s="17" t="s">
        <v>2929</v>
      </c>
      <c r="B648" s="17" t="s">
        <v>2076</v>
      </c>
      <c r="C648" s="17" t="s">
        <v>715</v>
      </c>
      <c r="D648" s="17" t="s">
        <v>716</v>
      </c>
      <c r="E648" s="17" t="s">
        <v>717</v>
      </c>
      <c r="F648" s="17" t="s">
        <v>2077</v>
      </c>
      <c r="G648" s="17" t="s">
        <v>2934</v>
      </c>
    </row>
    <row r="649" spans="1:7" ht="26.4" hidden="1">
      <c r="A649" s="17" t="s">
        <v>2130</v>
      </c>
      <c r="B649" s="17" t="s">
        <v>2131</v>
      </c>
      <c r="C649" s="17" t="s">
        <v>677</v>
      </c>
      <c r="D649" s="17" t="s">
        <v>678</v>
      </c>
      <c r="E649" s="17" t="s">
        <v>679</v>
      </c>
      <c r="F649" s="17" t="s">
        <v>2132</v>
      </c>
      <c r="G649" s="17" t="s">
        <v>2935</v>
      </c>
    </row>
    <row r="650" spans="1:7" ht="26.4" hidden="1">
      <c r="A650" s="17" t="s">
        <v>1023</v>
      </c>
      <c r="B650" s="17" t="s">
        <v>1024</v>
      </c>
      <c r="C650" s="17" t="s">
        <v>1025</v>
      </c>
      <c r="D650" s="17" t="s">
        <v>825</v>
      </c>
      <c r="E650" s="17" t="s">
        <v>826</v>
      </c>
      <c r="F650" s="17" t="s">
        <v>1026</v>
      </c>
      <c r="G650" s="17" t="s">
        <v>2936</v>
      </c>
    </row>
    <row r="651" spans="1:7" hidden="1">
      <c r="A651" s="17" t="s">
        <v>2937</v>
      </c>
      <c r="B651" s="17" t="s">
        <v>2938</v>
      </c>
      <c r="C651" s="17" t="s">
        <v>454</v>
      </c>
      <c r="D651" s="17" t="s">
        <v>455</v>
      </c>
      <c r="E651" s="17" t="s">
        <v>456</v>
      </c>
      <c r="F651" s="17" t="s">
        <v>2939</v>
      </c>
      <c r="G651" s="17" t="s">
        <v>2940</v>
      </c>
    </row>
    <row r="652" spans="1:7" hidden="1">
      <c r="A652" s="17" t="s">
        <v>2941</v>
      </c>
      <c r="B652" s="17" t="s">
        <v>2942</v>
      </c>
      <c r="C652" s="17" t="s">
        <v>169</v>
      </c>
      <c r="D652" s="17" t="s">
        <v>170</v>
      </c>
      <c r="E652" s="17" t="s">
        <v>171</v>
      </c>
      <c r="F652" s="17" t="s">
        <v>2943</v>
      </c>
      <c r="G652" s="17" t="s">
        <v>2944</v>
      </c>
    </row>
    <row r="653" spans="1:7" hidden="1">
      <c r="A653" s="17" t="s">
        <v>2945</v>
      </c>
      <c r="B653" s="17" t="s">
        <v>2316</v>
      </c>
      <c r="C653" s="17" t="s">
        <v>501</v>
      </c>
      <c r="D653" s="17" t="s">
        <v>502</v>
      </c>
      <c r="E653" s="17" t="s">
        <v>503</v>
      </c>
      <c r="F653" s="17" t="s">
        <v>2317</v>
      </c>
      <c r="G653" s="17" t="s">
        <v>2946</v>
      </c>
    </row>
    <row r="654" spans="1:7" hidden="1">
      <c r="A654" s="17" t="s">
        <v>2947</v>
      </c>
      <c r="B654" s="17" t="s">
        <v>2948</v>
      </c>
      <c r="C654" s="17" t="s">
        <v>197</v>
      </c>
      <c r="D654" s="17" t="s">
        <v>198</v>
      </c>
      <c r="E654" s="17" t="s">
        <v>199</v>
      </c>
      <c r="F654" s="17" t="s">
        <v>2949</v>
      </c>
      <c r="G654" s="17" t="s">
        <v>2950</v>
      </c>
    </row>
    <row r="655" spans="1:7" hidden="1">
      <c r="A655" s="17" t="s">
        <v>2951</v>
      </c>
      <c r="B655" s="17" t="s">
        <v>2952</v>
      </c>
      <c r="C655" s="17" t="s">
        <v>249</v>
      </c>
      <c r="D655" s="17" t="s">
        <v>250</v>
      </c>
      <c r="E655" s="17" t="s">
        <v>251</v>
      </c>
      <c r="F655" s="17" t="s">
        <v>2953</v>
      </c>
      <c r="G655" s="17" t="s">
        <v>2954</v>
      </c>
    </row>
    <row r="656" spans="1:7" ht="26.4" hidden="1">
      <c r="A656" s="17" t="s">
        <v>2955</v>
      </c>
      <c r="B656" s="17" t="s">
        <v>2956</v>
      </c>
      <c r="C656" s="17" t="s">
        <v>1998</v>
      </c>
      <c r="D656" s="17" t="s">
        <v>1999</v>
      </c>
      <c r="E656" s="17" t="s">
        <v>2000</v>
      </c>
      <c r="F656" s="17" t="s">
        <v>2957</v>
      </c>
      <c r="G656" s="17" t="s">
        <v>2958</v>
      </c>
    </row>
    <row r="657" spans="1:7" ht="26.4" hidden="1">
      <c r="A657" s="17" t="s">
        <v>2959</v>
      </c>
      <c r="B657" s="17" t="s">
        <v>1557</v>
      </c>
      <c r="C657" s="17" t="s">
        <v>677</v>
      </c>
      <c r="D657" s="17" t="s">
        <v>678</v>
      </c>
      <c r="E657" s="17" t="s">
        <v>679</v>
      </c>
      <c r="F657" s="17" t="s">
        <v>1558</v>
      </c>
      <c r="G657" s="17" t="s">
        <v>2559</v>
      </c>
    </row>
    <row r="658" spans="1:7" ht="26.4" hidden="1">
      <c r="A658" s="17" t="s">
        <v>2960</v>
      </c>
      <c r="B658" s="17" t="s">
        <v>2961</v>
      </c>
      <c r="C658" s="17" t="s">
        <v>2191</v>
      </c>
      <c r="D658" s="17" t="s">
        <v>2192</v>
      </c>
      <c r="E658" s="17" t="s">
        <v>2193</v>
      </c>
      <c r="F658" s="17" t="s">
        <v>2962</v>
      </c>
      <c r="G658" s="17" t="s">
        <v>2963</v>
      </c>
    </row>
    <row r="659" spans="1:7" ht="26.4" hidden="1">
      <c r="A659" s="17" t="s">
        <v>2964</v>
      </c>
      <c r="B659" s="17" t="s">
        <v>2965</v>
      </c>
      <c r="C659" s="17" t="s">
        <v>2733</v>
      </c>
      <c r="D659" s="17" t="s">
        <v>191</v>
      </c>
      <c r="E659" s="17" t="s">
        <v>192</v>
      </c>
      <c r="F659" s="17" t="s">
        <v>2966</v>
      </c>
      <c r="G659" s="17" t="s">
        <v>2967</v>
      </c>
    </row>
    <row r="660" spans="1:7" hidden="1">
      <c r="A660" s="17" t="s">
        <v>2968</v>
      </c>
      <c r="B660" s="17" t="s">
        <v>2969</v>
      </c>
      <c r="C660" s="17" t="s">
        <v>249</v>
      </c>
      <c r="D660" s="17" t="s">
        <v>250</v>
      </c>
      <c r="E660" s="17" t="s">
        <v>251</v>
      </c>
      <c r="F660" s="17" t="s">
        <v>2970</v>
      </c>
      <c r="G660" s="17" t="s">
        <v>2971</v>
      </c>
    </row>
    <row r="661" spans="1:7" hidden="1">
      <c r="A661" s="17" t="s">
        <v>2972</v>
      </c>
      <c r="B661" s="17" t="s">
        <v>2973</v>
      </c>
      <c r="C661" s="17" t="s">
        <v>2452</v>
      </c>
      <c r="D661" s="17" t="s">
        <v>2453</v>
      </c>
      <c r="E661" s="17" t="s">
        <v>2454</v>
      </c>
      <c r="F661" s="17" t="s">
        <v>2974</v>
      </c>
      <c r="G661" s="17" t="s">
        <v>2975</v>
      </c>
    </row>
    <row r="662" spans="1:7" hidden="1">
      <c r="A662" s="17" t="s">
        <v>2976</v>
      </c>
      <c r="B662" s="17" t="s">
        <v>2977</v>
      </c>
      <c r="C662" s="17" t="s">
        <v>128</v>
      </c>
      <c r="D662" s="17" t="s">
        <v>129</v>
      </c>
      <c r="E662" s="17" t="s">
        <v>130</v>
      </c>
      <c r="F662" s="17" t="s">
        <v>2978</v>
      </c>
      <c r="G662" s="17" t="s">
        <v>2979</v>
      </c>
    </row>
    <row r="663" spans="1:7" hidden="1">
      <c r="A663" s="17" t="s">
        <v>2980</v>
      </c>
      <c r="B663" s="17" t="s">
        <v>2981</v>
      </c>
      <c r="C663" s="17" t="s">
        <v>2982</v>
      </c>
      <c r="D663" s="17" t="s">
        <v>59</v>
      </c>
      <c r="E663" s="17" t="s">
        <v>60</v>
      </c>
      <c r="F663" s="17" t="s">
        <v>2983</v>
      </c>
      <c r="G663" s="17" t="s">
        <v>2984</v>
      </c>
    </row>
    <row r="664" spans="1:7" ht="26.4" hidden="1">
      <c r="A664" s="17" t="s">
        <v>2985</v>
      </c>
      <c r="B664" s="17" t="s">
        <v>2986</v>
      </c>
      <c r="C664" s="17" t="s">
        <v>2987</v>
      </c>
      <c r="D664" s="17" t="s">
        <v>462</v>
      </c>
      <c r="E664" s="17" t="s">
        <v>463</v>
      </c>
      <c r="F664" s="17" t="s">
        <v>2988</v>
      </c>
      <c r="G664" s="17" t="s">
        <v>2989</v>
      </c>
    </row>
    <row r="665" spans="1:7" hidden="1">
      <c r="A665" s="17" t="s">
        <v>2990</v>
      </c>
      <c r="B665" s="17" t="s">
        <v>2991</v>
      </c>
      <c r="C665" s="17" t="s">
        <v>2472</v>
      </c>
      <c r="D665" s="17" t="s">
        <v>2291</v>
      </c>
      <c r="E665" s="17" t="s">
        <v>869</v>
      </c>
      <c r="F665" s="17" t="s">
        <v>2992</v>
      </c>
      <c r="G665" s="17" t="s">
        <v>2993</v>
      </c>
    </row>
    <row r="666" spans="1:7" hidden="1">
      <c r="A666" s="17" t="s">
        <v>2994</v>
      </c>
      <c r="B666" s="17" t="s">
        <v>2995</v>
      </c>
      <c r="C666" s="17" t="s">
        <v>1159</v>
      </c>
      <c r="D666" s="17" t="s">
        <v>1160</v>
      </c>
      <c r="E666" s="17" t="s">
        <v>1161</v>
      </c>
      <c r="F666" s="17" t="s">
        <v>2996</v>
      </c>
      <c r="G666" s="17" t="s">
        <v>2997</v>
      </c>
    </row>
    <row r="667" spans="1:7" ht="26.4" hidden="1">
      <c r="A667" s="17" t="s">
        <v>2998</v>
      </c>
      <c r="B667" s="17" t="s">
        <v>2999</v>
      </c>
      <c r="C667" s="17" t="s">
        <v>365</v>
      </c>
      <c r="D667" s="17" t="s">
        <v>366</v>
      </c>
      <c r="E667" s="17" t="s">
        <v>367</v>
      </c>
      <c r="F667" s="17" t="s">
        <v>3000</v>
      </c>
      <c r="G667" s="17" t="s">
        <v>3001</v>
      </c>
    </row>
    <row r="668" spans="1:7" hidden="1">
      <c r="A668" s="17" t="s">
        <v>3002</v>
      </c>
      <c r="B668" s="17" t="s">
        <v>3003</v>
      </c>
      <c r="C668" s="17" t="s">
        <v>154</v>
      </c>
      <c r="D668" s="17" t="s">
        <v>155</v>
      </c>
      <c r="E668" s="17" t="s">
        <v>156</v>
      </c>
      <c r="F668" s="17" t="s">
        <v>3004</v>
      </c>
      <c r="G668" s="17" t="s">
        <v>3005</v>
      </c>
    </row>
    <row r="669" spans="1:7" hidden="1">
      <c r="A669" s="17" t="s">
        <v>3006</v>
      </c>
      <c r="B669" s="17" t="s">
        <v>3007</v>
      </c>
      <c r="C669" s="17" t="s">
        <v>1247</v>
      </c>
      <c r="D669" s="17" t="s">
        <v>1248</v>
      </c>
      <c r="E669" s="17" t="s">
        <v>1249</v>
      </c>
      <c r="F669" s="17" t="s">
        <v>3008</v>
      </c>
      <c r="G669" s="17" t="s">
        <v>3009</v>
      </c>
    </row>
    <row r="670" spans="1:7" hidden="1">
      <c r="A670" s="17" t="s">
        <v>3010</v>
      </c>
      <c r="B670" s="17" t="s">
        <v>3011</v>
      </c>
      <c r="C670" s="17" t="s">
        <v>1089</v>
      </c>
      <c r="D670" s="17" t="s">
        <v>1090</v>
      </c>
      <c r="E670" s="17" t="s">
        <v>1091</v>
      </c>
      <c r="F670" s="17" t="s">
        <v>3012</v>
      </c>
      <c r="G670" s="17" t="s">
        <v>3013</v>
      </c>
    </row>
    <row r="671" spans="1:7" hidden="1">
      <c r="A671" s="17" t="s">
        <v>3014</v>
      </c>
      <c r="B671" s="17" t="s">
        <v>3015</v>
      </c>
      <c r="C671" s="17" t="s">
        <v>1712</v>
      </c>
      <c r="D671" s="17" t="s">
        <v>1713</v>
      </c>
      <c r="E671" s="17" t="s">
        <v>1714</v>
      </c>
      <c r="F671" s="17" t="s">
        <v>3016</v>
      </c>
      <c r="G671" s="17" t="s">
        <v>3017</v>
      </c>
    </row>
    <row r="672" spans="1:7" ht="26.4" hidden="1">
      <c r="A672" s="17" t="s">
        <v>3018</v>
      </c>
      <c r="B672" s="17" t="s">
        <v>3019</v>
      </c>
      <c r="C672" s="17" t="s">
        <v>684</v>
      </c>
      <c r="D672" s="17" t="s">
        <v>685</v>
      </c>
      <c r="E672" s="17" t="s">
        <v>686</v>
      </c>
      <c r="F672" s="17" t="s">
        <v>3020</v>
      </c>
      <c r="G672" s="17" t="s">
        <v>3021</v>
      </c>
    </row>
    <row r="673" spans="1:7" hidden="1">
      <c r="A673" s="17" t="s">
        <v>2476</v>
      </c>
      <c r="B673" s="17" t="s">
        <v>1280</v>
      </c>
      <c r="C673" s="17" t="s">
        <v>495</v>
      </c>
      <c r="D673" s="17" t="s">
        <v>184</v>
      </c>
      <c r="E673" s="17" t="s">
        <v>185</v>
      </c>
      <c r="F673" s="17" t="s">
        <v>1281</v>
      </c>
      <c r="G673" s="17" t="s">
        <v>1282</v>
      </c>
    </row>
    <row r="674" spans="1:7" hidden="1">
      <c r="A674" s="17" t="s">
        <v>3022</v>
      </c>
      <c r="B674" s="17" t="s">
        <v>3023</v>
      </c>
      <c r="C674" s="17" t="s">
        <v>2587</v>
      </c>
      <c r="D674" s="17" t="s">
        <v>2588</v>
      </c>
      <c r="E674" s="17" t="s">
        <v>2589</v>
      </c>
      <c r="F674" s="17" t="s">
        <v>3024</v>
      </c>
      <c r="G674" s="17" t="s">
        <v>3025</v>
      </c>
    </row>
    <row r="675" spans="1:7" hidden="1">
      <c r="A675" s="17" t="s">
        <v>3026</v>
      </c>
      <c r="B675" s="17" t="s">
        <v>3027</v>
      </c>
      <c r="C675" s="17" t="s">
        <v>790</v>
      </c>
      <c r="D675" s="17" t="s">
        <v>791</v>
      </c>
      <c r="E675" s="17" t="s">
        <v>792</v>
      </c>
      <c r="F675" s="17" t="s">
        <v>3028</v>
      </c>
      <c r="G675" s="17" t="s">
        <v>3029</v>
      </c>
    </row>
    <row r="676" spans="1:7" hidden="1">
      <c r="A676" s="17" t="s">
        <v>3030</v>
      </c>
      <c r="B676" s="17" t="s">
        <v>3031</v>
      </c>
      <c r="C676" s="17" t="s">
        <v>665</v>
      </c>
      <c r="D676" s="17" t="s">
        <v>666</v>
      </c>
      <c r="E676" s="17" t="s">
        <v>667</v>
      </c>
      <c r="F676" s="17" t="s">
        <v>3032</v>
      </c>
      <c r="G676" s="17" t="s">
        <v>3033</v>
      </c>
    </row>
    <row r="677" spans="1:7" hidden="1">
      <c r="A677" s="17" t="s">
        <v>3034</v>
      </c>
      <c r="B677" s="17" t="s">
        <v>3035</v>
      </c>
      <c r="C677" s="17" t="s">
        <v>1292</v>
      </c>
      <c r="D677" s="17" t="s">
        <v>38</v>
      </c>
      <c r="E677" s="17" t="s">
        <v>1293</v>
      </c>
      <c r="F677" s="17" t="s">
        <v>3036</v>
      </c>
      <c r="G677" s="17" t="s">
        <v>3037</v>
      </c>
    </row>
    <row r="678" spans="1:7" hidden="1">
      <c r="A678" s="17" t="s">
        <v>3038</v>
      </c>
      <c r="B678" s="17" t="s">
        <v>3039</v>
      </c>
      <c r="C678" s="17" t="s">
        <v>37</v>
      </c>
      <c r="D678" s="17" t="s">
        <v>1326</v>
      </c>
      <c r="E678" s="17" t="s">
        <v>39</v>
      </c>
      <c r="F678" s="17" t="s">
        <v>3040</v>
      </c>
      <c r="G678" s="17" t="s">
        <v>3041</v>
      </c>
    </row>
    <row r="679" spans="1:7" hidden="1">
      <c r="A679" s="17" t="s">
        <v>3042</v>
      </c>
      <c r="B679" s="17" t="s">
        <v>3043</v>
      </c>
      <c r="C679" s="17" t="s">
        <v>1292</v>
      </c>
      <c r="D679" s="17" t="s">
        <v>38</v>
      </c>
      <c r="E679" s="17" t="s">
        <v>1293</v>
      </c>
      <c r="F679" s="17" t="s">
        <v>3044</v>
      </c>
      <c r="G679" s="17" t="s">
        <v>3045</v>
      </c>
    </row>
    <row r="680" spans="1:7" hidden="1">
      <c r="A680" s="17" t="s">
        <v>3046</v>
      </c>
      <c r="B680" s="17" t="s">
        <v>3047</v>
      </c>
      <c r="C680" s="17" t="s">
        <v>1315</v>
      </c>
      <c r="D680" s="17" t="s">
        <v>1316</v>
      </c>
      <c r="E680" s="17" t="s">
        <v>1317</v>
      </c>
      <c r="F680" s="17" t="s">
        <v>3048</v>
      </c>
      <c r="G680" s="17" t="s">
        <v>3049</v>
      </c>
    </row>
    <row r="681" spans="1:7" hidden="1">
      <c r="A681" s="17" t="s">
        <v>3050</v>
      </c>
      <c r="B681" s="17" t="s">
        <v>3051</v>
      </c>
      <c r="C681" s="17" t="s">
        <v>684</v>
      </c>
      <c r="D681" s="17" t="s">
        <v>685</v>
      </c>
      <c r="E681" s="17" t="s">
        <v>686</v>
      </c>
      <c r="F681" s="17" t="s">
        <v>3052</v>
      </c>
      <c r="G681" s="17" t="s">
        <v>3053</v>
      </c>
    </row>
    <row r="682" spans="1:7" hidden="1">
      <c r="A682" s="17" t="s">
        <v>3054</v>
      </c>
      <c r="B682" s="17" t="s">
        <v>3055</v>
      </c>
      <c r="C682" s="17" t="s">
        <v>1991</v>
      </c>
      <c r="D682" s="17" t="s">
        <v>1992</v>
      </c>
      <c r="E682" s="17" t="s">
        <v>1993</v>
      </c>
      <c r="F682" s="17" t="s">
        <v>3056</v>
      </c>
      <c r="G682" s="17" t="s">
        <v>3057</v>
      </c>
    </row>
    <row r="683" spans="1:7" hidden="1">
      <c r="A683" s="17" t="s">
        <v>3058</v>
      </c>
      <c r="B683" s="17" t="s">
        <v>3059</v>
      </c>
      <c r="C683" s="17" t="s">
        <v>1536</v>
      </c>
      <c r="D683" s="17" t="s">
        <v>1537</v>
      </c>
      <c r="E683" s="17" t="s">
        <v>1538</v>
      </c>
      <c r="F683" s="17" t="s">
        <v>3060</v>
      </c>
      <c r="G683" s="17" t="s">
        <v>3061</v>
      </c>
    </row>
    <row r="684" spans="1:7" hidden="1">
      <c r="A684" s="17" t="s">
        <v>3062</v>
      </c>
      <c r="B684" s="17" t="s">
        <v>1752</v>
      </c>
      <c r="C684" s="17" t="s">
        <v>495</v>
      </c>
      <c r="D684" s="17" t="s">
        <v>184</v>
      </c>
      <c r="E684" s="17" t="s">
        <v>185</v>
      </c>
      <c r="F684" s="17" t="s">
        <v>1753</v>
      </c>
      <c r="G684" s="17" t="s">
        <v>2610</v>
      </c>
    </row>
    <row r="685" spans="1:7" hidden="1">
      <c r="A685" s="17" t="s">
        <v>3063</v>
      </c>
      <c r="B685" s="17" t="s">
        <v>3064</v>
      </c>
      <c r="C685" s="17" t="s">
        <v>3065</v>
      </c>
      <c r="D685" s="17" t="s">
        <v>3066</v>
      </c>
      <c r="E685" s="17" t="s">
        <v>3067</v>
      </c>
      <c r="F685" s="17" t="s">
        <v>3068</v>
      </c>
      <c r="G685" s="17" t="s">
        <v>3069</v>
      </c>
    </row>
    <row r="686" spans="1:7" hidden="1">
      <c r="A686" s="17" t="s">
        <v>3070</v>
      </c>
      <c r="B686" s="17" t="s">
        <v>3071</v>
      </c>
      <c r="C686" s="17" t="s">
        <v>3072</v>
      </c>
      <c r="D686" s="17" t="s">
        <v>2291</v>
      </c>
      <c r="E686" s="17" t="s">
        <v>3073</v>
      </c>
      <c r="F686" s="17" t="s">
        <v>3074</v>
      </c>
      <c r="G686" s="17" t="s">
        <v>3075</v>
      </c>
    </row>
    <row r="687" spans="1:7" hidden="1">
      <c r="A687" s="17" t="s">
        <v>3076</v>
      </c>
      <c r="B687" s="17" t="s">
        <v>3077</v>
      </c>
      <c r="C687" s="17" t="s">
        <v>629</v>
      </c>
      <c r="D687" s="17" t="s">
        <v>630</v>
      </c>
      <c r="E687" s="17" t="s">
        <v>631</v>
      </c>
      <c r="F687" s="17" t="s">
        <v>3078</v>
      </c>
      <c r="G687" s="17" t="s">
        <v>3079</v>
      </c>
    </row>
    <row r="688" spans="1:7" hidden="1">
      <c r="A688" s="17" t="s">
        <v>3080</v>
      </c>
      <c r="B688" s="17" t="s">
        <v>3081</v>
      </c>
      <c r="C688" s="17" t="s">
        <v>3082</v>
      </c>
      <c r="D688" s="17" t="s">
        <v>832</v>
      </c>
      <c r="E688" s="17" t="s">
        <v>3083</v>
      </c>
      <c r="F688" s="17" t="s">
        <v>3084</v>
      </c>
      <c r="G688" s="17" t="s">
        <v>3085</v>
      </c>
    </row>
    <row r="689" spans="1:7" hidden="1">
      <c r="A689" s="17" t="s">
        <v>3086</v>
      </c>
      <c r="B689" s="17" t="s">
        <v>3087</v>
      </c>
      <c r="C689" s="17" t="s">
        <v>154</v>
      </c>
      <c r="D689" s="17" t="s">
        <v>155</v>
      </c>
      <c r="E689" s="17" t="s">
        <v>156</v>
      </c>
      <c r="F689" s="17" t="s">
        <v>3088</v>
      </c>
      <c r="G689" s="17" t="s">
        <v>3089</v>
      </c>
    </row>
    <row r="690" spans="1:7" hidden="1">
      <c r="A690" s="17" t="s">
        <v>3090</v>
      </c>
      <c r="B690" s="17" t="s">
        <v>3091</v>
      </c>
      <c r="C690" s="17" t="s">
        <v>696</v>
      </c>
      <c r="D690" s="17" t="s">
        <v>697</v>
      </c>
      <c r="E690" s="17" t="s">
        <v>698</v>
      </c>
      <c r="F690" s="17" t="s">
        <v>3092</v>
      </c>
      <c r="G690" s="17" t="s">
        <v>3093</v>
      </c>
    </row>
    <row r="691" spans="1:7" hidden="1">
      <c r="A691" s="17" t="s">
        <v>3094</v>
      </c>
      <c r="B691" s="17" t="s">
        <v>3095</v>
      </c>
      <c r="C691" s="17" t="s">
        <v>325</v>
      </c>
      <c r="D691" s="17" t="s">
        <v>218</v>
      </c>
      <c r="E691" s="17" t="s">
        <v>219</v>
      </c>
      <c r="F691" s="17" t="s">
        <v>3096</v>
      </c>
      <c r="G691" s="17" t="s">
        <v>3097</v>
      </c>
    </row>
    <row r="692" spans="1:7" hidden="1">
      <c r="A692" s="17" t="s">
        <v>3098</v>
      </c>
      <c r="B692" s="17" t="s">
        <v>3099</v>
      </c>
      <c r="C692" s="17" t="s">
        <v>2046</v>
      </c>
      <c r="D692" s="17" t="s">
        <v>578</v>
      </c>
      <c r="E692" s="17" t="s">
        <v>2047</v>
      </c>
      <c r="F692" s="17" t="s">
        <v>3100</v>
      </c>
      <c r="G692" s="17" t="s">
        <v>3101</v>
      </c>
    </row>
    <row r="693" spans="1:7" hidden="1">
      <c r="A693" s="17" t="s">
        <v>3102</v>
      </c>
      <c r="B693" s="17" t="s">
        <v>3103</v>
      </c>
      <c r="C693" s="17" t="s">
        <v>979</v>
      </c>
      <c r="D693" s="17" t="s">
        <v>980</v>
      </c>
      <c r="E693" s="17" t="s">
        <v>981</v>
      </c>
      <c r="F693" s="17" t="s">
        <v>3104</v>
      </c>
      <c r="G693" s="17" t="s">
        <v>3105</v>
      </c>
    </row>
    <row r="694" spans="1:7" hidden="1">
      <c r="A694" s="17" t="s">
        <v>3106</v>
      </c>
      <c r="B694" s="17" t="s">
        <v>3107</v>
      </c>
      <c r="C694" s="17" t="s">
        <v>2202</v>
      </c>
      <c r="D694" s="17" t="s">
        <v>2203</v>
      </c>
      <c r="E694" s="17" t="s">
        <v>2204</v>
      </c>
      <c r="F694" s="17" t="s">
        <v>3108</v>
      </c>
      <c r="G694" s="17" t="s">
        <v>3109</v>
      </c>
    </row>
    <row r="695" spans="1:7" hidden="1">
      <c r="A695" s="17" t="s">
        <v>3110</v>
      </c>
      <c r="B695" s="17" t="s">
        <v>3111</v>
      </c>
      <c r="C695" s="17" t="s">
        <v>784</v>
      </c>
      <c r="D695" s="17" t="s">
        <v>1167</v>
      </c>
      <c r="E695" s="17" t="s">
        <v>786</v>
      </c>
      <c r="F695" s="17" t="s">
        <v>3112</v>
      </c>
      <c r="G695" s="17" t="s">
        <v>3113</v>
      </c>
    </row>
    <row r="696" spans="1:7" hidden="1">
      <c r="A696" s="17" t="s">
        <v>3114</v>
      </c>
      <c r="B696" s="17" t="s">
        <v>3115</v>
      </c>
      <c r="C696" s="17" t="s">
        <v>1089</v>
      </c>
      <c r="D696" s="17" t="s">
        <v>1090</v>
      </c>
      <c r="E696" s="17" t="s">
        <v>1091</v>
      </c>
      <c r="F696" s="17" t="s">
        <v>3116</v>
      </c>
      <c r="G696" s="17" t="s">
        <v>3117</v>
      </c>
    </row>
    <row r="697" spans="1:7" hidden="1">
      <c r="A697" s="17" t="s">
        <v>3118</v>
      </c>
      <c r="B697" s="17" t="s">
        <v>3119</v>
      </c>
      <c r="C697" s="17" t="s">
        <v>2017</v>
      </c>
      <c r="D697" s="17" t="s">
        <v>2018</v>
      </c>
      <c r="E697" s="17" t="s">
        <v>2019</v>
      </c>
      <c r="F697" s="17" t="s">
        <v>3120</v>
      </c>
      <c r="G697" s="17" t="s">
        <v>3121</v>
      </c>
    </row>
    <row r="698" spans="1:7" hidden="1">
      <c r="A698" s="17" t="s">
        <v>793</v>
      </c>
      <c r="B698" s="17" t="s">
        <v>794</v>
      </c>
      <c r="C698" s="17" t="s">
        <v>501</v>
      </c>
      <c r="D698" s="17" t="s">
        <v>502</v>
      </c>
      <c r="E698" s="17" t="s">
        <v>503</v>
      </c>
      <c r="F698" s="17" t="s">
        <v>795</v>
      </c>
      <c r="G698" s="17" t="s">
        <v>2683</v>
      </c>
    </row>
    <row r="699" spans="1:7" ht="26.4" hidden="1">
      <c r="A699" s="17" t="s">
        <v>3122</v>
      </c>
      <c r="B699" s="17" t="s">
        <v>3123</v>
      </c>
      <c r="C699" s="17" t="s">
        <v>1915</v>
      </c>
      <c r="D699" s="17" t="s">
        <v>1916</v>
      </c>
      <c r="E699" s="17" t="s">
        <v>1917</v>
      </c>
      <c r="F699" s="17" t="s">
        <v>3124</v>
      </c>
      <c r="G699" s="17" t="s">
        <v>3125</v>
      </c>
    </row>
    <row r="700" spans="1:7" hidden="1">
      <c r="A700" s="17" t="s">
        <v>3126</v>
      </c>
      <c r="B700" s="17" t="s">
        <v>3127</v>
      </c>
      <c r="C700" s="17" t="s">
        <v>365</v>
      </c>
      <c r="D700" s="17" t="s">
        <v>366</v>
      </c>
      <c r="E700" s="17" t="s">
        <v>367</v>
      </c>
      <c r="F700" s="17" t="s">
        <v>3128</v>
      </c>
      <c r="G700" s="17" t="s">
        <v>3129</v>
      </c>
    </row>
    <row r="701" spans="1:7" hidden="1">
      <c r="A701" s="17" t="s">
        <v>2682</v>
      </c>
      <c r="B701" s="17" t="s">
        <v>794</v>
      </c>
      <c r="C701" s="17" t="s">
        <v>501</v>
      </c>
      <c r="D701" s="17" t="s">
        <v>502</v>
      </c>
      <c r="E701" s="17" t="s">
        <v>503</v>
      </c>
      <c r="F701" s="17" t="s">
        <v>795</v>
      </c>
      <c r="G701" s="17" t="s">
        <v>796</v>
      </c>
    </row>
    <row r="702" spans="1:7" ht="26.4" hidden="1">
      <c r="A702" s="17" t="s">
        <v>3130</v>
      </c>
      <c r="B702" s="17" t="s">
        <v>3131</v>
      </c>
      <c r="C702" s="17" t="s">
        <v>183</v>
      </c>
      <c r="D702" s="17" t="s">
        <v>3132</v>
      </c>
      <c r="E702" s="17" t="s">
        <v>185</v>
      </c>
      <c r="F702" s="17" t="s">
        <v>3133</v>
      </c>
      <c r="G702" s="17" t="s">
        <v>3134</v>
      </c>
    </row>
    <row r="703" spans="1:7" hidden="1">
      <c r="A703" s="17" t="s">
        <v>3135</v>
      </c>
      <c r="B703" s="17" t="s">
        <v>3136</v>
      </c>
      <c r="C703" s="17" t="s">
        <v>1096</v>
      </c>
      <c r="D703" s="17" t="s">
        <v>1097</v>
      </c>
      <c r="E703" s="17" t="s">
        <v>1098</v>
      </c>
      <c r="F703" s="17" t="s">
        <v>3137</v>
      </c>
      <c r="G703" s="17" t="s">
        <v>3138</v>
      </c>
    </row>
    <row r="704" spans="1:7" hidden="1">
      <c r="A704" s="17" t="s">
        <v>3139</v>
      </c>
      <c r="B704" s="17" t="s">
        <v>3140</v>
      </c>
      <c r="C704" s="17" t="s">
        <v>365</v>
      </c>
      <c r="D704" s="17" t="s">
        <v>366</v>
      </c>
      <c r="E704" s="17" t="s">
        <v>367</v>
      </c>
      <c r="F704" s="17" t="s">
        <v>3141</v>
      </c>
      <c r="G704" s="17" t="s">
        <v>3142</v>
      </c>
    </row>
    <row r="705" spans="1:7" hidden="1">
      <c r="A705" s="17" t="s">
        <v>3143</v>
      </c>
      <c r="B705" s="17" t="s">
        <v>3144</v>
      </c>
      <c r="C705" s="17" t="s">
        <v>3145</v>
      </c>
      <c r="D705" s="17" t="s">
        <v>2062</v>
      </c>
      <c r="E705" s="17" t="s">
        <v>2063</v>
      </c>
      <c r="F705" s="17" t="s">
        <v>2557</v>
      </c>
      <c r="G705" s="17" t="s">
        <v>3146</v>
      </c>
    </row>
    <row r="706" spans="1:7" hidden="1">
      <c r="A706" s="17" t="s">
        <v>3147</v>
      </c>
      <c r="B706" s="17" t="s">
        <v>3148</v>
      </c>
      <c r="C706" s="17" t="s">
        <v>3149</v>
      </c>
      <c r="D706" s="17" t="s">
        <v>756</v>
      </c>
      <c r="E706" s="17" t="s">
        <v>757</v>
      </c>
      <c r="F706" s="17" t="s">
        <v>3150</v>
      </c>
      <c r="G706" s="17" t="s">
        <v>3151</v>
      </c>
    </row>
    <row r="707" spans="1:7" hidden="1">
      <c r="A707" s="17" t="s">
        <v>3152</v>
      </c>
      <c r="B707" s="17" t="s">
        <v>3153</v>
      </c>
      <c r="C707" s="17" t="s">
        <v>1509</v>
      </c>
      <c r="D707" s="17" t="s">
        <v>1510</v>
      </c>
      <c r="E707" s="17" t="s">
        <v>1511</v>
      </c>
      <c r="F707" s="17" t="s">
        <v>3154</v>
      </c>
      <c r="G707" s="17" t="s">
        <v>3155</v>
      </c>
    </row>
    <row r="708" spans="1:7" hidden="1">
      <c r="A708" s="17" t="s">
        <v>3156</v>
      </c>
      <c r="B708" s="17" t="s">
        <v>3157</v>
      </c>
      <c r="C708" s="17" t="s">
        <v>2517</v>
      </c>
      <c r="D708" s="17" t="s">
        <v>2518</v>
      </c>
      <c r="E708" s="17" t="s">
        <v>2519</v>
      </c>
      <c r="F708" s="17" t="s">
        <v>3158</v>
      </c>
      <c r="G708" s="17" t="s">
        <v>3159</v>
      </c>
    </row>
    <row r="709" spans="1:7" hidden="1">
      <c r="A709" s="17" t="s">
        <v>3160</v>
      </c>
      <c r="B709" s="17" t="s">
        <v>3161</v>
      </c>
      <c r="C709" s="17" t="s">
        <v>2310</v>
      </c>
      <c r="D709" s="17" t="s">
        <v>2311</v>
      </c>
      <c r="E709" s="17" t="s">
        <v>2312</v>
      </c>
      <c r="F709" s="17" t="s">
        <v>3162</v>
      </c>
      <c r="G709" s="17" t="s">
        <v>3163</v>
      </c>
    </row>
    <row r="710" spans="1:7" hidden="1">
      <c r="A710" s="17" t="s">
        <v>2945</v>
      </c>
      <c r="B710" s="17" t="s">
        <v>2316</v>
      </c>
      <c r="C710" s="17" t="s">
        <v>501</v>
      </c>
      <c r="D710" s="17" t="s">
        <v>502</v>
      </c>
      <c r="E710" s="17" t="s">
        <v>503</v>
      </c>
      <c r="F710" s="17" t="s">
        <v>2317</v>
      </c>
      <c r="G710" s="17" t="s">
        <v>2318</v>
      </c>
    </row>
    <row r="711" spans="1:7" ht="26.4" hidden="1">
      <c r="A711" s="17" t="s">
        <v>3164</v>
      </c>
      <c r="B711" s="17" t="s">
        <v>3165</v>
      </c>
      <c r="C711" s="17" t="s">
        <v>1439</v>
      </c>
      <c r="D711" s="17" t="s">
        <v>974</v>
      </c>
      <c r="E711" s="17" t="s">
        <v>1440</v>
      </c>
      <c r="F711" s="17" t="s">
        <v>3166</v>
      </c>
      <c r="G711" s="17" t="s">
        <v>3167</v>
      </c>
    </row>
    <row r="712" spans="1:7" ht="26.4" hidden="1">
      <c r="A712" s="17" t="s">
        <v>689</v>
      </c>
      <c r="B712" s="17" t="s">
        <v>690</v>
      </c>
      <c r="C712" s="17" t="s">
        <v>44</v>
      </c>
      <c r="D712" s="17" t="s">
        <v>45</v>
      </c>
      <c r="E712" s="17" t="s">
        <v>46</v>
      </c>
      <c r="F712" s="17" t="s">
        <v>691</v>
      </c>
      <c r="G712" s="17" t="s">
        <v>2345</v>
      </c>
    </row>
    <row r="713" spans="1:7" hidden="1">
      <c r="A713" s="17" t="s">
        <v>3168</v>
      </c>
      <c r="B713" s="17" t="s">
        <v>3169</v>
      </c>
      <c r="C713" s="17" t="s">
        <v>2987</v>
      </c>
      <c r="D713" s="17" t="s">
        <v>462</v>
      </c>
      <c r="E713" s="17" t="s">
        <v>463</v>
      </c>
      <c r="F713" s="17" t="s">
        <v>3170</v>
      </c>
      <c r="G713" s="17" t="s">
        <v>3171</v>
      </c>
    </row>
    <row r="714" spans="1:7" hidden="1">
      <c r="A714" s="17" t="s">
        <v>3172</v>
      </c>
      <c r="B714" s="17" t="s">
        <v>3173</v>
      </c>
      <c r="C714" s="17" t="s">
        <v>3174</v>
      </c>
      <c r="D714" s="17" t="s">
        <v>1548</v>
      </c>
      <c r="E714" s="17" t="s">
        <v>1549</v>
      </c>
      <c r="F714" s="17" t="s">
        <v>3175</v>
      </c>
      <c r="G714" s="17" t="s">
        <v>3176</v>
      </c>
    </row>
    <row r="715" spans="1:7" hidden="1">
      <c r="A715" s="17" t="s">
        <v>3177</v>
      </c>
      <c r="B715" s="17" t="s">
        <v>3178</v>
      </c>
      <c r="C715" s="17" t="s">
        <v>1732</v>
      </c>
      <c r="D715" s="17" t="s">
        <v>1733</v>
      </c>
      <c r="E715" s="17" t="s">
        <v>1734</v>
      </c>
      <c r="F715" s="17" t="s">
        <v>3179</v>
      </c>
      <c r="G715" s="17" t="s">
        <v>3180</v>
      </c>
    </row>
    <row r="716" spans="1:7" ht="26.4" hidden="1">
      <c r="A716" s="17" t="s">
        <v>2427</v>
      </c>
      <c r="B716" s="17" t="s">
        <v>1565</v>
      </c>
      <c r="C716" s="17" t="s">
        <v>1025</v>
      </c>
      <c r="D716" s="17" t="s">
        <v>825</v>
      </c>
      <c r="E716" s="17" t="s">
        <v>826</v>
      </c>
      <c r="F716" s="17" t="s">
        <v>1566</v>
      </c>
      <c r="G716" s="17" t="s">
        <v>2350</v>
      </c>
    </row>
    <row r="717" spans="1:7" hidden="1">
      <c r="A717" s="17" t="s">
        <v>3181</v>
      </c>
      <c r="B717" s="17" t="s">
        <v>3182</v>
      </c>
      <c r="C717" s="17" t="s">
        <v>1922</v>
      </c>
      <c r="D717" s="17" t="s">
        <v>1923</v>
      </c>
      <c r="E717" s="17" t="s">
        <v>1924</v>
      </c>
      <c r="F717" s="17" t="s">
        <v>3183</v>
      </c>
      <c r="G717" s="17" t="s">
        <v>3184</v>
      </c>
    </row>
    <row r="718" spans="1:7" hidden="1">
      <c r="A718" s="17" t="s">
        <v>3185</v>
      </c>
      <c r="B718" s="17" t="s">
        <v>3186</v>
      </c>
      <c r="C718" s="17" t="s">
        <v>810</v>
      </c>
      <c r="D718" s="17" t="s">
        <v>811</v>
      </c>
      <c r="E718" s="17" t="s">
        <v>812</v>
      </c>
      <c r="F718" s="17" t="s">
        <v>3187</v>
      </c>
      <c r="G718" s="17" t="s">
        <v>3188</v>
      </c>
    </row>
    <row r="719" spans="1:7" hidden="1">
      <c r="A719" s="17" t="s">
        <v>3189</v>
      </c>
      <c r="B719" s="17" t="s">
        <v>3190</v>
      </c>
      <c r="C719" s="17" t="s">
        <v>135</v>
      </c>
      <c r="D719" s="17" t="s">
        <v>136</v>
      </c>
      <c r="E719" s="17" t="s">
        <v>137</v>
      </c>
      <c r="F719" s="17" t="s">
        <v>3191</v>
      </c>
      <c r="G719" s="17" t="s">
        <v>3192</v>
      </c>
    </row>
    <row r="720" spans="1:7" hidden="1">
      <c r="A720" s="17" t="s">
        <v>3193</v>
      </c>
      <c r="B720" s="17" t="s">
        <v>3194</v>
      </c>
      <c r="C720" s="17" t="s">
        <v>1998</v>
      </c>
      <c r="D720" s="17" t="s">
        <v>1999</v>
      </c>
      <c r="E720" s="17" t="s">
        <v>2000</v>
      </c>
      <c r="F720" s="17" t="s">
        <v>3195</v>
      </c>
      <c r="G720" s="17" t="s">
        <v>3196</v>
      </c>
    </row>
    <row r="721" spans="1:7" hidden="1">
      <c r="A721" s="17" t="s">
        <v>3197</v>
      </c>
      <c r="B721" s="17" t="s">
        <v>3198</v>
      </c>
      <c r="C721" s="17" t="s">
        <v>2552</v>
      </c>
      <c r="D721" s="17" t="s">
        <v>645</v>
      </c>
      <c r="E721" s="17" t="s">
        <v>510</v>
      </c>
      <c r="F721" s="17" t="s">
        <v>3199</v>
      </c>
      <c r="G721" s="17" t="s">
        <v>3200</v>
      </c>
    </row>
    <row r="722" spans="1:7" hidden="1">
      <c r="A722" s="17" t="s">
        <v>3201</v>
      </c>
      <c r="B722" s="17" t="s">
        <v>3202</v>
      </c>
      <c r="C722" s="17" t="s">
        <v>286</v>
      </c>
      <c r="D722" s="17" t="s">
        <v>3203</v>
      </c>
      <c r="E722" s="17" t="s">
        <v>288</v>
      </c>
      <c r="F722" s="17" t="s">
        <v>3204</v>
      </c>
      <c r="G722" s="17" t="s">
        <v>3205</v>
      </c>
    </row>
    <row r="723" spans="1:7" ht="26.4" hidden="1">
      <c r="A723" s="17" t="s">
        <v>3206</v>
      </c>
      <c r="B723" s="17" t="s">
        <v>3207</v>
      </c>
      <c r="C723" s="17" t="s">
        <v>397</v>
      </c>
      <c r="D723" s="17" t="s">
        <v>398</v>
      </c>
      <c r="E723" s="17" t="s">
        <v>399</v>
      </c>
      <c r="F723" s="17" t="s">
        <v>3208</v>
      </c>
      <c r="G723" s="17" t="s">
        <v>3209</v>
      </c>
    </row>
    <row r="724" spans="1:7" hidden="1">
      <c r="A724" s="17" t="s">
        <v>3210</v>
      </c>
      <c r="B724" s="17" t="s">
        <v>3211</v>
      </c>
      <c r="C724" s="17" t="s">
        <v>1509</v>
      </c>
      <c r="D724" s="17" t="s">
        <v>1510</v>
      </c>
      <c r="E724" s="17" t="s">
        <v>1511</v>
      </c>
      <c r="F724" s="17" t="s">
        <v>3212</v>
      </c>
      <c r="G724" s="17" t="s">
        <v>3213</v>
      </c>
    </row>
    <row r="725" spans="1:7" hidden="1">
      <c r="A725" s="17" t="s">
        <v>3214</v>
      </c>
      <c r="B725" s="17" t="s">
        <v>3215</v>
      </c>
      <c r="C725" s="17" t="s">
        <v>1570</v>
      </c>
      <c r="D725" s="17" t="s">
        <v>818</v>
      </c>
      <c r="E725" s="17" t="s">
        <v>819</v>
      </c>
      <c r="F725" s="17" t="s">
        <v>3216</v>
      </c>
      <c r="G725" s="17" t="s">
        <v>3217</v>
      </c>
    </row>
    <row r="726" spans="1:7" hidden="1">
      <c r="A726" s="17" t="s">
        <v>3218</v>
      </c>
      <c r="B726" s="17" t="s">
        <v>3219</v>
      </c>
      <c r="C726" s="17" t="s">
        <v>2301</v>
      </c>
      <c r="D726" s="17" t="s">
        <v>968</v>
      </c>
      <c r="E726" s="17" t="s">
        <v>969</v>
      </c>
      <c r="F726" s="17" t="s">
        <v>2557</v>
      </c>
      <c r="G726" s="17" t="s">
        <v>3146</v>
      </c>
    </row>
    <row r="727" spans="1:7" hidden="1">
      <c r="A727" s="17" t="s">
        <v>3220</v>
      </c>
      <c r="B727" s="17" t="s">
        <v>3221</v>
      </c>
      <c r="C727" s="17" t="s">
        <v>2472</v>
      </c>
      <c r="D727" s="17" t="s">
        <v>3222</v>
      </c>
      <c r="E727" s="17" t="s">
        <v>869</v>
      </c>
      <c r="F727" s="17" t="s">
        <v>3223</v>
      </c>
      <c r="G727" s="17" t="s">
        <v>3224</v>
      </c>
    </row>
    <row r="728" spans="1:7" hidden="1">
      <c r="A728" s="17" t="s">
        <v>3225</v>
      </c>
      <c r="B728" s="17" t="s">
        <v>3226</v>
      </c>
      <c r="C728" s="17" t="s">
        <v>1016</v>
      </c>
      <c r="D728" s="17" t="s">
        <v>915</v>
      </c>
      <c r="E728" s="17" t="s">
        <v>916</v>
      </c>
      <c r="F728" s="17" t="s">
        <v>3227</v>
      </c>
      <c r="G728" s="17" t="s">
        <v>3228</v>
      </c>
    </row>
    <row r="729" spans="1:7" hidden="1">
      <c r="A729" s="17" t="s">
        <v>3229</v>
      </c>
      <c r="B729" s="17" t="s">
        <v>3230</v>
      </c>
      <c r="C729" s="17" t="s">
        <v>2722</v>
      </c>
      <c r="D729" s="17" t="s">
        <v>2723</v>
      </c>
      <c r="E729" s="17" t="s">
        <v>2724</v>
      </c>
      <c r="F729" s="17" t="s">
        <v>3231</v>
      </c>
      <c r="G729" s="17" t="s">
        <v>3232</v>
      </c>
    </row>
    <row r="730" spans="1:7" hidden="1">
      <c r="A730" s="17" t="s">
        <v>3233</v>
      </c>
      <c r="B730" s="17" t="s">
        <v>3234</v>
      </c>
      <c r="C730" s="17" t="s">
        <v>1398</v>
      </c>
      <c r="D730" s="17" t="s">
        <v>1399</v>
      </c>
      <c r="E730" s="17" t="s">
        <v>1400</v>
      </c>
      <c r="F730" s="17" t="s">
        <v>3235</v>
      </c>
      <c r="G730" s="17" t="s">
        <v>3236</v>
      </c>
    </row>
    <row r="731" spans="1:7" ht="26.4" hidden="1">
      <c r="A731" s="17" t="s">
        <v>3237</v>
      </c>
      <c r="B731" s="17" t="s">
        <v>676</v>
      </c>
      <c r="C731" s="17" t="s">
        <v>677</v>
      </c>
      <c r="D731" s="17" t="s">
        <v>678</v>
      </c>
      <c r="E731" s="17" t="s">
        <v>679</v>
      </c>
      <c r="F731" s="17" t="s">
        <v>680</v>
      </c>
      <c r="G731" s="17" t="s">
        <v>3238</v>
      </c>
    </row>
    <row r="732" spans="1:7" ht="26.4" hidden="1">
      <c r="A732" s="17" t="s">
        <v>675</v>
      </c>
      <c r="B732" s="17" t="s">
        <v>676</v>
      </c>
      <c r="C732" s="17" t="s">
        <v>677</v>
      </c>
      <c r="D732" s="17" t="s">
        <v>678</v>
      </c>
      <c r="E732" s="17" t="s">
        <v>679</v>
      </c>
      <c r="F732" s="17" t="s">
        <v>680</v>
      </c>
      <c r="G732" s="17" t="s">
        <v>3238</v>
      </c>
    </row>
    <row r="733" spans="1:7" hidden="1">
      <c r="A733" s="17" t="s">
        <v>3239</v>
      </c>
      <c r="B733" s="17" t="s">
        <v>3240</v>
      </c>
      <c r="C733" s="17" t="s">
        <v>429</v>
      </c>
      <c r="D733" s="17" t="s">
        <v>430</v>
      </c>
      <c r="E733" s="17" t="s">
        <v>431</v>
      </c>
      <c r="F733" s="17" t="s">
        <v>3241</v>
      </c>
      <c r="G733" s="17" t="s">
        <v>3242</v>
      </c>
    </row>
    <row r="734" spans="1:7" hidden="1">
      <c r="A734" s="17" t="s">
        <v>2477</v>
      </c>
      <c r="B734" s="17" t="s">
        <v>487</v>
      </c>
      <c r="C734" s="17" t="s">
        <v>488</v>
      </c>
      <c r="D734" s="17" t="s">
        <v>489</v>
      </c>
      <c r="E734" s="17" t="s">
        <v>490</v>
      </c>
      <c r="F734" s="17" t="s">
        <v>491</v>
      </c>
      <c r="G734" s="17" t="s">
        <v>1948</v>
      </c>
    </row>
    <row r="735" spans="1:7" ht="26.4" hidden="1">
      <c r="A735" s="17" t="s">
        <v>1146</v>
      </c>
      <c r="B735" s="17" t="s">
        <v>1034</v>
      </c>
      <c r="C735" s="17" t="s">
        <v>44</v>
      </c>
      <c r="D735" s="17" t="s">
        <v>45</v>
      </c>
      <c r="E735" s="17" t="s">
        <v>46</v>
      </c>
      <c r="F735" s="17" t="s">
        <v>1035</v>
      </c>
      <c r="G735" s="17" t="s">
        <v>1036</v>
      </c>
    </row>
    <row r="736" spans="1:7" ht="26.4" hidden="1">
      <c r="A736" s="17" t="s">
        <v>3243</v>
      </c>
      <c r="B736" s="17" t="s">
        <v>3244</v>
      </c>
      <c r="C736" s="17" t="s">
        <v>3245</v>
      </c>
      <c r="D736" s="17" t="s">
        <v>1494</v>
      </c>
      <c r="E736" s="17" t="s">
        <v>3246</v>
      </c>
      <c r="F736" s="17" t="s">
        <v>3247</v>
      </c>
      <c r="G736" s="17" t="s">
        <v>3248</v>
      </c>
    </row>
    <row r="737" spans="1:7" hidden="1">
      <c r="A737" s="17" t="s">
        <v>3249</v>
      </c>
      <c r="B737" s="17" t="s">
        <v>3250</v>
      </c>
      <c r="C737" s="17" t="s">
        <v>210</v>
      </c>
      <c r="D737" s="17" t="s">
        <v>211</v>
      </c>
      <c r="E737" s="17" t="s">
        <v>212</v>
      </c>
      <c r="F737" s="17" t="s">
        <v>3251</v>
      </c>
      <c r="G737" s="17" t="s">
        <v>3252</v>
      </c>
    </row>
    <row r="738" spans="1:7" hidden="1">
      <c r="A738" s="17" t="s">
        <v>3253</v>
      </c>
      <c r="B738" s="17" t="s">
        <v>3254</v>
      </c>
      <c r="C738" s="17" t="s">
        <v>3255</v>
      </c>
      <c r="D738" s="17" t="s">
        <v>832</v>
      </c>
      <c r="E738" s="17" t="s">
        <v>3256</v>
      </c>
      <c r="F738" s="17" t="s">
        <v>3257</v>
      </c>
      <c r="G738" s="17" t="s">
        <v>3258</v>
      </c>
    </row>
    <row r="739" spans="1:7" hidden="1">
      <c r="A739" s="17" t="s">
        <v>3259</v>
      </c>
      <c r="B739" s="17" t="s">
        <v>3260</v>
      </c>
      <c r="C739" s="17" t="s">
        <v>650</v>
      </c>
      <c r="D739" s="17" t="s">
        <v>651</v>
      </c>
      <c r="E739" s="17" t="s">
        <v>652</v>
      </c>
      <c r="F739" s="17" t="s">
        <v>3261</v>
      </c>
      <c r="G739" s="17" t="s">
        <v>3262</v>
      </c>
    </row>
    <row r="740" spans="1:7" hidden="1">
      <c r="A740" s="17" t="s">
        <v>3263</v>
      </c>
      <c r="B740" s="17" t="s">
        <v>3264</v>
      </c>
      <c r="C740" s="17" t="s">
        <v>2061</v>
      </c>
      <c r="D740" s="17" t="s">
        <v>2062</v>
      </c>
      <c r="E740" s="17" t="s">
        <v>2063</v>
      </c>
      <c r="F740" s="17" t="s">
        <v>3265</v>
      </c>
      <c r="G740" s="17" t="s">
        <v>3266</v>
      </c>
    </row>
    <row r="741" spans="1:7" hidden="1">
      <c r="A741" s="17" t="s">
        <v>3267</v>
      </c>
      <c r="B741" s="17" t="s">
        <v>3268</v>
      </c>
      <c r="C741" s="17" t="s">
        <v>696</v>
      </c>
      <c r="D741" s="17" t="s">
        <v>697</v>
      </c>
      <c r="E741" s="17" t="s">
        <v>698</v>
      </c>
      <c r="F741" s="17" t="s">
        <v>3269</v>
      </c>
      <c r="G741" s="17" t="s">
        <v>3270</v>
      </c>
    </row>
    <row r="742" spans="1:7" hidden="1">
      <c r="A742" s="17" t="s">
        <v>3271</v>
      </c>
      <c r="B742" s="17" t="s">
        <v>3272</v>
      </c>
      <c r="C742" s="17" t="s">
        <v>249</v>
      </c>
      <c r="D742" s="17" t="s">
        <v>250</v>
      </c>
      <c r="E742" s="17" t="s">
        <v>251</v>
      </c>
      <c r="F742" s="17" t="s">
        <v>3273</v>
      </c>
      <c r="G742" s="17" t="s">
        <v>3274</v>
      </c>
    </row>
    <row r="743" spans="1:7" hidden="1">
      <c r="A743" s="17" t="s">
        <v>3275</v>
      </c>
      <c r="B743" s="17" t="s">
        <v>3276</v>
      </c>
      <c r="C743" s="17" t="s">
        <v>1166</v>
      </c>
      <c r="D743" s="17" t="s">
        <v>1167</v>
      </c>
      <c r="E743" s="17" t="s">
        <v>1168</v>
      </c>
      <c r="F743" s="17" t="s">
        <v>3277</v>
      </c>
      <c r="G743" s="17" t="s">
        <v>3278</v>
      </c>
    </row>
    <row r="744" spans="1:7" hidden="1">
      <c r="A744" s="17" t="s">
        <v>3279</v>
      </c>
      <c r="B744" s="17" t="s">
        <v>3280</v>
      </c>
      <c r="C744" s="17" t="s">
        <v>2357</v>
      </c>
      <c r="D744" s="17" t="s">
        <v>1236</v>
      </c>
      <c r="E744" s="17" t="s">
        <v>1237</v>
      </c>
      <c r="F744" s="17" t="s">
        <v>3281</v>
      </c>
      <c r="G744" s="17" t="s">
        <v>3282</v>
      </c>
    </row>
    <row r="745" spans="1:7" hidden="1">
      <c r="A745" s="17" t="s">
        <v>3283</v>
      </c>
      <c r="B745" s="17" t="s">
        <v>3284</v>
      </c>
      <c r="C745" s="17" t="s">
        <v>238</v>
      </c>
      <c r="D745" s="17" t="s">
        <v>239</v>
      </c>
      <c r="E745" s="17" t="s">
        <v>240</v>
      </c>
      <c r="F745" s="17" t="s">
        <v>3285</v>
      </c>
      <c r="G745" s="17" t="s">
        <v>3286</v>
      </c>
    </row>
    <row r="746" spans="1:7" hidden="1">
      <c r="A746" s="17" t="s">
        <v>3287</v>
      </c>
      <c r="B746" s="17" t="s">
        <v>3288</v>
      </c>
      <c r="C746" s="17" t="s">
        <v>605</v>
      </c>
      <c r="D746" s="17" t="s">
        <v>606</v>
      </c>
      <c r="E746" s="17" t="s">
        <v>607</v>
      </c>
      <c r="F746" s="17" t="s">
        <v>3289</v>
      </c>
      <c r="G746" s="17" t="s">
        <v>3290</v>
      </c>
    </row>
    <row r="747" spans="1:7" hidden="1">
      <c r="A747" s="17" t="s">
        <v>3291</v>
      </c>
      <c r="B747" s="17" t="s">
        <v>3292</v>
      </c>
      <c r="C747" s="17" t="s">
        <v>2283</v>
      </c>
      <c r="D747" s="17" t="s">
        <v>2284</v>
      </c>
      <c r="E747" s="17" t="s">
        <v>2285</v>
      </c>
      <c r="F747" s="17" t="s">
        <v>3293</v>
      </c>
      <c r="G747" s="17" t="s">
        <v>3294</v>
      </c>
    </row>
    <row r="748" spans="1:7" hidden="1">
      <c r="A748" s="17" t="s">
        <v>3295</v>
      </c>
      <c r="B748" s="17" t="s">
        <v>3296</v>
      </c>
      <c r="C748" s="17" t="s">
        <v>3072</v>
      </c>
      <c r="D748" s="17" t="s">
        <v>535</v>
      </c>
      <c r="E748" s="17" t="s">
        <v>3073</v>
      </c>
      <c r="F748" s="17" t="s">
        <v>3297</v>
      </c>
      <c r="G748" s="17" t="s">
        <v>3298</v>
      </c>
    </row>
    <row r="749" spans="1:7" hidden="1">
      <c r="A749" s="17" t="s">
        <v>3299</v>
      </c>
      <c r="B749" s="17" t="s">
        <v>3300</v>
      </c>
      <c r="C749" s="17" t="s">
        <v>1620</v>
      </c>
      <c r="D749" s="17" t="s">
        <v>3301</v>
      </c>
      <c r="E749" s="17" t="s">
        <v>1622</v>
      </c>
      <c r="F749" s="17" t="s">
        <v>3302</v>
      </c>
      <c r="G749" s="17" t="s">
        <v>3303</v>
      </c>
    </row>
    <row r="750" spans="1:7" hidden="1">
      <c r="A750" s="17" t="s">
        <v>3304</v>
      </c>
      <c r="B750" s="17" t="s">
        <v>3305</v>
      </c>
      <c r="C750" s="17" t="s">
        <v>352</v>
      </c>
      <c r="D750" s="17" t="s">
        <v>211</v>
      </c>
      <c r="E750" s="17" t="s">
        <v>353</v>
      </c>
      <c r="F750" s="17" t="s">
        <v>3306</v>
      </c>
      <c r="G750" s="17" t="s">
        <v>3307</v>
      </c>
    </row>
    <row r="751" spans="1:7" hidden="1">
      <c r="A751" s="17" t="s">
        <v>3308</v>
      </c>
      <c r="B751" s="17" t="s">
        <v>3309</v>
      </c>
      <c r="C751" s="17" t="s">
        <v>516</v>
      </c>
      <c r="D751" s="17" t="s">
        <v>517</v>
      </c>
      <c r="E751" s="17" t="s">
        <v>518</v>
      </c>
      <c r="F751" s="17" t="s">
        <v>3310</v>
      </c>
      <c r="G751" s="17" t="s">
        <v>3311</v>
      </c>
    </row>
    <row r="752" spans="1:7" hidden="1">
      <c r="A752" s="17" t="s">
        <v>3312</v>
      </c>
      <c r="B752" s="17" t="s">
        <v>3313</v>
      </c>
      <c r="C752" s="17" t="s">
        <v>3314</v>
      </c>
      <c r="D752" s="17" t="s">
        <v>1999</v>
      </c>
      <c r="E752" s="17" t="s">
        <v>2000</v>
      </c>
      <c r="F752" s="17" t="s">
        <v>3315</v>
      </c>
      <c r="G752" s="17" t="s">
        <v>3316</v>
      </c>
    </row>
    <row r="753" spans="1:7" hidden="1">
      <c r="A753" s="17" t="s">
        <v>3317</v>
      </c>
      <c r="B753" s="17" t="s">
        <v>3318</v>
      </c>
      <c r="C753" s="17" t="s">
        <v>358</v>
      </c>
      <c r="D753" s="17" t="s">
        <v>359</v>
      </c>
      <c r="E753" s="17" t="s">
        <v>360</v>
      </c>
      <c r="F753" s="17" t="s">
        <v>3319</v>
      </c>
      <c r="G753" s="17" t="s">
        <v>3320</v>
      </c>
    </row>
    <row r="754" spans="1:7" ht="26.4" hidden="1">
      <c r="A754" s="17" t="s">
        <v>3321</v>
      </c>
      <c r="B754" s="17" t="s">
        <v>3322</v>
      </c>
      <c r="C754" s="17" t="s">
        <v>1915</v>
      </c>
      <c r="D754" s="17" t="s">
        <v>1916</v>
      </c>
      <c r="E754" s="17" t="s">
        <v>1917</v>
      </c>
      <c r="F754" s="17" t="s">
        <v>3323</v>
      </c>
      <c r="G754" s="17" t="s">
        <v>3324</v>
      </c>
    </row>
    <row r="755" spans="1:7" hidden="1">
      <c r="A755" s="17" t="s">
        <v>3325</v>
      </c>
      <c r="B755" s="17" t="s">
        <v>3326</v>
      </c>
      <c r="C755" s="17" t="s">
        <v>1427</v>
      </c>
      <c r="D755" s="17" t="s">
        <v>1428</v>
      </c>
      <c r="E755" s="17" t="s">
        <v>1429</v>
      </c>
      <c r="F755" s="17" t="s">
        <v>3327</v>
      </c>
      <c r="G755" s="17" t="s">
        <v>3328</v>
      </c>
    </row>
    <row r="756" spans="1:7" hidden="1">
      <c r="A756" s="17" t="s">
        <v>3329</v>
      </c>
      <c r="B756" s="17" t="s">
        <v>3330</v>
      </c>
      <c r="C756" s="17" t="s">
        <v>404</v>
      </c>
      <c r="D756" s="17" t="s">
        <v>405</v>
      </c>
      <c r="E756" s="17" t="s">
        <v>406</v>
      </c>
      <c r="F756" s="17" t="s">
        <v>3331</v>
      </c>
      <c r="G756" s="17" t="s">
        <v>3332</v>
      </c>
    </row>
    <row r="757" spans="1:7" hidden="1">
      <c r="A757" s="17" t="s">
        <v>670</v>
      </c>
      <c r="B757" s="17" t="s">
        <v>671</v>
      </c>
      <c r="C757" s="17" t="s">
        <v>58</v>
      </c>
      <c r="D757" s="17" t="s">
        <v>59</v>
      </c>
      <c r="E757" s="17" t="s">
        <v>60</v>
      </c>
      <c r="F757" s="17" t="s">
        <v>672</v>
      </c>
      <c r="G757" s="17" t="s">
        <v>1642</v>
      </c>
    </row>
    <row r="758" spans="1:7" hidden="1">
      <c r="A758" s="17" t="s">
        <v>3333</v>
      </c>
      <c r="B758" s="17" t="s">
        <v>3334</v>
      </c>
      <c r="C758" s="17" t="s">
        <v>744</v>
      </c>
      <c r="D758" s="17" t="s">
        <v>745</v>
      </c>
      <c r="E758" s="17" t="s">
        <v>746</v>
      </c>
      <c r="F758" s="17" t="s">
        <v>3335</v>
      </c>
      <c r="G758" s="17" t="s">
        <v>3336</v>
      </c>
    </row>
    <row r="759" spans="1:7" hidden="1">
      <c r="A759" s="17" t="s">
        <v>3337</v>
      </c>
      <c r="B759" s="17" t="s">
        <v>3338</v>
      </c>
      <c r="C759" s="17" t="s">
        <v>1398</v>
      </c>
      <c r="D759" s="17" t="s">
        <v>1399</v>
      </c>
      <c r="E759" s="17" t="s">
        <v>1400</v>
      </c>
      <c r="F759" s="17" t="s">
        <v>3339</v>
      </c>
      <c r="G759" s="17" t="s">
        <v>3340</v>
      </c>
    </row>
    <row r="760" spans="1:7" hidden="1">
      <c r="A760" s="17" t="s">
        <v>3341</v>
      </c>
      <c r="B760" s="17" t="s">
        <v>3342</v>
      </c>
      <c r="C760" s="17" t="s">
        <v>3343</v>
      </c>
      <c r="D760" s="17" t="s">
        <v>1160</v>
      </c>
      <c r="E760" s="17" t="s">
        <v>1161</v>
      </c>
      <c r="F760" s="17" t="s">
        <v>3344</v>
      </c>
      <c r="G760" s="17" t="s">
        <v>3345</v>
      </c>
    </row>
    <row r="761" spans="1:7" hidden="1">
      <c r="A761" s="17" t="s">
        <v>3346</v>
      </c>
      <c r="B761" s="17" t="s">
        <v>3347</v>
      </c>
      <c r="C761" s="17" t="s">
        <v>1043</v>
      </c>
      <c r="D761" s="17" t="s">
        <v>419</v>
      </c>
      <c r="E761" s="17" t="s">
        <v>420</v>
      </c>
      <c r="F761" s="17" t="s">
        <v>3348</v>
      </c>
      <c r="G761" s="17" t="s">
        <v>3349</v>
      </c>
    </row>
    <row r="762" spans="1:7" ht="26.4" hidden="1">
      <c r="A762" s="17" t="s">
        <v>2134</v>
      </c>
      <c r="B762" s="17" t="s">
        <v>1154</v>
      </c>
      <c r="C762" s="17" t="s">
        <v>894</v>
      </c>
      <c r="D762" s="17" t="s">
        <v>895</v>
      </c>
      <c r="E762" s="17" t="s">
        <v>896</v>
      </c>
      <c r="F762" s="17" t="s">
        <v>1155</v>
      </c>
      <c r="G762" s="17" t="s">
        <v>1156</v>
      </c>
    </row>
    <row r="763" spans="1:7" ht="26.4" hidden="1">
      <c r="A763" s="17" t="s">
        <v>3350</v>
      </c>
      <c r="B763" s="17" t="s">
        <v>3351</v>
      </c>
      <c r="C763" s="17" t="s">
        <v>3352</v>
      </c>
      <c r="D763" s="17" t="s">
        <v>24</v>
      </c>
      <c r="E763" s="17" t="s">
        <v>25</v>
      </c>
      <c r="F763" s="17" t="s">
        <v>3353</v>
      </c>
      <c r="G763" s="17" t="s">
        <v>3354</v>
      </c>
    </row>
    <row r="764" spans="1:7" hidden="1">
      <c r="A764" s="17" t="s">
        <v>3355</v>
      </c>
      <c r="B764" s="17" t="s">
        <v>3356</v>
      </c>
      <c r="C764" s="17" t="s">
        <v>3357</v>
      </c>
      <c r="D764" s="17" t="s">
        <v>3358</v>
      </c>
      <c r="E764" s="17" t="s">
        <v>3359</v>
      </c>
      <c r="F764" s="17" t="s">
        <v>3360</v>
      </c>
      <c r="G764" s="17" t="s">
        <v>3361</v>
      </c>
    </row>
    <row r="765" spans="1:7" hidden="1">
      <c r="A765" s="17" t="s">
        <v>3362</v>
      </c>
      <c r="B765" s="17" t="s">
        <v>3363</v>
      </c>
      <c r="C765" s="17" t="s">
        <v>1982</v>
      </c>
      <c r="D765" s="17" t="s">
        <v>1691</v>
      </c>
      <c r="E765" s="17" t="s">
        <v>1692</v>
      </c>
      <c r="F765" s="17" t="s">
        <v>3364</v>
      </c>
      <c r="G765" s="17" t="s">
        <v>3365</v>
      </c>
    </row>
    <row r="766" spans="1:7" hidden="1">
      <c r="A766" s="17" t="s">
        <v>3366</v>
      </c>
      <c r="B766" s="17" t="s">
        <v>3367</v>
      </c>
      <c r="C766" s="17" t="s">
        <v>949</v>
      </c>
      <c r="D766" s="17" t="s">
        <v>950</v>
      </c>
      <c r="E766" s="17" t="s">
        <v>951</v>
      </c>
      <c r="F766" s="17" t="s">
        <v>3368</v>
      </c>
      <c r="G766" s="17" t="s">
        <v>3369</v>
      </c>
    </row>
    <row r="767" spans="1:7" hidden="1">
      <c r="A767" s="17" t="s">
        <v>3370</v>
      </c>
      <c r="B767" s="17" t="s">
        <v>3371</v>
      </c>
      <c r="C767" s="17" t="s">
        <v>1705</v>
      </c>
      <c r="D767" s="17" t="s">
        <v>1706</v>
      </c>
      <c r="E767" s="17" t="s">
        <v>1707</v>
      </c>
      <c r="F767" s="17" t="s">
        <v>3372</v>
      </c>
      <c r="G767" s="17" t="s">
        <v>3373</v>
      </c>
    </row>
    <row r="768" spans="1:7" hidden="1">
      <c r="A768" s="17" t="s">
        <v>3374</v>
      </c>
      <c r="B768" s="17" t="s">
        <v>3375</v>
      </c>
      <c r="C768" s="17" t="s">
        <v>100</v>
      </c>
      <c r="D768" s="17" t="s">
        <v>2025</v>
      </c>
      <c r="E768" s="17" t="s">
        <v>102</v>
      </c>
      <c r="F768" s="17" t="s">
        <v>3376</v>
      </c>
      <c r="G768" s="17" t="s">
        <v>3377</v>
      </c>
    </row>
    <row r="769" spans="1:7" ht="26.4" hidden="1">
      <c r="A769" s="17" t="s">
        <v>2592</v>
      </c>
      <c r="B769" s="17" t="s">
        <v>2131</v>
      </c>
      <c r="C769" s="17" t="s">
        <v>677</v>
      </c>
      <c r="D769" s="17" t="s">
        <v>678</v>
      </c>
      <c r="E769" s="17" t="s">
        <v>679</v>
      </c>
      <c r="F769" s="17" t="s">
        <v>2132</v>
      </c>
      <c r="G769" s="17" t="s">
        <v>2935</v>
      </c>
    </row>
    <row r="770" spans="1:7" ht="26.4" hidden="1">
      <c r="A770" s="17" t="s">
        <v>3378</v>
      </c>
      <c r="B770" s="17" t="s">
        <v>3379</v>
      </c>
      <c r="C770" s="17" t="s">
        <v>817</v>
      </c>
      <c r="D770" s="17" t="s">
        <v>3380</v>
      </c>
      <c r="E770" s="17" t="s">
        <v>819</v>
      </c>
      <c r="F770" s="17" t="s">
        <v>3381</v>
      </c>
      <c r="G770" s="17" t="s">
        <v>3382</v>
      </c>
    </row>
    <row r="771" spans="1:7" ht="26.4" hidden="1">
      <c r="A771" s="17" t="s">
        <v>1028</v>
      </c>
      <c r="B771" s="17" t="s">
        <v>1024</v>
      </c>
      <c r="C771" s="17" t="s">
        <v>1025</v>
      </c>
      <c r="D771" s="17" t="s">
        <v>825</v>
      </c>
      <c r="E771" s="17" t="s">
        <v>826</v>
      </c>
      <c r="F771" s="17" t="s">
        <v>1026</v>
      </c>
      <c r="G771" s="17" t="s">
        <v>2936</v>
      </c>
    </row>
    <row r="772" spans="1:7" hidden="1">
      <c r="A772" s="17" t="s">
        <v>3383</v>
      </c>
      <c r="B772" s="17" t="s">
        <v>3384</v>
      </c>
      <c r="C772" s="17" t="s">
        <v>261</v>
      </c>
      <c r="D772" s="17" t="s">
        <v>262</v>
      </c>
      <c r="E772" s="17" t="s">
        <v>263</v>
      </c>
      <c r="F772" s="17" t="s">
        <v>3385</v>
      </c>
      <c r="G772" s="17" t="s">
        <v>3386</v>
      </c>
    </row>
    <row r="773" spans="1:7" hidden="1">
      <c r="A773" s="17" t="s">
        <v>3387</v>
      </c>
      <c r="B773" s="17" t="s">
        <v>3388</v>
      </c>
      <c r="C773" s="17" t="s">
        <v>1355</v>
      </c>
      <c r="D773" s="17" t="s">
        <v>1356</v>
      </c>
      <c r="E773" s="17" t="s">
        <v>385</v>
      </c>
      <c r="F773" s="17" t="s">
        <v>3389</v>
      </c>
      <c r="G773" s="17" t="s">
        <v>3390</v>
      </c>
    </row>
    <row r="774" spans="1:7" ht="26.4" hidden="1">
      <c r="A774" s="17" t="s">
        <v>3391</v>
      </c>
      <c r="B774" s="17" t="s">
        <v>3392</v>
      </c>
      <c r="C774" s="17" t="s">
        <v>2542</v>
      </c>
      <c r="D774" s="17" t="s">
        <v>832</v>
      </c>
      <c r="E774" s="17" t="s">
        <v>2543</v>
      </c>
      <c r="F774" s="17" t="s">
        <v>3393</v>
      </c>
      <c r="G774" s="17" t="s">
        <v>3394</v>
      </c>
    </row>
    <row r="775" spans="1:7" hidden="1">
      <c r="A775" s="17" t="s">
        <v>2315</v>
      </c>
      <c r="B775" s="17" t="s">
        <v>2316</v>
      </c>
      <c r="C775" s="17" t="s">
        <v>766</v>
      </c>
      <c r="D775" s="17" t="s">
        <v>767</v>
      </c>
      <c r="E775" s="17" t="s">
        <v>768</v>
      </c>
      <c r="F775" s="17" t="s">
        <v>2317</v>
      </c>
      <c r="G775" s="17" t="s">
        <v>2946</v>
      </c>
    </row>
    <row r="776" spans="1:7" hidden="1">
      <c r="A776" s="17" t="s">
        <v>3395</v>
      </c>
      <c r="B776" s="17" t="s">
        <v>3396</v>
      </c>
      <c r="C776" s="17" t="s">
        <v>3397</v>
      </c>
      <c r="D776" s="17" t="s">
        <v>412</v>
      </c>
      <c r="E776" s="17" t="s">
        <v>413</v>
      </c>
      <c r="F776" s="17" t="s">
        <v>3398</v>
      </c>
      <c r="G776" s="17" t="s">
        <v>3399</v>
      </c>
    </row>
    <row r="777" spans="1:7" ht="26.4" hidden="1">
      <c r="A777" s="17" t="s">
        <v>3400</v>
      </c>
      <c r="B777" s="17" t="s">
        <v>3401</v>
      </c>
      <c r="C777" s="17" t="s">
        <v>397</v>
      </c>
      <c r="D777" s="17" t="s">
        <v>398</v>
      </c>
      <c r="E777" s="17" t="s">
        <v>399</v>
      </c>
      <c r="F777" s="17" t="s">
        <v>3402</v>
      </c>
      <c r="G777" s="17" t="s">
        <v>3403</v>
      </c>
    </row>
    <row r="778" spans="1:7" hidden="1">
      <c r="A778" s="17" t="s">
        <v>3404</v>
      </c>
      <c r="B778" s="17" t="s">
        <v>3405</v>
      </c>
      <c r="C778" s="17" t="s">
        <v>784</v>
      </c>
      <c r="D778" s="17" t="s">
        <v>1167</v>
      </c>
      <c r="E778" s="17" t="s">
        <v>786</v>
      </c>
      <c r="F778" s="17" t="s">
        <v>3406</v>
      </c>
      <c r="G778" s="17" t="s">
        <v>3407</v>
      </c>
    </row>
    <row r="779" spans="1:7" hidden="1">
      <c r="A779" s="17" t="s">
        <v>3408</v>
      </c>
      <c r="B779" s="17" t="s">
        <v>3409</v>
      </c>
      <c r="C779" s="17" t="s">
        <v>1859</v>
      </c>
      <c r="D779" s="17" t="s">
        <v>936</v>
      </c>
      <c r="E779" s="17" t="s">
        <v>937</v>
      </c>
      <c r="F779" s="17" t="s">
        <v>3410</v>
      </c>
      <c r="G779" s="17" t="s">
        <v>3411</v>
      </c>
    </row>
    <row r="780" spans="1:7" hidden="1">
      <c r="A780" s="17" t="s">
        <v>3412</v>
      </c>
      <c r="B780" s="17" t="s">
        <v>3413</v>
      </c>
      <c r="C780" s="17" t="s">
        <v>161</v>
      </c>
      <c r="D780" s="17" t="s">
        <v>162</v>
      </c>
      <c r="E780" s="17" t="s">
        <v>163</v>
      </c>
      <c r="F780" s="17" t="s">
        <v>3414</v>
      </c>
      <c r="G780" s="17" t="s">
        <v>3415</v>
      </c>
    </row>
    <row r="781" spans="1:7" hidden="1">
      <c r="A781" s="17" t="s">
        <v>3416</v>
      </c>
      <c r="B781" s="17" t="s">
        <v>3417</v>
      </c>
      <c r="C781" s="17" t="s">
        <v>154</v>
      </c>
      <c r="D781" s="17" t="s">
        <v>155</v>
      </c>
      <c r="E781" s="17" t="s">
        <v>156</v>
      </c>
      <c r="F781" s="17" t="s">
        <v>3418</v>
      </c>
      <c r="G781" s="17" t="s">
        <v>3419</v>
      </c>
    </row>
    <row r="782" spans="1:7" hidden="1">
      <c r="A782" s="17" t="s">
        <v>3420</v>
      </c>
      <c r="B782" s="17" t="s">
        <v>3421</v>
      </c>
      <c r="C782" s="17" t="s">
        <v>1982</v>
      </c>
      <c r="D782" s="17" t="s">
        <v>1691</v>
      </c>
      <c r="E782" s="17" t="s">
        <v>1692</v>
      </c>
      <c r="F782" s="17" t="s">
        <v>3422</v>
      </c>
      <c r="G782" s="17" t="s">
        <v>3423</v>
      </c>
    </row>
    <row r="783" spans="1:7" hidden="1">
      <c r="A783" s="17" t="s">
        <v>3424</v>
      </c>
      <c r="B783" s="17" t="s">
        <v>3425</v>
      </c>
      <c r="C783" s="17" t="s">
        <v>2357</v>
      </c>
      <c r="D783" s="17" t="s">
        <v>1236</v>
      </c>
      <c r="E783" s="17" t="s">
        <v>1237</v>
      </c>
      <c r="F783" s="17" t="s">
        <v>3426</v>
      </c>
      <c r="G783" s="17" t="s">
        <v>3427</v>
      </c>
    </row>
    <row r="784" spans="1:7" hidden="1">
      <c r="A784" s="17" t="s">
        <v>3428</v>
      </c>
      <c r="B784" s="17" t="s">
        <v>3429</v>
      </c>
      <c r="C784" s="17" t="s">
        <v>3430</v>
      </c>
      <c r="D784" s="17" t="s">
        <v>716</v>
      </c>
      <c r="E784" s="17" t="s">
        <v>717</v>
      </c>
      <c r="F784" s="17" t="s">
        <v>3431</v>
      </c>
      <c r="G784" s="17" t="s">
        <v>3432</v>
      </c>
    </row>
    <row r="785" spans="1:7" hidden="1">
      <c r="A785" s="17" t="s">
        <v>3433</v>
      </c>
      <c r="B785" s="17" t="s">
        <v>3434</v>
      </c>
      <c r="C785" s="17" t="s">
        <v>3435</v>
      </c>
      <c r="D785" s="17" t="s">
        <v>922</v>
      </c>
      <c r="E785" s="17" t="s">
        <v>923</v>
      </c>
      <c r="F785" s="17" t="s">
        <v>3436</v>
      </c>
      <c r="G785" s="17" t="s">
        <v>3437</v>
      </c>
    </row>
    <row r="786" spans="1:7" hidden="1">
      <c r="A786" s="17" t="s">
        <v>3438</v>
      </c>
      <c r="B786" s="17" t="s">
        <v>3439</v>
      </c>
      <c r="C786" s="17" t="s">
        <v>488</v>
      </c>
      <c r="D786" s="17" t="s">
        <v>489</v>
      </c>
      <c r="E786" s="17" t="s">
        <v>490</v>
      </c>
      <c r="F786" s="17" t="s">
        <v>3440</v>
      </c>
      <c r="G786" s="17" t="s">
        <v>3441</v>
      </c>
    </row>
    <row r="787" spans="1:7" hidden="1">
      <c r="A787" s="17" t="s">
        <v>3442</v>
      </c>
      <c r="B787" s="17" t="s">
        <v>3443</v>
      </c>
      <c r="C787" s="17" t="s">
        <v>169</v>
      </c>
      <c r="D787" s="17" t="s">
        <v>170</v>
      </c>
      <c r="E787" s="17" t="s">
        <v>171</v>
      </c>
      <c r="F787" s="17" t="s">
        <v>3444</v>
      </c>
      <c r="G787" s="17" t="s">
        <v>3445</v>
      </c>
    </row>
    <row r="788" spans="1:7" hidden="1">
      <c r="A788" s="17" t="s">
        <v>3446</v>
      </c>
      <c r="B788" s="17" t="s">
        <v>3447</v>
      </c>
      <c r="C788" s="17" t="s">
        <v>887</v>
      </c>
      <c r="D788" s="17" t="s">
        <v>888</v>
      </c>
      <c r="E788" s="17" t="s">
        <v>889</v>
      </c>
      <c r="F788" s="17" t="s">
        <v>3448</v>
      </c>
      <c r="G788" s="17" t="s">
        <v>3449</v>
      </c>
    </row>
    <row r="789" spans="1:7" hidden="1">
      <c r="A789" s="17" t="s">
        <v>3450</v>
      </c>
      <c r="B789" s="17" t="s">
        <v>3451</v>
      </c>
      <c r="C789" s="17" t="s">
        <v>1852</v>
      </c>
      <c r="D789" s="17" t="s">
        <v>1853</v>
      </c>
      <c r="E789" s="17" t="s">
        <v>1854</v>
      </c>
      <c r="F789" s="17" t="s">
        <v>3452</v>
      </c>
      <c r="G789" s="17" t="s">
        <v>3453</v>
      </c>
    </row>
    <row r="790" spans="1:7" ht="26.4" hidden="1">
      <c r="A790" s="17" t="s">
        <v>98</v>
      </c>
      <c r="B790" s="17" t="s">
        <v>99</v>
      </c>
      <c r="C790" s="17" t="s">
        <v>100</v>
      </c>
      <c r="D790" s="17" t="s">
        <v>101</v>
      </c>
      <c r="E790" s="17" t="s">
        <v>102</v>
      </c>
      <c r="F790" s="17" t="s">
        <v>103</v>
      </c>
      <c r="G790" s="17" t="s">
        <v>1256</v>
      </c>
    </row>
    <row r="791" spans="1:7" hidden="1">
      <c r="A791" s="17" t="s">
        <v>2560</v>
      </c>
      <c r="B791" s="17" t="s">
        <v>1266</v>
      </c>
      <c r="C791" s="17" t="s">
        <v>1267</v>
      </c>
      <c r="D791" s="17" t="s">
        <v>832</v>
      </c>
      <c r="E791" s="17" t="s">
        <v>1268</v>
      </c>
      <c r="F791" s="17" t="s">
        <v>1269</v>
      </c>
      <c r="G791" s="17" t="s">
        <v>1270</v>
      </c>
    </row>
    <row r="792" spans="1:7" hidden="1">
      <c r="A792" s="17" t="s">
        <v>3454</v>
      </c>
      <c r="B792" s="17" t="s">
        <v>3455</v>
      </c>
      <c r="C792" s="17" t="s">
        <v>2247</v>
      </c>
      <c r="D792" s="17" t="s">
        <v>2248</v>
      </c>
      <c r="E792" s="17" t="s">
        <v>2249</v>
      </c>
      <c r="F792" s="17" t="s">
        <v>3456</v>
      </c>
      <c r="G792" s="17" t="s">
        <v>3457</v>
      </c>
    </row>
    <row r="793" spans="1:7" hidden="1">
      <c r="A793" s="17" t="s">
        <v>3458</v>
      </c>
      <c r="B793" s="17" t="s">
        <v>3459</v>
      </c>
      <c r="C793" s="17" t="s">
        <v>2722</v>
      </c>
      <c r="D793" s="17" t="s">
        <v>2723</v>
      </c>
      <c r="E793" s="17" t="s">
        <v>2724</v>
      </c>
      <c r="F793" s="17" t="s">
        <v>3460</v>
      </c>
      <c r="G793" s="17" t="s">
        <v>3461</v>
      </c>
    </row>
    <row r="794" spans="1:7" hidden="1">
      <c r="A794" s="17" t="s">
        <v>3462</v>
      </c>
      <c r="B794" s="17" t="s">
        <v>3463</v>
      </c>
      <c r="C794" s="17" t="s">
        <v>1247</v>
      </c>
      <c r="D794" s="17" t="s">
        <v>1248</v>
      </c>
      <c r="E794" s="17" t="s">
        <v>1249</v>
      </c>
      <c r="F794" s="17" t="s">
        <v>3464</v>
      </c>
      <c r="G794" s="17" t="s">
        <v>3465</v>
      </c>
    </row>
    <row r="795" spans="1:7" hidden="1">
      <c r="A795" s="17" t="s">
        <v>3466</v>
      </c>
      <c r="B795" s="17" t="s">
        <v>3467</v>
      </c>
      <c r="C795" s="17" t="s">
        <v>2046</v>
      </c>
      <c r="D795" s="17" t="s">
        <v>578</v>
      </c>
      <c r="E795" s="17" t="s">
        <v>2047</v>
      </c>
      <c r="F795" s="17" t="s">
        <v>3468</v>
      </c>
      <c r="G795" s="17" t="s">
        <v>3469</v>
      </c>
    </row>
    <row r="796" spans="1:7" hidden="1">
      <c r="A796" s="17" t="s">
        <v>3470</v>
      </c>
      <c r="B796" s="17" t="s">
        <v>3471</v>
      </c>
      <c r="C796" s="17" t="s">
        <v>2046</v>
      </c>
      <c r="D796" s="17" t="s">
        <v>578</v>
      </c>
      <c r="E796" s="17" t="s">
        <v>2047</v>
      </c>
      <c r="F796" s="17" t="s">
        <v>3472</v>
      </c>
      <c r="G796" s="17" t="s">
        <v>3473</v>
      </c>
    </row>
    <row r="797" spans="1:7" hidden="1">
      <c r="A797" s="17" t="s">
        <v>3474</v>
      </c>
      <c r="B797" s="17" t="s">
        <v>3475</v>
      </c>
      <c r="C797" s="17" t="s">
        <v>3476</v>
      </c>
      <c r="D797" s="17" t="s">
        <v>3477</v>
      </c>
      <c r="E797" s="17" t="s">
        <v>3478</v>
      </c>
      <c r="F797" s="17" t="s">
        <v>3479</v>
      </c>
      <c r="G797" s="17" t="s">
        <v>3480</v>
      </c>
    </row>
    <row r="798" spans="1:7" hidden="1">
      <c r="A798" s="17" t="s">
        <v>3481</v>
      </c>
      <c r="B798" s="17" t="s">
        <v>3482</v>
      </c>
      <c r="C798" s="17" t="s">
        <v>16</v>
      </c>
      <c r="D798" s="17" t="s">
        <v>17</v>
      </c>
      <c r="E798" s="17" t="s">
        <v>18</v>
      </c>
      <c r="F798" s="17" t="s">
        <v>3483</v>
      </c>
      <c r="G798" s="17" t="s">
        <v>3484</v>
      </c>
    </row>
    <row r="799" spans="1:7" hidden="1">
      <c r="A799" s="17" t="s">
        <v>3485</v>
      </c>
      <c r="B799" s="17" t="s">
        <v>3486</v>
      </c>
      <c r="C799" s="17" t="s">
        <v>2145</v>
      </c>
      <c r="D799" s="17" t="s">
        <v>2146</v>
      </c>
      <c r="E799" s="17" t="s">
        <v>2147</v>
      </c>
      <c r="F799" s="17" t="s">
        <v>3487</v>
      </c>
      <c r="G799" s="17" t="s">
        <v>3488</v>
      </c>
    </row>
    <row r="800" spans="1:7" hidden="1">
      <c r="A800" s="17" t="s">
        <v>3489</v>
      </c>
      <c r="B800" s="17" t="s">
        <v>3490</v>
      </c>
      <c r="C800" s="17" t="s">
        <v>37</v>
      </c>
      <c r="D800" s="17" t="s">
        <v>1326</v>
      </c>
      <c r="E800" s="17" t="s">
        <v>39</v>
      </c>
      <c r="F800" s="17" t="s">
        <v>3491</v>
      </c>
      <c r="G800" s="17" t="s">
        <v>3492</v>
      </c>
    </row>
    <row r="801" spans="1:7" ht="26.4" hidden="1">
      <c r="A801" s="17" t="s">
        <v>3493</v>
      </c>
      <c r="B801" s="17" t="s">
        <v>3494</v>
      </c>
      <c r="C801" s="17" t="s">
        <v>190</v>
      </c>
      <c r="D801" s="17" t="s">
        <v>191</v>
      </c>
      <c r="E801" s="17" t="s">
        <v>192</v>
      </c>
      <c r="F801" s="17" t="s">
        <v>3495</v>
      </c>
      <c r="G801" s="17" t="s">
        <v>3496</v>
      </c>
    </row>
    <row r="802" spans="1:7" hidden="1">
      <c r="A802" s="17" t="s">
        <v>3497</v>
      </c>
      <c r="B802" s="17" t="s">
        <v>3498</v>
      </c>
      <c r="C802" s="17" t="s">
        <v>1199</v>
      </c>
      <c r="D802" s="17" t="s">
        <v>1200</v>
      </c>
      <c r="E802" s="17" t="s">
        <v>1201</v>
      </c>
      <c r="F802" s="17" t="s">
        <v>3499</v>
      </c>
      <c r="G802" s="17" t="s">
        <v>3500</v>
      </c>
    </row>
    <row r="803" spans="1:7" hidden="1">
      <c r="A803" s="17" t="s">
        <v>3501</v>
      </c>
      <c r="B803" s="17" t="s">
        <v>3502</v>
      </c>
      <c r="C803" s="17" t="s">
        <v>1134</v>
      </c>
      <c r="D803" s="17" t="s">
        <v>1135</v>
      </c>
      <c r="E803" s="17" t="s">
        <v>1136</v>
      </c>
      <c r="F803" s="17" t="s">
        <v>3503</v>
      </c>
      <c r="G803" s="17" t="s">
        <v>3504</v>
      </c>
    </row>
    <row r="804" spans="1:7" hidden="1">
      <c r="A804" s="17" t="s">
        <v>3505</v>
      </c>
      <c r="B804" s="17" t="s">
        <v>3506</v>
      </c>
      <c r="C804" s="17" t="s">
        <v>3476</v>
      </c>
      <c r="D804" s="17" t="s">
        <v>3477</v>
      </c>
      <c r="E804" s="17" t="s">
        <v>3478</v>
      </c>
      <c r="F804" s="17" t="s">
        <v>3507</v>
      </c>
      <c r="G804" s="17" t="s">
        <v>3508</v>
      </c>
    </row>
    <row r="805" spans="1:7" hidden="1">
      <c r="A805" s="17" t="s">
        <v>3509</v>
      </c>
      <c r="B805" s="17" t="s">
        <v>3510</v>
      </c>
      <c r="C805" s="17" t="s">
        <v>1292</v>
      </c>
      <c r="D805" s="17" t="s">
        <v>1326</v>
      </c>
      <c r="E805" s="17" t="s">
        <v>1293</v>
      </c>
      <c r="F805" s="17" t="s">
        <v>3511</v>
      </c>
      <c r="G805" s="17" t="s">
        <v>3512</v>
      </c>
    </row>
    <row r="806" spans="1:7" hidden="1">
      <c r="A806" s="17" t="s">
        <v>3062</v>
      </c>
      <c r="B806" s="17" t="s">
        <v>1752</v>
      </c>
      <c r="C806" s="17" t="s">
        <v>495</v>
      </c>
      <c r="D806" s="17" t="s">
        <v>184</v>
      </c>
      <c r="E806" s="17" t="s">
        <v>185</v>
      </c>
      <c r="F806" s="17" t="s">
        <v>1753</v>
      </c>
      <c r="G806" s="17" t="s">
        <v>1754</v>
      </c>
    </row>
    <row r="807" spans="1:7" hidden="1">
      <c r="A807" s="17" t="s">
        <v>3513</v>
      </c>
      <c r="B807" s="17" t="s">
        <v>3514</v>
      </c>
      <c r="C807" s="17" t="s">
        <v>176</v>
      </c>
      <c r="D807" s="17" t="s">
        <v>177</v>
      </c>
      <c r="E807" s="17" t="s">
        <v>178</v>
      </c>
      <c r="F807" s="17" t="s">
        <v>3515</v>
      </c>
      <c r="G807" s="17" t="s">
        <v>3516</v>
      </c>
    </row>
    <row r="808" spans="1:7" hidden="1">
      <c r="A808" s="17" t="s">
        <v>3517</v>
      </c>
      <c r="B808" s="17" t="s">
        <v>3518</v>
      </c>
      <c r="C808" s="17" t="s">
        <v>72</v>
      </c>
      <c r="D808" s="17" t="s">
        <v>73</v>
      </c>
      <c r="E808" s="17" t="s">
        <v>74</v>
      </c>
      <c r="F808" s="17" t="s">
        <v>3519</v>
      </c>
      <c r="G808" s="17" t="s">
        <v>3520</v>
      </c>
    </row>
    <row r="809" spans="1:7" ht="26.4" hidden="1">
      <c r="A809" s="17" t="s">
        <v>3521</v>
      </c>
      <c r="B809" s="17" t="s">
        <v>3522</v>
      </c>
      <c r="C809" s="17" t="s">
        <v>2599</v>
      </c>
      <c r="D809" s="17" t="s">
        <v>2599</v>
      </c>
      <c r="E809" s="17" t="s">
        <v>2600</v>
      </c>
      <c r="F809" s="17" t="s">
        <v>3523</v>
      </c>
      <c r="G809" s="17" t="s">
        <v>3524</v>
      </c>
    </row>
    <row r="810" spans="1:7" ht="26.4" hidden="1">
      <c r="A810" s="17" t="s">
        <v>3237</v>
      </c>
      <c r="B810" s="17" t="s">
        <v>676</v>
      </c>
      <c r="C810" s="17" t="s">
        <v>677</v>
      </c>
      <c r="D810" s="17" t="s">
        <v>678</v>
      </c>
      <c r="E810" s="17" t="s">
        <v>679</v>
      </c>
      <c r="F810" s="17" t="s">
        <v>680</v>
      </c>
      <c r="G810" s="17" t="s">
        <v>681</v>
      </c>
    </row>
    <row r="811" spans="1:7" ht="26.4" hidden="1">
      <c r="A811" s="17" t="s">
        <v>3525</v>
      </c>
      <c r="B811" s="17" t="s">
        <v>3526</v>
      </c>
      <c r="C811" s="17" t="s">
        <v>684</v>
      </c>
      <c r="D811" s="17" t="s">
        <v>685</v>
      </c>
      <c r="E811" s="17" t="s">
        <v>686</v>
      </c>
      <c r="F811" s="17" t="s">
        <v>3527</v>
      </c>
      <c r="G811" s="17" t="s">
        <v>3528</v>
      </c>
    </row>
    <row r="812" spans="1:7" ht="26.4" hidden="1">
      <c r="A812" s="17" t="s">
        <v>3529</v>
      </c>
      <c r="B812" s="17" t="s">
        <v>3530</v>
      </c>
      <c r="C812" s="17" t="s">
        <v>3531</v>
      </c>
      <c r="D812" s="17" t="s">
        <v>3532</v>
      </c>
      <c r="E812" s="17" t="s">
        <v>3533</v>
      </c>
      <c r="F812" s="17" t="s">
        <v>3534</v>
      </c>
      <c r="G812" s="17" t="s">
        <v>3535</v>
      </c>
    </row>
    <row r="813" spans="1:7" ht="26.4" hidden="1">
      <c r="A813" s="17" t="s">
        <v>3536</v>
      </c>
      <c r="B813" s="17" t="s">
        <v>3537</v>
      </c>
      <c r="C813" s="17" t="s">
        <v>3531</v>
      </c>
      <c r="D813" s="17" t="s">
        <v>3532</v>
      </c>
      <c r="E813" s="17" t="s">
        <v>3533</v>
      </c>
      <c r="F813" s="17" t="s">
        <v>3538</v>
      </c>
      <c r="G813" s="17" t="s">
        <v>3539</v>
      </c>
    </row>
    <row r="814" spans="1:7" ht="26.4" hidden="1">
      <c r="A814" s="17" t="s">
        <v>3540</v>
      </c>
      <c r="B814" s="17" t="s">
        <v>3541</v>
      </c>
      <c r="C814" s="17" t="s">
        <v>3531</v>
      </c>
      <c r="D814" s="17" t="s">
        <v>3532</v>
      </c>
      <c r="E814" s="17" t="s">
        <v>3533</v>
      </c>
      <c r="F814" s="17" t="s">
        <v>3542</v>
      </c>
      <c r="G814" s="17" t="s">
        <v>3543</v>
      </c>
    </row>
    <row r="815" spans="1:7" hidden="1">
      <c r="A815" s="17" t="s">
        <v>3544</v>
      </c>
      <c r="B815" s="17" t="s">
        <v>3545</v>
      </c>
      <c r="C815" s="17" t="s">
        <v>3546</v>
      </c>
      <c r="D815" s="17" t="s">
        <v>2723</v>
      </c>
      <c r="E815" s="17" t="s">
        <v>2724</v>
      </c>
      <c r="F815" s="17" t="s">
        <v>3547</v>
      </c>
      <c r="G815" s="17" t="s">
        <v>3548</v>
      </c>
    </row>
    <row r="816" spans="1:7" ht="26.4" hidden="1">
      <c r="A816" s="17" t="s">
        <v>2055</v>
      </c>
      <c r="B816" s="17" t="s">
        <v>2056</v>
      </c>
      <c r="C816" s="17" t="s">
        <v>1025</v>
      </c>
      <c r="D816" s="17" t="s">
        <v>825</v>
      </c>
      <c r="E816" s="17" t="s">
        <v>826</v>
      </c>
      <c r="F816" s="17" t="s">
        <v>2057</v>
      </c>
      <c r="G816" s="17" t="s">
        <v>2609</v>
      </c>
    </row>
    <row r="817" spans="1:7" hidden="1">
      <c r="A817" s="17" t="s">
        <v>3549</v>
      </c>
      <c r="B817" s="17" t="s">
        <v>3550</v>
      </c>
      <c r="C817" s="17" t="s">
        <v>3551</v>
      </c>
      <c r="D817" s="17" t="s">
        <v>115</v>
      </c>
      <c r="E817" s="17" t="s">
        <v>116</v>
      </c>
      <c r="F817" s="17" t="s">
        <v>3552</v>
      </c>
      <c r="G817" s="17" t="s">
        <v>3553</v>
      </c>
    </row>
    <row r="818" spans="1:7" hidden="1">
      <c r="A818" s="17" t="s">
        <v>3554</v>
      </c>
      <c r="B818" s="17" t="s">
        <v>3555</v>
      </c>
      <c r="C818" s="17" t="s">
        <v>640</v>
      </c>
      <c r="D818" s="17" t="s">
        <v>398</v>
      </c>
      <c r="E818" s="17" t="s">
        <v>399</v>
      </c>
      <c r="F818" s="17" t="s">
        <v>3556</v>
      </c>
      <c r="G818" s="17" t="s">
        <v>3557</v>
      </c>
    </row>
    <row r="819" spans="1:7" hidden="1">
      <c r="A819" s="17" t="s">
        <v>3558</v>
      </c>
      <c r="B819" s="17" t="s">
        <v>3559</v>
      </c>
      <c r="C819" s="17" t="s">
        <v>1409</v>
      </c>
      <c r="D819" s="17" t="s">
        <v>1410</v>
      </c>
      <c r="E819" s="17" t="s">
        <v>1411</v>
      </c>
      <c r="F819" s="17" t="s">
        <v>3560</v>
      </c>
      <c r="G819" s="17" t="s">
        <v>3561</v>
      </c>
    </row>
    <row r="820" spans="1:7" hidden="1">
      <c r="A820" s="17" t="s">
        <v>3562</v>
      </c>
      <c r="B820" s="17" t="s">
        <v>3563</v>
      </c>
      <c r="C820" s="17" t="s">
        <v>30</v>
      </c>
      <c r="D820" s="17" t="s">
        <v>31</v>
      </c>
      <c r="E820" s="17" t="s">
        <v>32</v>
      </c>
      <c r="F820" s="17" t="s">
        <v>3564</v>
      </c>
      <c r="G820" s="17" t="s">
        <v>3565</v>
      </c>
    </row>
    <row r="821" spans="1:7" hidden="1">
      <c r="A821" s="17" t="s">
        <v>3566</v>
      </c>
      <c r="B821" s="17" t="s">
        <v>3567</v>
      </c>
      <c r="C821" s="17" t="s">
        <v>605</v>
      </c>
      <c r="D821" s="17" t="s">
        <v>606</v>
      </c>
      <c r="E821" s="17" t="s">
        <v>607</v>
      </c>
      <c r="F821" s="17" t="s">
        <v>3568</v>
      </c>
      <c r="G821" s="17" t="s">
        <v>3569</v>
      </c>
    </row>
    <row r="822" spans="1:7">
      <c r="A822" s="17" t="s">
        <v>3570</v>
      </c>
      <c r="B822" s="17" t="s">
        <v>3571</v>
      </c>
      <c r="C822" s="17" t="s">
        <v>777</v>
      </c>
      <c r="D822" s="17" t="s">
        <v>778</v>
      </c>
      <c r="E822" s="17" t="s">
        <v>779</v>
      </c>
      <c r="F822" s="17" t="s">
        <v>3572</v>
      </c>
      <c r="G822" s="17" t="s">
        <v>3573</v>
      </c>
    </row>
    <row r="823" spans="1:7" hidden="1">
      <c r="A823" s="17" t="s">
        <v>3574</v>
      </c>
      <c r="B823" s="17" t="s">
        <v>3575</v>
      </c>
      <c r="C823" s="17" t="s">
        <v>1096</v>
      </c>
      <c r="D823" s="17" t="s">
        <v>1097</v>
      </c>
      <c r="E823" s="17" t="s">
        <v>1098</v>
      </c>
      <c r="F823" s="17" t="s">
        <v>3576</v>
      </c>
      <c r="G823" s="17" t="s">
        <v>3577</v>
      </c>
    </row>
    <row r="824" spans="1:7" hidden="1">
      <c r="A824" s="17" t="s">
        <v>3578</v>
      </c>
      <c r="B824" s="17" t="s">
        <v>3579</v>
      </c>
      <c r="C824" s="17" t="s">
        <v>3580</v>
      </c>
      <c r="D824" s="17" t="s">
        <v>3581</v>
      </c>
      <c r="E824" s="17" t="s">
        <v>3582</v>
      </c>
      <c r="F824" s="17" t="s">
        <v>3583</v>
      </c>
      <c r="G824" s="17" t="s">
        <v>3584</v>
      </c>
    </row>
    <row r="825" spans="1:7" hidden="1">
      <c r="A825" s="17" t="s">
        <v>3585</v>
      </c>
      <c r="B825" s="17" t="s">
        <v>3586</v>
      </c>
      <c r="C825" s="17" t="s">
        <v>121</v>
      </c>
      <c r="D825" s="17" t="s">
        <v>122</v>
      </c>
      <c r="E825" s="17" t="s">
        <v>123</v>
      </c>
      <c r="F825" s="17" t="s">
        <v>3587</v>
      </c>
      <c r="G825" s="17" t="s">
        <v>3588</v>
      </c>
    </row>
    <row r="826" spans="1:7" ht="26.4" hidden="1">
      <c r="A826" s="17" t="s">
        <v>3589</v>
      </c>
      <c r="B826" s="17" t="s">
        <v>3590</v>
      </c>
      <c r="C826" s="17" t="s">
        <v>352</v>
      </c>
      <c r="D826" s="17" t="s">
        <v>211</v>
      </c>
      <c r="E826" s="17" t="s">
        <v>353</v>
      </c>
      <c r="F826" s="17" t="s">
        <v>3591</v>
      </c>
      <c r="G826" s="17" t="s">
        <v>3592</v>
      </c>
    </row>
    <row r="827" spans="1:7" hidden="1">
      <c r="A827" s="17" t="s">
        <v>3593</v>
      </c>
      <c r="B827" s="17" t="s">
        <v>3594</v>
      </c>
      <c r="C827" s="17" t="s">
        <v>488</v>
      </c>
      <c r="D827" s="17" t="s">
        <v>489</v>
      </c>
      <c r="E827" s="17" t="s">
        <v>490</v>
      </c>
      <c r="F827" s="17" t="s">
        <v>3595</v>
      </c>
      <c r="G827" s="17" t="s">
        <v>3596</v>
      </c>
    </row>
    <row r="828" spans="1:7" hidden="1">
      <c r="A828" s="17" t="s">
        <v>3597</v>
      </c>
      <c r="B828" s="17" t="s">
        <v>3598</v>
      </c>
      <c r="C828" s="17" t="s">
        <v>623</v>
      </c>
      <c r="D828" s="17" t="s">
        <v>211</v>
      </c>
      <c r="E828" s="17" t="s">
        <v>624</v>
      </c>
      <c r="F828" s="17" t="s">
        <v>3599</v>
      </c>
      <c r="G828" s="17" t="s">
        <v>3600</v>
      </c>
    </row>
    <row r="829" spans="1:7" hidden="1">
      <c r="A829" s="17" t="s">
        <v>3601</v>
      </c>
      <c r="B829" s="17" t="s">
        <v>3602</v>
      </c>
      <c r="C829" s="17" t="s">
        <v>868</v>
      </c>
      <c r="D829" s="17" t="s">
        <v>974</v>
      </c>
      <c r="E829" s="17" t="s">
        <v>869</v>
      </c>
      <c r="F829" s="17" t="s">
        <v>3603</v>
      </c>
      <c r="G829" s="17" t="s">
        <v>3604</v>
      </c>
    </row>
    <row r="830" spans="1:7" hidden="1">
      <c r="A830" s="17" t="s">
        <v>3605</v>
      </c>
      <c r="B830" s="17" t="s">
        <v>3606</v>
      </c>
      <c r="C830" s="17" t="s">
        <v>3607</v>
      </c>
      <c r="D830" s="17" t="s">
        <v>3608</v>
      </c>
      <c r="E830" s="17" t="s">
        <v>3609</v>
      </c>
      <c r="F830" s="17" t="s">
        <v>3610</v>
      </c>
      <c r="G830" s="17" t="s">
        <v>3611</v>
      </c>
    </row>
    <row r="831" spans="1:7" hidden="1">
      <c r="A831" s="17" t="s">
        <v>735</v>
      </c>
      <c r="B831" s="17" t="s">
        <v>732</v>
      </c>
      <c r="C831" s="17" t="s">
        <v>311</v>
      </c>
      <c r="D831" s="17" t="s">
        <v>312</v>
      </c>
      <c r="E831" s="17" t="s">
        <v>313</v>
      </c>
      <c r="F831" s="17" t="s">
        <v>3612</v>
      </c>
      <c r="G831" s="17" t="s">
        <v>3613</v>
      </c>
    </row>
    <row r="832" spans="1:7" hidden="1">
      <c r="A832" s="17" t="s">
        <v>3614</v>
      </c>
      <c r="B832" s="17" t="s">
        <v>3615</v>
      </c>
      <c r="C832" s="17" t="s">
        <v>2535</v>
      </c>
      <c r="D832" s="17" t="s">
        <v>2536</v>
      </c>
      <c r="E832" s="17" t="s">
        <v>2537</v>
      </c>
      <c r="F832" s="17" t="s">
        <v>3616</v>
      </c>
      <c r="G832" s="17" t="s">
        <v>3617</v>
      </c>
    </row>
    <row r="833" spans="1:7" hidden="1">
      <c r="A833" s="17" t="s">
        <v>3618</v>
      </c>
      <c r="B833" s="17" t="s">
        <v>3619</v>
      </c>
      <c r="C833" s="17" t="s">
        <v>949</v>
      </c>
      <c r="D833" s="17" t="s">
        <v>950</v>
      </c>
      <c r="E833" s="17" t="s">
        <v>951</v>
      </c>
      <c r="F833" s="17" t="s">
        <v>3620</v>
      </c>
      <c r="G833" s="17" t="s">
        <v>3621</v>
      </c>
    </row>
    <row r="834" spans="1:7" hidden="1">
      <c r="A834" s="17" t="s">
        <v>3622</v>
      </c>
      <c r="B834" s="17" t="s">
        <v>3623</v>
      </c>
      <c r="C834" s="17" t="s">
        <v>577</v>
      </c>
      <c r="D834" s="17" t="s">
        <v>578</v>
      </c>
      <c r="E834" s="17" t="s">
        <v>579</v>
      </c>
      <c r="F834" s="17" t="s">
        <v>3624</v>
      </c>
      <c r="G834" s="17" t="s">
        <v>3625</v>
      </c>
    </row>
    <row r="835" spans="1:7" hidden="1">
      <c r="A835" s="17" t="s">
        <v>3626</v>
      </c>
      <c r="B835" s="17" t="s">
        <v>3627</v>
      </c>
      <c r="C835" s="17" t="s">
        <v>577</v>
      </c>
      <c r="D835" s="17" t="s">
        <v>578</v>
      </c>
      <c r="E835" s="17" t="s">
        <v>579</v>
      </c>
      <c r="F835" s="17" t="s">
        <v>3628</v>
      </c>
      <c r="G835" s="17" t="s">
        <v>3629</v>
      </c>
    </row>
    <row r="836" spans="1:7" hidden="1">
      <c r="A836" s="17" t="s">
        <v>3630</v>
      </c>
      <c r="B836" s="17" t="s">
        <v>3631</v>
      </c>
      <c r="C836" s="17" t="s">
        <v>93</v>
      </c>
      <c r="D836" s="17" t="s">
        <v>94</v>
      </c>
      <c r="E836" s="17" t="s">
        <v>95</v>
      </c>
      <c r="F836" s="17" t="s">
        <v>3632</v>
      </c>
      <c r="G836" s="17" t="s">
        <v>3633</v>
      </c>
    </row>
    <row r="837" spans="1:7" hidden="1">
      <c r="A837" s="17" t="s">
        <v>3634</v>
      </c>
      <c r="B837" s="17" t="s">
        <v>3635</v>
      </c>
      <c r="C837" s="17" t="s">
        <v>1398</v>
      </c>
      <c r="D837" s="17" t="s">
        <v>1399</v>
      </c>
      <c r="E837" s="17" t="s">
        <v>1400</v>
      </c>
      <c r="F837" s="17" t="s">
        <v>3636</v>
      </c>
      <c r="G837" s="17" t="s">
        <v>3637</v>
      </c>
    </row>
    <row r="838" spans="1:7" hidden="1">
      <c r="A838" s="17" t="s">
        <v>3638</v>
      </c>
      <c r="B838" s="17" t="s">
        <v>3639</v>
      </c>
      <c r="C838" s="17" t="s">
        <v>1547</v>
      </c>
      <c r="D838" s="17" t="s">
        <v>1548</v>
      </c>
      <c r="E838" s="17" t="s">
        <v>1549</v>
      </c>
      <c r="F838" s="17" t="s">
        <v>3640</v>
      </c>
      <c r="G838" s="17" t="s">
        <v>3641</v>
      </c>
    </row>
    <row r="839" spans="1:7" hidden="1">
      <c r="A839" s="17" t="s">
        <v>3642</v>
      </c>
      <c r="B839" s="17" t="s">
        <v>3643</v>
      </c>
      <c r="C839" s="17" t="s">
        <v>272</v>
      </c>
      <c r="D839" s="17" t="s">
        <v>273</v>
      </c>
      <c r="E839" s="17" t="s">
        <v>274</v>
      </c>
      <c r="F839" s="17" t="s">
        <v>3644</v>
      </c>
      <c r="G839" s="17" t="s">
        <v>3645</v>
      </c>
    </row>
    <row r="840" spans="1:7" hidden="1">
      <c r="A840" s="17" t="s">
        <v>2751</v>
      </c>
      <c r="B840" s="17" t="s">
        <v>260</v>
      </c>
      <c r="C840" s="17" t="s">
        <v>2752</v>
      </c>
      <c r="D840" s="17" t="s">
        <v>262</v>
      </c>
      <c r="E840" s="17" t="s">
        <v>263</v>
      </c>
      <c r="F840" s="17" t="s">
        <v>264</v>
      </c>
      <c r="G840" s="17" t="s">
        <v>265</v>
      </c>
    </row>
    <row r="841" spans="1:7" hidden="1">
      <c r="A841" s="17" t="s">
        <v>3646</v>
      </c>
      <c r="B841" s="17" t="s">
        <v>3647</v>
      </c>
      <c r="C841" s="17" t="s">
        <v>488</v>
      </c>
      <c r="D841" s="17" t="s">
        <v>489</v>
      </c>
      <c r="E841" s="17" t="s">
        <v>490</v>
      </c>
      <c r="F841" s="17" t="s">
        <v>3648</v>
      </c>
      <c r="G841" s="17" t="s">
        <v>3649</v>
      </c>
    </row>
    <row r="842" spans="1:7" hidden="1">
      <c r="A842" s="17" t="s">
        <v>3650</v>
      </c>
      <c r="B842" s="17" t="s">
        <v>3651</v>
      </c>
      <c r="C842" s="17" t="s">
        <v>1813</v>
      </c>
      <c r="D842" s="17" t="s">
        <v>1814</v>
      </c>
      <c r="E842" s="17" t="s">
        <v>1815</v>
      </c>
      <c r="F842" s="17" t="s">
        <v>3652</v>
      </c>
      <c r="G842" s="17" t="s">
        <v>3653</v>
      </c>
    </row>
    <row r="843" spans="1:7" hidden="1">
      <c r="A843" s="17" t="s">
        <v>3654</v>
      </c>
      <c r="B843" s="17" t="s">
        <v>3655</v>
      </c>
      <c r="C843" s="17" t="s">
        <v>3656</v>
      </c>
      <c r="D843" s="17" t="s">
        <v>3657</v>
      </c>
      <c r="E843" s="17" t="s">
        <v>3658</v>
      </c>
      <c r="F843" s="17" t="s">
        <v>3659</v>
      </c>
      <c r="G843" s="17" t="s">
        <v>3660</v>
      </c>
    </row>
    <row r="844" spans="1:7" hidden="1">
      <c r="A844" s="17" t="s">
        <v>3661</v>
      </c>
      <c r="B844" s="17" t="s">
        <v>3662</v>
      </c>
      <c r="C844" s="17" t="s">
        <v>210</v>
      </c>
      <c r="D844" s="17" t="s">
        <v>211</v>
      </c>
      <c r="E844" s="17" t="s">
        <v>212</v>
      </c>
      <c r="F844" s="17" t="s">
        <v>3663</v>
      </c>
      <c r="G844" s="17" t="s">
        <v>3664</v>
      </c>
    </row>
    <row r="845" spans="1:7" hidden="1">
      <c r="A845" s="17" t="s">
        <v>3665</v>
      </c>
      <c r="B845" s="17" t="s">
        <v>1880</v>
      </c>
      <c r="C845" s="17" t="s">
        <v>1705</v>
      </c>
      <c r="D845" s="17" t="s">
        <v>1706</v>
      </c>
      <c r="E845" s="17" t="s">
        <v>1707</v>
      </c>
      <c r="F845" s="17" t="s">
        <v>1881</v>
      </c>
      <c r="G845" s="17" t="s">
        <v>1882</v>
      </c>
    </row>
    <row r="846" spans="1:7" ht="26.4" hidden="1">
      <c r="A846" s="17" t="s">
        <v>3666</v>
      </c>
      <c r="B846" s="17" t="s">
        <v>3667</v>
      </c>
      <c r="C846" s="17" t="s">
        <v>640</v>
      </c>
      <c r="D846" s="17" t="s">
        <v>398</v>
      </c>
      <c r="E846" s="17" t="s">
        <v>399</v>
      </c>
      <c r="F846" s="17" t="s">
        <v>3668</v>
      </c>
      <c r="G846" s="17" t="s">
        <v>3669</v>
      </c>
    </row>
    <row r="847" spans="1:7" hidden="1">
      <c r="A847" s="17" t="s">
        <v>3670</v>
      </c>
      <c r="B847" s="17" t="s">
        <v>3671</v>
      </c>
      <c r="C847" s="17" t="s">
        <v>3672</v>
      </c>
      <c r="D847" s="17" t="s">
        <v>2367</v>
      </c>
      <c r="E847" s="17" t="s">
        <v>2368</v>
      </c>
      <c r="F847" s="17" t="s">
        <v>3673</v>
      </c>
      <c r="G847" s="17" t="s">
        <v>3674</v>
      </c>
    </row>
    <row r="848" spans="1:7" ht="26.4" hidden="1">
      <c r="A848" s="17" t="s">
        <v>3675</v>
      </c>
      <c r="B848" s="17" t="s">
        <v>3676</v>
      </c>
      <c r="C848" s="17" t="s">
        <v>1915</v>
      </c>
      <c r="D848" s="17" t="s">
        <v>1916</v>
      </c>
      <c r="E848" s="17" t="s">
        <v>1917</v>
      </c>
      <c r="F848" s="17" t="s">
        <v>3677</v>
      </c>
      <c r="G848" s="17" t="s">
        <v>3678</v>
      </c>
    </row>
    <row r="849" spans="1:7" hidden="1">
      <c r="A849" s="17" t="s">
        <v>3679</v>
      </c>
      <c r="B849" s="17" t="s">
        <v>3680</v>
      </c>
      <c r="C849" s="17" t="s">
        <v>1420</v>
      </c>
      <c r="D849" s="17" t="s">
        <v>1421</v>
      </c>
      <c r="E849" s="17" t="s">
        <v>1422</v>
      </c>
      <c r="F849" s="17" t="s">
        <v>3681</v>
      </c>
      <c r="G849" s="17" t="s">
        <v>3682</v>
      </c>
    </row>
    <row r="850" spans="1:7" hidden="1">
      <c r="A850" s="17" t="s">
        <v>3683</v>
      </c>
      <c r="B850" s="17" t="s">
        <v>3684</v>
      </c>
      <c r="C850" s="17" t="s">
        <v>1712</v>
      </c>
      <c r="D850" s="17" t="s">
        <v>1713</v>
      </c>
      <c r="E850" s="17" t="s">
        <v>1714</v>
      </c>
      <c r="F850" s="17" t="s">
        <v>3685</v>
      </c>
      <c r="G850" s="17" t="s">
        <v>3686</v>
      </c>
    </row>
    <row r="851" spans="1:7" hidden="1">
      <c r="A851" s="17" t="s">
        <v>3687</v>
      </c>
      <c r="B851" s="17" t="s">
        <v>3688</v>
      </c>
      <c r="C851" s="17" t="s">
        <v>3689</v>
      </c>
      <c r="D851" s="17" t="s">
        <v>66</v>
      </c>
      <c r="E851" s="17" t="s">
        <v>67</v>
      </c>
      <c r="F851" s="17" t="s">
        <v>3690</v>
      </c>
      <c r="G851" s="17" t="s">
        <v>3691</v>
      </c>
    </row>
    <row r="852" spans="1:7" hidden="1">
      <c r="A852" s="17" t="s">
        <v>3692</v>
      </c>
      <c r="B852" s="17" t="s">
        <v>3693</v>
      </c>
      <c r="C852" s="17" t="s">
        <v>1620</v>
      </c>
      <c r="D852" s="17" t="s">
        <v>1621</v>
      </c>
      <c r="E852" s="17" t="s">
        <v>1622</v>
      </c>
      <c r="F852" s="17" t="s">
        <v>3694</v>
      </c>
      <c r="G852" s="17" t="s">
        <v>3695</v>
      </c>
    </row>
    <row r="853" spans="1:7" hidden="1">
      <c r="A853" s="17" t="s">
        <v>3665</v>
      </c>
      <c r="B853" s="17" t="s">
        <v>1880</v>
      </c>
      <c r="C853" s="17" t="s">
        <v>1705</v>
      </c>
      <c r="D853" s="17" t="s">
        <v>1706</v>
      </c>
      <c r="E853" s="17" t="s">
        <v>1707</v>
      </c>
      <c r="F853" s="17" t="s">
        <v>1881</v>
      </c>
      <c r="G853" s="17" t="s">
        <v>1897</v>
      </c>
    </row>
    <row r="854" spans="1:7" hidden="1">
      <c r="A854" s="17" t="s">
        <v>3696</v>
      </c>
      <c r="B854" s="17" t="s">
        <v>3697</v>
      </c>
      <c r="C854" s="17" t="s">
        <v>650</v>
      </c>
      <c r="D854" s="17" t="s">
        <v>651</v>
      </c>
      <c r="E854" s="17" t="s">
        <v>652</v>
      </c>
      <c r="F854" s="17" t="s">
        <v>3698</v>
      </c>
      <c r="G854" s="17" t="s">
        <v>3699</v>
      </c>
    </row>
    <row r="855" spans="1:7" hidden="1">
      <c r="A855" s="17" t="s">
        <v>3700</v>
      </c>
      <c r="B855" s="17" t="s">
        <v>3701</v>
      </c>
      <c r="C855" s="17" t="s">
        <v>3702</v>
      </c>
      <c r="D855" s="17" t="s">
        <v>3703</v>
      </c>
      <c r="E855" s="17" t="s">
        <v>3704</v>
      </c>
      <c r="F855" s="17" t="s">
        <v>3705</v>
      </c>
      <c r="G855" s="17" t="s">
        <v>3706</v>
      </c>
    </row>
    <row r="856" spans="1:7" hidden="1">
      <c r="A856" s="17" t="s">
        <v>3707</v>
      </c>
      <c r="B856" s="17" t="s">
        <v>3708</v>
      </c>
      <c r="C856" s="17" t="s">
        <v>766</v>
      </c>
      <c r="D856" s="17" t="s">
        <v>767</v>
      </c>
      <c r="E856" s="17" t="s">
        <v>768</v>
      </c>
      <c r="F856" s="17" t="s">
        <v>3709</v>
      </c>
      <c r="G856" s="17" t="s">
        <v>3710</v>
      </c>
    </row>
    <row r="857" spans="1:7" hidden="1">
      <c r="A857" s="17" t="s">
        <v>3711</v>
      </c>
      <c r="B857" s="17" t="s">
        <v>3712</v>
      </c>
      <c r="C857" s="17" t="s">
        <v>1837</v>
      </c>
      <c r="D857" s="17" t="s">
        <v>980</v>
      </c>
      <c r="E857" s="17" t="s">
        <v>1838</v>
      </c>
      <c r="F857" s="17" t="s">
        <v>3713</v>
      </c>
      <c r="G857" s="17" t="s">
        <v>3714</v>
      </c>
    </row>
    <row r="858" spans="1:7" ht="26.4" hidden="1">
      <c r="A858" s="17" t="s">
        <v>3715</v>
      </c>
      <c r="B858" s="17" t="s">
        <v>3716</v>
      </c>
      <c r="C858" s="17" t="s">
        <v>397</v>
      </c>
      <c r="D858" s="17" t="s">
        <v>398</v>
      </c>
      <c r="E858" s="17" t="s">
        <v>399</v>
      </c>
      <c r="F858" s="17" t="s">
        <v>3717</v>
      </c>
      <c r="G858" s="17" t="s">
        <v>3718</v>
      </c>
    </row>
    <row r="859" spans="1:7" hidden="1">
      <c r="A859" s="17" t="s">
        <v>3719</v>
      </c>
      <c r="B859" s="17" t="s">
        <v>3720</v>
      </c>
      <c r="C859" s="17" t="s">
        <v>790</v>
      </c>
      <c r="D859" s="17" t="s">
        <v>791</v>
      </c>
      <c r="E859" s="17" t="s">
        <v>792</v>
      </c>
      <c r="F859" s="17" t="s">
        <v>3721</v>
      </c>
      <c r="G859" s="17" t="s">
        <v>3722</v>
      </c>
    </row>
    <row r="860" spans="1:7" hidden="1">
      <c r="A860" s="17" t="s">
        <v>3723</v>
      </c>
      <c r="B860" s="17" t="s">
        <v>3724</v>
      </c>
      <c r="C860" s="17" t="s">
        <v>3072</v>
      </c>
      <c r="D860" s="17" t="s">
        <v>3222</v>
      </c>
      <c r="E860" s="17" t="s">
        <v>3073</v>
      </c>
      <c r="F860" s="17" t="s">
        <v>3725</v>
      </c>
      <c r="G860" s="17" t="s">
        <v>3726</v>
      </c>
    </row>
    <row r="861" spans="1:7">
      <c r="A861" s="17" t="s">
        <v>3727</v>
      </c>
      <c r="B861" s="17" t="s">
        <v>3728</v>
      </c>
      <c r="C861" s="17" t="s">
        <v>338</v>
      </c>
      <c r="D861" s="17" t="s">
        <v>339</v>
      </c>
      <c r="E861" s="17" t="s">
        <v>340</v>
      </c>
      <c r="F861" s="17" t="s">
        <v>3729</v>
      </c>
      <c r="G861" s="17" t="s">
        <v>3730</v>
      </c>
    </row>
    <row r="862" spans="1:7" hidden="1">
      <c r="A862" s="17" t="s">
        <v>3731</v>
      </c>
      <c r="B862" s="17" t="s">
        <v>3732</v>
      </c>
      <c r="C862" s="17" t="s">
        <v>577</v>
      </c>
      <c r="D862" s="17" t="s">
        <v>578</v>
      </c>
      <c r="E862" s="17" t="s">
        <v>579</v>
      </c>
      <c r="F862" s="17" t="s">
        <v>3733</v>
      </c>
      <c r="G862" s="17" t="s">
        <v>3734</v>
      </c>
    </row>
    <row r="863" spans="1:7" hidden="1">
      <c r="A863" s="17" t="s">
        <v>3735</v>
      </c>
      <c r="B863" s="17" t="s">
        <v>3736</v>
      </c>
      <c r="C863" s="17" t="s">
        <v>3607</v>
      </c>
      <c r="D863" s="17" t="s">
        <v>3608</v>
      </c>
      <c r="E863" s="17" t="s">
        <v>3609</v>
      </c>
      <c r="F863" s="17" t="s">
        <v>3737</v>
      </c>
      <c r="G863" s="17" t="s">
        <v>3738</v>
      </c>
    </row>
    <row r="864" spans="1:7">
      <c r="A864" s="17" t="s">
        <v>3739</v>
      </c>
      <c r="B864" s="17" t="s">
        <v>3740</v>
      </c>
      <c r="C864" s="17" t="s">
        <v>338</v>
      </c>
      <c r="D864" s="17" t="s">
        <v>339</v>
      </c>
      <c r="E864" s="17" t="s">
        <v>340</v>
      </c>
      <c r="F864" s="17" t="s">
        <v>3741</v>
      </c>
      <c r="G864" s="17" t="s">
        <v>3742</v>
      </c>
    </row>
    <row r="865" spans="1:7" hidden="1">
      <c r="A865" s="17" t="s">
        <v>3743</v>
      </c>
      <c r="B865" s="17" t="s">
        <v>3744</v>
      </c>
      <c r="C865" s="17" t="s">
        <v>128</v>
      </c>
      <c r="D865" s="17" t="s">
        <v>129</v>
      </c>
      <c r="E865" s="17" t="s">
        <v>130</v>
      </c>
      <c r="F865" s="17" t="s">
        <v>3745</v>
      </c>
      <c r="G865" s="17" t="s">
        <v>3746</v>
      </c>
    </row>
    <row r="866" spans="1:7" hidden="1">
      <c r="A866" s="17" t="s">
        <v>3747</v>
      </c>
      <c r="B866" s="17" t="s">
        <v>3748</v>
      </c>
      <c r="C866" s="17" t="s">
        <v>1355</v>
      </c>
      <c r="D866" s="17" t="s">
        <v>1356</v>
      </c>
      <c r="E866" s="17" t="s">
        <v>385</v>
      </c>
      <c r="F866" s="17" t="s">
        <v>3749</v>
      </c>
      <c r="G866" s="17" t="s">
        <v>3750</v>
      </c>
    </row>
    <row r="867" spans="1:7" hidden="1">
      <c r="A867" s="17" t="s">
        <v>3751</v>
      </c>
      <c r="B867" s="17" t="s">
        <v>3752</v>
      </c>
      <c r="C867" s="17" t="s">
        <v>121</v>
      </c>
      <c r="D867" s="17" t="s">
        <v>122</v>
      </c>
      <c r="E867" s="17" t="s">
        <v>123</v>
      </c>
      <c r="F867" s="17" t="s">
        <v>3753</v>
      </c>
      <c r="G867" s="17" t="s">
        <v>3754</v>
      </c>
    </row>
    <row r="868" spans="1:7" ht="26.4" hidden="1">
      <c r="A868" s="17" t="s">
        <v>2959</v>
      </c>
      <c r="B868" s="17" t="s">
        <v>1557</v>
      </c>
      <c r="C868" s="17" t="s">
        <v>677</v>
      </c>
      <c r="D868" s="17" t="s">
        <v>678</v>
      </c>
      <c r="E868" s="17" t="s">
        <v>679</v>
      </c>
      <c r="F868" s="17" t="s">
        <v>1558</v>
      </c>
      <c r="G868" s="17" t="s">
        <v>1559</v>
      </c>
    </row>
    <row r="869" spans="1:7" hidden="1">
      <c r="A869" s="17" t="s">
        <v>3755</v>
      </c>
      <c r="B869" s="17" t="s">
        <v>3756</v>
      </c>
      <c r="C869" s="17" t="s">
        <v>559</v>
      </c>
      <c r="D869" s="17" t="s">
        <v>560</v>
      </c>
      <c r="E869" s="17" t="s">
        <v>561</v>
      </c>
      <c r="F869" s="17" t="s">
        <v>3757</v>
      </c>
      <c r="G869" s="17" t="s">
        <v>3758</v>
      </c>
    </row>
    <row r="870" spans="1:7" hidden="1">
      <c r="A870" s="17" t="s">
        <v>3759</v>
      </c>
      <c r="B870" s="17" t="s">
        <v>3760</v>
      </c>
      <c r="C870" s="17" t="s">
        <v>501</v>
      </c>
      <c r="D870" s="17" t="s">
        <v>502</v>
      </c>
      <c r="E870" s="17" t="s">
        <v>503</v>
      </c>
      <c r="F870" s="17" t="s">
        <v>3761</v>
      </c>
      <c r="G870" s="17" t="s">
        <v>3762</v>
      </c>
    </row>
    <row r="871" spans="1:7" hidden="1">
      <c r="A871" s="17" t="s">
        <v>3763</v>
      </c>
      <c r="B871" s="17" t="s">
        <v>3764</v>
      </c>
      <c r="C871" s="17" t="s">
        <v>2784</v>
      </c>
      <c r="D871" s="17" t="s">
        <v>592</v>
      </c>
      <c r="E871" s="17" t="s">
        <v>593</v>
      </c>
      <c r="F871" s="17" t="s">
        <v>3765</v>
      </c>
      <c r="G871" s="17" t="s">
        <v>3766</v>
      </c>
    </row>
    <row r="872" spans="1:7" hidden="1">
      <c r="A872" s="17" t="s">
        <v>2829</v>
      </c>
      <c r="B872" s="17" t="s">
        <v>1047</v>
      </c>
      <c r="C872" s="17" t="s">
        <v>1122</v>
      </c>
      <c r="D872" s="17" t="s">
        <v>1049</v>
      </c>
      <c r="E872" s="17" t="s">
        <v>1124</v>
      </c>
      <c r="F872" s="17" t="s">
        <v>1051</v>
      </c>
      <c r="G872" s="17" t="s">
        <v>1052</v>
      </c>
    </row>
    <row r="873" spans="1:7" hidden="1">
      <c r="A873" s="17" t="s">
        <v>3767</v>
      </c>
      <c r="B873" s="17" t="s">
        <v>3768</v>
      </c>
      <c r="C873" s="17" t="s">
        <v>161</v>
      </c>
      <c r="D873" s="17" t="s">
        <v>162</v>
      </c>
      <c r="E873" s="17" t="s">
        <v>163</v>
      </c>
      <c r="F873" s="17" t="s">
        <v>3769</v>
      </c>
      <c r="G873" s="17" t="s">
        <v>3770</v>
      </c>
    </row>
    <row r="874" spans="1:7" hidden="1">
      <c r="A874" s="17" t="s">
        <v>3771</v>
      </c>
      <c r="B874" s="17" t="s">
        <v>3772</v>
      </c>
      <c r="C874" s="17" t="s">
        <v>169</v>
      </c>
      <c r="D874" s="17" t="s">
        <v>170</v>
      </c>
      <c r="E874" s="17" t="s">
        <v>171</v>
      </c>
      <c r="F874" s="17" t="s">
        <v>3773</v>
      </c>
      <c r="G874" s="17" t="s">
        <v>3774</v>
      </c>
    </row>
    <row r="875" spans="1:7" hidden="1">
      <c r="A875" s="17" t="s">
        <v>3775</v>
      </c>
      <c r="B875" s="17" t="s">
        <v>3776</v>
      </c>
      <c r="C875" s="17" t="s">
        <v>861</v>
      </c>
      <c r="D875" s="17" t="s">
        <v>862</v>
      </c>
      <c r="E875" s="17" t="s">
        <v>863</v>
      </c>
      <c r="F875" s="17" t="s">
        <v>3777</v>
      </c>
      <c r="G875" s="17" t="s">
        <v>3778</v>
      </c>
    </row>
    <row r="876" spans="1:7" hidden="1">
      <c r="A876" s="17" t="s">
        <v>3779</v>
      </c>
      <c r="B876" s="17" t="s">
        <v>3780</v>
      </c>
      <c r="C876" s="17" t="s">
        <v>921</v>
      </c>
      <c r="D876" s="17" t="s">
        <v>922</v>
      </c>
      <c r="E876" s="17" t="s">
        <v>923</v>
      </c>
      <c r="F876" s="17" t="s">
        <v>3781</v>
      </c>
      <c r="G876" s="17" t="s">
        <v>3782</v>
      </c>
    </row>
    <row r="877" spans="1:7" hidden="1">
      <c r="A877" s="17" t="s">
        <v>3783</v>
      </c>
      <c r="B877" s="17" t="s">
        <v>424</v>
      </c>
      <c r="C877" s="17" t="s">
        <v>217</v>
      </c>
      <c r="D877" s="17" t="s">
        <v>218</v>
      </c>
      <c r="E877" s="17" t="s">
        <v>219</v>
      </c>
      <c r="F877" s="17" t="s">
        <v>425</v>
      </c>
      <c r="G877" s="17" t="s">
        <v>426</v>
      </c>
    </row>
    <row r="878" spans="1:7" hidden="1">
      <c r="A878" s="17" t="s">
        <v>3784</v>
      </c>
      <c r="B878" s="17" t="s">
        <v>3785</v>
      </c>
      <c r="C878" s="17" t="s">
        <v>559</v>
      </c>
      <c r="D878" s="17" t="s">
        <v>560</v>
      </c>
      <c r="E878" s="17" t="s">
        <v>561</v>
      </c>
      <c r="F878" s="17" t="s">
        <v>3786</v>
      </c>
      <c r="G878" s="17" t="s">
        <v>3787</v>
      </c>
    </row>
    <row r="879" spans="1:7" hidden="1">
      <c r="A879" s="17" t="s">
        <v>3788</v>
      </c>
      <c r="B879" s="17" t="s">
        <v>3789</v>
      </c>
      <c r="C879" s="17" t="s">
        <v>169</v>
      </c>
      <c r="D879" s="17" t="s">
        <v>170</v>
      </c>
      <c r="E879" s="17" t="s">
        <v>171</v>
      </c>
      <c r="F879" s="17" t="s">
        <v>3790</v>
      </c>
      <c r="G879" s="17" t="s">
        <v>3791</v>
      </c>
    </row>
    <row r="880" spans="1:7" hidden="1">
      <c r="A880" s="17" t="s">
        <v>3792</v>
      </c>
      <c r="B880" s="17" t="s">
        <v>3793</v>
      </c>
      <c r="C880" s="17" t="s">
        <v>1852</v>
      </c>
      <c r="D880" s="17" t="s">
        <v>1853</v>
      </c>
      <c r="E880" s="17" t="s">
        <v>1854</v>
      </c>
      <c r="F880" s="17" t="s">
        <v>3794</v>
      </c>
      <c r="G880" s="17" t="s">
        <v>3795</v>
      </c>
    </row>
    <row r="881" spans="1:7" hidden="1">
      <c r="A881" s="17" t="s">
        <v>3796</v>
      </c>
      <c r="B881" s="17" t="s">
        <v>3797</v>
      </c>
      <c r="C881" s="17" t="s">
        <v>1450</v>
      </c>
      <c r="D881" s="17" t="s">
        <v>122</v>
      </c>
      <c r="E881" s="17" t="s">
        <v>1451</v>
      </c>
      <c r="F881" s="17" t="s">
        <v>3798</v>
      </c>
      <c r="G881" s="17" t="s">
        <v>3799</v>
      </c>
    </row>
    <row r="882" spans="1:7" hidden="1">
      <c r="A882" s="17" t="s">
        <v>3800</v>
      </c>
      <c r="B882" s="17" t="s">
        <v>3801</v>
      </c>
      <c r="C882" s="17" t="s">
        <v>2418</v>
      </c>
      <c r="D882" s="17" t="s">
        <v>3802</v>
      </c>
      <c r="E882" s="17" t="s">
        <v>2419</v>
      </c>
      <c r="F882" s="17" t="s">
        <v>3803</v>
      </c>
      <c r="G882" s="17" t="s">
        <v>3804</v>
      </c>
    </row>
    <row r="883" spans="1:7" ht="26.4" hidden="1">
      <c r="A883" s="17" t="s">
        <v>3805</v>
      </c>
      <c r="B883" s="17" t="s">
        <v>3806</v>
      </c>
      <c r="C883" s="17" t="s">
        <v>3807</v>
      </c>
      <c r="D883" s="17" t="s">
        <v>832</v>
      </c>
      <c r="E883" s="17" t="s">
        <v>3808</v>
      </c>
      <c r="F883" s="17" t="s">
        <v>3809</v>
      </c>
      <c r="G883" s="17" t="s">
        <v>3810</v>
      </c>
    </row>
    <row r="884" spans="1:7" ht="26.4" hidden="1">
      <c r="A884" s="17" t="s">
        <v>3811</v>
      </c>
      <c r="B884" s="17" t="s">
        <v>3812</v>
      </c>
      <c r="C884" s="17" t="s">
        <v>210</v>
      </c>
      <c r="D884" s="17" t="s">
        <v>211</v>
      </c>
      <c r="E884" s="17" t="s">
        <v>212</v>
      </c>
      <c r="F884" s="17" t="s">
        <v>3813</v>
      </c>
      <c r="G884" s="17" t="s">
        <v>3814</v>
      </c>
    </row>
    <row r="885" spans="1:7" hidden="1">
      <c r="A885" s="17" t="s">
        <v>3815</v>
      </c>
      <c r="B885" s="17" t="s">
        <v>3816</v>
      </c>
      <c r="C885" s="17" t="s">
        <v>914</v>
      </c>
      <c r="D885" s="17" t="s">
        <v>915</v>
      </c>
      <c r="E885" s="17" t="s">
        <v>916</v>
      </c>
      <c r="F885" s="17" t="s">
        <v>3817</v>
      </c>
      <c r="G885" s="17" t="s">
        <v>3818</v>
      </c>
    </row>
    <row r="886" spans="1:7" ht="26.4" hidden="1">
      <c r="A886" s="17" t="s">
        <v>3819</v>
      </c>
      <c r="B886" s="17" t="s">
        <v>3820</v>
      </c>
      <c r="C886" s="17" t="s">
        <v>183</v>
      </c>
      <c r="D886" s="17" t="s">
        <v>184</v>
      </c>
      <c r="E886" s="17" t="s">
        <v>185</v>
      </c>
      <c r="F886" s="17" t="s">
        <v>3821</v>
      </c>
      <c r="G886" s="17" t="s">
        <v>3822</v>
      </c>
    </row>
    <row r="887" spans="1:7" hidden="1">
      <c r="A887" s="17" t="s">
        <v>3823</v>
      </c>
      <c r="B887" s="17" t="s">
        <v>3824</v>
      </c>
      <c r="C887" s="17" t="s">
        <v>358</v>
      </c>
      <c r="D887" s="17" t="s">
        <v>359</v>
      </c>
      <c r="E887" s="17" t="s">
        <v>360</v>
      </c>
      <c r="F887" s="17" t="s">
        <v>3825</v>
      </c>
      <c r="G887" s="17" t="s">
        <v>3826</v>
      </c>
    </row>
    <row r="888" spans="1:7">
      <c r="A888" s="17" t="s">
        <v>3827</v>
      </c>
      <c r="B888" s="17" t="s">
        <v>3828</v>
      </c>
      <c r="C888" s="17" t="s">
        <v>777</v>
      </c>
      <c r="D888" s="17" t="s">
        <v>778</v>
      </c>
      <c r="E888" s="17" t="s">
        <v>779</v>
      </c>
      <c r="F888" s="17" t="s">
        <v>3829</v>
      </c>
      <c r="G888" s="17" t="s">
        <v>3830</v>
      </c>
    </row>
    <row r="889" spans="1:7" hidden="1">
      <c r="A889" s="17" t="s">
        <v>3831</v>
      </c>
      <c r="B889" s="17" t="s">
        <v>3832</v>
      </c>
      <c r="C889" s="17" t="s">
        <v>3833</v>
      </c>
      <c r="D889" s="17" t="s">
        <v>678</v>
      </c>
      <c r="E889" s="17" t="s">
        <v>679</v>
      </c>
      <c r="F889" s="17" t="s">
        <v>3834</v>
      </c>
      <c r="G889" s="17" t="s">
        <v>3835</v>
      </c>
    </row>
    <row r="890" spans="1:7" hidden="1">
      <c r="A890" s="17" t="s">
        <v>3836</v>
      </c>
      <c r="B890" s="17" t="s">
        <v>3837</v>
      </c>
      <c r="C890" s="17" t="s">
        <v>2052</v>
      </c>
      <c r="D890" s="17" t="s">
        <v>1185</v>
      </c>
      <c r="E890" s="17" t="s">
        <v>1186</v>
      </c>
      <c r="F890" s="17" t="s">
        <v>3838</v>
      </c>
      <c r="G890" s="17" t="s">
        <v>3839</v>
      </c>
    </row>
    <row r="891" spans="1:7" ht="26.4" hidden="1">
      <c r="A891" s="17" t="s">
        <v>2074</v>
      </c>
      <c r="B891" s="17" t="s">
        <v>1172</v>
      </c>
      <c r="C891" s="17" t="s">
        <v>715</v>
      </c>
      <c r="D891" s="17" t="s">
        <v>716</v>
      </c>
      <c r="E891" s="17" t="s">
        <v>717</v>
      </c>
      <c r="F891" s="17" t="s">
        <v>1173</v>
      </c>
      <c r="G891" s="17" t="s">
        <v>1617</v>
      </c>
    </row>
    <row r="892" spans="1:7" hidden="1">
      <c r="A892" s="17" t="s">
        <v>140</v>
      </c>
      <c r="B892" s="17" t="s">
        <v>141</v>
      </c>
      <c r="C892" s="17" t="s">
        <v>58</v>
      </c>
      <c r="D892" s="17" t="s">
        <v>59</v>
      </c>
      <c r="E892" s="17" t="s">
        <v>60</v>
      </c>
      <c r="F892" s="17" t="s">
        <v>142</v>
      </c>
      <c r="G892" s="17" t="s">
        <v>2478</v>
      </c>
    </row>
    <row r="893" spans="1:7" hidden="1">
      <c r="A893" s="17" t="s">
        <v>3840</v>
      </c>
      <c r="B893" s="17" t="s">
        <v>3841</v>
      </c>
      <c r="C893" s="17" t="s">
        <v>3842</v>
      </c>
      <c r="D893" s="17" t="s">
        <v>136</v>
      </c>
      <c r="E893" s="17" t="s">
        <v>137</v>
      </c>
      <c r="F893" s="17" t="s">
        <v>3843</v>
      </c>
      <c r="G893" s="17" t="s">
        <v>3844</v>
      </c>
    </row>
    <row r="894" spans="1:7" hidden="1">
      <c r="A894" s="17" t="s">
        <v>3845</v>
      </c>
      <c r="B894" s="17" t="s">
        <v>3846</v>
      </c>
      <c r="C894" s="17" t="s">
        <v>1393</v>
      </c>
      <c r="D894" s="17" t="s">
        <v>804</v>
      </c>
      <c r="E894" s="17" t="s">
        <v>805</v>
      </c>
      <c r="F894" s="17" t="s">
        <v>3847</v>
      </c>
      <c r="G894" s="17" t="s">
        <v>3848</v>
      </c>
    </row>
    <row r="895" spans="1:7" hidden="1">
      <c r="A895" s="17" t="s">
        <v>3849</v>
      </c>
      <c r="B895" s="17" t="s">
        <v>3850</v>
      </c>
      <c r="C895" s="17" t="s">
        <v>516</v>
      </c>
      <c r="D895" s="17" t="s">
        <v>517</v>
      </c>
      <c r="E895" s="17" t="s">
        <v>518</v>
      </c>
      <c r="F895" s="17" t="s">
        <v>3851</v>
      </c>
      <c r="G895" s="17" t="s">
        <v>3852</v>
      </c>
    </row>
    <row r="896" spans="1:7" hidden="1">
      <c r="A896" s="17" t="s">
        <v>3853</v>
      </c>
      <c r="B896" s="17" t="s">
        <v>3854</v>
      </c>
      <c r="C896" s="17" t="s">
        <v>1348</v>
      </c>
      <c r="D896" s="17" t="s">
        <v>1349</v>
      </c>
      <c r="E896" s="17" t="s">
        <v>1350</v>
      </c>
      <c r="F896" s="17" t="s">
        <v>3855</v>
      </c>
      <c r="G896" s="17" t="s">
        <v>3856</v>
      </c>
    </row>
    <row r="897" spans="1:7" hidden="1">
      <c r="A897" s="17" t="s">
        <v>3857</v>
      </c>
      <c r="B897" s="17" t="s">
        <v>3858</v>
      </c>
      <c r="C897" s="17" t="s">
        <v>3859</v>
      </c>
      <c r="D897" s="17" t="s">
        <v>791</v>
      </c>
      <c r="E897" s="17" t="s">
        <v>792</v>
      </c>
      <c r="F897" s="17" t="s">
        <v>3860</v>
      </c>
      <c r="G897" s="17" t="s">
        <v>3861</v>
      </c>
    </row>
    <row r="898" spans="1:7" ht="26.4" hidden="1">
      <c r="A898" s="17" t="s">
        <v>2608</v>
      </c>
      <c r="B898" s="17" t="s">
        <v>2056</v>
      </c>
      <c r="C898" s="17" t="s">
        <v>1025</v>
      </c>
      <c r="D898" s="17" t="s">
        <v>825</v>
      </c>
      <c r="E898" s="17" t="s">
        <v>826</v>
      </c>
      <c r="F898" s="17" t="s">
        <v>2057</v>
      </c>
      <c r="G898" s="17" t="s">
        <v>2058</v>
      </c>
    </row>
    <row r="899" spans="1:7" hidden="1">
      <c r="A899" s="17" t="s">
        <v>3862</v>
      </c>
      <c r="B899" s="17" t="s">
        <v>3863</v>
      </c>
      <c r="C899" s="17" t="s">
        <v>949</v>
      </c>
      <c r="D899" s="17" t="s">
        <v>950</v>
      </c>
      <c r="E899" s="17" t="s">
        <v>951</v>
      </c>
      <c r="F899" s="17" t="s">
        <v>3864</v>
      </c>
      <c r="G899" s="17" t="s">
        <v>3865</v>
      </c>
    </row>
    <row r="900" spans="1:7" hidden="1">
      <c r="A900" s="17" t="s">
        <v>3866</v>
      </c>
      <c r="B900" s="17" t="s">
        <v>3867</v>
      </c>
      <c r="C900" s="17" t="s">
        <v>1781</v>
      </c>
      <c r="D900" s="17" t="s">
        <v>1782</v>
      </c>
      <c r="E900" s="17" t="s">
        <v>1783</v>
      </c>
      <c r="F900" s="17" t="s">
        <v>3868</v>
      </c>
      <c r="G900" s="17" t="s">
        <v>3869</v>
      </c>
    </row>
    <row r="901" spans="1:7" hidden="1">
      <c r="A901" s="17" t="s">
        <v>3870</v>
      </c>
      <c r="B901" s="17" t="s">
        <v>3871</v>
      </c>
      <c r="C901" s="17" t="s">
        <v>444</v>
      </c>
      <c r="D901" s="17" t="s">
        <v>122</v>
      </c>
      <c r="E901" s="17" t="s">
        <v>445</v>
      </c>
      <c r="F901" s="17" t="s">
        <v>3872</v>
      </c>
      <c r="G901" s="17" t="s">
        <v>3873</v>
      </c>
    </row>
    <row r="902" spans="1:7" hidden="1">
      <c r="A902" s="17" t="s">
        <v>3874</v>
      </c>
      <c r="B902" s="17" t="s">
        <v>3875</v>
      </c>
      <c r="C902" s="17" t="s">
        <v>261</v>
      </c>
      <c r="D902" s="17" t="s">
        <v>262</v>
      </c>
      <c r="E902" s="17" t="s">
        <v>263</v>
      </c>
      <c r="F902" s="17" t="s">
        <v>3876</v>
      </c>
      <c r="G902" s="17" t="s">
        <v>3877</v>
      </c>
    </row>
    <row r="903" spans="1:7" hidden="1">
      <c r="A903" s="17" t="s">
        <v>3878</v>
      </c>
      <c r="B903" s="17" t="s">
        <v>3879</v>
      </c>
      <c r="C903" s="17" t="s">
        <v>810</v>
      </c>
      <c r="D903" s="17" t="s">
        <v>811</v>
      </c>
      <c r="E903" s="17" t="s">
        <v>812</v>
      </c>
      <c r="F903" s="17" t="s">
        <v>3880</v>
      </c>
      <c r="G903" s="17" t="s">
        <v>3881</v>
      </c>
    </row>
    <row r="904" spans="1:7" hidden="1">
      <c r="A904" s="17" t="s">
        <v>3882</v>
      </c>
      <c r="B904" s="17" t="s">
        <v>3883</v>
      </c>
      <c r="C904" s="17" t="s">
        <v>1922</v>
      </c>
      <c r="D904" s="17" t="s">
        <v>1923</v>
      </c>
      <c r="E904" s="17" t="s">
        <v>1924</v>
      </c>
      <c r="F904" s="17" t="s">
        <v>3884</v>
      </c>
      <c r="G904" s="17" t="s">
        <v>3885</v>
      </c>
    </row>
    <row r="905" spans="1:7" hidden="1">
      <c r="A905" s="17" t="s">
        <v>3886</v>
      </c>
      <c r="B905" s="17" t="s">
        <v>3887</v>
      </c>
      <c r="C905" s="17" t="s">
        <v>3888</v>
      </c>
      <c r="D905" s="17" t="s">
        <v>162</v>
      </c>
      <c r="E905" s="17" t="s">
        <v>163</v>
      </c>
      <c r="F905" s="17" t="s">
        <v>3889</v>
      </c>
      <c r="G905" s="17" t="s">
        <v>3890</v>
      </c>
    </row>
    <row r="906" spans="1:7" hidden="1">
      <c r="A906" s="17" t="s">
        <v>3891</v>
      </c>
      <c r="B906" s="17" t="s">
        <v>3887</v>
      </c>
      <c r="C906" s="17" t="s">
        <v>161</v>
      </c>
      <c r="D906" s="17" t="s">
        <v>162</v>
      </c>
      <c r="E906" s="17" t="s">
        <v>163</v>
      </c>
      <c r="F906" s="17" t="s">
        <v>3889</v>
      </c>
      <c r="G906" s="17" t="s">
        <v>3890</v>
      </c>
    </row>
    <row r="907" spans="1:7" hidden="1">
      <c r="A907" s="17" t="s">
        <v>3892</v>
      </c>
      <c r="B907" s="17" t="s">
        <v>3893</v>
      </c>
      <c r="C907" s="17" t="s">
        <v>994</v>
      </c>
      <c r="D907" s="17" t="s">
        <v>995</v>
      </c>
      <c r="E907" s="17" t="s">
        <v>996</v>
      </c>
      <c r="F907" s="17" t="s">
        <v>3894</v>
      </c>
      <c r="G907" s="17" t="s">
        <v>3895</v>
      </c>
    </row>
    <row r="908" spans="1:7" hidden="1">
      <c r="A908" s="17" t="s">
        <v>3896</v>
      </c>
      <c r="B908" s="17" t="s">
        <v>3897</v>
      </c>
      <c r="C908" s="17" t="s">
        <v>2418</v>
      </c>
      <c r="D908" s="17" t="s">
        <v>3802</v>
      </c>
      <c r="E908" s="17" t="s">
        <v>2419</v>
      </c>
      <c r="F908" s="17" t="s">
        <v>3898</v>
      </c>
      <c r="G908" s="17" t="s">
        <v>3899</v>
      </c>
    </row>
    <row r="909" spans="1:7" hidden="1">
      <c r="A909" s="17" t="s">
        <v>3900</v>
      </c>
      <c r="B909" s="17" t="s">
        <v>3901</v>
      </c>
      <c r="C909" s="17" t="s">
        <v>1520</v>
      </c>
      <c r="D909" s="17" t="s">
        <v>1521</v>
      </c>
      <c r="E909" s="17" t="s">
        <v>1522</v>
      </c>
      <c r="F909" s="17" t="s">
        <v>3902</v>
      </c>
      <c r="G909" s="17" t="s">
        <v>3903</v>
      </c>
    </row>
    <row r="910" spans="1:7" hidden="1">
      <c r="A910" s="17" t="s">
        <v>3783</v>
      </c>
      <c r="B910" s="17" t="s">
        <v>424</v>
      </c>
      <c r="C910" s="17" t="s">
        <v>217</v>
      </c>
      <c r="D910" s="17" t="s">
        <v>218</v>
      </c>
      <c r="E910" s="17" t="s">
        <v>219</v>
      </c>
      <c r="F910" s="17" t="s">
        <v>425</v>
      </c>
      <c r="G910" s="17" t="s">
        <v>1222</v>
      </c>
    </row>
    <row r="911" spans="1:7" ht="26.4" hidden="1">
      <c r="A911" s="17" t="s">
        <v>3904</v>
      </c>
      <c r="B911" s="17" t="s">
        <v>3905</v>
      </c>
      <c r="C911" s="17" t="s">
        <v>878</v>
      </c>
      <c r="D911" s="17" t="s">
        <v>332</v>
      </c>
      <c r="E911" s="17" t="s">
        <v>333</v>
      </c>
      <c r="F911" s="17" t="s">
        <v>3906</v>
      </c>
      <c r="G911" s="17" t="s">
        <v>3907</v>
      </c>
    </row>
    <row r="912" spans="1:7" hidden="1">
      <c r="A912" s="17" t="s">
        <v>3908</v>
      </c>
      <c r="B912" s="17" t="s">
        <v>3909</v>
      </c>
      <c r="C912" s="17" t="s">
        <v>100</v>
      </c>
      <c r="D912" s="17" t="s">
        <v>2025</v>
      </c>
      <c r="E912" s="17" t="s">
        <v>102</v>
      </c>
      <c r="F912" s="17" t="s">
        <v>3910</v>
      </c>
      <c r="G912" s="17" t="s">
        <v>3911</v>
      </c>
    </row>
    <row r="913" spans="1:7" hidden="1">
      <c r="A913" s="17" t="s">
        <v>3912</v>
      </c>
      <c r="B913" s="17" t="s">
        <v>3913</v>
      </c>
      <c r="C913" s="17" t="s">
        <v>2173</v>
      </c>
      <c r="D913" s="17" t="s">
        <v>2174</v>
      </c>
      <c r="E913" s="17" t="s">
        <v>2175</v>
      </c>
      <c r="F913" s="17" t="s">
        <v>3914</v>
      </c>
      <c r="G913" s="17" t="s">
        <v>3915</v>
      </c>
    </row>
    <row r="914" spans="1:7" hidden="1">
      <c r="A914" s="17" t="s">
        <v>3916</v>
      </c>
      <c r="B914" s="17" t="s">
        <v>3917</v>
      </c>
      <c r="C914" s="17" t="s">
        <v>1247</v>
      </c>
      <c r="D914" s="17" t="s">
        <v>1248</v>
      </c>
      <c r="E914" s="17" t="s">
        <v>1249</v>
      </c>
      <c r="F914" s="17" t="s">
        <v>3918</v>
      </c>
      <c r="G914" s="17" t="s">
        <v>3919</v>
      </c>
    </row>
    <row r="915" spans="1:7" ht="26.4" hidden="1">
      <c r="A915" s="17" t="s">
        <v>3920</v>
      </c>
      <c r="B915" s="17" t="s">
        <v>3921</v>
      </c>
      <c r="C915" s="17" t="s">
        <v>623</v>
      </c>
      <c r="D915" s="17" t="s">
        <v>211</v>
      </c>
      <c r="E915" s="17" t="s">
        <v>624</v>
      </c>
      <c r="F915" s="17" t="s">
        <v>3922</v>
      </c>
      <c r="G915" s="17" t="s">
        <v>3923</v>
      </c>
    </row>
    <row r="916" spans="1:7" ht="26.4" hidden="1">
      <c r="A916" s="17" t="s">
        <v>3924</v>
      </c>
      <c r="B916" s="17" t="s">
        <v>3925</v>
      </c>
      <c r="C916" s="17" t="s">
        <v>861</v>
      </c>
      <c r="D916" s="17" t="s">
        <v>862</v>
      </c>
      <c r="E916" s="17" t="s">
        <v>863</v>
      </c>
      <c r="F916" s="17" t="s">
        <v>3926</v>
      </c>
      <c r="G916" s="17" t="s">
        <v>3927</v>
      </c>
    </row>
  </sheetData>
  <autoFilter ref="A1:G916" xr:uid="{A8206A6A-77C2-412F-B974-2B668A5BA429}">
    <filterColumn colId="2">
      <filters>
        <filter val="Tel.Cel Huawei Y5 2019 Black"/>
        <filter val="Tel.Cel Huawei Y5 2019 Blue"/>
      </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A33F-B570-4F33-986A-5DF233435CAB}">
  <sheetPr codeName="Foglio2" filterMode="1"/>
  <dimension ref="A1:H912"/>
  <sheetViews>
    <sheetView workbookViewId="0">
      <pane ySplit="1" topLeftCell="A2" activePane="bottomLeft" state="frozen"/>
      <selection pane="bottomLeft" activeCell="D937" sqref="D937"/>
    </sheetView>
  </sheetViews>
  <sheetFormatPr defaultColWidth="17.33203125" defaultRowHeight="11.1" customHeight="1"/>
  <cols>
    <col min="1" max="1" width="17.33203125" style="19" customWidth="1"/>
    <col min="2" max="2" width="26.33203125" style="19" customWidth="1"/>
    <col min="3" max="3" width="31.5546875" style="19" customWidth="1"/>
    <col min="4" max="4" width="17.33203125" style="19" customWidth="1"/>
    <col min="5" max="5" width="21.33203125" style="19" customWidth="1"/>
    <col min="6" max="6" width="40.33203125" style="19" customWidth="1"/>
    <col min="7" max="7" width="24.5546875" style="19" customWidth="1"/>
    <col min="8" max="257" width="17.33203125" style="19"/>
    <col min="258" max="258" width="21.33203125" style="19" customWidth="1"/>
    <col min="259" max="259" width="31.5546875" style="19" customWidth="1"/>
    <col min="260" max="260" width="17.33203125" style="19"/>
    <col min="261" max="261" width="21.33203125" style="19" customWidth="1"/>
    <col min="262" max="262" width="40.33203125" style="19" customWidth="1"/>
    <col min="263" max="263" width="24.5546875" style="19" customWidth="1"/>
    <col min="264" max="513" width="17.33203125" style="19"/>
    <col min="514" max="514" width="21.33203125" style="19" customWidth="1"/>
    <col min="515" max="515" width="31.5546875" style="19" customWidth="1"/>
    <col min="516" max="516" width="17.33203125" style="19"/>
    <col min="517" max="517" width="21.33203125" style="19" customWidth="1"/>
    <col min="518" max="518" width="40.33203125" style="19" customWidth="1"/>
    <col min="519" max="519" width="24.5546875" style="19" customWidth="1"/>
    <col min="520" max="769" width="17.33203125" style="19"/>
    <col min="770" max="770" width="21.33203125" style="19" customWidth="1"/>
    <col min="771" max="771" width="31.5546875" style="19" customWidth="1"/>
    <col min="772" max="772" width="17.33203125" style="19"/>
    <col min="773" max="773" width="21.33203125" style="19" customWidth="1"/>
    <col min="774" max="774" width="40.33203125" style="19" customWidth="1"/>
    <col min="775" max="775" width="24.5546875" style="19" customWidth="1"/>
    <col min="776" max="1025" width="17.33203125" style="19"/>
    <col min="1026" max="1026" width="21.33203125" style="19" customWidth="1"/>
    <col min="1027" max="1027" width="31.5546875" style="19" customWidth="1"/>
    <col min="1028" max="1028" width="17.33203125" style="19"/>
    <col min="1029" max="1029" width="21.33203125" style="19" customWidth="1"/>
    <col min="1030" max="1030" width="40.33203125" style="19" customWidth="1"/>
    <col min="1031" max="1031" width="24.5546875" style="19" customWidth="1"/>
    <col min="1032" max="1281" width="17.33203125" style="19"/>
    <col min="1282" max="1282" width="21.33203125" style="19" customWidth="1"/>
    <col min="1283" max="1283" width="31.5546875" style="19" customWidth="1"/>
    <col min="1284" max="1284" width="17.33203125" style="19"/>
    <col min="1285" max="1285" width="21.33203125" style="19" customWidth="1"/>
    <col min="1286" max="1286" width="40.33203125" style="19" customWidth="1"/>
    <col min="1287" max="1287" width="24.5546875" style="19" customWidth="1"/>
    <col min="1288" max="1537" width="17.33203125" style="19"/>
    <col min="1538" max="1538" width="21.33203125" style="19" customWidth="1"/>
    <col min="1539" max="1539" width="31.5546875" style="19" customWidth="1"/>
    <col min="1540" max="1540" width="17.33203125" style="19"/>
    <col min="1541" max="1541" width="21.33203125" style="19" customWidth="1"/>
    <col min="1542" max="1542" width="40.33203125" style="19" customWidth="1"/>
    <col min="1543" max="1543" width="24.5546875" style="19" customWidth="1"/>
    <col min="1544" max="1793" width="17.33203125" style="19"/>
    <col min="1794" max="1794" width="21.33203125" style="19" customWidth="1"/>
    <col min="1795" max="1795" width="31.5546875" style="19" customWidth="1"/>
    <col min="1796" max="1796" width="17.33203125" style="19"/>
    <col min="1797" max="1797" width="21.33203125" style="19" customWidth="1"/>
    <col min="1798" max="1798" width="40.33203125" style="19" customWidth="1"/>
    <col min="1799" max="1799" width="24.5546875" style="19" customWidth="1"/>
    <col min="1800" max="2049" width="17.33203125" style="19"/>
    <col min="2050" max="2050" width="21.33203125" style="19" customWidth="1"/>
    <col min="2051" max="2051" width="31.5546875" style="19" customWidth="1"/>
    <col min="2052" max="2052" width="17.33203125" style="19"/>
    <col min="2053" max="2053" width="21.33203125" style="19" customWidth="1"/>
    <col min="2054" max="2054" width="40.33203125" style="19" customWidth="1"/>
    <col min="2055" max="2055" width="24.5546875" style="19" customWidth="1"/>
    <col min="2056" max="2305" width="17.33203125" style="19"/>
    <col min="2306" max="2306" width="21.33203125" style="19" customWidth="1"/>
    <col min="2307" max="2307" width="31.5546875" style="19" customWidth="1"/>
    <col min="2308" max="2308" width="17.33203125" style="19"/>
    <col min="2309" max="2309" width="21.33203125" style="19" customWidth="1"/>
    <col min="2310" max="2310" width="40.33203125" style="19" customWidth="1"/>
    <col min="2311" max="2311" width="24.5546875" style="19" customWidth="1"/>
    <col min="2312" max="2561" width="17.33203125" style="19"/>
    <col min="2562" max="2562" width="21.33203125" style="19" customWidth="1"/>
    <col min="2563" max="2563" width="31.5546875" style="19" customWidth="1"/>
    <col min="2564" max="2564" width="17.33203125" style="19"/>
    <col min="2565" max="2565" width="21.33203125" style="19" customWidth="1"/>
    <col min="2566" max="2566" width="40.33203125" style="19" customWidth="1"/>
    <col min="2567" max="2567" width="24.5546875" style="19" customWidth="1"/>
    <col min="2568" max="2817" width="17.33203125" style="19"/>
    <col min="2818" max="2818" width="21.33203125" style="19" customWidth="1"/>
    <col min="2819" max="2819" width="31.5546875" style="19" customWidth="1"/>
    <col min="2820" max="2820" width="17.33203125" style="19"/>
    <col min="2821" max="2821" width="21.33203125" style="19" customWidth="1"/>
    <col min="2822" max="2822" width="40.33203125" style="19" customWidth="1"/>
    <col min="2823" max="2823" width="24.5546875" style="19" customWidth="1"/>
    <col min="2824" max="3073" width="17.33203125" style="19"/>
    <col min="3074" max="3074" width="21.33203125" style="19" customWidth="1"/>
    <col min="3075" max="3075" width="31.5546875" style="19" customWidth="1"/>
    <col min="3076" max="3076" width="17.33203125" style="19"/>
    <col min="3077" max="3077" width="21.33203125" style="19" customWidth="1"/>
    <col min="3078" max="3078" width="40.33203125" style="19" customWidth="1"/>
    <col min="3079" max="3079" width="24.5546875" style="19" customWidth="1"/>
    <col min="3080" max="3329" width="17.33203125" style="19"/>
    <col min="3330" max="3330" width="21.33203125" style="19" customWidth="1"/>
    <col min="3331" max="3331" width="31.5546875" style="19" customWidth="1"/>
    <col min="3332" max="3332" width="17.33203125" style="19"/>
    <col min="3333" max="3333" width="21.33203125" style="19" customWidth="1"/>
    <col min="3334" max="3334" width="40.33203125" style="19" customWidth="1"/>
    <col min="3335" max="3335" width="24.5546875" style="19" customWidth="1"/>
    <col min="3336" max="3585" width="17.33203125" style="19"/>
    <col min="3586" max="3586" width="21.33203125" style="19" customWidth="1"/>
    <col min="3587" max="3587" width="31.5546875" style="19" customWidth="1"/>
    <col min="3588" max="3588" width="17.33203125" style="19"/>
    <col min="3589" max="3589" width="21.33203125" style="19" customWidth="1"/>
    <col min="3590" max="3590" width="40.33203125" style="19" customWidth="1"/>
    <col min="3591" max="3591" width="24.5546875" style="19" customWidth="1"/>
    <col min="3592" max="3841" width="17.33203125" style="19"/>
    <col min="3842" max="3842" width="21.33203125" style="19" customWidth="1"/>
    <col min="3843" max="3843" width="31.5546875" style="19" customWidth="1"/>
    <col min="3844" max="3844" width="17.33203125" style="19"/>
    <col min="3845" max="3845" width="21.33203125" style="19" customWidth="1"/>
    <col min="3846" max="3846" width="40.33203125" style="19" customWidth="1"/>
    <col min="3847" max="3847" width="24.5546875" style="19" customWidth="1"/>
    <col min="3848" max="4097" width="17.33203125" style="19"/>
    <col min="4098" max="4098" width="21.33203125" style="19" customWidth="1"/>
    <col min="4099" max="4099" width="31.5546875" style="19" customWidth="1"/>
    <col min="4100" max="4100" width="17.33203125" style="19"/>
    <col min="4101" max="4101" width="21.33203125" style="19" customWidth="1"/>
    <col min="4102" max="4102" width="40.33203125" style="19" customWidth="1"/>
    <col min="4103" max="4103" width="24.5546875" style="19" customWidth="1"/>
    <col min="4104" max="4353" width="17.33203125" style="19"/>
    <col min="4354" max="4354" width="21.33203125" style="19" customWidth="1"/>
    <col min="4355" max="4355" width="31.5546875" style="19" customWidth="1"/>
    <col min="4356" max="4356" width="17.33203125" style="19"/>
    <col min="4357" max="4357" width="21.33203125" style="19" customWidth="1"/>
    <col min="4358" max="4358" width="40.33203125" style="19" customWidth="1"/>
    <col min="4359" max="4359" width="24.5546875" style="19" customWidth="1"/>
    <col min="4360" max="4609" width="17.33203125" style="19"/>
    <col min="4610" max="4610" width="21.33203125" style="19" customWidth="1"/>
    <col min="4611" max="4611" width="31.5546875" style="19" customWidth="1"/>
    <col min="4612" max="4612" width="17.33203125" style="19"/>
    <col min="4613" max="4613" width="21.33203125" style="19" customWidth="1"/>
    <col min="4614" max="4614" width="40.33203125" style="19" customWidth="1"/>
    <col min="4615" max="4615" width="24.5546875" style="19" customWidth="1"/>
    <col min="4616" max="4865" width="17.33203125" style="19"/>
    <col min="4866" max="4866" width="21.33203125" style="19" customWidth="1"/>
    <col min="4867" max="4867" width="31.5546875" style="19" customWidth="1"/>
    <col min="4868" max="4868" width="17.33203125" style="19"/>
    <col min="4869" max="4869" width="21.33203125" style="19" customWidth="1"/>
    <col min="4870" max="4870" width="40.33203125" style="19" customWidth="1"/>
    <col min="4871" max="4871" width="24.5546875" style="19" customWidth="1"/>
    <col min="4872" max="5121" width="17.33203125" style="19"/>
    <col min="5122" max="5122" width="21.33203125" style="19" customWidth="1"/>
    <col min="5123" max="5123" width="31.5546875" style="19" customWidth="1"/>
    <col min="5124" max="5124" width="17.33203125" style="19"/>
    <col min="5125" max="5125" width="21.33203125" style="19" customWidth="1"/>
    <col min="5126" max="5126" width="40.33203125" style="19" customWidth="1"/>
    <col min="5127" max="5127" width="24.5546875" style="19" customWidth="1"/>
    <col min="5128" max="5377" width="17.33203125" style="19"/>
    <col min="5378" max="5378" width="21.33203125" style="19" customWidth="1"/>
    <col min="5379" max="5379" width="31.5546875" style="19" customWidth="1"/>
    <col min="5380" max="5380" width="17.33203125" style="19"/>
    <col min="5381" max="5381" width="21.33203125" style="19" customWidth="1"/>
    <col min="5382" max="5382" width="40.33203125" style="19" customWidth="1"/>
    <col min="5383" max="5383" width="24.5546875" style="19" customWidth="1"/>
    <col min="5384" max="5633" width="17.33203125" style="19"/>
    <col min="5634" max="5634" width="21.33203125" style="19" customWidth="1"/>
    <col min="5635" max="5635" width="31.5546875" style="19" customWidth="1"/>
    <col min="5636" max="5636" width="17.33203125" style="19"/>
    <col min="5637" max="5637" width="21.33203125" style="19" customWidth="1"/>
    <col min="5638" max="5638" width="40.33203125" style="19" customWidth="1"/>
    <col min="5639" max="5639" width="24.5546875" style="19" customWidth="1"/>
    <col min="5640" max="5889" width="17.33203125" style="19"/>
    <col min="5890" max="5890" width="21.33203125" style="19" customWidth="1"/>
    <col min="5891" max="5891" width="31.5546875" style="19" customWidth="1"/>
    <col min="5892" max="5892" width="17.33203125" style="19"/>
    <col min="5893" max="5893" width="21.33203125" style="19" customWidth="1"/>
    <col min="5894" max="5894" width="40.33203125" style="19" customWidth="1"/>
    <col min="5895" max="5895" width="24.5546875" style="19" customWidth="1"/>
    <col min="5896" max="6145" width="17.33203125" style="19"/>
    <col min="6146" max="6146" width="21.33203125" style="19" customWidth="1"/>
    <col min="6147" max="6147" width="31.5546875" style="19" customWidth="1"/>
    <col min="6148" max="6148" width="17.33203125" style="19"/>
    <col min="6149" max="6149" width="21.33203125" style="19" customWidth="1"/>
    <col min="6150" max="6150" width="40.33203125" style="19" customWidth="1"/>
    <col min="6151" max="6151" width="24.5546875" style="19" customWidth="1"/>
    <col min="6152" max="6401" width="17.33203125" style="19"/>
    <col min="6402" max="6402" width="21.33203125" style="19" customWidth="1"/>
    <col min="6403" max="6403" width="31.5546875" style="19" customWidth="1"/>
    <col min="6404" max="6404" width="17.33203125" style="19"/>
    <col min="6405" max="6405" width="21.33203125" style="19" customWidth="1"/>
    <col min="6406" max="6406" width="40.33203125" style="19" customWidth="1"/>
    <col min="6407" max="6407" width="24.5546875" style="19" customWidth="1"/>
    <col min="6408" max="6657" width="17.33203125" style="19"/>
    <col min="6658" max="6658" width="21.33203125" style="19" customWidth="1"/>
    <col min="6659" max="6659" width="31.5546875" style="19" customWidth="1"/>
    <col min="6660" max="6660" width="17.33203125" style="19"/>
    <col min="6661" max="6661" width="21.33203125" style="19" customWidth="1"/>
    <col min="6662" max="6662" width="40.33203125" style="19" customWidth="1"/>
    <col min="6663" max="6663" width="24.5546875" style="19" customWidth="1"/>
    <col min="6664" max="6913" width="17.33203125" style="19"/>
    <col min="6914" max="6914" width="21.33203125" style="19" customWidth="1"/>
    <col min="6915" max="6915" width="31.5546875" style="19" customWidth="1"/>
    <col min="6916" max="6916" width="17.33203125" style="19"/>
    <col min="6917" max="6917" width="21.33203125" style="19" customWidth="1"/>
    <col min="6918" max="6918" width="40.33203125" style="19" customWidth="1"/>
    <col min="6919" max="6919" width="24.5546875" style="19" customWidth="1"/>
    <col min="6920" max="7169" width="17.33203125" style="19"/>
    <col min="7170" max="7170" width="21.33203125" style="19" customWidth="1"/>
    <col min="7171" max="7171" width="31.5546875" style="19" customWidth="1"/>
    <col min="7172" max="7172" width="17.33203125" style="19"/>
    <col min="7173" max="7173" width="21.33203125" style="19" customWidth="1"/>
    <col min="7174" max="7174" width="40.33203125" style="19" customWidth="1"/>
    <col min="7175" max="7175" width="24.5546875" style="19" customWidth="1"/>
    <col min="7176" max="7425" width="17.33203125" style="19"/>
    <col min="7426" max="7426" width="21.33203125" style="19" customWidth="1"/>
    <col min="7427" max="7427" width="31.5546875" style="19" customWidth="1"/>
    <col min="7428" max="7428" width="17.33203125" style="19"/>
    <col min="7429" max="7429" width="21.33203125" style="19" customWidth="1"/>
    <col min="7430" max="7430" width="40.33203125" style="19" customWidth="1"/>
    <col min="7431" max="7431" width="24.5546875" style="19" customWidth="1"/>
    <col min="7432" max="7681" width="17.33203125" style="19"/>
    <col min="7682" max="7682" width="21.33203125" style="19" customWidth="1"/>
    <col min="7683" max="7683" width="31.5546875" style="19" customWidth="1"/>
    <col min="7684" max="7684" width="17.33203125" style="19"/>
    <col min="7685" max="7685" width="21.33203125" style="19" customWidth="1"/>
    <col min="7686" max="7686" width="40.33203125" style="19" customWidth="1"/>
    <col min="7687" max="7687" width="24.5546875" style="19" customWidth="1"/>
    <col min="7688" max="7937" width="17.33203125" style="19"/>
    <col min="7938" max="7938" width="21.33203125" style="19" customWidth="1"/>
    <col min="7939" max="7939" width="31.5546875" style="19" customWidth="1"/>
    <col min="7940" max="7940" width="17.33203125" style="19"/>
    <col min="7941" max="7941" width="21.33203125" style="19" customWidth="1"/>
    <col min="7942" max="7942" width="40.33203125" style="19" customWidth="1"/>
    <col min="7943" max="7943" width="24.5546875" style="19" customWidth="1"/>
    <col min="7944" max="8193" width="17.33203125" style="19"/>
    <col min="8194" max="8194" width="21.33203125" style="19" customWidth="1"/>
    <col min="8195" max="8195" width="31.5546875" style="19" customWidth="1"/>
    <col min="8196" max="8196" width="17.33203125" style="19"/>
    <col min="8197" max="8197" width="21.33203125" style="19" customWidth="1"/>
    <col min="8198" max="8198" width="40.33203125" style="19" customWidth="1"/>
    <col min="8199" max="8199" width="24.5546875" style="19" customWidth="1"/>
    <col min="8200" max="8449" width="17.33203125" style="19"/>
    <col min="8450" max="8450" width="21.33203125" style="19" customWidth="1"/>
    <col min="8451" max="8451" width="31.5546875" style="19" customWidth="1"/>
    <col min="8452" max="8452" width="17.33203125" style="19"/>
    <col min="8453" max="8453" width="21.33203125" style="19" customWidth="1"/>
    <col min="8454" max="8454" width="40.33203125" style="19" customWidth="1"/>
    <col min="8455" max="8455" width="24.5546875" style="19" customWidth="1"/>
    <col min="8456" max="8705" width="17.33203125" style="19"/>
    <col min="8706" max="8706" width="21.33203125" style="19" customWidth="1"/>
    <col min="8707" max="8707" width="31.5546875" style="19" customWidth="1"/>
    <col min="8708" max="8708" width="17.33203125" style="19"/>
    <col min="8709" max="8709" width="21.33203125" style="19" customWidth="1"/>
    <col min="8710" max="8710" width="40.33203125" style="19" customWidth="1"/>
    <col min="8711" max="8711" width="24.5546875" style="19" customWidth="1"/>
    <col min="8712" max="8961" width="17.33203125" style="19"/>
    <col min="8962" max="8962" width="21.33203125" style="19" customWidth="1"/>
    <col min="8963" max="8963" width="31.5546875" style="19" customWidth="1"/>
    <col min="8964" max="8964" width="17.33203125" style="19"/>
    <col min="8965" max="8965" width="21.33203125" style="19" customWidth="1"/>
    <col min="8966" max="8966" width="40.33203125" style="19" customWidth="1"/>
    <col min="8967" max="8967" width="24.5546875" style="19" customWidth="1"/>
    <col min="8968" max="9217" width="17.33203125" style="19"/>
    <col min="9218" max="9218" width="21.33203125" style="19" customWidth="1"/>
    <col min="9219" max="9219" width="31.5546875" style="19" customWidth="1"/>
    <col min="9220" max="9220" width="17.33203125" style="19"/>
    <col min="9221" max="9221" width="21.33203125" style="19" customWidth="1"/>
    <col min="9222" max="9222" width="40.33203125" style="19" customWidth="1"/>
    <col min="9223" max="9223" width="24.5546875" style="19" customWidth="1"/>
    <col min="9224" max="9473" width="17.33203125" style="19"/>
    <col min="9474" max="9474" width="21.33203125" style="19" customWidth="1"/>
    <col min="9475" max="9475" width="31.5546875" style="19" customWidth="1"/>
    <col min="9476" max="9476" width="17.33203125" style="19"/>
    <col min="9477" max="9477" width="21.33203125" style="19" customWidth="1"/>
    <col min="9478" max="9478" width="40.33203125" style="19" customWidth="1"/>
    <col min="9479" max="9479" width="24.5546875" style="19" customWidth="1"/>
    <col min="9480" max="9729" width="17.33203125" style="19"/>
    <col min="9730" max="9730" width="21.33203125" style="19" customWidth="1"/>
    <col min="9731" max="9731" width="31.5546875" style="19" customWidth="1"/>
    <col min="9732" max="9732" width="17.33203125" style="19"/>
    <col min="9733" max="9733" width="21.33203125" style="19" customWidth="1"/>
    <col min="9734" max="9734" width="40.33203125" style="19" customWidth="1"/>
    <col min="9735" max="9735" width="24.5546875" style="19" customWidth="1"/>
    <col min="9736" max="9985" width="17.33203125" style="19"/>
    <col min="9986" max="9986" width="21.33203125" style="19" customWidth="1"/>
    <col min="9987" max="9987" width="31.5546875" style="19" customWidth="1"/>
    <col min="9988" max="9988" width="17.33203125" style="19"/>
    <col min="9989" max="9989" width="21.33203125" style="19" customWidth="1"/>
    <col min="9990" max="9990" width="40.33203125" style="19" customWidth="1"/>
    <col min="9991" max="9991" width="24.5546875" style="19" customWidth="1"/>
    <col min="9992" max="10241" width="17.33203125" style="19"/>
    <col min="10242" max="10242" width="21.33203125" style="19" customWidth="1"/>
    <col min="10243" max="10243" width="31.5546875" style="19" customWidth="1"/>
    <col min="10244" max="10244" width="17.33203125" style="19"/>
    <col min="10245" max="10245" width="21.33203125" style="19" customWidth="1"/>
    <col min="10246" max="10246" width="40.33203125" style="19" customWidth="1"/>
    <col min="10247" max="10247" width="24.5546875" style="19" customWidth="1"/>
    <col min="10248" max="10497" width="17.33203125" style="19"/>
    <col min="10498" max="10498" width="21.33203125" style="19" customWidth="1"/>
    <col min="10499" max="10499" width="31.5546875" style="19" customWidth="1"/>
    <col min="10500" max="10500" width="17.33203125" style="19"/>
    <col min="10501" max="10501" width="21.33203125" style="19" customWidth="1"/>
    <col min="10502" max="10502" width="40.33203125" style="19" customWidth="1"/>
    <col min="10503" max="10503" width="24.5546875" style="19" customWidth="1"/>
    <col min="10504" max="10753" width="17.33203125" style="19"/>
    <col min="10754" max="10754" width="21.33203125" style="19" customWidth="1"/>
    <col min="10755" max="10755" width="31.5546875" style="19" customWidth="1"/>
    <col min="10756" max="10756" width="17.33203125" style="19"/>
    <col min="10757" max="10757" width="21.33203125" style="19" customWidth="1"/>
    <col min="10758" max="10758" width="40.33203125" style="19" customWidth="1"/>
    <col min="10759" max="10759" width="24.5546875" style="19" customWidth="1"/>
    <col min="10760" max="11009" width="17.33203125" style="19"/>
    <col min="11010" max="11010" width="21.33203125" style="19" customWidth="1"/>
    <col min="11011" max="11011" width="31.5546875" style="19" customWidth="1"/>
    <col min="11012" max="11012" width="17.33203125" style="19"/>
    <col min="11013" max="11013" width="21.33203125" style="19" customWidth="1"/>
    <col min="11014" max="11014" width="40.33203125" style="19" customWidth="1"/>
    <col min="11015" max="11015" width="24.5546875" style="19" customWidth="1"/>
    <col min="11016" max="11265" width="17.33203125" style="19"/>
    <col min="11266" max="11266" width="21.33203125" style="19" customWidth="1"/>
    <col min="11267" max="11267" width="31.5546875" style="19" customWidth="1"/>
    <col min="11268" max="11268" width="17.33203125" style="19"/>
    <col min="11269" max="11269" width="21.33203125" style="19" customWidth="1"/>
    <col min="11270" max="11270" width="40.33203125" style="19" customWidth="1"/>
    <col min="11271" max="11271" width="24.5546875" style="19" customWidth="1"/>
    <col min="11272" max="11521" width="17.33203125" style="19"/>
    <col min="11522" max="11522" width="21.33203125" style="19" customWidth="1"/>
    <col min="11523" max="11523" width="31.5546875" style="19" customWidth="1"/>
    <col min="11524" max="11524" width="17.33203125" style="19"/>
    <col min="11525" max="11525" width="21.33203125" style="19" customWidth="1"/>
    <col min="11526" max="11526" width="40.33203125" style="19" customWidth="1"/>
    <col min="11527" max="11527" width="24.5546875" style="19" customWidth="1"/>
    <col min="11528" max="11777" width="17.33203125" style="19"/>
    <col min="11778" max="11778" width="21.33203125" style="19" customWidth="1"/>
    <col min="11779" max="11779" width="31.5546875" style="19" customWidth="1"/>
    <col min="11780" max="11780" width="17.33203125" style="19"/>
    <col min="11781" max="11781" width="21.33203125" style="19" customWidth="1"/>
    <col min="11782" max="11782" width="40.33203125" style="19" customWidth="1"/>
    <col min="11783" max="11783" width="24.5546875" style="19" customWidth="1"/>
    <col min="11784" max="12033" width="17.33203125" style="19"/>
    <col min="12034" max="12034" width="21.33203125" style="19" customWidth="1"/>
    <col min="12035" max="12035" width="31.5546875" style="19" customWidth="1"/>
    <col min="12036" max="12036" width="17.33203125" style="19"/>
    <col min="12037" max="12037" width="21.33203125" style="19" customWidth="1"/>
    <col min="12038" max="12038" width="40.33203125" style="19" customWidth="1"/>
    <col min="12039" max="12039" width="24.5546875" style="19" customWidth="1"/>
    <col min="12040" max="12289" width="17.33203125" style="19"/>
    <col min="12290" max="12290" width="21.33203125" style="19" customWidth="1"/>
    <col min="12291" max="12291" width="31.5546875" style="19" customWidth="1"/>
    <col min="12292" max="12292" width="17.33203125" style="19"/>
    <col min="12293" max="12293" width="21.33203125" style="19" customWidth="1"/>
    <col min="12294" max="12294" width="40.33203125" style="19" customWidth="1"/>
    <col min="12295" max="12295" width="24.5546875" style="19" customWidth="1"/>
    <col min="12296" max="12545" width="17.33203125" style="19"/>
    <col min="12546" max="12546" width="21.33203125" style="19" customWidth="1"/>
    <col min="12547" max="12547" width="31.5546875" style="19" customWidth="1"/>
    <col min="12548" max="12548" width="17.33203125" style="19"/>
    <col min="12549" max="12549" width="21.33203125" style="19" customWidth="1"/>
    <col min="12550" max="12550" width="40.33203125" style="19" customWidth="1"/>
    <col min="12551" max="12551" width="24.5546875" style="19" customWidth="1"/>
    <col min="12552" max="12801" width="17.33203125" style="19"/>
    <col min="12802" max="12802" width="21.33203125" style="19" customWidth="1"/>
    <col min="12803" max="12803" width="31.5546875" style="19" customWidth="1"/>
    <col min="12804" max="12804" width="17.33203125" style="19"/>
    <col min="12805" max="12805" width="21.33203125" style="19" customWidth="1"/>
    <col min="12806" max="12806" width="40.33203125" style="19" customWidth="1"/>
    <col min="12807" max="12807" width="24.5546875" style="19" customWidth="1"/>
    <col min="12808" max="13057" width="17.33203125" style="19"/>
    <col min="13058" max="13058" width="21.33203125" style="19" customWidth="1"/>
    <col min="13059" max="13059" width="31.5546875" style="19" customWidth="1"/>
    <col min="13060" max="13060" width="17.33203125" style="19"/>
    <col min="13061" max="13061" width="21.33203125" style="19" customWidth="1"/>
    <col min="13062" max="13062" width="40.33203125" style="19" customWidth="1"/>
    <col min="13063" max="13063" width="24.5546875" style="19" customWidth="1"/>
    <col min="13064" max="13313" width="17.33203125" style="19"/>
    <col min="13314" max="13314" width="21.33203125" style="19" customWidth="1"/>
    <col min="13315" max="13315" width="31.5546875" style="19" customWidth="1"/>
    <col min="13316" max="13316" width="17.33203125" style="19"/>
    <col min="13317" max="13317" width="21.33203125" style="19" customWidth="1"/>
    <col min="13318" max="13318" width="40.33203125" style="19" customWidth="1"/>
    <col min="13319" max="13319" width="24.5546875" style="19" customWidth="1"/>
    <col min="13320" max="13569" width="17.33203125" style="19"/>
    <col min="13570" max="13570" width="21.33203125" style="19" customWidth="1"/>
    <col min="13571" max="13571" width="31.5546875" style="19" customWidth="1"/>
    <col min="13572" max="13572" width="17.33203125" style="19"/>
    <col min="13573" max="13573" width="21.33203125" style="19" customWidth="1"/>
    <col min="13574" max="13574" width="40.33203125" style="19" customWidth="1"/>
    <col min="13575" max="13575" width="24.5546875" style="19" customWidth="1"/>
    <col min="13576" max="13825" width="17.33203125" style="19"/>
    <col min="13826" max="13826" width="21.33203125" style="19" customWidth="1"/>
    <col min="13827" max="13827" width="31.5546875" style="19" customWidth="1"/>
    <col min="13828" max="13828" width="17.33203125" style="19"/>
    <col min="13829" max="13829" width="21.33203125" style="19" customWidth="1"/>
    <col min="13830" max="13830" width="40.33203125" style="19" customWidth="1"/>
    <col min="13831" max="13831" width="24.5546875" style="19" customWidth="1"/>
    <col min="13832" max="14081" width="17.33203125" style="19"/>
    <col min="14082" max="14082" width="21.33203125" style="19" customWidth="1"/>
    <col min="14083" max="14083" width="31.5546875" style="19" customWidth="1"/>
    <col min="14084" max="14084" width="17.33203125" style="19"/>
    <col min="14085" max="14085" width="21.33203125" style="19" customWidth="1"/>
    <col min="14086" max="14086" width="40.33203125" style="19" customWidth="1"/>
    <col min="14087" max="14087" width="24.5546875" style="19" customWidth="1"/>
    <col min="14088" max="14337" width="17.33203125" style="19"/>
    <col min="14338" max="14338" width="21.33203125" style="19" customWidth="1"/>
    <col min="14339" max="14339" width="31.5546875" style="19" customWidth="1"/>
    <col min="14340" max="14340" width="17.33203125" style="19"/>
    <col min="14341" max="14341" width="21.33203125" style="19" customWidth="1"/>
    <col min="14342" max="14342" width="40.33203125" style="19" customWidth="1"/>
    <col min="14343" max="14343" width="24.5546875" style="19" customWidth="1"/>
    <col min="14344" max="14593" width="17.33203125" style="19"/>
    <col min="14594" max="14594" width="21.33203125" style="19" customWidth="1"/>
    <col min="14595" max="14595" width="31.5546875" style="19" customWidth="1"/>
    <col min="14596" max="14596" width="17.33203125" style="19"/>
    <col min="14597" max="14597" width="21.33203125" style="19" customWidth="1"/>
    <col min="14598" max="14598" width="40.33203125" style="19" customWidth="1"/>
    <col min="14599" max="14599" width="24.5546875" style="19" customWidth="1"/>
    <col min="14600" max="14849" width="17.33203125" style="19"/>
    <col min="14850" max="14850" width="21.33203125" style="19" customWidth="1"/>
    <col min="14851" max="14851" width="31.5546875" style="19" customWidth="1"/>
    <col min="14852" max="14852" width="17.33203125" style="19"/>
    <col min="14853" max="14853" width="21.33203125" style="19" customWidth="1"/>
    <col min="14854" max="14854" width="40.33203125" style="19" customWidth="1"/>
    <col min="14855" max="14855" width="24.5546875" style="19" customWidth="1"/>
    <col min="14856" max="15105" width="17.33203125" style="19"/>
    <col min="15106" max="15106" width="21.33203125" style="19" customWidth="1"/>
    <col min="15107" max="15107" width="31.5546875" style="19" customWidth="1"/>
    <col min="15108" max="15108" width="17.33203125" style="19"/>
    <col min="15109" max="15109" width="21.33203125" style="19" customWidth="1"/>
    <col min="15110" max="15110" width="40.33203125" style="19" customWidth="1"/>
    <col min="15111" max="15111" width="24.5546875" style="19" customWidth="1"/>
    <col min="15112" max="15361" width="17.33203125" style="19"/>
    <col min="15362" max="15362" width="21.33203125" style="19" customWidth="1"/>
    <col min="15363" max="15363" width="31.5546875" style="19" customWidth="1"/>
    <col min="15364" max="15364" width="17.33203125" style="19"/>
    <col min="15365" max="15365" width="21.33203125" style="19" customWidth="1"/>
    <col min="15366" max="15366" width="40.33203125" style="19" customWidth="1"/>
    <col min="15367" max="15367" width="24.5546875" style="19" customWidth="1"/>
    <col min="15368" max="15617" width="17.33203125" style="19"/>
    <col min="15618" max="15618" width="21.33203125" style="19" customWidth="1"/>
    <col min="15619" max="15619" width="31.5546875" style="19" customWidth="1"/>
    <col min="15620" max="15620" width="17.33203125" style="19"/>
    <col min="15621" max="15621" width="21.33203125" style="19" customWidth="1"/>
    <col min="15622" max="15622" width="40.33203125" style="19" customWidth="1"/>
    <col min="15623" max="15623" width="24.5546875" style="19" customWidth="1"/>
    <col min="15624" max="15873" width="17.33203125" style="19"/>
    <col min="15874" max="15874" width="21.33203125" style="19" customWidth="1"/>
    <col min="15875" max="15875" width="31.5546875" style="19" customWidth="1"/>
    <col min="15876" max="15876" width="17.33203125" style="19"/>
    <col min="15877" max="15877" width="21.33203125" style="19" customWidth="1"/>
    <col min="15878" max="15878" width="40.33203125" style="19" customWidth="1"/>
    <col min="15879" max="15879" width="24.5546875" style="19" customWidth="1"/>
    <col min="15880" max="16129" width="17.33203125" style="19"/>
    <col min="16130" max="16130" width="21.33203125" style="19" customWidth="1"/>
    <col min="16131" max="16131" width="31.5546875" style="19" customWidth="1"/>
    <col min="16132" max="16132" width="17.33203125" style="19"/>
    <col min="16133" max="16133" width="21.33203125" style="19" customWidth="1"/>
    <col min="16134" max="16134" width="40.33203125" style="19" customWidth="1"/>
    <col min="16135" max="16135" width="24.5546875" style="19" customWidth="1"/>
    <col min="16136" max="16384" width="17.33203125" style="19"/>
  </cols>
  <sheetData>
    <row r="1" spans="1:8" ht="11.1" customHeight="1">
      <c r="A1" s="18" t="s">
        <v>3928</v>
      </c>
      <c r="B1" s="18" t="s">
        <v>3929</v>
      </c>
      <c r="C1" s="18" t="s">
        <v>2</v>
      </c>
      <c r="D1" s="18" t="s">
        <v>3</v>
      </c>
      <c r="E1" s="18" t="s">
        <v>4</v>
      </c>
      <c r="F1" s="16" t="s">
        <v>3930</v>
      </c>
      <c r="G1" s="16" t="s">
        <v>3931</v>
      </c>
      <c r="H1" s="16" t="s">
        <v>3932</v>
      </c>
    </row>
    <row r="2" spans="1:8" ht="11.1" hidden="1" customHeight="1">
      <c r="A2" s="17" t="s">
        <v>3470</v>
      </c>
      <c r="B2" s="17" t="s">
        <v>3471</v>
      </c>
      <c r="C2" s="17" t="s">
        <v>2046</v>
      </c>
      <c r="D2" s="17" t="s">
        <v>578</v>
      </c>
      <c r="E2" s="17">
        <v>7485</v>
      </c>
      <c r="F2" s="17" t="s">
        <v>3472</v>
      </c>
      <c r="G2" s="17" t="s">
        <v>3473</v>
      </c>
      <c r="H2" s="17" t="s">
        <v>3933</v>
      </c>
    </row>
    <row r="3" spans="1:8" ht="11.1" hidden="1" customHeight="1">
      <c r="A3" s="17" t="s">
        <v>1738</v>
      </c>
      <c r="B3" s="17" t="s">
        <v>1739</v>
      </c>
      <c r="C3" s="17" t="s">
        <v>584</v>
      </c>
      <c r="D3" s="17" t="s">
        <v>585</v>
      </c>
      <c r="E3" s="17">
        <v>8553</v>
      </c>
      <c r="F3" s="17" t="s">
        <v>1740</v>
      </c>
      <c r="G3" s="17" t="s">
        <v>1741</v>
      </c>
      <c r="H3" s="17" t="s">
        <v>3934</v>
      </c>
    </row>
    <row r="4" spans="1:8" ht="11.1" hidden="1" customHeight="1">
      <c r="A4" s="17" t="s">
        <v>3485</v>
      </c>
      <c r="B4" s="17" t="s">
        <v>3486</v>
      </c>
      <c r="C4" s="17" t="s">
        <v>2145</v>
      </c>
      <c r="D4" s="17" t="s">
        <v>2146</v>
      </c>
      <c r="E4" s="17">
        <v>8436</v>
      </c>
      <c r="F4" s="17" t="s">
        <v>3487</v>
      </c>
      <c r="G4" s="17" t="s">
        <v>3488</v>
      </c>
      <c r="H4" s="17" t="s">
        <v>3935</v>
      </c>
    </row>
    <row r="5" spans="1:8" ht="11.1" hidden="1" customHeight="1">
      <c r="A5" s="17" t="s">
        <v>2104</v>
      </c>
      <c r="B5" s="17" t="s">
        <v>2105</v>
      </c>
      <c r="C5" s="17" t="s">
        <v>37</v>
      </c>
      <c r="D5" s="17" t="s">
        <v>1326</v>
      </c>
      <c r="E5" s="17">
        <v>8562</v>
      </c>
      <c r="F5" s="17" t="s">
        <v>2106</v>
      </c>
      <c r="G5" s="17" t="s">
        <v>2107</v>
      </c>
      <c r="H5" s="17" t="s">
        <v>3936</v>
      </c>
    </row>
    <row r="6" spans="1:8" ht="11.1" hidden="1" customHeight="1">
      <c r="A6" s="17" t="s">
        <v>2130</v>
      </c>
      <c r="B6" s="17" t="s">
        <v>2131</v>
      </c>
      <c r="C6" s="17" t="s">
        <v>677</v>
      </c>
      <c r="D6" s="17" t="s">
        <v>678</v>
      </c>
      <c r="E6" s="17">
        <v>10269</v>
      </c>
      <c r="F6" s="17" t="s">
        <v>2132</v>
      </c>
      <c r="G6" s="17" t="s">
        <v>2133</v>
      </c>
      <c r="H6" s="17" t="s">
        <v>3937</v>
      </c>
    </row>
    <row r="7" spans="1:8" ht="11.1" hidden="1" customHeight="1">
      <c r="A7" s="17" t="s">
        <v>1301</v>
      </c>
      <c r="B7" s="17" t="s">
        <v>1302</v>
      </c>
      <c r="C7" s="17" t="s">
        <v>1292</v>
      </c>
      <c r="D7" s="17" t="s">
        <v>38</v>
      </c>
      <c r="E7" s="17">
        <v>8563</v>
      </c>
      <c r="F7" s="17" t="s">
        <v>1303</v>
      </c>
      <c r="G7" s="17" t="s">
        <v>1304</v>
      </c>
      <c r="H7" s="17" t="s">
        <v>3938</v>
      </c>
    </row>
    <row r="8" spans="1:8" ht="11.1" hidden="1" customHeight="1">
      <c r="A8" s="17" t="s">
        <v>2593</v>
      </c>
      <c r="B8" s="17" t="s">
        <v>2594</v>
      </c>
      <c r="C8" s="17" t="s">
        <v>1486</v>
      </c>
      <c r="D8" s="17" t="s">
        <v>1487</v>
      </c>
      <c r="E8" s="17">
        <v>8740</v>
      </c>
      <c r="F8" s="17" t="s">
        <v>2595</v>
      </c>
      <c r="G8" s="17" t="s">
        <v>2596</v>
      </c>
      <c r="H8" s="17" t="s">
        <v>3939</v>
      </c>
    </row>
    <row r="9" spans="1:8" ht="11.1" hidden="1" customHeight="1">
      <c r="A9" s="17" t="s">
        <v>2150</v>
      </c>
      <c r="B9" s="17" t="s">
        <v>2151</v>
      </c>
      <c r="C9" s="17" t="s">
        <v>72</v>
      </c>
      <c r="D9" s="17" t="s">
        <v>73</v>
      </c>
      <c r="E9" s="17">
        <v>7682</v>
      </c>
      <c r="F9" s="17" t="s">
        <v>2152</v>
      </c>
      <c r="G9" s="17" t="s">
        <v>2153</v>
      </c>
      <c r="H9" s="17" t="s">
        <v>3940</v>
      </c>
    </row>
    <row r="10" spans="1:8" ht="11.1" hidden="1" customHeight="1">
      <c r="A10" s="17" t="s">
        <v>3237</v>
      </c>
      <c r="B10" s="17" t="s">
        <v>676</v>
      </c>
      <c r="C10" s="17" t="s">
        <v>677</v>
      </c>
      <c r="D10" s="17" t="s">
        <v>678</v>
      </c>
      <c r="E10" s="17">
        <v>10269</v>
      </c>
      <c r="F10" s="17" t="s">
        <v>680</v>
      </c>
      <c r="G10" s="17" t="s">
        <v>681</v>
      </c>
      <c r="H10" s="17" t="s">
        <v>3937</v>
      </c>
    </row>
    <row r="11" spans="1:8" ht="11.1" hidden="1" customHeight="1">
      <c r="A11" s="17" t="s">
        <v>675</v>
      </c>
      <c r="B11" s="17" t="s">
        <v>676</v>
      </c>
      <c r="C11" s="17" t="s">
        <v>677</v>
      </c>
      <c r="D11" s="17" t="s">
        <v>678</v>
      </c>
      <c r="E11" s="17">
        <v>10269</v>
      </c>
      <c r="F11" s="17" t="s">
        <v>680</v>
      </c>
      <c r="G11" s="17" t="s">
        <v>681</v>
      </c>
      <c r="H11" s="17" t="s">
        <v>3937</v>
      </c>
    </row>
    <row r="12" spans="1:8" ht="11.1" hidden="1" customHeight="1">
      <c r="A12" s="17" t="s">
        <v>3540</v>
      </c>
      <c r="B12" s="17" t="s">
        <v>3541</v>
      </c>
      <c r="C12" s="17" t="s">
        <v>3531</v>
      </c>
      <c r="D12" s="17" t="s">
        <v>3532</v>
      </c>
      <c r="E12" s="17">
        <v>7642</v>
      </c>
      <c r="F12" s="17" t="s">
        <v>3542</v>
      </c>
      <c r="G12" s="17" t="s">
        <v>3543</v>
      </c>
      <c r="H12" s="17" t="s">
        <v>3941</v>
      </c>
    </row>
    <row r="13" spans="1:8" ht="11.1" hidden="1" customHeight="1">
      <c r="A13" s="17" t="s">
        <v>892</v>
      </c>
      <c r="B13" s="17" t="s">
        <v>893</v>
      </c>
      <c r="C13" s="17" t="s">
        <v>894</v>
      </c>
      <c r="D13" s="17" t="s">
        <v>895</v>
      </c>
      <c r="E13" s="17">
        <v>10242</v>
      </c>
      <c r="F13" s="17" t="s">
        <v>897</v>
      </c>
      <c r="G13" s="17" t="s">
        <v>2166</v>
      </c>
      <c r="H13" s="17" t="s">
        <v>3942</v>
      </c>
    </row>
    <row r="14" spans="1:8" ht="11.1" hidden="1" customHeight="1">
      <c r="A14" s="17" t="s">
        <v>98</v>
      </c>
      <c r="B14" s="17" t="s">
        <v>99</v>
      </c>
      <c r="C14" s="17" t="s">
        <v>100</v>
      </c>
      <c r="D14" s="17" t="s">
        <v>101</v>
      </c>
      <c r="E14" s="17">
        <v>10349</v>
      </c>
      <c r="F14" s="17" t="s">
        <v>103</v>
      </c>
      <c r="G14" s="17" t="s">
        <v>104</v>
      </c>
      <c r="H14" s="17" t="s">
        <v>3943</v>
      </c>
    </row>
    <row r="15" spans="1:8" ht="11.1" hidden="1" customHeight="1">
      <c r="A15" s="17" t="s">
        <v>1359</v>
      </c>
      <c r="B15" s="17" t="s">
        <v>1360</v>
      </c>
      <c r="C15" s="17" t="s">
        <v>477</v>
      </c>
      <c r="D15" s="17" t="s">
        <v>478</v>
      </c>
      <c r="E15" s="17">
        <v>8956</v>
      </c>
      <c r="F15" s="17" t="s">
        <v>1361</v>
      </c>
      <c r="G15" s="17" t="s">
        <v>1362</v>
      </c>
      <c r="H15" s="17" t="s">
        <v>3944</v>
      </c>
    </row>
    <row r="16" spans="1:8" ht="11.1" hidden="1" customHeight="1">
      <c r="A16" s="17" t="s">
        <v>3076</v>
      </c>
      <c r="B16" s="17" t="s">
        <v>3077</v>
      </c>
      <c r="C16" s="17" t="s">
        <v>629</v>
      </c>
      <c r="D16" s="17" t="s">
        <v>630</v>
      </c>
      <c r="E16" s="17">
        <v>10445</v>
      </c>
      <c r="F16" s="17" t="s">
        <v>3078</v>
      </c>
      <c r="G16" s="17" t="s">
        <v>3079</v>
      </c>
      <c r="H16" s="17" t="s">
        <v>3945</v>
      </c>
    </row>
    <row r="17" spans="1:8" ht="11.1" hidden="1" customHeight="1">
      <c r="A17" s="17" t="s">
        <v>2611</v>
      </c>
      <c r="B17" s="17" t="s">
        <v>2612</v>
      </c>
      <c r="C17" s="17" t="s">
        <v>444</v>
      </c>
      <c r="D17" s="17" t="s">
        <v>122</v>
      </c>
      <c r="E17" s="17">
        <v>8247</v>
      </c>
      <c r="F17" s="17" t="s">
        <v>2613</v>
      </c>
      <c r="G17" s="17" t="s">
        <v>2614</v>
      </c>
      <c r="H17" s="17" t="s">
        <v>3946</v>
      </c>
    </row>
    <row r="18" spans="1:8" ht="11.1" hidden="1" customHeight="1">
      <c r="A18" s="17" t="s">
        <v>2189</v>
      </c>
      <c r="B18" s="17" t="s">
        <v>2190</v>
      </c>
      <c r="C18" s="17" t="s">
        <v>2191</v>
      </c>
      <c r="D18" s="17" t="s">
        <v>2192</v>
      </c>
      <c r="E18" s="17">
        <v>9199</v>
      </c>
      <c r="F18" s="17" t="s">
        <v>2194</v>
      </c>
      <c r="G18" s="17" t="s">
        <v>2195</v>
      </c>
      <c r="H18" s="17" t="s">
        <v>3947</v>
      </c>
    </row>
    <row r="19" spans="1:8" ht="11.1" hidden="1" customHeight="1">
      <c r="A19" s="17" t="s">
        <v>3558</v>
      </c>
      <c r="B19" s="17" t="s">
        <v>3559</v>
      </c>
      <c r="C19" s="17" t="s">
        <v>1409</v>
      </c>
      <c r="D19" s="17" t="s">
        <v>1410</v>
      </c>
      <c r="E19" s="17">
        <v>8573</v>
      </c>
      <c r="F19" s="17" t="s">
        <v>3560</v>
      </c>
      <c r="G19" s="17" t="s">
        <v>3561</v>
      </c>
      <c r="H19" s="17" t="s">
        <v>3948</v>
      </c>
    </row>
    <row r="20" spans="1:8" ht="11.1" hidden="1" customHeight="1">
      <c r="A20" s="17" t="s">
        <v>2619</v>
      </c>
      <c r="B20" s="17" t="s">
        <v>2620</v>
      </c>
      <c r="C20" s="17" t="s">
        <v>1922</v>
      </c>
      <c r="D20" s="17" t="s">
        <v>1923</v>
      </c>
      <c r="E20" s="17">
        <v>8701</v>
      </c>
      <c r="F20" s="17" t="s">
        <v>2621</v>
      </c>
      <c r="G20" s="17" t="s">
        <v>2622</v>
      </c>
      <c r="H20" s="17" t="s">
        <v>3949</v>
      </c>
    </row>
    <row r="21" spans="1:8" ht="11.1" hidden="1" customHeight="1">
      <c r="A21" s="17" t="s">
        <v>2623</v>
      </c>
      <c r="B21" s="17" t="s">
        <v>2624</v>
      </c>
      <c r="C21" s="17" t="s">
        <v>559</v>
      </c>
      <c r="D21" s="17" t="s">
        <v>560</v>
      </c>
      <c r="E21" s="17">
        <v>10452</v>
      </c>
      <c r="F21" s="17" t="s">
        <v>2625</v>
      </c>
      <c r="G21" s="17" t="s">
        <v>2626</v>
      </c>
      <c r="H21" s="17" t="s">
        <v>3950</v>
      </c>
    </row>
    <row r="22" spans="1:8" ht="11.1" hidden="1" customHeight="1">
      <c r="A22" s="17" t="s">
        <v>3566</v>
      </c>
      <c r="B22" s="17" t="s">
        <v>3567</v>
      </c>
      <c r="C22" s="17" t="s">
        <v>605</v>
      </c>
      <c r="D22" s="17" t="s">
        <v>606</v>
      </c>
      <c r="E22" s="17">
        <v>10335</v>
      </c>
      <c r="F22" s="17" t="s">
        <v>3568</v>
      </c>
      <c r="G22" s="17" t="s">
        <v>3569</v>
      </c>
      <c r="H22" s="17" t="s">
        <v>3951</v>
      </c>
    </row>
    <row r="23" spans="1:8" ht="11.1" hidden="1" customHeight="1">
      <c r="A23" s="17" t="s">
        <v>3585</v>
      </c>
      <c r="B23" s="17" t="s">
        <v>3586</v>
      </c>
      <c r="C23" s="17" t="s">
        <v>121</v>
      </c>
      <c r="D23" s="17" t="s">
        <v>122</v>
      </c>
      <c r="E23" s="17">
        <v>8063</v>
      </c>
      <c r="F23" s="17" t="s">
        <v>3587</v>
      </c>
      <c r="G23" s="17" t="s">
        <v>3588</v>
      </c>
      <c r="H23" s="17" t="s">
        <v>3952</v>
      </c>
    </row>
    <row r="24" spans="1:8" ht="11.1" hidden="1" customHeight="1">
      <c r="A24" s="17" t="s">
        <v>2196</v>
      </c>
      <c r="B24" s="17" t="s">
        <v>2197</v>
      </c>
      <c r="C24" s="17" t="s">
        <v>790</v>
      </c>
      <c r="D24" s="17" t="s">
        <v>791</v>
      </c>
      <c r="E24" s="17">
        <v>10287</v>
      </c>
      <c r="F24" s="17" t="s">
        <v>2198</v>
      </c>
      <c r="G24" s="17" t="s">
        <v>2199</v>
      </c>
      <c r="H24" s="17" t="s">
        <v>3953</v>
      </c>
    </row>
    <row r="25" spans="1:8" ht="11.1" hidden="1" customHeight="1">
      <c r="A25" s="17" t="s">
        <v>1806</v>
      </c>
      <c r="B25" s="17" t="s">
        <v>714</v>
      </c>
      <c r="C25" s="17" t="s">
        <v>715</v>
      </c>
      <c r="D25" s="17" t="s">
        <v>716</v>
      </c>
      <c r="E25" s="17">
        <v>10237</v>
      </c>
      <c r="F25" s="17" t="s">
        <v>718</v>
      </c>
      <c r="G25" s="17" t="s">
        <v>719</v>
      </c>
      <c r="H25" s="17" t="s">
        <v>3954</v>
      </c>
    </row>
    <row r="26" spans="1:8" ht="11.1" customHeight="1">
      <c r="A26" s="17" t="s">
        <v>2211</v>
      </c>
      <c r="B26" s="17" t="s">
        <v>2212</v>
      </c>
      <c r="C26" s="17" t="s">
        <v>383</v>
      </c>
      <c r="D26" s="17" t="s">
        <v>384</v>
      </c>
      <c r="E26" s="17">
        <v>9733</v>
      </c>
      <c r="F26" s="17" t="s">
        <v>2213</v>
      </c>
      <c r="G26" s="17" t="s">
        <v>2214</v>
      </c>
      <c r="H26" s="17" t="s">
        <v>3955</v>
      </c>
    </row>
    <row r="27" spans="1:8" ht="11.1" hidden="1" customHeight="1">
      <c r="A27" s="17" t="s">
        <v>2659</v>
      </c>
      <c r="B27" s="17" t="s">
        <v>2660</v>
      </c>
      <c r="C27" s="17" t="s">
        <v>293</v>
      </c>
      <c r="D27" s="17" t="s">
        <v>294</v>
      </c>
      <c r="E27" s="17">
        <v>8711</v>
      </c>
      <c r="F27" s="17" t="s">
        <v>2661</v>
      </c>
      <c r="G27" s="17" t="s">
        <v>2662</v>
      </c>
      <c r="H27" s="17" t="s">
        <v>3956</v>
      </c>
    </row>
    <row r="28" spans="1:8" ht="11.1" hidden="1" customHeight="1">
      <c r="A28" s="17" t="s">
        <v>735</v>
      </c>
      <c r="B28" s="17" t="s">
        <v>732</v>
      </c>
      <c r="C28" s="17" t="s">
        <v>311</v>
      </c>
      <c r="D28" s="17" t="s">
        <v>312</v>
      </c>
      <c r="E28" s="17">
        <v>10003</v>
      </c>
      <c r="F28" s="17" t="s">
        <v>2557</v>
      </c>
      <c r="G28" s="17" t="s">
        <v>2558</v>
      </c>
      <c r="H28" s="17" t="s">
        <v>3957</v>
      </c>
    </row>
    <row r="29" spans="1:8" ht="11.1" hidden="1" customHeight="1">
      <c r="A29" s="17" t="s">
        <v>1822</v>
      </c>
      <c r="B29" s="17" t="s">
        <v>1823</v>
      </c>
      <c r="C29" s="17" t="s">
        <v>1604</v>
      </c>
      <c r="D29" s="17" t="s">
        <v>1605</v>
      </c>
      <c r="E29" s="17">
        <v>10446</v>
      </c>
      <c r="F29" s="17" t="s">
        <v>1824</v>
      </c>
      <c r="G29" s="17" t="s">
        <v>1825</v>
      </c>
      <c r="H29" s="17" t="s">
        <v>3958</v>
      </c>
    </row>
    <row r="30" spans="1:8" ht="11.1" hidden="1" customHeight="1">
      <c r="A30" s="17" t="s">
        <v>749</v>
      </c>
      <c r="B30" s="17" t="s">
        <v>750</v>
      </c>
      <c r="C30" s="17" t="s">
        <v>516</v>
      </c>
      <c r="D30" s="17" t="s">
        <v>517</v>
      </c>
      <c r="E30" s="17">
        <v>8710</v>
      </c>
      <c r="F30" s="17" t="s">
        <v>751</v>
      </c>
      <c r="G30" s="17" t="s">
        <v>752</v>
      </c>
      <c r="H30" s="17" t="s">
        <v>3959</v>
      </c>
    </row>
    <row r="31" spans="1:8" ht="11.1" hidden="1" customHeight="1">
      <c r="A31" s="17" t="s">
        <v>3110</v>
      </c>
      <c r="B31" s="17" t="s">
        <v>3111</v>
      </c>
      <c r="C31" s="17" t="s">
        <v>784</v>
      </c>
      <c r="D31" s="17" t="s">
        <v>1167</v>
      </c>
      <c r="E31" s="17">
        <v>9704</v>
      </c>
      <c r="F31" s="17" t="s">
        <v>3112</v>
      </c>
      <c r="G31" s="17" t="s">
        <v>3113</v>
      </c>
      <c r="H31" s="17" t="s">
        <v>3960</v>
      </c>
    </row>
    <row r="32" spans="1:8" ht="11.1" hidden="1" customHeight="1">
      <c r="A32" s="17" t="s">
        <v>3118</v>
      </c>
      <c r="B32" s="17" t="s">
        <v>3119</v>
      </c>
      <c r="C32" s="17" t="s">
        <v>2017</v>
      </c>
      <c r="D32" s="17" t="s">
        <v>2018</v>
      </c>
      <c r="E32" s="17">
        <v>9994</v>
      </c>
      <c r="F32" s="17" t="s">
        <v>3120</v>
      </c>
      <c r="G32" s="17" t="s">
        <v>3121</v>
      </c>
      <c r="H32" s="17" t="s">
        <v>3961</v>
      </c>
    </row>
    <row r="33" spans="1:8" ht="11.1" hidden="1" customHeight="1">
      <c r="A33" s="17" t="s">
        <v>159</v>
      </c>
      <c r="B33" s="17" t="s">
        <v>160</v>
      </c>
      <c r="C33" s="17" t="s">
        <v>161</v>
      </c>
      <c r="D33" s="17" t="s">
        <v>162</v>
      </c>
      <c r="E33" s="17">
        <v>9253</v>
      </c>
      <c r="F33" s="17" t="s">
        <v>164</v>
      </c>
      <c r="G33" s="17" t="s">
        <v>3962</v>
      </c>
      <c r="H33" s="17" t="s">
        <v>3963</v>
      </c>
    </row>
    <row r="34" spans="1:8" ht="11.1" hidden="1" customHeight="1">
      <c r="A34" s="17" t="s">
        <v>1830</v>
      </c>
      <c r="B34" s="17" t="s">
        <v>1831</v>
      </c>
      <c r="C34" s="17" t="s">
        <v>107</v>
      </c>
      <c r="D34" s="17" t="s">
        <v>108</v>
      </c>
      <c r="E34" s="17">
        <v>8709</v>
      </c>
      <c r="F34" s="17" t="s">
        <v>1832</v>
      </c>
      <c r="G34" s="17" t="s">
        <v>1833</v>
      </c>
      <c r="H34" s="17" t="s">
        <v>3964</v>
      </c>
    </row>
    <row r="35" spans="1:8" ht="11.1" hidden="1" customHeight="1">
      <c r="A35" s="17" t="s">
        <v>1414</v>
      </c>
      <c r="B35" s="17" t="s">
        <v>1415</v>
      </c>
      <c r="C35" s="17" t="s">
        <v>949</v>
      </c>
      <c r="D35" s="17" t="s">
        <v>950</v>
      </c>
      <c r="E35" s="17">
        <v>10458</v>
      </c>
      <c r="F35" s="17" t="s">
        <v>1416</v>
      </c>
      <c r="G35" s="17" t="s">
        <v>1417</v>
      </c>
      <c r="H35" s="17" t="s">
        <v>3965</v>
      </c>
    </row>
    <row r="36" spans="1:8" ht="11.1" hidden="1" customHeight="1">
      <c r="A36" s="17" t="s">
        <v>1878</v>
      </c>
      <c r="B36" s="17" t="s">
        <v>845</v>
      </c>
      <c r="C36" s="17" t="s">
        <v>1705</v>
      </c>
      <c r="D36" s="17" t="s">
        <v>1706</v>
      </c>
      <c r="E36" s="17">
        <v>10459</v>
      </c>
      <c r="F36" s="17" t="s">
        <v>849</v>
      </c>
      <c r="G36" s="17" t="s">
        <v>1834</v>
      </c>
      <c r="H36" s="17" t="s">
        <v>3966</v>
      </c>
    </row>
    <row r="37" spans="1:8" ht="11.1" hidden="1" customHeight="1">
      <c r="A37" s="17" t="s">
        <v>793</v>
      </c>
      <c r="B37" s="17" t="s">
        <v>794</v>
      </c>
      <c r="C37" s="17" t="s">
        <v>501</v>
      </c>
      <c r="D37" s="17" t="s">
        <v>502</v>
      </c>
      <c r="E37" s="17">
        <v>10460</v>
      </c>
      <c r="F37" s="17" t="s">
        <v>795</v>
      </c>
      <c r="G37" s="17" t="s">
        <v>796</v>
      </c>
      <c r="H37" s="17" t="s">
        <v>3967</v>
      </c>
    </row>
    <row r="38" spans="1:8" ht="11.1" hidden="1" customHeight="1">
      <c r="A38" s="17" t="s">
        <v>2277</v>
      </c>
      <c r="B38" s="17" t="s">
        <v>2278</v>
      </c>
      <c r="C38" s="17" t="s">
        <v>16</v>
      </c>
      <c r="D38" s="17" t="s">
        <v>17</v>
      </c>
      <c r="E38" s="17">
        <v>8552</v>
      </c>
      <c r="F38" s="17" t="s">
        <v>2279</v>
      </c>
      <c r="G38" s="17" t="s">
        <v>2280</v>
      </c>
      <c r="H38" s="17" t="s">
        <v>3968</v>
      </c>
    </row>
    <row r="39" spans="1:8" ht="11.1" hidden="1" customHeight="1">
      <c r="A39" s="17" t="s">
        <v>3622</v>
      </c>
      <c r="B39" s="17" t="s">
        <v>3623</v>
      </c>
      <c r="C39" s="17" t="s">
        <v>577</v>
      </c>
      <c r="D39" s="17" t="s">
        <v>578</v>
      </c>
      <c r="E39" s="17">
        <v>7356</v>
      </c>
      <c r="F39" s="17" t="s">
        <v>3624</v>
      </c>
      <c r="G39" s="17" t="s">
        <v>3625</v>
      </c>
      <c r="H39" s="17" t="s">
        <v>3969</v>
      </c>
    </row>
    <row r="40" spans="1:8" ht="11.1" hidden="1" customHeight="1">
      <c r="A40" s="17" t="s">
        <v>229</v>
      </c>
      <c r="B40" s="17" t="s">
        <v>230</v>
      </c>
      <c r="C40" s="17" t="s">
        <v>231</v>
      </c>
      <c r="D40" s="17" t="s">
        <v>232</v>
      </c>
      <c r="E40" s="17">
        <v>9893</v>
      </c>
      <c r="F40" s="17" t="s">
        <v>234</v>
      </c>
      <c r="G40" s="17" t="s">
        <v>235</v>
      </c>
      <c r="H40" s="17" t="s">
        <v>3970</v>
      </c>
    </row>
    <row r="41" spans="1:8" ht="11.1" hidden="1" customHeight="1">
      <c r="A41" s="17" t="s">
        <v>2299</v>
      </c>
      <c r="B41" s="17" t="s">
        <v>2300</v>
      </c>
      <c r="C41" s="17" t="s">
        <v>2301</v>
      </c>
      <c r="D41" s="17" t="s">
        <v>968</v>
      </c>
      <c r="E41" s="17">
        <v>10005</v>
      </c>
      <c r="F41" s="17" t="s">
        <v>736</v>
      </c>
      <c r="G41" s="17" t="s">
        <v>737</v>
      </c>
      <c r="H41" s="17" t="s">
        <v>3971</v>
      </c>
    </row>
    <row r="42" spans="1:8" ht="11.1" hidden="1" customHeight="1">
      <c r="A42" s="17" t="s">
        <v>815</v>
      </c>
      <c r="B42" s="17" t="s">
        <v>816</v>
      </c>
      <c r="C42" s="17" t="s">
        <v>817</v>
      </c>
      <c r="D42" s="17" t="s">
        <v>818</v>
      </c>
      <c r="E42" s="17">
        <v>10105</v>
      </c>
      <c r="F42" s="17" t="s">
        <v>820</v>
      </c>
      <c r="G42" s="17" t="s">
        <v>821</v>
      </c>
      <c r="H42" s="17" t="s">
        <v>3972</v>
      </c>
    </row>
    <row r="43" spans="1:8" ht="11.1" hidden="1" customHeight="1">
      <c r="A43" s="17" t="s">
        <v>1443</v>
      </c>
      <c r="B43" s="17" t="s">
        <v>830</v>
      </c>
      <c r="C43" s="17" t="s">
        <v>831</v>
      </c>
      <c r="D43" s="17" t="s">
        <v>832</v>
      </c>
      <c r="E43" s="17">
        <v>10038</v>
      </c>
      <c r="F43" s="17" t="s">
        <v>834</v>
      </c>
      <c r="G43" s="17" t="s">
        <v>835</v>
      </c>
      <c r="H43" s="17" t="s">
        <v>3973</v>
      </c>
    </row>
    <row r="44" spans="1:8" ht="11.1" hidden="1" customHeight="1">
      <c r="A44" s="17" t="s">
        <v>2700</v>
      </c>
      <c r="B44" s="17" t="s">
        <v>2701</v>
      </c>
      <c r="C44" s="17" t="s">
        <v>1089</v>
      </c>
      <c r="D44" s="17" t="s">
        <v>1090</v>
      </c>
      <c r="E44" s="17">
        <v>8572</v>
      </c>
      <c r="F44" s="17" t="s">
        <v>2702</v>
      </c>
      <c r="G44" s="17" t="s">
        <v>2703</v>
      </c>
      <c r="H44" s="17" t="s">
        <v>3974</v>
      </c>
    </row>
    <row r="45" spans="1:8" ht="11.1" hidden="1" customHeight="1">
      <c r="A45" s="17" t="s">
        <v>2708</v>
      </c>
      <c r="B45" s="17" t="s">
        <v>2709</v>
      </c>
      <c r="C45" s="17" t="s">
        <v>352</v>
      </c>
      <c r="D45" s="17" t="s">
        <v>211</v>
      </c>
      <c r="E45" s="17">
        <v>8059</v>
      </c>
      <c r="F45" s="17" t="s">
        <v>2710</v>
      </c>
      <c r="G45" s="17" t="s">
        <v>2711</v>
      </c>
      <c r="H45" s="17" t="s">
        <v>3975</v>
      </c>
    </row>
    <row r="46" spans="1:8" ht="11.1" hidden="1" customHeight="1">
      <c r="A46" s="17" t="s">
        <v>866</v>
      </c>
      <c r="B46" s="17" t="s">
        <v>867</v>
      </c>
      <c r="C46" s="17" t="s">
        <v>868</v>
      </c>
      <c r="D46" s="17" t="s">
        <v>478</v>
      </c>
      <c r="E46" s="17">
        <v>9833</v>
      </c>
      <c r="F46" s="17" t="s">
        <v>870</v>
      </c>
      <c r="G46" s="17" t="s">
        <v>871</v>
      </c>
      <c r="H46" s="17" t="s">
        <v>3976</v>
      </c>
    </row>
    <row r="47" spans="1:8" ht="11.1" hidden="1" customHeight="1">
      <c r="A47" s="17" t="s">
        <v>270</v>
      </c>
      <c r="B47" s="17" t="s">
        <v>271</v>
      </c>
      <c r="C47" s="17" t="s">
        <v>272</v>
      </c>
      <c r="D47" s="17" t="s">
        <v>273</v>
      </c>
      <c r="E47" s="17">
        <v>9170</v>
      </c>
      <c r="F47" s="17" t="s">
        <v>275</v>
      </c>
      <c r="G47" s="17" t="s">
        <v>276</v>
      </c>
      <c r="H47" s="17" t="s">
        <v>3977</v>
      </c>
    </row>
    <row r="48" spans="1:8" ht="11.1" hidden="1" customHeight="1">
      <c r="A48" s="17" t="s">
        <v>1884</v>
      </c>
      <c r="B48" s="17" t="s">
        <v>1885</v>
      </c>
      <c r="C48" s="17" t="s">
        <v>488</v>
      </c>
      <c r="D48" s="17" t="s">
        <v>489</v>
      </c>
      <c r="E48" s="17">
        <v>10461</v>
      </c>
      <c r="F48" s="17" t="s">
        <v>1886</v>
      </c>
      <c r="G48" s="17" t="s">
        <v>1887</v>
      </c>
      <c r="H48" s="17" t="s">
        <v>3978</v>
      </c>
    </row>
    <row r="49" spans="1:8" ht="11.1" hidden="1" customHeight="1">
      <c r="A49" s="17" t="s">
        <v>3164</v>
      </c>
      <c r="B49" s="17" t="s">
        <v>3165</v>
      </c>
      <c r="C49" s="17" t="s">
        <v>1439</v>
      </c>
      <c r="D49" s="17" t="s">
        <v>974</v>
      </c>
      <c r="E49" s="17">
        <v>8957</v>
      </c>
      <c r="F49" s="17" t="s">
        <v>3166</v>
      </c>
      <c r="G49" s="17" t="s">
        <v>3167</v>
      </c>
      <c r="H49" s="17" t="s">
        <v>3979</v>
      </c>
    </row>
    <row r="50" spans="1:8" ht="11.1" hidden="1" customHeight="1">
      <c r="A50" s="17" t="s">
        <v>3687</v>
      </c>
      <c r="B50" s="17" t="s">
        <v>3688</v>
      </c>
      <c r="C50" s="17" t="s">
        <v>3689</v>
      </c>
      <c r="D50" s="17" t="s">
        <v>66</v>
      </c>
      <c r="E50" s="17">
        <v>10244</v>
      </c>
      <c r="F50" s="17" t="s">
        <v>3690</v>
      </c>
      <c r="G50" s="17" t="s">
        <v>3691</v>
      </c>
      <c r="H50" s="17" t="s">
        <v>3980</v>
      </c>
    </row>
    <row r="51" spans="1:8" ht="11.1" hidden="1" customHeight="1">
      <c r="A51" s="17" t="s">
        <v>1484</v>
      </c>
      <c r="B51" s="17" t="s">
        <v>1485</v>
      </c>
      <c r="C51" s="17" t="s">
        <v>1486</v>
      </c>
      <c r="D51" s="17" t="s">
        <v>1487</v>
      </c>
      <c r="E51" s="17">
        <v>8740</v>
      </c>
      <c r="F51" s="17" t="s">
        <v>1489</v>
      </c>
      <c r="G51" s="17" t="s">
        <v>1490</v>
      </c>
      <c r="H51" s="17" t="s">
        <v>3939</v>
      </c>
    </row>
    <row r="52" spans="1:8" ht="11.1" hidden="1" customHeight="1">
      <c r="A52" s="17" t="s">
        <v>3177</v>
      </c>
      <c r="B52" s="17" t="s">
        <v>3178</v>
      </c>
      <c r="C52" s="17" t="s">
        <v>1732</v>
      </c>
      <c r="D52" s="17" t="s">
        <v>1733</v>
      </c>
      <c r="E52" s="17">
        <v>8660</v>
      </c>
      <c r="F52" s="17" t="s">
        <v>3179</v>
      </c>
      <c r="G52" s="17" t="s">
        <v>3180</v>
      </c>
      <c r="H52" s="17" t="s">
        <v>3981</v>
      </c>
    </row>
    <row r="53" spans="1:8" ht="11.1" hidden="1" customHeight="1">
      <c r="A53" s="17" t="s">
        <v>2753</v>
      </c>
      <c r="B53" s="17" t="s">
        <v>2754</v>
      </c>
      <c r="C53" s="17" t="s">
        <v>1134</v>
      </c>
      <c r="D53" s="17" t="s">
        <v>1135</v>
      </c>
      <c r="E53" s="17">
        <v>8248</v>
      </c>
      <c r="F53" s="17" t="s">
        <v>2755</v>
      </c>
      <c r="G53" s="17" t="s">
        <v>2756</v>
      </c>
      <c r="H53" s="17" t="s">
        <v>3982</v>
      </c>
    </row>
    <row r="54" spans="1:8" ht="11.1" hidden="1" customHeight="1">
      <c r="A54" s="17" t="s">
        <v>3700</v>
      </c>
      <c r="B54" s="17" t="s">
        <v>3701</v>
      </c>
      <c r="C54" s="17" t="s">
        <v>3702</v>
      </c>
      <c r="D54" s="17" t="s">
        <v>3703</v>
      </c>
      <c r="E54" s="17">
        <v>9764</v>
      </c>
      <c r="F54" s="17" t="s">
        <v>3705</v>
      </c>
      <c r="G54" s="17" t="s">
        <v>3706</v>
      </c>
      <c r="H54" s="17" t="s">
        <v>3983</v>
      </c>
    </row>
    <row r="55" spans="1:8" ht="11.1" hidden="1" customHeight="1">
      <c r="A55" s="17" t="s">
        <v>919</v>
      </c>
      <c r="B55" s="17" t="s">
        <v>920</v>
      </c>
      <c r="C55" s="17" t="s">
        <v>921</v>
      </c>
      <c r="D55" s="17" t="s">
        <v>922</v>
      </c>
      <c r="E55" s="17">
        <v>9179</v>
      </c>
      <c r="F55" s="17" t="s">
        <v>924</v>
      </c>
      <c r="G55" s="17" t="s">
        <v>925</v>
      </c>
      <c r="H55" s="17" t="s">
        <v>3984</v>
      </c>
    </row>
    <row r="56" spans="1:8" ht="11.1" customHeight="1">
      <c r="A56" s="17" t="s">
        <v>940</v>
      </c>
      <c r="B56" s="17" t="s">
        <v>941</v>
      </c>
      <c r="C56" s="17" t="s">
        <v>942</v>
      </c>
      <c r="D56" s="17" t="s">
        <v>943</v>
      </c>
      <c r="E56" s="17">
        <v>8878</v>
      </c>
      <c r="F56" s="17" t="s">
        <v>945</v>
      </c>
      <c r="G56" s="17" t="s">
        <v>946</v>
      </c>
      <c r="H56" s="17" t="s">
        <v>3985</v>
      </c>
    </row>
    <row r="57" spans="1:8" ht="11.1" hidden="1" customHeight="1">
      <c r="A57" s="17" t="s">
        <v>3189</v>
      </c>
      <c r="B57" s="17" t="s">
        <v>3190</v>
      </c>
      <c r="C57" s="17" t="s">
        <v>135</v>
      </c>
      <c r="D57" s="17" t="s">
        <v>136</v>
      </c>
      <c r="E57" s="17">
        <v>9631</v>
      </c>
      <c r="F57" s="17" t="s">
        <v>3191</v>
      </c>
      <c r="G57" s="17" t="s">
        <v>3192</v>
      </c>
      <c r="H57" s="17" t="s">
        <v>3986</v>
      </c>
    </row>
    <row r="58" spans="1:8" ht="11.1" hidden="1" customHeight="1">
      <c r="A58" s="17" t="s">
        <v>1518</v>
      </c>
      <c r="B58" s="17" t="s">
        <v>1519</v>
      </c>
      <c r="C58" s="17" t="s">
        <v>1520</v>
      </c>
      <c r="D58" s="17" t="s">
        <v>1521</v>
      </c>
      <c r="E58" s="17">
        <v>9888</v>
      </c>
      <c r="F58" s="17" t="s">
        <v>1523</v>
      </c>
      <c r="G58" s="17" t="s">
        <v>1524</v>
      </c>
      <c r="H58" s="17" t="s">
        <v>3987</v>
      </c>
    </row>
    <row r="59" spans="1:8" ht="11.1" hidden="1" customHeight="1">
      <c r="A59" s="17" t="s">
        <v>972</v>
      </c>
      <c r="B59" s="17" t="s">
        <v>973</v>
      </c>
      <c r="C59" s="17" t="s">
        <v>868</v>
      </c>
      <c r="D59" s="17" t="s">
        <v>974</v>
      </c>
      <c r="E59" s="17">
        <v>9833</v>
      </c>
      <c r="F59" s="17" t="s">
        <v>975</v>
      </c>
      <c r="G59" s="17" t="s">
        <v>976</v>
      </c>
      <c r="H59" s="17" t="s">
        <v>3976</v>
      </c>
    </row>
    <row r="60" spans="1:8" ht="11.1" hidden="1" customHeight="1">
      <c r="A60" s="17" t="s">
        <v>2391</v>
      </c>
      <c r="B60" s="17" t="s">
        <v>2392</v>
      </c>
      <c r="C60" s="17" t="s">
        <v>121</v>
      </c>
      <c r="D60" s="17" t="s">
        <v>122</v>
      </c>
      <c r="E60" s="17">
        <v>8063</v>
      </c>
      <c r="F60" s="17" t="s">
        <v>2393</v>
      </c>
      <c r="G60" s="17" t="s">
        <v>2394</v>
      </c>
      <c r="H60" s="17" t="s">
        <v>3952</v>
      </c>
    </row>
    <row r="61" spans="1:8" ht="11.1" hidden="1" customHeight="1">
      <c r="A61" s="17" t="s">
        <v>316</v>
      </c>
      <c r="B61" s="17" t="s">
        <v>317</v>
      </c>
      <c r="C61" s="17" t="s">
        <v>318</v>
      </c>
      <c r="D61" s="17" t="s">
        <v>319</v>
      </c>
      <c r="E61" s="17">
        <v>8685</v>
      </c>
      <c r="F61" s="17" t="s">
        <v>321</v>
      </c>
      <c r="G61" s="17" t="s">
        <v>322</v>
      </c>
      <c r="H61" s="17" t="s">
        <v>3988</v>
      </c>
    </row>
    <row r="62" spans="1:8" ht="11.1" hidden="1" customHeight="1">
      <c r="A62" s="17" t="s">
        <v>988</v>
      </c>
      <c r="B62" s="17" t="s">
        <v>989</v>
      </c>
      <c r="C62" s="17" t="s">
        <v>107</v>
      </c>
      <c r="D62" s="17" t="s">
        <v>108</v>
      </c>
      <c r="E62" s="17">
        <v>8709</v>
      </c>
      <c r="F62" s="17" t="s">
        <v>990</v>
      </c>
      <c r="G62" s="17" t="s">
        <v>991</v>
      </c>
      <c r="H62" s="17" t="s">
        <v>3964</v>
      </c>
    </row>
    <row r="63" spans="1:8" ht="11.1" hidden="1" customHeight="1">
      <c r="A63" s="17" t="s">
        <v>3210</v>
      </c>
      <c r="B63" s="17" t="s">
        <v>3211</v>
      </c>
      <c r="C63" s="17" t="s">
        <v>1509</v>
      </c>
      <c r="D63" s="17" t="s">
        <v>1510</v>
      </c>
      <c r="E63" s="17">
        <v>8698</v>
      </c>
      <c r="F63" s="17" t="s">
        <v>3212</v>
      </c>
      <c r="G63" s="17" t="s">
        <v>3213</v>
      </c>
      <c r="H63" s="17" t="s">
        <v>3989</v>
      </c>
    </row>
    <row r="64" spans="1:8" ht="11.1" hidden="1" customHeight="1">
      <c r="A64" s="17" t="s">
        <v>3743</v>
      </c>
      <c r="B64" s="17" t="s">
        <v>3744</v>
      </c>
      <c r="C64" s="17" t="s">
        <v>128</v>
      </c>
      <c r="D64" s="17" t="s">
        <v>129</v>
      </c>
      <c r="E64" s="17">
        <v>10285</v>
      </c>
      <c r="F64" s="17" t="s">
        <v>3745</v>
      </c>
      <c r="G64" s="17" t="s">
        <v>3746</v>
      </c>
      <c r="H64" s="17" t="s">
        <v>3990</v>
      </c>
    </row>
    <row r="65" spans="1:8" ht="11.1" hidden="1" customHeight="1">
      <c r="A65" s="17" t="s">
        <v>3225</v>
      </c>
      <c r="B65" s="17" t="s">
        <v>3226</v>
      </c>
      <c r="C65" s="17" t="s">
        <v>1016</v>
      </c>
      <c r="D65" s="17" t="s">
        <v>915</v>
      </c>
      <c r="E65" s="17">
        <v>9991</v>
      </c>
      <c r="F65" s="17" t="s">
        <v>3227</v>
      </c>
      <c r="G65" s="17" t="s">
        <v>3228</v>
      </c>
      <c r="H65" s="17" t="s">
        <v>3991</v>
      </c>
    </row>
    <row r="66" spans="1:8" ht="11.1" hidden="1" customHeight="1">
      <c r="A66" s="17" t="s">
        <v>2412</v>
      </c>
      <c r="B66" s="17" t="s">
        <v>2413</v>
      </c>
      <c r="C66" s="17" t="s">
        <v>744</v>
      </c>
      <c r="D66" s="17" t="s">
        <v>745</v>
      </c>
      <c r="E66" s="17">
        <v>10092</v>
      </c>
      <c r="F66" s="17" t="s">
        <v>2414</v>
      </c>
      <c r="G66" s="17" t="s">
        <v>2415</v>
      </c>
      <c r="H66" s="17" t="s">
        <v>3992</v>
      </c>
    </row>
    <row r="67" spans="1:8" ht="11.1" hidden="1" customHeight="1">
      <c r="A67" s="17" t="s">
        <v>1019</v>
      </c>
      <c r="B67" s="17" t="s">
        <v>1020</v>
      </c>
      <c r="C67" s="17" t="s">
        <v>914</v>
      </c>
      <c r="D67" s="17" t="s">
        <v>915</v>
      </c>
      <c r="E67" s="17">
        <v>9991</v>
      </c>
      <c r="F67" s="17" t="s">
        <v>1021</v>
      </c>
      <c r="G67" s="17" t="s">
        <v>1022</v>
      </c>
      <c r="H67" s="17" t="s">
        <v>3991</v>
      </c>
    </row>
    <row r="68" spans="1:8" ht="11.1" hidden="1" customHeight="1">
      <c r="A68" s="17" t="s">
        <v>343</v>
      </c>
      <c r="B68" s="17" t="s">
        <v>344</v>
      </c>
      <c r="C68" s="17" t="s">
        <v>345</v>
      </c>
      <c r="D68" s="17" t="s">
        <v>346</v>
      </c>
      <c r="E68" s="17">
        <v>8741</v>
      </c>
      <c r="F68" s="17" t="s">
        <v>348</v>
      </c>
      <c r="G68" s="17" t="s">
        <v>349</v>
      </c>
      <c r="H68" s="17" t="s">
        <v>3993</v>
      </c>
    </row>
    <row r="69" spans="1:8" ht="11.1" hidden="1" customHeight="1">
      <c r="A69" s="17" t="s">
        <v>675</v>
      </c>
      <c r="B69" s="17" t="s">
        <v>676</v>
      </c>
      <c r="C69" s="17" t="s">
        <v>677</v>
      </c>
      <c r="D69" s="17" t="s">
        <v>678</v>
      </c>
      <c r="E69" s="17">
        <v>10269</v>
      </c>
      <c r="F69" s="17" t="s">
        <v>680</v>
      </c>
      <c r="G69" s="17" t="s">
        <v>3238</v>
      </c>
      <c r="H69" s="17" t="s">
        <v>3937</v>
      </c>
    </row>
    <row r="70" spans="1:8" ht="11.1" hidden="1" customHeight="1">
      <c r="A70" s="17" t="s">
        <v>3249</v>
      </c>
      <c r="B70" s="17" t="s">
        <v>3250</v>
      </c>
      <c r="C70" s="17" t="s">
        <v>210</v>
      </c>
      <c r="D70" s="17" t="s">
        <v>211</v>
      </c>
      <c r="E70" s="17">
        <v>8060</v>
      </c>
      <c r="F70" s="17" t="s">
        <v>3251</v>
      </c>
      <c r="G70" s="17" t="s">
        <v>3252</v>
      </c>
      <c r="H70" s="17" t="s">
        <v>3994</v>
      </c>
    </row>
    <row r="71" spans="1:8" ht="11.1" hidden="1" customHeight="1">
      <c r="A71" s="17" t="s">
        <v>1037</v>
      </c>
      <c r="B71" s="17" t="s">
        <v>1038</v>
      </c>
      <c r="C71" s="17" t="s">
        <v>846</v>
      </c>
      <c r="D71" s="17" t="s">
        <v>847</v>
      </c>
      <c r="E71" s="17">
        <v>9952</v>
      </c>
      <c r="F71" s="17" t="s">
        <v>1039</v>
      </c>
      <c r="G71" s="17" t="s">
        <v>1040</v>
      </c>
      <c r="H71" s="17" t="s">
        <v>3966</v>
      </c>
    </row>
    <row r="72" spans="1:8" ht="11.1" hidden="1" customHeight="1">
      <c r="A72" s="17" t="s">
        <v>1564</v>
      </c>
      <c r="B72" s="17" t="s">
        <v>1565</v>
      </c>
      <c r="C72" s="17" t="s">
        <v>1025</v>
      </c>
      <c r="D72" s="17" t="s">
        <v>825</v>
      </c>
      <c r="E72" s="17">
        <v>10238</v>
      </c>
      <c r="F72" s="17" t="s">
        <v>1566</v>
      </c>
      <c r="G72" s="17" t="s">
        <v>1567</v>
      </c>
      <c r="H72" s="17" t="s">
        <v>3995</v>
      </c>
    </row>
    <row r="73" spans="1:8" ht="11.1" hidden="1" customHeight="1">
      <c r="A73" s="17" t="s">
        <v>3253</v>
      </c>
      <c r="B73" s="17" t="s">
        <v>3254</v>
      </c>
      <c r="C73" s="17" t="s">
        <v>3255</v>
      </c>
      <c r="D73" s="17" t="s">
        <v>832</v>
      </c>
      <c r="E73" s="17">
        <v>7057</v>
      </c>
      <c r="F73" s="17" t="s">
        <v>3257</v>
      </c>
      <c r="G73" s="17" t="s">
        <v>3258</v>
      </c>
      <c r="H73" s="17" t="s">
        <v>3996</v>
      </c>
    </row>
    <row r="74" spans="1:8" ht="11.1" hidden="1" customHeight="1">
      <c r="A74" s="17" t="s">
        <v>374</v>
      </c>
      <c r="B74" s="17" t="s">
        <v>375</v>
      </c>
      <c r="C74" s="17" t="s">
        <v>376</v>
      </c>
      <c r="D74" s="17" t="s">
        <v>377</v>
      </c>
      <c r="E74" s="17">
        <v>10462</v>
      </c>
      <c r="F74" s="17" t="s">
        <v>379</v>
      </c>
      <c r="G74" s="17" t="s">
        <v>380</v>
      </c>
      <c r="H74" s="17" t="s">
        <v>3997</v>
      </c>
    </row>
    <row r="75" spans="1:8" ht="11.1" hidden="1" customHeight="1">
      <c r="A75" s="17" t="s">
        <v>3763</v>
      </c>
      <c r="B75" s="17" t="s">
        <v>3764</v>
      </c>
      <c r="C75" s="17" t="s">
        <v>2784</v>
      </c>
      <c r="D75" s="17" t="s">
        <v>592</v>
      </c>
      <c r="E75" s="17">
        <v>10086</v>
      </c>
      <c r="F75" s="17" t="s">
        <v>3765</v>
      </c>
      <c r="G75" s="17" t="s">
        <v>3766</v>
      </c>
      <c r="H75" s="17" t="s">
        <v>3998</v>
      </c>
    </row>
    <row r="76" spans="1:8" ht="11.1" hidden="1" customHeight="1">
      <c r="A76" s="17" t="s">
        <v>1046</v>
      </c>
      <c r="B76" s="17" t="s">
        <v>1047</v>
      </c>
      <c r="C76" s="17" t="s">
        <v>1048</v>
      </c>
      <c r="D76" s="17" t="s">
        <v>1049</v>
      </c>
      <c r="E76" s="17">
        <v>9832</v>
      </c>
      <c r="F76" s="17" t="s">
        <v>1051</v>
      </c>
      <c r="G76" s="17" t="s">
        <v>1052</v>
      </c>
      <c r="H76" s="17" t="s">
        <v>3999</v>
      </c>
    </row>
    <row r="77" spans="1:8" ht="11.1" hidden="1" customHeight="1">
      <c r="A77" s="17" t="s">
        <v>1046</v>
      </c>
      <c r="B77" s="17" t="s">
        <v>1047</v>
      </c>
      <c r="C77" s="17" t="s">
        <v>1048</v>
      </c>
      <c r="D77" s="17" t="s">
        <v>1049</v>
      </c>
      <c r="E77" s="17">
        <v>9832</v>
      </c>
      <c r="F77" s="17" t="s">
        <v>1051</v>
      </c>
      <c r="G77" s="17" t="s">
        <v>2433</v>
      </c>
      <c r="H77" s="17" t="s">
        <v>4000</v>
      </c>
    </row>
    <row r="78" spans="1:8" ht="11.1" hidden="1" customHeight="1">
      <c r="A78" s="17" t="s">
        <v>2438</v>
      </c>
      <c r="B78" s="17" t="s">
        <v>2439</v>
      </c>
      <c r="C78" s="17" t="s">
        <v>2366</v>
      </c>
      <c r="D78" s="17" t="s">
        <v>2367</v>
      </c>
      <c r="E78" s="17">
        <v>10007</v>
      </c>
      <c r="F78" s="17" t="s">
        <v>2440</v>
      </c>
      <c r="G78" s="17" t="s">
        <v>2441</v>
      </c>
      <c r="H78" s="17" t="s">
        <v>4001</v>
      </c>
    </row>
    <row r="79" spans="1:8" ht="11.1" hidden="1" customHeight="1">
      <c r="A79" s="17" t="s">
        <v>1593</v>
      </c>
      <c r="B79" s="17" t="s">
        <v>1594</v>
      </c>
      <c r="C79" s="17" t="s">
        <v>390</v>
      </c>
      <c r="D79" s="17" t="s">
        <v>391</v>
      </c>
      <c r="E79" s="17">
        <v>10201</v>
      </c>
      <c r="F79" s="17" t="s">
        <v>1595</v>
      </c>
      <c r="G79" s="17" t="s">
        <v>1596</v>
      </c>
      <c r="H79" s="17" t="s">
        <v>4002</v>
      </c>
    </row>
    <row r="80" spans="1:8" ht="11.1" hidden="1" customHeight="1">
      <c r="A80" s="17" t="s">
        <v>3783</v>
      </c>
      <c r="B80" s="17" t="s">
        <v>424</v>
      </c>
      <c r="C80" s="17" t="s">
        <v>217</v>
      </c>
      <c r="D80" s="17" t="s">
        <v>218</v>
      </c>
      <c r="E80" s="17">
        <v>9634</v>
      </c>
      <c r="F80" s="17" t="s">
        <v>425</v>
      </c>
      <c r="G80" s="17" t="s">
        <v>426</v>
      </c>
      <c r="H80" s="17" t="s">
        <v>4003</v>
      </c>
    </row>
    <row r="81" spans="1:8" ht="11.1" hidden="1" customHeight="1">
      <c r="A81" s="17" t="s">
        <v>2834</v>
      </c>
      <c r="B81" s="17" t="s">
        <v>2835</v>
      </c>
      <c r="C81" s="17" t="s">
        <v>2180</v>
      </c>
      <c r="D81" s="17" t="s">
        <v>2181</v>
      </c>
      <c r="E81" s="17">
        <v>8443</v>
      </c>
      <c r="F81" s="17" t="s">
        <v>2836</v>
      </c>
      <c r="G81" s="17" t="s">
        <v>2837</v>
      </c>
      <c r="H81" s="17" t="s">
        <v>4004</v>
      </c>
    </row>
    <row r="82" spans="1:8" ht="11.1" hidden="1" customHeight="1">
      <c r="A82" s="17" t="s">
        <v>3287</v>
      </c>
      <c r="B82" s="17" t="s">
        <v>3288</v>
      </c>
      <c r="C82" s="17" t="s">
        <v>605</v>
      </c>
      <c r="D82" s="17" t="s">
        <v>606</v>
      </c>
      <c r="E82" s="17">
        <v>10335</v>
      </c>
      <c r="F82" s="17" t="s">
        <v>3289</v>
      </c>
      <c r="G82" s="17" t="s">
        <v>3290</v>
      </c>
      <c r="H82" s="17" t="s">
        <v>3951</v>
      </c>
    </row>
    <row r="83" spans="1:8" ht="11.1" hidden="1" customHeight="1">
      <c r="A83" s="17" t="s">
        <v>3788</v>
      </c>
      <c r="B83" s="17" t="s">
        <v>3789</v>
      </c>
      <c r="C83" s="17" t="s">
        <v>169</v>
      </c>
      <c r="D83" s="17" t="s">
        <v>170</v>
      </c>
      <c r="E83" s="17">
        <v>10309</v>
      </c>
      <c r="F83" s="17" t="s">
        <v>3790</v>
      </c>
      <c r="G83" s="17" t="s">
        <v>3791</v>
      </c>
      <c r="H83" s="17" t="s">
        <v>4005</v>
      </c>
    </row>
    <row r="84" spans="1:8" ht="11.1" customHeight="1">
      <c r="A84" s="17" t="s">
        <v>2842</v>
      </c>
      <c r="B84" s="17" t="s">
        <v>2843</v>
      </c>
      <c r="C84" s="17" t="s">
        <v>224</v>
      </c>
      <c r="D84" s="17" t="s">
        <v>225</v>
      </c>
      <c r="E84" s="17">
        <v>9715</v>
      </c>
      <c r="F84" s="17" t="s">
        <v>2844</v>
      </c>
      <c r="G84" s="17" t="s">
        <v>2845</v>
      </c>
      <c r="H84" s="17" t="s">
        <v>4006</v>
      </c>
    </row>
    <row r="85" spans="1:8" ht="11.1" hidden="1" customHeight="1">
      <c r="A85" s="17" t="s">
        <v>452</v>
      </c>
      <c r="B85" s="17" t="s">
        <v>453</v>
      </c>
      <c r="C85" s="17" t="s">
        <v>454</v>
      </c>
      <c r="D85" s="17" t="s">
        <v>455</v>
      </c>
      <c r="E85" s="17">
        <v>10334</v>
      </c>
      <c r="F85" s="17" t="s">
        <v>457</v>
      </c>
      <c r="G85" s="17" t="s">
        <v>458</v>
      </c>
      <c r="H85" s="17" t="s">
        <v>4007</v>
      </c>
    </row>
    <row r="86" spans="1:8" ht="11.1" hidden="1" customHeight="1">
      <c r="A86" s="17" t="s">
        <v>466</v>
      </c>
      <c r="B86" s="17" t="s">
        <v>467</v>
      </c>
      <c r="C86" s="17" t="s">
        <v>183</v>
      </c>
      <c r="D86" s="17" t="s">
        <v>468</v>
      </c>
      <c r="E86" s="17">
        <v>10241</v>
      </c>
      <c r="F86" s="17" t="s">
        <v>469</v>
      </c>
      <c r="G86" s="17" t="s">
        <v>470</v>
      </c>
      <c r="H86" s="17" t="s">
        <v>4008</v>
      </c>
    </row>
    <row r="87" spans="1:8" ht="11.1" hidden="1" customHeight="1">
      <c r="A87" s="17" t="s">
        <v>56</v>
      </c>
      <c r="B87" s="17" t="s">
        <v>57</v>
      </c>
      <c r="C87" s="17" t="s">
        <v>58</v>
      </c>
      <c r="D87" s="17" t="s">
        <v>59</v>
      </c>
      <c r="E87" s="17">
        <v>10268</v>
      </c>
      <c r="F87" s="17" t="s">
        <v>61</v>
      </c>
      <c r="G87" s="17" t="s">
        <v>1601</v>
      </c>
      <c r="H87" s="17" t="s">
        <v>4009</v>
      </c>
    </row>
    <row r="88" spans="1:8" ht="11.1" hidden="1" customHeight="1">
      <c r="A88" s="17" t="s">
        <v>3819</v>
      </c>
      <c r="B88" s="17" t="s">
        <v>3820</v>
      </c>
      <c r="C88" s="17" t="s">
        <v>183</v>
      </c>
      <c r="D88" s="17" t="s">
        <v>184</v>
      </c>
      <c r="E88" s="17">
        <v>10241</v>
      </c>
      <c r="F88" s="17" t="s">
        <v>3821</v>
      </c>
      <c r="G88" s="17" t="s">
        <v>3822</v>
      </c>
      <c r="H88" s="17" t="s">
        <v>4008</v>
      </c>
    </row>
    <row r="89" spans="1:8" ht="11.1" hidden="1" customHeight="1">
      <c r="A89" s="17" t="s">
        <v>2461</v>
      </c>
      <c r="B89" s="17" t="s">
        <v>2462</v>
      </c>
      <c r="C89" s="17" t="s">
        <v>2310</v>
      </c>
      <c r="D89" s="17" t="s">
        <v>2311</v>
      </c>
      <c r="E89" s="17">
        <v>10308</v>
      </c>
      <c r="F89" s="17" t="s">
        <v>2463</v>
      </c>
      <c r="G89" s="17" t="s">
        <v>2464</v>
      </c>
      <c r="H89" s="17" t="s">
        <v>4005</v>
      </c>
    </row>
    <row r="90" spans="1:8" ht="11.1" hidden="1" customHeight="1">
      <c r="A90" s="17" t="s">
        <v>1613</v>
      </c>
      <c r="B90" s="17" t="s">
        <v>1614</v>
      </c>
      <c r="C90" s="17" t="s">
        <v>404</v>
      </c>
      <c r="D90" s="17" t="s">
        <v>405</v>
      </c>
      <c r="E90" s="17">
        <v>8708</v>
      </c>
      <c r="F90" s="17" t="s">
        <v>1615</v>
      </c>
      <c r="G90" s="17" t="s">
        <v>1616</v>
      </c>
      <c r="H90" s="17" t="s">
        <v>4010</v>
      </c>
    </row>
    <row r="91" spans="1:8" ht="11.1" hidden="1" customHeight="1">
      <c r="A91" s="17" t="s">
        <v>1094</v>
      </c>
      <c r="B91" s="17" t="s">
        <v>1095</v>
      </c>
      <c r="C91" s="17" t="s">
        <v>1096</v>
      </c>
      <c r="D91" s="17" t="s">
        <v>1097</v>
      </c>
      <c r="E91" s="17">
        <v>9629</v>
      </c>
      <c r="F91" s="17" t="s">
        <v>1099</v>
      </c>
      <c r="G91" s="17" t="s">
        <v>1100</v>
      </c>
      <c r="H91" s="17" t="s">
        <v>4011</v>
      </c>
    </row>
    <row r="92" spans="1:8" ht="11.1" hidden="1" customHeight="1">
      <c r="A92" s="17" t="s">
        <v>2477</v>
      </c>
      <c r="B92" s="17" t="s">
        <v>487</v>
      </c>
      <c r="C92" s="17" t="s">
        <v>488</v>
      </c>
      <c r="D92" s="17" t="s">
        <v>489</v>
      </c>
      <c r="E92" s="17">
        <v>10461</v>
      </c>
      <c r="F92" s="17" t="s">
        <v>491</v>
      </c>
      <c r="G92" s="17" t="s">
        <v>492</v>
      </c>
      <c r="H92" s="17" t="s">
        <v>3978</v>
      </c>
    </row>
    <row r="93" spans="1:8" ht="11.1" hidden="1" customHeight="1">
      <c r="A93" s="17" t="s">
        <v>493</v>
      </c>
      <c r="B93" s="17" t="s">
        <v>494</v>
      </c>
      <c r="C93" s="17" t="s">
        <v>495</v>
      </c>
      <c r="D93" s="17" t="s">
        <v>184</v>
      </c>
      <c r="E93" s="17">
        <v>10241</v>
      </c>
      <c r="F93" s="17" t="s">
        <v>496</v>
      </c>
      <c r="G93" s="17" t="s">
        <v>497</v>
      </c>
      <c r="H93" s="17" t="s">
        <v>4008</v>
      </c>
    </row>
    <row r="94" spans="1:8" ht="11.1" hidden="1" customHeight="1">
      <c r="A94" s="17" t="s">
        <v>174</v>
      </c>
      <c r="B94" s="17" t="s">
        <v>175</v>
      </c>
      <c r="C94" s="17" t="s">
        <v>176</v>
      </c>
      <c r="D94" s="17" t="s">
        <v>177</v>
      </c>
      <c r="E94" s="17">
        <v>10288</v>
      </c>
      <c r="F94" s="17" t="s">
        <v>179</v>
      </c>
      <c r="G94" s="17" t="s">
        <v>498</v>
      </c>
      <c r="H94" s="17" t="s">
        <v>4012</v>
      </c>
    </row>
    <row r="95" spans="1:8" ht="11.1" hidden="1" customHeight="1">
      <c r="A95" s="17" t="s">
        <v>1101</v>
      </c>
      <c r="B95" s="17" t="s">
        <v>1102</v>
      </c>
      <c r="C95" s="17" t="s">
        <v>304</v>
      </c>
      <c r="D95" s="17" t="s">
        <v>305</v>
      </c>
      <c r="E95" s="17">
        <v>10457</v>
      </c>
      <c r="F95" s="17" t="s">
        <v>1103</v>
      </c>
      <c r="G95" s="17" t="s">
        <v>1104</v>
      </c>
      <c r="H95" s="17" t="s">
        <v>4013</v>
      </c>
    </row>
    <row r="96" spans="1:8" ht="11.1" hidden="1" customHeight="1">
      <c r="A96" s="17" t="s">
        <v>1171</v>
      </c>
      <c r="B96" s="17" t="s">
        <v>1172</v>
      </c>
      <c r="C96" s="17" t="s">
        <v>715</v>
      </c>
      <c r="D96" s="17" t="s">
        <v>716</v>
      </c>
      <c r="E96" s="17">
        <v>10237</v>
      </c>
      <c r="F96" s="17" t="s">
        <v>1173</v>
      </c>
      <c r="G96" s="17" t="s">
        <v>1617</v>
      </c>
      <c r="H96" s="17" t="s">
        <v>3954</v>
      </c>
    </row>
    <row r="97" spans="1:8" ht="11.1" hidden="1" customHeight="1">
      <c r="A97" s="17" t="s">
        <v>144</v>
      </c>
      <c r="B97" s="17" t="s">
        <v>141</v>
      </c>
      <c r="C97" s="17" t="s">
        <v>58</v>
      </c>
      <c r="D97" s="17" t="s">
        <v>59</v>
      </c>
      <c r="E97" s="17">
        <v>10268</v>
      </c>
      <c r="F97" s="17" t="s">
        <v>142</v>
      </c>
      <c r="G97" s="17" t="s">
        <v>2478</v>
      </c>
      <c r="H97" s="17" t="s">
        <v>4009</v>
      </c>
    </row>
    <row r="98" spans="1:8" ht="11.1" hidden="1" customHeight="1">
      <c r="A98" s="17" t="s">
        <v>1120</v>
      </c>
      <c r="B98" s="17" t="s">
        <v>1121</v>
      </c>
      <c r="C98" s="17" t="s">
        <v>1122</v>
      </c>
      <c r="D98" s="17" t="s">
        <v>1123</v>
      </c>
      <c r="E98" s="17">
        <v>8891</v>
      </c>
      <c r="F98" s="17" t="s">
        <v>1125</v>
      </c>
      <c r="G98" s="17" t="s">
        <v>1126</v>
      </c>
      <c r="H98" s="17" t="s">
        <v>3999</v>
      </c>
    </row>
    <row r="99" spans="1:8" ht="11.1" hidden="1" customHeight="1">
      <c r="A99" s="17" t="s">
        <v>670</v>
      </c>
      <c r="B99" s="17" t="s">
        <v>671</v>
      </c>
      <c r="C99" s="17" t="s">
        <v>58</v>
      </c>
      <c r="D99" s="17" t="s">
        <v>59</v>
      </c>
      <c r="E99" s="17">
        <v>10268</v>
      </c>
      <c r="F99" s="17" t="s">
        <v>672</v>
      </c>
      <c r="G99" s="17" t="s">
        <v>1642</v>
      </c>
      <c r="H99" s="17" t="s">
        <v>4009</v>
      </c>
    </row>
    <row r="100" spans="1:8" ht="11.1" hidden="1" customHeight="1">
      <c r="A100" s="17" t="s">
        <v>674</v>
      </c>
      <c r="B100" s="17" t="s">
        <v>671</v>
      </c>
      <c r="C100" s="17" t="s">
        <v>58</v>
      </c>
      <c r="D100" s="17" t="s">
        <v>59</v>
      </c>
      <c r="E100" s="17">
        <v>10268</v>
      </c>
      <c r="F100" s="17" t="s">
        <v>672</v>
      </c>
      <c r="G100" s="17" t="s">
        <v>1642</v>
      </c>
      <c r="H100" s="17" t="s">
        <v>4009</v>
      </c>
    </row>
    <row r="101" spans="1:8" ht="11.1" hidden="1" customHeight="1">
      <c r="A101" s="17" t="s">
        <v>1649</v>
      </c>
      <c r="B101" s="17" t="s">
        <v>1650</v>
      </c>
      <c r="C101" s="17" t="s">
        <v>1348</v>
      </c>
      <c r="D101" s="17" t="s">
        <v>1349</v>
      </c>
      <c r="E101" s="17">
        <v>10234</v>
      </c>
      <c r="F101" s="17" t="s">
        <v>1651</v>
      </c>
      <c r="G101" s="17" t="s">
        <v>1652</v>
      </c>
      <c r="H101" s="17" t="s">
        <v>4014</v>
      </c>
    </row>
    <row r="102" spans="1:8" ht="11.1" hidden="1" customHeight="1">
      <c r="A102" s="17" t="s">
        <v>1033</v>
      </c>
      <c r="B102" s="17" t="s">
        <v>1034</v>
      </c>
      <c r="C102" s="17" t="s">
        <v>44</v>
      </c>
      <c r="D102" s="17" t="s">
        <v>45</v>
      </c>
      <c r="E102" s="17">
        <v>10245</v>
      </c>
      <c r="F102" s="17" t="s">
        <v>1035</v>
      </c>
      <c r="G102" s="17" t="s">
        <v>1147</v>
      </c>
      <c r="H102" s="17" t="s">
        <v>4015</v>
      </c>
    </row>
    <row r="103" spans="1:8" ht="11.1" hidden="1" customHeight="1">
      <c r="A103" s="17" t="s">
        <v>539</v>
      </c>
      <c r="B103" s="17" t="s">
        <v>540</v>
      </c>
      <c r="C103" s="17" t="s">
        <v>541</v>
      </c>
      <c r="D103" s="17" t="s">
        <v>542</v>
      </c>
      <c r="E103" s="17">
        <v>10000</v>
      </c>
      <c r="F103" s="17" t="s">
        <v>544</v>
      </c>
      <c r="G103" s="17" t="s">
        <v>545</v>
      </c>
      <c r="H103" s="17" t="s">
        <v>4016</v>
      </c>
    </row>
    <row r="104" spans="1:8" ht="11.1" hidden="1" customHeight="1">
      <c r="A104" s="17" t="s">
        <v>3350</v>
      </c>
      <c r="B104" s="17" t="s">
        <v>3351</v>
      </c>
      <c r="C104" s="17" t="s">
        <v>3352</v>
      </c>
      <c r="D104" s="17" t="s">
        <v>24</v>
      </c>
      <c r="E104" s="17">
        <v>10248</v>
      </c>
      <c r="F104" s="17" t="s">
        <v>3353</v>
      </c>
      <c r="G104" s="17" t="s">
        <v>3354</v>
      </c>
      <c r="H104" s="17" t="s">
        <v>4017</v>
      </c>
    </row>
    <row r="105" spans="1:8" ht="11.1" hidden="1" customHeight="1">
      <c r="A105" s="17" t="s">
        <v>3866</v>
      </c>
      <c r="B105" s="17" t="s">
        <v>3867</v>
      </c>
      <c r="C105" s="17" t="s">
        <v>1781</v>
      </c>
      <c r="D105" s="17" t="s">
        <v>1782</v>
      </c>
      <c r="E105" s="17">
        <v>10293</v>
      </c>
      <c r="F105" s="17" t="s">
        <v>3868</v>
      </c>
      <c r="G105" s="17" t="s">
        <v>3869</v>
      </c>
      <c r="H105" s="17" t="s">
        <v>4018</v>
      </c>
    </row>
    <row r="106" spans="1:8" ht="11.1" hidden="1" customHeight="1">
      <c r="A106" s="17" t="s">
        <v>1164</v>
      </c>
      <c r="B106" s="17" t="s">
        <v>1165</v>
      </c>
      <c r="C106" s="17" t="s">
        <v>1166</v>
      </c>
      <c r="D106" s="17" t="s">
        <v>1167</v>
      </c>
      <c r="E106" s="17">
        <v>8412</v>
      </c>
      <c r="F106" s="17" t="s">
        <v>1169</v>
      </c>
      <c r="G106" s="17" t="s">
        <v>1170</v>
      </c>
      <c r="H106" s="17" t="s">
        <v>4019</v>
      </c>
    </row>
    <row r="107" spans="1:8" ht="11.1" hidden="1" customHeight="1">
      <c r="A107" s="17" t="s">
        <v>1665</v>
      </c>
      <c r="B107" s="17" t="s">
        <v>1666</v>
      </c>
      <c r="C107" s="17" t="s">
        <v>204</v>
      </c>
      <c r="D107" s="17" t="s">
        <v>122</v>
      </c>
      <c r="E107" s="17">
        <v>8061</v>
      </c>
      <c r="F107" s="17" t="s">
        <v>1667</v>
      </c>
      <c r="G107" s="17" t="s">
        <v>1668</v>
      </c>
      <c r="H107" s="17" t="s">
        <v>4020</v>
      </c>
    </row>
    <row r="108" spans="1:8" ht="11.1" hidden="1" customHeight="1">
      <c r="A108" s="17" t="s">
        <v>3374</v>
      </c>
      <c r="B108" s="17" t="s">
        <v>3375</v>
      </c>
      <c r="C108" s="17" t="s">
        <v>100</v>
      </c>
      <c r="D108" s="17" t="s">
        <v>2025</v>
      </c>
      <c r="E108" s="17">
        <v>10349</v>
      </c>
      <c r="F108" s="17" t="s">
        <v>3376</v>
      </c>
      <c r="G108" s="17" t="s">
        <v>3377</v>
      </c>
      <c r="H108" s="17" t="s">
        <v>3943</v>
      </c>
    </row>
    <row r="109" spans="1:8" ht="11.1" hidden="1" customHeight="1">
      <c r="A109" s="17" t="s">
        <v>2130</v>
      </c>
      <c r="B109" s="17" t="s">
        <v>2131</v>
      </c>
      <c r="C109" s="17" t="s">
        <v>677</v>
      </c>
      <c r="D109" s="17" t="s">
        <v>678</v>
      </c>
      <c r="E109" s="17">
        <v>10269</v>
      </c>
      <c r="F109" s="17" t="s">
        <v>2132</v>
      </c>
      <c r="G109" s="17" t="s">
        <v>2935</v>
      </c>
      <c r="H109" s="17" t="s">
        <v>3937</v>
      </c>
    </row>
    <row r="110" spans="1:8" ht="11.1" hidden="1" customHeight="1">
      <c r="A110" s="17" t="s">
        <v>2937</v>
      </c>
      <c r="B110" s="17" t="s">
        <v>2938</v>
      </c>
      <c r="C110" s="17" t="s">
        <v>454</v>
      </c>
      <c r="D110" s="17" t="s">
        <v>455</v>
      </c>
      <c r="E110" s="17">
        <v>10334</v>
      </c>
      <c r="F110" s="17" t="s">
        <v>2939</v>
      </c>
      <c r="G110" s="17" t="s">
        <v>2940</v>
      </c>
      <c r="H110" s="17" t="s">
        <v>4007</v>
      </c>
    </row>
    <row r="111" spans="1:8" ht="11.1" hidden="1" customHeight="1">
      <c r="A111" s="17" t="s">
        <v>1695</v>
      </c>
      <c r="B111" s="17" t="s">
        <v>1696</v>
      </c>
      <c r="C111" s="17" t="s">
        <v>30</v>
      </c>
      <c r="D111" s="17" t="s">
        <v>31</v>
      </c>
      <c r="E111" s="17">
        <v>10290</v>
      </c>
      <c r="F111" s="17" t="s">
        <v>1697</v>
      </c>
      <c r="G111" s="17" t="s">
        <v>1698</v>
      </c>
      <c r="H111" s="17" t="s">
        <v>4021</v>
      </c>
    </row>
    <row r="112" spans="1:8" ht="11.1" hidden="1" customHeight="1">
      <c r="A112" s="17" t="s">
        <v>3420</v>
      </c>
      <c r="B112" s="17" t="s">
        <v>3421</v>
      </c>
      <c r="C112" s="17" t="s">
        <v>1982</v>
      </c>
      <c r="D112" s="17" t="s">
        <v>1691</v>
      </c>
      <c r="E112" s="17">
        <v>9996</v>
      </c>
      <c r="F112" s="17" t="s">
        <v>3422</v>
      </c>
      <c r="G112" s="17" t="s">
        <v>3423</v>
      </c>
      <c r="H112" s="17" t="s">
        <v>4022</v>
      </c>
    </row>
    <row r="113" spans="1:8" ht="11.1" hidden="1" customHeight="1">
      <c r="A113" s="17" t="s">
        <v>1710</v>
      </c>
      <c r="B113" s="17" t="s">
        <v>1711</v>
      </c>
      <c r="C113" s="17" t="s">
        <v>1712</v>
      </c>
      <c r="D113" s="17" t="s">
        <v>1713</v>
      </c>
      <c r="E113" s="17">
        <v>8707</v>
      </c>
      <c r="F113" s="17" t="s">
        <v>1715</v>
      </c>
      <c r="G113" s="17" t="s">
        <v>1716</v>
      </c>
      <c r="H113" s="17" t="s">
        <v>4023</v>
      </c>
    </row>
    <row r="114" spans="1:8" ht="11.1" hidden="1" customHeight="1">
      <c r="A114" s="17" t="s">
        <v>2561</v>
      </c>
      <c r="B114" s="17" t="s">
        <v>2562</v>
      </c>
      <c r="C114" s="17" t="s">
        <v>903</v>
      </c>
      <c r="D114" s="17" t="s">
        <v>904</v>
      </c>
      <c r="E114" s="17">
        <v>8570</v>
      </c>
      <c r="F114" s="17" t="s">
        <v>2563</v>
      </c>
      <c r="G114" s="17" t="s">
        <v>2564</v>
      </c>
      <c r="H114" s="17" t="s">
        <v>4024</v>
      </c>
    </row>
    <row r="115" spans="1:8" ht="11.1" hidden="1" customHeight="1">
      <c r="A115" s="17" t="s">
        <v>2976</v>
      </c>
      <c r="B115" s="17" t="s">
        <v>2977</v>
      </c>
      <c r="C115" s="17" t="s">
        <v>128</v>
      </c>
      <c r="D115" s="17" t="s">
        <v>129</v>
      </c>
      <c r="E115" s="17">
        <v>10285</v>
      </c>
      <c r="F115" s="17" t="s">
        <v>2978</v>
      </c>
      <c r="G115" s="17" t="s">
        <v>2979</v>
      </c>
      <c r="H115" s="17" t="s">
        <v>3990</v>
      </c>
    </row>
    <row r="116" spans="1:8" ht="11.1" hidden="1" customHeight="1">
      <c r="A116" s="17" t="s">
        <v>1252</v>
      </c>
      <c r="B116" s="17" t="s">
        <v>1253</v>
      </c>
      <c r="C116" s="17" t="s">
        <v>231</v>
      </c>
      <c r="D116" s="17" t="s">
        <v>232</v>
      </c>
      <c r="E116" s="17">
        <v>9893</v>
      </c>
      <c r="F116" s="17" t="s">
        <v>1254</v>
      </c>
      <c r="G116" s="17" t="s">
        <v>1255</v>
      </c>
      <c r="H116" s="17" t="s">
        <v>3970</v>
      </c>
    </row>
    <row r="117" spans="1:8" ht="11.1" hidden="1" customHeight="1">
      <c r="A117" s="17" t="s">
        <v>2980</v>
      </c>
      <c r="B117" s="17" t="s">
        <v>2981</v>
      </c>
      <c r="C117" s="17" t="s">
        <v>2982</v>
      </c>
      <c r="D117" s="17" t="s">
        <v>59</v>
      </c>
      <c r="E117" s="17">
        <v>10268</v>
      </c>
      <c r="F117" s="17" t="s">
        <v>2983</v>
      </c>
      <c r="G117" s="17" t="s">
        <v>2984</v>
      </c>
      <c r="H117" s="17" t="s">
        <v>4009</v>
      </c>
    </row>
    <row r="118" spans="1:8" ht="11.1" hidden="1" customHeight="1">
      <c r="A118" s="17" t="s">
        <v>3908</v>
      </c>
      <c r="B118" s="17" t="s">
        <v>3909</v>
      </c>
      <c r="C118" s="17" t="s">
        <v>100</v>
      </c>
      <c r="D118" s="17" t="s">
        <v>2025</v>
      </c>
      <c r="E118" s="17">
        <v>10349</v>
      </c>
      <c r="F118" s="17" t="s">
        <v>3910</v>
      </c>
      <c r="G118" s="17" t="s">
        <v>3911</v>
      </c>
      <c r="H118" s="17" t="s">
        <v>3943</v>
      </c>
    </row>
    <row r="119" spans="1:8" ht="11.1" hidden="1" customHeight="1">
      <c r="A119" s="17" t="s">
        <v>634</v>
      </c>
      <c r="B119" s="17" t="s">
        <v>635</v>
      </c>
      <c r="C119" s="17" t="s">
        <v>358</v>
      </c>
      <c r="D119" s="17" t="s">
        <v>359</v>
      </c>
      <c r="E119" s="17">
        <v>8695</v>
      </c>
      <c r="F119" s="17" t="s">
        <v>636</v>
      </c>
      <c r="G119" s="17" t="s">
        <v>637</v>
      </c>
      <c r="H119" s="17" t="s">
        <v>4025</v>
      </c>
    </row>
    <row r="120" spans="1:8" ht="11.1" hidden="1" customHeight="1">
      <c r="A120" s="17" t="s">
        <v>1265</v>
      </c>
      <c r="B120" s="17" t="s">
        <v>1266</v>
      </c>
      <c r="C120" s="17" t="s">
        <v>1267</v>
      </c>
      <c r="D120" s="17" t="s">
        <v>832</v>
      </c>
      <c r="E120" s="17">
        <v>10036</v>
      </c>
      <c r="F120" s="17" t="s">
        <v>1269</v>
      </c>
      <c r="G120" s="17" t="s">
        <v>1270</v>
      </c>
      <c r="H120" s="17" t="s">
        <v>4026</v>
      </c>
    </row>
    <row r="121" spans="1:8" ht="11.1" hidden="1" customHeight="1">
      <c r="A121" s="17" t="s">
        <v>2998</v>
      </c>
      <c r="B121" s="17" t="s">
        <v>2999</v>
      </c>
      <c r="C121" s="17" t="s">
        <v>365</v>
      </c>
      <c r="D121" s="17" t="s">
        <v>366</v>
      </c>
      <c r="E121" s="17">
        <v>8245</v>
      </c>
      <c r="F121" s="17" t="s">
        <v>3000</v>
      </c>
      <c r="G121" s="17" t="s">
        <v>3001</v>
      </c>
      <c r="H121" s="17" t="s">
        <v>4027</v>
      </c>
    </row>
    <row r="122" spans="1:8" ht="11.1" hidden="1" customHeight="1">
      <c r="A122" s="17" t="s">
        <v>3002</v>
      </c>
      <c r="B122" s="17" t="s">
        <v>3003</v>
      </c>
      <c r="C122" s="17" t="s">
        <v>154</v>
      </c>
      <c r="D122" s="17" t="s">
        <v>155</v>
      </c>
      <c r="E122" s="17">
        <v>8569</v>
      </c>
      <c r="F122" s="17" t="s">
        <v>3004</v>
      </c>
      <c r="G122" s="17" t="s">
        <v>3005</v>
      </c>
      <c r="H122" s="17" t="s">
        <v>4028</v>
      </c>
    </row>
    <row r="123" spans="1:8" ht="11.1" hidden="1" customHeight="1">
      <c r="A123" s="17" t="s">
        <v>2476</v>
      </c>
      <c r="B123" s="17" t="s">
        <v>1280</v>
      </c>
      <c r="C123" s="17" t="s">
        <v>495</v>
      </c>
      <c r="D123" s="17" t="s">
        <v>184</v>
      </c>
      <c r="E123" s="17">
        <v>10241</v>
      </c>
      <c r="F123" s="17" t="s">
        <v>1281</v>
      </c>
      <c r="G123" s="17" t="s">
        <v>1282</v>
      </c>
      <c r="H123" s="17" t="s">
        <v>4008</v>
      </c>
    </row>
    <row r="124" spans="1:8" ht="11.1" hidden="1" customHeight="1">
      <c r="A124" s="17" t="s">
        <v>655</v>
      </c>
      <c r="B124" s="17" t="s">
        <v>656</v>
      </c>
      <c r="C124" s="17" t="s">
        <v>30</v>
      </c>
      <c r="D124" s="17" t="s">
        <v>31</v>
      </c>
      <c r="E124" s="17">
        <v>10290</v>
      </c>
      <c r="F124" s="17" t="s">
        <v>657</v>
      </c>
      <c r="G124" s="17" t="s">
        <v>658</v>
      </c>
      <c r="H124" s="17" t="s">
        <v>4021</v>
      </c>
    </row>
    <row r="125" spans="1:8" ht="11.1" hidden="1" customHeight="1">
      <c r="A125" s="17" t="s">
        <v>1283</v>
      </c>
      <c r="B125" s="17" t="s">
        <v>1284</v>
      </c>
      <c r="C125" s="17" t="s">
        <v>1285</v>
      </c>
      <c r="D125" s="17" t="s">
        <v>1286</v>
      </c>
      <c r="E125" s="17">
        <v>8249</v>
      </c>
      <c r="F125" s="17" t="s">
        <v>1288</v>
      </c>
      <c r="G125" s="17" t="s">
        <v>1289</v>
      </c>
      <c r="H125" s="17" t="s">
        <v>4029</v>
      </c>
    </row>
    <row r="126" spans="1:8" ht="11.1" hidden="1" customHeight="1">
      <c r="A126" s="17" t="s">
        <v>1742</v>
      </c>
      <c r="B126" s="17" t="s">
        <v>1743</v>
      </c>
      <c r="C126" s="17" t="s">
        <v>37</v>
      </c>
      <c r="D126" s="17" t="s">
        <v>38</v>
      </c>
      <c r="E126" s="17">
        <v>8562</v>
      </c>
      <c r="F126" s="17" t="s">
        <v>1744</v>
      </c>
      <c r="G126" s="17" t="s">
        <v>1745</v>
      </c>
      <c r="H126" s="17" t="s">
        <v>3936</v>
      </c>
    </row>
    <row r="127" spans="1:8" ht="11.1" hidden="1" customHeight="1">
      <c r="A127" s="17" t="s">
        <v>1290</v>
      </c>
      <c r="B127" s="17" t="s">
        <v>1291</v>
      </c>
      <c r="C127" s="17" t="s">
        <v>1292</v>
      </c>
      <c r="D127" s="17" t="s">
        <v>38</v>
      </c>
      <c r="E127" s="17">
        <v>8563</v>
      </c>
      <c r="F127" s="17" t="s">
        <v>1294</v>
      </c>
      <c r="G127" s="17" t="s">
        <v>1295</v>
      </c>
      <c r="H127" s="17" t="s">
        <v>3938</v>
      </c>
    </row>
    <row r="128" spans="1:8" ht="11.1" hidden="1" customHeight="1">
      <c r="A128" s="17" t="s">
        <v>2108</v>
      </c>
      <c r="B128" s="17" t="s">
        <v>2109</v>
      </c>
      <c r="C128" s="17" t="s">
        <v>2110</v>
      </c>
      <c r="D128" s="17" t="s">
        <v>2111</v>
      </c>
      <c r="E128" s="17">
        <v>8602</v>
      </c>
      <c r="F128" s="17" t="s">
        <v>2113</v>
      </c>
      <c r="G128" s="17" t="s">
        <v>2114</v>
      </c>
      <c r="H128" s="17" t="s">
        <v>4030</v>
      </c>
    </row>
    <row r="129" spans="1:8" ht="11.1" hidden="1" customHeight="1">
      <c r="A129" s="17" t="s">
        <v>2577</v>
      </c>
      <c r="B129" s="17" t="s">
        <v>2578</v>
      </c>
      <c r="C129" s="17" t="s">
        <v>86</v>
      </c>
      <c r="D129" s="17" t="s">
        <v>87</v>
      </c>
      <c r="E129" s="17">
        <v>8555</v>
      </c>
      <c r="F129" s="17" t="s">
        <v>2579</v>
      </c>
      <c r="G129" s="17" t="s">
        <v>2580</v>
      </c>
      <c r="H129" s="17" t="s">
        <v>4031</v>
      </c>
    </row>
    <row r="130" spans="1:8" ht="11.1" hidden="1" customHeight="1">
      <c r="A130" s="17" t="s">
        <v>2585</v>
      </c>
      <c r="B130" s="17" t="s">
        <v>2586</v>
      </c>
      <c r="C130" s="17" t="s">
        <v>2587</v>
      </c>
      <c r="D130" s="17" t="s">
        <v>2588</v>
      </c>
      <c r="E130" s="17">
        <v>8435</v>
      </c>
      <c r="F130" s="17" t="s">
        <v>2590</v>
      </c>
      <c r="G130" s="17" t="s">
        <v>2591</v>
      </c>
      <c r="H130" s="17" t="s">
        <v>4032</v>
      </c>
    </row>
    <row r="131" spans="1:8" ht="11.1" hidden="1" customHeight="1">
      <c r="A131" s="17" t="s">
        <v>1329</v>
      </c>
      <c r="B131" s="17" t="s">
        <v>1330</v>
      </c>
      <c r="C131" s="17" t="s">
        <v>1315</v>
      </c>
      <c r="D131" s="17" t="s">
        <v>1316</v>
      </c>
      <c r="E131" s="17">
        <v>7742</v>
      </c>
      <c r="F131" s="17" t="s">
        <v>1331</v>
      </c>
      <c r="G131" s="17" t="s">
        <v>1332</v>
      </c>
      <c r="H131" s="17" t="s">
        <v>4033</v>
      </c>
    </row>
    <row r="132" spans="1:8" ht="11.1" hidden="1" customHeight="1">
      <c r="A132" s="17" t="s">
        <v>3517</v>
      </c>
      <c r="B132" s="17" t="s">
        <v>3518</v>
      </c>
      <c r="C132" s="17" t="s">
        <v>72</v>
      </c>
      <c r="D132" s="17" t="s">
        <v>73</v>
      </c>
      <c r="E132" s="17">
        <v>7682</v>
      </c>
      <c r="F132" s="17" t="s">
        <v>3519</v>
      </c>
      <c r="G132" s="17" t="s">
        <v>3520</v>
      </c>
      <c r="H132" s="17" t="s">
        <v>3940</v>
      </c>
    </row>
    <row r="133" spans="1:8" ht="11.1" hidden="1" customHeight="1">
      <c r="A133" s="17" t="s">
        <v>1337</v>
      </c>
      <c r="B133" s="17" t="s">
        <v>57</v>
      </c>
      <c r="C133" s="17" t="s">
        <v>58</v>
      </c>
      <c r="D133" s="17" t="s">
        <v>59</v>
      </c>
      <c r="E133" s="17">
        <v>10268</v>
      </c>
      <c r="F133" s="17" t="s">
        <v>61</v>
      </c>
      <c r="G133" s="17" t="s">
        <v>62</v>
      </c>
      <c r="H133" s="17" t="s">
        <v>4009</v>
      </c>
    </row>
    <row r="134" spans="1:8" ht="11.1" hidden="1" customHeight="1">
      <c r="A134" s="17" t="s">
        <v>3536</v>
      </c>
      <c r="B134" s="17" t="s">
        <v>3537</v>
      </c>
      <c r="C134" s="17" t="s">
        <v>3531</v>
      </c>
      <c r="D134" s="17" t="s">
        <v>3532</v>
      </c>
      <c r="E134" s="17">
        <v>7642</v>
      </c>
      <c r="F134" s="17" t="s">
        <v>3538</v>
      </c>
      <c r="G134" s="17" t="s">
        <v>3539</v>
      </c>
      <c r="H134" s="17" t="s">
        <v>3941</v>
      </c>
    </row>
    <row r="135" spans="1:8" ht="11.1" hidden="1" customHeight="1">
      <c r="A135" s="17" t="s">
        <v>2604</v>
      </c>
      <c r="B135" s="17" t="s">
        <v>2605</v>
      </c>
      <c r="C135" s="17" t="s">
        <v>51</v>
      </c>
      <c r="D135" s="17" t="s">
        <v>52</v>
      </c>
      <c r="E135" s="17">
        <v>8754</v>
      </c>
      <c r="F135" s="17" t="s">
        <v>2606</v>
      </c>
      <c r="G135" s="17" t="s">
        <v>2607</v>
      </c>
      <c r="H135" s="17" t="s">
        <v>4034</v>
      </c>
    </row>
    <row r="136" spans="1:8" ht="11.1" customHeight="1">
      <c r="A136" s="17" t="s">
        <v>1353</v>
      </c>
      <c r="B136" s="17" t="s">
        <v>1354</v>
      </c>
      <c r="C136" s="17" t="s">
        <v>1355</v>
      </c>
      <c r="D136" s="17" t="s">
        <v>1356</v>
      </c>
      <c r="E136" s="17">
        <v>9733</v>
      </c>
      <c r="F136" s="17" t="s">
        <v>1357</v>
      </c>
      <c r="G136" s="17" t="s">
        <v>1358</v>
      </c>
      <c r="H136" s="17" t="s">
        <v>3955</v>
      </c>
    </row>
    <row r="137" spans="1:8" ht="11.1" hidden="1" customHeight="1">
      <c r="A137" s="17" t="s">
        <v>1363</v>
      </c>
      <c r="B137" s="17" t="s">
        <v>1364</v>
      </c>
      <c r="C137" s="17" t="s">
        <v>365</v>
      </c>
      <c r="D137" s="17" t="s">
        <v>366</v>
      </c>
      <c r="E137" s="17">
        <v>8245</v>
      </c>
      <c r="F137" s="17" t="s">
        <v>1365</v>
      </c>
      <c r="G137" s="17" t="s">
        <v>1366</v>
      </c>
      <c r="H137" s="17" t="s">
        <v>4027</v>
      </c>
    </row>
    <row r="138" spans="1:8" ht="11.1" hidden="1" customHeight="1">
      <c r="A138" s="17" t="s">
        <v>1367</v>
      </c>
      <c r="B138" s="17" t="s">
        <v>1368</v>
      </c>
      <c r="C138" s="17" t="s">
        <v>197</v>
      </c>
      <c r="D138" s="17" t="s">
        <v>198</v>
      </c>
      <c r="E138" s="17">
        <v>10444</v>
      </c>
      <c r="F138" s="17" t="s">
        <v>1369</v>
      </c>
      <c r="G138" s="17" t="s">
        <v>1370</v>
      </c>
      <c r="H138" s="17" t="s">
        <v>4035</v>
      </c>
    </row>
    <row r="139" spans="1:8" ht="11.1" hidden="1" customHeight="1">
      <c r="A139" s="17" t="s">
        <v>1371</v>
      </c>
      <c r="B139" s="17" t="s">
        <v>1372</v>
      </c>
      <c r="C139" s="17" t="s">
        <v>629</v>
      </c>
      <c r="D139" s="17" t="s">
        <v>630</v>
      </c>
      <c r="E139" s="17">
        <v>10445</v>
      </c>
      <c r="F139" s="17" t="s">
        <v>1373</v>
      </c>
      <c r="G139" s="17" t="s">
        <v>1374</v>
      </c>
      <c r="H139" s="17" t="s">
        <v>3945</v>
      </c>
    </row>
    <row r="140" spans="1:8" ht="11.1" hidden="1" customHeight="1">
      <c r="A140" s="17" t="s">
        <v>3574</v>
      </c>
      <c r="B140" s="17" t="s">
        <v>3575</v>
      </c>
      <c r="C140" s="17" t="s">
        <v>1096</v>
      </c>
      <c r="D140" s="17" t="s">
        <v>1097</v>
      </c>
      <c r="E140" s="17">
        <v>9629</v>
      </c>
      <c r="F140" s="17" t="s">
        <v>3576</v>
      </c>
      <c r="G140" s="17" t="s">
        <v>3577</v>
      </c>
      <c r="H140" s="17" t="s">
        <v>4011</v>
      </c>
    </row>
    <row r="141" spans="1:8" ht="11.1" hidden="1" customHeight="1">
      <c r="A141" s="17" t="s">
        <v>112</v>
      </c>
      <c r="B141" s="17" t="s">
        <v>113</v>
      </c>
      <c r="C141" s="17" t="s">
        <v>114</v>
      </c>
      <c r="D141" s="17" t="s">
        <v>115</v>
      </c>
      <c r="E141" s="17">
        <v>9849</v>
      </c>
      <c r="F141" s="17" t="s">
        <v>117</v>
      </c>
      <c r="G141" s="17" t="s">
        <v>118</v>
      </c>
      <c r="H141" s="17" t="s">
        <v>4036</v>
      </c>
    </row>
    <row r="142" spans="1:8" ht="11.1" hidden="1" customHeight="1">
      <c r="A142" s="17" t="s">
        <v>1807</v>
      </c>
      <c r="B142" s="17" t="s">
        <v>1808</v>
      </c>
      <c r="C142" s="17" t="s">
        <v>444</v>
      </c>
      <c r="D142" s="17" t="s">
        <v>122</v>
      </c>
      <c r="E142" s="17">
        <v>8247</v>
      </c>
      <c r="F142" s="17" t="s">
        <v>1809</v>
      </c>
      <c r="G142" s="17" t="s">
        <v>1810</v>
      </c>
      <c r="H142" s="17" t="s">
        <v>3946</v>
      </c>
    </row>
    <row r="143" spans="1:8" ht="11.1" hidden="1" customHeight="1">
      <c r="A143" s="17" t="s">
        <v>2226</v>
      </c>
      <c r="B143" s="17" t="s">
        <v>2227</v>
      </c>
      <c r="C143" s="17" t="s">
        <v>1427</v>
      </c>
      <c r="D143" s="17" t="s">
        <v>1428</v>
      </c>
      <c r="E143" s="17">
        <v>10098</v>
      </c>
      <c r="F143" s="17" t="s">
        <v>2228</v>
      </c>
      <c r="G143" s="17" t="s">
        <v>2229</v>
      </c>
      <c r="H143" s="17" t="s">
        <v>4037</v>
      </c>
    </row>
    <row r="144" spans="1:8" ht="11.1" hidden="1" customHeight="1">
      <c r="A144" s="17" t="s">
        <v>2655</v>
      </c>
      <c r="B144" s="17" t="s">
        <v>2656</v>
      </c>
      <c r="C144" s="17" t="s">
        <v>444</v>
      </c>
      <c r="D144" s="17" t="s">
        <v>122</v>
      </c>
      <c r="E144" s="17">
        <v>8247</v>
      </c>
      <c r="F144" s="17" t="s">
        <v>2657</v>
      </c>
      <c r="G144" s="17" t="s">
        <v>2658</v>
      </c>
      <c r="H144" s="17" t="s">
        <v>3946</v>
      </c>
    </row>
    <row r="145" spans="1:8" ht="11.1" hidden="1" customHeight="1">
      <c r="A145" s="17" t="s">
        <v>1387</v>
      </c>
      <c r="B145" s="17" t="s">
        <v>1388</v>
      </c>
      <c r="C145" s="17" t="s">
        <v>293</v>
      </c>
      <c r="D145" s="17" t="s">
        <v>294</v>
      </c>
      <c r="E145" s="17">
        <v>8711</v>
      </c>
      <c r="F145" s="17" t="s">
        <v>1389</v>
      </c>
      <c r="G145" s="17" t="s">
        <v>1390</v>
      </c>
      <c r="H145" s="17" t="s">
        <v>3956</v>
      </c>
    </row>
    <row r="146" spans="1:8" ht="11.1" hidden="1" customHeight="1">
      <c r="A146" s="17" t="s">
        <v>731</v>
      </c>
      <c r="B146" s="17" t="s">
        <v>732</v>
      </c>
      <c r="C146" s="17" t="s">
        <v>311</v>
      </c>
      <c r="D146" s="17" t="s">
        <v>312</v>
      </c>
      <c r="E146" s="17">
        <v>10003</v>
      </c>
      <c r="F146" s="17" t="s">
        <v>2557</v>
      </c>
      <c r="G146" s="17" t="s">
        <v>2558</v>
      </c>
      <c r="H146" s="17" t="s">
        <v>3957</v>
      </c>
    </row>
    <row r="147" spans="1:8" ht="11.1" hidden="1" customHeight="1">
      <c r="A147" s="17" t="s">
        <v>793</v>
      </c>
      <c r="B147" s="17" t="s">
        <v>794</v>
      </c>
      <c r="C147" s="17" t="s">
        <v>501</v>
      </c>
      <c r="D147" s="17" t="s">
        <v>502</v>
      </c>
      <c r="E147" s="17">
        <v>10460</v>
      </c>
      <c r="F147" s="17" t="s">
        <v>795</v>
      </c>
      <c r="G147" s="17" t="s">
        <v>2683</v>
      </c>
      <c r="H147" s="17" t="s">
        <v>3967</v>
      </c>
    </row>
    <row r="148" spans="1:8" ht="11.1" hidden="1" customHeight="1">
      <c r="A148" s="17" t="s">
        <v>2252</v>
      </c>
      <c r="B148" s="17" t="s">
        <v>2253</v>
      </c>
      <c r="C148" s="17" t="s">
        <v>210</v>
      </c>
      <c r="D148" s="17" t="s">
        <v>211</v>
      </c>
      <c r="E148" s="17">
        <v>8060</v>
      </c>
      <c r="F148" s="17" t="s">
        <v>2254</v>
      </c>
      <c r="G148" s="17" t="s">
        <v>2255</v>
      </c>
      <c r="H148" s="17" t="s">
        <v>3994</v>
      </c>
    </row>
    <row r="149" spans="1:8" ht="11.1" hidden="1" customHeight="1">
      <c r="A149" s="17" t="s">
        <v>782</v>
      </c>
      <c r="B149" s="17" t="s">
        <v>783</v>
      </c>
      <c r="C149" s="17" t="s">
        <v>784</v>
      </c>
      <c r="D149" s="17" t="s">
        <v>785</v>
      </c>
      <c r="E149" s="17">
        <v>9704</v>
      </c>
      <c r="F149" s="17" t="s">
        <v>787</v>
      </c>
      <c r="G149" s="17" t="s">
        <v>788</v>
      </c>
      <c r="H149" s="17" t="s">
        <v>3960</v>
      </c>
    </row>
    <row r="150" spans="1:8" ht="11.1" hidden="1" customHeight="1">
      <c r="A150" s="17" t="s">
        <v>174</v>
      </c>
      <c r="B150" s="17" t="s">
        <v>175</v>
      </c>
      <c r="C150" s="17" t="s">
        <v>176</v>
      </c>
      <c r="D150" s="17" t="s">
        <v>177</v>
      </c>
      <c r="E150" s="17">
        <v>10288</v>
      </c>
      <c r="F150" s="17" t="s">
        <v>179</v>
      </c>
      <c r="G150" s="17" t="s">
        <v>180</v>
      </c>
      <c r="H150" s="17" t="s">
        <v>3953</v>
      </c>
    </row>
    <row r="151" spans="1:8" ht="11.1" hidden="1" customHeight="1">
      <c r="A151" s="17" t="s">
        <v>789</v>
      </c>
      <c r="B151" s="17" t="s">
        <v>175</v>
      </c>
      <c r="C151" s="17" t="s">
        <v>790</v>
      </c>
      <c r="D151" s="17" t="s">
        <v>791</v>
      </c>
      <c r="E151" s="17">
        <v>10287</v>
      </c>
      <c r="F151" s="17" t="s">
        <v>179</v>
      </c>
      <c r="G151" s="17" t="s">
        <v>180</v>
      </c>
      <c r="H151" s="17" t="s">
        <v>3953</v>
      </c>
    </row>
    <row r="152" spans="1:8" ht="11.1" hidden="1" customHeight="1">
      <c r="A152" s="17" t="s">
        <v>2682</v>
      </c>
      <c r="B152" s="17" t="s">
        <v>794</v>
      </c>
      <c r="C152" s="17" t="s">
        <v>501</v>
      </c>
      <c r="D152" s="17" t="s">
        <v>502</v>
      </c>
      <c r="E152" s="17">
        <v>10460</v>
      </c>
      <c r="F152" s="17" t="s">
        <v>795</v>
      </c>
      <c r="G152" s="17" t="s">
        <v>796</v>
      </c>
      <c r="H152" s="17" t="s">
        <v>3967</v>
      </c>
    </row>
    <row r="153" spans="1:8" ht="11.1" hidden="1" customHeight="1">
      <c r="A153" s="17" t="s">
        <v>181</v>
      </c>
      <c r="B153" s="17" t="s">
        <v>182</v>
      </c>
      <c r="C153" s="17" t="s">
        <v>183</v>
      </c>
      <c r="D153" s="17" t="s">
        <v>184</v>
      </c>
      <c r="E153" s="17">
        <v>10241</v>
      </c>
      <c r="F153" s="17" t="s">
        <v>186</v>
      </c>
      <c r="G153" s="17" t="s">
        <v>187</v>
      </c>
      <c r="H153" s="17" t="s">
        <v>4008</v>
      </c>
    </row>
    <row r="154" spans="1:8" ht="11.1" hidden="1" customHeight="1">
      <c r="A154" s="17" t="s">
        <v>188</v>
      </c>
      <c r="B154" s="17" t="s">
        <v>189</v>
      </c>
      <c r="C154" s="17" t="s">
        <v>190</v>
      </c>
      <c r="D154" s="17" t="s">
        <v>191</v>
      </c>
      <c r="E154" s="17">
        <v>10247</v>
      </c>
      <c r="F154" s="17" t="s">
        <v>193</v>
      </c>
      <c r="G154" s="17" t="s">
        <v>194</v>
      </c>
      <c r="H154" s="17" t="s">
        <v>4038</v>
      </c>
    </row>
    <row r="155" spans="1:8" ht="11.1" hidden="1" customHeight="1">
      <c r="A155" s="17" t="s">
        <v>3614</v>
      </c>
      <c r="B155" s="17" t="s">
        <v>3615</v>
      </c>
      <c r="C155" s="17" t="s">
        <v>2535</v>
      </c>
      <c r="D155" s="17" t="s">
        <v>2536</v>
      </c>
      <c r="E155" s="17">
        <v>9169</v>
      </c>
      <c r="F155" s="17" t="s">
        <v>3616</v>
      </c>
      <c r="G155" s="17" t="s">
        <v>3617</v>
      </c>
      <c r="H155" s="17" t="s">
        <v>4039</v>
      </c>
    </row>
    <row r="156" spans="1:8" ht="11.1" hidden="1" customHeight="1">
      <c r="A156" s="17" t="s">
        <v>797</v>
      </c>
      <c r="B156" s="17" t="s">
        <v>798</v>
      </c>
      <c r="C156" s="17" t="s">
        <v>376</v>
      </c>
      <c r="D156" s="17" t="s">
        <v>377</v>
      </c>
      <c r="E156" s="17">
        <v>10462</v>
      </c>
      <c r="F156" s="17" t="s">
        <v>799</v>
      </c>
      <c r="G156" s="17" t="s">
        <v>800</v>
      </c>
      <c r="H156" s="17" t="s">
        <v>3997</v>
      </c>
    </row>
    <row r="157" spans="1:8" ht="11.1" hidden="1" customHeight="1">
      <c r="A157" s="17" t="s">
        <v>801</v>
      </c>
      <c r="B157" s="17" t="s">
        <v>802</v>
      </c>
      <c r="C157" s="17" t="s">
        <v>803</v>
      </c>
      <c r="D157" s="17" t="s">
        <v>804</v>
      </c>
      <c r="E157" s="17">
        <v>10097</v>
      </c>
      <c r="F157" s="17" t="s">
        <v>806</v>
      </c>
      <c r="G157" s="17" t="s">
        <v>807</v>
      </c>
      <c r="H157" s="17" t="s">
        <v>4040</v>
      </c>
    </row>
    <row r="158" spans="1:8" ht="11.1" hidden="1" customHeight="1">
      <c r="A158" s="17" t="s">
        <v>1403</v>
      </c>
      <c r="B158" s="17" t="s">
        <v>1404</v>
      </c>
      <c r="C158" s="17" t="s">
        <v>894</v>
      </c>
      <c r="D158" s="17" t="s">
        <v>895</v>
      </c>
      <c r="E158" s="17">
        <v>10242</v>
      </c>
      <c r="F158" s="17" t="s">
        <v>1405</v>
      </c>
      <c r="G158" s="17" t="s">
        <v>1432</v>
      </c>
      <c r="H158" s="17" t="s">
        <v>3942</v>
      </c>
    </row>
    <row r="159" spans="1:8" ht="11.1" hidden="1" customHeight="1">
      <c r="A159" s="17" t="s">
        <v>208</v>
      </c>
      <c r="B159" s="17" t="s">
        <v>209</v>
      </c>
      <c r="C159" s="17" t="s">
        <v>210</v>
      </c>
      <c r="D159" s="17" t="s">
        <v>211</v>
      </c>
      <c r="E159" s="17">
        <v>8060</v>
      </c>
      <c r="F159" s="17" t="s">
        <v>213</v>
      </c>
      <c r="G159" s="17" t="s">
        <v>214</v>
      </c>
      <c r="H159" s="17" t="s">
        <v>3994</v>
      </c>
    </row>
    <row r="160" spans="1:8" ht="11.1" hidden="1" customHeight="1">
      <c r="A160" s="17" t="s">
        <v>1850</v>
      </c>
      <c r="B160" s="17" t="s">
        <v>1851</v>
      </c>
      <c r="C160" s="17" t="s">
        <v>1852</v>
      </c>
      <c r="D160" s="17" t="s">
        <v>1853</v>
      </c>
      <c r="E160" s="17">
        <v>9748</v>
      </c>
      <c r="F160" s="17" t="s">
        <v>1855</v>
      </c>
      <c r="G160" s="17" t="s">
        <v>1856</v>
      </c>
      <c r="H160" s="17" t="s">
        <v>4041</v>
      </c>
    </row>
    <row r="161" spans="1:8" ht="11.1" hidden="1" customHeight="1">
      <c r="A161" s="17" t="s">
        <v>1874</v>
      </c>
      <c r="B161" s="17" t="s">
        <v>1875</v>
      </c>
      <c r="C161" s="17" t="s">
        <v>1096</v>
      </c>
      <c r="D161" s="17" t="s">
        <v>1097</v>
      </c>
      <c r="E161" s="17">
        <v>9629</v>
      </c>
      <c r="F161" s="17" t="s">
        <v>1876</v>
      </c>
      <c r="G161" s="17" t="s">
        <v>1877</v>
      </c>
      <c r="H161" s="17" t="s">
        <v>4011</v>
      </c>
    </row>
    <row r="162" spans="1:8" ht="11.1" hidden="1" customHeight="1">
      <c r="A162" s="17" t="s">
        <v>840</v>
      </c>
      <c r="B162" s="17" t="s">
        <v>841</v>
      </c>
      <c r="C162" s="17" t="s">
        <v>623</v>
      </c>
      <c r="D162" s="17" t="s">
        <v>211</v>
      </c>
      <c r="E162" s="17">
        <v>8058</v>
      </c>
      <c r="F162" s="17" t="s">
        <v>842</v>
      </c>
      <c r="G162" s="17" t="s">
        <v>843</v>
      </c>
      <c r="H162" s="17" t="s">
        <v>4042</v>
      </c>
    </row>
    <row r="163" spans="1:8" ht="11.1" hidden="1" customHeight="1">
      <c r="A163" s="17" t="s">
        <v>2083</v>
      </c>
      <c r="B163" s="17" t="s">
        <v>852</v>
      </c>
      <c r="C163" s="17" t="s">
        <v>65</v>
      </c>
      <c r="D163" s="17" t="s">
        <v>66</v>
      </c>
      <c r="E163" s="17">
        <v>10244</v>
      </c>
      <c r="F163" s="17" t="s">
        <v>853</v>
      </c>
      <c r="G163" s="17" t="s">
        <v>854</v>
      </c>
      <c r="H163" s="17" t="s">
        <v>3980</v>
      </c>
    </row>
    <row r="164" spans="1:8" ht="11.1" hidden="1" customHeight="1">
      <c r="A164" s="17" t="s">
        <v>2716</v>
      </c>
      <c r="B164" s="17" t="s">
        <v>2717</v>
      </c>
      <c r="C164" s="17" t="s">
        <v>411</v>
      </c>
      <c r="D164" s="17" t="s">
        <v>412</v>
      </c>
      <c r="E164" s="17">
        <v>9894</v>
      </c>
      <c r="F164" s="17" t="s">
        <v>2718</v>
      </c>
      <c r="G164" s="17" t="s">
        <v>2719</v>
      </c>
      <c r="H164" s="17" t="s">
        <v>4043</v>
      </c>
    </row>
    <row r="165" spans="1:8" ht="11.1" hidden="1" customHeight="1">
      <c r="A165" s="17" t="s">
        <v>2720</v>
      </c>
      <c r="B165" s="17" t="s">
        <v>2721</v>
      </c>
      <c r="C165" s="17" t="s">
        <v>2722</v>
      </c>
      <c r="D165" s="17" t="s">
        <v>2723</v>
      </c>
      <c r="E165" s="17">
        <v>10093</v>
      </c>
      <c r="F165" s="17" t="s">
        <v>2725</v>
      </c>
      <c r="G165" s="17" t="s">
        <v>2726</v>
      </c>
      <c r="H165" s="17" t="s">
        <v>4044</v>
      </c>
    </row>
    <row r="166" spans="1:8" ht="11.1" hidden="1" customHeight="1">
      <c r="A166" s="17" t="s">
        <v>2727</v>
      </c>
      <c r="B166" s="17" t="s">
        <v>2728</v>
      </c>
      <c r="C166" s="17" t="s">
        <v>887</v>
      </c>
      <c r="D166" s="17" t="s">
        <v>888</v>
      </c>
      <c r="E166" s="17">
        <v>10002</v>
      </c>
      <c r="F166" s="17" t="s">
        <v>2729</v>
      </c>
      <c r="G166" s="17" t="s">
        <v>2730</v>
      </c>
      <c r="H166" s="17" t="s">
        <v>4045</v>
      </c>
    </row>
    <row r="167" spans="1:8" ht="11.1" hidden="1" customHeight="1">
      <c r="A167" s="17" t="s">
        <v>2731</v>
      </c>
      <c r="B167" s="17" t="s">
        <v>2732</v>
      </c>
      <c r="C167" s="17" t="s">
        <v>2733</v>
      </c>
      <c r="D167" s="17" t="s">
        <v>191</v>
      </c>
      <c r="E167" s="17">
        <v>10247</v>
      </c>
      <c r="F167" s="17" t="s">
        <v>2734</v>
      </c>
      <c r="G167" s="17" t="s">
        <v>2735</v>
      </c>
      <c r="H167" s="17" t="s">
        <v>4038</v>
      </c>
    </row>
    <row r="168" spans="1:8" ht="11.1" hidden="1" customHeight="1">
      <c r="A168" s="17" t="s">
        <v>2736</v>
      </c>
      <c r="B168" s="17" t="s">
        <v>2737</v>
      </c>
      <c r="C168" s="17" t="s">
        <v>2738</v>
      </c>
      <c r="D168" s="17" t="s">
        <v>2739</v>
      </c>
      <c r="E168" s="17">
        <v>10103</v>
      </c>
      <c r="F168" s="17" t="s">
        <v>2741</v>
      </c>
      <c r="G168" s="17" t="s">
        <v>2742</v>
      </c>
      <c r="H168" s="17" t="s">
        <v>4046</v>
      </c>
    </row>
    <row r="169" spans="1:8" ht="11.1" hidden="1" customHeight="1">
      <c r="A169" s="17" t="s">
        <v>2747</v>
      </c>
      <c r="B169" s="17" t="s">
        <v>2748</v>
      </c>
      <c r="C169" s="17" t="s">
        <v>293</v>
      </c>
      <c r="D169" s="17" t="s">
        <v>294</v>
      </c>
      <c r="E169" s="17">
        <v>8711</v>
      </c>
      <c r="F169" s="17" t="s">
        <v>2749</v>
      </c>
      <c r="G169" s="17" t="s">
        <v>2750</v>
      </c>
      <c r="H169" s="17" t="s">
        <v>3956</v>
      </c>
    </row>
    <row r="170" spans="1:8" ht="11.1" hidden="1" customHeight="1">
      <c r="A170" s="17" t="s">
        <v>892</v>
      </c>
      <c r="B170" s="17" t="s">
        <v>893</v>
      </c>
      <c r="C170" s="17" t="s">
        <v>894</v>
      </c>
      <c r="D170" s="17" t="s">
        <v>895</v>
      </c>
      <c r="E170" s="17">
        <v>10242</v>
      </c>
      <c r="F170" s="17" t="s">
        <v>897</v>
      </c>
      <c r="G170" s="17" t="s">
        <v>898</v>
      </c>
      <c r="H170" s="17" t="s">
        <v>3942</v>
      </c>
    </row>
    <row r="171" spans="1:8" ht="11.1" hidden="1" customHeight="1">
      <c r="A171" s="17" t="s">
        <v>908</v>
      </c>
      <c r="B171" s="17" t="s">
        <v>909</v>
      </c>
      <c r="C171" s="17" t="s">
        <v>846</v>
      </c>
      <c r="D171" s="17" t="s">
        <v>847</v>
      </c>
      <c r="E171" s="17">
        <v>9952</v>
      </c>
      <c r="F171" s="17" t="s">
        <v>910</v>
      </c>
      <c r="G171" s="17" t="s">
        <v>911</v>
      </c>
      <c r="H171" s="17" t="s">
        <v>3966</v>
      </c>
    </row>
    <row r="172" spans="1:8" ht="11.1" hidden="1" customHeight="1">
      <c r="A172" s="17" t="s">
        <v>1879</v>
      </c>
      <c r="B172" s="17" t="s">
        <v>1880</v>
      </c>
      <c r="C172" s="17" t="s">
        <v>1705</v>
      </c>
      <c r="D172" s="17" t="s">
        <v>1706</v>
      </c>
      <c r="E172" s="17">
        <v>10459</v>
      </c>
      <c r="F172" s="17" t="s">
        <v>1881</v>
      </c>
      <c r="G172" s="17" t="s">
        <v>1897</v>
      </c>
      <c r="H172" s="17" t="s">
        <v>3966</v>
      </c>
    </row>
    <row r="173" spans="1:8" ht="11.1" hidden="1" customHeight="1">
      <c r="A173" s="17" t="s">
        <v>1564</v>
      </c>
      <c r="B173" s="17" t="s">
        <v>1565</v>
      </c>
      <c r="C173" s="17" t="s">
        <v>1025</v>
      </c>
      <c r="D173" s="17" t="s">
        <v>825</v>
      </c>
      <c r="E173" s="17">
        <v>10238</v>
      </c>
      <c r="F173" s="17" t="s">
        <v>1566</v>
      </c>
      <c r="G173" s="17" t="s">
        <v>2350</v>
      </c>
      <c r="H173" s="17" t="s">
        <v>3995</v>
      </c>
    </row>
    <row r="174" spans="1:8" ht="11.1" hidden="1" customHeight="1">
      <c r="A174" s="17" t="s">
        <v>3711</v>
      </c>
      <c r="B174" s="17" t="s">
        <v>3712</v>
      </c>
      <c r="C174" s="17" t="s">
        <v>1837</v>
      </c>
      <c r="D174" s="17" t="s">
        <v>980</v>
      </c>
      <c r="E174" s="17">
        <v>8686</v>
      </c>
      <c r="F174" s="17" t="s">
        <v>3713</v>
      </c>
      <c r="G174" s="17" t="s">
        <v>3714</v>
      </c>
      <c r="H174" s="17" t="s">
        <v>4047</v>
      </c>
    </row>
    <row r="175" spans="1:8" ht="11.1" hidden="1" customHeight="1">
      <c r="A175" s="17" t="s">
        <v>2761</v>
      </c>
      <c r="B175" s="17" t="s">
        <v>2762</v>
      </c>
      <c r="C175" s="17" t="s">
        <v>261</v>
      </c>
      <c r="D175" s="17" t="s">
        <v>262</v>
      </c>
      <c r="E175" s="17">
        <v>9635</v>
      </c>
      <c r="F175" s="17" t="s">
        <v>2763</v>
      </c>
      <c r="G175" s="17" t="s">
        <v>2764</v>
      </c>
      <c r="H175" s="17" t="s">
        <v>4048</v>
      </c>
    </row>
    <row r="176" spans="1:8" ht="11.1" hidden="1" customHeight="1">
      <c r="A176" s="17" t="s">
        <v>3715</v>
      </c>
      <c r="B176" s="17" t="s">
        <v>3716</v>
      </c>
      <c r="C176" s="17" t="s">
        <v>397</v>
      </c>
      <c r="D176" s="17" t="s">
        <v>398</v>
      </c>
      <c r="E176" s="17">
        <v>9964</v>
      </c>
      <c r="F176" s="17" t="s">
        <v>3717</v>
      </c>
      <c r="G176" s="17" t="s">
        <v>3718</v>
      </c>
      <c r="H176" s="17" t="s">
        <v>4049</v>
      </c>
    </row>
    <row r="177" spans="1:8" ht="11.1" hidden="1" customHeight="1">
      <c r="A177" s="17" t="s">
        <v>3197</v>
      </c>
      <c r="B177" s="17" t="s">
        <v>3198</v>
      </c>
      <c r="C177" s="17" t="s">
        <v>2552</v>
      </c>
      <c r="D177" s="17" t="s">
        <v>645</v>
      </c>
      <c r="E177" s="17">
        <v>9258</v>
      </c>
      <c r="F177" s="17" t="s">
        <v>3199</v>
      </c>
      <c r="G177" s="17" t="s">
        <v>3200</v>
      </c>
      <c r="H177" s="17" t="s">
        <v>4050</v>
      </c>
    </row>
    <row r="178" spans="1:8" ht="11.1" hidden="1" customHeight="1">
      <c r="A178" s="17" t="s">
        <v>2765</v>
      </c>
      <c r="B178" s="17" t="s">
        <v>1499</v>
      </c>
      <c r="C178" s="17" t="s">
        <v>397</v>
      </c>
      <c r="D178" s="17" t="s">
        <v>398</v>
      </c>
      <c r="E178" s="17">
        <v>9964</v>
      </c>
      <c r="F178" s="17" t="s">
        <v>1500</v>
      </c>
      <c r="G178" s="17" t="s">
        <v>1501</v>
      </c>
      <c r="H178" s="17" t="s">
        <v>4049</v>
      </c>
    </row>
    <row r="179" spans="1:8" ht="11.1" customHeight="1">
      <c r="A179" s="17" t="s">
        <v>954</v>
      </c>
      <c r="B179" s="17" t="s">
        <v>955</v>
      </c>
      <c r="C179" s="17" t="s">
        <v>956</v>
      </c>
      <c r="D179" s="17" t="s">
        <v>957</v>
      </c>
      <c r="E179" s="17">
        <v>10468</v>
      </c>
      <c r="F179" s="17" t="s">
        <v>959</v>
      </c>
      <c r="G179" s="17" t="s">
        <v>960</v>
      </c>
      <c r="H179" s="17" t="s">
        <v>4051</v>
      </c>
    </row>
    <row r="180" spans="1:8" ht="11.1" hidden="1" customHeight="1">
      <c r="A180" s="17" t="s">
        <v>2778</v>
      </c>
      <c r="B180" s="17" t="s">
        <v>2779</v>
      </c>
      <c r="C180" s="17" t="s">
        <v>352</v>
      </c>
      <c r="D180" s="17" t="s">
        <v>211</v>
      </c>
      <c r="E180" s="17">
        <v>8059</v>
      </c>
      <c r="F180" s="17" t="s">
        <v>2780</v>
      </c>
      <c r="G180" s="17" t="s">
        <v>2781</v>
      </c>
      <c r="H180" s="17" t="s">
        <v>3975</v>
      </c>
    </row>
    <row r="181" spans="1:8" ht="11.1" hidden="1" customHeight="1">
      <c r="A181" s="17" t="s">
        <v>1534</v>
      </c>
      <c r="B181" s="17" t="s">
        <v>1535</v>
      </c>
      <c r="C181" s="17" t="s">
        <v>1536</v>
      </c>
      <c r="D181" s="17" t="s">
        <v>1537</v>
      </c>
      <c r="E181" s="17">
        <v>8739</v>
      </c>
      <c r="F181" s="17" t="s">
        <v>1539</v>
      </c>
      <c r="G181" s="17" t="s">
        <v>1540</v>
      </c>
      <c r="H181" s="17" t="s">
        <v>4052</v>
      </c>
    </row>
    <row r="182" spans="1:8" ht="11.1" hidden="1" customHeight="1">
      <c r="A182" s="17" t="s">
        <v>2404</v>
      </c>
      <c r="B182" s="17" t="s">
        <v>2405</v>
      </c>
      <c r="C182" s="17" t="s">
        <v>1813</v>
      </c>
      <c r="D182" s="17" t="s">
        <v>1814</v>
      </c>
      <c r="E182" s="17">
        <v>9992</v>
      </c>
      <c r="F182" s="17" t="s">
        <v>2406</v>
      </c>
      <c r="G182" s="17" t="s">
        <v>2407</v>
      </c>
      <c r="H182" s="17" t="s">
        <v>4053</v>
      </c>
    </row>
    <row r="183" spans="1:8" ht="11.1" hidden="1" customHeight="1">
      <c r="A183" s="17" t="s">
        <v>3229</v>
      </c>
      <c r="B183" s="17" t="s">
        <v>3230</v>
      </c>
      <c r="C183" s="17" t="s">
        <v>2722</v>
      </c>
      <c r="D183" s="17" t="s">
        <v>2723</v>
      </c>
      <c r="E183" s="17">
        <v>10093</v>
      </c>
      <c r="F183" s="17" t="s">
        <v>3231</v>
      </c>
      <c r="G183" s="17" t="s">
        <v>3232</v>
      </c>
      <c r="H183" s="17" t="s">
        <v>4044</v>
      </c>
    </row>
    <row r="184" spans="1:8" ht="11.1" customHeight="1">
      <c r="A184" s="17" t="s">
        <v>3747</v>
      </c>
      <c r="B184" s="17" t="s">
        <v>3748</v>
      </c>
      <c r="C184" s="17" t="s">
        <v>1355</v>
      </c>
      <c r="D184" s="17" t="s">
        <v>1356</v>
      </c>
      <c r="E184" s="17">
        <v>9733</v>
      </c>
      <c r="F184" s="17" t="s">
        <v>3749</v>
      </c>
      <c r="G184" s="17" t="s">
        <v>3750</v>
      </c>
      <c r="H184" s="17" t="s">
        <v>3955</v>
      </c>
    </row>
    <row r="185" spans="1:8" ht="11.1" hidden="1" customHeight="1">
      <c r="A185" s="17" t="s">
        <v>1940</v>
      </c>
      <c r="B185" s="17" t="s">
        <v>1941</v>
      </c>
      <c r="C185" s="17" t="s">
        <v>204</v>
      </c>
      <c r="D185" s="17" t="s">
        <v>122</v>
      </c>
      <c r="E185" s="17">
        <v>8061</v>
      </c>
      <c r="F185" s="17" t="s">
        <v>1942</v>
      </c>
      <c r="G185" s="17" t="s">
        <v>1943</v>
      </c>
      <c r="H185" s="17" t="s">
        <v>4020</v>
      </c>
    </row>
    <row r="186" spans="1:8" ht="11.1" hidden="1" customHeight="1">
      <c r="A186" s="17" t="s">
        <v>1552</v>
      </c>
      <c r="B186" s="17" t="s">
        <v>1553</v>
      </c>
      <c r="C186" s="17" t="s">
        <v>210</v>
      </c>
      <c r="D186" s="17" t="s">
        <v>211</v>
      </c>
      <c r="E186" s="17">
        <v>8060</v>
      </c>
      <c r="F186" s="17" t="s">
        <v>1554</v>
      </c>
      <c r="G186" s="17" t="s">
        <v>1555</v>
      </c>
      <c r="H186" s="17" t="s">
        <v>3994</v>
      </c>
    </row>
    <row r="187" spans="1:8" ht="11.1" hidden="1" customHeight="1">
      <c r="A187" s="17" t="s">
        <v>3751</v>
      </c>
      <c r="B187" s="17" t="s">
        <v>3752</v>
      </c>
      <c r="C187" s="17" t="s">
        <v>121</v>
      </c>
      <c r="D187" s="17" t="s">
        <v>122</v>
      </c>
      <c r="E187" s="17">
        <v>8063</v>
      </c>
      <c r="F187" s="17" t="s">
        <v>3753</v>
      </c>
      <c r="G187" s="17" t="s">
        <v>3754</v>
      </c>
      <c r="H187" s="17" t="s">
        <v>3952</v>
      </c>
    </row>
    <row r="188" spans="1:8" ht="11.1" hidden="1" customHeight="1">
      <c r="A188" s="17" t="s">
        <v>3233</v>
      </c>
      <c r="B188" s="17" t="s">
        <v>3234</v>
      </c>
      <c r="C188" s="17" t="s">
        <v>1398</v>
      </c>
      <c r="D188" s="17" t="s">
        <v>1399</v>
      </c>
      <c r="E188" s="17">
        <v>9895</v>
      </c>
      <c r="F188" s="17" t="s">
        <v>3235</v>
      </c>
      <c r="G188" s="17" t="s">
        <v>3236</v>
      </c>
      <c r="H188" s="17" t="s">
        <v>4054</v>
      </c>
    </row>
    <row r="189" spans="1:8" ht="11.1" hidden="1" customHeight="1">
      <c r="A189" s="17" t="s">
        <v>2804</v>
      </c>
      <c r="B189" s="17" t="s">
        <v>2805</v>
      </c>
      <c r="C189" s="17" t="s">
        <v>1450</v>
      </c>
      <c r="D189" s="17" t="s">
        <v>122</v>
      </c>
      <c r="E189" s="17">
        <v>8062</v>
      </c>
      <c r="F189" s="17" t="s">
        <v>2806</v>
      </c>
      <c r="G189" s="17" t="s">
        <v>2807</v>
      </c>
      <c r="H189" s="17" t="s">
        <v>4055</v>
      </c>
    </row>
    <row r="190" spans="1:8" ht="11.1" hidden="1" customHeight="1">
      <c r="A190" s="17" t="s">
        <v>350</v>
      </c>
      <c r="B190" s="17" t="s">
        <v>351</v>
      </c>
      <c r="C190" s="17" t="s">
        <v>352</v>
      </c>
      <c r="D190" s="17" t="s">
        <v>211</v>
      </c>
      <c r="E190" s="17">
        <v>8059</v>
      </c>
      <c r="F190" s="17" t="s">
        <v>354</v>
      </c>
      <c r="G190" s="17" t="s">
        <v>355</v>
      </c>
      <c r="H190" s="17" t="s">
        <v>3975</v>
      </c>
    </row>
    <row r="191" spans="1:8" ht="11.1" hidden="1" customHeight="1">
      <c r="A191" s="17" t="s">
        <v>1033</v>
      </c>
      <c r="B191" s="17" t="s">
        <v>1034</v>
      </c>
      <c r="C191" s="17" t="s">
        <v>44</v>
      </c>
      <c r="D191" s="17" t="s">
        <v>45</v>
      </c>
      <c r="E191" s="17">
        <v>10245</v>
      </c>
      <c r="F191" s="17" t="s">
        <v>1035</v>
      </c>
      <c r="G191" s="17" t="s">
        <v>1036</v>
      </c>
      <c r="H191" s="17" t="s">
        <v>4015</v>
      </c>
    </row>
    <row r="192" spans="1:8" ht="11.1" hidden="1" customHeight="1">
      <c r="A192" s="17" t="s">
        <v>1146</v>
      </c>
      <c r="B192" s="17" t="s">
        <v>1034</v>
      </c>
      <c r="C192" s="17" t="s">
        <v>44</v>
      </c>
      <c r="D192" s="17" t="s">
        <v>45</v>
      </c>
      <c r="E192" s="17">
        <v>10245</v>
      </c>
      <c r="F192" s="17" t="s">
        <v>1035</v>
      </c>
      <c r="G192" s="17" t="s">
        <v>1036</v>
      </c>
      <c r="H192" s="17" t="s">
        <v>4015</v>
      </c>
    </row>
    <row r="193" spans="1:8" ht="11.1" customHeight="1">
      <c r="A193" s="17" t="s">
        <v>381</v>
      </c>
      <c r="B193" s="17" t="s">
        <v>382</v>
      </c>
      <c r="C193" s="17" t="s">
        <v>383</v>
      </c>
      <c r="D193" s="17" t="s">
        <v>384</v>
      </c>
      <c r="E193" s="17">
        <v>9733</v>
      </c>
      <c r="F193" s="17" t="s">
        <v>386</v>
      </c>
      <c r="G193" s="17" t="s">
        <v>387</v>
      </c>
      <c r="H193" s="17" t="s">
        <v>3955</v>
      </c>
    </row>
    <row r="194" spans="1:8" ht="11.1" hidden="1" customHeight="1">
      <c r="A194" s="17" t="s">
        <v>2829</v>
      </c>
      <c r="B194" s="17" t="s">
        <v>1047</v>
      </c>
      <c r="C194" s="17" t="s">
        <v>1122</v>
      </c>
      <c r="D194" s="17" t="s">
        <v>1049</v>
      </c>
      <c r="E194" s="17">
        <v>8891</v>
      </c>
      <c r="F194" s="17" t="s">
        <v>1051</v>
      </c>
      <c r="G194" s="17" t="s">
        <v>2433</v>
      </c>
      <c r="H194" s="17" t="s">
        <v>4000</v>
      </c>
    </row>
    <row r="195" spans="1:8" ht="11.1" hidden="1" customHeight="1">
      <c r="A195" s="17" t="s">
        <v>1965</v>
      </c>
      <c r="B195" s="17" t="s">
        <v>1966</v>
      </c>
      <c r="C195" s="17" t="s">
        <v>1967</v>
      </c>
      <c r="D195" s="17" t="s">
        <v>1968</v>
      </c>
      <c r="E195" s="17">
        <v>9202</v>
      </c>
      <c r="F195" s="17" t="s">
        <v>1970</v>
      </c>
      <c r="G195" s="17" t="s">
        <v>1971</v>
      </c>
      <c r="H195" s="17" t="s">
        <v>4056</v>
      </c>
    </row>
    <row r="196" spans="1:8" ht="11.1" hidden="1" customHeight="1">
      <c r="A196" s="17" t="s">
        <v>1577</v>
      </c>
      <c r="B196" s="17" t="s">
        <v>1578</v>
      </c>
      <c r="C196" s="17" t="s">
        <v>846</v>
      </c>
      <c r="D196" s="17" t="s">
        <v>847</v>
      </c>
      <c r="E196" s="17">
        <v>9952</v>
      </c>
      <c r="F196" s="17" t="s">
        <v>1579</v>
      </c>
      <c r="G196" s="17" t="s">
        <v>1580</v>
      </c>
      <c r="H196" s="17" t="s">
        <v>3966</v>
      </c>
    </row>
    <row r="197" spans="1:8" ht="11.1" hidden="1" customHeight="1">
      <c r="A197" s="17" t="s">
        <v>3771</v>
      </c>
      <c r="B197" s="17" t="s">
        <v>3772</v>
      </c>
      <c r="C197" s="17" t="s">
        <v>169</v>
      </c>
      <c r="D197" s="17" t="s">
        <v>170</v>
      </c>
      <c r="E197" s="17">
        <v>10309</v>
      </c>
      <c r="F197" s="17" t="s">
        <v>3773</v>
      </c>
      <c r="G197" s="17" t="s">
        <v>3774</v>
      </c>
      <c r="H197" s="17" t="s">
        <v>4005</v>
      </c>
    </row>
    <row r="198" spans="1:8" ht="11.1" hidden="1" customHeight="1">
      <c r="A198" s="17" t="s">
        <v>1589</v>
      </c>
      <c r="B198" s="17" t="s">
        <v>1590</v>
      </c>
      <c r="C198" s="17" t="s">
        <v>293</v>
      </c>
      <c r="D198" s="17" t="s">
        <v>294</v>
      </c>
      <c r="E198" s="17">
        <v>8711</v>
      </c>
      <c r="F198" s="17" t="s">
        <v>1591</v>
      </c>
      <c r="G198" s="17" t="s">
        <v>1592</v>
      </c>
      <c r="H198" s="17" t="s">
        <v>3956</v>
      </c>
    </row>
    <row r="199" spans="1:8" ht="11.1" hidden="1" customHeight="1">
      <c r="A199" s="17" t="s">
        <v>438</v>
      </c>
      <c r="B199" s="17" t="s">
        <v>439</v>
      </c>
      <c r="C199" s="17" t="s">
        <v>365</v>
      </c>
      <c r="D199" s="17" t="s">
        <v>366</v>
      </c>
      <c r="E199" s="17">
        <v>8245</v>
      </c>
      <c r="F199" s="17" t="s">
        <v>440</v>
      </c>
      <c r="G199" s="17" t="s">
        <v>441</v>
      </c>
      <c r="H199" s="17" t="s">
        <v>4027</v>
      </c>
    </row>
    <row r="200" spans="1:8" ht="11.1" hidden="1" customHeight="1">
      <c r="A200" s="17" t="s">
        <v>2846</v>
      </c>
      <c r="B200" s="17" t="s">
        <v>2847</v>
      </c>
      <c r="C200" s="17" t="s">
        <v>1813</v>
      </c>
      <c r="D200" s="17" t="s">
        <v>1814</v>
      </c>
      <c r="E200" s="17">
        <v>9992</v>
      </c>
      <c r="F200" s="17" t="s">
        <v>2848</v>
      </c>
      <c r="G200" s="17" t="s">
        <v>2849</v>
      </c>
      <c r="H200" s="17" t="s">
        <v>4053</v>
      </c>
    </row>
    <row r="201" spans="1:8" ht="11.1" hidden="1" customHeight="1">
      <c r="A201" s="17" t="s">
        <v>1061</v>
      </c>
      <c r="B201" s="17" t="s">
        <v>1062</v>
      </c>
      <c r="C201" s="17" t="s">
        <v>304</v>
      </c>
      <c r="D201" s="17" t="s">
        <v>305</v>
      </c>
      <c r="E201" s="17">
        <v>10457</v>
      </c>
      <c r="F201" s="17" t="s">
        <v>1063</v>
      </c>
      <c r="G201" s="17" t="s">
        <v>1064</v>
      </c>
      <c r="H201" s="17" t="s">
        <v>4013</v>
      </c>
    </row>
    <row r="202" spans="1:8" ht="11.1" hidden="1" customHeight="1">
      <c r="A202" s="17" t="s">
        <v>1073</v>
      </c>
      <c r="B202" s="17" t="s">
        <v>1070</v>
      </c>
      <c r="C202" s="17" t="s">
        <v>65</v>
      </c>
      <c r="D202" s="17" t="s">
        <v>66</v>
      </c>
      <c r="E202" s="17">
        <v>10244</v>
      </c>
      <c r="F202" s="17" t="s">
        <v>1071</v>
      </c>
      <c r="G202" s="17" t="s">
        <v>1072</v>
      </c>
      <c r="H202" s="17" t="s">
        <v>3980</v>
      </c>
    </row>
    <row r="203" spans="1:8" ht="11.1" hidden="1" customHeight="1">
      <c r="A203" s="17" t="s">
        <v>2457</v>
      </c>
      <c r="B203" s="17" t="s">
        <v>2458</v>
      </c>
      <c r="C203" s="17" t="s">
        <v>1393</v>
      </c>
      <c r="D203" s="17" t="s">
        <v>804</v>
      </c>
      <c r="E203" s="17">
        <v>10097</v>
      </c>
      <c r="F203" s="17" t="s">
        <v>2459</v>
      </c>
      <c r="G203" s="17" t="s">
        <v>2460</v>
      </c>
      <c r="H203" s="17" t="s">
        <v>4040</v>
      </c>
    </row>
    <row r="204" spans="1:8" ht="11.1" hidden="1" customHeight="1">
      <c r="A204" s="17" t="s">
        <v>1609</v>
      </c>
      <c r="B204" s="17" t="s">
        <v>1610</v>
      </c>
      <c r="C204" s="17" t="s">
        <v>766</v>
      </c>
      <c r="D204" s="17" t="s">
        <v>767</v>
      </c>
      <c r="E204" s="17">
        <v>9951</v>
      </c>
      <c r="F204" s="17" t="s">
        <v>1611</v>
      </c>
      <c r="G204" s="17" t="s">
        <v>1612</v>
      </c>
      <c r="H204" s="17" t="s">
        <v>3967</v>
      </c>
    </row>
    <row r="205" spans="1:8" ht="11.1" hidden="1" customHeight="1">
      <c r="A205" s="17" t="s">
        <v>506</v>
      </c>
      <c r="B205" s="17" t="s">
        <v>507</v>
      </c>
      <c r="C205" s="17" t="s">
        <v>508</v>
      </c>
      <c r="D205" s="17" t="s">
        <v>509</v>
      </c>
      <c r="E205" s="17">
        <v>9258</v>
      </c>
      <c r="F205" s="17" t="s">
        <v>511</v>
      </c>
      <c r="G205" s="17" t="s">
        <v>512</v>
      </c>
      <c r="H205" s="17" t="s">
        <v>4050</v>
      </c>
    </row>
    <row r="206" spans="1:8" ht="11.1" hidden="1" customHeight="1">
      <c r="A206" s="17" t="s">
        <v>713</v>
      </c>
      <c r="B206" s="17" t="s">
        <v>714</v>
      </c>
      <c r="C206" s="17" t="s">
        <v>715</v>
      </c>
      <c r="D206" s="17" t="s">
        <v>716</v>
      </c>
      <c r="E206" s="17">
        <v>10237</v>
      </c>
      <c r="F206" s="17" t="s">
        <v>718</v>
      </c>
      <c r="G206" s="17" t="s">
        <v>1625</v>
      </c>
      <c r="H206" s="17" t="s">
        <v>3954</v>
      </c>
    </row>
    <row r="207" spans="1:8" ht="11.1" hidden="1" customHeight="1">
      <c r="A207" s="17" t="s">
        <v>1638</v>
      </c>
      <c r="B207" s="17" t="s">
        <v>1639</v>
      </c>
      <c r="C207" s="17" t="s">
        <v>903</v>
      </c>
      <c r="D207" s="17" t="s">
        <v>904</v>
      </c>
      <c r="E207" s="17">
        <v>8570</v>
      </c>
      <c r="F207" s="17" t="s">
        <v>1640</v>
      </c>
      <c r="G207" s="17" t="s">
        <v>1641</v>
      </c>
      <c r="H207" s="17" t="s">
        <v>4024</v>
      </c>
    </row>
    <row r="208" spans="1:8" ht="11.1" hidden="1" customHeight="1">
      <c r="A208" s="17" t="s">
        <v>2491</v>
      </c>
      <c r="B208" s="17" t="s">
        <v>2492</v>
      </c>
      <c r="C208" s="17" t="s">
        <v>217</v>
      </c>
      <c r="D208" s="17" t="s">
        <v>218</v>
      </c>
      <c r="E208" s="17">
        <v>9634</v>
      </c>
      <c r="F208" s="17" t="s">
        <v>2493</v>
      </c>
      <c r="G208" s="17" t="s">
        <v>2494</v>
      </c>
      <c r="H208" s="17" t="s">
        <v>4003</v>
      </c>
    </row>
    <row r="209" spans="1:8" ht="11.1" hidden="1" customHeight="1">
      <c r="A209" s="17" t="s">
        <v>1643</v>
      </c>
      <c r="B209" s="17" t="s">
        <v>64</v>
      </c>
      <c r="C209" s="17" t="s">
        <v>65</v>
      </c>
      <c r="D209" s="17" t="s">
        <v>66</v>
      </c>
      <c r="E209" s="17">
        <v>10244</v>
      </c>
      <c r="F209" s="17" t="s">
        <v>68</v>
      </c>
      <c r="G209" s="17" t="s">
        <v>1644</v>
      </c>
      <c r="H209" s="17" t="s">
        <v>3980</v>
      </c>
    </row>
    <row r="210" spans="1:8" ht="11.1" hidden="1" customHeight="1">
      <c r="A210" s="17" t="s">
        <v>2896</v>
      </c>
      <c r="B210" s="17" t="s">
        <v>2897</v>
      </c>
      <c r="C210" s="17" t="s">
        <v>1509</v>
      </c>
      <c r="D210" s="17" t="s">
        <v>1510</v>
      </c>
      <c r="E210" s="17">
        <v>8698</v>
      </c>
      <c r="F210" s="17" t="s">
        <v>2898</v>
      </c>
      <c r="G210" s="17" t="s">
        <v>2899</v>
      </c>
      <c r="H210" s="17" t="s">
        <v>3989</v>
      </c>
    </row>
    <row r="211" spans="1:8" ht="11.1" hidden="1" customHeight="1">
      <c r="A211" s="17" t="s">
        <v>2909</v>
      </c>
      <c r="B211" s="17" t="s">
        <v>2910</v>
      </c>
      <c r="C211" s="17" t="s">
        <v>304</v>
      </c>
      <c r="D211" s="17" t="s">
        <v>305</v>
      </c>
      <c r="E211" s="17">
        <v>10457</v>
      </c>
      <c r="F211" s="17" t="s">
        <v>2911</v>
      </c>
      <c r="G211" s="17" t="s">
        <v>2912</v>
      </c>
      <c r="H211" s="17" t="s">
        <v>4013</v>
      </c>
    </row>
    <row r="212" spans="1:8" ht="11.1" hidden="1" customHeight="1">
      <c r="A212" s="17" t="s">
        <v>2040</v>
      </c>
      <c r="B212" s="17" t="s">
        <v>2041</v>
      </c>
      <c r="C212" s="17" t="s">
        <v>1450</v>
      </c>
      <c r="D212" s="17" t="s">
        <v>122</v>
      </c>
      <c r="E212" s="17">
        <v>8062</v>
      </c>
      <c r="F212" s="17" t="s">
        <v>2042</v>
      </c>
      <c r="G212" s="17" t="s">
        <v>2043</v>
      </c>
      <c r="H212" s="17" t="s">
        <v>4055</v>
      </c>
    </row>
    <row r="213" spans="1:8" ht="11.1" hidden="1" customHeight="1">
      <c r="A213" s="17" t="s">
        <v>3346</v>
      </c>
      <c r="B213" s="17" t="s">
        <v>3347</v>
      </c>
      <c r="C213" s="17" t="s">
        <v>1043</v>
      </c>
      <c r="D213" s="17" t="s">
        <v>419</v>
      </c>
      <c r="E213" s="17">
        <v>8947</v>
      </c>
      <c r="F213" s="17" t="s">
        <v>3348</v>
      </c>
      <c r="G213" s="17" t="s">
        <v>3349</v>
      </c>
      <c r="H213" s="17" t="s">
        <v>4057</v>
      </c>
    </row>
    <row r="214" spans="1:8" ht="11.1" hidden="1" customHeight="1">
      <c r="A214" s="17" t="s">
        <v>1657</v>
      </c>
      <c r="B214" s="17" t="s">
        <v>1658</v>
      </c>
      <c r="C214" s="17" t="s">
        <v>358</v>
      </c>
      <c r="D214" s="17" t="s">
        <v>359</v>
      </c>
      <c r="E214" s="17">
        <v>8695</v>
      </c>
      <c r="F214" s="17" t="s">
        <v>1659</v>
      </c>
      <c r="G214" s="17" t="s">
        <v>1660</v>
      </c>
      <c r="H214" s="17" t="s">
        <v>4025</v>
      </c>
    </row>
    <row r="215" spans="1:8" ht="11.1" hidden="1" customHeight="1">
      <c r="A215" s="17" t="s">
        <v>2066</v>
      </c>
      <c r="B215" s="17" t="s">
        <v>2067</v>
      </c>
      <c r="C215" s="17" t="s">
        <v>318</v>
      </c>
      <c r="D215" s="17" t="s">
        <v>319</v>
      </c>
      <c r="E215" s="17">
        <v>8685</v>
      </c>
      <c r="F215" s="17" t="s">
        <v>2068</v>
      </c>
      <c r="G215" s="17" t="s">
        <v>2069</v>
      </c>
      <c r="H215" s="17" t="s">
        <v>3988</v>
      </c>
    </row>
    <row r="216" spans="1:8" ht="11.1" hidden="1" customHeight="1">
      <c r="A216" s="17" t="s">
        <v>3870</v>
      </c>
      <c r="B216" s="17" t="s">
        <v>3871</v>
      </c>
      <c r="C216" s="17" t="s">
        <v>444</v>
      </c>
      <c r="D216" s="17" t="s">
        <v>122</v>
      </c>
      <c r="E216" s="17">
        <v>8247</v>
      </c>
      <c r="F216" s="17" t="s">
        <v>3872</v>
      </c>
      <c r="G216" s="17" t="s">
        <v>3873</v>
      </c>
      <c r="H216" s="17" t="s">
        <v>3946</v>
      </c>
    </row>
    <row r="217" spans="1:8" ht="11.1" hidden="1" customHeight="1">
      <c r="A217" s="17" t="s">
        <v>3886</v>
      </c>
      <c r="B217" s="17" t="s">
        <v>3887</v>
      </c>
      <c r="C217" s="17" t="s">
        <v>3888</v>
      </c>
      <c r="D217" s="17" t="s">
        <v>162</v>
      </c>
      <c r="E217" s="17">
        <v>9253</v>
      </c>
      <c r="F217" s="17" t="s">
        <v>3889</v>
      </c>
      <c r="G217" s="17" t="s">
        <v>3890</v>
      </c>
      <c r="H217" s="17" t="s">
        <v>3963</v>
      </c>
    </row>
    <row r="218" spans="1:8" ht="11.1" hidden="1" customHeight="1">
      <c r="A218" s="17" t="s">
        <v>1197</v>
      </c>
      <c r="B218" s="17" t="s">
        <v>1198</v>
      </c>
      <c r="C218" s="17" t="s">
        <v>1199</v>
      </c>
      <c r="D218" s="17" t="s">
        <v>1200</v>
      </c>
      <c r="E218" s="17">
        <v>10291</v>
      </c>
      <c r="F218" s="17" t="s">
        <v>1202</v>
      </c>
      <c r="G218" s="17" t="s">
        <v>1203</v>
      </c>
      <c r="H218" s="17" t="s">
        <v>4058</v>
      </c>
    </row>
    <row r="219" spans="1:8" ht="11.1" hidden="1" customHeight="1">
      <c r="A219" s="17" t="s">
        <v>1683</v>
      </c>
      <c r="B219" s="17" t="s">
        <v>1684</v>
      </c>
      <c r="C219" s="17" t="s">
        <v>1685</v>
      </c>
      <c r="D219" s="17" t="s">
        <v>391</v>
      </c>
      <c r="E219" s="17">
        <v>10201</v>
      </c>
      <c r="F219" s="17" t="s">
        <v>1686</v>
      </c>
      <c r="G219" s="17" t="s">
        <v>1687</v>
      </c>
      <c r="H219" s="17" t="s">
        <v>4002</v>
      </c>
    </row>
    <row r="220" spans="1:8" ht="11.1" hidden="1" customHeight="1">
      <c r="A220" s="17" t="s">
        <v>1204</v>
      </c>
      <c r="B220" s="17" t="s">
        <v>1205</v>
      </c>
      <c r="C220" s="17" t="s">
        <v>16</v>
      </c>
      <c r="D220" s="17" t="s">
        <v>17</v>
      </c>
      <c r="E220" s="17">
        <v>8552</v>
      </c>
      <c r="F220" s="17" t="s">
        <v>1206</v>
      </c>
      <c r="G220" s="17" t="s">
        <v>1207</v>
      </c>
      <c r="H220" s="17" t="s">
        <v>3968</v>
      </c>
    </row>
    <row r="221" spans="1:8" ht="11.1" hidden="1" customHeight="1">
      <c r="A221" s="17" t="s">
        <v>3391</v>
      </c>
      <c r="B221" s="17" t="s">
        <v>3392</v>
      </c>
      <c r="C221" s="17" t="s">
        <v>2542</v>
      </c>
      <c r="D221" s="17" t="s">
        <v>832</v>
      </c>
      <c r="E221" s="17">
        <v>7167</v>
      </c>
      <c r="F221" s="17" t="s">
        <v>3393</v>
      </c>
      <c r="G221" s="17" t="s">
        <v>3394</v>
      </c>
      <c r="H221" s="17" t="s">
        <v>4059</v>
      </c>
    </row>
    <row r="222" spans="1:8" ht="11.1" hidden="1" customHeight="1">
      <c r="A222" s="17" t="s">
        <v>1212</v>
      </c>
      <c r="B222" s="17" t="s">
        <v>1213</v>
      </c>
      <c r="C222" s="17" t="s">
        <v>1214</v>
      </c>
      <c r="D222" s="17" t="s">
        <v>232</v>
      </c>
      <c r="E222" s="17">
        <v>9893</v>
      </c>
      <c r="F222" s="17" t="s">
        <v>1215</v>
      </c>
      <c r="G222" s="17" t="s">
        <v>1216</v>
      </c>
      <c r="H222" s="17" t="s">
        <v>3970</v>
      </c>
    </row>
    <row r="223" spans="1:8" ht="11.1" hidden="1" customHeight="1">
      <c r="A223" s="17" t="s">
        <v>3395</v>
      </c>
      <c r="B223" s="17" t="s">
        <v>3396</v>
      </c>
      <c r="C223" s="17" t="s">
        <v>3397</v>
      </c>
      <c r="D223" s="17" t="s">
        <v>412</v>
      </c>
      <c r="E223" s="17">
        <v>9894</v>
      </c>
      <c r="F223" s="17" t="s">
        <v>3398</v>
      </c>
      <c r="G223" s="17" t="s">
        <v>3399</v>
      </c>
      <c r="H223" s="17" t="s">
        <v>4043</v>
      </c>
    </row>
    <row r="224" spans="1:8" ht="11.1" hidden="1" customHeight="1">
      <c r="A224" s="17" t="s">
        <v>3896</v>
      </c>
      <c r="B224" s="17" t="s">
        <v>3897</v>
      </c>
      <c r="C224" s="17" t="s">
        <v>2418</v>
      </c>
      <c r="D224" s="17" t="s">
        <v>3802</v>
      </c>
      <c r="E224" s="17">
        <v>8444</v>
      </c>
      <c r="F224" s="17" t="s">
        <v>3898</v>
      </c>
      <c r="G224" s="17" t="s">
        <v>3899</v>
      </c>
      <c r="H224" s="17" t="s">
        <v>4060</v>
      </c>
    </row>
    <row r="225" spans="1:8" ht="11.1" hidden="1" customHeight="1">
      <c r="A225" s="17" t="s">
        <v>2550</v>
      </c>
      <c r="B225" s="17" t="s">
        <v>2551</v>
      </c>
      <c r="C225" s="17" t="s">
        <v>2552</v>
      </c>
      <c r="D225" s="17" t="s">
        <v>645</v>
      </c>
      <c r="E225" s="17">
        <v>9258</v>
      </c>
      <c r="F225" s="17" t="s">
        <v>2553</v>
      </c>
      <c r="G225" s="17" t="s">
        <v>2554</v>
      </c>
      <c r="H225" s="17" t="s">
        <v>4050</v>
      </c>
    </row>
    <row r="226" spans="1:8" ht="11.1" hidden="1" customHeight="1">
      <c r="A226" s="17" t="s">
        <v>2555</v>
      </c>
      <c r="B226" s="17" t="s">
        <v>2556</v>
      </c>
      <c r="C226" s="17" t="s">
        <v>2301</v>
      </c>
      <c r="D226" s="17" t="s">
        <v>968</v>
      </c>
      <c r="E226" s="17">
        <v>10005</v>
      </c>
      <c r="F226" s="17" t="s">
        <v>733</v>
      </c>
      <c r="G226" s="17" t="s">
        <v>734</v>
      </c>
      <c r="H226" s="17" t="s">
        <v>3971</v>
      </c>
    </row>
    <row r="227" spans="1:8" ht="11.1" hidden="1" customHeight="1">
      <c r="A227" s="17" t="s">
        <v>3428</v>
      </c>
      <c r="B227" s="17" t="s">
        <v>3429</v>
      </c>
      <c r="C227" s="17" t="s">
        <v>3430</v>
      </c>
      <c r="D227" s="17" t="s">
        <v>716</v>
      </c>
      <c r="E227" s="17">
        <v>10237</v>
      </c>
      <c r="F227" s="17" t="s">
        <v>3431</v>
      </c>
      <c r="G227" s="17" t="s">
        <v>3432</v>
      </c>
      <c r="H227" s="17" t="s">
        <v>3954</v>
      </c>
    </row>
    <row r="228" spans="1:8" ht="11.1" hidden="1" customHeight="1">
      <c r="A228" s="17" t="s">
        <v>2959</v>
      </c>
      <c r="B228" s="17" t="s">
        <v>1557</v>
      </c>
      <c r="C228" s="17" t="s">
        <v>677</v>
      </c>
      <c r="D228" s="17" t="s">
        <v>678</v>
      </c>
      <c r="E228" s="17">
        <v>10269</v>
      </c>
      <c r="F228" s="17" t="s">
        <v>1558</v>
      </c>
      <c r="G228" s="17" t="s">
        <v>2559</v>
      </c>
      <c r="H228" s="17" t="s">
        <v>3937</v>
      </c>
    </row>
    <row r="229" spans="1:8" ht="11.1" hidden="1" customHeight="1">
      <c r="A229" s="17" t="s">
        <v>1265</v>
      </c>
      <c r="B229" s="17" t="s">
        <v>1266</v>
      </c>
      <c r="C229" s="17" t="s">
        <v>1267</v>
      </c>
      <c r="D229" s="17" t="s">
        <v>832</v>
      </c>
      <c r="E229" s="17">
        <v>10036</v>
      </c>
      <c r="F229" s="17" t="s">
        <v>1269</v>
      </c>
      <c r="G229" s="17" t="s">
        <v>1717</v>
      </c>
      <c r="H229" s="17" t="s">
        <v>4026</v>
      </c>
    </row>
    <row r="230" spans="1:8" ht="11.1" hidden="1" customHeight="1">
      <c r="A230" s="17" t="s">
        <v>2964</v>
      </c>
      <c r="B230" s="17" t="s">
        <v>2965</v>
      </c>
      <c r="C230" s="17" t="s">
        <v>2733</v>
      </c>
      <c r="D230" s="17" t="s">
        <v>191</v>
      </c>
      <c r="E230" s="17">
        <v>10247</v>
      </c>
      <c r="F230" s="17" t="s">
        <v>2966</v>
      </c>
      <c r="G230" s="17" t="s">
        <v>2967</v>
      </c>
      <c r="H230" s="17" t="s">
        <v>4038</v>
      </c>
    </row>
    <row r="231" spans="1:8" ht="11.1" hidden="1" customHeight="1">
      <c r="A231" s="17" t="s">
        <v>2565</v>
      </c>
      <c r="B231" s="17" t="s">
        <v>2566</v>
      </c>
      <c r="C231" s="17" t="s">
        <v>1409</v>
      </c>
      <c r="D231" s="17" t="s">
        <v>1410</v>
      </c>
      <c r="E231" s="17">
        <v>8573</v>
      </c>
      <c r="F231" s="17" t="s">
        <v>2567</v>
      </c>
      <c r="G231" s="17" t="s">
        <v>2568</v>
      </c>
      <c r="H231" s="17" t="s">
        <v>3948</v>
      </c>
    </row>
    <row r="232" spans="1:8" ht="11.1" hidden="1" customHeight="1">
      <c r="A232" s="17" t="s">
        <v>3904</v>
      </c>
      <c r="B232" s="17" t="s">
        <v>3905</v>
      </c>
      <c r="C232" s="17" t="s">
        <v>878</v>
      </c>
      <c r="D232" s="17" t="s">
        <v>332</v>
      </c>
      <c r="E232" s="17">
        <v>9184</v>
      </c>
      <c r="F232" s="17" t="s">
        <v>3906</v>
      </c>
      <c r="G232" s="17" t="s">
        <v>3907</v>
      </c>
      <c r="H232" s="17" t="s">
        <v>4061</v>
      </c>
    </row>
    <row r="233" spans="1:8" ht="11.1" hidden="1" customHeight="1">
      <c r="A233" s="17" t="s">
        <v>2084</v>
      </c>
      <c r="B233" s="17" t="s">
        <v>2085</v>
      </c>
      <c r="C233" s="17" t="s">
        <v>1348</v>
      </c>
      <c r="D233" s="17" t="s">
        <v>1349</v>
      </c>
      <c r="E233" s="17">
        <v>10234</v>
      </c>
      <c r="F233" s="17" t="s">
        <v>2086</v>
      </c>
      <c r="G233" s="17" t="s">
        <v>2087</v>
      </c>
      <c r="H233" s="17" t="s">
        <v>4014</v>
      </c>
    </row>
    <row r="234" spans="1:8" ht="11.1" hidden="1" customHeight="1">
      <c r="A234" s="17" t="s">
        <v>2092</v>
      </c>
      <c r="B234" s="17" t="s">
        <v>2093</v>
      </c>
      <c r="C234" s="17" t="s">
        <v>1813</v>
      </c>
      <c r="D234" s="17" t="s">
        <v>1814</v>
      </c>
      <c r="E234" s="17">
        <v>9992</v>
      </c>
      <c r="F234" s="17" t="s">
        <v>2094</v>
      </c>
      <c r="G234" s="17" t="s">
        <v>2095</v>
      </c>
      <c r="H234" s="17" t="s">
        <v>4053</v>
      </c>
    </row>
    <row r="235" spans="1:8" ht="11.1" hidden="1" customHeight="1">
      <c r="A235" s="17" t="s">
        <v>3010</v>
      </c>
      <c r="B235" s="17" t="s">
        <v>3011</v>
      </c>
      <c r="C235" s="17" t="s">
        <v>1089</v>
      </c>
      <c r="D235" s="17" t="s">
        <v>1090</v>
      </c>
      <c r="E235" s="17">
        <v>8572</v>
      </c>
      <c r="F235" s="17" t="s">
        <v>3012</v>
      </c>
      <c r="G235" s="17" t="s">
        <v>3013</v>
      </c>
      <c r="H235" s="17" t="s">
        <v>3974</v>
      </c>
    </row>
    <row r="236" spans="1:8" ht="11.1" hidden="1" customHeight="1">
      <c r="A236" s="17" t="s">
        <v>1275</v>
      </c>
      <c r="B236" s="17" t="s">
        <v>1276</v>
      </c>
      <c r="C236" s="17" t="s">
        <v>684</v>
      </c>
      <c r="D236" s="17" t="s">
        <v>685</v>
      </c>
      <c r="E236" s="17">
        <v>7246</v>
      </c>
      <c r="F236" s="17" t="s">
        <v>1277</v>
      </c>
      <c r="G236" s="17" t="s">
        <v>1278</v>
      </c>
      <c r="H236" s="17" t="s">
        <v>4062</v>
      </c>
    </row>
    <row r="237" spans="1:8" ht="11.1" hidden="1" customHeight="1">
      <c r="A237" s="17" t="s">
        <v>1279</v>
      </c>
      <c r="B237" s="17" t="s">
        <v>1280</v>
      </c>
      <c r="C237" s="17" t="s">
        <v>495</v>
      </c>
      <c r="D237" s="17" t="s">
        <v>184</v>
      </c>
      <c r="E237" s="17">
        <v>10241</v>
      </c>
      <c r="F237" s="17" t="s">
        <v>1281</v>
      </c>
      <c r="G237" s="17" t="s">
        <v>1282</v>
      </c>
      <c r="H237" s="17" t="s">
        <v>4008</v>
      </c>
    </row>
    <row r="238" spans="1:8" ht="11.1" hidden="1" customHeight="1">
      <c r="A238" s="17" t="s">
        <v>1471</v>
      </c>
      <c r="B238" s="17" t="s">
        <v>1472</v>
      </c>
      <c r="C238" s="17" t="s">
        <v>650</v>
      </c>
      <c r="D238" s="17" t="s">
        <v>651</v>
      </c>
      <c r="E238" s="17">
        <v>8697</v>
      </c>
      <c r="F238" s="17" t="s">
        <v>1473</v>
      </c>
      <c r="G238" s="17" t="s">
        <v>1737</v>
      </c>
      <c r="H238" s="17" t="s">
        <v>4063</v>
      </c>
    </row>
    <row r="239" spans="1:8" ht="11.1" customHeight="1">
      <c r="A239" s="17" t="s">
        <v>3030</v>
      </c>
      <c r="B239" s="17" t="s">
        <v>3031</v>
      </c>
      <c r="C239" s="17" t="s">
        <v>665</v>
      </c>
      <c r="D239" s="17" t="s">
        <v>666</v>
      </c>
      <c r="E239" s="17">
        <v>10467</v>
      </c>
      <c r="F239" s="17" t="s">
        <v>3032</v>
      </c>
      <c r="G239" s="17" t="s">
        <v>3033</v>
      </c>
      <c r="H239" s="17" t="s">
        <v>4064</v>
      </c>
    </row>
    <row r="240" spans="1:8" ht="11.1" hidden="1" customHeight="1">
      <c r="A240" s="17" t="s">
        <v>3497</v>
      </c>
      <c r="B240" s="17" t="s">
        <v>3498</v>
      </c>
      <c r="C240" s="17" t="s">
        <v>1199</v>
      </c>
      <c r="D240" s="17" t="s">
        <v>1200</v>
      </c>
      <c r="E240" s="17">
        <v>10291</v>
      </c>
      <c r="F240" s="17" t="s">
        <v>3499</v>
      </c>
      <c r="G240" s="17" t="s">
        <v>3500</v>
      </c>
      <c r="H240" s="17" t="s">
        <v>4058</v>
      </c>
    </row>
    <row r="241" spans="1:8" ht="11.1" hidden="1" customHeight="1">
      <c r="A241" s="17" t="s">
        <v>1746</v>
      </c>
      <c r="B241" s="17" t="s">
        <v>1747</v>
      </c>
      <c r="C241" s="17" t="s">
        <v>1285</v>
      </c>
      <c r="D241" s="17" t="s">
        <v>1286</v>
      </c>
      <c r="E241" s="17">
        <v>8249</v>
      </c>
      <c r="F241" s="17" t="s">
        <v>1748</v>
      </c>
      <c r="G241" s="17" t="s">
        <v>1749</v>
      </c>
      <c r="H241" s="17" t="s">
        <v>4029</v>
      </c>
    </row>
    <row r="242" spans="1:8" ht="11.1" hidden="1" customHeight="1">
      <c r="A242" s="17" t="s">
        <v>42</v>
      </c>
      <c r="B242" s="17" t="s">
        <v>43</v>
      </c>
      <c r="C242" s="17" t="s">
        <v>44</v>
      </c>
      <c r="D242" s="17" t="s">
        <v>45</v>
      </c>
      <c r="E242" s="17">
        <v>10245</v>
      </c>
      <c r="F242" s="17" t="s">
        <v>47</v>
      </c>
      <c r="G242" s="17" t="s">
        <v>48</v>
      </c>
      <c r="H242" s="17" t="s">
        <v>4015</v>
      </c>
    </row>
    <row r="243" spans="1:8" ht="11.1" hidden="1" customHeight="1">
      <c r="A243" s="17" t="s">
        <v>2143</v>
      </c>
      <c r="B243" s="17" t="s">
        <v>2144</v>
      </c>
      <c r="C243" s="17" t="s">
        <v>2145</v>
      </c>
      <c r="D243" s="17" t="s">
        <v>2146</v>
      </c>
      <c r="E243" s="17">
        <v>8436</v>
      </c>
      <c r="F243" s="17" t="s">
        <v>2148</v>
      </c>
      <c r="G243" s="17" t="s">
        <v>2149</v>
      </c>
      <c r="H243" s="17" t="s">
        <v>3935</v>
      </c>
    </row>
    <row r="244" spans="1:8" ht="11.1" hidden="1" customHeight="1">
      <c r="A244" s="17" t="s">
        <v>56</v>
      </c>
      <c r="B244" s="17" t="s">
        <v>57</v>
      </c>
      <c r="C244" s="17" t="s">
        <v>58</v>
      </c>
      <c r="D244" s="17" t="s">
        <v>59</v>
      </c>
      <c r="E244" s="17">
        <v>10268</v>
      </c>
      <c r="F244" s="17" t="s">
        <v>61</v>
      </c>
      <c r="G244" s="17" t="s">
        <v>62</v>
      </c>
      <c r="H244" s="17" t="s">
        <v>4009</v>
      </c>
    </row>
    <row r="245" spans="1:8" ht="11.1" hidden="1" customHeight="1">
      <c r="A245" s="17" t="s">
        <v>2178</v>
      </c>
      <c r="B245" s="17" t="s">
        <v>2179</v>
      </c>
      <c r="C245" s="17" t="s">
        <v>2180</v>
      </c>
      <c r="D245" s="17" t="s">
        <v>2181</v>
      </c>
      <c r="E245" s="17">
        <v>8443</v>
      </c>
      <c r="F245" s="17" t="s">
        <v>2183</v>
      </c>
      <c r="G245" s="17" t="s">
        <v>2184</v>
      </c>
      <c r="H245" s="17" t="s">
        <v>4004</v>
      </c>
    </row>
    <row r="246" spans="1:8" ht="11.1" hidden="1" customHeight="1">
      <c r="A246" s="17" t="s">
        <v>3589</v>
      </c>
      <c r="B246" s="17" t="s">
        <v>3590</v>
      </c>
      <c r="C246" s="17" t="s">
        <v>352</v>
      </c>
      <c r="D246" s="17" t="s">
        <v>211</v>
      </c>
      <c r="E246" s="17">
        <v>8059</v>
      </c>
      <c r="F246" s="17" t="s">
        <v>3591</v>
      </c>
      <c r="G246" s="17" t="s">
        <v>3592</v>
      </c>
      <c r="H246" s="17" t="s">
        <v>3975</v>
      </c>
    </row>
    <row r="247" spans="1:8" ht="11.1" hidden="1" customHeight="1">
      <c r="A247" s="17" t="s">
        <v>709</v>
      </c>
      <c r="B247" s="17" t="s">
        <v>710</v>
      </c>
      <c r="C247" s="17" t="s">
        <v>338</v>
      </c>
      <c r="D247" s="17" t="s">
        <v>339</v>
      </c>
      <c r="E247" s="17">
        <v>10470</v>
      </c>
      <c r="F247" s="17" t="s">
        <v>711</v>
      </c>
      <c r="G247" s="17" t="s">
        <v>712</v>
      </c>
      <c r="H247" s="17" t="s">
        <v>4065</v>
      </c>
    </row>
    <row r="248" spans="1:8" ht="11.1" hidden="1" customHeight="1">
      <c r="A248" s="17" t="s">
        <v>1801</v>
      </c>
      <c r="B248" s="17" t="s">
        <v>1802</v>
      </c>
      <c r="C248" s="17" t="s">
        <v>1803</v>
      </c>
      <c r="D248" s="17" t="s">
        <v>1428</v>
      </c>
      <c r="E248" s="17">
        <v>10098</v>
      </c>
      <c r="F248" s="17" t="s">
        <v>1804</v>
      </c>
      <c r="G248" s="17" t="s">
        <v>1805</v>
      </c>
      <c r="H248" s="17" t="s">
        <v>4037</v>
      </c>
    </row>
    <row r="249" spans="1:8" ht="11.1" hidden="1" customHeight="1">
      <c r="A249" s="17" t="s">
        <v>713</v>
      </c>
      <c r="B249" s="17" t="s">
        <v>714</v>
      </c>
      <c r="C249" s="17" t="s">
        <v>715</v>
      </c>
      <c r="D249" s="17" t="s">
        <v>716</v>
      </c>
      <c r="E249" s="17">
        <v>10237</v>
      </c>
      <c r="F249" s="17" t="s">
        <v>718</v>
      </c>
      <c r="G249" s="17" t="s">
        <v>719</v>
      </c>
      <c r="H249" s="17" t="s">
        <v>3954</v>
      </c>
    </row>
    <row r="250" spans="1:8" ht="11.1" hidden="1" customHeight="1">
      <c r="A250" s="17" t="s">
        <v>119</v>
      </c>
      <c r="B250" s="17" t="s">
        <v>120</v>
      </c>
      <c r="C250" s="17" t="s">
        <v>121</v>
      </c>
      <c r="D250" s="17" t="s">
        <v>122</v>
      </c>
      <c r="E250" s="17">
        <v>8063</v>
      </c>
      <c r="F250" s="17" t="s">
        <v>124</v>
      </c>
      <c r="G250" s="17" t="s">
        <v>125</v>
      </c>
      <c r="H250" s="17" t="s">
        <v>3952</v>
      </c>
    </row>
    <row r="251" spans="1:8" ht="11.1" hidden="1" customHeight="1">
      <c r="A251" s="17" t="s">
        <v>2215</v>
      </c>
      <c r="B251" s="17" t="s">
        <v>2216</v>
      </c>
      <c r="C251" s="17" t="s">
        <v>2217</v>
      </c>
      <c r="D251" s="17" t="s">
        <v>2218</v>
      </c>
      <c r="E251" s="17">
        <v>7920</v>
      </c>
      <c r="F251" s="17" t="s">
        <v>2220</v>
      </c>
      <c r="G251" s="17" t="s">
        <v>2221</v>
      </c>
      <c r="H251" s="17" t="s">
        <v>4066</v>
      </c>
    </row>
    <row r="252" spans="1:8" ht="11.1" hidden="1" customHeight="1">
      <c r="A252" s="17" t="s">
        <v>2678</v>
      </c>
      <c r="B252" s="17" t="s">
        <v>2679</v>
      </c>
      <c r="C252" s="17" t="s">
        <v>928</v>
      </c>
      <c r="D252" s="17" t="s">
        <v>929</v>
      </c>
      <c r="E252" s="17">
        <v>7210</v>
      </c>
      <c r="F252" s="17" t="s">
        <v>2680</v>
      </c>
      <c r="G252" s="17" t="s">
        <v>2681</v>
      </c>
      <c r="H252" s="17" t="s">
        <v>4067</v>
      </c>
    </row>
    <row r="253" spans="1:8" ht="11.1" hidden="1" customHeight="1">
      <c r="A253" s="17" t="s">
        <v>42</v>
      </c>
      <c r="B253" s="17" t="s">
        <v>43</v>
      </c>
      <c r="C253" s="17" t="s">
        <v>44</v>
      </c>
      <c r="D253" s="17" t="s">
        <v>45</v>
      </c>
      <c r="E253" s="17">
        <v>10245</v>
      </c>
      <c r="F253" s="17" t="s">
        <v>47</v>
      </c>
      <c r="G253" s="17" t="s">
        <v>166</v>
      </c>
      <c r="H253" s="17" t="s">
        <v>4015</v>
      </c>
    </row>
    <row r="254" spans="1:8" ht="11.1" hidden="1" customHeight="1">
      <c r="A254" s="17" t="s">
        <v>1826</v>
      </c>
      <c r="B254" s="17" t="s">
        <v>1827</v>
      </c>
      <c r="C254" s="17" t="s">
        <v>1409</v>
      </c>
      <c r="D254" s="17" t="s">
        <v>1410</v>
      </c>
      <c r="E254" s="17">
        <v>8573</v>
      </c>
      <c r="F254" s="17" t="s">
        <v>1828</v>
      </c>
      <c r="G254" s="17" t="s">
        <v>1829</v>
      </c>
      <c r="H254" s="17" t="s">
        <v>3948</v>
      </c>
    </row>
    <row r="255" spans="1:8" ht="11.1" hidden="1" customHeight="1">
      <c r="A255" s="17" t="s">
        <v>844</v>
      </c>
      <c r="B255" s="17" t="s">
        <v>845</v>
      </c>
      <c r="C255" s="17" t="s">
        <v>846</v>
      </c>
      <c r="D255" s="17" t="s">
        <v>847</v>
      </c>
      <c r="E255" s="17">
        <v>9952</v>
      </c>
      <c r="F255" s="17" t="s">
        <v>849</v>
      </c>
      <c r="G255" s="17" t="s">
        <v>1834</v>
      </c>
      <c r="H255" s="17" t="s">
        <v>3966</v>
      </c>
    </row>
    <row r="256" spans="1:8" ht="11.1" hidden="1" customHeight="1">
      <c r="A256" s="17" t="s">
        <v>1418</v>
      </c>
      <c r="B256" s="17" t="s">
        <v>1419</v>
      </c>
      <c r="C256" s="17" t="s">
        <v>1420</v>
      </c>
      <c r="D256" s="17" t="s">
        <v>1421</v>
      </c>
      <c r="E256" s="17">
        <v>10001</v>
      </c>
      <c r="F256" s="17" t="s">
        <v>1423</v>
      </c>
      <c r="G256" s="17" t="s">
        <v>1424</v>
      </c>
      <c r="H256" s="17" t="s">
        <v>4068</v>
      </c>
    </row>
    <row r="257" spans="1:8" ht="11.1" hidden="1" customHeight="1">
      <c r="A257" s="17" t="s">
        <v>2281</v>
      </c>
      <c r="B257" s="17" t="s">
        <v>2282</v>
      </c>
      <c r="C257" s="17" t="s">
        <v>2283</v>
      </c>
      <c r="D257" s="17" t="s">
        <v>2284</v>
      </c>
      <c r="E257" s="17">
        <v>9217</v>
      </c>
      <c r="F257" s="17" t="s">
        <v>2286</v>
      </c>
      <c r="G257" s="17" t="s">
        <v>2287</v>
      </c>
      <c r="H257" s="17" t="s">
        <v>4069</v>
      </c>
    </row>
    <row r="258" spans="1:8" ht="11.1" hidden="1" customHeight="1">
      <c r="A258" s="17" t="s">
        <v>3135</v>
      </c>
      <c r="B258" s="17" t="s">
        <v>3136</v>
      </c>
      <c r="C258" s="17" t="s">
        <v>1096</v>
      </c>
      <c r="D258" s="17" t="s">
        <v>1097</v>
      </c>
      <c r="E258" s="17">
        <v>9629</v>
      </c>
      <c r="F258" s="17" t="s">
        <v>3137</v>
      </c>
      <c r="G258" s="17" t="s">
        <v>3138</v>
      </c>
      <c r="H258" s="17" t="s">
        <v>4011</v>
      </c>
    </row>
    <row r="259" spans="1:8" ht="11.1" hidden="1" customHeight="1">
      <c r="A259" s="17" t="s">
        <v>3626</v>
      </c>
      <c r="B259" s="17" t="s">
        <v>3627</v>
      </c>
      <c r="C259" s="17" t="s">
        <v>577</v>
      </c>
      <c r="D259" s="17" t="s">
        <v>578</v>
      </c>
      <c r="E259" s="17">
        <v>7356</v>
      </c>
      <c r="F259" s="17" t="s">
        <v>3628</v>
      </c>
      <c r="G259" s="17" t="s">
        <v>3629</v>
      </c>
      <c r="H259" s="17" t="s">
        <v>3969</v>
      </c>
    </row>
    <row r="260" spans="1:8" ht="11.1" hidden="1" customHeight="1">
      <c r="A260" s="17" t="s">
        <v>215</v>
      </c>
      <c r="B260" s="17" t="s">
        <v>216</v>
      </c>
      <c r="C260" s="17" t="s">
        <v>217</v>
      </c>
      <c r="D260" s="17" t="s">
        <v>218</v>
      </c>
      <c r="E260" s="17">
        <v>9634</v>
      </c>
      <c r="F260" s="17" t="s">
        <v>220</v>
      </c>
      <c r="G260" s="17" t="s">
        <v>221</v>
      </c>
      <c r="H260" s="17" t="s">
        <v>4003</v>
      </c>
    </row>
    <row r="261" spans="1:8" ht="11.1" hidden="1" customHeight="1">
      <c r="A261" s="17" t="s">
        <v>1866</v>
      </c>
      <c r="B261" s="17" t="s">
        <v>1867</v>
      </c>
      <c r="C261" s="17" t="s">
        <v>338</v>
      </c>
      <c r="D261" s="17" t="s">
        <v>339</v>
      </c>
      <c r="E261" s="17">
        <v>10470</v>
      </c>
      <c r="F261" s="17" t="s">
        <v>1868</v>
      </c>
      <c r="G261" s="17" t="s">
        <v>1869</v>
      </c>
      <c r="H261" s="17" t="s">
        <v>4065</v>
      </c>
    </row>
    <row r="262" spans="1:8" ht="11.1" hidden="1" customHeight="1">
      <c r="A262" s="17" t="s">
        <v>836</v>
      </c>
      <c r="B262" s="17" t="s">
        <v>837</v>
      </c>
      <c r="C262" s="17" t="s">
        <v>566</v>
      </c>
      <c r="D262" s="17" t="s">
        <v>567</v>
      </c>
      <c r="E262" s="17">
        <v>8568</v>
      </c>
      <c r="F262" s="17" t="s">
        <v>838</v>
      </c>
      <c r="G262" s="17" t="s">
        <v>839</v>
      </c>
      <c r="H262" s="17" t="s">
        <v>4070</v>
      </c>
    </row>
    <row r="263" spans="1:8" ht="11.1" hidden="1" customHeight="1">
      <c r="A263" s="17" t="s">
        <v>1878</v>
      </c>
      <c r="B263" s="17" t="s">
        <v>845</v>
      </c>
      <c r="C263" s="17" t="s">
        <v>1705</v>
      </c>
      <c r="D263" s="17" t="s">
        <v>1706</v>
      </c>
      <c r="E263" s="17">
        <v>10459</v>
      </c>
      <c r="F263" s="17" t="s">
        <v>849</v>
      </c>
      <c r="G263" s="17" t="s">
        <v>850</v>
      </c>
      <c r="H263" s="17" t="s">
        <v>3966</v>
      </c>
    </row>
    <row r="264" spans="1:8" ht="11.1" hidden="1" customHeight="1">
      <c r="A264" s="17" t="s">
        <v>254</v>
      </c>
      <c r="B264" s="17" t="s">
        <v>255</v>
      </c>
      <c r="C264" s="17" t="s">
        <v>256</v>
      </c>
      <c r="D264" s="17" t="s">
        <v>80</v>
      </c>
      <c r="E264" s="17">
        <v>9181</v>
      </c>
      <c r="F264" s="17" t="s">
        <v>257</v>
      </c>
      <c r="G264" s="17" t="s">
        <v>258</v>
      </c>
      <c r="H264" s="17" t="s">
        <v>4071</v>
      </c>
    </row>
    <row r="265" spans="1:8" ht="11.1" hidden="1" customHeight="1">
      <c r="A265" s="17" t="s">
        <v>3638</v>
      </c>
      <c r="B265" s="17" t="s">
        <v>3639</v>
      </c>
      <c r="C265" s="17" t="s">
        <v>1547</v>
      </c>
      <c r="D265" s="17" t="s">
        <v>1548</v>
      </c>
      <c r="E265" s="17">
        <v>10091</v>
      </c>
      <c r="F265" s="17" t="s">
        <v>3640</v>
      </c>
      <c r="G265" s="17" t="s">
        <v>3641</v>
      </c>
      <c r="H265" s="17" t="s">
        <v>4072</v>
      </c>
    </row>
    <row r="266" spans="1:8" ht="11.1" hidden="1" customHeight="1">
      <c r="A266" s="17" t="s">
        <v>3642</v>
      </c>
      <c r="B266" s="17" t="s">
        <v>3643</v>
      </c>
      <c r="C266" s="17" t="s">
        <v>272</v>
      </c>
      <c r="D266" s="17" t="s">
        <v>273</v>
      </c>
      <c r="E266" s="17">
        <v>9170</v>
      </c>
      <c r="F266" s="17" t="s">
        <v>3644</v>
      </c>
      <c r="G266" s="17" t="s">
        <v>3645</v>
      </c>
      <c r="H266" s="17" t="s">
        <v>3977</v>
      </c>
    </row>
    <row r="267" spans="1:8" ht="11.1" hidden="1" customHeight="1">
      <c r="A267" s="17" t="s">
        <v>2319</v>
      </c>
      <c r="B267" s="17" t="s">
        <v>2320</v>
      </c>
      <c r="C267" s="17" t="s">
        <v>161</v>
      </c>
      <c r="D267" s="17" t="s">
        <v>162</v>
      </c>
      <c r="E267" s="17">
        <v>9253</v>
      </c>
      <c r="F267" s="17" t="s">
        <v>2321</v>
      </c>
      <c r="G267" s="17" t="s">
        <v>2322</v>
      </c>
      <c r="H267" s="17" t="s">
        <v>3963</v>
      </c>
    </row>
    <row r="268" spans="1:8" ht="11.1" hidden="1" customHeight="1">
      <c r="A268" s="17" t="s">
        <v>3665</v>
      </c>
      <c r="B268" s="17" t="s">
        <v>1880</v>
      </c>
      <c r="C268" s="17" t="s">
        <v>1705</v>
      </c>
      <c r="D268" s="17" t="s">
        <v>1706</v>
      </c>
      <c r="E268" s="17">
        <v>10459</v>
      </c>
      <c r="F268" s="17" t="s">
        <v>1881</v>
      </c>
      <c r="G268" s="17" t="s">
        <v>1882</v>
      </c>
      <c r="H268" s="17" t="s">
        <v>3966</v>
      </c>
    </row>
    <row r="269" spans="1:8" ht="11.1" hidden="1" customHeight="1">
      <c r="A269" s="17" t="s">
        <v>1841</v>
      </c>
      <c r="B269" s="17" t="s">
        <v>1842</v>
      </c>
      <c r="C269" s="17" t="s">
        <v>23</v>
      </c>
      <c r="D269" s="17" t="s">
        <v>24</v>
      </c>
      <c r="E269" s="17">
        <v>10248</v>
      </c>
      <c r="F269" s="17" t="s">
        <v>1843</v>
      </c>
      <c r="G269" s="17" t="s">
        <v>1883</v>
      </c>
      <c r="H269" s="17" t="s">
        <v>4017</v>
      </c>
    </row>
    <row r="270" spans="1:8" ht="11.1" hidden="1" customHeight="1">
      <c r="A270" s="17" t="s">
        <v>2332</v>
      </c>
      <c r="B270" s="17" t="s">
        <v>2333</v>
      </c>
      <c r="C270" s="17" t="s">
        <v>1009</v>
      </c>
      <c r="D270" s="17" t="s">
        <v>1010</v>
      </c>
      <c r="E270" s="17">
        <v>10099</v>
      </c>
      <c r="F270" s="17" t="s">
        <v>2334</v>
      </c>
      <c r="G270" s="17" t="s">
        <v>2335</v>
      </c>
      <c r="H270" s="17" t="s">
        <v>4073</v>
      </c>
    </row>
    <row r="271" spans="1:8" ht="11.1" hidden="1" customHeight="1">
      <c r="A271" s="17" t="s">
        <v>2743</v>
      </c>
      <c r="B271" s="17" t="s">
        <v>2744</v>
      </c>
      <c r="C271" s="17" t="s">
        <v>331</v>
      </c>
      <c r="D271" s="17" t="s">
        <v>332</v>
      </c>
      <c r="E271" s="17">
        <v>9184</v>
      </c>
      <c r="F271" s="17" t="s">
        <v>2745</v>
      </c>
      <c r="G271" s="17" t="s">
        <v>2746</v>
      </c>
      <c r="H271" s="17" t="s">
        <v>4061</v>
      </c>
    </row>
    <row r="272" spans="1:8" ht="11.1" hidden="1" customHeight="1">
      <c r="A272" s="17" t="s">
        <v>2336</v>
      </c>
      <c r="B272" s="17" t="s">
        <v>2337</v>
      </c>
      <c r="C272" s="17" t="s">
        <v>868</v>
      </c>
      <c r="D272" s="17" t="s">
        <v>478</v>
      </c>
      <c r="E272" s="17">
        <v>9833</v>
      </c>
      <c r="F272" s="17" t="s">
        <v>2338</v>
      </c>
      <c r="G272" s="17" t="s">
        <v>2339</v>
      </c>
      <c r="H272" s="17" t="s">
        <v>3976</v>
      </c>
    </row>
    <row r="273" spans="1:8" ht="11.1" hidden="1" customHeight="1">
      <c r="A273" s="17" t="s">
        <v>885</v>
      </c>
      <c r="B273" s="17" t="s">
        <v>886</v>
      </c>
      <c r="C273" s="17" t="s">
        <v>887</v>
      </c>
      <c r="D273" s="17" t="s">
        <v>888</v>
      </c>
      <c r="E273" s="17">
        <v>10002</v>
      </c>
      <c r="F273" s="17" t="s">
        <v>890</v>
      </c>
      <c r="G273" s="17" t="s">
        <v>891</v>
      </c>
      <c r="H273" s="17" t="s">
        <v>4045</v>
      </c>
    </row>
    <row r="274" spans="1:8" ht="11.1" hidden="1" customHeight="1">
      <c r="A274" s="17" t="s">
        <v>259</v>
      </c>
      <c r="B274" s="17" t="s">
        <v>260</v>
      </c>
      <c r="C274" s="17" t="s">
        <v>261</v>
      </c>
      <c r="D274" s="17" t="s">
        <v>262</v>
      </c>
      <c r="E274" s="17">
        <v>9635</v>
      </c>
      <c r="F274" s="17" t="s">
        <v>264</v>
      </c>
      <c r="G274" s="17" t="s">
        <v>283</v>
      </c>
      <c r="H274" s="17" t="s">
        <v>4048</v>
      </c>
    </row>
    <row r="275" spans="1:8" ht="11.1" hidden="1" customHeight="1">
      <c r="A275" s="17" t="s">
        <v>3692</v>
      </c>
      <c r="B275" s="17" t="s">
        <v>3693</v>
      </c>
      <c r="C275" s="17" t="s">
        <v>1620</v>
      </c>
      <c r="D275" s="17" t="s">
        <v>1621</v>
      </c>
      <c r="E275" s="17">
        <v>9680</v>
      </c>
      <c r="F275" s="17" t="s">
        <v>3694</v>
      </c>
      <c r="G275" s="17" t="s">
        <v>3695</v>
      </c>
      <c r="H275" s="17" t="s">
        <v>4074</v>
      </c>
    </row>
    <row r="276" spans="1:8" ht="11.1" hidden="1" customHeight="1">
      <c r="A276" s="17" t="s">
        <v>3665</v>
      </c>
      <c r="B276" s="17" t="s">
        <v>1880</v>
      </c>
      <c r="C276" s="17" t="s">
        <v>1705</v>
      </c>
      <c r="D276" s="17" t="s">
        <v>1706</v>
      </c>
      <c r="E276" s="17">
        <v>10459</v>
      </c>
      <c r="F276" s="17" t="s">
        <v>1881</v>
      </c>
      <c r="G276" s="17" t="s">
        <v>1897</v>
      </c>
      <c r="H276" s="17" t="s">
        <v>3966</v>
      </c>
    </row>
    <row r="277" spans="1:8" ht="11.1" hidden="1" customHeight="1">
      <c r="A277" s="17" t="s">
        <v>2351</v>
      </c>
      <c r="B277" s="17" t="s">
        <v>2352</v>
      </c>
      <c r="C277" s="17" t="s">
        <v>461</v>
      </c>
      <c r="D277" s="17" t="s">
        <v>462</v>
      </c>
      <c r="E277" s="17">
        <v>10006</v>
      </c>
      <c r="F277" s="17" t="s">
        <v>2353</v>
      </c>
      <c r="G277" s="17" t="s">
        <v>2354</v>
      </c>
      <c r="H277" s="17" t="s">
        <v>4075</v>
      </c>
    </row>
    <row r="278" spans="1:8" ht="11.1" hidden="1" customHeight="1">
      <c r="A278" s="17" t="s">
        <v>3181</v>
      </c>
      <c r="B278" s="17" t="s">
        <v>3182</v>
      </c>
      <c r="C278" s="17" t="s">
        <v>1922</v>
      </c>
      <c r="D278" s="17" t="s">
        <v>1923</v>
      </c>
      <c r="E278" s="17">
        <v>8701</v>
      </c>
      <c r="F278" s="17" t="s">
        <v>3183</v>
      </c>
      <c r="G278" s="17" t="s">
        <v>3184</v>
      </c>
      <c r="H278" s="17" t="s">
        <v>3949</v>
      </c>
    </row>
    <row r="279" spans="1:8" ht="11.1" hidden="1" customHeight="1">
      <c r="A279" s="17" t="s">
        <v>3707</v>
      </c>
      <c r="B279" s="17" t="s">
        <v>3708</v>
      </c>
      <c r="C279" s="17" t="s">
        <v>766</v>
      </c>
      <c r="D279" s="17" t="s">
        <v>767</v>
      </c>
      <c r="E279" s="17">
        <v>9951</v>
      </c>
      <c r="F279" s="17" t="s">
        <v>3709</v>
      </c>
      <c r="G279" s="17" t="s">
        <v>3710</v>
      </c>
      <c r="H279" s="17" t="s">
        <v>3967</v>
      </c>
    </row>
    <row r="280" spans="1:8" ht="11.1" hidden="1" customHeight="1">
      <c r="A280" s="17" t="s">
        <v>933</v>
      </c>
      <c r="B280" s="17" t="s">
        <v>934</v>
      </c>
      <c r="C280" s="17" t="s">
        <v>935</v>
      </c>
      <c r="D280" s="17" t="s">
        <v>936</v>
      </c>
      <c r="E280" s="17">
        <v>9185</v>
      </c>
      <c r="F280" s="17" t="s">
        <v>938</v>
      </c>
      <c r="G280" s="17" t="s">
        <v>939</v>
      </c>
      <c r="H280" s="17" t="s">
        <v>4076</v>
      </c>
    </row>
    <row r="281" spans="1:8" ht="11.1" hidden="1" customHeight="1">
      <c r="A281" s="17" t="s">
        <v>947</v>
      </c>
      <c r="B281" s="17" t="s">
        <v>948</v>
      </c>
      <c r="C281" s="17" t="s">
        <v>949</v>
      </c>
      <c r="D281" s="17" t="s">
        <v>950</v>
      </c>
      <c r="E281" s="17">
        <v>10458</v>
      </c>
      <c r="F281" s="17" t="s">
        <v>952</v>
      </c>
      <c r="G281" s="17" t="s">
        <v>953</v>
      </c>
      <c r="H281" s="17" t="s">
        <v>3965</v>
      </c>
    </row>
    <row r="282" spans="1:8" ht="11.1" hidden="1" customHeight="1">
      <c r="A282" s="17" t="s">
        <v>2371</v>
      </c>
      <c r="B282" s="17" t="s">
        <v>2372</v>
      </c>
      <c r="C282" s="17" t="s">
        <v>338</v>
      </c>
      <c r="D282" s="17" t="s">
        <v>339</v>
      </c>
      <c r="E282" s="17">
        <v>10470</v>
      </c>
      <c r="F282" s="17" t="s">
        <v>2373</v>
      </c>
      <c r="G282" s="17" t="s">
        <v>2374</v>
      </c>
      <c r="H282" s="17" t="s">
        <v>4065</v>
      </c>
    </row>
    <row r="283" spans="1:8" ht="11.1" hidden="1" customHeight="1">
      <c r="A283" s="17" t="s">
        <v>1443</v>
      </c>
      <c r="B283" s="17" t="s">
        <v>830</v>
      </c>
      <c r="C283" s="17" t="s">
        <v>831</v>
      </c>
      <c r="D283" s="17" t="s">
        <v>832</v>
      </c>
      <c r="E283" s="17">
        <v>10038</v>
      </c>
      <c r="F283" s="17" t="s">
        <v>834</v>
      </c>
      <c r="G283" s="17" t="s">
        <v>1506</v>
      </c>
      <c r="H283" s="17" t="s">
        <v>3973</v>
      </c>
    </row>
    <row r="284" spans="1:8" ht="11.1" hidden="1" customHeight="1">
      <c r="A284" s="17" t="s">
        <v>3731</v>
      </c>
      <c r="B284" s="17" t="s">
        <v>3732</v>
      </c>
      <c r="C284" s="17" t="s">
        <v>577</v>
      </c>
      <c r="D284" s="17" t="s">
        <v>578</v>
      </c>
      <c r="E284" s="17">
        <v>7356</v>
      </c>
      <c r="F284" s="17" t="s">
        <v>3733</v>
      </c>
      <c r="G284" s="17" t="s">
        <v>3734</v>
      </c>
      <c r="H284" s="17" t="s">
        <v>3969</v>
      </c>
    </row>
    <row r="285" spans="1:8" ht="11.1" hidden="1" customHeight="1">
      <c r="A285" s="17" t="s">
        <v>2782</v>
      </c>
      <c r="B285" s="17" t="s">
        <v>2783</v>
      </c>
      <c r="C285" s="17" t="s">
        <v>2784</v>
      </c>
      <c r="D285" s="17" t="s">
        <v>592</v>
      </c>
      <c r="E285" s="17">
        <v>10086</v>
      </c>
      <c r="F285" s="17" t="s">
        <v>2785</v>
      </c>
      <c r="G285" s="17" t="s">
        <v>2786</v>
      </c>
      <c r="H285" s="17" t="s">
        <v>3998</v>
      </c>
    </row>
    <row r="286" spans="1:8" ht="11.1" customHeight="1">
      <c r="A286" s="17" t="s">
        <v>992</v>
      </c>
      <c r="B286" s="17" t="s">
        <v>993</v>
      </c>
      <c r="C286" s="17" t="s">
        <v>994</v>
      </c>
      <c r="D286" s="17" t="s">
        <v>995</v>
      </c>
      <c r="E286" s="17">
        <v>9734</v>
      </c>
      <c r="F286" s="17" t="s">
        <v>997</v>
      </c>
      <c r="G286" s="17" t="s">
        <v>998</v>
      </c>
      <c r="H286" s="17" t="s">
        <v>4077</v>
      </c>
    </row>
    <row r="287" spans="1:8" ht="11.1" hidden="1" customHeight="1">
      <c r="A287" s="17" t="s">
        <v>3739</v>
      </c>
      <c r="B287" s="17" t="s">
        <v>3740</v>
      </c>
      <c r="C287" s="17" t="s">
        <v>338</v>
      </c>
      <c r="D287" s="17" t="s">
        <v>339</v>
      </c>
      <c r="E287" s="17">
        <v>10470</v>
      </c>
      <c r="F287" s="17" t="s">
        <v>3741</v>
      </c>
      <c r="G287" s="17" t="s">
        <v>3742</v>
      </c>
      <c r="H287" s="17" t="s">
        <v>4065</v>
      </c>
    </row>
    <row r="288" spans="1:8" ht="11.1" hidden="1" customHeight="1">
      <c r="A288" s="17" t="s">
        <v>3214</v>
      </c>
      <c r="B288" s="17" t="s">
        <v>3215</v>
      </c>
      <c r="C288" s="17" t="s">
        <v>1570</v>
      </c>
      <c r="D288" s="17" t="s">
        <v>818</v>
      </c>
      <c r="E288" s="17">
        <v>10105</v>
      </c>
      <c r="F288" s="17" t="s">
        <v>3216</v>
      </c>
      <c r="G288" s="17" t="s">
        <v>3217</v>
      </c>
      <c r="H288" s="17" t="s">
        <v>3972</v>
      </c>
    </row>
    <row r="289" spans="1:8" ht="11.1" hidden="1" customHeight="1">
      <c r="A289" s="17" t="s">
        <v>2400</v>
      </c>
      <c r="B289" s="17" t="s">
        <v>2401</v>
      </c>
      <c r="C289" s="17" t="s">
        <v>1076</v>
      </c>
      <c r="D289" s="17" t="s">
        <v>542</v>
      </c>
      <c r="E289" s="17">
        <v>10000</v>
      </c>
      <c r="F289" s="17" t="s">
        <v>2402</v>
      </c>
      <c r="G289" s="17" t="s">
        <v>2403</v>
      </c>
      <c r="H289" s="17" t="s">
        <v>4016</v>
      </c>
    </row>
    <row r="290" spans="1:8" ht="11.1" hidden="1" customHeight="1">
      <c r="A290" s="17" t="s">
        <v>1007</v>
      </c>
      <c r="B290" s="17" t="s">
        <v>1008</v>
      </c>
      <c r="C290" s="17" t="s">
        <v>1009</v>
      </c>
      <c r="D290" s="17" t="s">
        <v>1010</v>
      </c>
      <c r="E290" s="17">
        <v>10099</v>
      </c>
      <c r="F290" s="17" t="s">
        <v>1012</v>
      </c>
      <c r="G290" s="17" t="s">
        <v>1013</v>
      </c>
      <c r="H290" s="17" t="s">
        <v>4073</v>
      </c>
    </row>
    <row r="291" spans="1:8" ht="11.1" hidden="1" customHeight="1">
      <c r="A291" s="17" t="s">
        <v>1931</v>
      </c>
      <c r="B291" s="17" t="s">
        <v>1932</v>
      </c>
      <c r="C291" s="17" t="s">
        <v>358</v>
      </c>
      <c r="D291" s="17" t="s">
        <v>359</v>
      </c>
      <c r="E291" s="17">
        <v>8695</v>
      </c>
      <c r="F291" s="17" t="s">
        <v>1933</v>
      </c>
      <c r="G291" s="17" t="s">
        <v>1934</v>
      </c>
      <c r="H291" s="17" t="s">
        <v>4025</v>
      </c>
    </row>
    <row r="292" spans="1:8" ht="11.1" hidden="1" customHeight="1">
      <c r="A292" s="17" t="s">
        <v>1028</v>
      </c>
      <c r="B292" s="17" t="s">
        <v>1024</v>
      </c>
      <c r="C292" s="17" t="s">
        <v>1025</v>
      </c>
      <c r="D292" s="17" t="s">
        <v>825</v>
      </c>
      <c r="E292" s="17">
        <v>10238</v>
      </c>
      <c r="F292" s="17" t="s">
        <v>1026</v>
      </c>
      <c r="G292" s="17" t="s">
        <v>1027</v>
      </c>
      <c r="H292" s="17" t="s">
        <v>3995</v>
      </c>
    </row>
    <row r="293" spans="1:8" ht="11.1" hidden="1" customHeight="1">
      <c r="A293" s="17" t="s">
        <v>1944</v>
      </c>
      <c r="B293" s="17" t="s">
        <v>1945</v>
      </c>
      <c r="C293" s="17" t="s">
        <v>217</v>
      </c>
      <c r="D293" s="17" t="s">
        <v>218</v>
      </c>
      <c r="E293" s="17">
        <v>9634</v>
      </c>
      <c r="F293" s="17" t="s">
        <v>1946</v>
      </c>
      <c r="G293" s="17" t="s">
        <v>1947</v>
      </c>
      <c r="H293" s="17" t="s">
        <v>4003</v>
      </c>
    </row>
    <row r="294" spans="1:8" ht="11.1" hidden="1" customHeight="1">
      <c r="A294" s="17" t="s">
        <v>486</v>
      </c>
      <c r="B294" s="17" t="s">
        <v>487</v>
      </c>
      <c r="C294" s="17" t="s">
        <v>488</v>
      </c>
      <c r="D294" s="17" t="s">
        <v>489</v>
      </c>
      <c r="E294" s="17">
        <v>10461</v>
      </c>
      <c r="F294" s="17" t="s">
        <v>491</v>
      </c>
      <c r="G294" s="17" t="s">
        <v>1948</v>
      </c>
      <c r="H294" s="17" t="s">
        <v>3978</v>
      </c>
    </row>
    <row r="295" spans="1:8" ht="11.1" hidden="1" customHeight="1">
      <c r="A295" s="17" t="s">
        <v>1029</v>
      </c>
      <c r="B295" s="17" t="s">
        <v>1030</v>
      </c>
      <c r="C295" s="17" t="s">
        <v>325</v>
      </c>
      <c r="D295" s="17" t="s">
        <v>326</v>
      </c>
      <c r="E295" s="17">
        <v>9634</v>
      </c>
      <c r="F295" s="17" t="s">
        <v>1031</v>
      </c>
      <c r="G295" s="17" t="s">
        <v>1032</v>
      </c>
      <c r="H295" s="17" t="s">
        <v>4003</v>
      </c>
    </row>
    <row r="296" spans="1:8" ht="11.1" hidden="1" customHeight="1">
      <c r="A296" s="17" t="s">
        <v>1560</v>
      </c>
      <c r="B296" s="17" t="s">
        <v>1561</v>
      </c>
      <c r="C296" s="17" t="s">
        <v>488</v>
      </c>
      <c r="D296" s="17" t="s">
        <v>489</v>
      </c>
      <c r="E296" s="17">
        <v>10461</v>
      </c>
      <c r="F296" s="17" t="s">
        <v>1562</v>
      </c>
      <c r="G296" s="17" t="s">
        <v>1563</v>
      </c>
      <c r="H296" s="17" t="s">
        <v>3978</v>
      </c>
    </row>
    <row r="297" spans="1:8" ht="11.1" hidden="1" customHeight="1">
      <c r="A297" s="17" t="s">
        <v>2416</v>
      </c>
      <c r="B297" s="17" t="s">
        <v>2417</v>
      </c>
      <c r="C297" s="17" t="s">
        <v>2418</v>
      </c>
      <c r="D297" s="17" t="s">
        <v>319</v>
      </c>
      <c r="E297" s="17">
        <v>8444</v>
      </c>
      <c r="F297" s="17" t="s">
        <v>2420</v>
      </c>
      <c r="G297" s="17" t="s">
        <v>2421</v>
      </c>
      <c r="H297" s="17" t="s">
        <v>4060</v>
      </c>
    </row>
    <row r="298" spans="1:8" ht="11.1" hidden="1" customHeight="1">
      <c r="A298" s="17" t="s">
        <v>1041</v>
      </c>
      <c r="B298" s="17" t="s">
        <v>1042</v>
      </c>
      <c r="C298" s="17" t="s">
        <v>1043</v>
      </c>
      <c r="D298" s="17" t="s">
        <v>419</v>
      </c>
      <c r="E298" s="17">
        <v>8947</v>
      </c>
      <c r="F298" s="17" t="s">
        <v>1044</v>
      </c>
      <c r="G298" s="17" t="s">
        <v>1045</v>
      </c>
      <c r="H298" s="17" t="s">
        <v>4057</v>
      </c>
    </row>
    <row r="299" spans="1:8" ht="11.1" hidden="1" customHeight="1">
      <c r="A299" s="17" t="s">
        <v>1961</v>
      </c>
      <c r="B299" s="17" t="s">
        <v>1962</v>
      </c>
      <c r="C299" s="17" t="s">
        <v>598</v>
      </c>
      <c r="D299" s="17" t="s">
        <v>599</v>
      </c>
      <c r="E299" s="17">
        <v>8554</v>
      </c>
      <c r="F299" s="17" t="s">
        <v>1963</v>
      </c>
      <c r="G299" s="17" t="s">
        <v>1964</v>
      </c>
      <c r="H299" s="17" t="s">
        <v>4078</v>
      </c>
    </row>
    <row r="300" spans="1:8" ht="11.1" customHeight="1">
      <c r="A300" s="17" t="s">
        <v>1573</v>
      </c>
      <c r="B300" s="17" t="s">
        <v>1574</v>
      </c>
      <c r="C300" s="17" t="s">
        <v>1107</v>
      </c>
      <c r="D300" s="17" t="s">
        <v>1108</v>
      </c>
      <c r="E300" s="17">
        <v>9715</v>
      </c>
      <c r="F300" s="17" t="s">
        <v>1575</v>
      </c>
      <c r="G300" s="17" t="s">
        <v>1576</v>
      </c>
      <c r="H300" s="17" t="s">
        <v>4006</v>
      </c>
    </row>
    <row r="301" spans="1:8" ht="11.1" hidden="1" customHeight="1">
      <c r="A301" s="17" t="s">
        <v>2442</v>
      </c>
      <c r="B301" s="17" t="s">
        <v>2443</v>
      </c>
      <c r="C301" s="17" t="s">
        <v>311</v>
      </c>
      <c r="D301" s="17" t="s">
        <v>312</v>
      </c>
      <c r="E301" s="17">
        <v>10003</v>
      </c>
      <c r="F301" s="17" t="s">
        <v>3265</v>
      </c>
      <c r="G301" s="17" t="s">
        <v>3266</v>
      </c>
      <c r="H301" s="17" t="s">
        <v>3957</v>
      </c>
    </row>
    <row r="302" spans="1:8" ht="11.1" hidden="1" customHeight="1">
      <c r="A302" s="17" t="s">
        <v>2830</v>
      </c>
      <c r="B302" s="17" t="s">
        <v>2831</v>
      </c>
      <c r="C302" s="17" t="s">
        <v>1781</v>
      </c>
      <c r="D302" s="17" t="s">
        <v>1782</v>
      </c>
      <c r="E302" s="17">
        <v>10293</v>
      </c>
      <c r="F302" s="17" t="s">
        <v>2832</v>
      </c>
      <c r="G302" s="17" t="s">
        <v>2833</v>
      </c>
      <c r="H302" s="17" t="s">
        <v>4018</v>
      </c>
    </row>
    <row r="303" spans="1:8" ht="11.1" hidden="1" customHeight="1">
      <c r="A303" s="17" t="s">
        <v>3279</v>
      </c>
      <c r="B303" s="17" t="s">
        <v>3280</v>
      </c>
      <c r="C303" s="17" t="s">
        <v>2357</v>
      </c>
      <c r="D303" s="17" t="s">
        <v>1236</v>
      </c>
      <c r="E303" s="17">
        <v>10104</v>
      </c>
      <c r="F303" s="17" t="s">
        <v>3281</v>
      </c>
      <c r="G303" s="17" t="s">
        <v>3282</v>
      </c>
      <c r="H303" s="17" t="s">
        <v>4079</v>
      </c>
    </row>
    <row r="304" spans="1:8" ht="11.1" hidden="1" customHeight="1">
      <c r="A304" s="17" t="s">
        <v>1585</v>
      </c>
      <c r="B304" s="17" t="s">
        <v>1586</v>
      </c>
      <c r="C304" s="17" t="s">
        <v>147</v>
      </c>
      <c r="D304" s="17" t="s">
        <v>148</v>
      </c>
      <c r="E304" s="17">
        <v>9749</v>
      </c>
      <c r="F304" s="17" t="s">
        <v>1587</v>
      </c>
      <c r="G304" s="17" t="s">
        <v>1588</v>
      </c>
      <c r="H304" s="17" t="s">
        <v>4080</v>
      </c>
    </row>
    <row r="305" spans="1:8" ht="11.1" hidden="1" customHeight="1">
      <c r="A305" s="17" t="s">
        <v>3283</v>
      </c>
      <c r="B305" s="17" t="s">
        <v>3284</v>
      </c>
      <c r="C305" s="17" t="s">
        <v>238</v>
      </c>
      <c r="D305" s="17" t="s">
        <v>239</v>
      </c>
      <c r="E305" s="17">
        <v>9843</v>
      </c>
      <c r="F305" s="17" t="s">
        <v>3285</v>
      </c>
      <c r="G305" s="17" t="s">
        <v>3286</v>
      </c>
      <c r="H305" s="17" t="s">
        <v>4081</v>
      </c>
    </row>
    <row r="306" spans="1:8" ht="11.1" hidden="1" customHeight="1">
      <c r="A306" s="17" t="s">
        <v>1597</v>
      </c>
      <c r="B306" s="17" t="s">
        <v>1598</v>
      </c>
      <c r="C306" s="17" t="s">
        <v>352</v>
      </c>
      <c r="D306" s="17" t="s">
        <v>211</v>
      </c>
      <c r="E306" s="17">
        <v>8059</v>
      </c>
      <c r="F306" s="17" t="s">
        <v>1599</v>
      </c>
      <c r="G306" s="17" t="s">
        <v>1600</v>
      </c>
      <c r="H306" s="17" t="s">
        <v>3975</v>
      </c>
    </row>
    <row r="307" spans="1:8" ht="11.1" hidden="1" customHeight="1">
      <c r="A307" s="17" t="s">
        <v>1057</v>
      </c>
      <c r="B307" s="17" t="s">
        <v>1058</v>
      </c>
      <c r="C307" s="17" t="s">
        <v>766</v>
      </c>
      <c r="D307" s="17" t="s">
        <v>767</v>
      </c>
      <c r="E307" s="17">
        <v>9951</v>
      </c>
      <c r="F307" s="17" t="s">
        <v>1059</v>
      </c>
      <c r="G307" s="17" t="s">
        <v>1060</v>
      </c>
      <c r="H307" s="17" t="s">
        <v>3967</v>
      </c>
    </row>
    <row r="308" spans="1:8" ht="11.1" hidden="1" customHeight="1">
      <c r="A308" s="17" t="s">
        <v>3805</v>
      </c>
      <c r="B308" s="17" t="s">
        <v>3806</v>
      </c>
      <c r="C308" s="17" t="s">
        <v>3807</v>
      </c>
      <c r="D308" s="17" t="s">
        <v>832</v>
      </c>
      <c r="E308" s="17">
        <v>7058</v>
      </c>
      <c r="F308" s="17" t="s">
        <v>3809</v>
      </c>
      <c r="G308" s="17" t="s">
        <v>3810</v>
      </c>
      <c r="H308" s="17" t="s">
        <v>4082</v>
      </c>
    </row>
    <row r="309" spans="1:8" ht="11.1" hidden="1" customHeight="1">
      <c r="A309" s="17" t="s">
        <v>2446</v>
      </c>
      <c r="B309" s="17" t="s">
        <v>2447</v>
      </c>
      <c r="C309" s="17" t="s">
        <v>1096</v>
      </c>
      <c r="D309" s="17" t="s">
        <v>1097</v>
      </c>
      <c r="E309" s="17">
        <v>9629</v>
      </c>
      <c r="F309" s="17" t="s">
        <v>2448</v>
      </c>
      <c r="G309" s="17" t="s">
        <v>2449</v>
      </c>
      <c r="H309" s="17" t="s">
        <v>4011</v>
      </c>
    </row>
    <row r="310" spans="1:8" ht="11.1" hidden="1" customHeight="1">
      <c r="A310" s="17" t="s">
        <v>3823</v>
      </c>
      <c r="B310" s="17" t="s">
        <v>3824</v>
      </c>
      <c r="C310" s="17" t="s">
        <v>358</v>
      </c>
      <c r="D310" s="17" t="s">
        <v>359</v>
      </c>
      <c r="E310" s="17">
        <v>8695</v>
      </c>
      <c r="F310" s="17" t="s">
        <v>3825</v>
      </c>
      <c r="G310" s="17" t="s">
        <v>3826</v>
      </c>
      <c r="H310" s="17" t="s">
        <v>4025</v>
      </c>
    </row>
    <row r="311" spans="1:8" ht="11.1" hidden="1" customHeight="1">
      <c r="A311" s="17" t="s">
        <v>1079</v>
      </c>
      <c r="B311" s="17" t="s">
        <v>1080</v>
      </c>
      <c r="C311" s="17" t="s">
        <v>696</v>
      </c>
      <c r="D311" s="17" t="s">
        <v>697</v>
      </c>
      <c r="E311" s="17">
        <v>9886</v>
      </c>
      <c r="F311" s="17" t="s">
        <v>1081</v>
      </c>
      <c r="G311" s="17" t="s">
        <v>1082</v>
      </c>
      <c r="H311" s="17" t="s">
        <v>4083</v>
      </c>
    </row>
    <row r="312" spans="1:8" ht="11.1" hidden="1" customHeight="1">
      <c r="A312" s="17" t="s">
        <v>482</v>
      </c>
      <c r="B312" s="17" t="s">
        <v>483</v>
      </c>
      <c r="C312" s="17" t="s">
        <v>210</v>
      </c>
      <c r="D312" s="17" t="s">
        <v>211</v>
      </c>
      <c r="E312" s="17">
        <v>8060</v>
      </c>
      <c r="F312" s="17" t="s">
        <v>484</v>
      </c>
      <c r="G312" s="17" t="s">
        <v>485</v>
      </c>
      <c r="H312" s="17" t="s">
        <v>3994</v>
      </c>
    </row>
    <row r="313" spans="1:8" ht="11.1" hidden="1" customHeight="1">
      <c r="A313" s="17" t="s">
        <v>2003</v>
      </c>
      <c r="B313" s="17" t="s">
        <v>2004</v>
      </c>
      <c r="C313" s="17" t="s">
        <v>949</v>
      </c>
      <c r="D313" s="17" t="s">
        <v>1242</v>
      </c>
      <c r="E313" s="17">
        <v>10458</v>
      </c>
      <c r="F313" s="17" t="s">
        <v>2005</v>
      </c>
      <c r="G313" s="17" t="s">
        <v>2006</v>
      </c>
      <c r="H313" s="17" t="s">
        <v>3965</v>
      </c>
    </row>
    <row r="314" spans="1:8" ht="11.1" hidden="1" customHeight="1">
      <c r="A314" s="17" t="s">
        <v>2007</v>
      </c>
      <c r="B314" s="17" t="s">
        <v>2008</v>
      </c>
      <c r="C314" s="17" t="s">
        <v>1199</v>
      </c>
      <c r="D314" s="17" t="s">
        <v>1200</v>
      </c>
      <c r="E314" s="17">
        <v>10291</v>
      </c>
      <c r="F314" s="17" t="s">
        <v>2009</v>
      </c>
      <c r="G314" s="17" t="s">
        <v>2010</v>
      </c>
      <c r="H314" s="17" t="s">
        <v>4058</v>
      </c>
    </row>
    <row r="315" spans="1:8" ht="11.1" hidden="1" customHeight="1">
      <c r="A315" s="17" t="s">
        <v>2074</v>
      </c>
      <c r="B315" s="17" t="s">
        <v>1172</v>
      </c>
      <c r="C315" s="17" t="s">
        <v>715</v>
      </c>
      <c r="D315" s="17" t="s">
        <v>716</v>
      </c>
      <c r="E315" s="17">
        <v>10237</v>
      </c>
      <c r="F315" s="17" t="s">
        <v>1173</v>
      </c>
      <c r="G315" s="17" t="s">
        <v>1617</v>
      </c>
      <c r="H315" s="17" t="s">
        <v>3954</v>
      </c>
    </row>
    <row r="316" spans="1:8" ht="11.1" hidden="1" customHeight="1">
      <c r="A316" s="17" t="s">
        <v>140</v>
      </c>
      <c r="B316" s="17" t="s">
        <v>141</v>
      </c>
      <c r="C316" s="17" t="s">
        <v>58</v>
      </c>
      <c r="D316" s="17" t="s">
        <v>59</v>
      </c>
      <c r="E316" s="17">
        <v>10268</v>
      </c>
      <c r="F316" s="17" t="s">
        <v>142</v>
      </c>
      <c r="G316" s="17" t="s">
        <v>2478</v>
      </c>
      <c r="H316" s="17" t="s">
        <v>4009</v>
      </c>
    </row>
    <row r="317" spans="1:8" ht="11.1" hidden="1" customHeight="1">
      <c r="A317" s="17" t="s">
        <v>1618</v>
      </c>
      <c r="B317" s="17" t="s">
        <v>1619</v>
      </c>
      <c r="C317" s="17" t="s">
        <v>1620</v>
      </c>
      <c r="D317" s="17" t="s">
        <v>1621</v>
      </c>
      <c r="E317" s="17">
        <v>9680</v>
      </c>
      <c r="F317" s="17" t="s">
        <v>1623</v>
      </c>
      <c r="G317" s="17" t="s">
        <v>1624</v>
      </c>
      <c r="H317" s="17" t="s">
        <v>4074</v>
      </c>
    </row>
    <row r="318" spans="1:8" ht="11.1" hidden="1" customHeight="1">
      <c r="A318" s="17" t="s">
        <v>1116</v>
      </c>
      <c r="B318" s="17" t="s">
        <v>1117</v>
      </c>
      <c r="C318" s="17" t="s">
        <v>726</v>
      </c>
      <c r="D318" s="17" t="s">
        <v>727</v>
      </c>
      <c r="E318" s="17">
        <v>10453</v>
      </c>
      <c r="F318" s="17" t="s">
        <v>1118</v>
      </c>
      <c r="G318" s="17" t="s">
        <v>1119</v>
      </c>
      <c r="H318" s="17" t="s">
        <v>4084</v>
      </c>
    </row>
    <row r="319" spans="1:8" ht="11.1" hidden="1" customHeight="1">
      <c r="A319" s="17" t="s">
        <v>1634</v>
      </c>
      <c r="B319" s="17" t="s">
        <v>1635</v>
      </c>
      <c r="C319" s="17" t="s">
        <v>1159</v>
      </c>
      <c r="D319" s="17" t="s">
        <v>1160</v>
      </c>
      <c r="E319" s="17">
        <v>9889</v>
      </c>
      <c r="F319" s="17" t="s">
        <v>1636</v>
      </c>
      <c r="G319" s="17" t="s">
        <v>1637</v>
      </c>
      <c r="H319" s="17" t="s">
        <v>4085</v>
      </c>
    </row>
    <row r="320" spans="1:8" ht="11.1" hidden="1" customHeight="1">
      <c r="A320" s="17" t="s">
        <v>1645</v>
      </c>
      <c r="B320" s="17" t="s">
        <v>1646</v>
      </c>
      <c r="C320" s="17" t="s">
        <v>1159</v>
      </c>
      <c r="D320" s="17" t="s">
        <v>1160</v>
      </c>
      <c r="E320" s="17">
        <v>9889</v>
      </c>
      <c r="F320" s="17" t="s">
        <v>1647</v>
      </c>
      <c r="G320" s="17" t="s">
        <v>1648</v>
      </c>
      <c r="H320" s="17" t="s">
        <v>4085</v>
      </c>
    </row>
    <row r="321" spans="1:8" ht="11.1" hidden="1" customHeight="1">
      <c r="A321" s="17" t="s">
        <v>1139</v>
      </c>
      <c r="B321" s="17" t="s">
        <v>1140</v>
      </c>
      <c r="C321" s="17" t="s">
        <v>1141</v>
      </c>
      <c r="D321" s="17" t="s">
        <v>1142</v>
      </c>
      <c r="E321" s="17">
        <v>9847</v>
      </c>
      <c r="F321" s="17" t="s">
        <v>1144</v>
      </c>
      <c r="G321" s="17" t="s">
        <v>1145</v>
      </c>
      <c r="H321" s="17" t="s">
        <v>4086</v>
      </c>
    </row>
    <row r="322" spans="1:8" ht="11.1" hidden="1" customHeight="1">
      <c r="A322" s="17" t="s">
        <v>1653</v>
      </c>
      <c r="B322" s="17" t="s">
        <v>1654</v>
      </c>
      <c r="C322" s="17" t="s">
        <v>846</v>
      </c>
      <c r="D322" s="17" t="s">
        <v>847</v>
      </c>
      <c r="E322" s="17">
        <v>9952</v>
      </c>
      <c r="F322" s="17" t="s">
        <v>1655</v>
      </c>
      <c r="G322" s="17" t="s">
        <v>1656</v>
      </c>
      <c r="H322" s="17" t="s">
        <v>3966</v>
      </c>
    </row>
    <row r="323" spans="1:8" ht="11.1" hidden="1" customHeight="1">
      <c r="A323" s="17" t="s">
        <v>1146</v>
      </c>
      <c r="B323" s="17" t="s">
        <v>1034</v>
      </c>
      <c r="C323" s="17" t="s">
        <v>44</v>
      </c>
      <c r="D323" s="17" t="s">
        <v>45</v>
      </c>
      <c r="E323" s="17">
        <v>10245</v>
      </c>
      <c r="F323" s="17" t="s">
        <v>1035</v>
      </c>
      <c r="G323" s="17" t="s">
        <v>1147</v>
      </c>
      <c r="H323" s="17" t="s">
        <v>4015</v>
      </c>
    </row>
    <row r="324" spans="1:8" ht="11.1" hidden="1" customHeight="1">
      <c r="A324" s="17" t="s">
        <v>3857</v>
      </c>
      <c r="B324" s="17" t="s">
        <v>3858</v>
      </c>
      <c r="C324" s="17" t="s">
        <v>3859</v>
      </c>
      <c r="D324" s="17" t="s">
        <v>791</v>
      </c>
      <c r="E324" s="17">
        <v>10287</v>
      </c>
      <c r="F324" s="17" t="s">
        <v>3860</v>
      </c>
      <c r="G324" s="17" t="s">
        <v>3861</v>
      </c>
      <c r="H324" s="17" t="s">
        <v>3953</v>
      </c>
    </row>
    <row r="325" spans="1:8" ht="11.1" hidden="1" customHeight="1">
      <c r="A325" s="17" t="s">
        <v>2055</v>
      </c>
      <c r="B325" s="17" t="s">
        <v>2056</v>
      </c>
      <c r="C325" s="17" t="s">
        <v>1025</v>
      </c>
      <c r="D325" s="17" t="s">
        <v>825</v>
      </c>
      <c r="E325" s="17">
        <v>10238</v>
      </c>
      <c r="F325" s="17" t="s">
        <v>2057</v>
      </c>
      <c r="G325" s="17" t="s">
        <v>2058</v>
      </c>
      <c r="H325" s="17" t="s">
        <v>3995</v>
      </c>
    </row>
    <row r="326" spans="1:8" ht="11.1" hidden="1" customHeight="1">
      <c r="A326" s="17" t="s">
        <v>550</v>
      </c>
      <c r="B326" s="17" t="s">
        <v>551</v>
      </c>
      <c r="C326" s="17" t="s">
        <v>552</v>
      </c>
      <c r="D326" s="17" t="s">
        <v>553</v>
      </c>
      <c r="E326" s="17">
        <v>8600</v>
      </c>
      <c r="F326" s="17" t="s">
        <v>555</v>
      </c>
      <c r="G326" s="17" t="s">
        <v>556</v>
      </c>
      <c r="H326" s="17" t="s">
        <v>4087</v>
      </c>
    </row>
    <row r="327" spans="1:8" ht="11.1" hidden="1" customHeight="1">
      <c r="A327" s="17" t="s">
        <v>3862</v>
      </c>
      <c r="B327" s="17" t="s">
        <v>3863</v>
      </c>
      <c r="C327" s="17" t="s">
        <v>949</v>
      </c>
      <c r="D327" s="17" t="s">
        <v>950</v>
      </c>
      <c r="E327" s="17">
        <v>10458</v>
      </c>
      <c r="F327" s="17" t="s">
        <v>3864</v>
      </c>
      <c r="G327" s="17" t="s">
        <v>3865</v>
      </c>
      <c r="H327" s="17" t="s">
        <v>3965</v>
      </c>
    </row>
    <row r="328" spans="1:8" ht="11.1" hidden="1" customHeight="1">
      <c r="A328" s="17" t="s">
        <v>2507</v>
      </c>
      <c r="B328" s="17" t="s">
        <v>2508</v>
      </c>
      <c r="C328" s="17" t="s">
        <v>376</v>
      </c>
      <c r="D328" s="17" t="s">
        <v>377</v>
      </c>
      <c r="E328" s="17">
        <v>10462</v>
      </c>
      <c r="F328" s="17" t="s">
        <v>2509</v>
      </c>
      <c r="G328" s="17" t="s">
        <v>2510</v>
      </c>
      <c r="H328" s="17" t="s">
        <v>3997</v>
      </c>
    </row>
    <row r="329" spans="1:8" ht="11.1" hidden="1" customHeight="1">
      <c r="A329" s="17" t="s">
        <v>3362</v>
      </c>
      <c r="B329" s="17" t="s">
        <v>3363</v>
      </c>
      <c r="C329" s="17" t="s">
        <v>1982</v>
      </c>
      <c r="D329" s="17" t="s">
        <v>1691</v>
      </c>
      <c r="E329" s="17">
        <v>9996</v>
      </c>
      <c r="F329" s="17" t="s">
        <v>3364</v>
      </c>
      <c r="G329" s="17" t="s">
        <v>3365</v>
      </c>
      <c r="H329" s="17" t="s">
        <v>4022</v>
      </c>
    </row>
    <row r="330" spans="1:8" ht="11.1" hidden="1" customHeight="1">
      <c r="A330" s="17" t="s">
        <v>2921</v>
      </c>
      <c r="B330" s="17" t="s">
        <v>2922</v>
      </c>
      <c r="C330" s="17" t="s">
        <v>93</v>
      </c>
      <c r="D330" s="17" t="s">
        <v>94</v>
      </c>
      <c r="E330" s="17">
        <v>10202</v>
      </c>
      <c r="F330" s="17" t="s">
        <v>2923</v>
      </c>
      <c r="G330" s="17" t="s">
        <v>2924</v>
      </c>
      <c r="H330" s="17" t="s">
        <v>4088</v>
      </c>
    </row>
    <row r="331" spans="1:8" ht="11.1" hidden="1" customHeight="1">
      <c r="A331" s="17" t="s">
        <v>3874</v>
      </c>
      <c r="B331" s="17" t="s">
        <v>3875</v>
      </c>
      <c r="C331" s="17" t="s">
        <v>261</v>
      </c>
      <c r="D331" s="17" t="s">
        <v>262</v>
      </c>
      <c r="E331" s="17">
        <v>9635</v>
      </c>
      <c r="F331" s="17" t="s">
        <v>3876</v>
      </c>
      <c r="G331" s="17" t="s">
        <v>3877</v>
      </c>
      <c r="H331" s="17" t="s">
        <v>4048</v>
      </c>
    </row>
    <row r="332" spans="1:8" ht="11.1" hidden="1" customHeight="1">
      <c r="A332" s="17" t="s">
        <v>3366</v>
      </c>
      <c r="B332" s="17" t="s">
        <v>3367</v>
      </c>
      <c r="C332" s="17" t="s">
        <v>949</v>
      </c>
      <c r="D332" s="17" t="s">
        <v>950</v>
      </c>
      <c r="E332" s="17">
        <v>10458</v>
      </c>
      <c r="F332" s="17" t="s">
        <v>3368</v>
      </c>
      <c r="G332" s="17" t="s">
        <v>3369</v>
      </c>
      <c r="H332" s="17" t="s">
        <v>3965</v>
      </c>
    </row>
    <row r="333" spans="1:8" ht="11.1" hidden="1" customHeight="1">
      <c r="A333" s="17" t="s">
        <v>3882</v>
      </c>
      <c r="B333" s="17" t="s">
        <v>3883</v>
      </c>
      <c r="C333" s="17" t="s">
        <v>1922</v>
      </c>
      <c r="D333" s="17" t="s">
        <v>1923</v>
      </c>
      <c r="E333" s="17">
        <v>8701</v>
      </c>
      <c r="F333" s="17" t="s">
        <v>3884</v>
      </c>
      <c r="G333" s="17" t="s">
        <v>3885</v>
      </c>
      <c r="H333" s="17" t="s">
        <v>3949</v>
      </c>
    </row>
    <row r="334" spans="1:8" ht="11.1" hidden="1" customHeight="1">
      <c r="A334" s="17" t="s">
        <v>564</v>
      </c>
      <c r="B334" s="17" t="s">
        <v>565</v>
      </c>
      <c r="C334" s="17" t="s">
        <v>566</v>
      </c>
      <c r="D334" s="17" t="s">
        <v>567</v>
      </c>
      <c r="E334" s="17">
        <v>8568</v>
      </c>
      <c r="F334" s="17" t="s">
        <v>569</v>
      </c>
      <c r="G334" s="17" t="s">
        <v>570</v>
      </c>
      <c r="H334" s="17" t="s">
        <v>4070</v>
      </c>
    </row>
    <row r="335" spans="1:8" ht="11.1" hidden="1" customHeight="1">
      <c r="A335" s="17" t="s">
        <v>3891</v>
      </c>
      <c r="B335" s="17" t="s">
        <v>3887</v>
      </c>
      <c r="C335" s="17" t="s">
        <v>161</v>
      </c>
      <c r="D335" s="17" t="s">
        <v>162</v>
      </c>
      <c r="E335" s="17">
        <v>9253</v>
      </c>
      <c r="F335" s="17" t="s">
        <v>3889</v>
      </c>
      <c r="G335" s="17" t="s">
        <v>3890</v>
      </c>
      <c r="H335" s="17" t="s">
        <v>3963</v>
      </c>
    </row>
    <row r="336" spans="1:8" ht="11.1" customHeight="1">
      <c r="A336" s="17" t="s">
        <v>1182</v>
      </c>
      <c r="B336" s="17" t="s">
        <v>1183</v>
      </c>
      <c r="C336" s="17" t="s">
        <v>1184</v>
      </c>
      <c r="D336" s="17" t="s">
        <v>1185</v>
      </c>
      <c r="E336" s="17">
        <v>9714</v>
      </c>
      <c r="F336" s="17" t="s">
        <v>1187</v>
      </c>
      <c r="G336" s="17" t="s">
        <v>1188</v>
      </c>
      <c r="H336" s="17" t="s">
        <v>4089</v>
      </c>
    </row>
    <row r="337" spans="1:8" ht="11.1" hidden="1" customHeight="1">
      <c r="A337" s="17" t="s">
        <v>1189</v>
      </c>
      <c r="B337" s="17" t="s">
        <v>1190</v>
      </c>
      <c r="C337" s="17" t="s">
        <v>1191</v>
      </c>
      <c r="D337" s="17" t="s">
        <v>1192</v>
      </c>
      <c r="E337" s="17">
        <v>10511</v>
      </c>
      <c r="F337" s="17" t="s">
        <v>1194</v>
      </c>
      <c r="G337" s="17" t="s">
        <v>1195</v>
      </c>
      <c r="H337" s="17" t="s">
        <v>4090</v>
      </c>
    </row>
    <row r="338" spans="1:8" ht="11.1" hidden="1" customHeight="1">
      <c r="A338" s="17" t="s">
        <v>3378</v>
      </c>
      <c r="B338" s="17" t="s">
        <v>3379</v>
      </c>
      <c r="C338" s="17" t="s">
        <v>817</v>
      </c>
      <c r="D338" s="17" t="s">
        <v>3380</v>
      </c>
      <c r="E338" s="17">
        <v>10105</v>
      </c>
      <c r="F338" s="17" t="s">
        <v>3381</v>
      </c>
      <c r="G338" s="17" t="s">
        <v>3382</v>
      </c>
      <c r="H338" s="17" t="s">
        <v>3972</v>
      </c>
    </row>
    <row r="339" spans="1:8" ht="11.1" hidden="1" customHeight="1">
      <c r="A339" s="17" t="s">
        <v>1023</v>
      </c>
      <c r="B339" s="17" t="s">
        <v>1024</v>
      </c>
      <c r="C339" s="17" t="s">
        <v>1025</v>
      </c>
      <c r="D339" s="17" t="s">
        <v>825</v>
      </c>
      <c r="E339" s="17">
        <v>10238</v>
      </c>
      <c r="F339" s="17" t="s">
        <v>1026</v>
      </c>
      <c r="G339" s="17" t="s">
        <v>2936</v>
      </c>
      <c r="H339" s="17" t="s">
        <v>3995</v>
      </c>
    </row>
    <row r="340" spans="1:8" ht="11.1" hidden="1" customHeight="1">
      <c r="A340" s="17" t="s">
        <v>1688</v>
      </c>
      <c r="B340" s="17" t="s">
        <v>1689</v>
      </c>
      <c r="C340" s="17" t="s">
        <v>1690</v>
      </c>
      <c r="D340" s="17" t="s">
        <v>1691</v>
      </c>
      <c r="E340" s="17">
        <v>9996</v>
      </c>
      <c r="F340" s="17" t="s">
        <v>1693</v>
      </c>
      <c r="G340" s="17" t="s">
        <v>1694</v>
      </c>
      <c r="H340" s="17" t="s">
        <v>4022</v>
      </c>
    </row>
    <row r="341" spans="1:8" ht="11.1" hidden="1" customHeight="1">
      <c r="A341" s="17" t="s">
        <v>596</v>
      </c>
      <c r="B341" s="17" t="s">
        <v>597</v>
      </c>
      <c r="C341" s="17" t="s">
        <v>598</v>
      </c>
      <c r="D341" s="17" t="s">
        <v>599</v>
      </c>
      <c r="E341" s="17">
        <v>8554</v>
      </c>
      <c r="F341" s="17" t="s">
        <v>601</v>
      </c>
      <c r="G341" s="17" t="s">
        <v>602</v>
      </c>
      <c r="H341" s="17" t="s">
        <v>4078</v>
      </c>
    </row>
    <row r="342" spans="1:8" ht="11.1" hidden="1" customHeight="1">
      <c r="A342" s="17" t="s">
        <v>3412</v>
      </c>
      <c r="B342" s="17" t="s">
        <v>3413</v>
      </c>
      <c r="C342" s="17" t="s">
        <v>161</v>
      </c>
      <c r="D342" s="17" t="s">
        <v>162</v>
      </c>
      <c r="E342" s="17">
        <v>9253</v>
      </c>
      <c r="F342" s="17" t="s">
        <v>3414</v>
      </c>
      <c r="G342" s="17" t="s">
        <v>3415</v>
      </c>
      <c r="H342" s="17" t="s">
        <v>3963</v>
      </c>
    </row>
    <row r="343" spans="1:8" ht="11.1" hidden="1" customHeight="1">
      <c r="A343" s="17" t="s">
        <v>3424</v>
      </c>
      <c r="B343" s="17" t="s">
        <v>3425</v>
      </c>
      <c r="C343" s="17" t="s">
        <v>2357</v>
      </c>
      <c r="D343" s="17" t="s">
        <v>1236</v>
      </c>
      <c r="E343" s="17">
        <v>10104</v>
      </c>
      <c r="F343" s="17" t="s">
        <v>3426</v>
      </c>
      <c r="G343" s="17" t="s">
        <v>3427</v>
      </c>
      <c r="H343" s="17" t="s">
        <v>4079</v>
      </c>
    </row>
    <row r="344" spans="1:8" ht="11.1" hidden="1" customHeight="1">
      <c r="A344" s="17" t="s">
        <v>2955</v>
      </c>
      <c r="B344" s="17" t="s">
        <v>2956</v>
      </c>
      <c r="C344" s="17" t="s">
        <v>1998</v>
      </c>
      <c r="D344" s="17" t="s">
        <v>1999</v>
      </c>
      <c r="E344" s="17">
        <v>9433</v>
      </c>
      <c r="F344" s="17" t="s">
        <v>2957</v>
      </c>
      <c r="G344" s="17" t="s">
        <v>2958</v>
      </c>
      <c r="H344" s="17" t="s">
        <v>4091</v>
      </c>
    </row>
    <row r="345" spans="1:8" ht="11.1" hidden="1" customHeight="1">
      <c r="A345" s="17" t="s">
        <v>2960</v>
      </c>
      <c r="B345" s="17" t="s">
        <v>2961</v>
      </c>
      <c r="C345" s="17" t="s">
        <v>2191</v>
      </c>
      <c r="D345" s="17" t="s">
        <v>2192</v>
      </c>
      <c r="E345" s="17">
        <v>9199</v>
      </c>
      <c r="F345" s="17" t="s">
        <v>2962</v>
      </c>
      <c r="G345" s="17" t="s">
        <v>2963</v>
      </c>
      <c r="H345" s="17" t="s">
        <v>3947</v>
      </c>
    </row>
    <row r="346" spans="1:8" ht="11.1" hidden="1" customHeight="1">
      <c r="A346" s="17" t="s">
        <v>1245</v>
      </c>
      <c r="B346" s="17" t="s">
        <v>1246</v>
      </c>
      <c r="C346" s="17" t="s">
        <v>1247</v>
      </c>
      <c r="D346" s="17" t="s">
        <v>1248</v>
      </c>
      <c r="E346" s="17">
        <v>8571</v>
      </c>
      <c r="F346" s="17" t="s">
        <v>1250</v>
      </c>
      <c r="G346" s="17" t="s">
        <v>1251</v>
      </c>
      <c r="H346" s="17" t="s">
        <v>4092</v>
      </c>
    </row>
    <row r="347" spans="1:8" ht="11.1" hidden="1" customHeight="1">
      <c r="A347" s="17" t="s">
        <v>627</v>
      </c>
      <c r="B347" s="17" t="s">
        <v>628</v>
      </c>
      <c r="C347" s="17" t="s">
        <v>629</v>
      </c>
      <c r="D347" s="17" t="s">
        <v>630</v>
      </c>
      <c r="E347" s="17">
        <v>10445</v>
      </c>
      <c r="F347" s="17" t="s">
        <v>632</v>
      </c>
      <c r="G347" s="17" t="s">
        <v>633</v>
      </c>
      <c r="H347" s="17" t="s">
        <v>3945</v>
      </c>
    </row>
    <row r="348" spans="1:8" ht="11.1" hidden="1" customHeight="1">
      <c r="A348" s="17" t="s">
        <v>1730</v>
      </c>
      <c r="B348" s="17" t="s">
        <v>1731</v>
      </c>
      <c r="C348" s="17" t="s">
        <v>1732</v>
      </c>
      <c r="D348" s="17" t="s">
        <v>1733</v>
      </c>
      <c r="E348" s="17">
        <v>8660</v>
      </c>
      <c r="F348" s="17" t="s">
        <v>1735</v>
      </c>
      <c r="G348" s="17" t="s">
        <v>1736</v>
      </c>
      <c r="H348" s="17" t="s">
        <v>3981</v>
      </c>
    </row>
    <row r="349" spans="1:8" ht="11.1" hidden="1" customHeight="1">
      <c r="A349" s="17" t="s">
        <v>3014</v>
      </c>
      <c r="B349" s="17" t="s">
        <v>3015</v>
      </c>
      <c r="C349" s="17" t="s">
        <v>1712</v>
      </c>
      <c r="D349" s="17" t="s">
        <v>1713</v>
      </c>
      <c r="E349" s="17">
        <v>8707</v>
      </c>
      <c r="F349" s="17" t="s">
        <v>3016</v>
      </c>
      <c r="G349" s="17" t="s">
        <v>3017</v>
      </c>
      <c r="H349" s="17" t="s">
        <v>4023</v>
      </c>
    </row>
    <row r="350" spans="1:8" ht="11.1" hidden="1" customHeight="1">
      <c r="A350" s="17" t="s">
        <v>7</v>
      </c>
      <c r="B350" s="17" t="s">
        <v>8</v>
      </c>
      <c r="C350" s="17" t="s">
        <v>9</v>
      </c>
      <c r="D350" s="17" t="s">
        <v>10</v>
      </c>
      <c r="E350" s="17">
        <v>7691</v>
      </c>
      <c r="F350" s="17" t="s">
        <v>12</v>
      </c>
      <c r="G350" s="17" t="s">
        <v>13</v>
      </c>
      <c r="H350" s="17" t="s">
        <v>4093</v>
      </c>
    </row>
    <row r="351" spans="1:8" ht="11.1" hidden="1" customHeight="1">
      <c r="A351" s="17" t="s">
        <v>2115</v>
      </c>
      <c r="B351" s="17" t="s">
        <v>2116</v>
      </c>
      <c r="C351" s="17" t="s">
        <v>2117</v>
      </c>
      <c r="D351" s="17" t="s">
        <v>2118</v>
      </c>
      <c r="E351" s="17">
        <v>8250</v>
      </c>
      <c r="F351" s="17" t="s">
        <v>2120</v>
      </c>
      <c r="G351" s="17" t="s">
        <v>2121</v>
      </c>
      <c r="H351" s="17" t="s">
        <v>4094</v>
      </c>
    </row>
    <row r="352" spans="1:8" ht="11.1" customHeight="1">
      <c r="A352" s="17" t="s">
        <v>2581</v>
      </c>
      <c r="B352" s="17" t="s">
        <v>2582</v>
      </c>
      <c r="C352" s="17" t="s">
        <v>956</v>
      </c>
      <c r="D352" s="17" t="s">
        <v>957</v>
      </c>
      <c r="E352" s="17">
        <v>10468</v>
      </c>
      <c r="F352" s="17" t="s">
        <v>2583</v>
      </c>
      <c r="G352" s="17" t="s">
        <v>2584</v>
      </c>
      <c r="H352" s="17" t="s">
        <v>4051</v>
      </c>
    </row>
    <row r="353" spans="1:8" ht="11.1" customHeight="1">
      <c r="A353" s="17" t="s">
        <v>2122</v>
      </c>
      <c r="B353" s="17" t="s">
        <v>2123</v>
      </c>
      <c r="C353" s="17" t="s">
        <v>956</v>
      </c>
      <c r="D353" s="17" t="s">
        <v>957</v>
      </c>
      <c r="E353" s="17">
        <v>10468</v>
      </c>
      <c r="F353" s="17" t="s">
        <v>2124</v>
      </c>
      <c r="G353" s="17" t="s">
        <v>2125</v>
      </c>
      <c r="H353" s="17" t="s">
        <v>4051</v>
      </c>
    </row>
    <row r="354" spans="1:8" ht="11.1" hidden="1" customHeight="1">
      <c r="A354" s="17" t="s">
        <v>3509</v>
      </c>
      <c r="B354" s="17" t="s">
        <v>3510</v>
      </c>
      <c r="C354" s="17" t="s">
        <v>1292</v>
      </c>
      <c r="D354" s="17" t="s">
        <v>1326</v>
      </c>
      <c r="E354" s="17">
        <v>8563</v>
      </c>
      <c r="F354" s="17" t="s">
        <v>3511</v>
      </c>
      <c r="G354" s="17" t="s">
        <v>3512</v>
      </c>
      <c r="H354" s="17" t="s">
        <v>3938</v>
      </c>
    </row>
    <row r="355" spans="1:8" ht="11.1" hidden="1" customHeight="1">
      <c r="A355" s="17" t="s">
        <v>1073</v>
      </c>
      <c r="B355" s="17" t="s">
        <v>1070</v>
      </c>
      <c r="C355" s="17" t="s">
        <v>65</v>
      </c>
      <c r="D355" s="17" t="s">
        <v>66</v>
      </c>
      <c r="E355" s="17">
        <v>10244</v>
      </c>
      <c r="F355" s="17" t="s">
        <v>1071</v>
      </c>
      <c r="G355" s="17" t="s">
        <v>1750</v>
      </c>
      <c r="H355" s="17" t="s">
        <v>3980</v>
      </c>
    </row>
    <row r="356" spans="1:8" ht="11.1" hidden="1" customHeight="1">
      <c r="A356" s="17" t="s">
        <v>1333</v>
      </c>
      <c r="B356" s="17" t="s">
        <v>1334</v>
      </c>
      <c r="C356" s="17" t="s">
        <v>37</v>
      </c>
      <c r="D356" s="17" t="s">
        <v>1326</v>
      </c>
      <c r="E356" s="17">
        <v>8562</v>
      </c>
      <c r="F356" s="17" t="s">
        <v>1335</v>
      </c>
      <c r="G356" s="17" t="s">
        <v>1336</v>
      </c>
      <c r="H356" s="17" t="s">
        <v>3936</v>
      </c>
    </row>
    <row r="357" spans="1:8" ht="11.1" hidden="1" customHeight="1">
      <c r="A357" s="17" t="s">
        <v>670</v>
      </c>
      <c r="B357" s="17" t="s">
        <v>671</v>
      </c>
      <c r="C357" s="17" t="s">
        <v>58</v>
      </c>
      <c r="D357" s="17" t="s">
        <v>59</v>
      </c>
      <c r="E357" s="17">
        <v>10268</v>
      </c>
      <c r="F357" s="17" t="s">
        <v>672</v>
      </c>
      <c r="G357" s="17" t="s">
        <v>673</v>
      </c>
      <c r="H357" s="17" t="s">
        <v>4009</v>
      </c>
    </row>
    <row r="358" spans="1:8" ht="11.1" hidden="1" customHeight="1">
      <c r="A358" s="17" t="s">
        <v>674</v>
      </c>
      <c r="B358" s="17" t="s">
        <v>671</v>
      </c>
      <c r="C358" s="17" t="s">
        <v>58</v>
      </c>
      <c r="D358" s="17" t="s">
        <v>59</v>
      </c>
      <c r="E358" s="17">
        <v>10268</v>
      </c>
      <c r="F358" s="17" t="s">
        <v>672</v>
      </c>
      <c r="G358" s="17" t="s">
        <v>673</v>
      </c>
      <c r="H358" s="17" t="s">
        <v>4009</v>
      </c>
    </row>
    <row r="359" spans="1:8" ht="11.1" hidden="1" customHeight="1">
      <c r="A359" s="17" t="s">
        <v>1338</v>
      </c>
      <c r="B359" s="17" t="s">
        <v>1339</v>
      </c>
      <c r="C359" s="17" t="s">
        <v>928</v>
      </c>
      <c r="D359" s="17" t="s">
        <v>929</v>
      </c>
      <c r="E359" s="17">
        <v>7210</v>
      </c>
      <c r="F359" s="17" t="s">
        <v>1340</v>
      </c>
      <c r="G359" s="17" t="s">
        <v>1341</v>
      </c>
      <c r="H359" s="17" t="s">
        <v>4067</v>
      </c>
    </row>
    <row r="360" spans="1:8" ht="11.1" hidden="1" customHeight="1">
      <c r="A360" s="17" t="s">
        <v>2162</v>
      </c>
      <c r="B360" s="17" t="s">
        <v>2163</v>
      </c>
      <c r="C360" s="17" t="s">
        <v>640</v>
      </c>
      <c r="D360" s="17" t="s">
        <v>398</v>
      </c>
      <c r="E360" s="17">
        <v>9964</v>
      </c>
      <c r="F360" s="17" t="s">
        <v>2164</v>
      </c>
      <c r="G360" s="17" t="s">
        <v>2165</v>
      </c>
      <c r="H360" s="17" t="s">
        <v>4049</v>
      </c>
    </row>
    <row r="361" spans="1:8" ht="11.1" hidden="1" customHeight="1">
      <c r="A361" s="17" t="s">
        <v>3054</v>
      </c>
      <c r="B361" s="17" t="s">
        <v>3055</v>
      </c>
      <c r="C361" s="17" t="s">
        <v>1991</v>
      </c>
      <c r="D361" s="17" t="s">
        <v>1992</v>
      </c>
      <c r="E361" s="17">
        <v>8735</v>
      </c>
      <c r="F361" s="17" t="s">
        <v>3056</v>
      </c>
      <c r="G361" s="17" t="s">
        <v>3057</v>
      </c>
      <c r="H361" s="17" t="s">
        <v>4095</v>
      </c>
    </row>
    <row r="362" spans="1:8" ht="11.1" hidden="1" customHeight="1">
      <c r="A362" s="17" t="s">
        <v>3549</v>
      </c>
      <c r="B362" s="17" t="s">
        <v>3550</v>
      </c>
      <c r="C362" s="17" t="s">
        <v>3551</v>
      </c>
      <c r="D362" s="17" t="s">
        <v>115</v>
      </c>
      <c r="E362" s="17">
        <v>9849</v>
      </c>
      <c r="F362" s="17" t="s">
        <v>3552</v>
      </c>
      <c r="G362" s="17" t="s">
        <v>3553</v>
      </c>
      <c r="H362" s="17" t="s">
        <v>4036</v>
      </c>
    </row>
    <row r="363" spans="1:8" ht="11.1" hidden="1" customHeight="1">
      <c r="A363" s="17" t="s">
        <v>2185</v>
      </c>
      <c r="B363" s="17" t="s">
        <v>2186</v>
      </c>
      <c r="C363" s="17" t="s">
        <v>2017</v>
      </c>
      <c r="D363" s="17" t="s">
        <v>2018</v>
      </c>
      <c r="E363" s="17">
        <v>9994</v>
      </c>
      <c r="F363" s="17" t="s">
        <v>2187</v>
      </c>
      <c r="G363" s="17" t="s">
        <v>2188</v>
      </c>
      <c r="H363" s="17" t="s">
        <v>3961</v>
      </c>
    </row>
    <row r="364" spans="1:8" ht="11.1" hidden="1" customHeight="1">
      <c r="A364" s="17" t="s">
        <v>2615</v>
      </c>
      <c r="B364" s="17" t="s">
        <v>2616</v>
      </c>
      <c r="C364" s="17" t="s">
        <v>1967</v>
      </c>
      <c r="D364" s="17" t="s">
        <v>1968</v>
      </c>
      <c r="E364" s="17">
        <v>9202</v>
      </c>
      <c r="F364" s="17" t="s">
        <v>2617</v>
      </c>
      <c r="G364" s="17" t="s">
        <v>2618</v>
      </c>
      <c r="H364" s="17" t="s">
        <v>4056</v>
      </c>
    </row>
    <row r="365" spans="1:8" ht="11.1" hidden="1" customHeight="1">
      <c r="A365" s="17" t="s">
        <v>1786</v>
      </c>
      <c r="B365" s="17" t="s">
        <v>1787</v>
      </c>
      <c r="C365" s="17" t="s">
        <v>650</v>
      </c>
      <c r="D365" s="17" t="s">
        <v>651</v>
      </c>
      <c r="E365" s="17">
        <v>8697</v>
      </c>
      <c r="F365" s="17" t="s">
        <v>1788</v>
      </c>
      <c r="G365" s="17" t="s">
        <v>1789</v>
      </c>
      <c r="H365" s="17" t="s">
        <v>4063</v>
      </c>
    </row>
    <row r="366" spans="1:8" ht="11.1" hidden="1" customHeight="1">
      <c r="A366" s="17" t="s">
        <v>2627</v>
      </c>
      <c r="B366" s="17" t="s">
        <v>2628</v>
      </c>
      <c r="C366" s="17" t="s">
        <v>107</v>
      </c>
      <c r="D366" s="17" t="s">
        <v>108</v>
      </c>
      <c r="E366" s="17">
        <v>8709</v>
      </c>
      <c r="F366" s="17" t="s">
        <v>2629</v>
      </c>
      <c r="G366" s="17" t="s">
        <v>2630</v>
      </c>
      <c r="H366" s="17" t="s">
        <v>3964</v>
      </c>
    </row>
    <row r="367" spans="1:8" ht="11.1" hidden="1" customHeight="1">
      <c r="A367" s="17" t="s">
        <v>3098</v>
      </c>
      <c r="B367" s="17" t="s">
        <v>3099</v>
      </c>
      <c r="C367" s="17" t="s">
        <v>2046</v>
      </c>
      <c r="D367" s="17" t="s">
        <v>578</v>
      </c>
      <c r="E367" s="17">
        <v>7485</v>
      </c>
      <c r="F367" s="17" t="s">
        <v>3100</v>
      </c>
      <c r="G367" s="17" t="s">
        <v>3101</v>
      </c>
      <c r="H367" s="17" t="s">
        <v>3933</v>
      </c>
    </row>
    <row r="368" spans="1:8" ht="11.1" hidden="1" customHeight="1">
      <c r="A368" s="17" t="s">
        <v>3102</v>
      </c>
      <c r="B368" s="17" t="s">
        <v>3103</v>
      </c>
      <c r="C368" s="17" t="s">
        <v>979</v>
      </c>
      <c r="D368" s="17" t="s">
        <v>980</v>
      </c>
      <c r="E368" s="17">
        <v>8445</v>
      </c>
      <c r="F368" s="17" t="s">
        <v>3104</v>
      </c>
      <c r="G368" s="17" t="s">
        <v>3105</v>
      </c>
      <c r="H368" s="17" t="s">
        <v>4096</v>
      </c>
    </row>
    <row r="369" spans="1:8" ht="11.1" hidden="1" customHeight="1">
      <c r="A369" s="17" t="s">
        <v>2222</v>
      </c>
      <c r="B369" s="17" t="s">
        <v>2223</v>
      </c>
      <c r="C369" s="17" t="s">
        <v>304</v>
      </c>
      <c r="D369" s="17" t="s">
        <v>305</v>
      </c>
      <c r="E369" s="17">
        <v>10457</v>
      </c>
      <c r="F369" s="17" t="s">
        <v>2224</v>
      </c>
      <c r="G369" s="17" t="s">
        <v>2225</v>
      </c>
      <c r="H369" s="17" t="s">
        <v>4013</v>
      </c>
    </row>
    <row r="370" spans="1:8" ht="11.1" hidden="1" customHeight="1">
      <c r="A370" s="17" t="s">
        <v>3597</v>
      </c>
      <c r="B370" s="17" t="s">
        <v>3598</v>
      </c>
      <c r="C370" s="17" t="s">
        <v>623</v>
      </c>
      <c r="D370" s="17" t="s">
        <v>211</v>
      </c>
      <c r="E370" s="17">
        <v>8058</v>
      </c>
      <c r="F370" s="17" t="s">
        <v>3599</v>
      </c>
      <c r="G370" s="17" t="s">
        <v>3600</v>
      </c>
      <c r="H370" s="17" t="s">
        <v>4042</v>
      </c>
    </row>
    <row r="371" spans="1:8" ht="11.1" hidden="1" customHeight="1">
      <c r="A371" s="17" t="s">
        <v>1818</v>
      </c>
      <c r="B371" s="17" t="s">
        <v>1819</v>
      </c>
      <c r="C371" s="17" t="s">
        <v>1450</v>
      </c>
      <c r="D371" s="17" t="s">
        <v>122</v>
      </c>
      <c r="E371" s="17">
        <v>8062</v>
      </c>
      <c r="F371" s="17" t="s">
        <v>1820</v>
      </c>
      <c r="G371" s="17" t="s">
        <v>1821</v>
      </c>
      <c r="H371" s="17" t="s">
        <v>4055</v>
      </c>
    </row>
    <row r="372" spans="1:8" ht="11.1" hidden="1" customHeight="1">
      <c r="A372" s="17" t="s">
        <v>3605</v>
      </c>
      <c r="B372" s="17" t="s">
        <v>3606</v>
      </c>
      <c r="C372" s="17" t="s">
        <v>3607</v>
      </c>
      <c r="D372" s="17" t="s">
        <v>3608</v>
      </c>
      <c r="E372" s="17">
        <v>9985</v>
      </c>
      <c r="F372" s="17" t="s">
        <v>3610</v>
      </c>
      <c r="G372" s="17" t="s">
        <v>3611</v>
      </c>
      <c r="H372" s="17" t="s">
        <v>4097</v>
      </c>
    </row>
    <row r="373" spans="1:8" ht="11.1" customHeight="1">
      <c r="A373" s="17" t="s">
        <v>753</v>
      </c>
      <c r="B373" s="17" t="s">
        <v>754</v>
      </c>
      <c r="C373" s="17" t="s">
        <v>755</v>
      </c>
      <c r="D373" s="17" t="s">
        <v>756</v>
      </c>
      <c r="E373" s="17">
        <v>10195</v>
      </c>
      <c r="F373" s="17" t="s">
        <v>758</v>
      </c>
      <c r="G373" s="17" t="s">
        <v>759</v>
      </c>
      <c r="H373" s="17" t="s">
        <v>4098</v>
      </c>
    </row>
    <row r="374" spans="1:8" ht="11.1" hidden="1" customHeight="1">
      <c r="A374" s="17" t="s">
        <v>144</v>
      </c>
      <c r="B374" s="17" t="s">
        <v>141</v>
      </c>
      <c r="C374" s="17" t="s">
        <v>58</v>
      </c>
      <c r="D374" s="17" t="s">
        <v>59</v>
      </c>
      <c r="E374" s="17">
        <v>10268</v>
      </c>
      <c r="F374" s="17" t="s">
        <v>142</v>
      </c>
      <c r="G374" s="17" t="s">
        <v>143</v>
      </c>
      <c r="H374" s="17" t="s">
        <v>4009</v>
      </c>
    </row>
    <row r="375" spans="1:8" ht="11.1" hidden="1" customHeight="1">
      <c r="A375" s="17" t="s">
        <v>145</v>
      </c>
      <c r="B375" s="17" t="s">
        <v>146</v>
      </c>
      <c r="C375" s="17" t="s">
        <v>147</v>
      </c>
      <c r="D375" s="17" t="s">
        <v>148</v>
      </c>
      <c r="E375" s="17">
        <v>9749</v>
      </c>
      <c r="F375" s="17" t="s">
        <v>150</v>
      </c>
      <c r="G375" s="17" t="s">
        <v>151</v>
      </c>
      <c r="H375" s="17" t="s">
        <v>4080</v>
      </c>
    </row>
    <row r="376" spans="1:8" ht="11.1" hidden="1" customHeight="1">
      <c r="A376" s="17" t="s">
        <v>771</v>
      </c>
      <c r="B376" s="17" t="s">
        <v>772</v>
      </c>
      <c r="C376" s="17" t="s">
        <v>358</v>
      </c>
      <c r="D376" s="17" t="s">
        <v>359</v>
      </c>
      <c r="E376" s="17">
        <v>8695</v>
      </c>
      <c r="F376" s="17" t="s">
        <v>773</v>
      </c>
      <c r="G376" s="17" t="s">
        <v>774</v>
      </c>
      <c r="H376" s="17" t="s">
        <v>4025</v>
      </c>
    </row>
    <row r="377" spans="1:8" ht="11.1" hidden="1" customHeight="1">
      <c r="A377" s="17" t="s">
        <v>2245</v>
      </c>
      <c r="B377" s="17" t="s">
        <v>2246</v>
      </c>
      <c r="C377" s="17" t="s">
        <v>2247</v>
      </c>
      <c r="D377" s="17" t="s">
        <v>2248</v>
      </c>
      <c r="E377" s="17">
        <v>8897</v>
      </c>
      <c r="F377" s="17" t="s">
        <v>2250</v>
      </c>
      <c r="G377" s="17" t="s">
        <v>2251</v>
      </c>
      <c r="H377" s="17" t="s">
        <v>4099</v>
      </c>
    </row>
    <row r="378" spans="1:8" ht="11.1" hidden="1" customHeight="1">
      <c r="A378" s="17" t="s">
        <v>2264</v>
      </c>
      <c r="B378" s="17" t="s">
        <v>2265</v>
      </c>
      <c r="C378" s="17" t="s">
        <v>584</v>
      </c>
      <c r="D378" s="17" t="s">
        <v>585</v>
      </c>
      <c r="E378" s="17">
        <v>8553</v>
      </c>
      <c r="F378" s="17" t="s">
        <v>2266</v>
      </c>
      <c r="G378" s="17" t="s">
        <v>2267</v>
      </c>
      <c r="H378" s="17" t="s">
        <v>3934</v>
      </c>
    </row>
    <row r="379" spans="1:8" ht="11.1" hidden="1" customHeight="1">
      <c r="A379" s="17" t="s">
        <v>2022</v>
      </c>
      <c r="B379" s="17" t="s">
        <v>189</v>
      </c>
      <c r="C379" s="17" t="s">
        <v>190</v>
      </c>
      <c r="D379" s="17" t="s">
        <v>191</v>
      </c>
      <c r="E379" s="17">
        <v>10247</v>
      </c>
      <c r="F379" s="17" t="s">
        <v>193</v>
      </c>
      <c r="G379" s="17" t="s">
        <v>194</v>
      </c>
      <c r="H379" s="17" t="s">
        <v>4038</v>
      </c>
    </row>
    <row r="380" spans="1:8" ht="11.1" hidden="1" customHeight="1">
      <c r="A380" s="17" t="s">
        <v>1425</v>
      </c>
      <c r="B380" s="17" t="s">
        <v>1426</v>
      </c>
      <c r="C380" s="17" t="s">
        <v>1427</v>
      </c>
      <c r="D380" s="17" t="s">
        <v>1428</v>
      </c>
      <c r="E380" s="17">
        <v>10098</v>
      </c>
      <c r="F380" s="17" t="s">
        <v>1430</v>
      </c>
      <c r="G380" s="17" t="s">
        <v>1431</v>
      </c>
      <c r="H380" s="17" t="s">
        <v>4037</v>
      </c>
    </row>
    <row r="381" spans="1:8" ht="11.1" hidden="1" customHeight="1">
      <c r="A381" s="17" t="s">
        <v>1846</v>
      </c>
      <c r="B381" s="17" t="s">
        <v>1847</v>
      </c>
      <c r="C381" s="17" t="s">
        <v>169</v>
      </c>
      <c r="D381" s="17" t="s">
        <v>170</v>
      </c>
      <c r="E381" s="17">
        <v>10309</v>
      </c>
      <c r="F381" s="17" t="s">
        <v>1848</v>
      </c>
      <c r="G381" s="17" t="s">
        <v>1849</v>
      </c>
      <c r="H381" s="17" t="s">
        <v>4005</v>
      </c>
    </row>
    <row r="382" spans="1:8" ht="11.1" hidden="1" customHeight="1">
      <c r="A382" s="17" t="s">
        <v>1437</v>
      </c>
      <c r="B382" s="17" t="s">
        <v>1438</v>
      </c>
      <c r="C382" s="17" t="s">
        <v>1439</v>
      </c>
      <c r="D382" s="17" t="s">
        <v>974</v>
      </c>
      <c r="E382" s="17">
        <v>8957</v>
      </c>
      <c r="F382" s="17" t="s">
        <v>1441</v>
      </c>
      <c r="G382" s="17" t="s">
        <v>1442</v>
      </c>
      <c r="H382" s="17" t="s">
        <v>3979</v>
      </c>
    </row>
    <row r="383" spans="1:8" ht="11.1" customHeight="1">
      <c r="A383" s="17" t="s">
        <v>3147</v>
      </c>
      <c r="B383" s="17" t="s">
        <v>3148</v>
      </c>
      <c r="C383" s="17" t="s">
        <v>3149</v>
      </c>
      <c r="D383" s="17" t="s">
        <v>756</v>
      </c>
      <c r="E383" s="17">
        <v>10195</v>
      </c>
      <c r="F383" s="17" t="s">
        <v>3150</v>
      </c>
      <c r="G383" s="17" t="s">
        <v>3151</v>
      </c>
      <c r="H383" s="17" t="s">
        <v>4098</v>
      </c>
    </row>
    <row r="384" spans="1:8" ht="11.1" hidden="1" customHeight="1">
      <c r="A384" s="17" t="s">
        <v>3152</v>
      </c>
      <c r="B384" s="17" t="s">
        <v>3153</v>
      </c>
      <c r="C384" s="17" t="s">
        <v>1509</v>
      </c>
      <c r="D384" s="17" t="s">
        <v>1510</v>
      </c>
      <c r="E384" s="17">
        <v>8698</v>
      </c>
      <c r="F384" s="17" t="s">
        <v>3154</v>
      </c>
      <c r="G384" s="17" t="s">
        <v>3155</v>
      </c>
      <c r="H384" s="17" t="s">
        <v>3989</v>
      </c>
    </row>
    <row r="385" spans="1:8" ht="11.1" hidden="1" customHeight="1">
      <c r="A385" s="17" t="s">
        <v>3634</v>
      </c>
      <c r="B385" s="17" t="s">
        <v>3635</v>
      </c>
      <c r="C385" s="17" t="s">
        <v>1398</v>
      </c>
      <c r="D385" s="17" t="s">
        <v>1399</v>
      </c>
      <c r="E385" s="17">
        <v>9895</v>
      </c>
      <c r="F385" s="17" t="s">
        <v>3636</v>
      </c>
      <c r="G385" s="17" t="s">
        <v>3637</v>
      </c>
      <c r="H385" s="17" t="s">
        <v>4054</v>
      </c>
    </row>
    <row r="386" spans="1:8" ht="11.1" hidden="1" customHeight="1">
      <c r="A386" s="17" t="s">
        <v>247</v>
      </c>
      <c r="B386" s="17" t="s">
        <v>248</v>
      </c>
      <c r="C386" s="17" t="s">
        <v>249</v>
      </c>
      <c r="D386" s="17" t="s">
        <v>250</v>
      </c>
      <c r="E386" s="17">
        <v>8700</v>
      </c>
      <c r="F386" s="17" t="s">
        <v>252</v>
      </c>
      <c r="G386" s="17" t="s">
        <v>253</v>
      </c>
      <c r="H386" s="17" t="s">
        <v>4100</v>
      </c>
    </row>
    <row r="387" spans="1:8" ht="11.1" hidden="1" customHeight="1">
      <c r="A387" s="17" t="s">
        <v>3650</v>
      </c>
      <c r="B387" s="17" t="s">
        <v>3651</v>
      </c>
      <c r="C387" s="17" t="s">
        <v>1813</v>
      </c>
      <c r="D387" s="17" t="s">
        <v>1814</v>
      </c>
      <c r="E387" s="17">
        <v>9992</v>
      </c>
      <c r="F387" s="17" t="s">
        <v>3652</v>
      </c>
      <c r="G387" s="17" t="s">
        <v>3653</v>
      </c>
      <c r="H387" s="17" t="s">
        <v>4053</v>
      </c>
    </row>
    <row r="388" spans="1:8" ht="11.1" hidden="1" customHeight="1">
      <c r="A388" s="17" t="s">
        <v>2712</v>
      </c>
      <c r="B388" s="17" t="s">
        <v>2713</v>
      </c>
      <c r="C388" s="17" t="s">
        <v>1016</v>
      </c>
      <c r="D388" s="17" t="s">
        <v>915</v>
      </c>
      <c r="E388" s="17">
        <v>9991</v>
      </c>
      <c r="F388" s="17" t="s">
        <v>2714</v>
      </c>
      <c r="G388" s="17" t="s">
        <v>2715</v>
      </c>
      <c r="H388" s="17" t="s">
        <v>3991</v>
      </c>
    </row>
    <row r="389" spans="1:8" ht="11.1" hidden="1" customHeight="1">
      <c r="A389" s="17" t="s">
        <v>2323</v>
      </c>
      <c r="B389" s="17" t="s">
        <v>2324</v>
      </c>
      <c r="C389" s="17" t="s">
        <v>2325</v>
      </c>
      <c r="D389" s="17" t="s">
        <v>94</v>
      </c>
      <c r="E389" s="17">
        <v>10202</v>
      </c>
      <c r="F389" s="17" t="s">
        <v>2326</v>
      </c>
      <c r="G389" s="17" t="s">
        <v>2327</v>
      </c>
      <c r="H389" s="17" t="s">
        <v>4088</v>
      </c>
    </row>
    <row r="390" spans="1:8" ht="11.1" hidden="1" customHeight="1">
      <c r="A390" s="17" t="s">
        <v>1845</v>
      </c>
      <c r="B390" s="17" t="s">
        <v>1842</v>
      </c>
      <c r="C390" s="17" t="s">
        <v>23</v>
      </c>
      <c r="D390" s="17" t="s">
        <v>24</v>
      </c>
      <c r="E390" s="17">
        <v>10248</v>
      </c>
      <c r="F390" s="17" t="s">
        <v>1843</v>
      </c>
      <c r="G390" s="17" t="s">
        <v>1883</v>
      </c>
      <c r="H390" s="17" t="s">
        <v>4017</v>
      </c>
    </row>
    <row r="391" spans="1:8" ht="11.1" hidden="1" customHeight="1">
      <c r="A391" s="17" t="s">
        <v>689</v>
      </c>
      <c r="B391" s="17" t="s">
        <v>690</v>
      </c>
      <c r="C391" s="17" t="s">
        <v>44</v>
      </c>
      <c r="D391" s="17" t="s">
        <v>45</v>
      </c>
      <c r="E391" s="17">
        <v>10245</v>
      </c>
      <c r="F391" s="17" t="s">
        <v>691</v>
      </c>
      <c r="G391" s="17" t="s">
        <v>2345</v>
      </c>
      <c r="H391" s="17" t="s">
        <v>4015</v>
      </c>
    </row>
    <row r="392" spans="1:8" ht="11.1" hidden="1" customHeight="1">
      <c r="A392" s="17" t="s">
        <v>1502</v>
      </c>
      <c r="B392" s="17" t="s">
        <v>1503</v>
      </c>
      <c r="C392" s="17" t="s">
        <v>861</v>
      </c>
      <c r="D392" s="17" t="s">
        <v>862</v>
      </c>
      <c r="E392" s="17">
        <v>8706</v>
      </c>
      <c r="F392" s="17" t="s">
        <v>1504</v>
      </c>
      <c r="G392" s="17" t="s">
        <v>1505</v>
      </c>
      <c r="H392" s="17" t="s">
        <v>4101</v>
      </c>
    </row>
    <row r="393" spans="1:8" ht="11.1" hidden="1" customHeight="1">
      <c r="A393" s="17" t="s">
        <v>2379</v>
      </c>
      <c r="B393" s="17" t="s">
        <v>2380</v>
      </c>
      <c r="C393" s="17" t="s">
        <v>2366</v>
      </c>
      <c r="D393" s="17" t="s">
        <v>2367</v>
      </c>
      <c r="E393" s="17">
        <v>10007</v>
      </c>
      <c r="F393" s="17" t="s">
        <v>2381</v>
      </c>
      <c r="G393" s="17" t="s">
        <v>2382</v>
      </c>
      <c r="H393" s="17" t="s">
        <v>4001</v>
      </c>
    </row>
    <row r="394" spans="1:8" ht="11.1" hidden="1" customHeight="1">
      <c r="A394" s="17" t="s">
        <v>1498</v>
      </c>
      <c r="B394" s="17" t="s">
        <v>1499</v>
      </c>
      <c r="C394" s="17" t="s">
        <v>397</v>
      </c>
      <c r="D394" s="17" t="s">
        <v>398</v>
      </c>
      <c r="E394" s="17">
        <v>9964</v>
      </c>
      <c r="F394" s="17" t="s">
        <v>1500</v>
      </c>
      <c r="G394" s="17" t="s">
        <v>2399</v>
      </c>
      <c r="H394" s="17" t="s">
        <v>4049</v>
      </c>
    </row>
    <row r="395" spans="1:8" ht="11.1" hidden="1" customHeight="1">
      <c r="A395" s="17" t="s">
        <v>2787</v>
      </c>
      <c r="B395" s="17" t="s">
        <v>2788</v>
      </c>
      <c r="C395" s="17" t="s">
        <v>2789</v>
      </c>
      <c r="D395" s="17" t="s">
        <v>2203</v>
      </c>
      <c r="E395" s="17">
        <v>9995</v>
      </c>
      <c r="F395" s="17" t="s">
        <v>2790</v>
      </c>
      <c r="G395" s="17" t="s">
        <v>2791</v>
      </c>
      <c r="H395" s="17" t="s">
        <v>4102</v>
      </c>
    </row>
    <row r="396" spans="1:8" ht="11.1" hidden="1" customHeight="1">
      <c r="A396" s="17" t="s">
        <v>1541</v>
      </c>
      <c r="B396" s="17" t="s">
        <v>1542</v>
      </c>
      <c r="C396" s="17" t="s">
        <v>640</v>
      </c>
      <c r="D396" s="17" t="s">
        <v>398</v>
      </c>
      <c r="E396" s="17">
        <v>9964</v>
      </c>
      <c r="F396" s="17" t="s">
        <v>1543</v>
      </c>
      <c r="G396" s="17" t="s">
        <v>1544</v>
      </c>
      <c r="H396" s="17" t="s">
        <v>4049</v>
      </c>
    </row>
    <row r="397" spans="1:8" ht="11.1" hidden="1" customHeight="1">
      <c r="A397" s="17" t="s">
        <v>2792</v>
      </c>
      <c r="B397" s="17" t="s">
        <v>2793</v>
      </c>
      <c r="C397" s="17" t="s">
        <v>128</v>
      </c>
      <c r="D397" s="17" t="s">
        <v>129</v>
      </c>
      <c r="E397" s="17">
        <v>10285</v>
      </c>
      <c r="F397" s="17" t="s">
        <v>2794</v>
      </c>
      <c r="G397" s="17" t="s">
        <v>2795</v>
      </c>
      <c r="H397" s="17" t="s">
        <v>3990</v>
      </c>
    </row>
    <row r="398" spans="1:8" ht="11.1" hidden="1" customHeight="1">
      <c r="A398" s="17" t="s">
        <v>1014</v>
      </c>
      <c r="B398" s="17" t="s">
        <v>1015</v>
      </c>
      <c r="C398" s="17" t="s">
        <v>1016</v>
      </c>
      <c r="D398" s="17" t="s">
        <v>915</v>
      </c>
      <c r="E398" s="17">
        <v>9991</v>
      </c>
      <c r="F398" s="17" t="s">
        <v>1017</v>
      </c>
      <c r="G398" s="17" t="s">
        <v>1018</v>
      </c>
      <c r="H398" s="17" t="s">
        <v>3991</v>
      </c>
    </row>
    <row r="399" spans="1:8" ht="11.1" hidden="1" customHeight="1">
      <c r="A399" s="17" t="s">
        <v>1023</v>
      </c>
      <c r="B399" s="17" t="s">
        <v>1024</v>
      </c>
      <c r="C399" s="17" t="s">
        <v>1025</v>
      </c>
      <c r="D399" s="17" t="s">
        <v>825</v>
      </c>
      <c r="E399" s="17">
        <v>10238</v>
      </c>
      <c r="F399" s="17" t="s">
        <v>1026</v>
      </c>
      <c r="G399" s="17" t="s">
        <v>1027</v>
      </c>
      <c r="H399" s="17" t="s">
        <v>3995</v>
      </c>
    </row>
    <row r="400" spans="1:8" ht="11.1" hidden="1" customHeight="1">
      <c r="A400" s="17" t="s">
        <v>2959</v>
      </c>
      <c r="B400" s="17" t="s">
        <v>1557</v>
      </c>
      <c r="C400" s="17" t="s">
        <v>677</v>
      </c>
      <c r="D400" s="17" t="s">
        <v>678</v>
      </c>
      <c r="E400" s="17">
        <v>10269</v>
      </c>
      <c r="F400" s="17" t="s">
        <v>1558</v>
      </c>
      <c r="G400" s="17" t="s">
        <v>1559</v>
      </c>
      <c r="H400" s="17" t="s">
        <v>3937</v>
      </c>
    </row>
    <row r="401" spans="1:8" ht="11.1" hidden="1" customHeight="1">
      <c r="A401" s="17" t="s">
        <v>3755</v>
      </c>
      <c r="B401" s="17" t="s">
        <v>3756</v>
      </c>
      <c r="C401" s="17" t="s">
        <v>559</v>
      </c>
      <c r="D401" s="17" t="s">
        <v>560</v>
      </c>
      <c r="E401" s="17">
        <v>10452</v>
      </c>
      <c r="F401" s="17" t="s">
        <v>3757</v>
      </c>
      <c r="G401" s="17" t="s">
        <v>3758</v>
      </c>
      <c r="H401" s="17" t="s">
        <v>3950</v>
      </c>
    </row>
    <row r="402" spans="1:8" ht="11.1" hidden="1" customHeight="1">
      <c r="A402" s="17" t="s">
        <v>363</v>
      </c>
      <c r="B402" s="17" t="s">
        <v>364</v>
      </c>
      <c r="C402" s="17" t="s">
        <v>365</v>
      </c>
      <c r="D402" s="17" t="s">
        <v>366</v>
      </c>
      <c r="E402" s="17">
        <v>8245</v>
      </c>
      <c r="F402" s="17" t="s">
        <v>368</v>
      </c>
      <c r="G402" s="17" t="s">
        <v>369</v>
      </c>
      <c r="H402" s="17" t="s">
        <v>4027</v>
      </c>
    </row>
    <row r="403" spans="1:8" ht="11.1" hidden="1" customHeight="1">
      <c r="A403" s="17" t="s">
        <v>1953</v>
      </c>
      <c r="B403" s="17" t="s">
        <v>1954</v>
      </c>
      <c r="C403" s="17" t="s">
        <v>1219</v>
      </c>
      <c r="D403" s="17" t="s">
        <v>239</v>
      </c>
      <c r="E403" s="17">
        <v>9843</v>
      </c>
      <c r="F403" s="17" t="s">
        <v>1955</v>
      </c>
      <c r="G403" s="17" t="s">
        <v>1956</v>
      </c>
      <c r="H403" s="17" t="s">
        <v>4081</v>
      </c>
    </row>
    <row r="404" spans="1:8" ht="11.1" hidden="1" customHeight="1">
      <c r="A404" s="17" t="s">
        <v>2813</v>
      </c>
      <c r="B404" s="17" t="s">
        <v>2814</v>
      </c>
      <c r="C404" s="17" t="s">
        <v>147</v>
      </c>
      <c r="D404" s="17" t="s">
        <v>148</v>
      </c>
      <c r="E404" s="17">
        <v>9749</v>
      </c>
      <c r="F404" s="17" t="s">
        <v>2815</v>
      </c>
      <c r="G404" s="17" t="s">
        <v>2816</v>
      </c>
      <c r="H404" s="17" t="s">
        <v>4080</v>
      </c>
    </row>
    <row r="405" spans="1:8" ht="11.1" hidden="1" customHeight="1">
      <c r="A405" s="17" t="s">
        <v>395</v>
      </c>
      <c r="B405" s="17" t="s">
        <v>396</v>
      </c>
      <c r="C405" s="17" t="s">
        <v>397</v>
      </c>
      <c r="D405" s="17" t="s">
        <v>398</v>
      </c>
      <c r="E405" s="17">
        <v>9964</v>
      </c>
      <c r="F405" s="17" t="s">
        <v>400</v>
      </c>
      <c r="G405" s="17" t="s">
        <v>401</v>
      </c>
      <c r="H405" s="17" t="s">
        <v>4049</v>
      </c>
    </row>
    <row r="406" spans="1:8" ht="11.1" customHeight="1">
      <c r="A406" s="17" t="s">
        <v>1972</v>
      </c>
      <c r="B406" s="17" t="s">
        <v>1973</v>
      </c>
      <c r="C406" s="17" t="s">
        <v>665</v>
      </c>
      <c r="D406" s="17" t="s">
        <v>666</v>
      </c>
      <c r="E406" s="17">
        <v>10467</v>
      </c>
      <c r="F406" s="17" t="s">
        <v>1974</v>
      </c>
      <c r="G406" s="17" t="s">
        <v>1975</v>
      </c>
      <c r="H406" s="17" t="s">
        <v>4064</v>
      </c>
    </row>
    <row r="407" spans="1:8" ht="11.1" hidden="1" customHeight="1">
      <c r="A407" s="17" t="s">
        <v>3775</v>
      </c>
      <c r="B407" s="17" t="s">
        <v>3776</v>
      </c>
      <c r="C407" s="17" t="s">
        <v>861</v>
      </c>
      <c r="D407" s="17" t="s">
        <v>862</v>
      </c>
      <c r="E407" s="17">
        <v>8706</v>
      </c>
      <c r="F407" s="17" t="s">
        <v>3777</v>
      </c>
      <c r="G407" s="17" t="s">
        <v>3778</v>
      </c>
      <c r="H407" s="17" t="s">
        <v>4101</v>
      </c>
    </row>
    <row r="408" spans="1:8" ht="11.1" hidden="1" customHeight="1">
      <c r="A408" s="17" t="s">
        <v>1976</v>
      </c>
      <c r="B408" s="17" t="s">
        <v>1977</v>
      </c>
      <c r="C408" s="17" t="s">
        <v>1420</v>
      </c>
      <c r="D408" s="17" t="s">
        <v>1421</v>
      </c>
      <c r="E408" s="17">
        <v>10001</v>
      </c>
      <c r="F408" s="17" t="s">
        <v>1978</v>
      </c>
      <c r="G408" s="17" t="s">
        <v>1979</v>
      </c>
      <c r="H408" s="17" t="s">
        <v>4068</v>
      </c>
    </row>
    <row r="409" spans="1:8" ht="11.1" hidden="1" customHeight="1">
      <c r="A409" s="17" t="s">
        <v>3800</v>
      </c>
      <c r="B409" s="17" t="s">
        <v>3801</v>
      </c>
      <c r="C409" s="17" t="s">
        <v>2418</v>
      </c>
      <c r="D409" s="17" t="s">
        <v>3802</v>
      </c>
      <c r="E409" s="17">
        <v>8444</v>
      </c>
      <c r="F409" s="17" t="s">
        <v>3803</v>
      </c>
      <c r="G409" s="17" t="s">
        <v>3804</v>
      </c>
      <c r="H409" s="17" t="s">
        <v>4060</v>
      </c>
    </row>
    <row r="410" spans="1:8" ht="11.1" hidden="1" customHeight="1">
      <c r="A410" s="17" t="s">
        <v>3295</v>
      </c>
      <c r="B410" s="17" t="s">
        <v>3296</v>
      </c>
      <c r="C410" s="17" t="s">
        <v>3072</v>
      </c>
      <c r="D410" s="17" t="s">
        <v>535</v>
      </c>
      <c r="E410" s="17">
        <v>8794</v>
      </c>
      <c r="F410" s="17" t="s">
        <v>3297</v>
      </c>
      <c r="G410" s="17" t="s">
        <v>3298</v>
      </c>
      <c r="H410" s="17" t="s">
        <v>4103</v>
      </c>
    </row>
    <row r="411" spans="1:8" ht="11.1" hidden="1" customHeight="1">
      <c r="A411" s="17" t="s">
        <v>459</v>
      </c>
      <c r="B411" s="17" t="s">
        <v>460</v>
      </c>
      <c r="C411" s="17" t="s">
        <v>461</v>
      </c>
      <c r="D411" s="17" t="s">
        <v>462</v>
      </c>
      <c r="E411" s="17">
        <v>10006</v>
      </c>
      <c r="F411" s="17" t="s">
        <v>464</v>
      </c>
      <c r="G411" s="17" t="s">
        <v>465</v>
      </c>
      <c r="H411" s="17" t="s">
        <v>4075</v>
      </c>
    </row>
    <row r="412" spans="1:8" ht="11.1" hidden="1" customHeight="1">
      <c r="A412" s="17" t="s">
        <v>1074</v>
      </c>
      <c r="B412" s="17" t="s">
        <v>1075</v>
      </c>
      <c r="C412" s="17" t="s">
        <v>1076</v>
      </c>
      <c r="D412" s="17" t="s">
        <v>542</v>
      </c>
      <c r="E412" s="17">
        <v>10000</v>
      </c>
      <c r="F412" s="17" t="s">
        <v>1077</v>
      </c>
      <c r="G412" s="17" t="s">
        <v>1078</v>
      </c>
      <c r="H412" s="17" t="s">
        <v>4016</v>
      </c>
    </row>
    <row r="413" spans="1:8" ht="11.1" hidden="1" customHeight="1">
      <c r="A413" s="17" t="s">
        <v>3815</v>
      </c>
      <c r="B413" s="17" t="s">
        <v>3816</v>
      </c>
      <c r="C413" s="17" t="s">
        <v>914</v>
      </c>
      <c r="D413" s="17" t="s">
        <v>915</v>
      </c>
      <c r="E413" s="17">
        <v>9991</v>
      </c>
      <c r="F413" s="17" t="s">
        <v>3817</v>
      </c>
      <c r="G413" s="17" t="s">
        <v>3818</v>
      </c>
      <c r="H413" s="17" t="s">
        <v>3991</v>
      </c>
    </row>
    <row r="414" spans="1:8" ht="11.1" hidden="1" customHeight="1">
      <c r="A414" s="17" t="s">
        <v>475</v>
      </c>
      <c r="B414" s="17" t="s">
        <v>476</v>
      </c>
      <c r="C414" s="17" t="s">
        <v>477</v>
      </c>
      <c r="D414" s="17" t="s">
        <v>478</v>
      </c>
      <c r="E414" s="17">
        <v>8956</v>
      </c>
      <c r="F414" s="17" t="s">
        <v>480</v>
      </c>
      <c r="G414" s="17" t="s">
        <v>481</v>
      </c>
      <c r="H414" s="17" t="s">
        <v>3944</v>
      </c>
    </row>
    <row r="415" spans="1:8" ht="11.1" hidden="1" customHeight="1">
      <c r="A415" s="17" t="s">
        <v>2470</v>
      </c>
      <c r="B415" s="17" t="s">
        <v>2471</v>
      </c>
      <c r="C415" s="17" t="s">
        <v>2472</v>
      </c>
      <c r="D415" s="17" t="s">
        <v>2291</v>
      </c>
      <c r="E415" s="17">
        <v>9833</v>
      </c>
      <c r="F415" s="17" t="s">
        <v>2473</v>
      </c>
      <c r="G415" s="17" t="s">
        <v>2474</v>
      </c>
      <c r="H415" s="17" t="s">
        <v>3976</v>
      </c>
    </row>
    <row r="416" spans="1:8" ht="11.1" hidden="1" customHeight="1">
      <c r="A416" s="17" t="s">
        <v>1279</v>
      </c>
      <c r="B416" s="17" t="s">
        <v>1280</v>
      </c>
      <c r="C416" s="17" t="s">
        <v>495</v>
      </c>
      <c r="D416" s="17" t="s">
        <v>184</v>
      </c>
      <c r="E416" s="17">
        <v>10241</v>
      </c>
      <c r="F416" s="17" t="s">
        <v>1281</v>
      </c>
      <c r="G416" s="17" t="s">
        <v>2475</v>
      </c>
      <c r="H416" s="17" t="s">
        <v>4008</v>
      </c>
    </row>
    <row r="417" spans="1:8" ht="11.1" hidden="1" customHeight="1">
      <c r="A417" s="17" t="s">
        <v>2476</v>
      </c>
      <c r="B417" s="17" t="s">
        <v>1280</v>
      </c>
      <c r="C417" s="17" t="s">
        <v>495</v>
      </c>
      <c r="D417" s="17" t="s">
        <v>184</v>
      </c>
      <c r="E417" s="17">
        <v>10241</v>
      </c>
      <c r="F417" s="17" t="s">
        <v>1281</v>
      </c>
      <c r="G417" s="17" t="s">
        <v>2475</v>
      </c>
      <c r="H417" s="17" t="s">
        <v>4008</v>
      </c>
    </row>
    <row r="418" spans="1:8" ht="11.1" hidden="1" customHeight="1">
      <c r="A418" s="17" t="s">
        <v>2015</v>
      </c>
      <c r="B418" s="17" t="s">
        <v>2016</v>
      </c>
      <c r="C418" s="17" t="s">
        <v>2017</v>
      </c>
      <c r="D418" s="17" t="s">
        <v>2018</v>
      </c>
      <c r="E418" s="17">
        <v>9994</v>
      </c>
      <c r="F418" s="17" t="s">
        <v>2020</v>
      </c>
      <c r="G418" s="17" t="s">
        <v>2021</v>
      </c>
      <c r="H418" s="17" t="s">
        <v>3961</v>
      </c>
    </row>
    <row r="419" spans="1:8" ht="11.1" hidden="1" customHeight="1">
      <c r="A419" s="17" t="s">
        <v>1111</v>
      </c>
      <c r="B419" s="17" t="s">
        <v>1112</v>
      </c>
      <c r="C419" s="17" t="s">
        <v>1113</v>
      </c>
      <c r="D419" s="17" t="s">
        <v>745</v>
      </c>
      <c r="E419" s="17">
        <v>10092</v>
      </c>
      <c r="F419" s="17" t="s">
        <v>1114</v>
      </c>
      <c r="G419" s="17" t="s">
        <v>1115</v>
      </c>
      <c r="H419" s="17" t="s">
        <v>3992</v>
      </c>
    </row>
    <row r="420" spans="1:8" ht="11.1" hidden="1" customHeight="1">
      <c r="A420" s="17" t="s">
        <v>2483</v>
      </c>
      <c r="B420" s="17" t="s">
        <v>2484</v>
      </c>
      <c r="C420" s="17" t="s">
        <v>1967</v>
      </c>
      <c r="D420" s="17" t="s">
        <v>1968</v>
      </c>
      <c r="E420" s="17">
        <v>9202</v>
      </c>
      <c r="F420" s="17" t="s">
        <v>2485</v>
      </c>
      <c r="G420" s="17" t="s">
        <v>2486</v>
      </c>
      <c r="H420" s="17" t="s">
        <v>4056</v>
      </c>
    </row>
    <row r="421" spans="1:8" ht="11.1" hidden="1" customHeight="1">
      <c r="A421" s="17" t="s">
        <v>2023</v>
      </c>
      <c r="B421" s="17" t="s">
        <v>2024</v>
      </c>
      <c r="C421" s="17" t="s">
        <v>100</v>
      </c>
      <c r="D421" s="17" t="s">
        <v>2025</v>
      </c>
      <c r="E421" s="17">
        <v>10349</v>
      </c>
      <c r="F421" s="17" t="s">
        <v>2026</v>
      </c>
      <c r="G421" s="17" t="s">
        <v>2027</v>
      </c>
      <c r="H421" s="17" t="s">
        <v>3943</v>
      </c>
    </row>
    <row r="422" spans="1:8" ht="11.1" hidden="1" customHeight="1">
      <c r="A422" s="17" t="s">
        <v>2032</v>
      </c>
      <c r="B422" s="17" t="s">
        <v>2033</v>
      </c>
      <c r="C422" s="17" t="s">
        <v>404</v>
      </c>
      <c r="D422" s="17" t="s">
        <v>405</v>
      </c>
      <c r="E422" s="17">
        <v>8708</v>
      </c>
      <c r="F422" s="17" t="s">
        <v>2034</v>
      </c>
      <c r="G422" s="17" t="s">
        <v>2035</v>
      </c>
      <c r="H422" s="17" t="s">
        <v>4010</v>
      </c>
    </row>
    <row r="423" spans="1:8" ht="11.1" hidden="1" customHeight="1">
      <c r="A423" s="17" t="s">
        <v>3333</v>
      </c>
      <c r="B423" s="17" t="s">
        <v>3334</v>
      </c>
      <c r="C423" s="17" t="s">
        <v>744</v>
      </c>
      <c r="D423" s="17" t="s">
        <v>745</v>
      </c>
      <c r="E423" s="17">
        <v>10092</v>
      </c>
      <c r="F423" s="17" t="s">
        <v>3335</v>
      </c>
      <c r="G423" s="17" t="s">
        <v>3336</v>
      </c>
      <c r="H423" s="17" t="s">
        <v>3992</v>
      </c>
    </row>
    <row r="424" spans="1:8" ht="11.1" hidden="1" customHeight="1">
      <c r="A424" s="17" t="s">
        <v>2044</v>
      </c>
      <c r="B424" s="17" t="s">
        <v>2045</v>
      </c>
      <c r="C424" s="17" t="s">
        <v>2046</v>
      </c>
      <c r="D424" s="17" t="s">
        <v>578</v>
      </c>
      <c r="E424" s="17">
        <v>7485</v>
      </c>
      <c r="F424" s="17" t="s">
        <v>2048</v>
      </c>
      <c r="G424" s="17" t="s">
        <v>2049</v>
      </c>
      <c r="H424" s="17" t="s">
        <v>3933</v>
      </c>
    </row>
    <row r="425" spans="1:8" ht="11.1" hidden="1" customHeight="1">
      <c r="A425" s="17" t="s">
        <v>1148</v>
      </c>
      <c r="B425" s="17" t="s">
        <v>1149</v>
      </c>
      <c r="C425" s="17" t="s">
        <v>1150</v>
      </c>
      <c r="D425" s="17" t="s">
        <v>287</v>
      </c>
      <c r="E425" s="17">
        <v>10187</v>
      </c>
      <c r="F425" s="17" t="s">
        <v>1151</v>
      </c>
      <c r="G425" s="17" t="s">
        <v>1152</v>
      </c>
      <c r="H425" s="17" t="s">
        <v>4104</v>
      </c>
    </row>
    <row r="426" spans="1:8" ht="11.1" hidden="1" customHeight="1">
      <c r="A426" s="17" t="s">
        <v>2059</v>
      </c>
      <c r="B426" s="17" t="s">
        <v>2060</v>
      </c>
      <c r="C426" s="17" t="s">
        <v>2061</v>
      </c>
      <c r="D426" s="17" t="s">
        <v>2062</v>
      </c>
      <c r="E426" s="17">
        <v>10004</v>
      </c>
      <c r="F426" s="17" t="s">
        <v>2064</v>
      </c>
      <c r="G426" s="17" t="s">
        <v>2065</v>
      </c>
      <c r="H426" s="17" t="s">
        <v>4105</v>
      </c>
    </row>
    <row r="427" spans="1:8" ht="11.1" hidden="1" customHeight="1">
      <c r="A427" s="17" t="s">
        <v>2511</v>
      </c>
      <c r="B427" s="17" t="s">
        <v>2512</v>
      </c>
      <c r="C427" s="17" t="s">
        <v>100</v>
      </c>
      <c r="D427" s="17" t="s">
        <v>2025</v>
      </c>
      <c r="E427" s="17">
        <v>10349</v>
      </c>
      <c r="F427" s="17" t="s">
        <v>2513</v>
      </c>
      <c r="G427" s="17" t="s">
        <v>2514</v>
      </c>
      <c r="H427" s="17" t="s">
        <v>3943</v>
      </c>
    </row>
    <row r="428" spans="1:8" ht="11.1" hidden="1" customHeight="1">
      <c r="A428" s="17" t="s">
        <v>1678</v>
      </c>
      <c r="B428" s="17" t="s">
        <v>1679</v>
      </c>
      <c r="C428" s="17" t="s">
        <v>1680</v>
      </c>
      <c r="D428" s="17" t="s">
        <v>1421</v>
      </c>
      <c r="E428" s="17">
        <v>10001</v>
      </c>
      <c r="F428" s="17" t="s">
        <v>1681</v>
      </c>
      <c r="G428" s="17" t="s">
        <v>1682</v>
      </c>
      <c r="H428" s="17" t="s">
        <v>4068</v>
      </c>
    </row>
    <row r="429" spans="1:8" ht="11.1" hidden="1" customHeight="1">
      <c r="A429" s="17" t="s">
        <v>3383</v>
      </c>
      <c r="B429" s="17" t="s">
        <v>3384</v>
      </c>
      <c r="C429" s="17" t="s">
        <v>261</v>
      </c>
      <c r="D429" s="17" t="s">
        <v>262</v>
      </c>
      <c r="E429" s="17">
        <v>9635</v>
      </c>
      <c r="F429" s="17" t="s">
        <v>3385</v>
      </c>
      <c r="G429" s="17" t="s">
        <v>3386</v>
      </c>
      <c r="H429" s="17" t="s">
        <v>4048</v>
      </c>
    </row>
    <row r="430" spans="1:8" ht="11.1" hidden="1" customHeight="1">
      <c r="A430" s="17" t="s">
        <v>582</v>
      </c>
      <c r="B430" s="17" t="s">
        <v>583</v>
      </c>
      <c r="C430" s="17" t="s">
        <v>584</v>
      </c>
      <c r="D430" s="17" t="s">
        <v>585</v>
      </c>
      <c r="E430" s="17">
        <v>8553</v>
      </c>
      <c r="F430" s="17" t="s">
        <v>587</v>
      </c>
      <c r="G430" s="17" t="s">
        <v>588</v>
      </c>
      <c r="H430" s="17" t="s">
        <v>3934</v>
      </c>
    </row>
    <row r="431" spans="1:8" ht="11.1" hidden="1" customHeight="1">
      <c r="A431" s="17" t="s">
        <v>3900</v>
      </c>
      <c r="B431" s="17" t="s">
        <v>3901</v>
      </c>
      <c r="C431" s="17" t="s">
        <v>1520</v>
      </c>
      <c r="D431" s="17" t="s">
        <v>1521</v>
      </c>
      <c r="E431" s="17">
        <v>9888</v>
      </c>
      <c r="F431" s="17" t="s">
        <v>3902</v>
      </c>
      <c r="G431" s="17" t="s">
        <v>3903</v>
      </c>
      <c r="H431" s="17" t="s">
        <v>3987</v>
      </c>
    </row>
    <row r="432" spans="1:8" ht="11.1" hidden="1" customHeight="1">
      <c r="A432" s="17" t="s">
        <v>603</v>
      </c>
      <c r="B432" s="17" t="s">
        <v>604</v>
      </c>
      <c r="C432" s="17" t="s">
        <v>605</v>
      </c>
      <c r="D432" s="17" t="s">
        <v>606</v>
      </c>
      <c r="E432" s="17">
        <v>10335</v>
      </c>
      <c r="F432" s="17" t="s">
        <v>608</v>
      </c>
      <c r="G432" s="17" t="s">
        <v>609</v>
      </c>
      <c r="H432" s="17" t="s">
        <v>3951</v>
      </c>
    </row>
    <row r="433" spans="1:8" ht="11.1" hidden="1" customHeight="1">
      <c r="A433" s="17" t="s">
        <v>3433</v>
      </c>
      <c r="B433" s="17" t="s">
        <v>3434</v>
      </c>
      <c r="C433" s="17" t="s">
        <v>3435</v>
      </c>
      <c r="D433" s="17" t="s">
        <v>922</v>
      </c>
      <c r="E433" s="17">
        <v>9179</v>
      </c>
      <c r="F433" s="17" t="s">
        <v>3436</v>
      </c>
      <c r="G433" s="17" t="s">
        <v>3437</v>
      </c>
      <c r="H433" s="17" t="s">
        <v>3984</v>
      </c>
    </row>
    <row r="434" spans="1:8" ht="11.1" hidden="1" customHeight="1">
      <c r="A434" s="17" t="s">
        <v>1240</v>
      </c>
      <c r="B434" s="17" t="s">
        <v>1241</v>
      </c>
      <c r="C434" s="17" t="s">
        <v>949</v>
      </c>
      <c r="D434" s="17" t="s">
        <v>1242</v>
      </c>
      <c r="E434" s="17">
        <v>10458</v>
      </c>
      <c r="F434" s="17" t="s">
        <v>1243</v>
      </c>
      <c r="G434" s="17" t="s">
        <v>1244</v>
      </c>
      <c r="H434" s="17" t="s">
        <v>3965</v>
      </c>
    </row>
    <row r="435" spans="1:8" ht="11.1" hidden="1" customHeight="1">
      <c r="A435" s="17" t="s">
        <v>3442</v>
      </c>
      <c r="B435" s="17" t="s">
        <v>3443</v>
      </c>
      <c r="C435" s="17" t="s">
        <v>169</v>
      </c>
      <c r="D435" s="17" t="s">
        <v>170</v>
      </c>
      <c r="E435" s="17">
        <v>10309</v>
      </c>
      <c r="F435" s="17" t="s">
        <v>3444</v>
      </c>
      <c r="G435" s="17" t="s">
        <v>3445</v>
      </c>
      <c r="H435" s="17" t="s">
        <v>4005</v>
      </c>
    </row>
    <row r="436" spans="1:8" ht="11.1" hidden="1" customHeight="1">
      <c r="A436" s="17" t="s">
        <v>2972</v>
      </c>
      <c r="B436" s="17" t="s">
        <v>2973</v>
      </c>
      <c r="C436" s="17" t="s">
        <v>2452</v>
      </c>
      <c r="D436" s="17" t="s">
        <v>2453</v>
      </c>
      <c r="E436" s="17">
        <v>9027</v>
      </c>
      <c r="F436" s="17" t="s">
        <v>2974</v>
      </c>
      <c r="G436" s="17" t="s">
        <v>2975</v>
      </c>
      <c r="H436" s="17" t="s">
        <v>4106</v>
      </c>
    </row>
    <row r="437" spans="1:8" ht="11.1" hidden="1" customHeight="1">
      <c r="A437" s="17" t="s">
        <v>693</v>
      </c>
      <c r="B437" s="17" t="s">
        <v>99</v>
      </c>
      <c r="C437" s="17" t="s">
        <v>100</v>
      </c>
      <c r="D437" s="17" t="s">
        <v>101</v>
      </c>
      <c r="E437" s="17">
        <v>10349</v>
      </c>
      <c r="F437" s="17" t="s">
        <v>103</v>
      </c>
      <c r="G437" s="17" t="s">
        <v>1256</v>
      </c>
      <c r="H437" s="17" t="s">
        <v>3943</v>
      </c>
    </row>
    <row r="438" spans="1:8" ht="11.1" hidden="1" customHeight="1">
      <c r="A438" s="17" t="s">
        <v>643</v>
      </c>
      <c r="B438" s="17" t="s">
        <v>644</v>
      </c>
      <c r="C438" s="17" t="s">
        <v>508</v>
      </c>
      <c r="D438" s="17" t="s">
        <v>645</v>
      </c>
      <c r="E438" s="17">
        <v>9258</v>
      </c>
      <c r="F438" s="17" t="s">
        <v>646</v>
      </c>
      <c r="G438" s="17" t="s">
        <v>647</v>
      </c>
      <c r="H438" s="17" t="s">
        <v>4050</v>
      </c>
    </row>
    <row r="439" spans="1:8" ht="11.1" hidden="1" customHeight="1">
      <c r="A439" s="17" t="s">
        <v>14</v>
      </c>
      <c r="B439" s="17" t="s">
        <v>15</v>
      </c>
      <c r="C439" s="17" t="s">
        <v>16</v>
      </c>
      <c r="D439" s="17" t="s">
        <v>17</v>
      </c>
      <c r="E439" s="17">
        <v>8552</v>
      </c>
      <c r="F439" s="17" t="s">
        <v>19</v>
      </c>
      <c r="G439" s="17" t="s">
        <v>20</v>
      </c>
      <c r="H439" s="17" t="s">
        <v>3968</v>
      </c>
    </row>
    <row r="440" spans="1:8" ht="11.1" hidden="1" customHeight="1">
      <c r="A440" s="17" t="s">
        <v>3022</v>
      </c>
      <c r="B440" s="17" t="s">
        <v>3023</v>
      </c>
      <c r="C440" s="17" t="s">
        <v>2587</v>
      </c>
      <c r="D440" s="17" t="s">
        <v>2588</v>
      </c>
      <c r="E440" s="17">
        <v>8435</v>
      </c>
      <c r="F440" s="17" t="s">
        <v>3024</v>
      </c>
      <c r="G440" s="17" t="s">
        <v>3025</v>
      </c>
      <c r="H440" s="17" t="s">
        <v>4032</v>
      </c>
    </row>
    <row r="441" spans="1:8" ht="11.1" hidden="1" customHeight="1">
      <c r="A441" s="17" t="s">
        <v>35</v>
      </c>
      <c r="B441" s="17" t="s">
        <v>36</v>
      </c>
      <c r="C441" s="17" t="s">
        <v>37</v>
      </c>
      <c r="D441" s="17" t="s">
        <v>38</v>
      </c>
      <c r="E441" s="17">
        <v>8562</v>
      </c>
      <c r="F441" s="17" t="s">
        <v>40</v>
      </c>
      <c r="G441" s="17" t="s">
        <v>41</v>
      </c>
      <c r="H441" s="17" t="s">
        <v>3936</v>
      </c>
    </row>
    <row r="442" spans="1:8" ht="11.1" hidden="1" customHeight="1">
      <c r="A442" s="17" t="s">
        <v>1069</v>
      </c>
      <c r="B442" s="17" t="s">
        <v>1070</v>
      </c>
      <c r="C442" s="17" t="s">
        <v>65</v>
      </c>
      <c r="D442" s="17" t="s">
        <v>66</v>
      </c>
      <c r="E442" s="17">
        <v>10244</v>
      </c>
      <c r="F442" s="17" t="s">
        <v>1071</v>
      </c>
      <c r="G442" s="17" t="s">
        <v>1750</v>
      </c>
      <c r="H442" s="17" t="s">
        <v>3980</v>
      </c>
    </row>
    <row r="443" spans="1:8" ht="11.1" hidden="1" customHeight="1">
      <c r="A443" s="17" t="s">
        <v>1755</v>
      </c>
      <c r="B443" s="17" t="s">
        <v>1756</v>
      </c>
      <c r="C443" s="17" t="s">
        <v>72</v>
      </c>
      <c r="D443" s="17" t="s">
        <v>73</v>
      </c>
      <c r="E443" s="17">
        <v>7682</v>
      </c>
      <c r="F443" s="17" t="s">
        <v>1757</v>
      </c>
      <c r="G443" s="17" t="s">
        <v>1758</v>
      </c>
      <c r="H443" s="17" t="s">
        <v>3940</v>
      </c>
    </row>
    <row r="444" spans="1:8" ht="11.1" hidden="1" customHeight="1">
      <c r="A444" s="17" t="s">
        <v>3046</v>
      </c>
      <c r="B444" s="17" t="s">
        <v>3047</v>
      </c>
      <c r="C444" s="17" t="s">
        <v>1315</v>
      </c>
      <c r="D444" s="17" t="s">
        <v>1316</v>
      </c>
      <c r="E444" s="17">
        <v>7742</v>
      </c>
      <c r="F444" s="17" t="s">
        <v>3048</v>
      </c>
      <c r="G444" s="17" t="s">
        <v>3049</v>
      </c>
      <c r="H444" s="17" t="s">
        <v>4033</v>
      </c>
    </row>
    <row r="445" spans="1:8" ht="11.1" hidden="1" customHeight="1">
      <c r="A445" s="17" t="s">
        <v>1324</v>
      </c>
      <c r="B445" s="17" t="s">
        <v>1325</v>
      </c>
      <c r="C445" s="17" t="s">
        <v>37</v>
      </c>
      <c r="D445" s="17" t="s">
        <v>1326</v>
      </c>
      <c r="E445" s="17">
        <v>8562</v>
      </c>
      <c r="F445" s="17" t="s">
        <v>1327</v>
      </c>
      <c r="G445" s="17" t="s">
        <v>1328</v>
      </c>
      <c r="H445" s="17" t="s">
        <v>3936</v>
      </c>
    </row>
    <row r="446" spans="1:8" ht="11.1" hidden="1" customHeight="1">
      <c r="A446" s="17" t="s">
        <v>2344</v>
      </c>
      <c r="B446" s="17" t="s">
        <v>690</v>
      </c>
      <c r="C446" s="17" t="s">
        <v>44</v>
      </c>
      <c r="D446" s="17" t="s">
        <v>45</v>
      </c>
      <c r="E446" s="17">
        <v>10245</v>
      </c>
      <c r="F446" s="17" t="s">
        <v>691</v>
      </c>
      <c r="G446" s="17" t="s">
        <v>692</v>
      </c>
      <c r="H446" s="17" t="s">
        <v>4015</v>
      </c>
    </row>
    <row r="447" spans="1:8" ht="11.1" hidden="1" customHeight="1">
      <c r="A447" s="17" t="s">
        <v>1342</v>
      </c>
      <c r="B447" s="17" t="s">
        <v>1343</v>
      </c>
      <c r="C447" s="17" t="s">
        <v>169</v>
      </c>
      <c r="D447" s="17" t="s">
        <v>170</v>
      </c>
      <c r="E447" s="17">
        <v>10309</v>
      </c>
      <c r="F447" s="17" t="s">
        <v>1344</v>
      </c>
      <c r="G447" s="17" t="s">
        <v>1345</v>
      </c>
      <c r="H447" s="17" t="s">
        <v>4005</v>
      </c>
    </row>
    <row r="448" spans="1:8" ht="11.1" hidden="1" customHeight="1">
      <c r="A448" s="17" t="s">
        <v>1346</v>
      </c>
      <c r="B448" s="17" t="s">
        <v>1347</v>
      </c>
      <c r="C448" s="17" t="s">
        <v>1348</v>
      </c>
      <c r="D448" s="17" t="s">
        <v>1349</v>
      </c>
      <c r="E448" s="17">
        <v>10234</v>
      </c>
      <c r="F448" s="17" t="s">
        <v>1351</v>
      </c>
      <c r="G448" s="17" t="s">
        <v>1352</v>
      </c>
      <c r="H448" s="17" t="s">
        <v>4014</v>
      </c>
    </row>
    <row r="449" spans="1:8" ht="11.1" hidden="1" customHeight="1">
      <c r="A449" s="17" t="s">
        <v>694</v>
      </c>
      <c r="B449" s="17" t="s">
        <v>695</v>
      </c>
      <c r="C449" s="17" t="s">
        <v>696</v>
      </c>
      <c r="D449" s="17" t="s">
        <v>697</v>
      </c>
      <c r="E449" s="17">
        <v>9886</v>
      </c>
      <c r="F449" s="17" t="s">
        <v>699</v>
      </c>
      <c r="G449" s="17" t="s">
        <v>700</v>
      </c>
      <c r="H449" s="17" t="s">
        <v>4083</v>
      </c>
    </row>
    <row r="450" spans="1:8" ht="11.1" hidden="1" customHeight="1">
      <c r="A450" s="17" t="s">
        <v>1775</v>
      </c>
      <c r="B450" s="17" t="s">
        <v>1776</v>
      </c>
      <c r="C450" s="17" t="s">
        <v>784</v>
      </c>
      <c r="D450" s="17" t="s">
        <v>1167</v>
      </c>
      <c r="E450" s="17">
        <v>9704</v>
      </c>
      <c r="F450" s="17" t="s">
        <v>1777</v>
      </c>
      <c r="G450" s="17" t="s">
        <v>1778</v>
      </c>
      <c r="H450" s="17" t="s">
        <v>3960</v>
      </c>
    </row>
    <row r="451" spans="1:8" ht="11.1" hidden="1" customHeight="1">
      <c r="A451" s="17" t="s">
        <v>3080</v>
      </c>
      <c r="B451" s="17" t="s">
        <v>3081</v>
      </c>
      <c r="C451" s="17" t="s">
        <v>3082</v>
      </c>
      <c r="D451" s="17" t="s">
        <v>832</v>
      </c>
      <c r="E451" s="17">
        <v>7168</v>
      </c>
      <c r="F451" s="17" t="s">
        <v>3084</v>
      </c>
      <c r="G451" s="17" t="s">
        <v>3085</v>
      </c>
      <c r="H451" s="17" t="s">
        <v>4107</v>
      </c>
    </row>
    <row r="452" spans="1:8" ht="11.1" hidden="1" customHeight="1">
      <c r="A452" s="17" t="s">
        <v>2631</v>
      </c>
      <c r="B452" s="17" t="s">
        <v>2632</v>
      </c>
      <c r="C452" s="17" t="s">
        <v>605</v>
      </c>
      <c r="D452" s="17" t="s">
        <v>606</v>
      </c>
      <c r="E452" s="17">
        <v>10335</v>
      </c>
      <c r="F452" s="17" t="s">
        <v>2633</v>
      </c>
      <c r="G452" s="17" t="s">
        <v>2634</v>
      </c>
      <c r="H452" s="17" t="s">
        <v>3951</v>
      </c>
    </row>
    <row r="453" spans="1:8" ht="11.1" hidden="1" customHeight="1">
      <c r="A453" s="17" t="s">
        <v>2635</v>
      </c>
      <c r="B453" s="17" t="s">
        <v>2636</v>
      </c>
      <c r="C453" s="17" t="s">
        <v>650</v>
      </c>
      <c r="D453" s="17" t="s">
        <v>651</v>
      </c>
      <c r="E453" s="17">
        <v>8697</v>
      </c>
      <c r="F453" s="17" t="s">
        <v>2637</v>
      </c>
      <c r="G453" s="17" t="s">
        <v>2638</v>
      </c>
      <c r="H453" s="17" t="s">
        <v>4063</v>
      </c>
    </row>
    <row r="454" spans="1:8" ht="11.1" hidden="1" customHeight="1">
      <c r="A454" s="17" t="s">
        <v>2200</v>
      </c>
      <c r="B454" s="17" t="s">
        <v>2201</v>
      </c>
      <c r="C454" s="17" t="s">
        <v>2202</v>
      </c>
      <c r="D454" s="17" t="s">
        <v>2203</v>
      </c>
      <c r="E454" s="17">
        <v>9995</v>
      </c>
      <c r="F454" s="17" t="s">
        <v>2205</v>
      </c>
      <c r="G454" s="17" t="s">
        <v>2206</v>
      </c>
      <c r="H454" s="17" t="s">
        <v>4102</v>
      </c>
    </row>
    <row r="455" spans="1:8" ht="11.1" hidden="1" customHeight="1">
      <c r="A455" s="17" t="s">
        <v>1379</v>
      </c>
      <c r="B455" s="17" t="s">
        <v>1380</v>
      </c>
      <c r="C455" s="17" t="s">
        <v>107</v>
      </c>
      <c r="D455" s="17" t="s">
        <v>108</v>
      </c>
      <c r="E455" s="17">
        <v>8709</v>
      </c>
      <c r="F455" s="17" t="s">
        <v>1381</v>
      </c>
      <c r="G455" s="17" t="s">
        <v>1382</v>
      </c>
      <c r="H455" s="17" t="s">
        <v>3964</v>
      </c>
    </row>
    <row r="456" spans="1:8" ht="11.1" hidden="1" customHeight="1">
      <c r="A456" s="17" t="s">
        <v>3593</v>
      </c>
      <c r="B456" s="17" t="s">
        <v>3594</v>
      </c>
      <c r="C456" s="17" t="s">
        <v>488</v>
      </c>
      <c r="D456" s="17" t="s">
        <v>489</v>
      </c>
      <c r="E456" s="17">
        <v>10461</v>
      </c>
      <c r="F456" s="17" t="s">
        <v>3595</v>
      </c>
      <c r="G456" s="17" t="s">
        <v>3596</v>
      </c>
      <c r="H456" s="17" t="s">
        <v>3978</v>
      </c>
    </row>
    <row r="457" spans="1:8" ht="11.1" hidden="1" customHeight="1">
      <c r="A457" s="17" t="s">
        <v>720</v>
      </c>
      <c r="B457" s="17" t="s">
        <v>721</v>
      </c>
      <c r="C457" s="17" t="s">
        <v>107</v>
      </c>
      <c r="D457" s="17" t="s">
        <v>108</v>
      </c>
      <c r="E457" s="17">
        <v>8709</v>
      </c>
      <c r="F457" s="17" t="s">
        <v>722</v>
      </c>
      <c r="G457" s="17" t="s">
        <v>723</v>
      </c>
      <c r="H457" s="17" t="s">
        <v>3964</v>
      </c>
    </row>
    <row r="458" spans="1:8" ht="11.1" hidden="1" customHeight="1">
      <c r="A458" s="17" t="s">
        <v>1383</v>
      </c>
      <c r="B458" s="17" t="s">
        <v>1384</v>
      </c>
      <c r="C458" s="17" t="s">
        <v>1247</v>
      </c>
      <c r="D458" s="17" t="s">
        <v>1248</v>
      </c>
      <c r="E458" s="17">
        <v>8571</v>
      </c>
      <c r="F458" s="17" t="s">
        <v>1385</v>
      </c>
      <c r="G458" s="17" t="s">
        <v>1386</v>
      </c>
      <c r="H458" s="17" t="s">
        <v>4092</v>
      </c>
    </row>
    <row r="459" spans="1:8" ht="11.1" hidden="1" customHeight="1">
      <c r="A459" s="17" t="s">
        <v>724</v>
      </c>
      <c r="B459" s="17" t="s">
        <v>725</v>
      </c>
      <c r="C459" s="17" t="s">
        <v>726</v>
      </c>
      <c r="D459" s="17" t="s">
        <v>727</v>
      </c>
      <c r="E459" s="17">
        <v>10453</v>
      </c>
      <c r="F459" s="17" t="s">
        <v>729</v>
      </c>
      <c r="G459" s="17" t="s">
        <v>730</v>
      </c>
      <c r="H459" s="17" t="s">
        <v>4084</v>
      </c>
    </row>
    <row r="460" spans="1:8" ht="11.1" hidden="1" customHeight="1">
      <c r="A460" s="17" t="s">
        <v>3601</v>
      </c>
      <c r="B460" s="17" t="s">
        <v>3602</v>
      </c>
      <c r="C460" s="17" t="s">
        <v>868</v>
      </c>
      <c r="D460" s="17" t="s">
        <v>974</v>
      </c>
      <c r="E460" s="17">
        <v>9833</v>
      </c>
      <c r="F460" s="17" t="s">
        <v>3603</v>
      </c>
      <c r="G460" s="17" t="s">
        <v>3604</v>
      </c>
      <c r="H460" s="17" t="s">
        <v>3976</v>
      </c>
    </row>
    <row r="461" spans="1:8" ht="11.1" hidden="1" customHeight="1">
      <c r="A461" s="17" t="s">
        <v>742</v>
      </c>
      <c r="B461" s="17" t="s">
        <v>743</v>
      </c>
      <c r="C461" s="17" t="s">
        <v>744</v>
      </c>
      <c r="D461" s="17" t="s">
        <v>745</v>
      </c>
      <c r="E461" s="17">
        <v>10092</v>
      </c>
      <c r="F461" s="17" t="s">
        <v>747</v>
      </c>
      <c r="G461" s="17" t="s">
        <v>748</v>
      </c>
      <c r="H461" s="17" t="s">
        <v>3992</v>
      </c>
    </row>
    <row r="462" spans="1:8" ht="11.1" hidden="1" customHeight="1">
      <c r="A462" s="17" t="s">
        <v>140</v>
      </c>
      <c r="B462" s="17" t="s">
        <v>141</v>
      </c>
      <c r="C462" s="17" t="s">
        <v>58</v>
      </c>
      <c r="D462" s="17" t="s">
        <v>59</v>
      </c>
      <c r="E462" s="17">
        <v>10268</v>
      </c>
      <c r="F462" s="17" t="s">
        <v>142</v>
      </c>
      <c r="G462" s="17" t="s">
        <v>143</v>
      </c>
      <c r="H462" s="17" t="s">
        <v>4009</v>
      </c>
    </row>
    <row r="463" spans="1:8" ht="11.1" hidden="1" customHeight="1">
      <c r="A463" s="17" t="s">
        <v>760</v>
      </c>
      <c r="B463" s="17" t="s">
        <v>761</v>
      </c>
      <c r="C463" s="17" t="s">
        <v>397</v>
      </c>
      <c r="D463" s="17" t="s">
        <v>398</v>
      </c>
      <c r="E463" s="17">
        <v>9964</v>
      </c>
      <c r="F463" s="17" t="s">
        <v>762</v>
      </c>
      <c r="G463" s="17" t="s">
        <v>763</v>
      </c>
      <c r="H463" s="17" t="s">
        <v>4049</v>
      </c>
    </row>
    <row r="464" spans="1:8" ht="11.1" hidden="1" customHeight="1">
      <c r="A464" s="17" t="s">
        <v>3114</v>
      </c>
      <c r="B464" s="17" t="s">
        <v>3115</v>
      </c>
      <c r="C464" s="17" t="s">
        <v>1089</v>
      </c>
      <c r="D464" s="17" t="s">
        <v>1090</v>
      </c>
      <c r="E464" s="17">
        <v>8572</v>
      </c>
      <c r="F464" s="17" t="s">
        <v>3116</v>
      </c>
      <c r="G464" s="17" t="s">
        <v>3117</v>
      </c>
      <c r="H464" s="17" t="s">
        <v>3974</v>
      </c>
    </row>
    <row r="465" spans="1:8" ht="11.1" hidden="1" customHeight="1">
      <c r="A465" s="17" t="s">
        <v>764</v>
      </c>
      <c r="B465" s="17" t="s">
        <v>765</v>
      </c>
      <c r="C465" s="17" t="s">
        <v>766</v>
      </c>
      <c r="D465" s="17" t="s">
        <v>767</v>
      </c>
      <c r="E465" s="17">
        <v>9951</v>
      </c>
      <c r="F465" s="17" t="s">
        <v>769</v>
      </c>
      <c r="G465" s="17" t="s">
        <v>770</v>
      </c>
      <c r="H465" s="17" t="s">
        <v>3967</v>
      </c>
    </row>
    <row r="466" spans="1:8" ht="11.1" hidden="1" customHeight="1">
      <c r="A466" s="17" t="s">
        <v>167</v>
      </c>
      <c r="B466" s="17" t="s">
        <v>168</v>
      </c>
      <c r="C466" s="17" t="s">
        <v>169</v>
      </c>
      <c r="D466" s="17" t="s">
        <v>170</v>
      </c>
      <c r="E466" s="17">
        <v>10309</v>
      </c>
      <c r="F466" s="17" t="s">
        <v>172</v>
      </c>
      <c r="G466" s="17" t="s">
        <v>173</v>
      </c>
      <c r="H466" s="17" t="s">
        <v>4005</v>
      </c>
    </row>
    <row r="467" spans="1:8" ht="11.1" hidden="1" customHeight="1">
      <c r="A467" s="17" t="s">
        <v>1407</v>
      </c>
      <c r="B467" s="17" t="s">
        <v>1408</v>
      </c>
      <c r="C467" s="17" t="s">
        <v>1409</v>
      </c>
      <c r="D467" s="17" t="s">
        <v>1410</v>
      </c>
      <c r="E467" s="17">
        <v>8573</v>
      </c>
      <c r="F467" s="17" t="s">
        <v>1412</v>
      </c>
      <c r="G467" s="17" t="s">
        <v>1413</v>
      </c>
      <c r="H467" s="17" t="s">
        <v>3948</v>
      </c>
    </row>
    <row r="468" spans="1:8" ht="11.1" hidden="1" customHeight="1">
      <c r="A468" s="17" t="s">
        <v>2260</v>
      </c>
      <c r="B468" s="17" t="s">
        <v>2261</v>
      </c>
      <c r="C468" s="17" t="s">
        <v>2191</v>
      </c>
      <c r="D468" s="17" t="s">
        <v>2192</v>
      </c>
      <c r="E468" s="17">
        <v>9199</v>
      </c>
      <c r="F468" s="17" t="s">
        <v>2262</v>
      </c>
      <c r="G468" s="17" t="s">
        <v>2263</v>
      </c>
      <c r="H468" s="17" t="s">
        <v>3947</v>
      </c>
    </row>
    <row r="469" spans="1:8" ht="11.1" hidden="1" customHeight="1">
      <c r="A469" s="17" t="s">
        <v>3126</v>
      </c>
      <c r="B469" s="17" t="s">
        <v>3127</v>
      </c>
      <c r="C469" s="17" t="s">
        <v>365</v>
      </c>
      <c r="D469" s="17" t="s">
        <v>366</v>
      </c>
      <c r="E469" s="17">
        <v>8245</v>
      </c>
      <c r="F469" s="17" t="s">
        <v>3128</v>
      </c>
      <c r="G469" s="17" t="s">
        <v>3129</v>
      </c>
      <c r="H469" s="17" t="s">
        <v>4027</v>
      </c>
    </row>
    <row r="470" spans="1:8" ht="11.1" hidden="1" customHeight="1">
      <c r="A470" s="17" t="s">
        <v>3143</v>
      </c>
      <c r="B470" s="17" t="s">
        <v>3144</v>
      </c>
      <c r="C470" s="17" t="s">
        <v>3145</v>
      </c>
      <c r="D470" s="17" t="s">
        <v>2062</v>
      </c>
      <c r="E470" s="17">
        <v>10004</v>
      </c>
      <c r="F470" s="17" t="s">
        <v>2302</v>
      </c>
      <c r="G470" s="17" t="s">
        <v>2303</v>
      </c>
      <c r="H470" s="17" t="s">
        <v>4105</v>
      </c>
    </row>
    <row r="471" spans="1:8" ht="11.1" hidden="1" customHeight="1">
      <c r="A471" s="17" t="s">
        <v>2288</v>
      </c>
      <c r="B471" s="17" t="s">
        <v>2289</v>
      </c>
      <c r="C471" s="17" t="s">
        <v>2290</v>
      </c>
      <c r="D471" s="17" t="s">
        <v>2291</v>
      </c>
      <c r="E471" s="17">
        <v>8903</v>
      </c>
      <c r="F471" s="17" t="s">
        <v>2293</v>
      </c>
      <c r="G471" s="17" t="s">
        <v>2294</v>
      </c>
      <c r="H471" s="17" t="s">
        <v>4108</v>
      </c>
    </row>
    <row r="472" spans="1:8" ht="11.1" hidden="1" customHeight="1">
      <c r="A472" s="17" t="s">
        <v>1433</v>
      </c>
      <c r="B472" s="17" t="s">
        <v>1434</v>
      </c>
      <c r="C472" s="17" t="s">
        <v>256</v>
      </c>
      <c r="D472" s="17" t="s">
        <v>80</v>
      </c>
      <c r="E472" s="17">
        <v>9181</v>
      </c>
      <c r="F472" s="17" t="s">
        <v>1435</v>
      </c>
      <c r="G472" s="17" t="s">
        <v>1436</v>
      </c>
      <c r="H472" s="17" t="s">
        <v>4071</v>
      </c>
    </row>
    <row r="473" spans="1:8" ht="11.1" hidden="1" customHeight="1">
      <c r="A473" s="17" t="s">
        <v>3160</v>
      </c>
      <c r="B473" s="17" t="s">
        <v>3161</v>
      </c>
      <c r="C473" s="17" t="s">
        <v>2310</v>
      </c>
      <c r="D473" s="17" t="s">
        <v>2311</v>
      </c>
      <c r="E473" s="17">
        <v>10308</v>
      </c>
      <c r="F473" s="17" t="s">
        <v>3162</v>
      </c>
      <c r="G473" s="17" t="s">
        <v>3163</v>
      </c>
      <c r="H473" s="17" t="s">
        <v>4005</v>
      </c>
    </row>
    <row r="474" spans="1:8" ht="11.1" hidden="1" customHeight="1">
      <c r="A474" s="17" t="s">
        <v>1448</v>
      </c>
      <c r="B474" s="17" t="s">
        <v>1449</v>
      </c>
      <c r="C474" s="17" t="s">
        <v>1450</v>
      </c>
      <c r="D474" s="17" t="s">
        <v>122</v>
      </c>
      <c r="E474" s="17">
        <v>8062</v>
      </c>
      <c r="F474" s="17" t="s">
        <v>1452</v>
      </c>
      <c r="G474" s="17" t="s">
        <v>1453</v>
      </c>
      <c r="H474" s="17" t="s">
        <v>4055</v>
      </c>
    </row>
    <row r="475" spans="1:8" ht="11.1" hidden="1" customHeight="1">
      <c r="A475" s="17" t="s">
        <v>243</v>
      </c>
      <c r="B475" s="17" t="s">
        <v>244</v>
      </c>
      <c r="C475" s="17" t="s">
        <v>169</v>
      </c>
      <c r="D475" s="17" t="s">
        <v>170</v>
      </c>
      <c r="E475" s="17">
        <v>10309</v>
      </c>
      <c r="F475" s="17" t="s">
        <v>245</v>
      </c>
      <c r="G475" s="17" t="s">
        <v>246</v>
      </c>
      <c r="H475" s="17" t="s">
        <v>4005</v>
      </c>
    </row>
    <row r="476" spans="1:8" ht="11.1" hidden="1" customHeight="1">
      <c r="A476" s="17" t="s">
        <v>851</v>
      </c>
      <c r="B476" s="17" t="s">
        <v>852</v>
      </c>
      <c r="C476" s="17" t="s">
        <v>65</v>
      </c>
      <c r="D476" s="17" t="s">
        <v>66</v>
      </c>
      <c r="E476" s="17">
        <v>10244</v>
      </c>
      <c r="F476" s="17" t="s">
        <v>853</v>
      </c>
      <c r="G476" s="17" t="s">
        <v>854</v>
      </c>
      <c r="H476" s="17" t="s">
        <v>3980</v>
      </c>
    </row>
    <row r="477" spans="1:8" ht="11.1" hidden="1" customHeight="1">
      <c r="A477" s="17" t="s">
        <v>1463</v>
      </c>
      <c r="B477" s="17" t="s">
        <v>1464</v>
      </c>
      <c r="C477" s="17" t="s">
        <v>444</v>
      </c>
      <c r="D477" s="17" t="s">
        <v>122</v>
      </c>
      <c r="E477" s="17">
        <v>8247</v>
      </c>
      <c r="F477" s="17" t="s">
        <v>1465</v>
      </c>
      <c r="G477" s="17" t="s">
        <v>1466</v>
      </c>
      <c r="H477" s="17" t="s">
        <v>3946</v>
      </c>
    </row>
    <row r="478" spans="1:8" ht="11.1" hidden="1" customHeight="1">
      <c r="A478" s="17" t="s">
        <v>1467</v>
      </c>
      <c r="B478" s="17" t="s">
        <v>1468</v>
      </c>
      <c r="C478" s="17" t="s">
        <v>204</v>
      </c>
      <c r="D478" s="17" t="s">
        <v>122</v>
      </c>
      <c r="E478" s="17">
        <v>8061</v>
      </c>
      <c r="F478" s="17" t="s">
        <v>1469</v>
      </c>
      <c r="G478" s="17" t="s">
        <v>1470</v>
      </c>
      <c r="H478" s="17" t="s">
        <v>4020</v>
      </c>
    </row>
    <row r="479" spans="1:8" ht="11.1" hidden="1" customHeight="1">
      <c r="A479" s="17" t="s">
        <v>2751</v>
      </c>
      <c r="B479" s="17" t="s">
        <v>260</v>
      </c>
      <c r="C479" s="17" t="s">
        <v>2752</v>
      </c>
      <c r="D479" s="17" t="s">
        <v>262</v>
      </c>
      <c r="E479" s="17">
        <v>9635</v>
      </c>
      <c r="F479" s="17" t="s">
        <v>264</v>
      </c>
      <c r="G479" s="17" t="s">
        <v>265</v>
      </c>
      <c r="H479" s="17" t="s">
        <v>4048</v>
      </c>
    </row>
    <row r="480" spans="1:8" ht="11.1" hidden="1" customHeight="1">
      <c r="A480" s="17" t="s">
        <v>266</v>
      </c>
      <c r="B480" s="17" t="s">
        <v>267</v>
      </c>
      <c r="C480" s="17" t="s">
        <v>100</v>
      </c>
      <c r="D480" s="17" t="s">
        <v>101</v>
      </c>
      <c r="E480" s="17">
        <v>10349</v>
      </c>
      <c r="F480" s="17" t="s">
        <v>268</v>
      </c>
      <c r="G480" s="17" t="s">
        <v>269</v>
      </c>
      <c r="H480" s="17" t="s">
        <v>3943</v>
      </c>
    </row>
    <row r="481" spans="1:8" ht="11.1" customHeight="1">
      <c r="A481" s="17" t="s">
        <v>3654</v>
      </c>
      <c r="B481" s="17" t="s">
        <v>3655</v>
      </c>
      <c r="C481" s="17" t="s">
        <v>3656</v>
      </c>
      <c r="D481" s="17" t="s">
        <v>3657</v>
      </c>
      <c r="E481" s="17">
        <v>8877</v>
      </c>
      <c r="F481" s="17" t="s">
        <v>3659</v>
      </c>
      <c r="G481" s="17" t="s">
        <v>3660</v>
      </c>
      <c r="H481" s="17" t="s">
        <v>4109</v>
      </c>
    </row>
    <row r="482" spans="1:8" ht="11.1" hidden="1" customHeight="1">
      <c r="A482" s="17" t="s">
        <v>2945</v>
      </c>
      <c r="B482" s="17" t="s">
        <v>2316</v>
      </c>
      <c r="C482" s="17" t="s">
        <v>501</v>
      </c>
      <c r="D482" s="17" t="s">
        <v>502</v>
      </c>
      <c r="E482" s="17">
        <v>10460</v>
      </c>
      <c r="F482" s="17" t="s">
        <v>2317</v>
      </c>
      <c r="G482" s="17" t="s">
        <v>2318</v>
      </c>
      <c r="H482" s="17" t="s">
        <v>3967</v>
      </c>
    </row>
    <row r="483" spans="1:8" ht="11.1" hidden="1" customHeight="1">
      <c r="A483" s="17" t="s">
        <v>859</v>
      </c>
      <c r="B483" s="17" t="s">
        <v>860</v>
      </c>
      <c r="C483" s="17" t="s">
        <v>861</v>
      </c>
      <c r="D483" s="17" t="s">
        <v>862</v>
      </c>
      <c r="E483" s="17">
        <v>8706</v>
      </c>
      <c r="F483" s="17" t="s">
        <v>864</v>
      </c>
      <c r="G483" s="17" t="s">
        <v>865</v>
      </c>
      <c r="H483" s="17" t="s">
        <v>4101</v>
      </c>
    </row>
    <row r="484" spans="1:8" ht="11.1" hidden="1" customHeight="1">
      <c r="A484" s="17" t="s">
        <v>872</v>
      </c>
      <c r="B484" s="17" t="s">
        <v>873</v>
      </c>
      <c r="C484" s="17" t="s">
        <v>128</v>
      </c>
      <c r="D484" s="17" t="s">
        <v>129</v>
      </c>
      <c r="E484" s="17">
        <v>10285</v>
      </c>
      <c r="F484" s="17" t="s">
        <v>874</v>
      </c>
      <c r="G484" s="17" t="s">
        <v>875</v>
      </c>
      <c r="H484" s="17" t="s">
        <v>3990</v>
      </c>
    </row>
    <row r="485" spans="1:8" ht="11.1" hidden="1" customHeight="1">
      <c r="A485" s="17" t="s">
        <v>3670</v>
      </c>
      <c r="B485" s="17" t="s">
        <v>3671</v>
      </c>
      <c r="C485" s="17" t="s">
        <v>3672</v>
      </c>
      <c r="D485" s="17" t="s">
        <v>2367</v>
      </c>
      <c r="E485" s="17">
        <v>10007</v>
      </c>
      <c r="F485" s="17" t="s">
        <v>3673</v>
      </c>
      <c r="G485" s="17" t="s">
        <v>3674</v>
      </c>
      <c r="H485" s="17" t="s">
        <v>4001</v>
      </c>
    </row>
    <row r="486" spans="1:8" ht="11.1" hidden="1" customHeight="1">
      <c r="A486" s="17" t="s">
        <v>2603</v>
      </c>
      <c r="B486" s="17" t="s">
        <v>893</v>
      </c>
      <c r="C486" s="17" t="s">
        <v>894</v>
      </c>
      <c r="D486" s="17" t="s">
        <v>895</v>
      </c>
      <c r="E486" s="17">
        <v>10242</v>
      </c>
      <c r="F486" s="17" t="s">
        <v>897</v>
      </c>
      <c r="G486" s="17" t="s">
        <v>898</v>
      </c>
      <c r="H486" s="17" t="s">
        <v>3942</v>
      </c>
    </row>
    <row r="487" spans="1:8" ht="11.1" hidden="1" customHeight="1">
      <c r="A487" s="17" t="s">
        <v>901</v>
      </c>
      <c r="B487" s="17" t="s">
        <v>902</v>
      </c>
      <c r="C487" s="17" t="s">
        <v>903</v>
      </c>
      <c r="D487" s="17" t="s">
        <v>904</v>
      </c>
      <c r="E487" s="17">
        <v>8570</v>
      </c>
      <c r="F487" s="17" t="s">
        <v>906</v>
      </c>
      <c r="G487" s="17" t="s">
        <v>907</v>
      </c>
      <c r="H487" s="17" t="s">
        <v>4024</v>
      </c>
    </row>
    <row r="488" spans="1:8" ht="11.1" hidden="1" customHeight="1">
      <c r="A488" s="17" t="s">
        <v>2346</v>
      </c>
      <c r="B488" s="17" t="s">
        <v>2347</v>
      </c>
      <c r="C488" s="17" t="s">
        <v>397</v>
      </c>
      <c r="D488" s="17" t="s">
        <v>398</v>
      </c>
      <c r="E488" s="17">
        <v>9964</v>
      </c>
      <c r="F488" s="17" t="s">
        <v>2348</v>
      </c>
      <c r="G488" s="17" t="s">
        <v>2349</v>
      </c>
      <c r="H488" s="17" t="s">
        <v>4049</v>
      </c>
    </row>
    <row r="489" spans="1:8" ht="11.1" hidden="1" customHeight="1">
      <c r="A489" s="17" t="s">
        <v>912</v>
      </c>
      <c r="B489" s="17" t="s">
        <v>913</v>
      </c>
      <c r="C489" s="17" t="s">
        <v>914</v>
      </c>
      <c r="D489" s="17" t="s">
        <v>915</v>
      </c>
      <c r="E489" s="17">
        <v>9991</v>
      </c>
      <c r="F489" s="17" t="s">
        <v>917</v>
      </c>
      <c r="G489" s="17" t="s">
        <v>918</v>
      </c>
      <c r="H489" s="17" t="s">
        <v>3991</v>
      </c>
    </row>
    <row r="490" spans="1:8" ht="11.1" customHeight="1">
      <c r="A490" s="17" t="s">
        <v>2360</v>
      </c>
      <c r="B490" s="17" t="s">
        <v>2361</v>
      </c>
      <c r="C490" s="17" t="s">
        <v>1107</v>
      </c>
      <c r="D490" s="17" t="s">
        <v>1108</v>
      </c>
      <c r="E490" s="17">
        <v>9715</v>
      </c>
      <c r="F490" s="17" t="s">
        <v>2362</v>
      </c>
      <c r="G490" s="17" t="s">
        <v>2363</v>
      </c>
      <c r="H490" s="17" t="s">
        <v>4006</v>
      </c>
    </row>
    <row r="491" spans="1:8" ht="11.1" hidden="1" customHeight="1">
      <c r="A491" s="17" t="s">
        <v>2364</v>
      </c>
      <c r="B491" s="17" t="s">
        <v>2365</v>
      </c>
      <c r="C491" s="17" t="s">
        <v>2366</v>
      </c>
      <c r="D491" s="17" t="s">
        <v>2367</v>
      </c>
      <c r="E491" s="17">
        <v>10007</v>
      </c>
      <c r="F491" s="17" t="s">
        <v>2369</v>
      </c>
      <c r="G491" s="17" t="s">
        <v>2370</v>
      </c>
      <c r="H491" s="17" t="s">
        <v>4001</v>
      </c>
    </row>
    <row r="492" spans="1:8" ht="11.1" hidden="1" customHeight="1">
      <c r="A492" s="17" t="s">
        <v>2757</v>
      </c>
      <c r="B492" s="17" t="s">
        <v>2758</v>
      </c>
      <c r="C492" s="17" t="s">
        <v>1705</v>
      </c>
      <c r="D492" s="17" t="s">
        <v>1706</v>
      </c>
      <c r="E492" s="17">
        <v>10459</v>
      </c>
      <c r="F492" s="17" t="s">
        <v>2759</v>
      </c>
      <c r="G492" s="17" t="s">
        <v>2760</v>
      </c>
      <c r="H492" s="17" t="s">
        <v>3966</v>
      </c>
    </row>
    <row r="493" spans="1:8" ht="11.1" hidden="1" customHeight="1">
      <c r="A493" s="17" t="s">
        <v>2375</v>
      </c>
      <c r="B493" s="17" t="s">
        <v>2376</v>
      </c>
      <c r="C493" s="17" t="s">
        <v>1520</v>
      </c>
      <c r="D493" s="17" t="s">
        <v>1521</v>
      </c>
      <c r="E493" s="17">
        <v>9888</v>
      </c>
      <c r="F493" s="17" t="s">
        <v>2377</v>
      </c>
      <c r="G493" s="17" t="s">
        <v>2378</v>
      </c>
      <c r="H493" s="17" t="s">
        <v>3987</v>
      </c>
    </row>
    <row r="494" spans="1:8" ht="11.1" hidden="1" customHeight="1">
      <c r="A494" s="17" t="s">
        <v>1514</v>
      </c>
      <c r="B494" s="17" t="s">
        <v>1515</v>
      </c>
      <c r="C494" s="17" t="s">
        <v>404</v>
      </c>
      <c r="D494" s="17" t="s">
        <v>405</v>
      </c>
      <c r="E494" s="17">
        <v>8708</v>
      </c>
      <c r="F494" s="17" t="s">
        <v>1516</v>
      </c>
      <c r="G494" s="17" t="s">
        <v>1517</v>
      </c>
      <c r="H494" s="17" t="s">
        <v>4010</v>
      </c>
    </row>
    <row r="495" spans="1:8" ht="11.1" hidden="1" customHeight="1">
      <c r="A495" s="17" t="s">
        <v>1909</v>
      </c>
      <c r="B495" s="17" t="s">
        <v>1910</v>
      </c>
      <c r="C495" s="17" t="s">
        <v>135</v>
      </c>
      <c r="D495" s="17" t="s">
        <v>136</v>
      </c>
      <c r="E495" s="17">
        <v>9631</v>
      </c>
      <c r="F495" s="17" t="s">
        <v>1911</v>
      </c>
      <c r="G495" s="17" t="s">
        <v>1912</v>
      </c>
      <c r="H495" s="17" t="s">
        <v>3986</v>
      </c>
    </row>
    <row r="496" spans="1:8" ht="11.1" hidden="1" customHeight="1">
      <c r="A496" s="17" t="s">
        <v>2766</v>
      </c>
      <c r="B496" s="17" t="s">
        <v>2767</v>
      </c>
      <c r="C496" s="17" t="s">
        <v>696</v>
      </c>
      <c r="D496" s="17" t="s">
        <v>697</v>
      </c>
      <c r="E496" s="17">
        <v>9886</v>
      </c>
      <c r="F496" s="17" t="s">
        <v>2768</v>
      </c>
      <c r="G496" s="17" t="s">
        <v>2769</v>
      </c>
      <c r="H496" s="17" t="s">
        <v>4083</v>
      </c>
    </row>
    <row r="497" spans="1:8" ht="11.1" hidden="1" customHeight="1">
      <c r="A497" s="17" t="s">
        <v>2387</v>
      </c>
      <c r="B497" s="17" t="s">
        <v>2388</v>
      </c>
      <c r="C497" s="17" t="s">
        <v>1781</v>
      </c>
      <c r="D497" s="17" t="s">
        <v>1782</v>
      </c>
      <c r="E497" s="17">
        <v>10293</v>
      </c>
      <c r="F497" s="17" t="s">
        <v>2389</v>
      </c>
      <c r="G497" s="17" t="s">
        <v>2390</v>
      </c>
      <c r="H497" s="17" t="s">
        <v>4018</v>
      </c>
    </row>
    <row r="498" spans="1:8" ht="11.1" hidden="1" customHeight="1">
      <c r="A498" s="17" t="s">
        <v>3727</v>
      </c>
      <c r="B498" s="17" t="s">
        <v>3728</v>
      </c>
      <c r="C498" s="17" t="s">
        <v>338</v>
      </c>
      <c r="D498" s="17" t="s">
        <v>339</v>
      </c>
      <c r="E498" s="17">
        <v>10470</v>
      </c>
      <c r="F498" s="17" t="s">
        <v>3729</v>
      </c>
      <c r="G498" s="17" t="s">
        <v>3730</v>
      </c>
      <c r="H498" s="17" t="s">
        <v>4065</v>
      </c>
    </row>
    <row r="499" spans="1:8" ht="11.1" hidden="1" customHeight="1">
      <c r="A499" s="17" t="s">
        <v>309</v>
      </c>
      <c r="B499" s="17" t="s">
        <v>310</v>
      </c>
      <c r="C499" s="17" t="s">
        <v>311</v>
      </c>
      <c r="D499" s="17" t="s">
        <v>312</v>
      </c>
      <c r="E499" s="17">
        <v>10003</v>
      </c>
      <c r="F499" s="17" t="s">
        <v>2444</v>
      </c>
      <c r="G499" s="17" t="s">
        <v>2445</v>
      </c>
      <c r="H499" s="17" t="s">
        <v>3957</v>
      </c>
    </row>
    <row r="500" spans="1:8" ht="11.1" hidden="1" customHeight="1">
      <c r="A500" s="17" t="s">
        <v>977</v>
      </c>
      <c r="B500" s="17" t="s">
        <v>978</v>
      </c>
      <c r="C500" s="17" t="s">
        <v>979</v>
      </c>
      <c r="D500" s="17" t="s">
        <v>980</v>
      </c>
      <c r="E500" s="17">
        <v>8445</v>
      </c>
      <c r="F500" s="17" t="s">
        <v>982</v>
      </c>
      <c r="G500" s="17" t="s">
        <v>983</v>
      </c>
      <c r="H500" s="17" t="s">
        <v>4096</v>
      </c>
    </row>
    <row r="501" spans="1:8" ht="11.1" hidden="1" customHeight="1">
      <c r="A501" s="17" t="s">
        <v>984</v>
      </c>
      <c r="B501" s="17" t="s">
        <v>985</v>
      </c>
      <c r="C501" s="17" t="s">
        <v>204</v>
      </c>
      <c r="D501" s="17" t="s">
        <v>122</v>
      </c>
      <c r="E501" s="17">
        <v>8061</v>
      </c>
      <c r="F501" s="17" t="s">
        <v>986</v>
      </c>
      <c r="G501" s="17" t="s">
        <v>987</v>
      </c>
      <c r="H501" s="17" t="s">
        <v>4020</v>
      </c>
    </row>
    <row r="502" spans="1:8" ht="11.1" hidden="1" customHeight="1">
      <c r="A502" s="17" t="s">
        <v>1913</v>
      </c>
      <c r="B502" s="17" t="s">
        <v>1914</v>
      </c>
      <c r="C502" s="17" t="s">
        <v>1915</v>
      </c>
      <c r="D502" s="17" t="s">
        <v>1916</v>
      </c>
      <c r="E502" s="17">
        <v>10463</v>
      </c>
      <c r="F502" s="17" t="s">
        <v>1918</v>
      </c>
      <c r="G502" s="17" t="s">
        <v>1919</v>
      </c>
      <c r="H502" s="17" t="s">
        <v>4110</v>
      </c>
    </row>
    <row r="503" spans="1:8" ht="11.1" hidden="1" customHeight="1">
      <c r="A503" s="17" t="s">
        <v>2774</v>
      </c>
      <c r="B503" s="17" t="s">
        <v>2775</v>
      </c>
      <c r="C503" s="17" t="s">
        <v>1009</v>
      </c>
      <c r="D503" s="17" t="s">
        <v>1010</v>
      </c>
      <c r="E503" s="17">
        <v>10099</v>
      </c>
      <c r="F503" s="17" t="s">
        <v>2776</v>
      </c>
      <c r="G503" s="17" t="s">
        <v>2777</v>
      </c>
      <c r="H503" s="17" t="s">
        <v>4073</v>
      </c>
    </row>
    <row r="504" spans="1:8" ht="11.1" hidden="1" customHeight="1">
      <c r="A504" s="17" t="s">
        <v>3735</v>
      </c>
      <c r="B504" s="17" t="s">
        <v>3736</v>
      </c>
      <c r="C504" s="17" t="s">
        <v>3607</v>
      </c>
      <c r="D504" s="17" t="s">
        <v>3608</v>
      </c>
      <c r="E504" s="17">
        <v>9985</v>
      </c>
      <c r="F504" s="17" t="s">
        <v>3737</v>
      </c>
      <c r="G504" s="17" t="s">
        <v>3738</v>
      </c>
      <c r="H504" s="17" t="s">
        <v>4097</v>
      </c>
    </row>
    <row r="505" spans="1:8" ht="11.1" hidden="1" customHeight="1">
      <c r="A505" s="17" t="s">
        <v>1525</v>
      </c>
      <c r="B505" s="17" t="s">
        <v>1526</v>
      </c>
      <c r="C505" s="17" t="s">
        <v>1527</v>
      </c>
      <c r="D505" s="17" t="s">
        <v>312</v>
      </c>
      <c r="E505" s="17">
        <v>10003</v>
      </c>
      <c r="F505" s="17" t="s">
        <v>3612</v>
      </c>
      <c r="G505" s="17" t="s">
        <v>3613</v>
      </c>
      <c r="H505" s="17" t="s">
        <v>3957</v>
      </c>
    </row>
    <row r="506" spans="1:8" ht="11.1" hidden="1" customHeight="1">
      <c r="A506" s="17" t="s">
        <v>3218</v>
      </c>
      <c r="B506" s="17" t="s">
        <v>3219</v>
      </c>
      <c r="C506" s="17" t="s">
        <v>2301</v>
      </c>
      <c r="D506" s="17" t="s">
        <v>968</v>
      </c>
      <c r="E506" s="17">
        <v>10005</v>
      </c>
      <c r="F506" s="17" t="s">
        <v>314</v>
      </c>
      <c r="G506" s="17" t="s">
        <v>315</v>
      </c>
      <c r="H506" s="17" t="s">
        <v>3971</v>
      </c>
    </row>
    <row r="507" spans="1:8" ht="11.1" hidden="1" customHeight="1">
      <c r="A507" s="17" t="s">
        <v>2408</v>
      </c>
      <c r="B507" s="17" t="s">
        <v>2409</v>
      </c>
      <c r="C507" s="17" t="s">
        <v>2202</v>
      </c>
      <c r="D507" s="17" t="s">
        <v>2203</v>
      </c>
      <c r="E507" s="17">
        <v>9995</v>
      </c>
      <c r="F507" s="17" t="s">
        <v>2410</v>
      </c>
      <c r="G507" s="17" t="s">
        <v>2411</v>
      </c>
      <c r="H507" s="17" t="s">
        <v>4102</v>
      </c>
    </row>
    <row r="508" spans="1:8" ht="11.1" hidden="1" customHeight="1">
      <c r="A508" s="17" t="s">
        <v>3237</v>
      </c>
      <c r="B508" s="17" t="s">
        <v>676</v>
      </c>
      <c r="C508" s="17" t="s">
        <v>677</v>
      </c>
      <c r="D508" s="17" t="s">
        <v>678</v>
      </c>
      <c r="E508" s="17">
        <v>10269</v>
      </c>
      <c r="F508" s="17" t="s">
        <v>680</v>
      </c>
      <c r="G508" s="17" t="s">
        <v>3238</v>
      </c>
      <c r="H508" s="17" t="s">
        <v>3937</v>
      </c>
    </row>
    <row r="509" spans="1:8" ht="11.1" hidden="1" customHeight="1">
      <c r="A509" s="17" t="s">
        <v>1556</v>
      </c>
      <c r="B509" s="17" t="s">
        <v>1557</v>
      </c>
      <c r="C509" s="17" t="s">
        <v>677</v>
      </c>
      <c r="D509" s="17" t="s">
        <v>678</v>
      </c>
      <c r="E509" s="17">
        <v>10269</v>
      </c>
      <c r="F509" s="17" t="s">
        <v>1558</v>
      </c>
      <c r="G509" s="17" t="s">
        <v>1559</v>
      </c>
      <c r="H509" s="17" t="s">
        <v>3937</v>
      </c>
    </row>
    <row r="510" spans="1:8" ht="11.1" hidden="1" customHeight="1">
      <c r="A510" s="17" t="s">
        <v>2427</v>
      </c>
      <c r="B510" s="17" t="s">
        <v>1565</v>
      </c>
      <c r="C510" s="17" t="s">
        <v>1025</v>
      </c>
      <c r="D510" s="17" t="s">
        <v>825</v>
      </c>
      <c r="E510" s="17">
        <v>10238</v>
      </c>
      <c r="F510" s="17" t="s">
        <v>1566</v>
      </c>
      <c r="G510" s="17" t="s">
        <v>1567</v>
      </c>
      <c r="H510" s="17" t="s">
        <v>3995</v>
      </c>
    </row>
    <row r="511" spans="1:8" ht="11.1" hidden="1" customHeight="1">
      <c r="A511" s="17" t="s">
        <v>3759</v>
      </c>
      <c r="B511" s="17" t="s">
        <v>3760</v>
      </c>
      <c r="C511" s="17" t="s">
        <v>501</v>
      </c>
      <c r="D511" s="17" t="s">
        <v>502</v>
      </c>
      <c r="E511" s="17">
        <v>10460</v>
      </c>
      <c r="F511" s="17" t="s">
        <v>3761</v>
      </c>
      <c r="G511" s="17" t="s">
        <v>3762</v>
      </c>
      <c r="H511" s="17" t="s">
        <v>3967</v>
      </c>
    </row>
    <row r="512" spans="1:8" ht="11.1" hidden="1" customHeight="1">
      <c r="A512" s="17" t="s">
        <v>3275</v>
      </c>
      <c r="B512" s="17" t="s">
        <v>3276</v>
      </c>
      <c r="C512" s="17" t="s">
        <v>1166</v>
      </c>
      <c r="D512" s="17" t="s">
        <v>1167</v>
      </c>
      <c r="E512" s="17">
        <v>8412</v>
      </c>
      <c r="F512" s="17" t="s">
        <v>3277</v>
      </c>
      <c r="G512" s="17" t="s">
        <v>3278</v>
      </c>
      <c r="H512" s="17" t="s">
        <v>4019</v>
      </c>
    </row>
    <row r="513" spans="1:8" ht="11.1" hidden="1" customHeight="1">
      <c r="A513" s="17" t="s">
        <v>409</v>
      </c>
      <c r="B513" s="17" t="s">
        <v>410</v>
      </c>
      <c r="C513" s="17" t="s">
        <v>411</v>
      </c>
      <c r="D513" s="17" t="s">
        <v>412</v>
      </c>
      <c r="E513" s="17">
        <v>9894</v>
      </c>
      <c r="F513" s="17" t="s">
        <v>414</v>
      </c>
      <c r="G513" s="17" t="s">
        <v>415</v>
      </c>
      <c r="H513" s="17" t="s">
        <v>4043</v>
      </c>
    </row>
    <row r="514" spans="1:8" ht="11.1" hidden="1" customHeight="1">
      <c r="A514" s="17" t="s">
        <v>416</v>
      </c>
      <c r="B514" s="17" t="s">
        <v>417</v>
      </c>
      <c r="C514" s="17" t="s">
        <v>418</v>
      </c>
      <c r="D514" s="17" t="s">
        <v>419</v>
      </c>
      <c r="E514" s="17">
        <v>8947</v>
      </c>
      <c r="F514" s="17" t="s">
        <v>421</v>
      </c>
      <c r="G514" s="17" t="s">
        <v>422</v>
      </c>
      <c r="H514" s="17" t="s">
        <v>4057</v>
      </c>
    </row>
    <row r="515" spans="1:8" ht="11.1" hidden="1" customHeight="1">
      <c r="A515" s="17" t="s">
        <v>423</v>
      </c>
      <c r="B515" s="17" t="s">
        <v>424</v>
      </c>
      <c r="C515" s="17" t="s">
        <v>217</v>
      </c>
      <c r="D515" s="17" t="s">
        <v>218</v>
      </c>
      <c r="E515" s="17">
        <v>9634</v>
      </c>
      <c r="F515" s="17" t="s">
        <v>425</v>
      </c>
      <c r="G515" s="17" t="s">
        <v>426</v>
      </c>
      <c r="H515" s="17" t="s">
        <v>4003</v>
      </c>
    </row>
    <row r="516" spans="1:8" ht="11.1" customHeight="1">
      <c r="A516" s="17" t="s">
        <v>427</v>
      </c>
      <c r="B516" s="17" t="s">
        <v>428</v>
      </c>
      <c r="C516" s="17" t="s">
        <v>429</v>
      </c>
      <c r="D516" s="17" t="s">
        <v>430</v>
      </c>
      <c r="E516" s="17">
        <v>10194</v>
      </c>
      <c r="F516" s="17" t="s">
        <v>432</v>
      </c>
      <c r="G516" s="17" t="s">
        <v>433</v>
      </c>
      <c r="H516" s="17" t="s">
        <v>4111</v>
      </c>
    </row>
    <row r="517" spans="1:8" ht="11.1" hidden="1" customHeight="1">
      <c r="A517" s="17" t="s">
        <v>3792</v>
      </c>
      <c r="B517" s="17" t="s">
        <v>3793</v>
      </c>
      <c r="C517" s="17" t="s">
        <v>1852</v>
      </c>
      <c r="D517" s="17" t="s">
        <v>1853</v>
      </c>
      <c r="E517" s="17">
        <v>9748</v>
      </c>
      <c r="F517" s="17" t="s">
        <v>3794</v>
      </c>
      <c r="G517" s="17" t="s">
        <v>3795</v>
      </c>
      <c r="H517" s="17" t="s">
        <v>4041</v>
      </c>
    </row>
    <row r="518" spans="1:8" ht="11.1" hidden="1" customHeight="1">
      <c r="A518" s="17" t="s">
        <v>3796</v>
      </c>
      <c r="B518" s="17" t="s">
        <v>3797</v>
      </c>
      <c r="C518" s="17" t="s">
        <v>1450</v>
      </c>
      <c r="D518" s="17" t="s">
        <v>122</v>
      </c>
      <c r="E518" s="17">
        <v>8062</v>
      </c>
      <c r="F518" s="17" t="s">
        <v>3798</v>
      </c>
      <c r="G518" s="17" t="s">
        <v>3799</v>
      </c>
      <c r="H518" s="17" t="s">
        <v>4055</v>
      </c>
    </row>
    <row r="519" spans="1:8" ht="11.1" hidden="1" customHeight="1">
      <c r="A519" s="17" t="s">
        <v>448</v>
      </c>
      <c r="B519" s="17" t="s">
        <v>449</v>
      </c>
      <c r="C519" s="17" t="s">
        <v>161</v>
      </c>
      <c r="D519" s="17" t="s">
        <v>162</v>
      </c>
      <c r="E519" s="17">
        <v>9253</v>
      </c>
      <c r="F519" s="17" t="s">
        <v>450</v>
      </c>
      <c r="G519" s="17" t="s">
        <v>451</v>
      </c>
      <c r="H519" s="17" t="s">
        <v>3963</v>
      </c>
    </row>
    <row r="520" spans="1:8" ht="11.1" hidden="1" customHeight="1">
      <c r="A520" s="17" t="s">
        <v>1069</v>
      </c>
      <c r="B520" s="17" t="s">
        <v>1070</v>
      </c>
      <c r="C520" s="17" t="s">
        <v>65</v>
      </c>
      <c r="D520" s="17" t="s">
        <v>66</v>
      </c>
      <c r="E520" s="17">
        <v>10244</v>
      </c>
      <c r="F520" s="17" t="s">
        <v>1071</v>
      </c>
      <c r="G520" s="17" t="s">
        <v>1072</v>
      </c>
      <c r="H520" s="17" t="s">
        <v>3980</v>
      </c>
    </row>
    <row r="521" spans="1:8" ht="11.1" hidden="1" customHeight="1">
      <c r="A521" s="17" t="s">
        <v>3304</v>
      </c>
      <c r="B521" s="17" t="s">
        <v>3305</v>
      </c>
      <c r="C521" s="17" t="s">
        <v>352</v>
      </c>
      <c r="D521" s="17" t="s">
        <v>211</v>
      </c>
      <c r="E521" s="17">
        <v>8059</v>
      </c>
      <c r="F521" s="17" t="s">
        <v>3306</v>
      </c>
      <c r="G521" s="17" t="s">
        <v>3307</v>
      </c>
      <c r="H521" s="17" t="s">
        <v>3975</v>
      </c>
    </row>
    <row r="522" spans="1:8" ht="11.1" hidden="1" customHeight="1">
      <c r="A522" s="17" t="s">
        <v>1602</v>
      </c>
      <c r="B522" s="17" t="s">
        <v>1603</v>
      </c>
      <c r="C522" s="17" t="s">
        <v>1604</v>
      </c>
      <c r="D522" s="17" t="s">
        <v>1605</v>
      </c>
      <c r="E522" s="17">
        <v>10446</v>
      </c>
      <c r="F522" s="17" t="s">
        <v>1607</v>
      </c>
      <c r="G522" s="17" t="s">
        <v>1608</v>
      </c>
      <c r="H522" s="17" t="s">
        <v>3958</v>
      </c>
    </row>
    <row r="523" spans="1:8" ht="11.1" hidden="1" customHeight="1">
      <c r="A523" s="17" t="s">
        <v>471</v>
      </c>
      <c r="B523" s="17" t="s">
        <v>472</v>
      </c>
      <c r="C523" s="17" t="s">
        <v>404</v>
      </c>
      <c r="D523" s="17" t="s">
        <v>405</v>
      </c>
      <c r="E523" s="17">
        <v>8708</v>
      </c>
      <c r="F523" s="17" t="s">
        <v>473</v>
      </c>
      <c r="G523" s="17" t="s">
        <v>474</v>
      </c>
      <c r="H523" s="17" t="s">
        <v>4010</v>
      </c>
    </row>
    <row r="524" spans="1:8" ht="11.1" hidden="1" customHeight="1">
      <c r="A524" s="17" t="s">
        <v>2863</v>
      </c>
      <c r="B524" s="17" t="s">
        <v>2864</v>
      </c>
      <c r="C524" s="17" t="s">
        <v>1509</v>
      </c>
      <c r="D524" s="17" t="s">
        <v>1510</v>
      </c>
      <c r="E524" s="17">
        <v>8698</v>
      </c>
      <c r="F524" s="17" t="s">
        <v>2865</v>
      </c>
      <c r="G524" s="17" t="s">
        <v>2866</v>
      </c>
      <c r="H524" s="17" t="s">
        <v>3989</v>
      </c>
    </row>
    <row r="525" spans="1:8" ht="11.1" hidden="1" customHeight="1">
      <c r="A525" s="17" t="s">
        <v>2873</v>
      </c>
      <c r="B525" s="17" t="s">
        <v>2874</v>
      </c>
      <c r="C525" s="17" t="s">
        <v>176</v>
      </c>
      <c r="D525" s="17" t="s">
        <v>177</v>
      </c>
      <c r="E525" s="17">
        <v>10288</v>
      </c>
      <c r="F525" s="17" t="s">
        <v>2875</v>
      </c>
      <c r="G525" s="17" t="s">
        <v>2876</v>
      </c>
      <c r="H525" s="17" t="s">
        <v>4012</v>
      </c>
    </row>
    <row r="526" spans="1:8" ht="11.1" hidden="1" customHeight="1">
      <c r="A526" s="17" t="s">
        <v>1087</v>
      </c>
      <c r="B526" s="17" t="s">
        <v>1088</v>
      </c>
      <c r="C526" s="17" t="s">
        <v>1089</v>
      </c>
      <c r="D526" s="17" t="s">
        <v>1090</v>
      </c>
      <c r="E526" s="17">
        <v>8572</v>
      </c>
      <c r="F526" s="17" t="s">
        <v>1092</v>
      </c>
      <c r="G526" s="17" t="s">
        <v>1093</v>
      </c>
      <c r="H526" s="17" t="s">
        <v>3974</v>
      </c>
    </row>
    <row r="527" spans="1:8" ht="11.1" hidden="1" customHeight="1">
      <c r="A527" s="17" t="s">
        <v>1996</v>
      </c>
      <c r="B527" s="17" t="s">
        <v>1997</v>
      </c>
      <c r="C527" s="17" t="s">
        <v>1998</v>
      </c>
      <c r="D527" s="17" t="s">
        <v>1999</v>
      </c>
      <c r="E527" s="17">
        <v>9433</v>
      </c>
      <c r="F527" s="17" t="s">
        <v>2001</v>
      </c>
      <c r="G527" s="17" t="s">
        <v>2002</v>
      </c>
      <c r="H527" s="17" t="s">
        <v>4091</v>
      </c>
    </row>
    <row r="528" spans="1:8" ht="11.1" hidden="1" customHeight="1">
      <c r="A528" s="17" t="s">
        <v>486</v>
      </c>
      <c r="B528" s="17" t="s">
        <v>487</v>
      </c>
      <c r="C528" s="17" t="s">
        <v>488</v>
      </c>
      <c r="D528" s="17" t="s">
        <v>489</v>
      </c>
      <c r="E528" s="17">
        <v>10461</v>
      </c>
      <c r="F528" s="17" t="s">
        <v>491</v>
      </c>
      <c r="G528" s="17" t="s">
        <v>492</v>
      </c>
      <c r="H528" s="17" t="s">
        <v>3978</v>
      </c>
    </row>
    <row r="529" spans="1:8" ht="11.1" hidden="1" customHeight="1">
      <c r="A529" s="17" t="s">
        <v>1806</v>
      </c>
      <c r="B529" s="17" t="s">
        <v>714</v>
      </c>
      <c r="C529" s="17" t="s">
        <v>715</v>
      </c>
      <c r="D529" s="17" t="s">
        <v>716</v>
      </c>
      <c r="E529" s="17">
        <v>10237</v>
      </c>
      <c r="F529" s="17" t="s">
        <v>718</v>
      </c>
      <c r="G529" s="17" t="s">
        <v>1625</v>
      </c>
      <c r="H529" s="17" t="s">
        <v>3954</v>
      </c>
    </row>
    <row r="530" spans="1:8" ht="11.1" hidden="1" customHeight="1">
      <c r="A530" s="17" t="s">
        <v>3321</v>
      </c>
      <c r="B530" s="17" t="s">
        <v>3322</v>
      </c>
      <c r="C530" s="17" t="s">
        <v>1915</v>
      </c>
      <c r="D530" s="17" t="s">
        <v>1916</v>
      </c>
      <c r="E530" s="17">
        <v>10463</v>
      </c>
      <c r="F530" s="17" t="s">
        <v>3323</v>
      </c>
      <c r="G530" s="17" t="s">
        <v>3324</v>
      </c>
      <c r="H530" s="17" t="s">
        <v>4110</v>
      </c>
    </row>
    <row r="531" spans="1:8" ht="11.1" hidden="1" customHeight="1">
      <c r="A531" s="17" t="s">
        <v>2888</v>
      </c>
      <c r="B531" s="17" t="s">
        <v>2889</v>
      </c>
      <c r="C531" s="17" t="s">
        <v>566</v>
      </c>
      <c r="D531" s="17" t="s">
        <v>567</v>
      </c>
      <c r="E531" s="17">
        <v>8568</v>
      </c>
      <c r="F531" s="17" t="s">
        <v>2890</v>
      </c>
      <c r="G531" s="17" t="s">
        <v>2891</v>
      </c>
      <c r="H531" s="17" t="s">
        <v>4070</v>
      </c>
    </row>
    <row r="532" spans="1:8" ht="11.1" hidden="1" customHeight="1">
      <c r="A532" s="17" t="s">
        <v>514</v>
      </c>
      <c r="B532" s="17" t="s">
        <v>515</v>
      </c>
      <c r="C532" s="17" t="s">
        <v>516</v>
      </c>
      <c r="D532" s="17" t="s">
        <v>517</v>
      </c>
      <c r="E532" s="17">
        <v>8710</v>
      </c>
      <c r="F532" s="17" t="s">
        <v>519</v>
      </c>
      <c r="G532" s="17" t="s">
        <v>520</v>
      </c>
      <c r="H532" s="17" t="s">
        <v>3959</v>
      </c>
    </row>
    <row r="533" spans="1:8" ht="11.1" hidden="1" customHeight="1">
      <c r="A533" s="17" t="s">
        <v>3329</v>
      </c>
      <c r="B533" s="17" t="s">
        <v>3330</v>
      </c>
      <c r="C533" s="17" t="s">
        <v>404</v>
      </c>
      <c r="D533" s="17" t="s">
        <v>405</v>
      </c>
      <c r="E533" s="17">
        <v>8708</v>
      </c>
      <c r="F533" s="17" t="s">
        <v>3331</v>
      </c>
      <c r="G533" s="17" t="s">
        <v>3332</v>
      </c>
      <c r="H533" s="17" t="s">
        <v>4010</v>
      </c>
    </row>
    <row r="534" spans="1:8" ht="11.1" hidden="1" customHeight="1">
      <c r="A534" s="17" t="s">
        <v>2892</v>
      </c>
      <c r="B534" s="17" t="s">
        <v>2893</v>
      </c>
      <c r="C534" s="17" t="s">
        <v>559</v>
      </c>
      <c r="D534" s="17" t="s">
        <v>560</v>
      </c>
      <c r="E534" s="17">
        <v>10452</v>
      </c>
      <c r="F534" s="17" t="s">
        <v>2894</v>
      </c>
      <c r="G534" s="17" t="s">
        <v>2895</v>
      </c>
      <c r="H534" s="17" t="s">
        <v>3950</v>
      </c>
    </row>
    <row r="535" spans="1:8" ht="11.1" hidden="1" customHeight="1">
      <c r="A535" s="17" t="s">
        <v>521</v>
      </c>
      <c r="B535" s="17" t="s">
        <v>522</v>
      </c>
      <c r="C535" s="17" t="s">
        <v>523</v>
      </c>
      <c r="D535" s="17" t="s">
        <v>524</v>
      </c>
      <c r="E535" s="17">
        <v>8252</v>
      </c>
      <c r="F535" s="17" t="s">
        <v>526</v>
      </c>
      <c r="G535" s="17" t="s">
        <v>527</v>
      </c>
      <c r="H535" s="17" t="s">
        <v>4112</v>
      </c>
    </row>
    <row r="536" spans="1:8" ht="11.1" hidden="1" customHeight="1">
      <c r="A536" s="17" t="s">
        <v>546</v>
      </c>
      <c r="B536" s="17" t="s">
        <v>547</v>
      </c>
      <c r="C536" s="17" t="s">
        <v>272</v>
      </c>
      <c r="D536" s="17" t="s">
        <v>273</v>
      </c>
      <c r="E536" s="17">
        <v>9170</v>
      </c>
      <c r="F536" s="17" t="s">
        <v>548</v>
      </c>
      <c r="G536" s="17" t="s">
        <v>549</v>
      </c>
      <c r="H536" s="17" t="s">
        <v>3977</v>
      </c>
    </row>
    <row r="537" spans="1:8" ht="11.1" hidden="1" customHeight="1">
      <c r="A537" s="17" t="s">
        <v>1153</v>
      </c>
      <c r="B537" s="17" t="s">
        <v>1154</v>
      </c>
      <c r="C537" s="17" t="s">
        <v>894</v>
      </c>
      <c r="D537" s="17" t="s">
        <v>895</v>
      </c>
      <c r="E537" s="17">
        <v>10242</v>
      </c>
      <c r="F537" s="17" t="s">
        <v>1155</v>
      </c>
      <c r="G537" s="17" t="s">
        <v>1156</v>
      </c>
      <c r="H537" s="17" t="s">
        <v>3942</v>
      </c>
    </row>
    <row r="538" spans="1:8" ht="11.1" hidden="1" customHeight="1">
      <c r="A538" s="17" t="s">
        <v>1157</v>
      </c>
      <c r="B538" s="17" t="s">
        <v>1158</v>
      </c>
      <c r="C538" s="17" t="s">
        <v>1159</v>
      </c>
      <c r="D538" s="17" t="s">
        <v>1160</v>
      </c>
      <c r="E538" s="17">
        <v>9889</v>
      </c>
      <c r="F538" s="17" t="s">
        <v>1162</v>
      </c>
      <c r="G538" s="17" t="s">
        <v>1163</v>
      </c>
      <c r="H538" s="17" t="s">
        <v>4085</v>
      </c>
    </row>
    <row r="539" spans="1:8" ht="11.1" hidden="1" customHeight="1">
      <c r="A539" s="17" t="s">
        <v>2917</v>
      </c>
      <c r="B539" s="17" t="s">
        <v>2918</v>
      </c>
      <c r="C539" s="17" t="s">
        <v>121</v>
      </c>
      <c r="D539" s="17" t="s">
        <v>122</v>
      </c>
      <c r="E539" s="17">
        <v>8063</v>
      </c>
      <c r="F539" s="17" t="s">
        <v>2919</v>
      </c>
      <c r="G539" s="17" t="s">
        <v>2920</v>
      </c>
      <c r="H539" s="17" t="s">
        <v>3952</v>
      </c>
    </row>
    <row r="540" spans="1:8" ht="11.1" hidden="1" customHeight="1">
      <c r="A540" s="17" t="s">
        <v>1669</v>
      </c>
      <c r="B540" s="17" t="s">
        <v>1670</v>
      </c>
      <c r="C540" s="17" t="s">
        <v>949</v>
      </c>
      <c r="D540" s="17" t="s">
        <v>950</v>
      </c>
      <c r="E540" s="17">
        <v>10458</v>
      </c>
      <c r="F540" s="17" t="s">
        <v>1671</v>
      </c>
      <c r="G540" s="17" t="s">
        <v>1672</v>
      </c>
      <c r="H540" s="17" t="s">
        <v>3965</v>
      </c>
    </row>
    <row r="541" spans="1:8" ht="11.1" hidden="1" customHeight="1">
      <c r="A541" s="17" t="s">
        <v>3370</v>
      </c>
      <c r="B541" s="17" t="s">
        <v>3371</v>
      </c>
      <c r="C541" s="17" t="s">
        <v>1705</v>
      </c>
      <c r="D541" s="17" t="s">
        <v>1706</v>
      </c>
      <c r="E541" s="17">
        <v>10459</v>
      </c>
      <c r="F541" s="17" t="s">
        <v>3372</v>
      </c>
      <c r="G541" s="17" t="s">
        <v>3373</v>
      </c>
      <c r="H541" s="17" t="s">
        <v>3966</v>
      </c>
    </row>
    <row r="542" spans="1:8" ht="11.1" customHeight="1">
      <c r="A542" s="17" t="s">
        <v>2522</v>
      </c>
      <c r="B542" s="17" t="s">
        <v>2523</v>
      </c>
      <c r="C542" s="17" t="s">
        <v>2524</v>
      </c>
      <c r="D542" s="17" t="s">
        <v>2525</v>
      </c>
      <c r="E542" s="17">
        <v>9000</v>
      </c>
      <c r="F542" s="17" t="s">
        <v>2527</v>
      </c>
      <c r="G542" s="17" t="s">
        <v>2528</v>
      </c>
      <c r="H542" s="17" t="s">
        <v>4113</v>
      </c>
    </row>
    <row r="543" spans="1:8" ht="11.1" hidden="1" customHeight="1">
      <c r="A543" s="17" t="s">
        <v>2075</v>
      </c>
      <c r="B543" s="17" t="s">
        <v>2076</v>
      </c>
      <c r="C543" s="17" t="s">
        <v>715</v>
      </c>
      <c r="D543" s="17" t="s">
        <v>716</v>
      </c>
      <c r="E543" s="17">
        <v>10237</v>
      </c>
      <c r="F543" s="17" t="s">
        <v>2077</v>
      </c>
      <c r="G543" s="17" t="s">
        <v>2078</v>
      </c>
      <c r="H543" s="17" t="s">
        <v>3954</v>
      </c>
    </row>
    <row r="544" spans="1:8" ht="11.1" hidden="1" customHeight="1">
      <c r="A544" s="17" t="s">
        <v>2930</v>
      </c>
      <c r="B544" s="17" t="s">
        <v>2931</v>
      </c>
      <c r="C544" s="17" t="s">
        <v>810</v>
      </c>
      <c r="D544" s="17" t="s">
        <v>811</v>
      </c>
      <c r="E544" s="17">
        <v>10333</v>
      </c>
      <c r="F544" s="17" t="s">
        <v>2932</v>
      </c>
      <c r="G544" s="17" t="s">
        <v>2933</v>
      </c>
      <c r="H544" s="17" t="s">
        <v>4114</v>
      </c>
    </row>
    <row r="545" spans="1:8" ht="11.1" hidden="1" customHeight="1">
      <c r="A545" s="17" t="s">
        <v>851</v>
      </c>
      <c r="B545" s="17" t="s">
        <v>852</v>
      </c>
      <c r="C545" s="17" t="s">
        <v>65</v>
      </c>
      <c r="D545" s="17" t="s">
        <v>66</v>
      </c>
      <c r="E545" s="17">
        <v>10244</v>
      </c>
      <c r="F545" s="17" t="s">
        <v>853</v>
      </c>
      <c r="G545" s="17" t="s">
        <v>1196</v>
      </c>
      <c r="H545" s="17" t="s">
        <v>3980</v>
      </c>
    </row>
    <row r="546" spans="1:8" ht="11.1" customHeight="1">
      <c r="A546" s="17" t="s">
        <v>3892</v>
      </c>
      <c r="B546" s="17" t="s">
        <v>3893</v>
      </c>
      <c r="C546" s="17" t="s">
        <v>994</v>
      </c>
      <c r="D546" s="17" t="s">
        <v>995</v>
      </c>
      <c r="E546" s="17">
        <v>9734</v>
      </c>
      <c r="F546" s="17" t="s">
        <v>3894</v>
      </c>
      <c r="G546" s="17" t="s">
        <v>3895</v>
      </c>
      <c r="H546" s="17" t="s">
        <v>4077</v>
      </c>
    </row>
    <row r="547" spans="1:8" ht="11.1" hidden="1" customHeight="1">
      <c r="A547" s="17" t="s">
        <v>2533</v>
      </c>
      <c r="B547" s="17" t="s">
        <v>2534</v>
      </c>
      <c r="C547" s="17" t="s">
        <v>2535</v>
      </c>
      <c r="D547" s="17" t="s">
        <v>2536</v>
      </c>
      <c r="E547" s="17">
        <v>9169</v>
      </c>
      <c r="F547" s="17" t="s">
        <v>2538</v>
      </c>
      <c r="G547" s="17" t="s">
        <v>2539</v>
      </c>
      <c r="H547" s="17" t="s">
        <v>4039</v>
      </c>
    </row>
    <row r="548" spans="1:8" ht="11.1" hidden="1" customHeight="1">
      <c r="A548" s="17" t="s">
        <v>589</v>
      </c>
      <c r="B548" s="17" t="s">
        <v>590</v>
      </c>
      <c r="C548" s="17" t="s">
        <v>591</v>
      </c>
      <c r="D548" s="17" t="s">
        <v>592</v>
      </c>
      <c r="E548" s="17">
        <v>10086</v>
      </c>
      <c r="F548" s="17" t="s">
        <v>594</v>
      </c>
      <c r="G548" s="17" t="s">
        <v>595</v>
      </c>
      <c r="H548" s="17" t="s">
        <v>3998</v>
      </c>
    </row>
    <row r="549" spans="1:8" ht="11.1" hidden="1" customHeight="1">
      <c r="A549" s="17" t="s">
        <v>2947</v>
      </c>
      <c r="B549" s="17" t="s">
        <v>2948</v>
      </c>
      <c r="C549" s="17" t="s">
        <v>197</v>
      </c>
      <c r="D549" s="17" t="s">
        <v>198</v>
      </c>
      <c r="E549" s="17">
        <v>10444</v>
      </c>
      <c r="F549" s="17" t="s">
        <v>2949</v>
      </c>
      <c r="G549" s="17" t="s">
        <v>2950</v>
      </c>
      <c r="H549" s="17" t="s">
        <v>4035</v>
      </c>
    </row>
    <row r="550" spans="1:8" ht="11.1" hidden="1" customHeight="1">
      <c r="A550" s="17" t="s">
        <v>3408</v>
      </c>
      <c r="B550" s="17" t="s">
        <v>3409</v>
      </c>
      <c r="C550" s="17" t="s">
        <v>1859</v>
      </c>
      <c r="D550" s="17" t="s">
        <v>936</v>
      </c>
      <c r="E550" s="17">
        <v>9185</v>
      </c>
      <c r="F550" s="17" t="s">
        <v>3410</v>
      </c>
      <c r="G550" s="17" t="s">
        <v>3411</v>
      </c>
      <c r="H550" s="17" t="s">
        <v>4076</v>
      </c>
    </row>
    <row r="551" spans="1:8" ht="11.1" customHeight="1">
      <c r="A551" s="17" t="s">
        <v>614</v>
      </c>
      <c r="B551" s="17" t="s">
        <v>615</v>
      </c>
      <c r="C551" s="17" t="s">
        <v>616</v>
      </c>
      <c r="D551" s="17" t="s">
        <v>617</v>
      </c>
      <c r="E551" s="17">
        <v>9001</v>
      </c>
      <c r="F551" s="17" t="s">
        <v>619</v>
      </c>
      <c r="G551" s="17" t="s">
        <v>620</v>
      </c>
      <c r="H551" s="17" t="s">
        <v>4115</v>
      </c>
    </row>
    <row r="552" spans="1:8" ht="11.1" hidden="1" customHeight="1">
      <c r="A552" s="17" t="s">
        <v>3438</v>
      </c>
      <c r="B552" s="17" t="s">
        <v>3439</v>
      </c>
      <c r="C552" s="17" t="s">
        <v>488</v>
      </c>
      <c r="D552" s="17" t="s">
        <v>489</v>
      </c>
      <c r="E552" s="17">
        <v>10461</v>
      </c>
      <c r="F552" s="17" t="s">
        <v>3440</v>
      </c>
      <c r="G552" s="17" t="s">
        <v>3441</v>
      </c>
      <c r="H552" s="17" t="s">
        <v>3978</v>
      </c>
    </row>
    <row r="553" spans="1:8" ht="11.1" hidden="1" customHeight="1">
      <c r="A553" s="17" t="s">
        <v>2968</v>
      </c>
      <c r="B553" s="17" t="s">
        <v>2969</v>
      </c>
      <c r="C553" s="17" t="s">
        <v>249</v>
      </c>
      <c r="D553" s="17" t="s">
        <v>250</v>
      </c>
      <c r="E553" s="17">
        <v>8700</v>
      </c>
      <c r="F553" s="17" t="s">
        <v>2970</v>
      </c>
      <c r="G553" s="17" t="s">
        <v>2971</v>
      </c>
      <c r="H553" s="17" t="s">
        <v>4100</v>
      </c>
    </row>
    <row r="554" spans="1:8" ht="11.1" hidden="1" customHeight="1">
      <c r="A554" s="17" t="s">
        <v>2985</v>
      </c>
      <c r="B554" s="17" t="s">
        <v>2986</v>
      </c>
      <c r="C554" s="17" t="s">
        <v>2987</v>
      </c>
      <c r="D554" s="17" t="s">
        <v>462</v>
      </c>
      <c r="E554" s="17">
        <v>10006</v>
      </c>
      <c r="F554" s="17" t="s">
        <v>2988</v>
      </c>
      <c r="G554" s="17" t="s">
        <v>2989</v>
      </c>
      <c r="H554" s="17" t="s">
        <v>4075</v>
      </c>
    </row>
    <row r="555" spans="1:8" ht="11.1" hidden="1" customHeight="1">
      <c r="A555" s="17" t="s">
        <v>2990</v>
      </c>
      <c r="B555" s="17" t="s">
        <v>2991</v>
      </c>
      <c r="C555" s="17" t="s">
        <v>2472</v>
      </c>
      <c r="D555" s="17" t="s">
        <v>2291</v>
      </c>
      <c r="E555" s="17">
        <v>9833</v>
      </c>
      <c r="F555" s="17" t="s">
        <v>2992</v>
      </c>
      <c r="G555" s="17" t="s">
        <v>2993</v>
      </c>
      <c r="H555" s="17" t="s">
        <v>3976</v>
      </c>
    </row>
    <row r="556" spans="1:8" ht="11.1" hidden="1" customHeight="1">
      <c r="A556" s="17" t="s">
        <v>2560</v>
      </c>
      <c r="B556" s="17" t="s">
        <v>1266</v>
      </c>
      <c r="C556" s="17" t="s">
        <v>1267</v>
      </c>
      <c r="D556" s="17" t="s">
        <v>832</v>
      </c>
      <c r="E556" s="17">
        <v>10036</v>
      </c>
      <c r="F556" s="17" t="s">
        <v>1269</v>
      </c>
      <c r="G556" s="17" t="s">
        <v>1270</v>
      </c>
      <c r="H556" s="17" t="s">
        <v>4026</v>
      </c>
    </row>
    <row r="557" spans="1:8" ht="11.1" hidden="1" customHeight="1">
      <c r="A557" s="17" t="s">
        <v>2088</v>
      </c>
      <c r="B557" s="17" t="s">
        <v>2089</v>
      </c>
      <c r="C557" s="17" t="s">
        <v>1520</v>
      </c>
      <c r="D557" s="17" t="s">
        <v>1521</v>
      </c>
      <c r="E557" s="17">
        <v>9888</v>
      </c>
      <c r="F557" s="17" t="s">
        <v>2090</v>
      </c>
      <c r="G557" s="17" t="s">
        <v>2091</v>
      </c>
      <c r="H557" s="17" t="s">
        <v>3987</v>
      </c>
    </row>
    <row r="558" spans="1:8" ht="11.1" hidden="1" customHeight="1">
      <c r="A558" s="17" t="s">
        <v>2994</v>
      </c>
      <c r="B558" s="17" t="s">
        <v>2995</v>
      </c>
      <c r="C558" s="17" t="s">
        <v>1159</v>
      </c>
      <c r="D558" s="17" t="s">
        <v>1160</v>
      </c>
      <c r="E558" s="17">
        <v>9889</v>
      </c>
      <c r="F558" s="17" t="s">
        <v>2996</v>
      </c>
      <c r="G558" s="17" t="s">
        <v>2997</v>
      </c>
      <c r="H558" s="17" t="s">
        <v>4085</v>
      </c>
    </row>
    <row r="559" spans="1:8" ht="11.1" hidden="1" customHeight="1">
      <c r="A559" s="17" t="s">
        <v>3920</v>
      </c>
      <c r="B559" s="17" t="s">
        <v>3921</v>
      </c>
      <c r="C559" s="17" t="s">
        <v>623</v>
      </c>
      <c r="D559" s="17" t="s">
        <v>211</v>
      </c>
      <c r="E559" s="17">
        <v>8058</v>
      </c>
      <c r="F559" s="17" t="s">
        <v>3922</v>
      </c>
      <c r="G559" s="17" t="s">
        <v>3923</v>
      </c>
      <c r="H559" s="17" t="s">
        <v>4042</v>
      </c>
    </row>
    <row r="560" spans="1:8" ht="11.1" hidden="1" customHeight="1">
      <c r="A560" s="17" t="s">
        <v>1271</v>
      </c>
      <c r="B560" s="17" t="s">
        <v>1272</v>
      </c>
      <c r="C560" s="17" t="s">
        <v>861</v>
      </c>
      <c r="D560" s="17" t="s">
        <v>862</v>
      </c>
      <c r="E560" s="17">
        <v>8706</v>
      </c>
      <c r="F560" s="17" t="s">
        <v>1273</v>
      </c>
      <c r="G560" s="17" t="s">
        <v>1274</v>
      </c>
      <c r="H560" s="17" t="s">
        <v>4101</v>
      </c>
    </row>
    <row r="561" spans="1:8" ht="11.1" hidden="1" customHeight="1">
      <c r="A561" s="17" t="s">
        <v>2096</v>
      </c>
      <c r="B561" s="17" t="s">
        <v>2097</v>
      </c>
      <c r="C561" s="17" t="s">
        <v>684</v>
      </c>
      <c r="D561" s="17" t="s">
        <v>685</v>
      </c>
      <c r="E561" s="17">
        <v>7246</v>
      </c>
      <c r="F561" s="17" t="s">
        <v>2098</v>
      </c>
      <c r="G561" s="17" t="s">
        <v>2099</v>
      </c>
      <c r="H561" s="17" t="s">
        <v>4062</v>
      </c>
    </row>
    <row r="562" spans="1:8" ht="11.1" hidden="1" customHeight="1">
      <c r="A562" s="17" t="s">
        <v>3474</v>
      </c>
      <c r="B562" s="17" t="s">
        <v>3475</v>
      </c>
      <c r="C562" s="17" t="s">
        <v>3476</v>
      </c>
      <c r="D562" s="17" t="s">
        <v>3477</v>
      </c>
      <c r="E562" s="17">
        <v>8429</v>
      </c>
      <c r="F562" s="17" t="s">
        <v>3479</v>
      </c>
      <c r="G562" s="17" t="s">
        <v>3480</v>
      </c>
      <c r="H562" s="17" t="s">
        <v>4116</v>
      </c>
    </row>
    <row r="563" spans="1:8" ht="11.1" hidden="1" customHeight="1">
      <c r="A563" s="17" t="s">
        <v>3481</v>
      </c>
      <c r="B563" s="17" t="s">
        <v>3482</v>
      </c>
      <c r="C563" s="17" t="s">
        <v>16</v>
      </c>
      <c r="D563" s="17" t="s">
        <v>17</v>
      </c>
      <c r="E563" s="17">
        <v>8552</v>
      </c>
      <c r="F563" s="17" t="s">
        <v>3483</v>
      </c>
      <c r="G563" s="17" t="s">
        <v>3484</v>
      </c>
      <c r="H563" s="17" t="s">
        <v>3968</v>
      </c>
    </row>
    <row r="564" spans="1:8" ht="11.1" hidden="1" customHeight="1">
      <c r="A564" s="17" t="s">
        <v>3026</v>
      </c>
      <c r="B564" s="17" t="s">
        <v>3027</v>
      </c>
      <c r="C564" s="17" t="s">
        <v>790</v>
      </c>
      <c r="D564" s="17" t="s">
        <v>791</v>
      </c>
      <c r="E564" s="17">
        <v>10287</v>
      </c>
      <c r="F564" s="17" t="s">
        <v>3028</v>
      </c>
      <c r="G564" s="17" t="s">
        <v>3029</v>
      </c>
      <c r="H564" s="17" t="s">
        <v>3953</v>
      </c>
    </row>
    <row r="565" spans="1:8" ht="11.1" hidden="1" customHeight="1">
      <c r="A565" s="17" t="s">
        <v>2126</v>
      </c>
      <c r="B565" s="17" t="s">
        <v>2127</v>
      </c>
      <c r="C565" s="17" t="s">
        <v>2117</v>
      </c>
      <c r="D565" s="17" t="s">
        <v>2118</v>
      </c>
      <c r="E565" s="17">
        <v>8250</v>
      </c>
      <c r="F565" s="17" t="s">
        <v>2128</v>
      </c>
      <c r="G565" s="17" t="s">
        <v>2129</v>
      </c>
      <c r="H565" s="17" t="s">
        <v>4094</v>
      </c>
    </row>
    <row r="566" spans="1:8" ht="11.1" hidden="1" customHeight="1">
      <c r="A566" s="17" t="s">
        <v>3505</v>
      </c>
      <c r="B566" s="17" t="s">
        <v>3506</v>
      </c>
      <c r="C566" s="17" t="s">
        <v>3476</v>
      </c>
      <c r="D566" s="17" t="s">
        <v>3477</v>
      </c>
      <c r="E566" s="17">
        <v>8429</v>
      </c>
      <c r="F566" s="17" t="s">
        <v>3507</v>
      </c>
      <c r="G566" s="17" t="s">
        <v>3508</v>
      </c>
      <c r="H566" s="17" t="s">
        <v>4116</v>
      </c>
    </row>
    <row r="567" spans="1:8" ht="11.1" hidden="1" customHeight="1">
      <c r="A567" s="17" t="s">
        <v>2592</v>
      </c>
      <c r="B567" s="17" t="s">
        <v>2131</v>
      </c>
      <c r="C567" s="17" t="s">
        <v>677</v>
      </c>
      <c r="D567" s="17" t="s">
        <v>678</v>
      </c>
      <c r="E567" s="17">
        <v>10269</v>
      </c>
      <c r="F567" s="17" t="s">
        <v>2132</v>
      </c>
      <c r="G567" s="17" t="s">
        <v>2133</v>
      </c>
      <c r="H567" s="17" t="s">
        <v>3937</v>
      </c>
    </row>
    <row r="568" spans="1:8" ht="11.1" hidden="1" customHeight="1">
      <c r="A568" s="17" t="s">
        <v>165</v>
      </c>
      <c r="B568" s="17" t="s">
        <v>43</v>
      </c>
      <c r="C568" s="17" t="s">
        <v>44</v>
      </c>
      <c r="D568" s="17" t="s">
        <v>45</v>
      </c>
      <c r="E568" s="17">
        <v>10245</v>
      </c>
      <c r="F568" s="17" t="s">
        <v>47</v>
      </c>
      <c r="G568" s="17" t="s">
        <v>48</v>
      </c>
      <c r="H568" s="17" t="s">
        <v>4015</v>
      </c>
    </row>
    <row r="569" spans="1:8" ht="11.1" hidden="1" customHeight="1">
      <c r="A569" s="17" t="s">
        <v>1153</v>
      </c>
      <c r="B569" s="17" t="s">
        <v>1154</v>
      </c>
      <c r="C569" s="17" t="s">
        <v>894</v>
      </c>
      <c r="D569" s="17" t="s">
        <v>895</v>
      </c>
      <c r="E569" s="17">
        <v>10242</v>
      </c>
      <c r="F569" s="17" t="s">
        <v>1155</v>
      </c>
      <c r="G569" s="17" t="s">
        <v>1300</v>
      </c>
      <c r="H569" s="17" t="s">
        <v>3942</v>
      </c>
    </row>
    <row r="570" spans="1:8" ht="11.1" hidden="1" customHeight="1">
      <c r="A570" s="17" t="s">
        <v>2134</v>
      </c>
      <c r="B570" s="17" t="s">
        <v>1154</v>
      </c>
      <c r="C570" s="17" t="s">
        <v>894</v>
      </c>
      <c r="D570" s="17" t="s">
        <v>895</v>
      </c>
      <c r="E570" s="17">
        <v>10242</v>
      </c>
      <c r="F570" s="17" t="s">
        <v>1155</v>
      </c>
      <c r="G570" s="17" t="s">
        <v>1300</v>
      </c>
      <c r="H570" s="17" t="s">
        <v>3942</v>
      </c>
    </row>
    <row r="571" spans="1:8" ht="11.1" hidden="1" customHeight="1">
      <c r="A571" s="17" t="s">
        <v>659</v>
      </c>
      <c r="B571" s="17" t="s">
        <v>660</v>
      </c>
      <c r="C571" s="17" t="s">
        <v>9</v>
      </c>
      <c r="D571" s="17" t="s">
        <v>10</v>
      </c>
      <c r="E571" s="17">
        <v>7691</v>
      </c>
      <c r="F571" s="17" t="s">
        <v>661</v>
      </c>
      <c r="G571" s="17" t="s">
        <v>662</v>
      </c>
      <c r="H571" s="17" t="s">
        <v>4093</v>
      </c>
    </row>
    <row r="572" spans="1:8" ht="11.1" hidden="1" customHeight="1">
      <c r="A572" s="17" t="s">
        <v>3513</v>
      </c>
      <c r="B572" s="17" t="s">
        <v>3514</v>
      </c>
      <c r="C572" s="17" t="s">
        <v>176</v>
      </c>
      <c r="D572" s="17" t="s">
        <v>177</v>
      </c>
      <c r="E572" s="17">
        <v>10288</v>
      </c>
      <c r="F572" s="17" t="s">
        <v>3515</v>
      </c>
      <c r="G572" s="17" t="s">
        <v>3516</v>
      </c>
      <c r="H572" s="17" t="s">
        <v>4012</v>
      </c>
    </row>
    <row r="573" spans="1:8" ht="11.1" hidden="1" customHeight="1">
      <c r="A573" s="17" t="s">
        <v>1320</v>
      </c>
      <c r="B573" s="17" t="s">
        <v>1321</v>
      </c>
      <c r="C573" s="17" t="s">
        <v>345</v>
      </c>
      <c r="D573" s="17" t="s">
        <v>346</v>
      </c>
      <c r="E573" s="17">
        <v>8741</v>
      </c>
      <c r="F573" s="17" t="s">
        <v>1322</v>
      </c>
      <c r="G573" s="17" t="s">
        <v>1323</v>
      </c>
      <c r="H573" s="17" t="s">
        <v>3993</v>
      </c>
    </row>
    <row r="574" spans="1:8" ht="11.1" hidden="1" customHeight="1">
      <c r="A574" s="17" t="s">
        <v>2597</v>
      </c>
      <c r="B574" s="17" t="s">
        <v>2598</v>
      </c>
      <c r="C574" s="17" t="s">
        <v>2599</v>
      </c>
      <c r="D574" s="17" t="s">
        <v>2599</v>
      </c>
      <c r="E574" s="17">
        <v>7051</v>
      </c>
      <c r="F574" s="17" t="s">
        <v>2601</v>
      </c>
      <c r="G574" s="17" t="s">
        <v>2602</v>
      </c>
      <c r="H574" s="17" t="s">
        <v>4117</v>
      </c>
    </row>
    <row r="575" spans="1:8" ht="11.1" hidden="1" customHeight="1">
      <c r="A575" s="17" t="s">
        <v>3525</v>
      </c>
      <c r="B575" s="17" t="s">
        <v>3526</v>
      </c>
      <c r="C575" s="17" t="s">
        <v>684</v>
      </c>
      <c r="D575" s="17" t="s">
        <v>685</v>
      </c>
      <c r="E575" s="17">
        <v>7246</v>
      </c>
      <c r="F575" s="17" t="s">
        <v>3527</v>
      </c>
      <c r="G575" s="17" t="s">
        <v>3528</v>
      </c>
      <c r="H575" s="17" t="s">
        <v>4062</v>
      </c>
    </row>
    <row r="576" spans="1:8" ht="11.1" hidden="1" customHeight="1">
      <c r="A576" s="17" t="s">
        <v>3529</v>
      </c>
      <c r="B576" s="17" t="s">
        <v>3530</v>
      </c>
      <c r="C576" s="17" t="s">
        <v>3531</v>
      </c>
      <c r="D576" s="17" t="s">
        <v>3532</v>
      </c>
      <c r="E576" s="17">
        <v>7642</v>
      </c>
      <c r="F576" s="17" t="s">
        <v>3534</v>
      </c>
      <c r="G576" s="17" t="s">
        <v>3535</v>
      </c>
      <c r="H576" s="17" t="s">
        <v>3941</v>
      </c>
    </row>
    <row r="577" spans="1:8" ht="11.1" hidden="1" customHeight="1">
      <c r="A577" s="17" t="s">
        <v>2167</v>
      </c>
      <c r="B577" s="17" t="s">
        <v>2168</v>
      </c>
      <c r="C577" s="17" t="s">
        <v>726</v>
      </c>
      <c r="D577" s="17" t="s">
        <v>727</v>
      </c>
      <c r="E577" s="17">
        <v>10453</v>
      </c>
      <c r="F577" s="17" t="s">
        <v>2169</v>
      </c>
      <c r="G577" s="17" t="s">
        <v>2170</v>
      </c>
      <c r="H577" s="17" t="s">
        <v>4084</v>
      </c>
    </row>
    <row r="578" spans="1:8" ht="11.1" hidden="1" customHeight="1">
      <c r="A578" s="17" t="s">
        <v>3058</v>
      </c>
      <c r="B578" s="17" t="s">
        <v>3059</v>
      </c>
      <c r="C578" s="17" t="s">
        <v>1536</v>
      </c>
      <c r="D578" s="17" t="s">
        <v>1537</v>
      </c>
      <c r="E578" s="17">
        <v>8739</v>
      </c>
      <c r="F578" s="17" t="s">
        <v>3060</v>
      </c>
      <c r="G578" s="17" t="s">
        <v>3061</v>
      </c>
      <c r="H578" s="17" t="s">
        <v>4052</v>
      </c>
    </row>
    <row r="579" spans="1:8" ht="11.1" hidden="1" customHeight="1">
      <c r="A579" s="17" t="s">
        <v>1767</v>
      </c>
      <c r="B579" s="17" t="s">
        <v>1768</v>
      </c>
      <c r="C579" s="17" t="s">
        <v>979</v>
      </c>
      <c r="D579" s="17" t="s">
        <v>1460</v>
      </c>
      <c r="E579" s="17">
        <v>8445</v>
      </c>
      <c r="F579" s="17" t="s">
        <v>1769</v>
      </c>
      <c r="G579" s="17" t="s">
        <v>1770</v>
      </c>
      <c r="H579" s="17" t="s">
        <v>4096</v>
      </c>
    </row>
    <row r="580" spans="1:8" ht="11.1" hidden="1" customHeight="1">
      <c r="A580" s="17" t="s">
        <v>1771</v>
      </c>
      <c r="B580" s="17" t="s">
        <v>1772</v>
      </c>
      <c r="C580" s="17" t="s">
        <v>128</v>
      </c>
      <c r="D580" s="17" t="s">
        <v>129</v>
      </c>
      <c r="E580" s="17">
        <v>10285</v>
      </c>
      <c r="F580" s="17" t="s">
        <v>1773</v>
      </c>
      <c r="G580" s="17" t="s">
        <v>1774</v>
      </c>
      <c r="H580" s="17" t="s">
        <v>3990</v>
      </c>
    </row>
    <row r="581" spans="1:8" ht="11.1" hidden="1" customHeight="1">
      <c r="A581" s="17" t="s">
        <v>3062</v>
      </c>
      <c r="B581" s="17" t="s">
        <v>1752</v>
      </c>
      <c r="C581" s="17" t="s">
        <v>495</v>
      </c>
      <c r="D581" s="17" t="s">
        <v>184</v>
      </c>
      <c r="E581" s="17">
        <v>10241</v>
      </c>
      <c r="F581" s="17" t="s">
        <v>1753</v>
      </c>
      <c r="G581" s="17" t="s">
        <v>2610</v>
      </c>
      <c r="H581" s="17" t="s">
        <v>4008</v>
      </c>
    </row>
    <row r="582" spans="1:8" ht="11.1" hidden="1" customHeight="1">
      <c r="A582" s="17" t="s">
        <v>1751</v>
      </c>
      <c r="B582" s="17" t="s">
        <v>1752</v>
      </c>
      <c r="C582" s="17" t="s">
        <v>495</v>
      </c>
      <c r="D582" s="17" t="s">
        <v>184</v>
      </c>
      <c r="E582" s="17">
        <v>10241</v>
      </c>
      <c r="F582" s="17" t="s">
        <v>1753</v>
      </c>
      <c r="G582" s="17" t="s">
        <v>2610</v>
      </c>
      <c r="H582" s="17" t="s">
        <v>4008</v>
      </c>
    </row>
    <row r="583" spans="1:8" ht="11.1" hidden="1" customHeight="1">
      <c r="A583" s="17" t="s">
        <v>2171</v>
      </c>
      <c r="B583" s="17" t="s">
        <v>2172</v>
      </c>
      <c r="C583" s="17" t="s">
        <v>2173</v>
      </c>
      <c r="D583" s="17" t="s">
        <v>2174</v>
      </c>
      <c r="E583" s="17">
        <v>8599</v>
      </c>
      <c r="F583" s="17" t="s">
        <v>2176</v>
      </c>
      <c r="G583" s="17" t="s">
        <v>2177</v>
      </c>
      <c r="H583" s="17" t="s">
        <v>4118</v>
      </c>
    </row>
    <row r="584" spans="1:8" ht="11.1" hidden="1" customHeight="1">
      <c r="A584" s="17" t="s">
        <v>3070</v>
      </c>
      <c r="B584" s="17" t="s">
        <v>3071</v>
      </c>
      <c r="C584" s="17" t="s">
        <v>3072</v>
      </c>
      <c r="D584" s="17" t="s">
        <v>2291</v>
      </c>
      <c r="E584" s="17">
        <v>8794</v>
      </c>
      <c r="F584" s="17" t="s">
        <v>3074</v>
      </c>
      <c r="G584" s="17" t="s">
        <v>3075</v>
      </c>
      <c r="H584" s="17" t="s">
        <v>4103</v>
      </c>
    </row>
    <row r="585" spans="1:8" ht="11.1" hidden="1" customHeight="1">
      <c r="A585" s="17" t="s">
        <v>3554</v>
      </c>
      <c r="B585" s="17" t="s">
        <v>3555</v>
      </c>
      <c r="C585" s="17" t="s">
        <v>640</v>
      </c>
      <c r="D585" s="17" t="s">
        <v>398</v>
      </c>
      <c r="E585" s="17">
        <v>9964</v>
      </c>
      <c r="F585" s="17" t="s">
        <v>3556</v>
      </c>
      <c r="G585" s="17" t="s">
        <v>3557</v>
      </c>
      <c r="H585" s="17" t="s">
        <v>4049</v>
      </c>
    </row>
    <row r="586" spans="1:8" ht="11.1" hidden="1" customHeight="1">
      <c r="A586" s="17" t="s">
        <v>1779</v>
      </c>
      <c r="B586" s="17" t="s">
        <v>1780</v>
      </c>
      <c r="C586" s="17" t="s">
        <v>1781</v>
      </c>
      <c r="D586" s="17" t="s">
        <v>1782</v>
      </c>
      <c r="E586" s="17">
        <v>10293</v>
      </c>
      <c r="F586" s="17" t="s">
        <v>1784</v>
      </c>
      <c r="G586" s="17" t="s">
        <v>1785</v>
      </c>
      <c r="H586" s="17" t="s">
        <v>4018</v>
      </c>
    </row>
    <row r="587" spans="1:8" ht="11.1" hidden="1" customHeight="1">
      <c r="A587" s="17" t="s">
        <v>1790</v>
      </c>
      <c r="B587" s="17" t="s">
        <v>1791</v>
      </c>
      <c r="C587" s="17" t="s">
        <v>824</v>
      </c>
      <c r="D587" s="17" t="s">
        <v>825</v>
      </c>
      <c r="E587" s="17">
        <v>10238</v>
      </c>
      <c r="F587" s="17" t="s">
        <v>1792</v>
      </c>
      <c r="G587" s="17" t="s">
        <v>1793</v>
      </c>
      <c r="H587" s="17" t="s">
        <v>3995</v>
      </c>
    </row>
    <row r="588" spans="1:8" ht="11.1" hidden="1" customHeight="1">
      <c r="A588" s="17" t="s">
        <v>705</v>
      </c>
      <c r="B588" s="17" t="s">
        <v>706</v>
      </c>
      <c r="C588" s="17" t="s">
        <v>304</v>
      </c>
      <c r="D588" s="17" t="s">
        <v>305</v>
      </c>
      <c r="E588" s="17">
        <v>10457</v>
      </c>
      <c r="F588" s="17" t="s">
        <v>707</v>
      </c>
      <c r="G588" s="17" t="s">
        <v>708</v>
      </c>
      <c r="H588" s="17" t="s">
        <v>4013</v>
      </c>
    </row>
    <row r="589" spans="1:8" ht="11.1" hidden="1" customHeight="1">
      <c r="A589" s="17" t="s">
        <v>1375</v>
      </c>
      <c r="B589" s="17" t="s">
        <v>1376</v>
      </c>
      <c r="C589" s="17" t="s">
        <v>249</v>
      </c>
      <c r="D589" s="17" t="s">
        <v>250</v>
      </c>
      <c r="E589" s="17">
        <v>8700</v>
      </c>
      <c r="F589" s="17" t="s">
        <v>1377</v>
      </c>
      <c r="G589" s="17" t="s">
        <v>1378</v>
      </c>
      <c r="H589" s="17" t="s">
        <v>4100</v>
      </c>
    </row>
    <row r="590" spans="1:8" ht="11.1" hidden="1" customHeight="1">
      <c r="A590" s="17" t="s">
        <v>3578</v>
      </c>
      <c r="B590" s="17" t="s">
        <v>3579</v>
      </c>
      <c r="C590" s="17" t="s">
        <v>3580</v>
      </c>
      <c r="D590" s="17" t="s">
        <v>3581</v>
      </c>
      <c r="E590" s="17">
        <v>9848</v>
      </c>
      <c r="F590" s="17" t="s">
        <v>3583</v>
      </c>
      <c r="G590" s="17" t="s">
        <v>3584</v>
      </c>
      <c r="H590" s="17" t="s">
        <v>4119</v>
      </c>
    </row>
    <row r="591" spans="1:8" ht="11.1" hidden="1" customHeight="1">
      <c r="A591" s="17" t="s">
        <v>2207</v>
      </c>
      <c r="B591" s="17" t="s">
        <v>2208</v>
      </c>
      <c r="C591" s="17" t="s">
        <v>566</v>
      </c>
      <c r="D591" s="17" t="s">
        <v>567</v>
      </c>
      <c r="E591" s="17">
        <v>8568</v>
      </c>
      <c r="F591" s="17" t="s">
        <v>2209</v>
      </c>
      <c r="G591" s="17" t="s">
        <v>2210</v>
      </c>
      <c r="H591" s="17" t="s">
        <v>4070</v>
      </c>
    </row>
    <row r="592" spans="1:8" ht="11.1" hidden="1" customHeight="1">
      <c r="A592" s="17" t="s">
        <v>2643</v>
      </c>
      <c r="B592" s="17" t="s">
        <v>2644</v>
      </c>
      <c r="C592" s="17" t="s">
        <v>331</v>
      </c>
      <c r="D592" s="17" t="s">
        <v>332</v>
      </c>
      <c r="E592" s="17">
        <v>9184</v>
      </c>
      <c r="F592" s="17" t="s">
        <v>2645</v>
      </c>
      <c r="G592" s="17" t="s">
        <v>2646</v>
      </c>
      <c r="H592" s="17" t="s">
        <v>4061</v>
      </c>
    </row>
    <row r="593" spans="1:8" ht="11.1" hidden="1" customHeight="1">
      <c r="A593" s="17" t="s">
        <v>126</v>
      </c>
      <c r="B593" s="17" t="s">
        <v>127</v>
      </c>
      <c r="C593" s="17" t="s">
        <v>128</v>
      </c>
      <c r="D593" s="17" t="s">
        <v>129</v>
      </c>
      <c r="E593" s="17">
        <v>10285</v>
      </c>
      <c r="F593" s="17" t="s">
        <v>131</v>
      </c>
      <c r="G593" s="17" t="s">
        <v>132</v>
      </c>
      <c r="H593" s="17" t="s">
        <v>3990</v>
      </c>
    </row>
    <row r="594" spans="1:8" ht="11.1" hidden="1" customHeight="1">
      <c r="A594" s="17" t="s">
        <v>2651</v>
      </c>
      <c r="B594" s="17" t="s">
        <v>2652</v>
      </c>
      <c r="C594" s="17" t="s">
        <v>1712</v>
      </c>
      <c r="D594" s="17" t="s">
        <v>1713</v>
      </c>
      <c r="E594" s="17">
        <v>8707</v>
      </c>
      <c r="F594" s="17" t="s">
        <v>2653</v>
      </c>
      <c r="G594" s="17" t="s">
        <v>2654</v>
      </c>
      <c r="H594" s="17" t="s">
        <v>4023</v>
      </c>
    </row>
    <row r="595" spans="1:8" ht="11.1" hidden="1" customHeight="1">
      <c r="A595" s="17" t="s">
        <v>1391</v>
      </c>
      <c r="B595" s="17" t="s">
        <v>1392</v>
      </c>
      <c r="C595" s="17" t="s">
        <v>1393</v>
      </c>
      <c r="D595" s="17" t="s">
        <v>804</v>
      </c>
      <c r="E595" s="17">
        <v>10097</v>
      </c>
      <c r="F595" s="17" t="s">
        <v>1394</v>
      </c>
      <c r="G595" s="17" t="s">
        <v>1395</v>
      </c>
      <c r="H595" s="17" t="s">
        <v>4040</v>
      </c>
    </row>
    <row r="596" spans="1:8" ht="11.1" hidden="1" customHeight="1">
      <c r="A596" s="17" t="s">
        <v>1396</v>
      </c>
      <c r="B596" s="17" t="s">
        <v>1397</v>
      </c>
      <c r="C596" s="17" t="s">
        <v>1398</v>
      </c>
      <c r="D596" s="17" t="s">
        <v>1399</v>
      </c>
      <c r="E596" s="17">
        <v>9895</v>
      </c>
      <c r="F596" s="17" t="s">
        <v>1401</v>
      </c>
      <c r="G596" s="17" t="s">
        <v>1402</v>
      </c>
      <c r="H596" s="17" t="s">
        <v>4054</v>
      </c>
    </row>
    <row r="597" spans="1:8" ht="11.1" hidden="1" customHeight="1">
      <c r="A597" s="17" t="s">
        <v>2234</v>
      </c>
      <c r="B597" s="17" t="s">
        <v>1404</v>
      </c>
      <c r="C597" s="17" t="s">
        <v>894</v>
      </c>
      <c r="D597" s="17" t="s">
        <v>895</v>
      </c>
      <c r="E597" s="17">
        <v>10242</v>
      </c>
      <c r="F597" s="17" t="s">
        <v>1405</v>
      </c>
      <c r="G597" s="17" t="s">
        <v>1406</v>
      </c>
      <c r="H597" s="17" t="s">
        <v>3942</v>
      </c>
    </row>
    <row r="598" spans="1:8" ht="11.1" hidden="1" customHeight="1">
      <c r="A598" s="17" t="s">
        <v>2674</v>
      </c>
      <c r="B598" s="17" t="s">
        <v>2675</v>
      </c>
      <c r="C598" s="17" t="s">
        <v>1604</v>
      </c>
      <c r="D598" s="17" t="s">
        <v>1605</v>
      </c>
      <c r="E598" s="17">
        <v>10446</v>
      </c>
      <c r="F598" s="17" t="s">
        <v>2676</v>
      </c>
      <c r="G598" s="17" t="s">
        <v>2677</v>
      </c>
      <c r="H598" s="17" t="s">
        <v>3958</v>
      </c>
    </row>
    <row r="599" spans="1:8" ht="11.1" hidden="1" customHeight="1">
      <c r="A599" s="17" t="s">
        <v>731</v>
      </c>
      <c r="B599" s="17" t="s">
        <v>732</v>
      </c>
      <c r="C599" s="17" t="s">
        <v>311</v>
      </c>
      <c r="D599" s="17" t="s">
        <v>312</v>
      </c>
      <c r="E599" s="17">
        <v>10003</v>
      </c>
      <c r="F599" s="17" t="s">
        <v>2557</v>
      </c>
      <c r="G599" s="17" t="s">
        <v>3146</v>
      </c>
      <c r="H599" s="17" t="s">
        <v>3957</v>
      </c>
    </row>
    <row r="600" spans="1:8" ht="11.1" hidden="1" customHeight="1">
      <c r="A600" s="17" t="s">
        <v>735</v>
      </c>
      <c r="B600" s="17" t="s">
        <v>732</v>
      </c>
      <c r="C600" s="17" t="s">
        <v>311</v>
      </c>
      <c r="D600" s="17" t="s">
        <v>312</v>
      </c>
      <c r="E600" s="17">
        <v>10003</v>
      </c>
      <c r="F600" s="17" t="s">
        <v>2557</v>
      </c>
      <c r="G600" s="17" t="s">
        <v>3146</v>
      </c>
      <c r="H600" s="17" t="s">
        <v>3957</v>
      </c>
    </row>
    <row r="601" spans="1:8" ht="11.1" hidden="1" customHeight="1">
      <c r="A601" s="17" t="s">
        <v>2237</v>
      </c>
      <c r="B601" s="17" t="s">
        <v>2238</v>
      </c>
      <c r="C601" s="17" t="s">
        <v>1409</v>
      </c>
      <c r="D601" s="17" t="s">
        <v>1410</v>
      </c>
      <c r="E601" s="17">
        <v>8573</v>
      </c>
      <c r="F601" s="17" t="s">
        <v>2239</v>
      </c>
      <c r="G601" s="17" t="s">
        <v>2240</v>
      </c>
      <c r="H601" s="17" t="s">
        <v>3948</v>
      </c>
    </row>
    <row r="602" spans="1:8" ht="11.1" hidden="1" customHeight="1">
      <c r="A602" s="17" t="s">
        <v>2241</v>
      </c>
      <c r="B602" s="17" t="s">
        <v>2242</v>
      </c>
      <c r="C602" s="17" t="s">
        <v>921</v>
      </c>
      <c r="D602" s="17" t="s">
        <v>922</v>
      </c>
      <c r="E602" s="17">
        <v>9179</v>
      </c>
      <c r="F602" s="17" t="s">
        <v>2243</v>
      </c>
      <c r="G602" s="17" t="s">
        <v>2244</v>
      </c>
      <c r="H602" s="17" t="s">
        <v>3984</v>
      </c>
    </row>
    <row r="603" spans="1:8" ht="11.1" hidden="1" customHeight="1">
      <c r="A603" s="17" t="s">
        <v>2682</v>
      </c>
      <c r="B603" s="17" t="s">
        <v>794</v>
      </c>
      <c r="C603" s="17" t="s">
        <v>501</v>
      </c>
      <c r="D603" s="17" t="s">
        <v>502</v>
      </c>
      <c r="E603" s="17">
        <v>10460</v>
      </c>
      <c r="F603" s="17" t="s">
        <v>795</v>
      </c>
      <c r="G603" s="17" t="s">
        <v>2683</v>
      </c>
      <c r="H603" s="17" t="s">
        <v>3967</v>
      </c>
    </row>
    <row r="604" spans="1:8" ht="11.1" hidden="1" customHeight="1">
      <c r="A604" s="17" t="s">
        <v>165</v>
      </c>
      <c r="B604" s="17" t="s">
        <v>43</v>
      </c>
      <c r="C604" s="17" t="s">
        <v>44</v>
      </c>
      <c r="D604" s="17" t="s">
        <v>45</v>
      </c>
      <c r="E604" s="17">
        <v>10245</v>
      </c>
      <c r="F604" s="17" t="s">
        <v>47</v>
      </c>
      <c r="G604" s="17" t="s">
        <v>166</v>
      </c>
      <c r="H604" s="17" t="s">
        <v>4015</v>
      </c>
    </row>
    <row r="605" spans="1:8" ht="11.1" customHeight="1">
      <c r="A605" s="17" t="s">
        <v>2256</v>
      </c>
      <c r="B605" s="17" t="s">
        <v>2257</v>
      </c>
      <c r="C605" s="17" t="s">
        <v>383</v>
      </c>
      <c r="D605" s="17" t="s">
        <v>384</v>
      </c>
      <c r="E605" s="17">
        <v>9733</v>
      </c>
      <c r="F605" s="17" t="s">
        <v>2258</v>
      </c>
      <c r="G605" s="17" t="s">
        <v>2259</v>
      </c>
      <c r="H605" s="17" t="s">
        <v>3955</v>
      </c>
    </row>
    <row r="606" spans="1:8" ht="11.1" hidden="1" customHeight="1">
      <c r="A606" s="17" t="s">
        <v>3122</v>
      </c>
      <c r="B606" s="17" t="s">
        <v>3123</v>
      </c>
      <c r="C606" s="17" t="s">
        <v>1915</v>
      </c>
      <c r="D606" s="17" t="s">
        <v>1916</v>
      </c>
      <c r="E606" s="17">
        <v>10463</v>
      </c>
      <c r="F606" s="17" t="s">
        <v>3124</v>
      </c>
      <c r="G606" s="17" t="s">
        <v>3125</v>
      </c>
      <c r="H606" s="17" t="s">
        <v>4110</v>
      </c>
    </row>
    <row r="607" spans="1:8" ht="11.1" hidden="1" customHeight="1">
      <c r="A607" s="17" t="s">
        <v>2272</v>
      </c>
      <c r="B607" s="17" t="s">
        <v>2273</v>
      </c>
      <c r="C607" s="17" t="s">
        <v>1998</v>
      </c>
      <c r="D607" s="17" t="s">
        <v>2274</v>
      </c>
      <c r="E607" s="17">
        <v>9433</v>
      </c>
      <c r="F607" s="17" t="s">
        <v>2275</v>
      </c>
      <c r="G607" s="17" t="s">
        <v>2276</v>
      </c>
      <c r="H607" s="17" t="s">
        <v>4091</v>
      </c>
    </row>
    <row r="608" spans="1:8" ht="11.1" hidden="1" customHeight="1">
      <c r="A608" s="17" t="s">
        <v>3130</v>
      </c>
      <c r="B608" s="17" t="s">
        <v>3131</v>
      </c>
      <c r="C608" s="17" t="s">
        <v>183</v>
      </c>
      <c r="D608" s="17" t="s">
        <v>3132</v>
      </c>
      <c r="E608" s="17">
        <v>10241</v>
      </c>
      <c r="F608" s="17" t="s">
        <v>3133</v>
      </c>
      <c r="G608" s="17" t="s">
        <v>3134</v>
      </c>
      <c r="H608" s="17" t="s">
        <v>4008</v>
      </c>
    </row>
    <row r="609" spans="1:8" ht="11.1" hidden="1" customHeight="1">
      <c r="A609" s="17" t="s">
        <v>3139</v>
      </c>
      <c r="B609" s="17" t="s">
        <v>3140</v>
      </c>
      <c r="C609" s="17" t="s">
        <v>365</v>
      </c>
      <c r="D609" s="17" t="s">
        <v>366</v>
      </c>
      <c r="E609" s="17">
        <v>8245</v>
      </c>
      <c r="F609" s="17" t="s">
        <v>3141</v>
      </c>
      <c r="G609" s="17" t="s">
        <v>3142</v>
      </c>
      <c r="H609" s="17" t="s">
        <v>4027</v>
      </c>
    </row>
    <row r="610" spans="1:8" ht="11.1" hidden="1" customHeight="1">
      <c r="A610" s="17" t="s">
        <v>2688</v>
      </c>
      <c r="B610" s="17" t="s">
        <v>2689</v>
      </c>
      <c r="C610" s="17" t="s">
        <v>293</v>
      </c>
      <c r="D610" s="17" t="s">
        <v>294</v>
      </c>
      <c r="E610" s="17">
        <v>8711</v>
      </c>
      <c r="F610" s="17" t="s">
        <v>2690</v>
      </c>
      <c r="G610" s="17" t="s">
        <v>2691</v>
      </c>
      <c r="H610" s="17" t="s">
        <v>3956</v>
      </c>
    </row>
    <row r="611" spans="1:8" ht="11.1" hidden="1" customHeight="1">
      <c r="A611" s="17" t="s">
        <v>2295</v>
      </c>
      <c r="B611" s="17" t="s">
        <v>2296</v>
      </c>
      <c r="C611" s="17" t="s">
        <v>390</v>
      </c>
      <c r="D611" s="17" t="s">
        <v>391</v>
      </c>
      <c r="E611" s="17">
        <v>10201</v>
      </c>
      <c r="F611" s="17" t="s">
        <v>2297</v>
      </c>
      <c r="G611" s="17" t="s">
        <v>2298</v>
      </c>
      <c r="H611" s="17" t="s">
        <v>4002</v>
      </c>
    </row>
    <row r="612" spans="1:8" ht="11.1" hidden="1" customHeight="1">
      <c r="A612" s="17" t="s">
        <v>3156</v>
      </c>
      <c r="B612" s="17" t="s">
        <v>3157</v>
      </c>
      <c r="C612" s="17" t="s">
        <v>2517</v>
      </c>
      <c r="D612" s="17" t="s">
        <v>2518</v>
      </c>
      <c r="E612" s="17">
        <v>9984</v>
      </c>
      <c r="F612" s="17" t="s">
        <v>3158</v>
      </c>
      <c r="G612" s="17" t="s">
        <v>3159</v>
      </c>
      <c r="H612" s="17" t="s">
        <v>4120</v>
      </c>
    </row>
    <row r="613" spans="1:8" ht="11.1" hidden="1" customHeight="1">
      <c r="A613" s="17" t="s">
        <v>2692</v>
      </c>
      <c r="B613" s="17" t="s">
        <v>2693</v>
      </c>
      <c r="C613" s="17" t="s">
        <v>169</v>
      </c>
      <c r="D613" s="17" t="s">
        <v>170</v>
      </c>
      <c r="E613" s="17">
        <v>10309</v>
      </c>
      <c r="F613" s="17" t="s">
        <v>2694</v>
      </c>
      <c r="G613" s="17" t="s">
        <v>2695</v>
      </c>
      <c r="H613" s="17" t="s">
        <v>4005</v>
      </c>
    </row>
    <row r="614" spans="1:8" ht="11.1" customHeight="1">
      <c r="A614" s="17" t="s">
        <v>222</v>
      </c>
      <c r="B614" s="17" t="s">
        <v>223</v>
      </c>
      <c r="C614" s="17" t="s">
        <v>224</v>
      </c>
      <c r="D614" s="17" t="s">
        <v>225</v>
      </c>
      <c r="E614" s="17">
        <v>9715</v>
      </c>
      <c r="F614" s="17" t="s">
        <v>227</v>
      </c>
      <c r="G614" s="17" t="s">
        <v>228</v>
      </c>
      <c r="H614" s="17" t="s">
        <v>4006</v>
      </c>
    </row>
    <row r="615" spans="1:8" ht="11.1" hidden="1" customHeight="1">
      <c r="A615" s="17" t="s">
        <v>3630</v>
      </c>
      <c r="B615" s="17" t="s">
        <v>3631</v>
      </c>
      <c r="C615" s="17" t="s">
        <v>93</v>
      </c>
      <c r="D615" s="17" t="s">
        <v>94</v>
      </c>
      <c r="E615" s="17">
        <v>10202</v>
      </c>
      <c r="F615" s="17" t="s">
        <v>3632</v>
      </c>
      <c r="G615" s="17" t="s">
        <v>3633</v>
      </c>
      <c r="H615" s="17" t="s">
        <v>4088</v>
      </c>
    </row>
    <row r="616" spans="1:8" ht="11.1" hidden="1" customHeight="1">
      <c r="A616" s="17" t="s">
        <v>1862</v>
      </c>
      <c r="B616" s="17" t="s">
        <v>1863</v>
      </c>
      <c r="C616" s="17" t="s">
        <v>154</v>
      </c>
      <c r="D616" s="17" t="s">
        <v>155</v>
      </c>
      <c r="E616" s="17">
        <v>8569</v>
      </c>
      <c r="F616" s="17" t="s">
        <v>1864</v>
      </c>
      <c r="G616" s="17" t="s">
        <v>1865</v>
      </c>
      <c r="H616" s="17" t="s">
        <v>4028</v>
      </c>
    </row>
    <row r="617" spans="1:8" ht="11.1" hidden="1" customHeight="1">
      <c r="A617" s="17" t="s">
        <v>1444</v>
      </c>
      <c r="B617" s="17" t="s">
        <v>1445</v>
      </c>
      <c r="C617" s="17" t="s">
        <v>1159</v>
      </c>
      <c r="D617" s="17" t="s">
        <v>1160</v>
      </c>
      <c r="E617" s="17">
        <v>9889</v>
      </c>
      <c r="F617" s="17" t="s">
        <v>1446</v>
      </c>
      <c r="G617" s="17" t="s">
        <v>1447</v>
      </c>
      <c r="H617" s="17" t="s">
        <v>4085</v>
      </c>
    </row>
    <row r="618" spans="1:8" ht="11.1" hidden="1" customHeight="1">
      <c r="A618" s="17" t="s">
        <v>1870</v>
      </c>
      <c r="B618" s="17" t="s">
        <v>1871</v>
      </c>
      <c r="C618" s="17" t="s">
        <v>566</v>
      </c>
      <c r="D618" s="17" t="s">
        <v>567</v>
      </c>
      <c r="E618" s="17">
        <v>8568</v>
      </c>
      <c r="F618" s="17" t="s">
        <v>1872</v>
      </c>
      <c r="G618" s="17" t="s">
        <v>1873</v>
      </c>
      <c r="H618" s="17" t="s">
        <v>4070</v>
      </c>
    </row>
    <row r="619" spans="1:8" ht="11.1" hidden="1" customHeight="1">
      <c r="A619" s="17" t="s">
        <v>844</v>
      </c>
      <c r="B619" s="17" t="s">
        <v>845</v>
      </c>
      <c r="C619" s="17" t="s">
        <v>846</v>
      </c>
      <c r="D619" s="17" t="s">
        <v>847</v>
      </c>
      <c r="E619" s="17">
        <v>9952</v>
      </c>
      <c r="F619" s="17" t="s">
        <v>849</v>
      </c>
      <c r="G619" s="17" t="s">
        <v>850</v>
      </c>
      <c r="H619" s="17" t="s">
        <v>3966</v>
      </c>
    </row>
    <row r="620" spans="1:8" ht="11.1" hidden="1" customHeight="1">
      <c r="A620" s="17" t="s">
        <v>1879</v>
      </c>
      <c r="B620" s="17" t="s">
        <v>1880</v>
      </c>
      <c r="C620" s="17" t="s">
        <v>1705</v>
      </c>
      <c r="D620" s="17" t="s">
        <v>1706</v>
      </c>
      <c r="E620" s="17">
        <v>10459</v>
      </c>
      <c r="F620" s="17" t="s">
        <v>1881</v>
      </c>
      <c r="G620" s="17" t="s">
        <v>1882</v>
      </c>
      <c r="H620" s="17" t="s">
        <v>3966</v>
      </c>
    </row>
    <row r="621" spans="1:8" ht="11.1" hidden="1" customHeight="1">
      <c r="A621" s="17" t="s">
        <v>2328</v>
      </c>
      <c r="B621" s="17" t="s">
        <v>2329</v>
      </c>
      <c r="C621" s="17" t="s">
        <v>903</v>
      </c>
      <c r="D621" s="17" t="s">
        <v>904</v>
      </c>
      <c r="E621" s="17">
        <v>8570</v>
      </c>
      <c r="F621" s="17" t="s">
        <v>2330</v>
      </c>
      <c r="G621" s="17" t="s">
        <v>2331</v>
      </c>
      <c r="H621" s="17" t="s">
        <v>4024</v>
      </c>
    </row>
    <row r="622" spans="1:8" ht="11.1" hidden="1" customHeight="1">
      <c r="A622" s="17" t="s">
        <v>881</v>
      </c>
      <c r="B622" s="17" t="s">
        <v>882</v>
      </c>
      <c r="C622" s="17" t="s">
        <v>231</v>
      </c>
      <c r="D622" s="17" t="s">
        <v>232</v>
      </c>
      <c r="E622" s="17">
        <v>9893</v>
      </c>
      <c r="F622" s="17" t="s">
        <v>883</v>
      </c>
      <c r="G622" s="17" t="s">
        <v>884</v>
      </c>
      <c r="H622" s="17" t="s">
        <v>3970</v>
      </c>
    </row>
    <row r="623" spans="1:8" ht="11.1" hidden="1" customHeight="1">
      <c r="A623" s="17" t="s">
        <v>3683</v>
      </c>
      <c r="B623" s="17" t="s">
        <v>3684</v>
      </c>
      <c r="C623" s="17" t="s">
        <v>1712</v>
      </c>
      <c r="D623" s="17" t="s">
        <v>1713</v>
      </c>
      <c r="E623" s="17">
        <v>8707</v>
      </c>
      <c r="F623" s="17" t="s">
        <v>3685</v>
      </c>
      <c r="G623" s="17" t="s">
        <v>3686</v>
      </c>
      <c r="H623" s="17" t="s">
        <v>4023</v>
      </c>
    </row>
    <row r="624" spans="1:8" ht="11.1" hidden="1" customHeight="1">
      <c r="A624" s="17" t="s">
        <v>1888</v>
      </c>
      <c r="B624" s="17" t="s">
        <v>1889</v>
      </c>
      <c r="C624" s="17" t="s">
        <v>1547</v>
      </c>
      <c r="D624" s="17" t="s">
        <v>1548</v>
      </c>
      <c r="E624" s="17">
        <v>10091</v>
      </c>
      <c r="F624" s="17" t="s">
        <v>1890</v>
      </c>
      <c r="G624" s="17" t="s">
        <v>1891</v>
      </c>
      <c r="H624" s="17" t="s">
        <v>4072</v>
      </c>
    </row>
    <row r="625" spans="1:8" ht="11.1" hidden="1" customHeight="1">
      <c r="A625" s="17" t="s">
        <v>2340</v>
      </c>
      <c r="B625" s="17" t="s">
        <v>2341</v>
      </c>
      <c r="C625" s="17" t="s">
        <v>766</v>
      </c>
      <c r="D625" s="17" t="s">
        <v>767</v>
      </c>
      <c r="E625" s="17">
        <v>9951</v>
      </c>
      <c r="F625" s="17" t="s">
        <v>2342</v>
      </c>
      <c r="G625" s="17" t="s">
        <v>2343</v>
      </c>
      <c r="H625" s="17" t="s">
        <v>3967</v>
      </c>
    </row>
    <row r="626" spans="1:8" ht="11.1" hidden="1" customHeight="1">
      <c r="A626" s="17" t="s">
        <v>2751</v>
      </c>
      <c r="B626" s="17" t="s">
        <v>260</v>
      </c>
      <c r="C626" s="17" t="s">
        <v>2752</v>
      </c>
      <c r="D626" s="17" t="s">
        <v>262</v>
      </c>
      <c r="E626" s="17">
        <v>9635</v>
      </c>
      <c r="F626" s="17" t="s">
        <v>264</v>
      </c>
      <c r="G626" s="17" t="s">
        <v>283</v>
      </c>
      <c r="H626" s="17" t="s">
        <v>4048</v>
      </c>
    </row>
    <row r="627" spans="1:8" ht="11.1" hidden="1" customHeight="1">
      <c r="A627" s="17" t="s">
        <v>1892</v>
      </c>
      <c r="B627" s="17" t="s">
        <v>1893</v>
      </c>
      <c r="C627" s="17" t="s">
        <v>397</v>
      </c>
      <c r="D627" s="17" t="s">
        <v>1894</v>
      </c>
      <c r="E627" s="17">
        <v>9964</v>
      </c>
      <c r="F627" s="17" t="s">
        <v>1895</v>
      </c>
      <c r="G627" s="17" t="s">
        <v>1896</v>
      </c>
      <c r="H627" s="17" t="s">
        <v>4049</v>
      </c>
    </row>
    <row r="628" spans="1:8" ht="11.1" hidden="1" customHeight="1">
      <c r="A628" s="17" t="s">
        <v>284</v>
      </c>
      <c r="B628" s="17" t="s">
        <v>285</v>
      </c>
      <c r="C628" s="17" t="s">
        <v>286</v>
      </c>
      <c r="D628" s="17" t="s">
        <v>287</v>
      </c>
      <c r="E628" s="17">
        <v>10187</v>
      </c>
      <c r="F628" s="17" t="s">
        <v>289</v>
      </c>
      <c r="G628" s="17" t="s">
        <v>290</v>
      </c>
      <c r="H628" s="17" t="s">
        <v>4104</v>
      </c>
    </row>
    <row r="629" spans="1:8" ht="11.1" hidden="1" customHeight="1">
      <c r="A629" s="17" t="s">
        <v>3168</v>
      </c>
      <c r="B629" s="17" t="s">
        <v>3169</v>
      </c>
      <c r="C629" s="17" t="s">
        <v>2987</v>
      </c>
      <c r="D629" s="17" t="s">
        <v>462</v>
      </c>
      <c r="E629" s="17">
        <v>10006</v>
      </c>
      <c r="F629" s="17" t="s">
        <v>3170</v>
      </c>
      <c r="G629" s="17" t="s">
        <v>3171</v>
      </c>
      <c r="H629" s="17" t="s">
        <v>4075</v>
      </c>
    </row>
    <row r="630" spans="1:8" ht="11.1" hidden="1" customHeight="1">
      <c r="A630" s="17" t="s">
        <v>3185</v>
      </c>
      <c r="B630" s="17" t="s">
        <v>3186</v>
      </c>
      <c r="C630" s="17" t="s">
        <v>810</v>
      </c>
      <c r="D630" s="17" t="s">
        <v>811</v>
      </c>
      <c r="E630" s="17">
        <v>10333</v>
      </c>
      <c r="F630" s="17" t="s">
        <v>3187</v>
      </c>
      <c r="G630" s="17" t="s">
        <v>3188</v>
      </c>
      <c r="H630" s="17" t="s">
        <v>4114</v>
      </c>
    </row>
    <row r="631" spans="1:8" ht="11.1" hidden="1" customHeight="1">
      <c r="A631" s="17" t="s">
        <v>298</v>
      </c>
      <c r="B631" s="17" t="s">
        <v>299</v>
      </c>
      <c r="C631" s="17" t="s">
        <v>121</v>
      </c>
      <c r="D631" s="17" t="s">
        <v>122</v>
      </c>
      <c r="E631" s="17">
        <v>8063</v>
      </c>
      <c r="F631" s="17" t="s">
        <v>300</v>
      </c>
      <c r="G631" s="17" t="s">
        <v>301</v>
      </c>
      <c r="H631" s="17" t="s">
        <v>3952</v>
      </c>
    </row>
    <row r="632" spans="1:8" ht="11.1" hidden="1" customHeight="1">
      <c r="A632" s="17" t="s">
        <v>1498</v>
      </c>
      <c r="B632" s="17" t="s">
        <v>1499</v>
      </c>
      <c r="C632" s="17" t="s">
        <v>397</v>
      </c>
      <c r="D632" s="17" t="s">
        <v>398</v>
      </c>
      <c r="E632" s="17">
        <v>9964</v>
      </c>
      <c r="F632" s="17" t="s">
        <v>1500</v>
      </c>
      <c r="G632" s="17" t="s">
        <v>1501</v>
      </c>
      <c r="H632" s="17" t="s">
        <v>4049</v>
      </c>
    </row>
    <row r="633" spans="1:8" ht="11.1" hidden="1" customHeight="1">
      <c r="A633" s="17" t="s">
        <v>1902</v>
      </c>
      <c r="B633" s="17" t="s">
        <v>1903</v>
      </c>
      <c r="C633" s="17" t="s">
        <v>1904</v>
      </c>
      <c r="D633" s="17" t="s">
        <v>1905</v>
      </c>
      <c r="E633" s="17">
        <v>8442</v>
      </c>
      <c r="F633" s="17" t="s">
        <v>1907</v>
      </c>
      <c r="G633" s="17" t="s">
        <v>1908</v>
      </c>
      <c r="H633" s="17" t="s">
        <v>4121</v>
      </c>
    </row>
    <row r="634" spans="1:8" ht="11.1" hidden="1" customHeight="1">
      <c r="A634" s="17" t="s">
        <v>961</v>
      </c>
      <c r="B634" s="17" t="s">
        <v>962</v>
      </c>
      <c r="C634" s="17" t="s">
        <v>204</v>
      </c>
      <c r="D634" s="17" t="s">
        <v>122</v>
      </c>
      <c r="E634" s="17">
        <v>8061</v>
      </c>
      <c r="F634" s="17" t="s">
        <v>963</v>
      </c>
      <c r="G634" s="17" t="s">
        <v>964</v>
      </c>
      <c r="H634" s="17" t="s">
        <v>4020</v>
      </c>
    </row>
    <row r="635" spans="1:8" ht="11.1" hidden="1" customHeight="1">
      <c r="A635" s="17" t="s">
        <v>965</v>
      </c>
      <c r="B635" s="17" t="s">
        <v>966</v>
      </c>
      <c r="C635" s="17" t="s">
        <v>967</v>
      </c>
      <c r="D635" s="17" t="s">
        <v>968</v>
      </c>
      <c r="E635" s="17">
        <v>10005</v>
      </c>
      <c r="F635" s="17" t="s">
        <v>970</v>
      </c>
      <c r="G635" s="17" t="s">
        <v>971</v>
      </c>
      <c r="H635" s="17" t="s">
        <v>3971</v>
      </c>
    </row>
    <row r="636" spans="1:8" ht="11.1" hidden="1" customHeight="1">
      <c r="A636" s="17" t="s">
        <v>3201</v>
      </c>
      <c r="B636" s="17" t="s">
        <v>3202</v>
      </c>
      <c r="C636" s="17" t="s">
        <v>286</v>
      </c>
      <c r="D636" s="17" t="s">
        <v>3203</v>
      </c>
      <c r="E636" s="17">
        <v>10187</v>
      </c>
      <c r="F636" s="17" t="s">
        <v>3204</v>
      </c>
      <c r="G636" s="17" t="s">
        <v>3205</v>
      </c>
      <c r="H636" s="17" t="s">
        <v>4104</v>
      </c>
    </row>
    <row r="637" spans="1:8" ht="11.1" hidden="1" customHeight="1">
      <c r="A637" s="17" t="s">
        <v>2765</v>
      </c>
      <c r="B637" s="17" t="s">
        <v>1499</v>
      </c>
      <c r="C637" s="17" t="s">
        <v>397</v>
      </c>
      <c r="D637" s="17" t="s">
        <v>398</v>
      </c>
      <c r="E637" s="17">
        <v>9964</v>
      </c>
      <c r="F637" s="17" t="s">
        <v>1500</v>
      </c>
      <c r="G637" s="17" t="s">
        <v>2399</v>
      </c>
      <c r="H637" s="17" t="s">
        <v>4049</v>
      </c>
    </row>
    <row r="638" spans="1:8" ht="11.1" hidden="1" customHeight="1">
      <c r="A638" s="17" t="s">
        <v>1920</v>
      </c>
      <c r="B638" s="17" t="s">
        <v>1921</v>
      </c>
      <c r="C638" s="17" t="s">
        <v>1922</v>
      </c>
      <c r="D638" s="17" t="s">
        <v>1923</v>
      </c>
      <c r="E638" s="17">
        <v>8701</v>
      </c>
      <c r="F638" s="17" t="s">
        <v>1925</v>
      </c>
      <c r="G638" s="17" t="s">
        <v>1926</v>
      </c>
      <c r="H638" s="17" t="s">
        <v>3949</v>
      </c>
    </row>
    <row r="639" spans="1:8" ht="11.1" hidden="1" customHeight="1">
      <c r="A639" s="17" t="s">
        <v>3220</v>
      </c>
      <c r="B639" s="17" t="s">
        <v>3221</v>
      </c>
      <c r="C639" s="17" t="s">
        <v>2472</v>
      </c>
      <c r="D639" s="17" t="s">
        <v>3222</v>
      </c>
      <c r="E639" s="17">
        <v>9833</v>
      </c>
      <c r="F639" s="17" t="s">
        <v>3223</v>
      </c>
      <c r="G639" s="17" t="s">
        <v>3224</v>
      </c>
      <c r="H639" s="17" t="s">
        <v>3976</v>
      </c>
    </row>
    <row r="640" spans="1:8" ht="11.1" customHeight="1">
      <c r="A640" s="17" t="s">
        <v>3239</v>
      </c>
      <c r="B640" s="17" t="s">
        <v>3240</v>
      </c>
      <c r="C640" s="17" t="s">
        <v>429</v>
      </c>
      <c r="D640" s="17" t="s">
        <v>430</v>
      </c>
      <c r="E640" s="17">
        <v>10194</v>
      </c>
      <c r="F640" s="17" t="s">
        <v>3241</v>
      </c>
      <c r="G640" s="17" t="s">
        <v>3242</v>
      </c>
      <c r="H640" s="17" t="s">
        <v>4111</v>
      </c>
    </row>
    <row r="641" spans="1:8" ht="11.1" hidden="1" customHeight="1">
      <c r="A641" s="17" t="s">
        <v>2477</v>
      </c>
      <c r="B641" s="17" t="s">
        <v>487</v>
      </c>
      <c r="C641" s="17" t="s">
        <v>488</v>
      </c>
      <c r="D641" s="17" t="s">
        <v>489</v>
      </c>
      <c r="E641" s="17">
        <v>10461</v>
      </c>
      <c r="F641" s="17" t="s">
        <v>491</v>
      </c>
      <c r="G641" s="17" t="s">
        <v>1948</v>
      </c>
      <c r="H641" s="17" t="s">
        <v>3978</v>
      </c>
    </row>
    <row r="642" spans="1:8" ht="11.1" hidden="1" customHeight="1">
      <c r="A642" s="17" t="s">
        <v>1949</v>
      </c>
      <c r="B642" s="17" t="s">
        <v>1950</v>
      </c>
      <c r="C642" s="17" t="s">
        <v>1859</v>
      </c>
      <c r="D642" s="17" t="s">
        <v>936</v>
      </c>
      <c r="E642" s="17">
        <v>9185</v>
      </c>
      <c r="F642" s="17" t="s">
        <v>1951</v>
      </c>
      <c r="G642" s="17" t="s">
        <v>1952</v>
      </c>
      <c r="H642" s="17" t="s">
        <v>4076</v>
      </c>
    </row>
    <row r="643" spans="1:8" ht="11.1" hidden="1" customHeight="1">
      <c r="A643" s="17" t="s">
        <v>2422</v>
      </c>
      <c r="B643" s="17" t="s">
        <v>2423</v>
      </c>
      <c r="C643" s="17" t="s">
        <v>2424</v>
      </c>
      <c r="D643" s="17" t="s">
        <v>1010</v>
      </c>
      <c r="E643" s="17">
        <v>10099</v>
      </c>
      <c r="F643" s="17" t="s">
        <v>2425</v>
      </c>
      <c r="G643" s="17" t="s">
        <v>2426</v>
      </c>
      <c r="H643" s="17" t="s">
        <v>4073</v>
      </c>
    </row>
    <row r="644" spans="1:8" ht="11.1" hidden="1" customHeight="1">
      <c r="A644" s="17" t="s">
        <v>2817</v>
      </c>
      <c r="B644" s="17" t="s">
        <v>2818</v>
      </c>
      <c r="C644" s="17" t="s">
        <v>559</v>
      </c>
      <c r="D644" s="17" t="s">
        <v>560</v>
      </c>
      <c r="E644" s="17">
        <v>10452</v>
      </c>
      <c r="F644" s="17" t="s">
        <v>2819</v>
      </c>
      <c r="G644" s="17" t="s">
        <v>2820</v>
      </c>
      <c r="H644" s="17" t="s">
        <v>3950</v>
      </c>
    </row>
    <row r="645" spans="1:8" ht="11.1" hidden="1" customHeight="1">
      <c r="A645" s="17" t="s">
        <v>1957</v>
      </c>
      <c r="B645" s="17" t="s">
        <v>1958</v>
      </c>
      <c r="C645" s="17" t="s">
        <v>358</v>
      </c>
      <c r="D645" s="17" t="s">
        <v>359</v>
      </c>
      <c r="E645" s="17">
        <v>8695</v>
      </c>
      <c r="F645" s="17" t="s">
        <v>1959</v>
      </c>
      <c r="G645" s="17" t="s">
        <v>1960</v>
      </c>
      <c r="H645" s="17" t="s">
        <v>4025</v>
      </c>
    </row>
    <row r="646" spans="1:8" ht="11.1" hidden="1" customHeight="1">
      <c r="A646" s="17" t="s">
        <v>402</v>
      </c>
      <c r="B646" s="17" t="s">
        <v>403</v>
      </c>
      <c r="C646" s="17" t="s">
        <v>404</v>
      </c>
      <c r="D646" s="17" t="s">
        <v>405</v>
      </c>
      <c r="E646" s="17">
        <v>8708</v>
      </c>
      <c r="F646" s="17" t="s">
        <v>407</v>
      </c>
      <c r="G646" s="17" t="s">
        <v>408</v>
      </c>
      <c r="H646" s="17" t="s">
        <v>4010</v>
      </c>
    </row>
    <row r="647" spans="1:8" ht="11.1" hidden="1" customHeight="1">
      <c r="A647" s="17" t="s">
        <v>3271</v>
      </c>
      <c r="B647" s="17" t="s">
        <v>3272</v>
      </c>
      <c r="C647" s="17" t="s">
        <v>249</v>
      </c>
      <c r="D647" s="17" t="s">
        <v>250</v>
      </c>
      <c r="E647" s="17">
        <v>8700</v>
      </c>
      <c r="F647" s="17" t="s">
        <v>3273</v>
      </c>
      <c r="G647" s="17" t="s">
        <v>3274</v>
      </c>
      <c r="H647" s="17" t="s">
        <v>4100</v>
      </c>
    </row>
    <row r="648" spans="1:8" ht="11.1" hidden="1" customHeight="1">
      <c r="A648" s="17" t="s">
        <v>1980</v>
      </c>
      <c r="B648" s="17" t="s">
        <v>1981</v>
      </c>
      <c r="C648" s="17" t="s">
        <v>1982</v>
      </c>
      <c r="D648" s="17" t="s">
        <v>1691</v>
      </c>
      <c r="E648" s="17">
        <v>9996</v>
      </c>
      <c r="F648" s="17" t="s">
        <v>1983</v>
      </c>
      <c r="G648" s="17" t="s">
        <v>1984</v>
      </c>
      <c r="H648" s="17" t="s">
        <v>4022</v>
      </c>
    </row>
    <row r="649" spans="1:8" ht="11.1" hidden="1" customHeight="1">
      <c r="A649" s="17" t="s">
        <v>442</v>
      </c>
      <c r="B649" s="17" t="s">
        <v>443</v>
      </c>
      <c r="C649" s="17" t="s">
        <v>444</v>
      </c>
      <c r="D649" s="17" t="s">
        <v>122</v>
      </c>
      <c r="E649" s="17">
        <v>8247</v>
      </c>
      <c r="F649" s="17" t="s">
        <v>446</v>
      </c>
      <c r="G649" s="17" t="s">
        <v>447</v>
      </c>
      <c r="H649" s="17" t="s">
        <v>3946</v>
      </c>
    </row>
    <row r="650" spans="1:8" ht="11.1" hidden="1" customHeight="1">
      <c r="A650" s="17" t="s">
        <v>3291</v>
      </c>
      <c r="B650" s="17" t="s">
        <v>3292</v>
      </c>
      <c r="C650" s="17" t="s">
        <v>2283</v>
      </c>
      <c r="D650" s="17" t="s">
        <v>2284</v>
      </c>
      <c r="E650" s="17">
        <v>9217</v>
      </c>
      <c r="F650" s="17" t="s">
        <v>3293</v>
      </c>
      <c r="G650" s="17" t="s">
        <v>3294</v>
      </c>
      <c r="H650" s="17" t="s">
        <v>4069</v>
      </c>
    </row>
    <row r="651" spans="1:8" ht="11.1" hidden="1" customHeight="1">
      <c r="A651" s="17" t="s">
        <v>3811</v>
      </c>
      <c r="B651" s="17" t="s">
        <v>3812</v>
      </c>
      <c r="C651" s="17" t="s">
        <v>210</v>
      </c>
      <c r="D651" s="17" t="s">
        <v>211</v>
      </c>
      <c r="E651" s="17">
        <v>8060</v>
      </c>
      <c r="F651" s="17" t="s">
        <v>3813</v>
      </c>
      <c r="G651" s="17" t="s">
        <v>3814</v>
      </c>
      <c r="H651" s="17" t="s">
        <v>3994</v>
      </c>
    </row>
    <row r="652" spans="1:8" ht="11.1" hidden="1" customHeight="1">
      <c r="A652" s="17" t="s">
        <v>2854</v>
      </c>
      <c r="B652" s="17" t="s">
        <v>2855</v>
      </c>
      <c r="C652" s="17" t="s">
        <v>2856</v>
      </c>
      <c r="D652" s="17" t="s">
        <v>45</v>
      </c>
      <c r="E652" s="17">
        <v>10245</v>
      </c>
      <c r="F652" s="17" t="s">
        <v>2857</v>
      </c>
      <c r="G652" s="17" t="s">
        <v>2858</v>
      </c>
      <c r="H652" s="17" t="s">
        <v>4015</v>
      </c>
    </row>
    <row r="653" spans="1:8" ht="11.1" hidden="1" customHeight="1">
      <c r="A653" s="17" t="s">
        <v>2867</v>
      </c>
      <c r="B653" s="17" t="s">
        <v>2868</v>
      </c>
      <c r="C653" s="17" t="s">
        <v>2061</v>
      </c>
      <c r="D653" s="17" t="s">
        <v>2062</v>
      </c>
      <c r="E653" s="17">
        <v>10004</v>
      </c>
      <c r="F653" s="17" t="s">
        <v>1528</v>
      </c>
      <c r="G653" s="17" t="s">
        <v>1529</v>
      </c>
      <c r="H653" s="17" t="s">
        <v>4105</v>
      </c>
    </row>
    <row r="654" spans="1:8" ht="11.1" hidden="1" customHeight="1">
      <c r="A654" s="17" t="s">
        <v>2869</v>
      </c>
      <c r="B654" s="17" t="s">
        <v>2870</v>
      </c>
      <c r="C654" s="17" t="s">
        <v>1852</v>
      </c>
      <c r="D654" s="17" t="s">
        <v>1853</v>
      </c>
      <c r="E654" s="17">
        <v>9748</v>
      </c>
      <c r="F654" s="17" t="s">
        <v>2871</v>
      </c>
      <c r="G654" s="17" t="s">
        <v>2872</v>
      </c>
      <c r="H654" s="17" t="s">
        <v>4041</v>
      </c>
    </row>
    <row r="655" spans="1:8" ht="11.1" hidden="1" customHeight="1">
      <c r="A655" s="17" t="s">
        <v>1989</v>
      </c>
      <c r="B655" s="17" t="s">
        <v>1990</v>
      </c>
      <c r="C655" s="17" t="s">
        <v>1991</v>
      </c>
      <c r="D655" s="17" t="s">
        <v>1992</v>
      </c>
      <c r="E655" s="17">
        <v>8735</v>
      </c>
      <c r="F655" s="17" t="s">
        <v>1994</v>
      </c>
      <c r="G655" s="17" t="s">
        <v>1995</v>
      </c>
      <c r="H655" s="17" t="s">
        <v>4095</v>
      </c>
    </row>
    <row r="656" spans="1:8" ht="11.1" hidden="1" customHeight="1">
      <c r="A656" s="17" t="s">
        <v>1083</v>
      </c>
      <c r="B656" s="17" t="s">
        <v>1084</v>
      </c>
      <c r="C656" s="17" t="s">
        <v>640</v>
      </c>
      <c r="D656" s="17" t="s">
        <v>398</v>
      </c>
      <c r="E656" s="17">
        <v>9964</v>
      </c>
      <c r="F656" s="17" t="s">
        <v>1085</v>
      </c>
      <c r="G656" s="17" t="s">
        <v>1086</v>
      </c>
      <c r="H656" s="17" t="s">
        <v>4049</v>
      </c>
    </row>
    <row r="657" spans="1:8" ht="11.1" hidden="1" customHeight="1">
      <c r="A657" s="17" t="s">
        <v>3831</v>
      </c>
      <c r="B657" s="17" t="s">
        <v>3832</v>
      </c>
      <c r="C657" s="17" t="s">
        <v>3833</v>
      </c>
      <c r="D657" s="17" t="s">
        <v>678</v>
      </c>
      <c r="E657" s="17">
        <v>10269</v>
      </c>
      <c r="F657" s="17" t="s">
        <v>3834</v>
      </c>
      <c r="G657" s="17" t="s">
        <v>3835</v>
      </c>
      <c r="H657" s="17" t="s">
        <v>3937</v>
      </c>
    </row>
    <row r="658" spans="1:8" ht="11.1" hidden="1" customHeight="1">
      <c r="A658" s="17" t="s">
        <v>789</v>
      </c>
      <c r="B658" s="17" t="s">
        <v>175</v>
      </c>
      <c r="C658" s="17" t="s">
        <v>790</v>
      </c>
      <c r="D658" s="17" t="s">
        <v>791</v>
      </c>
      <c r="E658" s="17">
        <v>10287</v>
      </c>
      <c r="F658" s="17" t="s">
        <v>179</v>
      </c>
      <c r="G658" s="17" t="s">
        <v>498</v>
      </c>
      <c r="H658" s="17" t="s">
        <v>4012</v>
      </c>
    </row>
    <row r="659" spans="1:8" ht="11.1" hidden="1" customHeight="1">
      <c r="A659" s="17" t="s">
        <v>499</v>
      </c>
      <c r="B659" s="17" t="s">
        <v>500</v>
      </c>
      <c r="C659" s="17" t="s">
        <v>501</v>
      </c>
      <c r="D659" s="17" t="s">
        <v>502</v>
      </c>
      <c r="E659" s="17">
        <v>10460</v>
      </c>
      <c r="F659" s="17" t="s">
        <v>504</v>
      </c>
      <c r="G659" s="17" t="s">
        <v>505</v>
      </c>
      <c r="H659" s="17" t="s">
        <v>3967</v>
      </c>
    </row>
    <row r="660" spans="1:8" ht="11.1" customHeight="1">
      <c r="A660" s="17" t="s">
        <v>2011</v>
      </c>
      <c r="B660" s="17" t="s">
        <v>2012</v>
      </c>
      <c r="C660" s="17" t="s">
        <v>1107</v>
      </c>
      <c r="D660" s="17" t="s">
        <v>225</v>
      </c>
      <c r="E660" s="17">
        <v>9715</v>
      </c>
      <c r="F660" s="17" t="s">
        <v>2013</v>
      </c>
      <c r="G660" s="17" t="s">
        <v>2014</v>
      </c>
      <c r="H660" s="17" t="s">
        <v>4006</v>
      </c>
    </row>
    <row r="661" spans="1:8" ht="11.1" hidden="1" customHeight="1">
      <c r="A661" s="17" t="s">
        <v>3308</v>
      </c>
      <c r="B661" s="17" t="s">
        <v>3309</v>
      </c>
      <c r="C661" s="17" t="s">
        <v>516</v>
      </c>
      <c r="D661" s="17" t="s">
        <v>517</v>
      </c>
      <c r="E661" s="17">
        <v>8710</v>
      </c>
      <c r="F661" s="17" t="s">
        <v>3310</v>
      </c>
      <c r="G661" s="17" t="s">
        <v>3311</v>
      </c>
      <c r="H661" s="17" t="s">
        <v>3959</v>
      </c>
    </row>
    <row r="662" spans="1:8" ht="11.1" customHeight="1">
      <c r="A662" s="17" t="s">
        <v>3836</v>
      </c>
      <c r="B662" s="17" t="s">
        <v>3837</v>
      </c>
      <c r="C662" s="17" t="s">
        <v>2052</v>
      </c>
      <c r="D662" s="17" t="s">
        <v>1185</v>
      </c>
      <c r="E662" s="17">
        <v>9714</v>
      </c>
      <c r="F662" s="17" t="s">
        <v>3838</v>
      </c>
      <c r="G662" s="17" t="s">
        <v>3839</v>
      </c>
      <c r="H662" s="17" t="s">
        <v>4089</v>
      </c>
    </row>
    <row r="663" spans="1:8" ht="11.1" hidden="1" customHeight="1">
      <c r="A663" s="17" t="s">
        <v>2877</v>
      </c>
      <c r="B663" s="17" t="s">
        <v>2878</v>
      </c>
      <c r="C663" s="17" t="s">
        <v>501</v>
      </c>
      <c r="D663" s="17" t="s">
        <v>502</v>
      </c>
      <c r="E663" s="17">
        <v>10460</v>
      </c>
      <c r="F663" s="17" t="s">
        <v>2879</v>
      </c>
      <c r="G663" s="17" t="s">
        <v>2880</v>
      </c>
      <c r="H663" s="17" t="s">
        <v>3967</v>
      </c>
    </row>
    <row r="664" spans="1:8" ht="11.1" hidden="1" customHeight="1">
      <c r="A664" s="17" t="s">
        <v>2479</v>
      </c>
      <c r="B664" s="17" t="s">
        <v>2480</v>
      </c>
      <c r="C664" s="17" t="s">
        <v>1089</v>
      </c>
      <c r="D664" s="17" t="s">
        <v>1090</v>
      </c>
      <c r="E664" s="17">
        <v>8572</v>
      </c>
      <c r="F664" s="17" t="s">
        <v>2481</v>
      </c>
      <c r="G664" s="17" t="s">
        <v>2482</v>
      </c>
      <c r="H664" s="17" t="s">
        <v>3974</v>
      </c>
    </row>
    <row r="665" spans="1:8" ht="11.1" hidden="1" customHeight="1">
      <c r="A665" s="17" t="s">
        <v>3317</v>
      </c>
      <c r="B665" s="17" t="s">
        <v>3318</v>
      </c>
      <c r="C665" s="17" t="s">
        <v>358</v>
      </c>
      <c r="D665" s="17" t="s">
        <v>359</v>
      </c>
      <c r="E665" s="17">
        <v>8695</v>
      </c>
      <c r="F665" s="17" t="s">
        <v>3319</v>
      </c>
      <c r="G665" s="17" t="s">
        <v>3320</v>
      </c>
      <c r="H665" s="17" t="s">
        <v>4025</v>
      </c>
    </row>
    <row r="666" spans="1:8" ht="11.1" hidden="1" customHeight="1">
      <c r="A666" s="17" t="s">
        <v>1626</v>
      </c>
      <c r="B666" s="17" t="s">
        <v>1627</v>
      </c>
      <c r="C666" s="17" t="s">
        <v>861</v>
      </c>
      <c r="D666" s="17" t="s">
        <v>862</v>
      </c>
      <c r="E666" s="17">
        <v>8706</v>
      </c>
      <c r="F666" s="17" t="s">
        <v>1628</v>
      </c>
      <c r="G666" s="17" t="s">
        <v>1629</v>
      </c>
      <c r="H666" s="17" t="s">
        <v>4101</v>
      </c>
    </row>
    <row r="667" spans="1:8" ht="11.1" hidden="1" customHeight="1">
      <c r="A667" s="17" t="s">
        <v>2028</v>
      </c>
      <c r="B667" s="17" t="s">
        <v>2029</v>
      </c>
      <c r="C667" s="17" t="s">
        <v>1089</v>
      </c>
      <c r="D667" s="17" t="s">
        <v>1090</v>
      </c>
      <c r="E667" s="17">
        <v>8572</v>
      </c>
      <c r="F667" s="17" t="s">
        <v>2030</v>
      </c>
      <c r="G667" s="17" t="s">
        <v>2031</v>
      </c>
      <c r="H667" s="17" t="s">
        <v>3974</v>
      </c>
    </row>
    <row r="668" spans="1:8" ht="11.1" hidden="1" customHeight="1">
      <c r="A668" s="17" t="s">
        <v>2900</v>
      </c>
      <c r="B668" s="17" t="s">
        <v>2901</v>
      </c>
      <c r="C668" s="17" t="s">
        <v>1570</v>
      </c>
      <c r="D668" s="17" t="s">
        <v>818</v>
      </c>
      <c r="E668" s="17">
        <v>10105</v>
      </c>
      <c r="F668" s="17" t="s">
        <v>2902</v>
      </c>
      <c r="G668" s="17" t="s">
        <v>2903</v>
      </c>
      <c r="H668" s="17" t="s">
        <v>3972</v>
      </c>
    </row>
    <row r="669" spans="1:8" ht="11.1" customHeight="1">
      <c r="A669" s="17" t="s">
        <v>2904</v>
      </c>
      <c r="B669" s="17" t="s">
        <v>2905</v>
      </c>
      <c r="C669" s="17" t="s">
        <v>2906</v>
      </c>
      <c r="D669" s="17" t="s">
        <v>995</v>
      </c>
      <c r="E669" s="17">
        <v>9734</v>
      </c>
      <c r="F669" s="17" t="s">
        <v>2907</v>
      </c>
      <c r="G669" s="17" t="s">
        <v>2908</v>
      </c>
      <c r="H669" s="17" t="s">
        <v>4077</v>
      </c>
    </row>
    <row r="670" spans="1:8" ht="11.1" hidden="1" customHeight="1">
      <c r="A670" s="17" t="s">
        <v>2036</v>
      </c>
      <c r="B670" s="17" t="s">
        <v>2037</v>
      </c>
      <c r="C670" s="17" t="s">
        <v>1922</v>
      </c>
      <c r="D670" s="17" t="s">
        <v>1923</v>
      </c>
      <c r="E670" s="17">
        <v>8701</v>
      </c>
      <c r="F670" s="17" t="s">
        <v>2038</v>
      </c>
      <c r="G670" s="17" t="s">
        <v>2039</v>
      </c>
      <c r="H670" s="17" t="s">
        <v>3949</v>
      </c>
    </row>
    <row r="671" spans="1:8" ht="11.1" hidden="1" customHeight="1">
      <c r="A671" s="17" t="s">
        <v>1661</v>
      </c>
      <c r="B671" s="17" t="s">
        <v>1662</v>
      </c>
      <c r="C671" s="17" t="s">
        <v>629</v>
      </c>
      <c r="D671" s="17" t="s">
        <v>630</v>
      </c>
      <c r="E671" s="17">
        <v>10445</v>
      </c>
      <c r="F671" s="17" t="s">
        <v>1663</v>
      </c>
      <c r="G671" s="17" t="s">
        <v>1664</v>
      </c>
      <c r="H671" s="17" t="s">
        <v>3945</v>
      </c>
    </row>
    <row r="672" spans="1:8" ht="11.1" hidden="1" customHeight="1">
      <c r="A672" s="17" t="s">
        <v>1171</v>
      </c>
      <c r="B672" s="17" t="s">
        <v>1172</v>
      </c>
      <c r="C672" s="17" t="s">
        <v>715</v>
      </c>
      <c r="D672" s="17" t="s">
        <v>716</v>
      </c>
      <c r="E672" s="17">
        <v>10237</v>
      </c>
      <c r="F672" s="17" t="s">
        <v>1173</v>
      </c>
      <c r="G672" s="17" t="s">
        <v>1174</v>
      </c>
      <c r="H672" s="17" t="s">
        <v>3954</v>
      </c>
    </row>
    <row r="673" spans="1:8" ht="11.1" hidden="1" customHeight="1">
      <c r="A673" s="17" t="s">
        <v>571</v>
      </c>
      <c r="B673" s="17" t="s">
        <v>572</v>
      </c>
      <c r="C673" s="17" t="s">
        <v>488</v>
      </c>
      <c r="D673" s="17" t="s">
        <v>489</v>
      </c>
      <c r="E673" s="17">
        <v>10461</v>
      </c>
      <c r="F673" s="17" t="s">
        <v>573</v>
      </c>
      <c r="G673" s="17" t="s">
        <v>574</v>
      </c>
      <c r="H673" s="17" t="s">
        <v>3978</v>
      </c>
    </row>
    <row r="674" spans="1:8" ht="11.1" hidden="1" customHeight="1">
      <c r="A674" s="17" t="s">
        <v>2929</v>
      </c>
      <c r="B674" s="17" t="s">
        <v>2076</v>
      </c>
      <c r="C674" s="17" t="s">
        <v>715</v>
      </c>
      <c r="D674" s="17" t="s">
        <v>716</v>
      </c>
      <c r="E674" s="17">
        <v>10237</v>
      </c>
      <c r="F674" s="17" t="s">
        <v>2077</v>
      </c>
      <c r="G674" s="17" t="s">
        <v>2078</v>
      </c>
      <c r="H674" s="17" t="s">
        <v>3954</v>
      </c>
    </row>
    <row r="675" spans="1:8" ht="11.1" hidden="1" customHeight="1">
      <c r="A675" s="17" t="s">
        <v>2079</v>
      </c>
      <c r="B675" s="17" t="s">
        <v>2080</v>
      </c>
      <c r="C675" s="17" t="s">
        <v>584</v>
      </c>
      <c r="D675" s="17" t="s">
        <v>585</v>
      </c>
      <c r="E675" s="17">
        <v>8553</v>
      </c>
      <c r="F675" s="17" t="s">
        <v>2081</v>
      </c>
      <c r="G675" s="17" t="s">
        <v>2082</v>
      </c>
      <c r="H675" s="17" t="s">
        <v>3934</v>
      </c>
    </row>
    <row r="676" spans="1:8" ht="11.1" hidden="1" customHeight="1">
      <c r="A676" s="17" t="s">
        <v>2529</v>
      </c>
      <c r="B676" s="17" t="s">
        <v>2530</v>
      </c>
      <c r="C676" s="17" t="s">
        <v>1191</v>
      </c>
      <c r="D676" s="17" t="s">
        <v>1192</v>
      </c>
      <c r="E676" s="17">
        <v>10511</v>
      </c>
      <c r="F676" s="17" t="s">
        <v>2531</v>
      </c>
      <c r="G676" s="17" t="s">
        <v>2532</v>
      </c>
      <c r="H676" s="17" t="s">
        <v>4090</v>
      </c>
    </row>
    <row r="677" spans="1:8" ht="11.1" hidden="1" customHeight="1">
      <c r="A677" s="17" t="s">
        <v>575</v>
      </c>
      <c r="B677" s="17" t="s">
        <v>576</v>
      </c>
      <c r="C677" s="17" t="s">
        <v>577</v>
      </c>
      <c r="D677" s="17" t="s">
        <v>578</v>
      </c>
      <c r="E677" s="17">
        <v>7356</v>
      </c>
      <c r="F677" s="17" t="s">
        <v>580</v>
      </c>
      <c r="G677" s="17" t="s">
        <v>581</v>
      </c>
      <c r="H677" s="17" t="s">
        <v>3969</v>
      </c>
    </row>
    <row r="678" spans="1:8" ht="11.1" hidden="1" customHeight="1">
      <c r="A678" s="17" t="s">
        <v>2315</v>
      </c>
      <c r="B678" s="17" t="s">
        <v>2316</v>
      </c>
      <c r="C678" s="17" t="s">
        <v>766</v>
      </c>
      <c r="D678" s="17" t="s">
        <v>767</v>
      </c>
      <c r="E678" s="17">
        <v>9951</v>
      </c>
      <c r="F678" s="17" t="s">
        <v>2317</v>
      </c>
      <c r="G678" s="17" t="s">
        <v>2946</v>
      </c>
      <c r="H678" s="17" t="s">
        <v>3967</v>
      </c>
    </row>
    <row r="679" spans="1:8" ht="11.1" hidden="1" customHeight="1">
      <c r="A679" s="17" t="s">
        <v>3400</v>
      </c>
      <c r="B679" s="17" t="s">
        <v>3401</v>
      </c>
      <c r="C679" s="17" t="s">
        <v>397</v>
      </c>
      <c r="D679" s="17" t="s">
        <v>398</v>
      </c>
      <c r="E679" s="17">
        <v>9964</v>
      </c>
      <c r="F679" s="17" t="s">
        <v>3402</v>
      </c>
      <c r="G679" s="17" t="s">
        <v>3403</v>
      </c>
      <c r="H679" s="17" t="s">
        <v>4049</v>
      </c>
    </row>
    <row r="680" spans="1:8" ht="11.1" hidden="1" customHeight="1">
      <c r="A680" s="17" t="s">
        <v>610</v>
      </c>
      <c r="B680" s="17" t="s">
        <v>611</v>
      </c>
      <c r="C680" s="17" t="s">
        <v>376</v>
      </c>
      <c r="D680" s="17" t="s">
        <v>377</v>
      </c>
      <c r="E680" s="17">
        <v>10462</v>
      </c>
      <c r="F680" s="17" t="s">
        <v>612</v>
      </c>
      <c r="G680" s="17" t="s">
        <v>613</v>
      </c>
      <c r="H680" s="17" t="s">
        <v>3997</v>
      </c>
    </row>
    <row r="681" spans="1:8" ht="11.1" hidden="1" customHeight="1">
      <c r="A681" s="17" t="s">
        <v>1223</v>
      </c>
      <c r="B681" s="17" t="s">
        <v>1224</v>
      </c>
      <c r="C681" s="17" t="s">
        <v>1225</v>
      </c>
      <c r="D681" s="17" t="s">
        <v>148</v>
      </c>
      <c r="E681" s="17">
        <v>9749</v>
      </c>
      <c r="F681" s="17" t="s">
        <v>1226</v>
      </c>
      <c r="G681" s="17" t="s">
        <v>1227</v>
      </c>
      <c r="H681" s="17" t="s">
        <v>4080</v>
      </c>
    </row>
    <row r="682" spans="1:8" ht="11.1" hidden="1" customHeight="1">
      <c r="A682" s="17" t="s">
        <v>1703</v>
      </c>
      <c r="B682" s="17" t="s">
        <v>1704</v>
      </c>
      <c r="C682" s="17" t="s">
        <v>1705</v>
      </c>
      <c r="D682" s="17" t="s">
        <v>1706</v>
      </c>
      <c r="E682" s="17">
        <v>10459</v>
      </c>
      <c r="F682" s="17" t="s">
        <v>1708</v>
      </c>
      <c r="G682" s="17" t="s">
        <v>1709</v>
      </c>
      <c r="H682" s="17" t="s">
        <v>3966</v>
      </c>
    </row>
    <row r="683" spans="1:8" ht="11.1" hidden="1" customHeight="1">
      <c r="A683" s="17" t="s">
        <v>1556</v>
      </c>
      <c r="B683" s="17" t="s">
        <v>1557</v>
      </c>
      <c r="C683" s="17" t="s">
        <v>677</v>
      </c>
      <c r="D683" s="17" t="s">
        <v>678</v>
      </c>
      <c r="E683" s="17">
        <v>10269</v>
      </c>
      <c r="F683" s="17" t="s">
        <v>1558</v>
      </c>
      <c r="G683" s="17" t="s">
        <v>2559</v>
      </c>
      <c r="H683" s="17" t="s">
        <v>3937</v>
      </c>
    </row>
    <row r="684" spans="1:8" ht="11.1" hidden="1" customHeight="1">
      <c r="A684" s="17" t="s">
        <v>3446</v>
      </c>
      <c r="B684" s="17" t="s">
        <v>3447</v>
      </c>
      <c r="C684" s="17" t="s">
        <v>887</v>
      </c>
      <c r="D684" s="17" t="s">
        <v>888</v>
      </c>
      <c r="E684" s="17">
        <v>10002</v>
      </c>
      <c r="F684" s="17" t="s">
        <v>3448</v>
      </c>
      <c r="G684" s="17" t="s">
        <v>3449</v>
      </c>
      <c r="H684" s="17" t="s">
        <v>4045</v>
      </c>
    </row>
    <row r="685" spans="1:8" ht="11.1" hidden="1" customHeight="1">
      <c r="A685" s="17" t="s">
        <v>3450</v>
      </c>
      <c r="B685" s="17" t="s">
        <v>3451</v>
      </c>
      <c r="C685" s="17" t="s">
        <v>1852</v>
      </c>
      <c r="D685" s="17" t="s">
        <v>1853</v>
      </c>
      <c r="E685" s="17">
        <v>9748</v>
      </c>
      <c r="F685" s="17" t="s">
        <v>3452</v>
      </c>
      <c r="G685" s="17" t="s">
        <v>3453</v>
      </c>
      <c r="H685" s="17" t="s">
        <v>4041</v>
      </c>
    </row>
    <row r="686" spans="1:8" ht="11.1" hidden="1" customHeight="1">
      <c r="A686" s="17" t="s">
        <v>98</v>
      </c>
      <c r="B686" s="17" t="s">
        <v>99</v>
      </c>
      <c r="C686" s="17" t="s">
        <v>100</v>
      </c>
      <c r="D686" s="17" t="s">
        <v>101</v>
      </c>
      <c r="E686" s="17">
        <v>10349</v>
      </c>
      <c r="F686" s="17" t="s">
        <v>103</v>
      </c>
      <c r="G686" s="17" t="s">
        <v>1256</v>
      </c>
      <c r="H686" s="17" t="s">
        <v>3943</v>
      </c>
    </row>
    <row r="687" spans="1:8" ht="11.1" hidden="1" customHeight="1">
      <c r="A687" s="17" t="s">
        <v>3916</v>
      </c>
      <c r="B687" s="17" t="s">
        <v>3917</v>
      </c>
      <c r="C687" s="17" t="s">
        <v>1247</v>
      </c>
      <c r="D687" s="17" t="s">
        <v>1248</v>
      </c>
      <c r="E687" s="17">
        <v>8571</v>
      </c>
      <c r="F687" s="17" t="s">
        <v>3918</v>
      </c>
      <c r="G687" s="17" t="s">
        <v>3919</v>
      </c>
      <c r="H687" s="17" t="s">
        <v>4092</v>
      </c>
    </row>
    <row r="688" spans="1:8" ht="11.1" hidden="1" customHeight="1">
      <c r="A688" s="17" t="s">
        <v>638</v>
      </c>
      <c r="B688" s="17" t="s">
        <v>639</v>
      </c>
      <c r="C688" s="17" t="s">
        <v>640</v>
      </c>
      <c r="D688" s="17" t="s">
        <v>398</v>
      </c>
      <c r="E688" s="17">
        <v>9964</v>
      </c>
      <c r="F688" s="17" t="s">
        <v>641</v>
      </c>
      <c r="G688" s="17" t="s">
        <v>642</v>
      </c>
      <c r="H688" s="17" t="s">
        <v>4049</v>
      </c>
    </row>
    <row r="689" spans="1:8" ht="11.1" hidden="1" customHeight="1">
      <c r="A689" s="17" t="s">
        <v>3006</v>
      </c>
      <c r="B689" s="17" t="s">
        <v>3007</v>
      </c>
      <c r="C689" s="17" t="s">
        <v>1247</v>
      </c>
      <c r="D689" s="17" t="s">
        <v>1248</v>
      </c>
      <c r="E689" s="17">
        <v>8571</v>
      </c>
      <c r="F689" s="17" t="s">
        <v>3008</v>
      </c>
      <c r="G689" s="17" t="s">
        <v>3009</v>
      </c>
      <c r="H689" s="17" t="s">
        <v>4092</v>
      </c>
    </row>
    <row r="690" spans="1:8" ht="11.1" hidden="1" customHeight="1">
      <c r="A690" s="17" t="s">
        <v>3924</v>
      </c>
      <c r="B690" s="17" t="s">
        <v>3925</v>
      </c>
      <c r="C690" s="17" t="s">
        <v>861</v>
      </c>
      <c r="D690" s="17" t="s">
        <v>862</v>
      </c>
      <c r="E690" s="17">
        <v>8706</v>
      </c>
      <c r="F690" s="17" t="s">
        <v>3926</v>
      </c>
      <c r="G690" s="17" t="s">
        <v>3927</v>
      </c>
      <c r="H690" s="17" t="s">
        <v>4101</v>
      </c>
    </row>
    <row r="691" spans="1:8" ht="11.1" hidden="1" customHeight="1">
      <c r="A691" s="17" t="s">
        <v>3018</v>
      </c>
      <c r="B691" s="17" t="s">
        <v>3019</v>
      </c>
      <c r="C691" s="17" t="s">
        <v>684</v>
      </c>
      <c r="D691" s="17" t="s">
        <v>685</v>
      </c>
      <c r="E691" s="17">
        <v>7246</v>
      </c>
      <c r="F691" s="17" t="s">
        <v>3020</v>
      </c>
      <c r="G691" s="17" t="s">
        <v>3021</v>
      </c>
      <c r="H691" s="17" t="s">
        <v>4062</v>
      </c>
    </row>
    <row r="692" spans="1:8" ht="11.1" hidden="1" customHeight="1">
      <c r="A692" s="17" t="s">
        <v>3493</v>
      </c>
      <c r="B692" s="17" t="s">
        <v>3494</v>
      </c>
      <c r="C692" s="17" t="s">
        <v>190</v>
      </c>
      <c r="D692" s="17" t="s">
        <v>191</v>
      </c>
      <c r="E692" s="17">
        <v>10247</v>
      </c>
      <c r="F692" s="17" t="s">
        <v>3495</v>
      </c>
      <c r="G692" s="17" t="s">
        <v>3496</v>
      </c>
      <c r="H692" s="17" t="s">
        <v>4038</v>
      </c>
    </row>
    <row r="693" spans="1:8" ht="11.1" hidden="1" customHeight="1">
      <c r="A693" s="17" t="s">
        <v>21</v>
      </c>
      <c r="B693" s="17" t="s">
        <v>22</v>
      </c>
      <c r="C693" s="17" t="s">
        <v>23</v>
      </c>
      <c r="D693" s="17" t="s">
        <v>24</v>
      </c>
      <c r="E693" s="17">
        <v>10248</v>
      </c>
      <c r="F693" s="17" t="s">
        <v>26</v>
      </c>
      <c r="G693" s="17" t="s">
        <v>27</v>
      </c>
      <c r="H693" s="17" t="s">
        <v>4017</v>
      </c>
    </row>
    <row r="694" spans="1:8" ht="11.1" hidden="1" customHeight="1">
      <c r="A694" s="17" t="s">
        <v>28</v>
      </c>
      <c r="B694" s="17" t="s">
        <v>29</v>
      </c>
      <c r="C694" s="17" t="s">
        <v>30</v>
      </c>
      <c r="D694" s="17" t="s">
        <v>31</v>
      </c>
      <c r="E694" s="17">
        <v>10290</v>
      </c>
      <c r="F694" s="17" t="s">
        <v>33</v>
      </c>
      <c r="G694" s="17" t="s">
        <v>34</v>
      </c>
      <c r="H694" s="17" t="s">
        <v>4021</v>
      </c>
    </row>
    <row r="695" spans="1:8" ht="11.1" hidden="1" customHeight="1">
      <c r="A695" s="17" t="s">
        <v>3501</v>
      </c>
      <c r="B695" s="17" t="s">
        <v>3502</v>
      </c>
      <c r="C695" s="17" t="s">
        <v>1134</v>
      </c>
      <c r="D695" s="17" t="s">
        <v>1135</v>
      </c>
      <c r="E695" s="17">
        <v>8248</v>
      </c>
      <c r="F695" s="17" t="s">
        <v>3503</v>
      </c>
      <c r="G695" s="17" t="s">
        <v>3504</v>
      </c>
      <c r="H695" s="17" t="s">
        <v>3982</v>
      </c>
    </row>
    <row r="696" spans="1:8" ht="11.1" hidden="1" customHeight="1">
      <c r="A696" s="17" t="s">
        <v>3062</v>
      </c>
      <c r="B696" s="17" t="s">
        <v>1752</v>
      </c>
      <c r="C696" s="17" t="s">
        <v>495</v>
      </c>
      <c r="D696" s="17" t="s">
        <v>184</v>
      </c>
      <c r="E696" s="17">
        <v>10241</v>
      </c>
      <c r="F696" s="17" t="s">
        <v>1753</v>
      </c>
      <c r="G696" s="17" t="s">
        <v>1754</v>
      </c>
      <c r="H696" s="17" t="s">
        <v>4008</v>
      </c>
    </row>
    <row r="697" spans="1:8" ht="11.1" hidden="1" customHeight="1">
      <c r="A697" s="17" t="s">
        <v>1751</v>
      </c>
      <c r="B697" s="17" t="s">
        <v>1752</v>
      </c>
      <c r="C697" s="17" t="s">
        <v>495</v>
      </c>
      <c r="D697" s="17" t="s">
        <v>184</v>
      </c>
      <c r="E697" s="17">
        <v>10241</v>
      </c>
      <c r="F697" s="17" t="s">
        <v>1753</v>
      </c>
      <c r="G697" s="17" t="s">
        <v>1754</v>
      </c>
      <c r="H697" s="17" t="s">
        <v>4008</v>
      </c>
    </row>
    <row r="698" spans="1:8" ht="11.1" hidden="1" customHeight="1">
      <c r="A698" s="17" t="s">
        <v>2139</v>
      </c>
      <c r="B698" s="17" t="s">
        <v>2140</v>
      </c>
      <c r="C698" s="17" t="s">
        <v>72</v>
      </c>
      <c r="D698" s="17" t="s">
        <v>73</v>
      </c>
      <c r="E698" s="17">
        <v>7682</v>
      </c>
      <c r="F698" s="17" t="s">
        <v>2141</v>
      </c>
      <c r="G698" s="17" t="s">
        <v>2142</v>
      </c>
      <c r="H698" s="17" t="s">
        <v>3940</v>
      </c>
    </row>
    <row r="699" spans="1:8" ht="11.1" hidden="1" customHeight="1">
      <c r="A699" s="17" t="s">
        <v>1305</v>
      </c>
      <c r="B699" s="17" t="s">
        <v>1306</v>
      </c>
      <c r="C699" s="17" t="s">
        <v>9</v>
      </c>
      <c r="D699" s="17" t="s">
        <v>10</v>
      </c>
      <c r="E699" s="17">
        <v>7691</v>
      </c>
      <c r="F699" s="17" t="s">
        <v>1307</v>
      </c>
      <c r="G699" s="17" t="s">
        <v>1308</v>
      </c>
      <c r="H699" s="17" t="s">
        <v>4093</v>
      </c>
    </row>
    <row r="700" spans="1:8" ht="11.1" hidden="1" customHeight="1">
      <c r="A700" s="17" t="s">
        <v>49</v>
      </c>
      <c r="B700" s="17" t="s">
        <v>50</v>
      </c>
      <c r="C700" s="17" t="s">
        <v>51</v>
      </c>
      <c r="D700" s="17" t="s">
        <v>52</v>
      </c>
      <c r="E700" s="17">
        <v>8754</v>
      </c>
      <c r="F700" s="17" t="s">
        <v>54</v>
      </c>
      <c r="G700" s="17" t="s">
        <v>55</v>
      </c>
      <c r="H700" s="17" t="s">
        <v>4034</v>
      </c>
    </row>
    <row r="701" spans="1:8" ht="11.1" hidden="1" customHeight="1">
      <c r="A701" s="17" t="s">
        <v>63</v>
      </c>
      <c r="B701" s="17" t="s">
        <v>64</v>
      </c>
      <c r="C701" s="17" t="s">
        <v>65</v>
      </c>
      <c r="D701" s="17" t="s">
        <v>66</v>
      </c>
      <c r="E701" s="17">
        <v>10244</v>
      </c>
      <c r="F701" s="17" t="s">
        <v>68</v>
      </c>
      <c r="G701" s="17" t="s">
        <v>69</v>
      </c>
      <c r="H701" s="17" t="s">
        <v>3980</v>
      </c>
    </row>
    <row r="702" spans="1:8" ht="11.1" hidden="1" customHeight="1">
      <c r="A702" s="17" t="s">
        <v>70</v>
      </c>
      <c r="B702" s="17" t="s">
        <v>71</v>
      </c>
      <c r="C702" s="17" t="s">
        <v>72</v>
      </c>
      <c r="D702" s="17" t="s">
        <v>73</v>
      </c>
      <c r="E702" s="17">
        <v>7682</v>
      </c>
      <c r="F702" s="17" t="s">
        <v>75</v>
      </c>
      <c r="G702" s="17" t="s">
        <v>76</v>
      </c>
      <c r="H702" s="17" t="s">
        <v>3940</v>
      </c>
    </row>
    <row r="703" spans="1:8" ht="11.1" hidden="1" customHeight="1">
      <c r="A703" s="17" t="s">
        <v>682</v>
      </c>
      <c r="B703" s="17" t="s">
        <v>683</v>
      </c>
      <c r="C703" s="17" t="s">
        <v>684</v>
      </c>
      <c r="D703" s="17" t="s">
        <v>685</v>
      </c>
      <c r="E703" s="17">
        <v>7246</v>
      </c>
      <c r="F703" s="17" t="s">
        <v>687</v>
      </c>
      <c r="G703" s="17" t="s">
        <v>688</v>
      </c>
      <c r="H703" s="17" t="s">
        <v>4062</v>
      </c>
    </row>
    <row r="704" spans="1:8" ht="11.1" hidden="1" customHeight="1">
      <c r="A704" s="17" t="s">
        <v>2158</v>
      </c>
      <c r="B704" s="17" t="s">
        <v>2159</v>
      </c>
      <c r="C704" s="17" t="s">
        <v>846</v>
      </c>
      <c r="D704" s="17" t="s">
        <v>847</v>
      </c>
      <c r="E704" s="17">
        <v>9952</v>
      </c>
      <c r="F704" s="17" t="s">
        <v>2160</v>
      </c>
      <c r="G704" s="17" t="s">
        <v>2161</v>
      </c>
      <c r="H704" s="17" t="s">
        <v>3966</v>
      </c>
    </row>
    <row r="705" spans="1:8" ht="11.1" hidden="1" customHeight="1">
      <c r="A705" s="17" t="s">
        <v>77</v>
      </c>
      <c r="B705" s="17" t="s">
        <v>78</v>
      </c>
      <c r="C705" s="17" t="s">
        <v>79</v>
      </c>
      <c r="D705" s="17" t="s">
        <v>80</v>
      </c>
      <c r="E705" s="17">
        <v>9181</v>
      </c>
      <c r="F705" s="17" t="s">
        <v>82</v>
      </c>
      <c r="G705" s="17" t="s">
        <v>83</v>
      </c>
      <c r="H705" s="17" t="s">
        <v>4071</v>
      </c>
    </row>
    <row r="706" spans="1:8" ht="11.1" hidden="1" customHeight="1">
      <c r="A706" s="17" t="s">
        <v>2055</v>
      </c>
      <c r="B706" s="17" t="s">
        <v>2056</v>
      </c>
      <c r="C706" s="17" t="s">
        <v>1025</v>
      </c>
      <c r="D706" s="17" t="s">
        <v>825</v>
      </c>
      <c r="E706" s="17">
        <v>10238</v>
      </c>
      <c r="F706" s="17" t="s">
        <v>2057</v>
      </c>
      <c r="G706" s="17" t="s">
        <v>2609</v>
      </c>
      <c r="H706" s="17" t="s">
        <v>3995</v>
      </c>
    </row>
    <row r="707" spans="1:8" ht="11.1" hidden="1" customHeight="1">
      <c r="A707" s="17" t="s">
        <v>2608</v>
      </c>
      <c r="B707" s="17" t="s">
        <v>2056</v>
      </c>
      <c r="C707" s="17" t="s">
        <v>1025</v>
      </c>
      <c r="D707" s="17" t="s">
        <v>825</v>
      </c>
      <c r="E707" s="17">
        <v>10238</v>
      </c>
      <c r="F707" s="17" t="s">
        <v>2057</v>
      </c>
      <c r="G707" s="17" t="s">
        <v>2609</v>
      </c>
      <c r="H707" s="17" t="s">
        <v>3995</v>
      </c>
    </row>
    <row r="708" spans="1:8" ht="11.1" hidden="1" customHeight="1">
      <c r="A708" s="17" t="s">
        <v>693</v>
      </c>
      <c r="B708" s="17" t="s">
        <v>99</v>
      </c>
      <c r="C708" s="17" t="s">
        <v>100</v>
      </c>
      <c r="D708" s="17" t="s">
        <v>101</v>
      </c>
      <c r="E708" s="17">
        <v>10349</v>
      </c>
      <c r="F708" s="17" t="s">
        <v>103</v>
      </c>
      <c r="G708" s="17" t="s">
        <v>104</v>
      </c>
      <c r="H708" s="17" t="s">
        <v>3943</v>
      </c>
    </row>
    <row r="709" spans="1:8" ht="11.1" hidden="1" customHeight="1">
      <c r="A709" s="17" t="s">
        <v>3090</v>
      </c>
      <c r="B709" s="17" t="s">
        <v>3091</v>
      </c>
      <c r="C709" s="17" t="s">
        <v>696</v>
      </c>
      <c r="D709" s="17" t="s">
        <v>697</v>
      </c>
      <c r="E709" s="17">
        <v>9886</v>
      </c>
      <c r="F709" s="17" t="s">
        <v>3092</v>
      </c>
      <c r="G709" s="17" t="s">
        <v>3093</v>
      </c>
      <c r="H709" s="17" t="s">
        <v>4083</v>
      </c>
    </row>
    <row r="710" spans="1:8" ht="11.1" hidden="1" customHeight="1">
      <c r="A710" s="17" t="s">
        <v>3094</v>
      </c>
      <c r="B710" s="17" t="s">
        <v>3095</v>
      </c>
      <c r="C710" s="17" t="s">
        <v>325</v>
      </c>
      <c r="D710" s="17" t="s">
        <v>218</v>
      </c>
      <c r="E710" s="17">
        <v>9634</v>
      </c>
      <c r="F710" s="17" t="s">
        <v>3096</v>
      </c>
      <c r="G710" s="17" t="s">
        <v>3097</v>
      </c>
      <c r="H710" s="17" t="s">
        <v>4003</v>
      </c>
    </row>
    <row r="711" spans="1:8" ht="11.1" hidden="1" customHeight="1">
      <c r="A711" s="17" t="s">
        <v>1811</v>
      </c>
      <c r="B711" s="17" t="s">
        <v>1812</v>
      </c>
      <c r="C711" s="17" t="s">
        <v>1813</v>
      </c>
      <c r="D711" s="17" t="s">
        <v>1814</v>
      </c>
      <c r="E711" s="17">
        <v>9992</v>
      </c>
      <c r="F711" s="17" t="s">
        <v>1816</v>
      </c>
      <c r="G711" s="17" t="s">
        <v>1817</v>
      </c>
      <c r="H711" s="17" t="s">
        <v>4053</v>
      </c>
    </row>
    <row r="712" spans="1:8" ht="11.1" hidden="1" customHeight="1">
      <c r="A712" s="17" t="s">
        <v>2230</v>
      </c>
      <c r="B712" s="17" t="s">
        <v>2231</v>
      </c>
      <c r="C712" s="17" t="s">
        <v>1712</v>
      </c>
      <c r="D712" s="17" t="s">
        <v>1713</v>
      </c>
      <c r="E712" s="17">
        <v>8707</v>
      </c>
      <c r="F712" s="17" t="s">
        <v>2232</v>
      </c>
      <c r="G712" s="17" t="s">
        <v>2233</v>
      </c>
      <c r="H712" s="17" t="s">
        <v>4023</v>
      </c>
    </row>
    <row r="713" spans="1:8" ht="11.1" hidden="1" customHeight="1">
      <c r="A713" s="17" t="s">
        <v>738</v>
      </c>
      <c r="B713" s="17" t="s">
        <v>739</v>
      </c>
      <c r="C713" s="17" t="s">
        <v>454</v>
      </c>
      <c r="D713" s="17" t="s">
        <v>455</v>
      </c>
      <c r="E713" s="17">
        <v>10334</v>
      </c>
      <c r="F713" s="17" t="s">
        <v>740</v>
      </c>
      <c r="G713" s="17" t="s">
        <v>741</v>
      </c>
      <c r="H713" s="17" t="s">
        <v>4007</v>
      </c>
    </row>
    <row r="714" spans="1:8" ht="11.1" hidden="1" customHeight="1">
      <c r="A714" s="17" t="s">
        <v>133</v>
      </c>
      <c r="B714" s="17" t="s">
        <v>134</v>
      </c>
      <c r="C714" s="17" t="s">
        <v>135</v>
      </c>
      <c r="D714" s="17" t="s">
        <v>136</v>
      </c>
      <c r="E714" s="17">
        <v>9631</v>
      </c>
      <c r="F714" s="17" t="s">
        <v>138</v>
      </c>
      <c r="G714" s="17" t="s">
        <v>139</v>
      </c>
      <c r="H714" s="17" t="s">
        <v>3986</v>
      </c>
    </row>
    <row r="715" spans="1:8" ht="11.1" hidden="1" customHeight="1">
      <c r="A715" s="17" t="s">
        <v>1403</v>
      </c>
      <c r="B715" s="17" t="s">
        <v>1404</v>
      </c>
      <c r="C715" s="17" t="s">
        <v>894</v>
      </c>
      <c r="D715" s="17" t="s">
        <v>895</v>
      </c>
      <c r="E715" s="17">
        <v>10242</v>
      </c>
      <c r="F715" s="17" t="s">
        <v>1405</v>
      </c>
      <c r="G715" s="17" t="s">
        <v>1406</v>
      </c>
      <c r="H715" s="17" t="s">
        <v>3942</v>
      </c>
    </row>
    <row r="716" spans="1:8" ht="11.1" hidden="1" customHeight="1">
      <c r="A716" s="17" t="s">
        <v>3106</v>
      </c>
      <c r="B716" s="17" t="s">
        <v>3107</v>
      </c>
      <c r="C716" s="17" t="s">
        <v>2202</v>
      </c>
      <c r="D716" s="17" t="s">
        <v>2203</v>
      </c>
      <c r="E716" s="17">
        <v>9995</v>
      </c>
      <c r="F716" s="17" t="s">
        <v>3108</v>
      </c>
      <c r="G716" s="17" t="s">
        <v>3109</v>
      </c>
      <c r="H716" s="17" t="s">
        <v>4102</v>
      </c>
    </row>
    <row r="717" spans="1:8" ht="11.1" hidden="1" customHeight="1">
      <c r="A717" s="17" t="s">
        <v>152</v>
      </c>
      <c r="B717" s="17" t="s">
        <v>153</v>
      </c>
      <c r="C717" s="17" t="s">
        <v>154</v>
      </c>
      <c r="D717" s="17" t="s">
        <v>155</v>
      </c>
      <c r="E717" s="17">
        <v>8569</v>
      </c>
      <c r="F717" s="17" t="s">
        <v>157</v>
      </c>
      <c r="G717" s="17" t="s">
        <v>158</v>
      </c>
      <c r="H717" s="17" t="s">
        <v>4028</v>
      </c>
    </row>
    <row r="718" spans="1:8" ht="11.1" hidden="1" customHeight="1">
      <c r="A718" s="17" t="s">
        <v>1841</v>
      </c>
      <c r="B718" s="17" t="s">
        <v>1842</v>
      </c>
      <c r="C718" s="17" t="s">
        <v>23</v>
      </c>
      <c r="D718" s="17" t="s">
        <v>24</v>
      </c>
      <c r="E718" s="17">
        <v>10248</v>
      </c>
      <c r="F718" s="17" t="s">
        <v>1843</v>
      </c>
      <c r="G718" s="17" t="s">
        <v>1844</v>
      </c>
      <c r="H718" s="17" t="s">
        <v>4017</v>
      </c>
    </row>
    <row r="719" spans="1:8" ht="11.1" hidden="1" customHeight="1">
      <c r="A719" s="17" t="s">
        <v>1845</v>
      </c>
      <c r="B719" s="17" t="s">
        <v>1842</v>
      </c>
      <c r="C719" s="17" t="s">
        <v>23</v>
      </c>
      <c r="D719" s="17" t="s">
        <v>24</v>
      </c>
      <c r="E719" s="17">
        <v>10248</v>
      </c>
      <c r="F719" s="17" t="s">
        <v>1843</v>
      </c>
      <c r="G719" s="17" t="s">
        <v>1844</v>
      </c>
      <c r="H719" s="17" t="s">
        <v>4017</v>
      </c>
    </row>
    <row r="720" spans="1:8" ht="11.1" hidden="1" customHeight="1">
      <c r="A720" s="17" t="s">
        <v>3618</v>
      </c>
      <c r="B720" s="17" t="s">
        <v>3619</v>
      </c>
      <c r="C720" s="17" t="s">
        <v>949</v>
      </c>
      <c r="D720" s="17" t="s">
        <v>950</v>
      </c>
      <c r="E720" s="17">
        <v>10458</v>
      </c>
      <c r="F720" s="17" t="s">
        <v>3620</v>
      </c>
      <c r="G720" s="17" t="s">
        <v>3621</v>
      </c>
      <c r="H720" s="17" t="s">
        <v>3965</v>
      </c>
    </row>
    <row r="721" spans="1:8" ht="11.1" hidden="1" customHeight="1">
      <c r="A721" s="17" t="s">
        <v>202</v>
      </c>
      <c r="B721" s="17" t="s">
        <v>203</v>
      </c>
      <c r="C721" s="17" t="s">
        <v>204</v>
      </c>
      <c r="D721" s="17" t="s">
        <v>122</v>
      </c>
      <c r="E721" s="17">
        <v>8061</v>
      </c>
      <c r="F721" s="17" t="s">
        <v>206</v>
      </c>
      <c r="G721" s="17" t="s">
        <v>207</v>
      </c>
      <c r="H721" s="17" t="s">
        <v>4020</v>
      </c>
    </row>
    <row r="722" spans="1:8" ht="11.1" hidden="1" customHeight="1">
      <c r="A722" s="17" t="s">
        <v>808</v>
      </c>
      <c r="B722" s="17" t="s">
        <v>809</v>
      </c>
      <c r="C722" s="17" t="s">
        <v>810</v>
      </c>
      <c r="D722" s="17" t="s">
        <v>811</v>
      </c>
      <c r="E722" s="17">
        <v>10333</v>
      </c>
      <c r="F722" s="17" t="s">
        <v>813</v>
      </c>
      <c r="G722" s="17" t="s">
        <v>814</v>
      </c>
      <c r="H722" s="17" t="s">
        <v>4114</v>
      </c>
    </row>
    <row r="723" spans="1:8" ht="11.1" hidden="1" customHeight="1">
      <c r="A723" s="17" t="s">
        <v>1857</v>
      </c>
      <c r="B723" s="17" t="s">
        <v>1858</v>
      </c>
      <c r="C723" s="17" t="s">
        <v>1859</v>
      </c>
      <c r="D723" s="17" t="s">
        <v>936</v>
      </c>
      <c r="E723" s="17">
        <v>9185</v>
      </c>
      <c r="F723" s="17" t="s">
        <v>1860</v>
      </c>
      <c r="G723" s="17" t="s">
        <v>1861</v>
      </c>
      <c r="H723" s="17" t="s">
        <v>4076</v>
      </c>
    </row>
    <row r="724" spans="1:8" ht="11.1" hidden="1" customHeight="1">
      <c r="A724" s="17" t="s">
        <v>236</v>
      </c>
      <c r="B724" s="17" t="s">
        <v>237</v>
      </c>
      <c r="C724" s="17" t="s">
        <v>238</v>
      </c>
      <c r="D724" s="17" t="s">
        <v>239</v>
      </c>
      <c r="E724" s="17">
        <v>9843</v>
      </c>
      <c r="F724" s="17" t="s">
        <v>241</v>
      </c>
      <c r="G724" s="17" t="s">
        <v>242</v>
      </c>
      <c r="H724" s="17" t="s">
        <v>4081</v>
      </c>
    </row>
    <row r="725" spans="1:8" ht="11.1" hidden="1" customHeight="1">
      <c r="A725" s="17" t="s">
        <v>829</v>
      </c>
      <c r="B725" s="17" t="s">
        <v>830</v>
      </c>
      <c r="C725" s="17" t="s">
        <v>831</v>
      </c>
      <c r="D725" s="17" t="s">
        <v>832</v>
      </c>
      <c r="E725" s="17">
        <v>10038</v>
      </c>
      <c r="F725" s="17" t="s">
        <v>834</v>
      </c>
      <c r="G725" s="17" t="s">
        <v>835</v>
      </c>
      <c r="H725" s="17" t="s">
        <v>3973</v>
      </c>
    </row>
    <row r="726" spans="1:8" ht="11.1" hidden="1" customHeight="1">
      <c r="A726" s="17" t="s">
        <v>2308</v>
      </c>
      <c r="B726" s="17" t="s">
        <v>2309</v>
      </c>
      <c r="C726" s="17" t="s">
        <v>2310</v>
      </c>
      <c r="D726" s="17" t="s">
        <v>2311</v>
      </c>
      <c r="E726" s="17">
        <v>10308</v>
      </c>
      <c r="F726" s="17" t="s">
        <v>2313</v>
      </c>
      <c r="G726" s="17" t="s">
        <v>2314</v>
      </c>
      <c r="H726" s="17" t="s">
        <v>4005</v>
      </c>
    </row>
    <row r="727" spans="1:8" ht="11.1" hidden="1" customHeight="1">
      <c r="A727" s="17" t="s">
        <v>1458</v>
      </c>
      <c r="B727" s="17" t="s">
        <v>1459</v>
      </c>
      <c r="C727" s="17" t="s">
        <v>979</v>
      </c>
      <c r="D727" s="17" t="s">
        <v>1460</v>
      </c>
      <c r="E727" s="17">
        <v>8445</v>
      </c>
      <c r="F727" s="17" t="s">
        <v>1461</v>
      </c>
      <c r="G727" s="17" t="s">
        <v>1462</v>
      </c>
      <c r="H727" s="17" t="s">
        <v>4096</v>
      </c>
    </row>
    <row r="728" spans="1:8" ht="11.1" hidden="1" customHeight="1">
      <c r="A728" s="17" t="s">
        <v>855</v>
      </c>
      <c r="B728" s="17" t="s">
        <v>856</v>
      </c>
      <c r="C728" s="17" t="s">
        <v>477</v>
      </c>
      <c r="D728" s="17" t="s">
        <v>478</v>
      </c>
      <c r="E728" s="17">
        <v>8956</v>
      </c>
      <c r="F728" s="17" t="s">
        <v>857</v>
      </c>
      <c r="G728" s="17" t="s">
        <v>858</v>
      </c>
      <c r="H728" s="17" t="s">
        <v>3944</v>
      </c>
    </row>
    <row r="729" spans="1:8" ht="11.1" hidden="1" customHeight="1">
      <c r="A729" s="17" t="s">
        <v>2315</v>
      </c>
      <c r="B729" s="17" t="s">
        <v>2316</v>
      </c>
      <c r="C729" s="17" t="s">
        <v>766</v>
      </c>
      <c r="D729" s="17" t="s">
        <v>767</v>
      </c>
      <c r="E729" s="17">
        <v>9951</v>
      </c>
      <c r="F729" s="17" t="s">
        <v>2317</v>
      </c>
      <c r="G729" s="17" t="s">
        <v>2318</v>
      </c>
      <c r="H729" s="17" t="s">
        <v>3967</v>
      </c>
    </row>
    <row r="730" spans="1:8" ht="11.1" hidden="1" customHeight="1">
      <c r="A730" s="17" t="s">
        <v>3675</v>
      </c>
      <c r="B730" s="17" t="s">
        <v>3676</v>
      </c>
      <c r="C730" s="17" t="s">
        <v>1915</v>
      </c>
      <c r="D730" s="17" t="s">
        <v>1916</v>
      </c>
      <c r="E730" s="17">
        <v>10463</v>
      </c>
      <c r="F730" s="17" t="s">
        <v>3677</v>
      </c>
      <c r="G730" s="17" t="s">
        <v>3678</v>
      </c>
      <c r="H730" s="17" t="s">
        <v>4110</v>
      </c>
    </row>
    <row r="731" spans="1:8" ht="11.1" hidden="1" customHeight="1">
      <c r="A731" s="17" t="s">
        <v>3679</v>
      </c>
      <c r="B731" s="17" t="s">
        <v>3680</v>
      </c>
      <c r="C731" s="17" t="s">
        <v>1420</v>
      </c>
      <c r="D731" s="17" t="s">
        <v>1421</v>
      </c>
      <c r="E731" s="17">
        <v>10001</v>
      </c>
      <c r="F731" s="17" t="s">
        <v>3681</v>
      </c>
      <c r="G731" s="17" t="s">
        <v>3682</v>
      </c>
      <c r="H731" s="17" t="s">
        <v>4068</v>
      </c>
    </row>
    <row r="732" spans="1:8" ht="11.1" hidden="1" customHeight="1">
      <c r="A732" s="17" t="s">
        <v>1475</v>
      </c>
      <c r="B732" s="17" t="s">
        <v>1476</v>
      </c>
      <c r="C732" s="17" t="s">
        <v>887</v>
      </c>
      <c r="D732" s="17" t="s">
        <v>1477</v>
      </c>
      <c r="E732" s="17">
        <v>10002</v>
      </c>
      <c r="F732" s="17" t="s">
        <v>1478</v>
      </c>
      <c r="G732" s="17" t="s">
        <v>1479</v>
      </c>
      <c r="H732" s="17" t="s">
        <v>4045</v>
      </c>
    </row>
    <row r="733" spans="1:8" ht="11.1" hidden="1" customHeight="1">
      <c r="A733" s="17" t="s">
        <v>1480</v>
      </c>
      <c r="B733" s="17" t="s">
        <v>1481</v>
      </c>
      <c r="C733" s="17" t="s">
        <v>726</v>
      </c>
      <c r="D733" s="17" t="s">
        <v>727</v>
      </c>
      <c r="E733" s="17">
        <v>10453</v>
      </c>
      <c r="F733" s="17" t="s">
        <v>1482</v>
      </c>
      <c r="G733" s="17" t="s">
        <v>1483</v>
      </c>
      <c r="H733" s="17" t="s">
        <v>4084</v>
      </c>
    </row>
    <row r="734" spans="1:8" ht="11.1" hidden="1" customHeight="1">
      <c r="A734" s="17" t="s">
        <v>3172</v>
      </c>
      <c r="B734" s="17" t="s">
        <v>3173</v>
      </c>
      <c r="C734" s="17" t="s">
        <v>3174</v>
      </c>
      <c r="D734" s="17" t="s">
        <v>1548</v>
      </c>
      <c r="E734" s="17">
        <v>10091</v>
      </c>
      <c r="F734" s="17" t="s">
        <v>3175</v>
      </c>
      <c r="G734" s="17" t="s">
        <v>3176</v>
      </c>
      <c r="H734" s="17" t="s">
        <v>4072</v>
      </c>
    </row>
    <row r="735" spans="1:8" ht="11.1" hidden="1" customHeight="1">
      <c r="A735" s="17" t="s">
        <v>2355</v>
      </c>
      <c r="B735" s="17" t="s">
        <v>2356</v>
      </c>
      <c r="C735" s="17" t="s">
        <v>2357</v>
      </c>
      <c r="D735" s="17" t="s">
        <v>1236</v>
      </c>
      <c r="E735" s="17">
        <v>10104</v>
      </c>
      <c r="F735" s="17" t="s">
        <v>2358</v>
      </c>
      <c r="G735" s="17" t="s">
        <v>2359</v>
      </c>
      <c r="H735" s="17" t="s">
        <v>4079</v>
      </c>
    </row>
    <row r="736" spans="1:8" ht="11.1" hidden="1" customHeight="1">
      <c r="A736" s="17" t="s">
        <v>291</v>
      </c>
      <c r="B736" s="17" t="s">
        <v>292</v>
      </c>
      <c r="C736" s="17" t="s">
        <v>293</v>
      </c>
      <c r="D736" s="17" t="s">
        <v>294</v>
      </c>
      <c r="E736" s="17">
        <v>8711</v>
      </c>
      <c r="F736" s="17" t="s">
        <v>296</v>
      </c>
      <c r="G736" s="17" t="s">
        <v>297</v>
      </c>
      <c r="H736" s="17" t="s">
        <v>3956</v>
      </c>
    </row>
    <row r="737" spans="1:8" ht="11.1" hidden="1" customHeight="1">
      <c r="A737" s="17" t="s">
        <v>926</v>
      </c>
      <c r="B737" s="17" t="s">
        <v>927</v>
      </c>
      <c r="C737" s="17" t="s">
        <v>928</v>
      </c>
      <c r="D737" s="17" t="s">
        <v>929</v>
      </c>
      <c r="E737" s="17">
        <v>7210</v>
      </c>
      <c r="F737" s="17" t="s">
        <v>931</v>
      </c>
      <c r="G737" s="17" t="s">
        <v>932</v>
      </c>
      <c r="H737" s="17" t="s">
        <v>4067</v>
      </c>
    </row>
    <row r="738" spans="1:8" ht="11.1" hidden="1" customHeight="1">
      <c r="A738" s="17" t="s">
        <v>3719</v>
      </c>
      <c r="B738" s="17" t="s">
        <v>3720</v>
      </c>
      <c r="C738" s="17" t="s">
        <v>790</v>
      </c>
      <c r="D738" s="17" t="s">
        <v>791</v>
      </c>
      <c r="E738" s="17">
        <v>10287</v>
      </c>
      <c r="F738" s="17" t="s">
        <v>3721</v>
      </c>
      <c r="G738" s="17" t="s">
        <v>3722</v>
      </c>
      <c r="H738" s="17" t="s">
        <v>3953</v>
      </c>
    </row>
    <row r="739" spans="1:8" ht="11.1" hidden="1" customHeight="1">
      <c r="A739" s="17" t="s">
        <v>3723</v>
      </c>
      <c r="B739" s="17" t="s">
        <v>3724</v>
      </c>
      <c r="C739" s="17" t="s">
        <v>3072</v>
      </c>
      <c r="D739" s="17" t="s">
        <v>3222</v>
      </c>
      <c r="E739" s="17">
        <v>8794</v>
      </c>
      <c r="F739" s="17" t="s">
        <v>3725</v>
      </c>
      <c r="G739" s="17" t="s">
        <v>3726</v>
      </c>
      <c r="H739" s="17" t="s">
        <v>4103</v>
      </c>
    </row>
    <row r="740" spans="1:8" ht="11.1" hidden="1" customHeight="1">
      <c r="A740" s="17" t="s">
        <v>302</v>
      </c>
      <c r="B740" s="17" t="s">
        <v>303</v>
      </c>
      <c r="C740" s="17" t="s">
        <v>304</v>
      </c>
      <c r="D740" s="17" t="s">
        <v>305</v>
      </c>
      <c r="E740" s="17">
        <v>10457</v>
      </c>
      <c r="F740" s="17" t="s">
        <v>307</v>
      </c>
      <c r="G740" s="17" t="s">
        <v>308</v>
      </c>
      <c r="H740" s="17" t="s">
        <v>4013</v>
      </c>
    </row>
    <row r="741" spans="1:8" ht="11.1" hidden="1" customHeight="1">
      <c r="A741" s="17" t="s">
        <v>2395</v>
      </c>
      <c r="B741" s="17" t="s">
        <v>2396</v>
      </c>
      <c r="C741" s="17" t="s">
        <v>1166</v>
      </c>
      <c r="D741" s="17" t="s">
        <v>1167</v>
      </c>
      <c r="E741" s="17">
        <v>8412</v>
      </c>
      <c r="F741" s="17" t="s">
        <v>2397</v>
      </c>
      <c r="G741" s="17" t="s">
        <v>2398</v>
      </c>
      <c r="H741" s="17" t="s">
        <v>4019</v>
      </c>
    </row>
    <row r="742" spans="1:8" ht="11.1" hidden="1" customHeight="1">
      <c r="A742" s="17" t="s">
        <v>1530</v>
      </c>
      <c r="B742" s="17" t="s">
        <v>1531</v>
      </c>
      <c r="C742" s="17" t="s">
        <v>161</v>
      </c>
      <c r="D742" s="17" t="s">
        <v>162</v>
      </c>
      <c r="E742" s="17">
        <v>9253</v>
      </c>
      <c r="F742" s="17" t="s">
        <v>1532</v>
      </c>
      <c r="G742" s="17" t="s">
        <v>1533</v>
      </c>
      <c r="H742" s="17" t="s">
        <v>3963</v>
      </c>
    </row>
    <row r="743" spans="1:8" ht="11.1" hidden="1" customHeight="1">
      <c r="A743" s="17" t="s">
        <v>999</v>
      </c>
      <c r="B743" s="17" t="s">
        <v>1000</v>
      </c>
      <c r="C743" s="17" t="s">
        <v>810</v>
      </c>
      <c r="D743" s="17" t="s">
        <v>811</v>
      </c>
      <c r="E743" s="17">
        <v>10333</v>
      </c>
      <c r="F743" s="17" t="s">
        <v>1001</v>
      </c>
      <c r="G743" s="17" t="s">
        <v>1002</v>
      </c>
      <c r="H743" s="17" t="s">
        <v>4114</v>
      </c>
    </row>
    <row r="744" spans="1:8" ht="11.1" hidden="1" customHeight="1">
      <c r="A744" s="17" t="s">
        <v>336</v>
      </c>
      <c r="B744" s="17" t="s">
        <v>337</v>
      </c>
      <c r="C744" s="17" t="s">
        <v>338</v>
      </c>
      <c r="D744" s="17" t="s">
        <v>339</v>
      </c>
      <c r="E744" s="17">
        <v>10470</v>
      </c>
      <c r="F744" s="17" t="s">
        <v>341</v>
      </c>
      <c r="G744" s="17" t="s">
        <v>342</v>
      </c>
      <c r="H744" s="17" t="s">
        <v>4065</v>
      </c>
    </row>
    <row r="745" spans="1:8" ht="11.1" hidden="1" customHeight="1">
      <c r="A745" s="17" t="s">
        <v>2800</v>
      </c>
      <c r="B745" s="17" t="s">
        <v>2801</v>
      </c>
      <c r="C745" s="17" t="s">
        <v>2145</v>
      </c>
      <c r="D745" s="17" t="s">
        <v>2146</v>
      </c>
      <c r="E745" s="17">
        <v>8436</v>
      </c>
      <c r="F745" s="17" t="s">
        <v>2802</v>
      </c>
      <c r="G745" s="17" t="s">
        <v>2803</v>
      </c>
      <c r="H745" s="17" t="s">
        <v>3935</v>
      </c>
    </row>
    <row r="746" spans="1:8" ht="11.1" hidden="1" customHeight="1">
      <c r="A746" s="17" t="s">
        <v>370</v>
      </c>
      <c r="B746" s="17" t="s">
        <v>371</v>
      </c>
      <c r="C746" s="17" t="s">
        <v>135</v>
      </c>
      <c r="D746" s="17" t="s">
        <v>136</v>
      </c>
      <c r="E746" s="17">
        <v>9631</v>
      </c>
      <c r="F746" s="17" t="s">
        <v>372</v>
      </c>
      <c r="G746" s="17" t="s">
        <v>373</v>
      </c>
      <c r="H746" s="17" t="s">
        <v>3986</v>
      </c>
    </row>
    <row r="747" spans="1:8" ht="11.1" hidden="1" customHeight="1">
      <c r="A747" s="17" t="s">
        <v>2821</v>
      </c>
      <c r="B747" s="17" t="s">
        <v>2822</v>
      </c>
      <c r="C747" s="17" t="s">
        <v>1922</v>
      </c>
      <c r="D747" s="17" t="s">
        <v>1923</v>
      </c>
      <c r="E747" s="17">
        <v>8701</v>
      </c>
      <c r="F747" s="17" t="s">
        <v>2823</v>
      </c>
      <c r="G747" s="17" t="s">
        <v>2824</v>
      </c>
      <c r="H747" s="17" t="s">
        <v>3949</v>
      </c>
    </row>
    <row r="748" spans="1:8" ht="11.1" hidden="1" customHeight="1">
      <c r="A748" s="17" t="s">
        <v>1568</v>
      </c>
      <c r="B748" s="17" t="s">
        <v>1569</v>
      </c>
      <c r="C748" s="17" t="s">
        <v>1570</v>
      </c>
      <c r="D748" s="17" t="s">
        <v>818</v>
      </c>
      <c r="E748" s="17">
        <v>10105</v>
      </c>
      <c r="F748" s="17" t="s">
        <v>1571</v>
      </c>
      <c r="G748" s="17" t="s">
        <v>1572</v>
      </c>
      <c r="H748" s="17" t="s">
        <v>3972</v>
      </c>
    </row>
    <row r="749" spans="1:8" ht="11.1" hidden="1" customHeight="1">
      <c r="A749" s="17" t="s">
        <v>2829</v>
      </c>
      <c r="B749" s="17" t="s">
        <v>1047</v>
      </c>
      <c r="C749" s="17" t="s">
        <v>1122</v>
      </c>
      <c r="D749" s="17" t="s">
        <v>1049</v>
      </c>
      <c r="E749" s="17">
        <v>8891</v>
      </c>
      <c r="F749" s="17" t="s">
        <v>1051</v>
      </c>
      <c r="G749" s="17" t="s">
        <v>1052</v>
      </c>
      <c r="H749" s="17" t="s">
        <v>3999</v>
      </c>
    </row>
    <row r="750" spans="1:8" ht="11.1" hidden="1" customHeight="1">
      <c r="A750" s="17" t="s">
        <v>2825</v>
      </c>
      <c r="B750" s="17" t="s">
        <v>2826</v>
      </c>
      <c r="C750" s="17" t="s">
        <v>559</v>
      </c>
      <c r="D750" s="17" t="s">
        <v>560</v>
      </c>
      <c r="E750" s="17">
        <v>10452</v>
      </c>
      <c r="F750" s="17" t="s">
        <v>2827</v>
      </c>
      <c r="G750" s="17" t="s">
        <v>2828</v>
      </c>
      <c r="H750" s="17" t="s">
        <v>3950</v>
      </c>
    </row>
    <row r="751" spans="1:8" ht="11.1" hidden="1" customHeight="1">
      <c r="A751" s="17" t="s">
        <v>3767</v>
      </c>
      <c r="B751" s="17" t="s">
        <v>3768</v>
      </c>
      <c r="C751" s="17" t="s">
        <v>161</v>
      </c>
      <c r="D751" s="17" t="s">
        <v>162</v>
      </c>
      <c r="E751" s="17">
        <v>9253</v>
      </c>
      <c r="F751" s="17" t="s">
        <v>3769</v>
      </c>
      <c r="G751" s="17" t="s">
        <v>3770</v>
      </c>
      <c r="H751" s="17" t="s">
        <v>3963</v>
      </c>
    </row>
    <row r="752" spans="1:8" ht="11.1" hidden="1" customHeight="1">
      <c r="A752" s="17" t="s">
        <v>3259</v>
      </c>
      <c r="B752" s="17" t="s">
        <v>3260</v>
      </c>
      <c r="C752" s="17" t="s">
        <v>650</v>
      </c>
      <c r="D752" s="17" t="s">
        <v>651</v>
      </c>
      <c r="E752" s="17">
        <v>8697</v>
      </c>
      <c r="F752" s="17" t="s">
        <v>3261</v>
      </c>
      <c r="G752" s="17" t="s">
        <v>3262</v>
      </c>
      <c r="H752" s="17" t="s">
        <v>4063</v>
      </c>
    </row>
    <row r="753" spans="1:8" ht="11.1" hidden="1" customHeight="1">
      <c r="A753" s="17" t="s">
        <v>1581</v>
      </c>
      <c r="B753" s="17" t="s">
        <v>1582</v>
      </c>
      <c r="C753" s="17" t="s">
        <v>249</v>
      </c>
      <c r="D753" s="17" t="s">
        <v>250</v>
      </c>
      <c r="E753" s="17">
        <v>8700</v>
      </c>
      <c r="F753" s="17" t="s">
        <v>1583</v>
      </c>
      <c r="G753" s="17" t="s">
        <v>1584</v>
      </c>
      <c r="H753" s="17" t="s">
        <v>4100</v>
      </c>
    </row>
    <row r="754" spans="1:8" ht="11.1" hidden="1" customHeight="1">
      <c r="A754" s="17" t="s">
        <v>3263</v>
      </c>
      <c r="B754" s="17" t="s">
        <v>3264</v>
      </c>
      <c r="C754" s="17" t="s">
        <v>2061</v>
      </c>
      <c r="D754" s="17" t="s">
        <v>2062</v>
      </c>
      <c r="E754" s="17">
        <v>10004</v>
      </c>
      <c r="F754" s="17" t="s">
        <v>2235</v>
      </c>
      <c r="G754" s="17" t="s">
        <v>2236</v>
      </c>
      <c r="H754" s="17" t="s">
        <v>4105</v>
      </c>
    </row>
    <row r="755" spans="1:8" ht="11.1" hidden="1" customHeight="1">
      <c r="A755" s="17" t="s">
        <v>1053</v>
      </c>
      <c r="B755" s="17" t="s">
        <v>1054</v>
      </c>
      <c r="C755" s="17" t="s">
        <v>128</v>
      </c>
      <c r="D755" s="17" t="s">
        <v>129</v>
      </c>
      <c r="E755" s="17">
        <v>10285</v>
      </c>
      <c r="F755" s="17" t="s">
        <v>1055</v>
      </c>
      <c r="G755" s="17" t="s">
        <v>1056</v>
      </c>
      <c r="H755" s="17" t="s">
        <v>3990</v>
      </c>
    </row>
    <row r="756" spans="1:8" ht="11.1" hidden="1" customHeight="1">
      <c r="A756" s="17" t="s">
        <v>434</v>
      </c>
      <c r="B756" s="17" t="s">
        <v>435</v>
      </c>
      <c r="C756" s="17" t="s">
        <v>397</v>
      </c>
      <c r="D756" s="17" t="s">
        <v>398</v>
      </c>
      <c r="E756" s="17">
        <v>9964</v>
      </c>
      <c r="F756" s="17" t="s">
        <v>436</v>
      </c>
      <c r="G756" s="17" t="s">
        <v>437</v>
      </c>
      <c r="H756" s="17" t="s">
        <v>4049</v>
      </c>
    </row>
    <row r="757" spans="1:8" ht="11.1" hidden="1" customHeight="1">
      <c r="A757" s="17" t="s">
        <v>2850</v>
      </c>
      <c r="B757" s="17" t="s">
        <v>2851</v>
      </c>
      <c r="C757" s="17" t="s">
        <v>286</v>
      </c>
      <c r="D757" s="17" t="s">
        <v>287</v>
      </c>
      <c r="E757" s="17">
        <v>10187</v>
      </c>
      <c r="F757" s="17" t="s">
        <v>2852</v>
      </c>
      <c r="G757" s="17" t="s">
        <v>2853</v>
      </c>
      <c r="H757" s="17" t="s">
        <v>4104</v>
      </c>
    </row>
    <row r="758" spans="1:8" ht="11.1" hidden="1" customHeight="1">
      <c r="A758" s="17" t="s">
        <v>2859</v>
      </c>
      <c r="B758" s="17" t="s">
        <v>2860</v>
      </c>
      <c r="C758" s="17" t="s">
        <v>784</v>
      </c>
      <c r="D758" s="17" t="s">
        <v>785</v>
      </c>
      <c r="E758" s="17">
        <v>9704</v>
      </c>
      <c r="F758" s="17" t="s">
        <v>2861</v>
      </c>
      <c r="G758" s="17" t="s">
        <v>2862</v>
      </c>
      <c r="H758" s="17" t="s">
        <v>3960</v>
      </c>
    </row>
    <row r="759" spans="1:8" ht="11.1" hidden="1" customHeight="1">
      <c r="A759" s="17" t="s">
        <v>2450</v>
      </c>
      <c r="B759" s="17" t="s">
        <v>2451</v>
      </c>
      <c r="C759" s="17" t="s">
        <v>2452</v>
      </c>
      <c r="D759" s="17" t="s">
        <v>2453</v>
      </c>
      <c r="E759" s="17">
        <v>9027</v>
      </c>
      <c r="F759" s="17" t="s">
        <v>2455</v>
      </c>
      <c r="G759" s="17" t="s">
        <v>2456</v>
      </c>
      <c r="H759" s="17" t="s">
        <v>4106</v>
      </c>
    </row>
    <row r="760" spans="1:8" ht="11.1" hidden="1" customHeight="1">
      <c r="A760" s="17" t="s">
        <v>1337</v>
      </c>
      <c r="B760" s="17" t="s">
        <v>57</v>
      </c>
      <c r="C760" s="17" t="s">
        <v>58</v>
      </c>
      <c r="D760" s="17" t="s">
        <v>59</v>
      </c>
      <c r="E760" s="17">
        <v>10268</v>
      </c>
      <c r="F760" s="17" t="s">
        <v>61</v>
      </c>
      <c r="G760" s="17" t="s">
        <v>1601</v>
      </c>
      <c r="H760" s="17" t="s">
        <v>4009</v>
      </c>
    </row>
    <row r="761" spans="1:8" ht="11.1" hidden="1" customHeight="1">
      <c r="A761" s="17" t="s">
        <v>1985</v>
      </c>
      <c r="B761" s="17" t="s">
        <v>1986</v>
      </c>
      <c r="C761" s="17" t="s">
        <v>903</v>
      </c>
      <c r="D761" s="17" t="s">
        <v>904</v>
      </c>
      <c r="E761" s="17">
        <v>8570</v>
      </c>
      <c r="F761" s="17" t="s">
        <v>1987</v>
      </c>
      <c r="G761" s="17" t="s">
        <v>1988</v>
      </c>
      <c r="H761" s="17" t="s">
        <v>4024</v>
      </c>
    </row>
    <row r="762" spans="1:8" ht="11.1" hidden="1" customHeight="1">
      <c r="A762" s="17" t="s">
        <v>2465</v>
      </c>
      <c r="B762" s="17" t="s">
        <v>2466</v>
      </c>
      <c r="C762" s="17" t="s">
        <v>2467</v>
      </c>
      <c r="D762" s="17" t="s">
        <v>697</v>
      </c>
      <c r="E762" s="17">
        <v>9886</v>
      </c>
      <c r="F762" s="17" t="s">
        <v>2468</v>
      </c>
      <c r="G762" s="17" t="s">
        <v>2469</v>
      </c>
      <c r="H762" s="17" t="s">
        <v>4083</v>
      </c>
    </row>
    <row r="763" spans="1:8" ht="11.1" hidden="1" customHeight="1">
      <c r="A763" s="17" t="s">
        <v>899</v>
      </c>
      <c r="B763" s="17" t="s">
        <v>494</v>
      </c>
      <c r="C763" s="17" t="s">
        <v>495</v>
      </c>
      <c r="D763" s="17" t="s">
        <v>184</v>
      </c>
      <c r="E763" s="17">
        <v>10241</v>
      </c>
      <c r="F763" s="17" t="s">
        <v>496</v>
      </c>
      <c r="G763" s="17" t="s">
        <v>497</v>
      </c>
      <c r="H763" s="17" t="s">
        <v>4008</v>
      </c>
    </row>
    <row r="764" spans="1:8" ht="11.1" customHeight="1">
      <c r="A764" s="17" t="s">
        <v>1105</v>
      </c>
      <c r="B764" s="17" t="s">
        <v>1106</v>
      </c>
      <c r="C764" s="17" t="s">
        <v>1107</v>
      </c>
      <c r="D764" s="17" t="s">
        <v>1108</v>
      </c>
      <c r="E764" s="17">
        <v>9715</v>
      </c>
      <c r="F764" s="17" t="s">
        <v>1109</v>
      </c>
      <c r="G764" s="17" t="s">
        <v>1110</v>
      </c>
      <c r="H764" s="17" t="s">
        <v>4006</v>
      </c>
    </row>
    <row r="765" spans="1:8" ht="11.1" hidden="1" customHeight="1">
      <c r="A765" s="17" t="s">
        <v>3312</v>
      </c>
      <c r="B765" s="17" t="s">
        <v>3313</v>
      </c>
      <c r="C765" s="17" t="s">
        <v>3314</v>
      </c>
      <c r="D765" s="17" t="s">
        <v>1999</v>
      </c>
      <c r="E765" s="17">
        <v>9433</v>
      </c>
      <c r="F765" s="17" t="s">
        <v>3315</v>
      </c>
      <c r="G765" s="17" t="s">
        <v>3316</v>
      </c>
      <c r="H765" s="17" t="s">
        <v>4091</v>
      </c>
    </row>
    <row r="766" spans="1:8" ht="11.1" hidden="1" customHeight="1">
      <c r="A766" s="17" t="s">
        <v>188</v>
      </c>
      <c r="B766" s="17" t="s">
        <v>189</v>
      </c>
      <c r="C766" s="17" t="s">
        <v>190</v>
      </c>
      <c r="D766" s="17" t="s">
        <v>191</v>
      </c>
      <c r="E766" s="17">
        <v>10247</v>
      </c>
      <c r="F766" s="17" t="s">
        <v>193</v>
      </c>
      <c r="G766" s="17" t="s">
        <v>513</v>
      </c>
      <c r="H766" s="17" t="s">
        <v>4038</v>
      </c>
    </row>
    <row r="767" spans="1:8" ht="11.1" hidden="1" customHeight="1">
      <c r="A767" s="17" t="s">
        <v>3325</v>
      </c>
      <c r="B767" s="17" t="s">
        <v>3326</v>
      </c>
      <c r="C767" s="17" t="s">
        <v>1427</v>
      </c>
      <c r="D767" s="17" t="s">
        <v>1428</v>
      </c>
      <c r="E767" s="17">
        <v>10098</v>
      </c>
      <c r="F767" s="17" t="s">
        <v>3327</v>
      </c>
      <c r="G767" s="17" t="s">
        <v>3328</v>
      </c>
      <c r="H767" s="17" t="s">
        <v>4037</v>
      </c>
    </row>
    <row r="768" spans="1:8" ht="11.1" hidden="1" customHeight="1">
      <c r="A768" s="17" t="s">
        <v>1630</v>
      </c>
      <c r="B768" s="17" t="s">
        <v>1631</v>
      </c>
      <c r="C768" s="17" t="s">
        <v>204</v>
      </c>
      <c r="D768" s="17" t="s">
        <v>122</v>
      </c>
      <c r="E768" s="17">
        <v>8061</v>
      </c>
      <c r="F768" s="17" t="s">
        <v>1632</v>
      </c>
      <c r="G768" s="17" t="s">
        <v>1633</v>
      </c>
      <c r="H768" s="17" t="s">
        <v>4020</v>
      </c>
    </row>
    <row r="769" spans="1:8" ht="11.1" hidden="1" customHeight="1">
      <c r="A769" s="17" t="s">
        <v>2487</v>
      </c>
      <c r="B769" s="17" t="s">
        <v>2488</v>
      </c>
      <c r="C769" s="17" t="s">
        <v>1922</v>
      </c>
      <c r="D769" s="17" t="s">
        <v>1923</v>
      </c>
      <c r="E769" s="17">
        <v>8701</v>
      </c>
      <c r="F769" s="17" t="s">
        <v>2489</v>
      </c>
      <c r="G769" s="17" t="s">
        <v>2490</v>
      </c>
      <c r="H769" s="17" t="s">
        <v>3949</v>
      </c>
    </row>
    <row r="770" spans="1:8" ht="11.1" hidden="1" customHeight="1">
      <c r="A770" s="17" t="s">
        <v>528</v>
      </c>
      <c r="B770" s="17" t="s">
        <v>529</v>
      </c>
      <c r="C770" s="17" t="s">
        <v>516</v>
      </c>
      <c r="D770" s="17" t="s">
        <v>517</v>
      </c>
      <c r="E770" s="17">
        <v>8710</v>
      </c>
      <c r="F770" s="17" t="s">
        <v>530</v>
      </c>
      <c r="G770" s="17" t="s">
        <v>531</v>
      </c>
      <c r="H770" s="17" t="s">
        <v>3959</v>
      </c>
    </row>
    <row r="771" spans="1:8" ht="11.1" hidden="1" customHeight="1">
      <c r="A771" s="17" t="s">
        <v>1127</v>
      </c>
      <c r="B771" s="17" t="s">
        <v>1128</v>
      </c>
      <c r="C771" s="17" t="s">
        <v>1129</v>
      </c>
      <c r="D771" s="17" t="s">
        <v>785</v>
      </c>
      <c r="E771" s="17">
        <v>9704</v>
      </c>
      <c r="F771" s="17" t="s">
        <v>1130</v>
      </c>
      <c r="G771" s="17" t="s">
        <v>1131</v>
      </c>
      <c r="H771" s="17" t="s">
        <v>3960</v>
      </c>
    </row>
    <row r="772" spans="1:8" ht="11.1" hidden="1" customHeight="1">
      <c r="A772" s="17" t="s">
        <v>1132</v>
      </c>
      <c r="B772" s="17" t="s">
        <v>1133</v>
      </c>
      <c r="C772" s="17" t="s">
        <v>1134</v>
      </c>
      <c r="D772" s="17" t="s">
        <v>1135</v>
      </c>
      <c r="E772" s="17">
        <v>8248</v>
      </c>
      <c r="F772" s="17" t="s">
        <v>1137</v>
      </c>
      <c r="G772" s="17" t="s">
        <v>1138</v>
      </c>
      <c r="H772" s="17" t="s">
        <v>3982</v>
      </c>
    </row>
    <row r="773" spans="1:8" ht="11.1" hidden="1" customHeight="1">
      <c r="A773" s="17" t="s">
        <v>532</v>
      </c>
      <c r="B773" s="17" t="s">
        <v>533</v>
      </c>
      <c r="C773" s="17" t="s">
        <v>534</v>
      </c>
      <c r="D773" s="17" t="s">
        <v>535</v>
      </c>
      <c r="E773" s="17">
        <v>5781</v>
      </c>
      <c r="F773" s="17" t="s">
        <v>537</v>
      </c>
      <c r="G773" s="17" t="s">
        <v>538</v>
      </c>
      <c r="H773" s="17" t="s">
        <v>4122</v>
      </c>
    </row>
    <row r="774" spans="1:8" ht="11.1" hidden="1" customHeight="1">
      <c r="A774" s="17" t="s">
        <v>2913</v>
      </c>
      <c r="B774" s="17" t="s">
        <v>2914</v>
      </c>
      <c r="C774" s="17" t="s">
        <v>418</v>
      </c>
      <c r="D774" s="17" t="s">
        <v>419</v>
      </c>
      <c r="E774" s="17">
        <v>8947</v>
      </c>
      <c r="F774" s="17" t="s">
        <v>2915</v>
      </c>
      <c r="G774" s="17" t="s">
        <v>2916</v>
      </c>
      <c r="H774" s="17" t="s">
        <v>4057</v>
      </c>
    </row>
    <row r="775" spans="1:8" ht="11.1" hidden="1" customHeight="1">
      <c r="A775" s="17" t="s">
        <v>3341</v>
      </c>
      <c r="B775" s="17" t="s">
        <v>3342</v>
      </c>
      <c r="C775" s="17" t="s">
        <v>3343</v>
      </c>
      <c r="D775" s="17" t="s">
        <v>1160</v>
      </c>
      <c r="E775" s="17">
        <v>9889</v>
      </c>
      <c r="F775" s="17" t="s">
        <v>3344</v>
      </c>
      <c r="G775" s="17" t="s">
        <v>3345</v>
      </c>
      <c r="H775" s="17" t="s">
        <v>4085</v>
      </c>
    </row>
    <row r="776" spans="1:8" ht="11.1" hidden="1" customHeight="1">
      <c r="A776" s="17" t="s">
        <v>3853</v>
      </c>
      <c r="B776" s="17" t="s">
        <v>3854</v>
      </c>
      <c r="C776" s="17" t="s">
        <v>1348</v>
      </c>
      <c r="D776" s="17" t="s">
        <v>1349</v>
      </c>
      <c r="E776" s="17">
        <v>10234</v>
      </c>
      <c r="F776" s="17" t="s">
        <v>3855</v>
      </c>
      <c r="G776" s="17" t="s">
        <v>3856</v>
      </c>
      <c r="H776" s="17" t="s">
        <v>4014</v>
      </c>
    </row>
    <row r="777" spans="1:8" ht="11.1" hidden="1" customHeight="1">
      <c r="A777" s="17" t="s">
        <v>2503</v>
      </c>
      <c r="B777" s="17" t="s">
        <v>2504</v>
      </c>
      <c r="C777" s="17" t="s">
        <v>454</v>
      </c>
      <c r="D777" s="17" t="s">
        <v>455</v>
      </c>
      <c r="E777" s="17">
        <v>10334</v>
      </c>
      <c r="F777" s="17" t="s">
        <v>2505</v>
      </c>
      <c r="G777" s="17" t="s">
        <v>2506</v>
      </c>
      <c r="H777" s="17" t="s">
        <v>4007</v>
      </c>
    </row>
    <row r="778" spans="1:8" ht="11.1" hidden="1" customHeight="1">
      <c r="A778" s="17" t="s">
        <v>3355</v>
      </c>
      <c r="B778" s="17" t="s">
        <v>3356</v>
      </c>
      <c r="C778" s="17" t="s">
        <v>3357</v>
      </c>
      <c r="D778" s="17" t="s">
        <v>3358</v>
      </c>
      <c r="E778" s="17">
        <v>9786</v>
      </c>
      <c r="F778" s="17" t="s">
        <v>3360</v>
      </c>
      <c r="G778" s="17" t="s">
        <v>3361</v>
      </c>
      <c r="H778" s="17" t="s">
        <v>4123</v>
      </c>
    </row>
    <row r="779" spans="1:8" ht="11.1" hidden="1" customHeight="1">
      <c r="A779" s="17" t="s">
        <v>557</v>
      </c>
      <c r="B779" s="17" t="s">
        <v>558</v>
      </c>
      <c r="C779" s="17" t="s">
        <v>559</v>
      </c>
      <c r="D779" s="17" t="s">
        <v>560</v>
      </c>
      <c r="E779" s="17">
        <v>10452</v>
      </c>
      <c r="F779" s="17" t="s">
        <v>562</v>
      </c>
      <c r="G779" s="17" t="s">
        <v>563</v>
      </c>
      <c r="H779" s="17" t="s">
        <v>3950</v>
      </c>
    </row>
    <row r="780" spans="1:8" ht="11.1" hidden="1" customHeight="1">
      <c r="A780" s="17" t="s">
        <v>2074</v>
      </c>
      <c r="B780" s="17" t="s">
        <v>1172</v>
      </c>
      <c r="C780" s="17" t="s">
        <v>715</v>
      </c>
      <c r="D780" s="17" t="s">
        <v>716</v>
      </c>
      <c r="E780" s="17">
        <v>10237</v>
      </c>
      <c r="F780" s="17" t="s">
        <v>1173</v>
      </c>
      <c r="G780" s="17" t="s">
        <v>1174</v>
      </c>
      <c r="H780" s="17" t="s">
        <v>3954</v>
      </c>
    </row>
    <row r="781" spans="1:8" ht="11.1" hidden="1" customHeight="1">
      <c r="A781" s="17" t="s">
        <v>2925</v>
      </c>
      <c r="B781" s="17" t="s">
        <v>2926</v>
      </c>
      <c r="C781" s="17" t="s">
        <v>1409</v>
      </c>
      <c r="D781" s="17" t="s">
        <v>1410</v>
      </c>
      <c r="E781" s="17">
        <v>8573</v>
      </c>
      <c r="F781" s="17" t="s">
        <v>2927</v>
      </c>
      <c r="G781" s="17" t="s">
        <v>2928</v>
      </c>
      <c r="H781" s="17" t="s">
        <v>3948</v>
      </c>
    </row>
    <row r="782" spans="1:8" ht="11.1" hidden="1" customHeight="1">
      <c r="A782" s="17" t="s">
        <v>1028</v>
      </c>
      <c r="B782" s="17" t="s">
        <v>1024</v>
      </c>
      <c r="C782" s="17" t="s">
        <v>1025</v>
      </c>
      <c r="D782" s="17" t="s">
        <v>825</v>
      </c>
      <c r="E782" s="17">
        <v>10238</v>
      </c>
      <c r="F782" s="17" t="s">
        <v>1026</v>
      </c>
      <c r="G782" s="17" t="s">
        <v>2936</v>
      </c>
      <c r="H782" s="17" t="s">
        <v>3995</v>
      </c>
    </row>
    <row r="783" spans="1:8" ht="11.1" hidden="1" customHeight="1">
      <c r="A783" s="17" t="s">
        <v>423</v>
      </c>
      <c r="B783" s="17" t="s">
        <v>424</v>
      </c>
      <c r="C783" s="17" t="s">
        <v>217</v>
      </c>
      <c r="D783" s="17" t="s">
        <v>218</v>
      </c>
      <c r="E783" s="17">
        <v>9634</v>
      </c>
      <c r="F783" s="17" t="s">
        <v>425</v>
      </c>
      <c r="G783" s="17" t="s">
        <v>1222</v>
      </c>
      <c r="H783" s="17" t="s">
        <v>4003</v>
      </c>
    </row>
    <row r="784" spans="1:8" ht="11.1" hidden="1" customHeight="1">
      <c r="A784" s="17" t="s">
        <v>2540</v>
      </c>
      <c r="B784" s="17" t="s">
        <v>2541</v>
      </c>
      <c r="C784" s="17" t="s">
        <v>2542</v>
      </c>
      <c r="D784" s="17" t="s">
        <v>832</v>
      </c>
      <c r="E784" s="17">
        <v>7167</v>
      </c>
      <c r="F784" s="17" t="s">
        <v>2544</v>
      </c>
      <c r="G784" s="17" t="s">
        <v>2545</v>
      </c>
      <c r="H784" s="17" t="s">
        <v>4059</v>
      </c>
    </row>
    <row r="785" spans="1:8" ht="11.1" hidden="1" customHeight="1">
      <c r="A785" s="17" t="s">
        <v>1228</v>
      </c>
      <c r="B785" s="17" t="s">
        <v>1229</v>
      </c>
      <c r="C785" s="17" t="s">
        <v>488</v>
      </c>
      <c r="D785" s="17" t="s">
        <v>1230</v>
      </c>
      <c r="E785" s="17">
        <v>10461</v>
      </c>
      <c r="F785" s="17" t="s">
        <v>1231</v>
      </c>
      <c r="G785" s="17" t="s">
        <v>1232</v>
      </c>
      <c r="H785" s="17" t="s">
        <v>3978</v>
      </c>
    </row>
    <row r="786" spans="1:8" ht="11.1" hidden="1" customHeight="1">
      <c r="A786" s="17" t="s">
        <v>1233</v>
      </c>
      <c r="B786" s="17" t="s">
        <v>1234</v>
      </c>
      <c r="C786" s="17" t="s">
        <v>1235</v>
      </c>
      <c r="D786" s="17" t="s">
        <v>1236</v>
      </c>
      <c r="E786" s="17">
        <v>10104</v>
      </c>
      <c r="F786" s="17" t="s">
        <v>1238</v>
      </c>
      <c r="G786" s="17" t="s">
        <v>1239</v>
      </c>
      <c r="H786" s="17" t="s">
        <v>4079</v>
      </c>
    </row>
    <row r="787" spans="1:8" ht="11.1" hidden="1" customHeight="1">
      <c r="A787" s="17" t="s">
        <v>621</v>
      </c>
      <c r="B787" s="17" t="s">
        <v>622</v>
      </c>
      <c r="C787" s="17" t="s">
        <v>623</v>
      </c>
      <c r="D787" s="17" t="s">
        <v>211</v>
      </c>
      <c r="E787" s="17">
        <v>8058</v>
      </c>
      <c r="F787" s="17" t="s">
        <v>625</v>
      </c>
      <c r="G787" s="17" t="s">
        <v>626</v>
      </c>
      <c r="H787" s="17" t="s">
        <v>4042</v>
      </c>
    </row>
    <row r="788" spans="1:8" ht="11.1" hidden="1" customHeight="1">
      <c r="A788" s="17" t="s">
        <v>1718</v>
      </c>
      <c r="B788" s="17" t="s">
        <v>1719</v>
      </c>
      <c r="C788" s="17" t="s">
        <v>1712</v>
      </c>
      <c r="D788" s="17" t="s">
        <v>1713</v>
      </c>
      <c r="E788" s="17">
        <v>8707</v>
      </c>
      <c r="F788" s="17" t="s">
        <v>1720</v>
      </c>
      <c r="G788" s="17" t="s">
        <v>1721</v>
      </c>
      <c r="H788" s="17" t="s">
        <v>4023</v>
      </c>
    </row>
    <row r="789" spans="1:8" ht="11.1" hidden="1" customHeight="1">
      <c r="A789" s="17" t="s">
        <v>1722</v>
      </c>
      <c r="B789" s="17" t="s">
        <v>1723</v>
      </c>
      <c r="C789" s="17" t="s">
        <v>1520</v>
      </c>
      <c r="D789" s="17" t="s">
        <v>1521</v>
      </c>
      <c r="E789" s="17">
        <v>9888</v>
      </c>
      <c r="F789" s="17" t="s">
        <v>1724</v>
      </c>
      <c r="G789" s="17" t="s">
        <v>1725</v>
      </c>
      <c r="H789" s="17" t="s">
        <v>3987</v>
      </c>
    </row>
    <row r="790" spans="1:8" ht="11.1" hidden="1" customHeight="1">
      <c r="A790" s="17" t="s">
        <v>1257</v>
      </c>
      <c r="B790" s="17" t="s">
        <v>1258</v>
      </c>
      <c r="C790" s="17" t="s">
        <v>176</v>
      </c>
      <c r="D790" s="17" t="s">
        <v>177</v>
      </c>
      <c r="E790" s="17">
        <v>10288</v>
      </c>
      <c r="F790" s="17" t="s">
        <v>1259</v>
      </c>
      <c r="G790" s="17" t="s">
        <v>1260</v>
      </c>
      <c r="H790" s="17" t="s">
        <v>4012</v>
      </c>
    </row>
    <row r="791" spans="1:8" ht="11.1" hidden="1" customHeight="1">
      <c r="A791" s="17" t="s">
        <v>3912</v>
      </c>
      <c r="B791" s="17" t="s">
        <v>3913</v>
      </c>
      <c r="C791" s="17" t="s">
        <v>2173</v>
      </c>
      <c r="D791" s="17" t="s">
        <v>2174</v>
      </c>
      <c r="E791" s="17">
        <v>8599</v>
      </c>
      <c r="F791" s="17" t="s">
        <v>3914</v>
      </c>
      <c r="G791" s="17" t="s">
        <v>3915</v>
      </c>
      <c r="H791" s="17" t="s">
        <v>4118</v>
      </c>
    </row>
    <row r="792" spans="1:8" ht="11.1" hidden="1" customHeight="1">
      <c r="A792" s="17" t="s">
        <v>3458</v>
      </c>
      <c r="B792" s="17" t="s">
        <v>3459</v>
      </c>
      <c r="C792" s="17" t="s">
        <v>2722</v>
      </c>
      <c r="D792" s="17" t="s">
        <v>2723</v>
      </c>
      <c r="E792" s="17">
        <v>10093</v>
      </c>
      <c r="F792" s="17" t="s">
        <v>3460</v>
      </c>
      <c r="G792" s="17" t="s">
        <v>3461</v>
      </c>
      <c r="H792" s="17" t="s">
        <v>4044</v>
      </c>
    </row>
    <row r="793" spans="1:8" ht="11.1" hidden="1" customHeight="1">
      <c r="A793" s="17" t="s">
        <v>2573</v>
      </c>
      <c r="B793" s="17" t="s">
        <v>2574</v>
      </c>
      <c r="C793" s="17" t="s">
        <v>2017</v>
      </c>
      <c r="D793" s="17" t="s">
        <v>2018</v>
      </c>
      <c r="E793" s="17">
        <v>9994</v>
      </c>
      <c r="F793" s="17" t="s">
        <v>2575</v>
      </c>
      <c r="G793" s="17" t="s">
        <v>2576</v>
      </c>
      <c r="H793" s="17" t="s">
        <v>3961</v>
      </c>
    </row>
    <row r="794" spans="1:8" ht="11.1" hidden="1" customHeight="1">
      <c r="A794" s="17" t="s">
        <v>648</v>
      </c>
      <c r="B794" s="17" t="s">
        <v>649</v>
      </c>
      <c r="C794" s="17" t="s">
        <v>650</v>
      </c>
      <c r="D794" s="17" t="s">
        <v>651</v>
      </c>
      <c r="E794" s="17">
        <v>8697</v>
      </c>
      <c r="F794" s="17" t="s">
        <v>653</v>
      </c>
      <c r="G794" s="17" t="s">
        <v>654</v>
      </c>
      <c r="H794" s="17" t="s">
        <v>4063</v>
      </c>
    </row>
    <row r="795" spans="1:8" ht="11.1" hidden="1" customHeight="1">
      <c r="A795" s="17" t="s">
        <v>3462</v>
      </c>
      <c r="B795" s="17" t="s">
        <v>3463</v>
      </c>
      <c r="C795" s="17" t="s">
        <v>1247</v>
      </c>
      <c r="D795" s="17" t="s">
        <v>1248</v>
      </c>
      <c r="E795" s="17">
        <v>8571</v>
      </c>
      <c r="F795" s="17" t="s">
        <v>3464</v>
      </c>
      <c r="G795" s="17" t="s">
        <v>3465</v>
      </c>
      <c r="H795" s="17" t="s">
        <v>4092</v>
      </c>
    </row>
    <row r="796" spans="1:8" ht="11.1" hidden="1" customHeight="1">
      <c r="A796" s="17" t="s">
        <v>3466</v>
      </c>
      <c r="B796" s="17" t="s">
        <v>3467</v>
      </c>
      <c r="C796" s="17" t="s">
        <v>2046</v>
      </c>
      <c r="D796" s="17" t="s">
        <v>578</v>
      </c>
      <c r="E796" s="17">
        <v>7485</v>
      </c>
      <c r="F796" s="17" t="s">
        <v>3468</v>
      </c>
      <c r="G796" s="17" t="s">
        <v>3469</v>
      </c>
      <c r="H796" s="17" t="s">
        <v>3933</v>
      </c>
    </row>
    <row r="797" spans="1:8" ht="11.1" hidden="1" customHeight="1">
      <c r="A797" s="17" t="s">
        <v>2100</v>
      </c>
      <c r="B797" s="17" t="s">
        <v>2101</v>
      </c>
      <c r="C797" s="17" t="s">
        <v>190</v>
      </c>
      <c r="D797" s="17" t="s">
        <v>191</v>
      </c>
      <c r="E797" s="17">
        <v>10247</v>
      </c>
      <c r="F797" s="17" t="s">
        <v>2102</v>
      </c>
      <c r="G797" s="17" t="s">
        <v>2103</v>
      </c>
      <c r="H797" s="17" t="s">
        <v>4038</v>
      </c>
    </row>
    <row r="798" spans="1:8" ht="11.1" hidden="1" customHeight="1">
      <c r="A798" s="17" t="s">
        <v>3489</v>
      </c>
      <c r="B798" s="17" t="s">
        <v>3490</v>
      </c>
      <c r="C798" s="17" t="s">
        <v>37</v>
      </c>
      <c r="D798" s="17" t="s">
        <v>1326</v>
      </c>
      <c r="E798" s="17">
        <v>8562</v>
      </c>
      <c r="F798" s="17" t="s">
        <v>3491</v>
      </c>
      <c r="G798" s="17" t="s">
        <v>3492</v>
      </c>
      <c r="H798" s="17" t="s">
        <v>3936</v>
      </c>
    </row>
    <row r="799" spans="1:8" ht="11.1" hidden="1" customHeight="1">
      <c r="A799" s="17" t="s">
        <v>1296</v>
      </c>
      <c r="B799" s="17" t="s">
        <v>1297</v>
      </c>
      <c r="C799" s="17" t="s">
        <v>584</v>
      </c>
      <c r="D799" s="17" t="s">
        <v>585</v>
      </c>
      <c r="E799" s="17">
        <v>8553</v>
      </c>
      <c r="F799" s="17" t="s">
        <v>1298</v>
      </c>
      <c r="G799" s="17" t="s">
        <v>1299</v>
      </c>
      <c r="H799" s="17" t="s">
        <v>3934</v>
      </c>
    </row>
    <row r="800" spans="1:8" ht="11.1" hidden="1" customHeight="1">
      <c r="A800" s="17" t="s">
        <v>3034</v>
      </c>
      <c r="B800" s="17" t="s">
        <v>3035</v>
      </c>
      <c r="C800" s="17" t="s">
        <v>1292</v>
      </c>
      <c r="D800" s="17" t="s">
        <v>38</v>
      </c>
      <c r="E800" s="17">
        <v>8563</v>
      </c>
      <c r="F800" s="17" t="s">
        <v>3036</v>
      </c>
      <c r="G800" s="17" t="s">
        <v>3037</v>
      </c>
      <c r="H800" s="17" t="s">
        <v>3938</v>
      </c>
    </row>
    <row r="801" spans="1:8" ht="11.1" hidden="1" customHeight="1">
      <c r="A801" s="17" t="s">
        <v>3038</v>
      </c>
      <c r="B801" s="17" t="s">
        <v>3039</v>
      </c>
      <c r="C801" s="17" t="s">
        <v>37</v>
      </c>
      <c r="D801" s="17" t="s">
        <v>1326</v>
      </c>
      <c r="E801" s="17">
        <v>8562</v>
      </c>
      <c r="F801" s="17" t="s">
        <v>3040</v>
      </c>
      <c r="G801" s="17" t="s">
        <v>3041</v>
      </c>
      <c r="H801" s="17" t="s">
        <v>3936</v>
      </c>
    </row>
    <row r="802" spans="1:8" ht="11.1" hidden="1" customHeight="1">
      <c r="A802" s="17" t="s">
        <v>3042</v>
      </c>
      <c r="B802" s="17" t="s">
        <v>3043</v>
      </c>
      <c r="C802" s="17" t="s">
        <v>1292</v>
      </c>
      <c r="D802" s="17" t="s">
        <v>38</v>
      </c>
      <c r="E802" s="17">
        <v>8563</v>
      </c>
      <c r="F802" s="17" t="s">
        <v>3044</v>
      </c>
      <c r="G802" s="17" t="s">
        <v>3045</v>
      </c>
      <c r="H802" s="17" t="s">
        <v>3938</v>
      </c>
    </row>
    <row r="803" spans="1:8" ht="11.1" hidden="1" customHeight="1">
      <c r="A803" s="17" t="s">
        <v>2135</v>
      </c>
      <c r="B803" s="17" t="s">
        <v>2136</v>
      </c>
      <c r="C803" s="17" t="s">
        <v>37</v>
      </c>
      <c r="D803" s="17" t="s">
        <v>1326</v>
      </c>
      <c r="E803" s="17">
        <v>8562</v>
      </c>
      <c r="F803" s="17" t="s">
        <v>2137</v>
      </c>
      <c r="G803" s="17" t="s">
        <v>2138</v>
      </c>
      <c r="H803" s="17" t="s">
        <v>3936</v>
      </c>
    </row>
    <row r="804" spans="1:8" ht="11.1" hidden="1" customHeight="1">
      <c r="A804" s="17" t="s">
        <v>1309</v>
      </c>
      <c r="B804" s="17" t="s">
        <v>1310</v>
      </c>
      <c r="C804" s="17" t="s">
        <v>9</v>
      </c>
      <c r="D804" s="17" t="s">
        <v>10</v>
      </c>
      <c r="E804" s="17">
        <v>7691</v>
      </c>
      <c r="F804" s="17" t="s">
        <v>1311</v>
      </c>
      <c r="G804" s="17" t="s">
        <v>1312</v>
      </c>
      <c r="H804" s="17" t="s">
        <v>4093</v>
      </c>
    </row>
    <row r="805" spans="1:8" ht="11.1" hidden="1" customHeight="1">
      <c r="A805" s="17" t="s">
        <v>1313</v>
      </c>
      <c r="B805" s="17" t="s">
        <v>1314</v>
      </c>
      <c r="C805" s="17" t="s">
        <v>1315</v>
      </c>
      <c r="D805" s="17" t="s">
        <v>1316</v>
      </c>
      <c r="E805" s="17">
        <v>7742</v>
      </c>
      <c r="F805" s="17" t="s">
        <v>1318</v>
      </c>
      <c r="G805" s="17" t="s">
        <v>1319</v>
      </c>
      <c r="H805" s="17" t="s">
        <v>4033</v>
      </c>
    </row>
    <row r="806" spans="1:8" ht="11.1" customHeight="1">
      <c r="A806" s="17" t="s">
        <v>663</v>
      </c>
      <c r="B806" s="17" t="s">
        <v>664</v>
      </c>
      <c r="C806" s="17" t="s">
        <v>665</v>
      </c>
      <c r="D806" s="17" t="s">
        <v>666</v>
      </c>
      <c r="E806" s="17">
        <v>10467</v>
      </c>
      <c r="F806" s="17" t="s">
        <v>668</v>
      </c>
      <c r="G806" s="17" t="s">
        <v>669</v>
      </c>
      <c r="H806" s="17" t="s">
        <v>4064</v>
      </c>
    </row>
    <row r="807" spans="1:8" ht="11.1" hidden="1" customHeight="1">
      <c r="A807" s="17" t="s">
        <v>1759</v>
      </c>
      <c r="B807" s="17" t="s">
        <v>1760</v>
      </c>
      <c r="C807" s="17" t="s">
        <v>1315</v>
      </c>
      <c r="D807" s="17" t="s">
        <v>1316</v>
      </c>
      <c r="E807" s="17">
        <v>7742</v>
      </c>
      <c r="F807" s="17" t="s">
        <v>1761</v>
      </c>
      <c r="G807" s="17" t="s">
        <v>1762</v>
      </c>
      <c r="H807" s="17" t="s">
        <v>4033</v>
      </c>
    </row>
    <row r="808" spans="1:8" ht="11.1" hidden="1" customHeight="1">
      <c r="A808" s="17" t="s">
        <v>3521</v>
      </c>
      <c r="B808" s="17" t="s">
        <v>3522</v>
      </c>
      <c r="C808" s="17" t="s">
        <v>2599</v>
      </c>
      <c r="D808" s="17" t="s">
        <v>2599</v>
      </c>
      <c r="E808" s="17">
        <v>7051</v>
      </c>
      <c r="F808" s="17" t="s">
        <v>3523</v>
      </c>
      <c r="G808" s="17" t="s">
        <v>3524</v>
      </c>
      <c r="H808" s="17" t="s">
        <v>4117</v>
      </c>
    </row>
    <row r="809" spans="1:8" ht="11.1" hidden="1" customHeight="1">
      <c r="A809" s="17" t="s">
        <v>2154</v>
      </c>
      <c r="B809" s="17" t="s">
        <v>2155</v>
      </c>
      <c r="C809" s="17" t="s">
        <v>1199</v>
      </c>
      <c r="D809" s="17" t="s">
        <v>1200</v>
      </c>
      <c r="E809" s="17">
        <v>10291</v>
      </c>
      <c r="F809" s="17" t="s">
        <v>2156</v>
      </c>
      <c r="G809" s="17" t="s">
        <v>2157</v>
      </c>
      <c r="H809" s="17" t="s">
        <v>4058</v>
      </c>
    </row>
    <row r="810" spans="1:8" ht="11.1" hidden="1" customHeight="1">
      <c r="A810" s="17" t="s">
        <v>1763</v>
      </c>
      <c r="B810" s="17" t="s">
        <v>1764</v>
      </c>
      <c r="C810" s="17" t="s">
        <v>23</v>
      </c>
      <c r="D810" s="17" t="s">
        <v>24</v>
      </c>
      <c r="E810" s="17">
        <v>10248</v>
      </c>
      <c r="F810" s="17" t="s">
        <v>1765</v>
      </c>
      <c r="G810" s="17" t="s">
        <v>1766</v>
      </c>
      <c r="H810" s="17" t="s">
        <v>4017</v>
      </c>
    </row>
    <row r="811" spans="1:8" ht="11.1" hidden="1" customHeight="1">
      <c r="A811" s="17" t="s">
        <v>1643</v>
      </c>
      <c r="B811" s="17" t="s">
        <v>64</v>
      </c>
      <c r="C811" s="17" t="s">
        <v>65</v>
      </c>
      <c r="D811" s="17" t="s">
        <v>66</v>
      </c>
      <c r="E811" s="17">
        <v>10244</v>
      </c>
      <c r="F811" s="17" t="s">
        <v>68</v>
      </c>
      <c r="G811" s="17" t="s">
        <v>69</v>
      </c>
      <c r="H811" s="17" t="s">
        <v>3980</v>
      </c>
    </row>
    <row r="812" spans="1:8" ht="11.1" hidden="1" customHeight="1">
      <c r="A812" s="17" t="s">
        <v>3050</v>
      </c>
      <c r="B812" s="17" t="s">
        <v>3051</v>
      </c>
      <c r="C812" s="17" t="s">
        <v>684</v>
      </c>
      <c r="D812" s="17" t="s">
        <v>685</v>
      </c>
      <c r="E812" s="17">
        <v>7246</v>
      </c>
      <c r="F812" s="17" t="s">
        <v>3052</v>
      </c>
      <c r="G812" s="17" t="s">
        <v>3053</v>
      </c>
      <c r="H812" s="17" t="s">
        <v>4062</v>
      </c>
    </row>
    <row r="813" spans="1:8" ht="11.1" hidden="1" customHeight="1">
      <c r="A813" s="17" t="s">
        <v>689</v>
      </c>
      <c r="B813" s="17" t="s">
        <v>690</v>
      </c>
      <c r="C813" s="17" t="s">
        <v>44</v>
      </c>
      <c r="D813" s="17" t="s">
        <v>45</v>
      </c>
      <c r="E813" s="17">
        <v>10245</v>
      </c>
      <c r="F813" s="17" t="s">
        <v>691</v>
      </c>
      <c r="G813" s="17" t="s">
        <v>692</v>
      </c>
      <c r="H813" s="17" t="s">
        <v>4015</v>
      </c>
    </row>
    <row r="814" spans="1:8" ht="11.1" hidden="1" customHeight="1">
      <c r="A814" s="17" t="s">
        <v>2603</v>
      </c>
      <c r="B814" s="17" t="s">
        <v>893</v>
      </c>
      <c r="C814" s="17" t="s">
        <v>894</v>
      </c>
      <c r="D814" s="17" t="s">
        <v>895</v>
      </c>
      <c r="E814" s="17">
        <v>10242</v>
      </c>
      <c r="F814" s="17" t="s">
        <v>897</v>
      </c>
      <c r="G814" s="17" t="s">
        <v>2166</v>
      </c>
      <c r="H814" s="17" t="s">
        <v>3942</v>
      </c>
    </row>
    <row r="815" spans="1:8" ht="11.1" hidden="1" customHeight="1">
      <c r="A815" s="17" t="s">
        <v>3544</v>
      </c>
      <c r="B815" s="17" t="s">
        <v>3545</v>
      </c>
      <c r="C815" s="17" t="s">
        <v>3546</v>
      </c>
      <c r="D815" s="17" t="s">
        <v>2723</v>
      </c>
      <c r="E815" s="17">
        <v>10093</v>
      </c>
      <c r="F815" s="17" t="s">
        <v>3547</v>
      </c>
      <c r="G815" s="17" t="s">
        <v>3548</v>
      </c>
      <c r="H815" s="17" t="s">
        <v>4044</v>
      </c>
    </row>
    <row r="816" spans="1:8" ht="11.1" hidden="1" customHeight="1">
      <c r="A816" s="17" t="s">
        <v>84</v>
      </c>
      <c r="B816" s="17" t="s">
        <v>85</v>
      </c>
      <c r="C816" s="17" t="s">
        <v>86</v>
      </c>
      <c r="D816" s="17" t="s">
        <v>87</v>
      </c>
      <c r="E816" s="17">
        <v>8555</v>
      </c>
      <c r="F816" s="17" t="s">
        <v>89</v>
      </c>
      <c r="G816" s="17" t="s">
        <v>90</v>
      </c>
      <c r="H816" s="17" t="s">
        <v>4031</v>
      </c>
    </row>
    <row r="817" spans="1:8" ht="11.1" hidden="1" customHeight="1">
      <c r="A817" s="17" t="s">
        <v>91</v>
      </c>
      <c r="B817" s="17" t="s">
        <v>92</v>
      </c>
      <c r="C817" s="17" t="s">
        <v>93</v>
      </c>
      <c r="D817" s="17" t="s">
        <v>94</v>
      </c>
      <c r="E817" s="17">
        <v>10202</v>
      </c>
      <c r="F817" s="17" t="s">
        <v>96</v>
      </c>
      <c r="G817" s="17" t="s">
        <v>97</v>
      </c>
      <c r="H817" s="17" t="s">
        <v>4088</v>
      </c>
    </row>
    <row r="818" spans="1:8" ht="11.1" hidden="1" customHeight="1">
      <c r="A818" s="17" t="s">
        <v>3063</v>
      </c>
      <c r="B818" s="17" t="s">
        <v>3064</v>
      </c>
      <c r="C818" s="17" t="s">
        <v>3065</v>
      </c>
      <c r="D818" s="17" t="s">
        <v>3066</v>
      </c>
      <c r="E818" s="17">
        <v>8973</v>
      </c>
      <c r="F818" s="17" t="s">
        <v>3068</v>
      </c>
      <c r="G818" s="17" t="s">
        <v>3069</v>
      </c>
      <c r="H818" s="17" t="s">
        <v>4124</v>
      </c>
    </row>
    <row r="819" spans="1:8" ht="11.1" hidden="1" customHeight="1">
      <c r="A819" s="17" t="s">
        <v>701</v>
      </c>
      <c r="B819" s="17" t="s">
        <v>702</v>
      </c>
      <c r="C819" s="17" t="s">
        <v>411</v>
      </c>
      <c r="D819" s="17" t="s">
        <v>412</v>
      </c>
      <c r="E819" s="17">
        <v>9894</v>
      </c>
      <c r="F819" s="17" t="s">
        <v>703</v>
      </c>
      <c r="G819" s="17" t="s">
        <v>704</v>
      </c>
      <c r="H819" s="17" t="s">
        <v>4043</v>
      </c>
    </row>
    <row r="820" spans="1:8" ht="11.1" hidden="1" customHeight="1">
      <c r="A820" s="17" t="s">
        <v>105</v>
      </c>
      <c r="B820" s="17" t="s">
        <v>106</v>
      </c>
      <c r="C820" s="17" t="s">
        <v>107</v>
      </c>
      <c r="D820" s="17" t="s">
        <v>108</v>
      </c>
      <c r="E820" s="17">
        <v>8709</v>
      </c>
      <c r="F820" s="17" t="s">
        <v>110</v>
      </c>
      <c r="G820" s="17" t="s">
        <v>111</v>
      </c>
      <c r="H820" s="17" t="s">
        <v>3964</v>
      </c>
    </row>
    <row r="821" spans="1:8" ht="11.1" hidden="1" customHeight="1">
      <c r="A821" s="17" t="s">
        <v>3086</v>
      </c>
      <c r="B821" s="17" t="s">
        <v>3087</v>
      </c>
      <c r="C821" s="17" t="s">
        <v>154</v>
      </c>
      <c r="D821" s="17" t="s">
        <v>155</v>
      </c>
      <c r="E821" s="17">
        <v>8569</v>
      </c>
      <c r="F821" s="17" t="s">
        <v>3088</v>
      </c>
      <c r="G821" s="17" t="s">
        <v>3089</v>
      </c>
      <c r="H821" s="17" t="s">
        <v>4028</v>
      </c>
    </row>
    <row r="822" spans="1:8" ht="11.1" hidden="1" customHeight="1">
      <c r="A822" s="17" t="s">
        <v>3562</v>
      </c>
      <c r="B822" s="17" t="s">
        <v>3563</v>
      </c>
      <c r="C822" s="17" t="s">
        <v>30</v>
      </c>
      <c r="D822" s="17" t="s">
        <v>31</v>
      </c>
      <c r="E822" s="17">
        <v>10290</v>
      </c>
      <c r="F822" s="17" t="s">
        <v>3564</v>
      </c>
      <c r="G822" s="17" t="s">
        <v>3565</v>
      </c>
      <c r="H822" s="17" t="s">
        <v>4021</v>
      </c>
    </row>
    <row r="823" spans="1:8" ht="11.1" hidden="1" customHeight="1">
      <c r="A823" s="17" t="s">
        <v>1794</v>
      </c>
      <c r="B823" s="17" t="s">
        <v>1795</v>
      </c>
      <c r="C823" s="17" t="s">
        <v>1796</v>
      </c>
      <c r="D823" s="17" t="s">
        <v>1797</v>
      </c>
      <c r="E823" s="17">
        <v>8212</v>
      </c>
      <c r="F823" s="17" t="s">
        <v>1799</v>
      </c>
      <c r="G823" s="17" t="s">
        <v>1800</v>
      </c>
      <c r="H823" s="17" t="s">
        <v>4125</v>
      </c>
    </row>
    <row r="824" spans="1:8" ht="11.1" hidden="1" customHeight="1">
      <c r="A824" s="17" t="s">
        <v>2639</v>
      </c>
      <c r="B824" s="17" t="s">
        <v>2640</v>
      </c>
      <c r="C824" s="17" t="s">
        <v>559</v>
      </c>
      <c r="D824" s="17" t="s">
        <v>560</v>
      </c>
      <c r="E824" s="17">
        <v>10452</v>
      </c>
      <c r="F824" s="17" t="s">
        <v>2641</v>
      </c>
      <c r="G824" s="17" t="s">
        <v>2642</v>
      </c>
      <c r="H824" s="17" t="s">
        <v>3950</v>
      </c>
    </row>
    <row r="825" spans="1:8" ht="11.1" hidden="1" customHeight="1">
      <c r="A825" s="17" t="s">
        <v>2647</v>
      </c>
      <c r="B825" s="17" t="s">
        <v>2648</v>
      </c>
      <c r="C825" s="17" t="s">
        <v>650</v>
      </c>
      <c r="D825" s="17" t="s">
        <v>651</v>
      </c>
      <c r="E825" s="17">
        <v>8697</v>
      </c>
      <c r="F825" s="17" t="s">
        <v>2649</v>
      </c>
      <c r="G825" s="17" t="s">
        <v>2650</v>
      </c>
      <c r="H825" s="17" t="s">
        <v>4063</v>
      </c>
    </row>
    <row r="826" spans="1:8" ht="11.1" hidden="1" customHeight="1">
      <c r="A826" s="17" t="s">
        <v>2663</v>
      </c>
      <c r="B826" s="17" t="s">
        <v>2664</v>
      </c>
      <c r="C826" s="17" t="s">
        <v>501</v>
      </c>
      <c r="D826" s="17" t="s">
        <v>502</v>
      </c>
      <c r="E826" s="17">
        <v>10460</v>
      </c>
      <c r="F826" s="17" t="s">
        <v>2665</v>
      </c>
      <c r="G826" s="17" t="s">
        <v>2666</v>
      </c>
      <c r="H826" s="17" t="s">
        <v>3967</v>
      </c>
    </row>
    <row r="827" spans="1:8" ht="11.1" hidden="1" customHeight="1">
      <c r="A827" s="17" t="s">
        <v>2667</v>
      </c>
      <c r="B827" s="17" t="s">
        <v>2668</v>
      </c>
      <c r="C827" s="17" t="s">
        <v>2669</v>
      </c>
      <c r="D827" s="17" t="s">
        <v>2670</v>
      </c>
      <c r="E827" s="17">
        <v>9763</v>
      </c>
      <c r="F827" s="17" t="s">
        <v>2672</v>
      </c>
      <c r="G827" s="17" t="s">
        <v>2673</v>
      </c>
      <c r="H827" s="17" t="s">
        <v>4126</v>
      </c>
    </row>
    <row r="828" spans="1:8" ht="11.1" hidden="1" customHeight="1">
      <c r="A828" s="17" t="s">
        <v>2268</v>
      </c>
      <c r="B828" s="17" t="s">
        <v>2269</v>
      </c>
      <c r="C828" s="17" t="s">
        <v>1247</v>
      </c>
      <c r="D828" s="17" t="s">
        <v>1248</v>
      </c>
      <c r="E828" s="17">
        <v>8571</v>
      </c>
      <c r="F828" s="17" t="s">
        <v>2270</v>
      </c>
      <c r="G828" s="17" t="s">
        <v>2271</v>
      </c>
      <c r="H828" s="17" t="s">
        <v>4092</v>
      </c>
    </row>
    <row r="829" spans="1:8" ht="11.1" hidden="1" customHeight="1">
      <c r="A829" s="17" t="s">
        <v>1835</v>
      </c>
      <c r="B829" s="17" t="s">
        <v>1836</v>
      </c>
      <c r="C829" s="17" t="s">
        <v>1837</v>
      </c>
      <c r="D829" s="17" t="s">
        <v>980</v>
      </c>
      <c r="E829" s="17">
        <v>8686</v>
      </c>
      <c r="F829" s="17" t="s">
        <v>1839</v>
      </c>
      <c r="G829" s="17" t="s">
        <v>1840</v>
      </c>
      <c r="H829" s="17" t="s">
        <v>4047</v>
      </c>
    </row>
    <row r="830" spans="1:8" ht="11.1" hidden="1" customHeight="1">
      <c r="A830" s="17" t="s">
        <v>195</v>
      </c>
      <c r="B830" s="17" t="s">
        <v>196</v>
      </c>
      <c r="C830" s="17" t="s">
        <v>197</v>
      </c>
      <c r="D830" s="17" t="s">
        <v>198</v>
      </c>
      <c r="E830" s="17">
        <v>10444</v>
      </c>
      <c r="F830" s="17" t="s">
        <v>200</v>
      </c>
      <c r="G830" s="17" t="s">
        <v>201</v>
      </c>
      <c r="H830" s="17" t="s">
        <v>4035</v>
      </c>
    </row>
    <row r="831" spans="1:8" ht="11.1" hidden="1" customHeight="1">
      <c r="A831" s="17" t="s">
        <v>2684</v>
      </c>
      <c r="B831" s="17" t="s">
        <v>2685</v>
      </c>
      <c r="C831" s="17" t="s">
        <v>1509</v>
      </c>
      <c r="D831" s="17" t="s">
        <v>1510</v>
      </c>
      <c r="E831" s="17">
        <v>8698</v>
      </c>
      <c r="F831" s="17" t="s">
        <v>2686</v>
      </c>
      <c r="G831" s="17" t="s">
        <v>2687</v>
      </c>
      <c r="H831" s="17" t="s">
        <v>3989</v>
      </c>
    </row>
    <row r="832" spans="1:8" ht="11.1" hidden="1" customHeight="1">
      <c r="A832" s="17" t="s">
        <v>2234</v>
      </c>
      <c r="B832" s="17" t="s">
        <v>1404</v>
      </c>
      <c r="C832" s="17" t="s">
        <v>894</v>
      </c>
      <c r="D832" s="17" t="s">
        <v>895</v>
      </c>
      <c r="E832" s="17">
        <v>10242</v>
      </c>
      <c r="F832" s="17" t="s">
        <v>1405</v>
      </c>
      <c r="G832" s="17" t="s">
        <v>1432</v>
      </c>
      <c r="H832" s="17" t="s">
        <v>3942</v>
      </c>
    </row>
    <row r="833" spans="1:8" ht="11.1" hidden="1" customHeight="1">
      <c r="A833" s="17" t="s">
        <v>822</v>
      </c>
      <c r="B833" s="17" t="s">
        <v>823</v>
      </c>
      <c r="C833" s="17" t="s">
        <v>824</v>
      </c>
      <c r="D833" s="17" t="s">
        <v>825</v>
      </c>
      <c r="E833" s="17">
        <v>10238</v>
      </c>
      <c r="F833" s="17" t="s">
        <v>827</v>
      </c>
      <c r="G833" s="17" t="s">
        <v>828</v>
      </c>
      <c r="H833" s="17" t="s">
        <v>3995</v>
      </c>
    </row>
    <row r="834" spans="1:8" ht="11.1" hidden="1" customHeight="1">
      <c r="A834" s="17" t="s">
        <v>2304</v>
      </c>
      <c r="B834" s="17" t="s">
        <v>2305</v>
      </c>
      <c r="C834" s="17" t="s">
        <v>1705</v>
      </c>
      <c r="D834" s="17" t="s">
        <v>1706</v>
      </c>
      <c r="E834" s="17">
        <v>10459</v>
      </c>
      <c r="F834" s="17" t="s">
        <v>2306</v>
      </c>
      <c r="G834" s="17" t="s">
        <v>2307</v>
      </c>
      <c r="H834" s="17" t="s">
        <v>3966</v>
      </c>
    </row>
    <row r="835" spans="1:8" ht="11.1" hidden="1" customHeight="1">
      <c r="A835" s="17" t="s">
        <v>2704</v>
      </c>
      <c r="B835" s="17" t="s">
        <v>2705</v>
      </c>
      <c r="C835" s="17" t="s">
        <v>1509</v>
      </c>
      <c r="D835" s="17" t="s">
        <v>1510</v>
      </c>
      <c r="E835" s="17">
        <v>8698</v>
      </c>
      <c r="F835" s="17" t="s">
        <v>2706</v>
      </c>
      <c r="G835" s="17" t="s">
        <v>2707</v>
      </c>
      <c r="H835" s="17" t="s">
        <v>3989</v>
      </c>
    </row>
    <row r="836" spans="1:8" ht="11.1" hidden="1" customHeight="1">
      <c r="A836" s="17" t="s">
        <v>1454</v>
      </c>
      <c r="B836" s="17" t="s">
        <v>1455</v>
      </c>
      <c r="C836" s="17" t="s">
        <v>516</v>
      </c>
      <c r="D836" s="17" t="s">
        <v>517</v>
      </c>
      <c r="E836" s="17">
        <v>8710</v>
      </c>
      <c r="F836" s="17" t="s">
        <v>1456</v>
      </c>
      <c r="G836" s="17" t="s">
        <v>1457</v>
      </c>
      <c r="H836" s="17" t="s">
        <v>3959</v>
      </c>
    </row>
    <row r="837" spans="1:8" ht="11.1" hidden="1" customHeight="1">
      <c r="A837" s="17" t="s">
        <v>259</v>
      </c>
      <c r="B837" s="17" t="s">
        <v>260</v>
      </c>
      <c r="C837" s="17" t="s">
        <v>261</v>
      </c>
      <c r="D837" s="17" t="s">
        <v>262</v>
      </c>
      <c r="E837" s="17">
        <v>9635</v>
      </c>
      <c r="F837" s="17" t="s">
        <v>264</v>
      </c>
      <c r="G837" s="17" t="s">
        <v>265</v>
      </c>
      <c r="H837" s="17" t="s">
        <v>4048</v>
      </c>
    </row>
    <row r="838" spans="1:8" ht="11.1" hidden="1" customHeight="1">
      <c r="A838" s="17" t="s">
        <v>3646</v>
      </c>
      <c r="B838" s="17" t="s">
        <v>3647</v>
      </c>
      <c r="C838" s="17" t="s">
        <v>488</v>
      </c>
      <c r="D838" s="17" t="s">
        <v>489</v>
      </c>
      <c r="E838" s="17">
        <v>10461</v>
      </c>
      <c r="F838" s="17" t="s">
        <v>3648</v>
      </c>
      <c r="G838" s="17" t="s">
        <v>3649</v>
      </c>
      <c r="H838" s="17" t="s">
        <v>3978</v>
      </c>
    </row>
    <row r="839" spans="1:8" ht="11.1" hidden="1" customHeight="1">
      <c r="A839" s="17" t="s">
        <v>3661</v>
      </c>
      <c r="B839" s="17" t="s">
        <v>3662</v>
      </c>
      <c r="C839" s="17" t="s">
        <v>210</v>
      </c>
      <c r="D839" s="17" t="s">
        <v>211</v>
      </c>
      <c r="E839" s="17">
        <v>8060</v>
      </c>
      <c r="F839" s="17" t="s">
        <v>3663</v>
      </c>
      <c r="G839" s="17" t="s">
        <v>3664</v>
      </c>
      <c r="H839" s="17" t="s">
        <v>3994</v>
      </c>
    </row>
    <row r="840" spans="1:8" ht="11.1" hidden="1" customHeight="1">
      <c r="A840" s="17" t="s">
        <v>3666</v>
      </c>
      <c r="B840" s="17" t="s">
        <v>3667</v>
      </c>
      <c r="C840" s="17" t="s">
        <v>640</v>
      </c>
      <c r="D840" s="17" t="s">
        <v>398</v>
      </c>
      <c r="E840" s="17">
        <v>9964</v>
      </c>
      <c r="F840" s="17" t="s">
        <v>3668</v>
      </c>
      <c r="G840" s="17" t="s">
        <v>3669</v>
      </c>
      <c r="H840" s="17" t="s">
        <v>4049</v>
      </c>
    </row>
    <row r="841" spans="1:8" ht="11.1" hidden="1" customHeight="1">
      <c r="A841" s="17" t="s">
        <v>876</v>
      </c>
      <c r="B841" s="17" t="s">
        <v>877</v>
      </c>
      <c r="C841" s="17" t="s">
        <v>878</v>
      </c>
      <c r="D841" s="17" t="s">
        <v>332</v>
      </c>
      <c r="E841" s="17">
        <v>9184</v>
      </c>
      <c r="F841" s="17" t="s">
        <v>879</v>
      </c>
      <c r="G841" s="17" t="s">
        <v>880</v>
      </c>
      <c r="H841" s="17" t="s">
        <v>4061</v>
      </c>
    </row>
    <row r="842" spans="1:8" ht="11.1" hidden="1" customHeight="1">
      <c r="A842" s="17" t="s">
        <v>1471</v>
      </c>
      <c r="B842" s="17" t="s">
        <v>1472</v>
      </c>
      <c r="C842" s="17" t="s">
        <v>650</v>
      </c>
      <c r="D842" s="17" t="s">
        <v>651</v>
      </c>
      <c r="E842" s="17">
        <v>8697</v>
      </c>
      <c r="F842" s="17" t="s">
        <v>1473</v>
      </c>
      <c r="G842" s="17" t="s">
        <v>1474</v>
      </c>
      <c r="H842" s="17" t="s">
        <v>4063</v>
      </c>
    </row>
    <row r="843" spans="1:8" ht="11.1" hidden="1" customHeight="1">
      <c r="A843" s="17" t="s">
        <v>277</v>
      </c>
      <c r="B843" s="17" t="s">
        <v>278</v>
      </c>
      <c r="C843" s="17" t="s">
        <v>279</v>
      </c>
      <c r="D843" s="17" t="s">
        <v>278</v>
      </c>
      <c r="E843" s="17">
        <v>9745</v>
      </c>
      <c r="F843" s="17" t="s">
        <v>281</v>
      </c>
      <c r="G843" s="17" t="s">
        <v>282</v>
      </c>
      <c r="H843" s="17" t="s">
        <v>4127</v>
      </c>
    </row>
    <row r="844" spans="1:8" ht="11.1" hidden="1" customHeight="1">
      <c r="A844" s="17" t="s">
        <v>899</v>
      </c>
      <c r="B844" s="17" t="s">
        <v>494</v>
      </c>
      <c r="C844" s="17" t="s">
        <v>495</v>
      </c>
      <c r="D844" s="17" t="s">
        <v>184</v>
      </c>
      <c r="E844" s="17">
        <v>10241</v>
      </c>
      <c r="F844" s="17" t="s">
        <v>496</v>
      </c>
      <c r="G844" s="17" t="s">
        <v>900</v>
      </c>
      <c r="H844" s="17" t="s">
        <v>4008</v>
      </c>
    </row>
    <row r="845" spans="1:8" ht="11.1" hidden="1" customHeight="1">
      <c r="A845" s="17" t="s">
        <v>493</v>
      </c>
      <c r="B845" s="17" t="s">
        <v>494</v>
      </c>
      <c r="C845" s="17" t="s">
        <v>495</v>
      </c>
      <c r="D845" s="17" t="s">
        <v>184</v>
      </c>
      <c r="E845" s="17">
        <v>10241</v>
      </c>
      <c r="F845" s="17" t="s">
        <v>496</v>
      </c>
      <c r="G845" s="17" t="s">
        <v>900</v>
      </c>
      <c r="H845" s="17" t="s">
        <v>4008</v>
      </c>
    </row>
    <row r="846" spans="1:8" ht="11.1" hidden="1" customHeight="1">
      <c r="A846" s="17" t="s">
        <v>2344</v>
      </c>
      <c r="B846" s="17" t="s">
        <v>690</v>
      </c>
      <c r="C846" s="17" t="s">
        <v>44</v>
      </c>
      <c r="D846" s="17" t="s">
        <v>45</v>
      </c>
      <c r="E846" s="17">
        <v>10245</v>
      </c>
      <c r="F846" s="17" t="s">
        <v>691</v>
      </c>
      <c r="G846" s="17" t="s">
        <v>2345</v>
      </c>
      <c r="H846" s="17" t="s">
        <v>4015</v>
      </c>
    </row>
    <row r="847" spans="1:8" ht="11.1" hidden="1" customHeight="1">
      <c r="A847" s="17" t="s">
        <v>2427</v>
      </c>
      <c r="B847" s="17" t="s">
        <v>1565</v>
      </c>
      <c r="C847" s="17" t="s">
        <v>1025</v>
      </c>
      <c r="D847" s="17" t="s">
        <v>825</v>
      </c>
      <c r="E847" s="17">
        <v>10238</v>
      </c>
      <c r="F847" s="17" t="s">
        <v>1566</v>
      </c>
      <c r="G847" s="17" t="s">
        <v>2350</v>
      </c>
      <c r="H847" s="17" t="s">
        <v>3995</v>
      </c>
    </row>
    <row r="848" spans="1:8" ht="11.1" hidden="1" customHeight="1">
      <c r="A848" s="17" t="s">
        <v>3696</v>
      </c>
      <c r="B848" s="17" t="s">
        <v>3697</v>
      </c>
      <c r="C848" s="17" t="s">
        <v>650</v>
      </c>
      <c r="D848" s="17" t="s">
        <v>651</v>
      </c>
      <c r="E848" s="17">
        <v>8697</v>
      </c>
      <c r="F848" s="17" t="s">
        <v>3698</v>
      </c>
      <c r="G848" s="17" t="s">
        <v>3699</v>
      </c>
      <c r="H848" s="17" t="s">
        <v>4063</v>
      </c>
    </row>
    <row r="849" spans="1:8" ht="11.1" hidden="1" customHeight="1">
      <c r="A849" s="17" t="s">
        <v>1898</v>
      </c>
      <c r="B849" s="17" t="s">
        <v>1899</v>
      </c>
      <c r="C849" s="17" t="s">
        <v>154</v>
      </c>
      <c r="D849" s="17" t="s">
        <v>155</v>
      </c>
      <c r="E849" s="17">
        <v>8569</v>
      </c>
      <c r="F849" s="17" t="s">
        <v>1900</v>
      </c>
      <c r="G849" s="17" t="s">
        <v>1901</v>
      </c>
      <c r="H849" s="17" t="s">
        <v>4028</v>
      </c>
    </row>
    <row r="850" spans="1:8" ht="11.1" hidden="1" customHeight="1">
      <c r="A850" s="17" t="s">
        <v>1491</v>
      </c>
      <c r="B850" s="17" t="s">
        <v>1492</v>
      </c>
      <c r="C850" s="17" t="s">
        <v>1493</v>
      </c>
      <c r="D850" s="17" t="s">
        <v>1494</v>
      </c>
      <c r="E850" s="17">
        <v>7062</v>
      </c>
      <c r="F850" s="17" t="s">
        <v>1496</v>
      </c>
      <c r="G850" s="17" t="s">
        <v>1497</v>
      </c>
      <c r="H850" s="17" t="s">
        <v>4128</v>
      </c>
    </row>
    <row r="851" spans="1:8" ht="11.1" hidden="1" customHeight="1">
      <c r="A851" s="17" t="s">
        <v>3193</v>
      </c>
      <c r="B851" s="17" t="s">
        <v>3194</v>
      </c>
      <c r="C851" s="17" t="s">
        <v>1998</v>
      </c>
      <c r="D851" s="17" t="s">
        <v>1999</v>
      </c>
      <c r="E851" s="17">
        <v>9433</v>
      </c>
      <c r="F851" s="17" t="s">
        <v>3195</v>
      </c>
      <c r="G851" s="17" t="s">
        <v>3196</v>
      </c>
      <c r="H851" s="17" t="s">
        <v>4091</v>
      </c>
    </row>
    <row r="852" spans="1:8" ht="11.1" hidden="1" customHeight="1">
      <c r="A852" s="17" t="s">
        <v>829</v>
      </c>
      <c r="B852" s="17" t="s">
        <v>830</v>
      </c>
      <c r="C852" s="17" t="s">
        <v>831</v>
      </c>
      <c r="D852" s="17" t="s">
        <v>832</v>
      </c>
      <c r="E852" s="17">
        <v>10038</v>
      </c>
      <c r="F852" s="17" t="s">
        <v>834</v>
      </c>
      <c r="G852" s="17" t="s">
        <v>1506</v>
      </c>
      <c r="H852" s="17" t="s">
        <v>3973</v>
      </c>
    </row>
    <row r="853" spans="1:8" ht="11.1" hidden="1" customHeight="1">
      <c r="A853" s="17" t="s">
        <v>1507</v>
      </c>
      <c r="B853" s="17" t="s">
        <v>1508</v>
      </c>
      <c r="C853" s="17" t="s">
        <v>1509</v>
      </c>
      <c r="D853" s="17" t="s">
        <v>1510</v>
      </c>
      <c r="E853" s="17">
        <v>8698</v>
      </c>
      <c r="F853" s="17" t="s">
        <v>1512</v>
      </c>
      <c r="G853" s="17" t="s">
        <v>1513</v>
      </c>
      <c r="H853" s="17" t="s">
        <v>3989</v>
      </c>
    </row>
    <row r="854" spans="1:8" ht="11.1" hidden="1" customHeight="1">
      <c r="A854" s="17" t="s">
        <v>2383</v>
      </c>
      <c r="B854" s="17" t="s">
        <v>2384</v>
      </c>
      <c r="C854" s="17" t="s">
        <v>1129</v>
      </c>
      <c r="D854" s="17" t="s">
        <v>785</v>
      </c>
      <c r="E854" s="17">
        <v>9704</v>
      </c>
      <c r="F854" s="17" t="s">
        <v>2385</v>
      </c>
      <c r="G854" s="17" t="s">
        <v>2386</v>
      </c>
      <c r="H854" s="17" t="s">
        <v>3960</v>
      </c>
    </row>
    <row r="855" spans="1:8" ht="11.1" hidden="1" customHeight="1">
      <c r="A855" s="17" t="s">
        <v>2770</v>
      </c>
      <c r="B855" s="17" t="s">
        <v>2771</v>
      </c>
      <c r="C855" s="17" t="s">
        <v>461</v>
      </c>
      <c r="D855" s="17" t="s">
        <v>462</v>
      </c>
      <c r="E855" s="17">
        <v>10006</v>
      </c>
      <c r="F855" s="17" t="s">
        <v>2772</v>
      </c>
      <c r="G855" s="17" t="s">
        <v>2773</v>
      </c>
      <c r="H855" s="17" t="s">
        <v>4075</v>
      </c>
    </row>
    <row r="856" spans="1:8" ht="11.1" hidden="1" customHeight="1">
      <c r="A856" s="17" t="s">
        <v>3206</v>
      </c>
      <c r="B856" s="17" t="s">
        <v>3207</v>
      </c>
      <c r="C856" s="17" t="s">
        <v>397</v>
      </c>
      <c r="D856" s="17" t="s">
        <v>398</v>
      </c>
      <c r="E856" s="17">
        <v>9964</v>
      </c>
      <c r="F856" s="17" t="s">
        <v>3208</v>
      </c>
      <c r="G856" s="17" t="s">
        <v>3209</v>
      </c>
      <c r="H856" s="17" t="s">
        <v>4049</v>
      </c>
    </row>
    <row r="857" spans="1:8" ht="11.1" hidden="1" customHeight="1">
      <c r="A857" s="17" t="s">
        <v>323</v>
      </c>
      <c r="B857" s="17" t="s">
        <v>324</v>
      </c>
      <c r="C857" s="17" t="s">
        <v>325</v>
      </c>
      <c r="D857" s="17" t="s">
        <v>326</v>
      </c>
      <c r="E857" s="17">
        <v>9634</v>
      </c>
      <c r="F857" s="17" t="s">
        <v>327</v>
      </c>
      <c r="G857" s="17" t="s">
        <v>328</v>
      </c>
      <c r="H857" s="17" t="s">
        <v>4003</v>
      </c>
    </row>
    <row r="858" spans="1:8" ht="11.1" hidden="1" customHeight="1">
      <c r="A858" s="17" t="s">
        <v>1927</v>
      </c>
      <c r="B858" s="17" t="s">
        <v>1928</v>
      </c>
      <c r="C858" s="17" t="s">
        <v>256</v>
      </c>
      <c r="D858" s="17" t="s">
        <v>80</v>
      </c>
      <c r="E858" s="17">
        <v>9181</v>
      </c>
      <c r="F858" s="17" t="s">
        <v>1929</v>
      </c>
      <c r="G858" s="17" t="s">
        <v>1930</v>
      </c>
      <c r="H858" s="17" t="s">
        <v>4071</v>
      </c>
    </row>
    <row r="859" spans="1:8" ht="11.1" hidden="1" customHeight="1">
      <c r="A859" s="17" t="s">
        <v>1003</v>
      </c>
      <c r="B859" s="17" t="s">
        <v>1004</v>
      </c>
      <c r="C859" s="17" t="s">
        <v>566</v>
      </c>
      <c r="D859" s="17" t="s">
        <v>567</v>
      </c>
      <c r="E859" s="17">
        <v>8568</v>
      </c>
      <c r="F859" s="17" t="s">
        <v>1005</v>
      </c>
      <c r="G859" s="17" t="s">
        <v>1006</v>
      </c>
      <c r="H859" s="17" t="s">
        <v>4070</v>
      </c>
    </row>
    <row r="860" spans="1:8" ht="11.1" hidden="1" customHeight="1">
      <c r="A860" s="17" t="s">
        <v>329</v>
      </c>
      <c r="B860" s="17" t="s">
        <v>330</v>
      </c>
      <c r="C860" s="17" t="s">
        <v>331</v>
      </c>
      <c r="D860" s="17" t="s">
        <v>332</v>
      </c>
      <c r="E860" s="17">
        <v>9184</v>
      </c>
      <c r="F860" s="17" t="s">
        <v>334</v>
      </c>
      <c r="G860" s="17" t="s">
        <v>335</v>
      </c>
      <c r="H860" s="17" t="s">
        <v>4061</v>
      </c>
    </row>
    <row r="861" spans="1:8" ht="11.1" hidden="1" customHeight="1">
      <c r="A861" s="17" t="s">
        <v>1545</v>
      </c>
      <c r="B861" s="17" t="s">
        <v>1546</v>
      </c>
      <c r="C861" s="17" t="s">
        <v>1547</v>
      </c>
      <c r="D861" s="17" t="s">
        <v>1548</v>
      </c>
      <c r="E861" s="17">
        <v>10091</v>
      </c>
      <c r="F861" s="17" t="s">
        <v>1550</v>
      </c>
      <c r="G861" s="17" t="s">
        <v>1551</v>
      </c>
      <c r="H861" s="17" t="s">
        <v>4072</v>
      </c>
    </row>
    <row r="862" spans="1:8" ht="11.1" hidden="1" customHeight="1">
      <c r="A862" s="17" t="s">
        <v>2796</v>
      </c>
      <c r="B862" s="17" t="s">
        <v>2797</v>
      </c>
      <c r="C862" s="17" t="s">
        <v>1076</v>
      </c>
      <c r="D862" s="17" t="s">
        <v>542</v>
      </c>
      <c r="E862" s="17">
        <v>10000</v>
      </c>
      <c r="F862" s="17" t="s">
        <v>2798</v>
      </c>
      <c r="G862" s="17" t="s">
        <v>2799</v>
      </c>
      <c r="H862" s="17" t="s">
        <v>4016</v>
      </c>
    </row>
    <row r="863" spans="1:8" ht="11.1" hidden="1" customHeight="1">
      <c r="A863" s="17" t="s">
        <v>1935</v>
      </c>
      <c r="B863" s="17" t="s">
        <v>1936</v>
      </c>
      <c r="C863" s="17" t="s">
        <v>1937</v>
      </c>
      <c r="D863" s="17" t="s">
        <v>1097</v>
      </c>
      <c r="E863" s="17">
        <v>9629</v>
      </c>
      <c r="F863" s="17" t="s">
        <v>1938</v>
      </c>
      <c r="G863" s="17" t="s">
        <v>1939</v>
      </c>
      <c r="H863" s="17" t="s">
        <v>4011</v>
      </c>
    </row>
    <row r="864" spans="1:8" ht="11.1" hidden="1" customHeight="1">
      <c r="A864" s="17" t="s">
        <v>356</v>
      </c>
      <c r="B864" s="17" t="s">
        <v>357</v>
      </c>
      <c r="C864" s="17" t="s">
        <v>358</v>
      </c>
      <c r="D864" s="17" t="s">
        <v>359</v>
      </c>
      <c r="E864" s="17">
        <v>8695</v>
      </c>
      <c r="F864" s="17" t="s">
        <v>361</v>
      </c>
      <c r="G864" s="17" t="s">
        <v>362</v>
      </c>
      <c r="H864" s="17" t="s">
        <v>4025</v>
      </c>
    </row>
    <row r="865" spans="1:8" ht="11.1" customHeight="1">
      <c r="A865" s="17" t="s">
        <v>2808</v>
      </c>
      <c r="B865" s="17" t="s">
        <v>2809</v>
      </c>
      <c r="C865" s="17" t="s">
        <v>2810</v>
      </c>
      <c r="D865" s="17" t="s">
        <v>430</v>
      </c>
      <c r="E865" s="17">
        <v>10194</v>
      </c>
      <c r="F865" s="17" t="s">
        <v>2811</v>
      </c>
      <c r="G865" s="17" t="s">
        <v>2812</v>
      </c>
      <c r="H865" s="17" t="s">
        <v>4111</v>
      </c>
    </row>
    <row r="866" spans="1:8" ht="11.1" hidden="1" customHeight="1">
      <c r="A866" s="17" t="s">
        <v>3243</v>
      </c>
      <c r="B866" s="17" t="s">
        <v>3244</v>
      </c>
      <c r="C866" s="17" t="s">
        <v>3245</v>
      </c>
      <c r="D866" s="17" t="s">
        <v>1494</v>
      </c>
      <c r="E866" s="17">
        <v>8835</v>
      </c>
      <c r="F866" s="17" t="s">
        <v>3247</v>
      </c>
      <c r="G866" s="17" t="s">
        <v>3248</v>
      </c>
      <c r="H866" s="17" t="s">
        <v>4129</v>
      </c>
    </row>
    <row r="867" spans="1:8" ht="11.1" hidden="1" customHeight="1">
      <c r="A867" s="17" t="s">
        <v>388</v>
      </c>
      <c r="B867" s="17" t="s">
        <v>389</v>
      </c>
      <c r="C867" s="17" t="s">
        <v>390</v>
      </c>
      <c r="D867" s="17" t="s">
        <v>391</v>
      </c>
      <c r="E867" s="17">
        <v>10201</v>
      </c>
      <c r="F867" s="17" t="s">
        <v>393</v>
      </c>
      <c r="G867" s="17" t="s">
        <v>394</v>
      </c>
      <c r="H867" s="17" t="s">
        <v>4002</v>
      </c>
    </row>
    <row r="868" spans="1:8" ht="11.1" hidden="1" customHeight="1">
      <c r="A868" s="17" t="s">
        <v>2428</v>
      </c>
      <c r="B868" s="17" t="s">
        <v>2429</v>
      </c>
      <c r="C868" s="17" t="s">
        <v>2430</v>
      </c>
      <c r="D868" s="17" t="s">
        <v>1521</v>
      </c>
      <c r="E868" s="17">
        <v>9888</v>
      </c>
      <c r="F868" s="17" t="s">
        <v>2431</v>
      </c>
      <c r="G868" s="17" t="s">
        <v>2432</v>
      </c>
      <c r="H868" s="17" t="s">
        <v>3987</v>
      </c>
    </row>
    <row r="869" spans="1:8" ht="11.1" hidden="1" customHeight="1">
      <c r="A869" s="17" t="s">
        <v>2434</v>
      </c>
      <c r="B869" s="17" t="s">
        <v>2435</v>
      </c>
      <c r="C869" s="17" t="s">
        <v>1450</v>
      </c>
      <c r="D869" s="17" t="s">
        <v>122</v>
      </c>
      <c r="E869" s="17">
        <v>8062</v>
      </c>
      <c r="F869" s="17" t="s">
        <v>2436</v>
      </c>
      <c r="G869" s="17" t="s">
        <v>2437</v>
      </c>
      <c r="H869" s="17" t="s">
        <v>4055</v>
      </c>
    </row>
    <row r="870" spans="1:8" ht="11.1" hidden="1" customHeight="1">
      <c r="A870" s="17" t="s">
        <v>3267</v>
      </c>
      <c r="B870" s="17" t="s">
        <v>3268</v>
      </c>
      <c r="C870" s="17" t="s">
        <v>696</v>
      </c>
      <c r="D870" s="17" t="s">
        <v>697</v>
      </c>
      <c r="E870" s="17">
        <v>9886</v>
      </c>
      <c r="F870" s="17" t="s">
        <v>3269</v>
      </c>
      <c r="G870" s="17" t="s">
        <v>3270</v>
      </c>
      <c r="H870" s="17" t="s">
        <v>4083</v>
      </c>
    </row>
    <row r="871" spans="1:8" ht="11.1" hidden="1" customHeight="1">
      <c r="A871" s="17" t="s">
        <v>3779</v>
      </c>
      <c r="B871" s="17" t="s">
        <v>3780</v>
      </c>
      <c r="C871" s="17" t="s">
        <v>921</v>
      </c>
      <c r="D871" s="17" t="s">
        <v>922</v>
      </c>
      <c r="E871" s="17">
        <v>9179</v>
      </c>
      <c r="F871" s="17" t="s">
        <v>3781</v>
      </c>
      <c r="G871" s="17" t="s">
        <v>3782</v>
      </c>
      <c r="H871" s="17" t="s">
        <v>3984</v>
      </c>
    </row>
    <row r="872" spans="1:8" ht="11.1" hidden="1" customHeight="1">
      <c r="A872" s="17" t="s">
        <v>3784</v>
      </c>
      <c r="B872" s="17" t="s">
        <v>3785</v>
      </c>
      <c r="C872" s="17" t="s">
        <v>559</v>
      </c>
      <c r="D872" s="17" t="s">
        <v>560</v>
      </c>
      <c r="E872" s="17">
        <v>10452</v>
      </c>
      <c r="F872" s="17" t="s">
        <v>3786</v>
      </c>
      <c r="G872" s="17" t="s">
        <v>3787</v>
      </c>
      <c r="H872" s="17" t="s">
        <v>3950</v>
      </c>
    </row>
    <row r="873" spans="1:8" ht="11.1" hidden="1" customHeight="1">
      <c r="A873" s="17" t="s">
        <v>2838</v>
      </c>
      <c r="B873" s="17" t="s">
        <v>2839</v>
      </c>
      <c r="C873" s="17" t="s">
        <v>16</v>
      </c>
      <c r="D873" s="17" t="s">
        <v>17</v>
      </c>
      <c r="E873" s="17">
        <v>8552</v>
      </c>
      <c r="F873" s="17" t="s">
        <v>2840</v>
      </c>
      <c r="G873" s="17" t="s">
        <v>2841</v>
      </c>
      <c r="H873" s="17" t="s">
        <v>3968</v>
      </c>
    </row>
    <row r="874" spans="1:8" ht="11.1" hidden="1" customHeight="1">
      <c r="A874" s="17" t="s">
        <v>1065</v>
      </c>
      <c r="B874" s="17" t="s">
        <v>1066</v>
      </c>
      <c r="C874" s="17" t="s">
        <v>197</v>
      </c>
      <c r="D874" s="17" t="s">
        <v>198</v>
      </c>
      <c r="E874" s="17">
        <v>10444</v>
      </c>
      <c r="F874" s="17" t="s">
        <v>1067</v>
      </c>
      <c r="G874" s="17" t="s">
        <v>1068</v>
      </c>
      <c r="H874" s="17" t="s">
        <v>4035</v>
      </c>
    </row>
    <row r="875" spans="1:8" ht="11.1" hidden="1" customHeight="1">
      <c r="A875" s="17" t="s">
        <v>3299</v>
      </c>
      <c r="B875" s="17" t="s">
        <v>3300</v>
      </c>
      <c r="C875" s="17" t="s">
        <v>1620</v>
      </c>
      <c r="D875" s="17" t="s">
        <v>3301</v>
      </c>
      <c r="E875" s="17">
        <v>9680</v>
      </c>
      <c r="F875" s="17" t="s">
        <v>3302</v>
      </c>
      <c r="G875" s="17" t="s">
        <v>3303</v>
      </c>
      <c r="H875" s="17" t="s">
        <v>4074</v>
      </c>
    </row>
    <row r="876" spans="1:8" ht="11.1" hidden="1" customHeight="1">
      <c r="A876" s="17" t="s">
        <v>3840</v>
      </c>
      <c r="B876" s="17" t="s">
        <v>3841</v>
      </c>
      <c r="C876" s="17" t="s">
        <v>3842</v>
      </c>
      <c r="D876" s="17" t="s">
        <v>136</v>
      </c>
      <c r="E876" s="17">
        <v>9631</v>
      </c>
      <c r="F876" s="17" t="s">
        <v>3843</v>
      </c>
      <c r="G876" s="17" t="s">
        <v>3844</v>
      </c>
      <c r="H876" s="17" t="s">
        <v>3986</v>
      </c>
    </row>
    <row r="877" spans="1:8" ht="11.1" hidden="1" customHeight="1">
      <c r="A877" s="17" t="s">
        <v>2022</v>
      </c>
      <c r="B877" s="17" t="s">
        <v>189</v>
      </c>
      <c r="C877" s="17" t="s">
        <v>190</v>
      </c>
      <c r="D877" s="17" t="s">
        <v>191</v>
      </c>
      <c r="E877" s="17">
        <v>10247</v>
      </c>
      <c r="F877" s="17" t="s">
        <v>193</v>
      </c>
      <c r="G877" s="17" t="s">
        <v>513</v>
      </c>
      <c r="H877" s="17" t="s">
        <v>4038</v>
      </c>
    </row>
    <row r="878" spans="1:8" ht="11.1" hidden="1" customHeight="1">
      <c r="A878" s="17" t="s">
        <v>2881</v>
      </c>
      <c r="B878" s="17" t="s">
        <v>2882</v>
      </c>
      <c r="C878" s="17" t="s">
        <v>2883</v>
      </c>
      <c r="D878" s="17" t="s">
        <v>2884</v>
      </c>
      <c r="E878" s="17">
        <v>9835</v>
      </c>
      <c r="F878" s="17" t="s">
        <v>2886</v>
      </c>
      <c r="G878" s="17" t="s">
        <v>2887</v>
      </c>
      <c r="H878" s="17" t="s">
        <v>4130</v>
      </c>
    </row>
    <row r="879" spans="1:8" ht="11.1" hidden="1" customHeight="1">
      <c r="A879" s="17" t="s">
        <v>3845</v>
      </c>
      <c r="B879" s="17" t="s">
        <v>3846</v>
      </c>
      <c r="C879" s="17" t="s">
        <v>1393</v>
      </c>
      <c r="D879" s="17" t="s">
        <v>804</v>
      </c>
      <c r="E879" s="17">
        <v>10097</v>
      </c>
      <c r="F879" s="17" t="s">
        <v>3847</v>
      </c>
      <c r="G879" s="17" t="s">
        <v>3848</v>
      </c>
      <c r="H879" s="17" t="s">
        <v>4040</v>
      </c>
    </row>
    <row r="880" spans="1:8" ht="11.1" hidden="1" customHeight="1">
      <c r="A880" s="17" t="s">
        <v>3849</v>
      </c>
      <c r="B880" s="17" t="s">
        <v>3850</v>
      </c>
      <c r="C880" s="17" t="s">
        <v>516</v>
      </c>
      <c r="D880" s="17" t="s">
        <v>517</v>
      </c>
      <c r="E880" s="17">
        <v>8710</v>
      </c>
      <c r="F880" s="17" t="s">
        <v>3851</v>
      </c>
      <c r="G880" s="17" t="s">
        <v>3852</v>
      </c>
      <c r="H880" s="17" t="s">
        <v>3959</v>
      </c>
    </row>
    <row r="881" spans="1:8" ht="11.1" hidden="1" customHeight="1">
      <c r="A881" s="17" t="s">
        <v>63</v>
      </c>
      <c r="B881" s="17" t="s">
        <v>64</v>
      </c>
      <c r="C881" s="17" t="s">
        <v>65</v>
      </c>
      <c r="D881" s="17" t="s">
        <v>66</v>
      </c>
      <c r="E881" s="17">
        <v>10244</v>
      </c>
      <c r="F881" s="17" t="s">
        <v>68</v>
      </c>
      <c r="G881" s="17" t="s">
        <v>1644</v>
      </c>
      <c r="H881" s="17" t="s">
        <v>3980</v>
      </c>
    </row>
    <row r="882" spans="1:8" ht="11.1" hidden="1" customHeight="1">
      <c r="A882" s="17" t="s">
        <v>2495</v>
      </c>
      <c r="B882" s="17" t="s">
        <v>2496</v>
      </c>
      <c r="C882" s="17" t="s">
        <v>2452</v>
      </c>
      <c r="D882" s="17" t="s">
        <v>2453</v>
      </c>
      <c r="E882" s="17">
        <v>9027</v>
      </c>
      <c r="F882" s="17" t="s">
        <v>2497</v>
      </c>
      <c r="G882" s="17" t="s">
        <v>2498</v>
      </c>
      <c r="H882" s="17" t="s">
        <v>4106</v>
      </c>
    </row>
    <row r="883" spans="1:8" ht="11.1" hidden="1" customHeight="1">
      <c r="A883" s="17" t="s">
        <v>2499</v>
      </c>
      <c r="B883" s="17" t="s">
        <v>2500</v>
      </c>
      <c r="C883" s="17" t="s">
        <v>623</v>
      </c>
      <c r="D883" s="17" t="s">
        <v>211</v>
      </c>
      <c r="E883" s="17">
        <v>8058</v>
      </c>
      <c r="F883" s="17" t="s">
        <v>2501</v>
      </c>
      <c r="G883" s="17" t="s">
        <v>2502</v>
      </c>
      <c r="H883" s="17" t="s">
        <v>4042</v>
      </c>
    </row>
    <row r="884" spans="1:8" ht="11.1" hidden="1" customHeight="1">
      <c r="A884" s="17" t="s">
        <v>3337</v>
      </c>
      <c r="B884" s="17" t="s">
        <v>3338</v>
      </c>
      <c r="C884" s="17" t="s">
        <v>1398</v>
      </c>
      <c r="D884" s="17" t="s">
        <v>1399</v>
      </c>
      <c r="E884" s="17">
        <v>9895</v>
      </c>
      <c r="F884" s="17" t="s">
        <v>3339</v>
      </c>
      <c r="G884" s="17" t="s">
        <v>3340</v>
      </c>
      <c r="H884" s="17" t="s">
        <v>4054</v>
      </c>
    </row>
    <row r="885" spans="1:8" ht="11.1" customHeight="1">
      <c r="A885" s="17" t="s">
        <v>2050</v>
      </c>
      <c r="B885" s="17" t="s">
        <v>2051</v>
      </c>
      <c r="C885" s="17" t="s">
        <v>2052</v>
      </c>
      <c r="D885" s="17" t="s">
        <v>1185</v>
      </c>
      <c r="E885" s="17">
        <v>9714</v>
      </c>
      <c r="F885" s="17" t="s">
        <v>2053</v>
      </c>
      <c r="G885" s="17" t="s">
        <v>2054</v>
      </c>
      <c r="H885" s="17" t="s">
        <v>4089</v>
      </c>
    </row>
    <row r="886" spans="1:8" ht="11.1" hidden="1" customHeight="1">
      <c r="A886" s="17" t="s">
        <v>2134</v>
      </c>
      <c r="B886" s="17" t="s">
        <v>1154</v>
      </c>
      <c r="C886" s="17" t="s">
        <v>894</v>
      </c>
      <c r="D886" s="17" t="s">
        <v>895</v>
      </c>
      <c r="E886" s="17">
        <v>10242</v>
      </c>
      <c r="F886" s="17" t="s">
        <v>1155</v>
      </c>
      <c r="G886" s="17" t="s">
        <v>1156</v>
      </c>
      <c r="H886" s="17" t="s">
        <v>3942</v>
      </c>
    </row>
    <row r="887" spans="1:8" ht="11.1" hidden="1" customHeight="1">
      <c r="A887" s="17" t="s">
        <v>2608</v>
      </c>
      <c r="B887" s="17" t="s">
        <v>2056</v>
      </c>
      <c r="C887" s="17" t="s">
        <v>1025</v>
      </c>
      <c r="D887" s="17" t="s">
        <v>825</v>
      </c>
      <c r="E887" s="17">
        <v>10238</v>
      </c>
      <c r="F887" s="17" t="s">
        <v>2057</v>
      </c>
      <c r="G887" s="17" t="s">
        <v>2058</v>
      </c>
      <c r="H887" s="17" t="s">
        <v>3995</v>
      </c>
    </row>
    <row r="888" spans="1:8" ht="11.1" hidden="1" customHeight="1">
      <c r="A888" s="17" t="s">
        <v>2070</v>
      </c>
      <c r="B888" s="17" t="s">
        <v>2071</v>
      </c>
      <c r="C888" s="17" t="s">
        <v>135</v>
      </c>
      <c r="D888" s="17" t="s">
        <v>136</v>
      </c>
      <c r="E888" s="17">
        <v>9631</v>
      </c>
      <c r="F888" s="17" t="s">
        <v>2072</v>
      </c>
      <c r="G888" s="17" t="s">
        <v>2073</v>
      </c>
      <c r="H888" s="17" t="s">
        <v>3986</v>
      </c>
    </row>
    <row r="889" spans="1:8" ht="11.1" hidden="1" customHeight="1">
      <c r="A889" s="17" t="s">
        <v>1175</v>
      </c>
      <c r="B889" s="17" t="s">
        <v>1176</v>
      </c>
      <c r="C889" s="17" t="s">
        <v>1177</v>
      </c>
      <c r="D889" s="17" t="s">
        <v>1178</v>
      </c>
      <c r="E889" s="17">
        <v>8254</v>
      </c>
      <c r="F889" s="17" t="s">
        <v>1180</v>
      </c>
      <c r="G889" s="17" t="s">
        <v>1181</v>
      </c>
      <c r="H889" s="17" t="s">
        <v>4131</v>
      </c>
    </row>
    <row r="890" spans="1:8" ht="11.1" hidden="1" customHeight="1">
      <c r="A890" s="17" t="s">
        <v>3878</v>
      </c>
      <c r="B890" s="17" t="s">
        <v>3879</v>
      </c>
      <c r="C890" s="17" t="s">
        <v>810</v>
      </c>
      <c r="D890" s="17" t="s">
        <v>811</v>
      </c>
      <c r="E890" s="17">
        <v>10333</v>
      </c>
      <c r="F890" s="17" t="s">
        <v>3880</v>
      </c>
      <c r="G890" s="17" t="s">
        <v>3881</v>
      </c>
      <c r="H890" s="17" t="s">
        <v>4114</v>
      </c>
    </row>
    <row r="891" spans="1:8" ht="11.1" hidden="1" customHeight="1">
      <c r="A891" s="17" t="s">
        <v>2515</v>
      </c>
      <c r="B891" s="17" t="s">
        <v>2516</v>
      </c>
      <c r="C891" s="17" t="s">
        <v>2517</v>
      </c>
      <c r="D891" s="17" t="s">
        <v>2518</v>
      </c>
      <c r="E891" s="17">
        <v>9984</v>
      </c>
      <c r="F891" s="17" t="s">
        <v>2520</v>
      </c>
      <c r="G891" s="17" t="s">
        <v>2521</v>
      </c>
      <c r="H891" s="17" t="s">
        <v>4120</v>
      </c>
    </row>
    <row r="892" spans="1:8" ht="11.1" hidden="1" customHeight="1">
      <c r="A892" s="17" t="s">
        <v>1673</v>
      </c>
      <c r="B892" s="17" t="s">
        <v>1674</v>
      </c>
      <c r="C892" s="17" t="s">
        <v>1675</v>
      </c>
      <c r="D892" s="17" t="s">
        <v>895</v>
      </c>
      <c r="E892" s="17">
        <v>10242</v>
      </c>
      <c r="F892" s="17" t="s">
        <v>1676</v>
      </c>
      <c r="G892" s="17" t="s">
        <v>1677</v>
      </c>
      <c r="H892" s="17" t="s">
        <v>3942</v>
      </c>
    </row>
    <row r="893" spans="1:8" ht="11.1" hidden="1" customHeight="1">
      <c r="A893" s="17" t="s">
        <v>2075</v>
      </c>
      <c r="B893" s="17" t="s">
        <v>2076</v>
      </c>
      <c r="C893" s="17" t="s">
        <v>715</v>
      </c>
      <c r="D893" s="17" t="s">
        <v>716</v>
      </c>
      <c r="E893" s="17">
        <v>10237</v>
      </c>
      <c r="F893" s="17" t="s">
        <v>2077</v>
      </c>
      <c r="G893" s="17" t="s">
        <v>2934</v>
      </c>
      <c r="H893" s="17" t="s">
        <v>3954</v>
      </c>
    </row>
    <row r="894" spans="1:8" ht="11.1" hidden="1" customHeight="1">
      <c r="A894" s="17" t="s">
        <v>2929</v>
      </c>
      <c r="B894" s="17" t="s">
        <v>2076</v>
      </c>
      <c r="C894" s="17" t="s">
        <v>715</v>
      </c>
      <c r="D894" s="17" t="s">
        <v>716</v>
      </c>
      <c r="E894" s="17">
        <v>10237</v>
      </c>
      <c r="F894" s="17" t="s">
        <v>2077</v>
      </c>
      <c r="G894" s="17" t="s">
        <v>2934</v>
      </c>
      <c r="H894" s="17" t="s">
        <v>3954</v>
      </c>
    </row>
    <row r="895" spans="1:8" ht="11.1" hidden="1" customHeight="1">
      <c r="A895" s="17" t="s">
        <v>2592</v>
      </c>
      <c r="B895" s="17" t="s">
        <v>2131</v>
      </c>
      <c r="C895" s="17" t="s">
        <v>677</v>
      </c>
      <c r="D895" s="17" t="s">
        <v>678</v>
      </c>
      <c r="E895" s="17">
        <v>10269</v>
      </c>
      <c r="F895" s="17" t="s">
        <v>2132</v>
      </c>
      <c r="G895" s="17" t="s">
        <v>2935</v>
      </c>
      <c r="H895" s="17" t="s">
        <v>3937</v>
      </c>
    </row>
    <row r="896" spans="1:8" ht="11.1" hidden="1" customHeight="1">
      <c r="A896" s="17" t="s">
        <v>2083</v>
      </c>
      <c r="B896" s="17" t="s">
        <v>852</v>
      </c>
      <c r="C896" s="17" t="s">
        <v>65</v>
      </c>
      <c r="D896" s="17" t="s">
        <v>66</v>
      </c>
      <c r="E896" s="17">
        <v>10244</v>
      </c>
      <c r="F896" s="17" t="s">
        <v>853</v>
      </c>
      <c r="G896" s="17" t="s">
        <v>1196</v>
      </c>
      <c r="H896" s="17" t="s">
        <v>3980</v>
      </c>
    </row>
    <row r="897" spans="1:8" ht="11.1" customHeight="1">
      <c r="A897" s="17" t="s">
        <v>3387</v>
      </c>
      <c r="B897" s="17" t="s">
        <v>3388</v>
      </c>
      <c r="C897" s="17" t="s">
        <v>1355</v>
      </c>
      <c r="D897" s="17" t="s">
        <v>1356</v>
      </c>
      <c r="E897" s="17">
        <v>9733</v>
      </c>
      <c r="F897" s="17" t="s">
        <v>3389</v>
      </c>
      <c r="G897" s="17" t="s">
        <v>3390</v>
      </c>
      <c r="H897" s="17" t="s">
        <v>3955</v>
      </c>
    </row>
    <row r="898" spans="1:8" ht="11.1" hidden="1" customHeight="1">
      <c r="A898" s="17" t="s">
        <v>1208</v>
      </c>
      <c r="B898" s="17" t="s">
        <v>1209</v>
      </c>
      <c r="C898" s="17" t="s">
        <v>1043</v>
      </c>
      <c r="D898" s="17" t="s">
        <v>419</v>
      </c>
      <c r="E898" s="17">
        <v>8947</v>
      </c>
      <c r="F898" s="17" t="s">
        <v>1210</v>
      </c>
      <c r="G898" s="17" t="s">
        <v>1211</v>
      </c>
      <c r="H898" s="17" t="s">
        <v>4057</v>
      </c>
    </row>
    <row r="899" spans="1:8" ht="11.1" hidden="1" customHeight="1">
      <c r="A899" s="17" t="s">
        <v>2941</v>
      </c>
      <c r="B899" s="17" t="s">
        <v>2942</v>
      </c>
      <c r="C899" s="17" t="s">
        <v>169</v>
      </c>
      <c r="D899" s="17" t="s">
        <v>170</v>
      </c>
      <c r="E899" s="17">
        <v>10309</v>
      </c>
      <c r="F899" s="17" t="s">
        <v>2943</v>
      </c>
      <c r="G899" s="17" t="s">
        <v>2944</v>
      </c>
      <c r="H899" s="17" t="s">
        <v>4005</v>
      </c>
    </row>
    <row r="900" spans="1:8" ht="11.1" hidden="1" customHeight="1">
      <c r="A900" s="17" t="s">
        <v>2945</v>
      </c>
      <c r="B900" s="17" t="s">
        <v>2316</v>
      </c>
      <c r="C900" s="17" t="s">
        <v>501</v>
      </c>
      <c r="D900" s="17" t="s">
        <v>502</v>
      </c>
      <c r="E900" s="17">
        <v>10460</v>
      </c>
      <c r="F900" s="17" t="s">
        <v>2317</v>
      </c>
      <c r="G900" s="17" t="s">
        <v>2946</v>
      </c>
      <c r="H900" s="17" t="s">
        <v>3967</v>
      </c>
    </row>
    <row r="901" spans="1:8" ht="11.1" hidden="1" customHeight="1">
      <c r="A901" s="17" t="s">
        <v>3404</v>
      </c>
      <c r="B901" s="17" t="s">
        <v>3405</v>
      </c>
      <c r="C901" s="17" t="s">
        <v>784</v>
      </c>
      <c r="D901" s="17" t="s">
        <v>1167</v>
      </c>
      <c r="E901" s="17">
        <v>9704</v>
      </c>
      <c r="F901" s="17" t="s">
        <v>3406</v>
      </c>
      <c r="G901" s="17" t="s">
        <v>3407</v>
      </c>
      <c r="H901" s="17" t="s">
        <v>3960</v>
      </c>
    </row>
    <row r="902" spans="1:8" ht="11.1" hidden="1" customHeight="1">
      <c r="A902" s="17" t="s">
        <v>1699</v>
      </c>
      <c r="B902" s="17" t="s">
        <v>1700</v>
      </c>
      <c r="C902" s="17" t="s">
        <v>623</v>
      </c>
      <c r="D902" s="17" t="s">
        <v>211</v>
      </c>
      <c r="E902" s="17">
        <v>8058</v>
      </c>
      <c r="F902" s="17" t="s">
        <v>1701</v>
      </c>
      <c r="G902" s="17" t="s">
        <v>1702</v>
      </c>
      <c r="H902" s="17" t="s">
        <v>4042</v>
      </c>
    </row>
    <row r="903" spans="1:8" ht="11.1" hidden="1" customHeight="1">
      <c r="A903" s="17" t="s">
        <v>1217</v>
      </c>
      <c r="B903" s="17" t="s">
        <v>1218</v>
      </c>
      <c r="C903" s="17" t="s">
        <v>1219</v>
      </c>
      <c r="D903" s="17" t="s">
        <v>239</v>
      </c>
      <c r="E903" s="17">
        <v>9843</v>
      </c>
      <c r="F903" s="17" t="s">
        <v>1220</v>
      </c>
      <c r="G903" s="17" t="s">
        <v>1221</v>
      </c>
      <c r="H903" s="17" t="s">
        <v>4081</v>
      </c>
    </row>
    <row r="904" spans="1:8" ht="11.1" hidden="1" customHeight="1">
      <c r="A904" s="17" t="s">
        <v>3783</v>
      </c>
      <c r="B904" s="17" t="s">
        <v>424</v>
      </c>
      <c r="C904" s="17" t="s">
        <v>217</v>
      </c>
      <c r="D904" s="17" t="s">
        <v>218</v>
      </c>
      <c r="E904" s="17">
        <v>9634</v>
      </c>
      <c r="F904" s="17" t="s">
        <v>425</v>
      </c>
      <c r="G904" s="17" t="s">
        <v>1222</v>
      </c>
      <c r="H904" s="17" t="s">
        <v>4003</v>
      </c>
    </row>
    <row r="905" spans="1:8" ht="11.1" hidden="1" customHeight="1">
      <c r="A905" s="17" t="s">
        <v>2546</v>
      </c>
      <c r="B905" s="17" t="s">
        <v>2547</v>
      </c>
      <c r="C905" s="17" t="s">
        <v>1998</v>
      </c>
      <c r="D905" s="17" t="s">
        <v>1999</v>
      </c>
      <c r="E905" s="17">
        <v>9433</v>
      </c>
      <c r="F905" s="17" t="s">
        <v>2548</v>
      </c>
      <c r="G905" s="17" t="s">
        <v>2549</v>
      </c>
      <c r="H905" s="17" t="s">
        <v>4091</v>
      </c>
    </row>
    <row r="906" spans="1:8" ht="11.1" hidden="1" customHeight="1">
      <c r="A906" s="17" t="s">
        <v>2951</v>
      </c>
      <c r="B906" s="17" t="s">
        <v>2952</v>
      </c>
      <c r="C906" s="17" t="s">
        <v>249</v>
      </c>
      <c r="D906" s="17" t="s">
        <v>250</v>
      </c>
      <c r="E906" s="17">
        <v>8700</v>
      </c>
      <c r="F906" s="17" t="s">
        <v>2953</v>
      </c>
      <c r="G906" s="17" t="s">
        <v>2954</v>
      </c>
      <c r="H906" s="17" t="s">
        <v>4100</v>
      </c>
    </row>
    <row r="907" spans="1:8" ht="11.1" hidden="1" customHeight="1">
      <c r="A907" s="17" t="s">
        <v>3416</v>
      </c>
      <c r="B907" s="17" t="s">
        <v>3417</v>
      </c>
      <c r="C907" s="17" t="s">
        <v>154</v>
      </c>
      <c r="D907" s="17" t="s">
        <v>155</v>
      </c>
      <c r="E907" s="17">
        <v>8569</v>
      </c>
      <c r="F907" s="17" t="s">
        <v>3418</v>
      </c>
      <c r="G907" s="17" t="s">
        <v>3419</v>
      </c>
      <c r="H907" s="17" t="s">
        <v>4028</v>
      </c>
    </row>
    <row r="908" spans="1:8" ht="11.1" hidden="1" customHeight="1">
      <c r="A908" s="17" t="s">
        <v>2560</v>
      </c>
      <c r="B908" s="17" t="s">
        <v>1266</v>
      </c>
      <c r="C908" s="17" t="s">
        <v>1267</v>
      </c>
      <c r="D908" s="17" t="s">
        <v>832</v>
      </c>
      <c r="E908" s="17">
        <v>10036</v>
      </c>
      <c r="F908" s="17" t="s">
        <v>1269</v>
      </c>
      <c r="G908" s="17" t="s">
        <v>1717</v>
      </c>
      <c r="H908" s="17" t="s">
        <v>4026</v>
      </c>
    </row>
    <row r="909" spans="1:8" ht="11.1" hidden="1" customHeight="1">
      <c r="A909" s="17" t="s">
        <v>1726</v>
      </c>
      <c r="B909" s="17" t="s">
        <v>1727</v>
      </c>
      <c r="C909" s="17" t="s">
        <v>726</v>
      </c>
      <c r="D909" s="17" t="s">
        <v>727</v>
      </c>
      <c r="E909" s="17">
        <v>10453</v>
      </c>
      <c r="F909" s="17" t="s">
        <v>1728</v>
      </c>
      <c r="G909" s="17" t="s">
        <v>1729</v>
      </c>
      <c r="H909" s="17" t="s">
        <v>4084</v>
      </c>
    </row>
    <row r="910" spans="1:8" ht="11.1" hidden="1" customHeight="1">
      <c r="A910" s="17" t="s">
        <v>2569</v>
      </c>
      <c r="B910" s="17" t="s">
        <v>2570</v>
      </c>
      <c r="C910" s="17" t="s">
        <v>903</v>
      </c>
      <c r="D910" s="17" t="s">
        <v>904</v>
      </c>
      <c r="E910" s="17">
        <v>8570</v>
      </c>
      <c r="F910" s="17" t="s">
        <v>2571</v>
      </c>
      <c r="G910" s="17" t="s">
        <v>2572</v>
      </c>
      <c r="H910" s="17" t="s">
        <v>4024</v>
      </c>
    </row>
    <row r="911" spans="1:8" ht="11.1" hidden="1" customHeight="1">
      <c r="A911" s="17" t="s">
        <v>1261</v>
      </c>
      <c r="B911" s="17" t="s">
        <v>1262</v>
      </c>
      <c r="C911" s="17" t="s">
        <v>169</v>
      </c>
      <c r="D911" s="17" t="s">
        <v>170</v>
      </c>
      <c r="E911" s="17">
        <v>10309</v>
      </c>
      <c r="F911" s="17" t="s">
        <v>1263</v>
      </c>
      <c r="G911" s="17" t="s">
        <v>1264</v>
      </c>
      <c r="H911" s="17" t="s">
        <v>4005</v>
      </c>
    </row>
    <row r="912" spans="1:8" ht="11.1" hidden="1" customHeight="1">
      <c r="A912" s="17" t="s">
        <v>3454</v>
      </c>
      <c r="B912" s="17" t="s">
        <v>3455</v>
      </c>
      <c r="C912" s="17" t="s">
        <v>2247</v>
      </c>
      <c r="D912" s="17" t="s">
        <v>2248</v>
      </c>
      <c r="E912" s="17">
        <v>8897</v>
      </c>
      <c r="F912" s="17" t="s">
        <v>3456</v>
      </c>
      <c r="G912" s="17" t="s">
        <v>3457</v>
      </c>
      <c r="H912" s="17" t="s">
        <v>4099</v>
      </c>
    </row>
  </sheetData>
  <autoFilter ref="A1:H912" xr:uid="{3898C712-343D-4F20-B030-47C54D62E4AF}">
    <filterColumn colId="2">
      <filters>
        <filter val="Apple IPAD  PRO  11 256GB SpaceGray"/>
        <filter val="Apple IPAD 128GB WT Silver"/>
        <filter val="Apple IPAD 128GB WT Space Gray"/>
        <filter val="Apple iPad 2019 Mini 64GB Silver"/>
        <filter val="Apple iPad 2019 Mini 64GB SpaceGray"/>
        <filter val="Apple iPad New  9.7 32GB Silver"/>
        <filter val="Apple iPad New  9.7 32GB Space Gray"/>
        <filter val="Apple iPad New 9.7 32GB Silver"/>
        <filter val="Apple iPad New 9.7 32GB Space Gray"/>
        <filter val="Apple IPAD PRO 10.5 256GB WT Silver"/>
        <filter val="Apple IPAD PRO 10.5 256GB WT Space Gray"/>
        <filter val="Apple IPAD PRO 11  256GB Silver"/>
        <filter val="Apple IPAD PRO 11 256GB Silver"/>
        <filter val="Apple IPAD PRO 11 256GB SpaceGray"/>
        <filter val="AppleiPad  New 9.7 128GB Silver"/>
        <filter val="AppleiPad New  9.7 128GB Space Gray"/>
        <filter val="AppleiPad New 9.7 128GB Silver"/>
        <filter val="AppleiPad New 9.7 128GB Space Gray"/>
      </filters>
    </filterColumn>
  </autoFilter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77BA-5725-4C1E-8D02-0853E7A2F172}">
  <dimension ref="A1:AT111"/>
  <sheetViews>
    <sheetView tabSelected="1" zoomScale="50" zoomScaleNormal="50" workbookViewId="0">
      <selection activeCell="D4" sqref="D4"/>
    </sheetView>
  </sheetViews>
  <sheetFormatPr defaultRowHeight="14.4"/>
  <cols>
    <col min="1" max="1" width="24.88671875" style="78" customWidth="1"/>
    <col min="2" max="2" width="86.77734375" style="23" customWidth="1"/>
    <col min="3" max="3" width="41.6640625" style="23" customWidth="1"/>
    <col min="4" max="4" width="68.88671875" style="23" bestFit="1" customWidth="1"/>
    <col min="5" max="5" width="29.88671875" style="23" customWidth="1"/>
    <col min="6" max="6" width="30.33203125" style="23" customWidth="1"/>
    <col min="7" max="7" width="34.44140625" style="23" customWidth="1"/>
    <col min="8" max="8" width="36.5546875" style="23" customWidth="1"/>
    <col min="9" max="9" width="8.88671875" style="78"/>
    <col min="10" max="10" width="42.77734375" style="78" customWidth="1"/>
    <col min="11" max="11" width="28.109375" style="78" bestFit="1" customWidth="1"/>
    <col min="12" max="46" width="8.88671875" style="78"/>
  </cols>
  <sheetData>
    <row r="1" spans="1:8" s="78" customFormat="1" ht="129" customHeight="1">
      <c r="B1" s="158"/>
      <c r="C1" s="158"/>
      <c r="D1" s="158"/>
      <c r="E1" s="158"/>
      <c r="F1" s="158"/>
      <c r="G1" s="158"/>
      <c r="H1" s="158"/>
    </row>
    <row r="2" spans="1:8" s="78" customFormat="1" ht="38.25" customHeight="1">
      <c r="B2" s="158"/>
      <c r="C2" s="158"/>
      <c r="D2" s="158"/>
      <c r="E2" s="158"/>
      <c r="F2" s="158"/>
      <c r="G2" s="158"/>
      <c r="H2" s="158"/>
    </row>
    <row r="3" spans="1:8" ht="96" customHeight="1">
      <c r="B3" s="71" t="s">
        <v>4132</v>
      </c>
      <c r="C3" s="51" t="s">
        <v>4133</v>
      </c>
      <c r="D3" s="51" t="s">
        <v>4134</v>
      </c>
      <c r="E3" s="130" t="s">
        <v>4135</v>
      </c>
      <c r="F3" s="130" t="s">
        <v>4136</v>
      </c>
      <c r="G3" s="4" t="s">
        <v>4137</v>
      </c>
      <c r="H3" s="5" t="s">
        <v>4138</v>
      </c>
    </row>
    <row r="4" spans="1:8" s="540" customFormat="1" ht="59.25" customHeight="1">
      <c r="A4" s="539"/>
      <c r="B4" s="251" t="s">
        <v>4702</v>
      </c>
      <c r="C4" s="251" t="s">
        <v>4706</v>
      </c>
      <c r="D4" s="238" t="s">
        <v>4771</v>
      </c>
      <c r="E4" s="181">
        <v>1200</v>
      </c>
      <c r="F4" s="181">
        <f t="shared" ref="F4:F37" si="0">E4/30</f>
        <v>40</v>
      </c>
      <c r="G4" s="181">
        <v>4</v>
      </c>
      <c r="H4" s="181">
        <v>6</v>
      </c>
    </row>
    <row r="5" spans="1:8" s="540" customFormat="1" ht="59.25" customHeight="1">
      <c r="A5" s="539"/>
      <c r="B5" s="251" t="s">
        <v>4703</v>
      </c>
      <c r="C5" s="251" t="s">
        <v>4707</v>
      </c>
      <c r="D5" s="238" t="s">
        <v>4771</v>
      </c>
      <c r="E5" s="181">
        <v>1200</v>
      </c>
      <c r="F5" s="181">
        <f t="shared" si="0"/>
        <v>40</v>
      </c>
      <c r="G5" s="181">
        <v>4</v>
      </c>
      <c r="H5" s="181">
        <v>6</v>
      </c>
    </row>
    <row r="6" spans="1:8" s="540" customFormat="1" ht="59.25" customHeight="1">
      <c r="A6" s="539"/>
      <c r="B6" s="251" t="s">
        <v>4704</v>
      </c>
      <c r="C6" s="251" t="s">
        <v>4708</v>
      </c>
      <c r="D6" s="238" t="s">
        <v>4771</v>
      </c>
      <c r="E6" s="181">
        <v>1200</v>
      </c>
      <c r="F6" s="181">
        <f t="shared" si="0"/>
        <v>40</v>
      </c>
      <c r="G6" s="181">
        <v>4</v>
      </c>
      <c r="H6" s="181">
        <v>6</v>
      </c>
    </row>
    <row r="7" spans="1:8" s="540" customFormat="1" ht="59.25" customHeight="1">
      <c r="A7" s="539"/>
      <c r="B7" s="251" t="s">
        <v>4705</v>
      </c>
      <c r="C7" s="251" t="s">
        <v>4709</v>
      </c>
      <c r="D7" s="238" t="s">
        <v>4771</v>
      </c>
      <c r="E7" s="181">
        <v>1200</v>
      </c>
      <c r="F7" s="181">
        <f t="shared" si="0"/>
        <v>40</v>
      </c>
      <c r="G7" s="181">
        <v>4</v>
      </c>
      <c r="H7" s="181">
        <v>6</v>
      </c>
    </row>
    <row r="8" spans="1:8" s="78" customFormat="1" ht="75" customHeight="1">
      <c r="B8" s="251" t="s">
        <v>4710</v>
      </c>
      <c r="C8" s="251" t="s">
        <v>4713</v>
      </c>
      <c r="D8" s="238" t="s">
        <v>4771</v>
      </c>
      <c r="E8" s="181">
        <v>1410</v>
      </c>
      <c r="F8" s="181">
        <f t="shared" si="0"/>
        <v>47</v>
      </c>
      <c r="G8" s="181">
        <v>4</v>
      </c>
      <c r="H8" s="181">
        <v>6</v>
      </c>
    </row>
    <row r="9" spans="1:8" s="78" customFormat="1" ht="75" customHeight="1">
      <c r="B9" s="251" t="s">
        <v>4765</v>
      </c>
      <c r="C9" s="251" t="s">
        <v>4714</v>
      </c>
      <c r="D9" s="238" t="s">
        <v>4771</v>
      </c>
      <c r="E9" s="181">
        <v>1410</v>
      </c>
      <c r="F9" s="181">
        <f t="shared" si="0"/>
        <v>47</v>
      </c>
      <c r="G9" s="181">
        <v>4</v>
      </c>
      <c r="H9" s="181">
        <v>6</v>
      </c>
    </row>
    <row r="10" spans="1:8" s="78" customFormat="1" ht="75" customHeight="1">
      <c r="B10" s="251" t="s">
        <v>4711</v>
      </c>
      <c r="C10" s="251" t="s">
        <v>4715</v>
      </c>
      <c r="D10" s="238" t="s">
        <v>4771</v>
      </c>
      <c r="E10" s="181">
        <v>1410</v>
      </c>
      <c r="F10" s="181">
        <f t="shared" si="0"/>
        <v>47</v>
      </c>
      <c r="G10" s="181">
        <v>4</v>
      </c>
      <c r="H10" s="181">
        <v>6</v>
      </c>
    </row>
    <row r="11" spans="1:8" s="78" customFormat="1" ht="75" customHeight="1">
      <c r="B11" s="251" t="s">
        <v>4712</v>
      </c>
      <c r="C11" s="251" t="s">
        <v>4716</v>
      </c>
      <c r="D11" s="238" t="s">
        <v>4771</v>
      </c>
      <c r="E11" s="181">
        <v>1410</v>
      </c>
      <c r="F11" s="181">
        <f t="shared" si="0"/>
        <v>47</v>
      </c>
      <c r="G11" s="181">
        <v>4</v>
      </c>
      <c r="H11" s="181">
        <v>6</v>
      </c>
    </row>
    <row r="12" spans="1:8" s="78" customFormat="1" ht="75" customHeight="1">
      <c r="B12" s="251" t="s">
        <v>4717</v>
      </c>
      <c r="C12" s="251" t="s">
        <v>4720</v>
      </c>
      <c r="D12" s="238" t="s">
        <v>4771</v>
      </c>
      <c r="E12" s="181">
        <v>1830</v>
      </c>
      <c r="F12" s="181">
        <f t="shared" si="0"/>
        <v>61</v>
      </c>
      <c r="G12" s="181">
        <v>4</v>
      </c>
      <c r="H12" s="181">
        <v>6</v>
      </c>
    </row>
    <row r="13" spans="1:8" s="78" customFormat="1" ht="75" customHeight="1">
      <c r="B13" s="251" t="s">
        <v>4764</v>
      </c>
      <c r="C13" s="251" t="s">
        <v>4721</v>
      </c>
      <c r="D13" s="238" t="s">
        <v>4771</v>
      </c>
      <c r="E13" s="181">
        <v>1830</v>
      </c>
      <c r="F13" s="181">
        <f t="shared" si="0"/>
        <v>61</v>
      </c>
      <c r="G13" s="181">
        <v>4</v>
      </c>
      <c r="H13" s="181">
        <v>6</v>
      </c>
    </row>
    <row r="14" spans="1:8" s="78" customFormat="1" ht="75" customHeight="1">
      <c r="B14" s="251" t="s">
        <v>4718</v>
      </c>
      <c r="C14" s="251" t="s">
        <v>4722</v>
      </c>
      <c r="D14" s="238" t="s">
        <v>4771</v>
      </c>
      <c r="E14" s="181">
        <v>1830</v>
      </c>
      <c r="F14" s="181">
        <f t="shared" si="0"/>
        <v>61</v>
      </c>
      <c r="G14" s="181">
        <v>4</v>
      </c>
      <c r="H14" s="181">
        <v>6</v>
      </c>
    </row>
    <row r="15" spans="1:8" s="78" customFormat="1" ht="75" customHeight="1">
      <c r="B15" s="251" t="s">
        <v>4719</v>
      </c>
      <c r="C15" s="251" t="s">
        <v>4723</v>
      </c>
      <c r="D15" s="238" t="s">
        <v>4771</v>
      </c>
      <c r="E15" s="181">
        <v>1830</v>
      </c>
      <c r="F15" s="181">
        <f t="shared" si="0"/>
        <v>61</v>
      </c>
      <c r="G15" s="181">
        <v>4</v>
      </c>
      <c r="H15" s="181">
        <v>6</v>
      </c>
    </row>
    <row r="16" spans="1:8" s="78" customFormat="1" ht="75" customHeight="1">
      <c r="B16" s="251" t="s">
        <v>4724</v>
      </c>
      <c r="C16" s="251" t="s">
        <v>4727</v>
      </c>
      <c r="D16" s="238" t="s">
        <v>4771</v>
      </c>
      <c r="E16" s="181">
        <v>2430</v>
      </c>
      <c r="F16" s="181">
        <f t="shared" si="0"/>
        <v>81</v>
      </c>
      <c r="G16" s="181">
        <v>4</v>
      </c>
      <c r="H16" s="181">
        <v>6</v>
      </c>
    </row>
    <row r="17" spans="2:11" s="78" customFormat="1" ht="75" customHeight="1">
      <c r="B17" s="251" t="s">
        <v>4763</v>
      </c>
      <c r="C17" s="251" t="s">
        <v>4728</v>
      </c>
      <c r="D17" s="238" t="s">
        <v>4771</v>
      </c>
      <c r="E17" s="181">
        <v>2430</v>
      </c>
      <c r="F17" s="181">
        <f t="shared" si="0"/>
        <v>81</v>
      </c>
      <c r="G17" s="181">
        <v>4</v>
      </c>
      <c r="H17" s="181">
        <v>6</v>
      </c>
    </row>
    <row r="18" spans="2:11" s="78" customFormat="1" ht="75" customHeight="1">
      <c r="B18" s="251" t="s">
        <v>4725</v>
      </c>
      <c r="C18" s="251" t="s">
        <v>4729</v>
      </c>
      <c r="D18" s="238" t="s">
        <v>4771</v>
      </c>
      <c r="E18" s="181">
        <v>2430</v>
      </c>
      <c r="F18" s="181">
        <f t="shared" si="0"/>
        <v>81</v>
      </c>
      <c r="G18" s="181">
        <v>4</v>
      </c>
      <c r="H18" s="181">
        <v>6</v>
      </c>
    </row>
    <row r="19" spans="2:11" s="78" customFormat="1" ht="75" customHeight="1">
      <c r="B19" s="251" t="s">
        <v>4726</v>
      </c>
      <c r="C19" s="251" t="s">
        <v>4730</v>
      </c>
      <c r="D19" s="238" t="s">
        <v>4771</v>
      </c>
      <c r="E19" s="181">
        <v>2430</v>
      </c>
      <c r="F19" s="181">
        <f t="shared" si="0"/>
        <v>81</v>
      </c>
      <c r="G19" s="181">
        <v>4</v>
      </c>
      <c r="H19" s="181">
        <v>6</v>
      </c>
    </row>
    <row r="20" spans="2:11" s="78" customFormat="1" ht="75" customHeight="1">
      <c r="B20" s="251" t="s">
        <v>4731</v>
      </c>
      <c r="C20" s="251" t="s">
        <v>4734</v>
      </c>
      <c r="D20" s="238" t="s">
        <v>4771</v>
      </c>
      <c r="E20" s="181">
        <v>1335</v>
      </c>
      <c r="F20" s="181">
        <f t="shared" si="0"/>
        <v>44.5</v>
      </c>
      <c r="G20" s="181">
        <v>4</v>
      </c>
      <c r="H20" s="181">
        <v>6</v>
      </c>
      <c r="J20" s="542"/>
      <c r="K20" s="542"/>
    </row>
    <row r="21" spans="2:11" s="541" customFormat="1" ht="75" customHeight="1">
      <c r="B21" s="149" t="s">
        <v>4762</v>
      </c>
      <c r="C21" s="149" t="s">
        <v>4735</v>
      </c>
      <c r="D21" s="143" t="s">
        <v>4771</v>
      </c>
      <c r="E21" s="144">
        <v>1335</v>
      </c>
      <c r="F21" s="144">
        <f t="shared" si="0"/>
        <v>44.5</v>
      </c>
      <c r="G21" s="144">
        <v>4</v>
      </c>
      <c r="H21" s="144">
        <v>6</v>
      </c>
      <c r="J21" s="542"/>
    </row>
    <row r="22" spans="2:11" s="541" customFormat="1" ht="75" customHeight="1">
      <c r="B22" s="149" t="s">
        <v>4732</v>
      </c>
      <c r="C22" s="149" t="s">
        <v>4736</v>
      </c>
      <c r="D22" s="143" t="s">
        <v>4771</v>
      </c>
      <c r="E22" s="144">
        <v>1335</v>
      </c>
      <c r="F22" s="144">
        <f t="shared" si="0"/>
        <v>44.5</v>
      </c>
      <c r="G22" s="144">
        <v>4</v>
      </c>
      <c r="H22" s="144">
        <v>6</v>
      </c>
      <c r="J22" s="542"/>
    </row>
    <row r="23" spans="2:11" s="541" customFormat="1" ht="75" customHeight="1">
      <c r="B23" s="149" t="s">
        <v>4733</v>
      </c>
      <c r="C23" s="149" t="s">
        <v>4737</v>
      </c>
      <c r="D23" s="143" t="s">
        <v>4771</v>
      </c>
      <c r="E23" s="144">
        <v>1335</v>
      </c>
      <c r="F23" s="144">
        <f t="shared" si="0"/>
        <v>44.5</v>
      </c>
      <c r="G23" s="144">
        <v>4</v>
      </c>
      <c r="H23" s="144">
        <v>6</v>
      </c>
      <c r="J23" s="542"/>
    </row>
    <row r="24" spans="2:11" s="541" customFormat="1" ht="75" customHeight="1">
      <c r="B24" s="149" t="s">
        <v>4738</v>
      </c>
      <c r="C24" s="149" t="s">
        <v>4741</v>
      </c>
      <c r="D24" s="143" t="s">
        <v>4771</v>
      </c>
      <c r="E24" s="144">
        <v>1530</v>
      </c>
      <c r="F24" s="144">
        <f t="shared" si="0"/>
        <v>51</v>
      </c>
      <c r="G24" s="144">
        <v>4</v>
      </c>
      <c r="H24" s="144">
        <v>6</v>
      </c>
      <c r="J24" s="542"/>
    </row>
    <row r="25" spans="2:11" s="541" customFormat="1" ht="75" customHeight="1">
      <c r="B25" s="149" t="s">
        <v>4761</v>
      </c>
      <c r="C25" s="149" t="s">
        <v>4742</v>
      </c>
      <c r="D25" s="143" t="s">
        <v>4771</v>
      </c>
      <c r="E25" s="144">
        <v>1530</v>
      </c>
      <c r="F25" s="144">
        <f t="shared" si="0"/>
        <v>51</v>
      </c>
      <c r="G25" s="144">
        <v>4</v>
      </c>
      <c r="H25" s="144">
        <v>6</v>
      </c>
      <c r="J25" s="542"/>
    </row>
    <row r="26" spans="2:11" s="541" customFormat="1" ht="75" customHeight="1">
      <c r="B26" s="149" t="s">
        <v>4739</v>
      </c>
      <c r="C26" s="149" t="s">
        <v>4743</v>
      </c>
      <c r="D26" s="143" t="s">
        <v>4771</v>
      </c>
      <c r="E26" s="144">
        <v>1530</v>
      </c>
      <c r="F26" s="144">
        <f t="shared" si="0"/>
        <v>51</v>
      </c>
      <c r="G26" s="144">
        <v>4</v>
      </c>
      <c r="H26" s="144">
        <v>6</v>
      </c>
      <c r="J26" s="542"/>
    </row>
    <row r="27" spans="2:11" s="541" customFormat="1" ht="75" customHeight="1">
      <c r="B27" s="149" t="s">
        <v>4740</v>
      </c>
      <c r="C27" s="149" t="s">
        <v>4744</v>
      </c>
      <c r="D27" s="143" t="s">
        <v>4771</v>
      </c>
      <c r="E27" s="144">
        <v>1530</v>
      </c>
      <c r="F27" s="144">
        <f t="shared" si="0"/>
        <v>51</v>
      </c>
      <c r="G27" s="144">
        <v>4</v>
      </c>
      <c r="H27" s="144">
        <v>6</v>
      </c>
      <c r="J27" s="542"/>
    </row>
    <row r="28" spans="2:11" s="541" customFormat="1" ht="75" customHeight="1">
      <c r="B28" s="149" t="s">
        <v>4745</v>
      </c>
      <c r="C28" s="149" t="s">
        <v>4748</v>
      </c>
      <c r="D28" s="143" t="s">
        <v>4771</v>
      </c>
      <c r="E28" s="144">
        <v>1950</v>
      </c>
      <c r="F28" s="144">
        <f t="shared" si="0"/>
        <v>65</v>
      </c>
      <c r="G28" s="144">
        <v>4</v>
      </c>
      <c r="H28" s="144">
        <v>6</v>
      </c>
      <c r="J28" s="542"/>
    </row>
    <row r="29" spans="2:11" s="541" customFormat="1" ht="75" customHeight="1">
      <c r="B29" s="149" t="s">
        <v>4760</v>
      </c>
      <c r="C29" s="149" t="s">
        <v>4749</v>
      </c>
      <c r="D29" s="143" t="s">
        <v>4771</v>
      </c>
      <c r="E29" s="144">
        <v>1950</v>
      </c>
      <c r="F29" s="144">
        <f t="shared" si="0"/>
        <v>65</v>
      </c>
      <c r="G29" s="144">
        <v>4</v>
      </c>
      <c r="H29" s="144">
        <v>6</v>
      </c>
      <c r="J29" s="542"/>
    </row>
    <row r="30" spans="2:11" s="541" customFormat="1" ht="75" customHeight="1">
      <c r="B30" s="149" t="s">
        <v>4746</v>
      </c>
      <c r="C30" s="149" t="s">
        <v>4750</v>
      </c>
      <c r="D30" s="143" t="s">
        <v>4771</v>
      </c>
      <c r="E30" s="144">
        <v>1950</v>
      </c>
      <c r="F30" s="144">
        <f t="shared" si="0"/>
        <v>65</v>
      </c>
      <c r="G30" s="144">
        <v>4</v>
      </c>
      <c r="H30" s="144">
        <v>6</v>
      </c>
      <c r="J30" s="542"/>
    </row>
    <row r="31" spans="2:11" s="541" customFormat="1" ht="75" customHeight="1">
      <c r="B31" s="149" t="s">
        <v>4747</v>
      </c>
      <c r="C31" s="149" t="s">
        <v>4751</v>
      </c>
      <c r="D31" s="143" t="s">
        <v>4771</v>
      </c>
      <c r="E31" s="144">
        <v>1950</v>
      </c>
      <c r="F31" s="144">
        <f t="shared" si="0"/>
        <v>65</v>
      </c>
      <c r="G31" s="144">
        <v>4</v>
      </c>
      <c r="H31" s="144">
        <v>6</v>
      </c>
      <c r="J31" s="542"/>
    </row>
    <row r="32" spans="2:11" s="541" customFormat="1" ht="75" customHeight="1">
      <c r="B32" s="149" t="s">
        <v>4752</v>
      </c>
      <c r="C32" s="149" t="s">
        <v>4755</v>
      </c>
      <c r="D32" s="143" t="s">
        <v>4771</v>
      </c>
      <c r="E32" s="144">
        <v>2550</v>
      </c>
      <c r="F32" s="144">
        <f t="shared" si="0"/>
        <v>85</v>
      </c>
      <c r="G32" s="144">
        <v>4</v>
      </c>
      <c r="H32" s="144">
        <v>6</v>
      </c>
      <c r="J32" s="542"/>
    </row>
    <row r="33" spans="2:10" s="541" customFormat="1" ht="75" customHeight="1">
      <c r="B33" s="149" t="s">
        <v>4759</v>
      </c>
      <c r="C33" s="149" t="s">
        <v>4756</v>
      </c>
      <c r="D33" s="143" t="s">
        <v>4771</v>
      </c>
      <c r="E33" s="144">
        <v>2550</v>
      </c>
      <c r="F33" s="144">
        <f t="shared" si="0"/>
        <v>85</v>
      </c>
      <c r="G33" s="144">
        <v>4</v>
      </c>
      <c r="H33" s="144">
        <v>6</v>
      </c>
      <c r="J33" s="542"/>
    </row>
    <row r="34" spans="2:10" s="541" customFormat="1" ht="75" customHeight="1">
      <c r="B34" s="149" t="s">
        <v>4753</v>
      </c>
      <c r="C34" s="149" t="s">
        <v>4757</v>
      </c>
      <c r="D34" s="143" t="s">
        <v>4771</v>
      </c>
      <c r="E34" s="144">
        <v>2550</v>
      </c>
      <c r="F34" s="144">
        <f t="shared" si="0"/>
        <v>85</v>
      </c>
      <c r="G34" s="144">
        <v>4</v>
      </c>
      <c r="H34" s="144">
        <v>6</v>
      </c>
      <c r="J34" s="542"/>
    </row>
    <row r="35" spans="2:10" s="541" customFormat="1" ht="75" customHeight="1">
      <c r="B35" s="149" t="s">
        <v>4754</v>
      </c>
      <c r="C35" s="149" t="s">
        <v>4758</v>
      </c>
      <c r="D35" s="143" t="s">
        <v>4771</v>
      </c>
      <c r="E35" s="144">
        <v>2550</v>
      </c>
      <c r="F35" s="144">
        <f t="shared" si="0"/>
        <v>85</v>
      </c>
      <c r="G35" s="144">
        <v>4</v>
      </c>
      <c r="H35" s="144">
        <v>6</v>
      </c>
    </row>
    <row r="36" spans="2:10" s="86" customFormat="1" ht="75" customHeight="1">
      <c r="B36" s="149" t="s">
        <v>4139</v>
      </c>
      <c r="C36" s="149" t="s">
        <v>4140</v>
      </c>
      <c r="D36" s="143" t="s">
        <v>4141</v>
      </c>
      <c r="E36" s="144">
        <v>12840</v>
      </c>
      <c r="F36" s="144">
        <f t="shared" si="0"/>
        <v>428</v>
      </c>
      <c r="G36" s="144">
        <v>4</v>
      </c>
      <c r="H36" s="144">
        <v>6</v>
      </c>
    </row>
    <row r="37" spans="2:10" s="86" customFormat="1" ht="75" customHeight="1">
      <c r="B37" s="149" t="s">
        <v>4143</v>
      </c>
      <c r="C37" s="149" t="s">
        <v>4144</v>
      </c>
      <c r="D37" s="143" t="s">
        <v>4141</v>
      </c>
      <c r="E37" s="144">
        <v>4590</v>
      </c>
      <c r="F37" s="144">
        <f t="shared" si="0"/>
        <v>153</v>
      </c>
      <c r="G37" s="144">
        <v>4</v>
      </c>
      <c r="H37" s="144">
        <v>6</v>
      </c>
    </row>
    <row r="38" spans="2:10" s="86" customFormat="1">
      <c r="B38" s="159"/>
      <c r="C38" s="159"/>
      <c r="D38" s="159"/>
      <c r="E38" s="159"/>
      <c r="F38" s="159"/>
      <c r="G38" s="159"/>
      <c r="H38" s="159"/>
    </row>
    <row r="39" spans="2:10" s="86" customFormat="1">
      <c r="B39" s="159"/>
      <c r="C39" s="159"/>
      <c r="D39" s="159"/>
      <c r="E39" s="159"/>
      <c r="F39" s="159"/>
      <c r="G39" s="159"/>
      <c r="H39" s="159"/>
    </row>
    <row r="40" spans="2:10" s="86" customFormat="1">
      <c r="B40" s="159"/>
      <c r="C40" s="159"/>
      <c r="D40" s="159"/>
      <c r="E40" s="159"/>
      <c r="F40" s="186"/>
      <c r="G40" s="159"/>
      <c r="H40" s="159"/>
    </row>
    <row r="41" spans="2:10" s="86" customFormat="1">
      <c r="B41" s="159"/>
      <c r="C41" s="159"/>
      <c r="D41" s="159"/>
      <c r="E41" s="159"/>
      <c r="F41" s="159"/>
      <c r="G41" s="159"/>
      <c r="H41" s="159"/>
    </row>
    <row r="42" spans="2:10" s="86" customFormat="1">
      <c r="B42" s="159"/>
      <c r="C42" s="159"/>
      <c r="D42" s="159"/>
      <c r="E42" s="159"/>
      <c r="F42" s="159"/>
      <c r="G42" s="159"/>
      <c r="H42" s="159"/>
    </row>
    <row r="43" spans="2:10" s="86" customFormat="1">
      <c r="B43" s="159"/>
      <c r="C43" s="159"/>
      <c r="D43" s="159"/>
      <c r="E43" s="159"/>
      <c r="F43" s="159"/>
      <c r="G43" s="159"/>
      <c r="H43" s="159"/>
    </row>
    <row r="44" spans="2:10" s="86" customFormat="1">
      <c r="B44" s="159"/>
      <c r="C44" s="159"/>
      <c r="D44" s="159"/>
      <c r="E44" s="159"/>
      <c r="F44" s="159"/>
      <c r="G44" s="159"/>
      <c r="H44" s="159"/>
    </row>
    <row r="45" spans="2:10" s="86" customFormat="1">
      <c r="B45" s="159"/>
      <c r="C45" s="159"/>
      <c r="D45" s="159"/>
      <c r="E45" s="159"/>
      <c r="F45" s="159"/>
      <c r="G45" s="159"/>
      <c r="H45" s="159"/>
    </row>
    <row r="46" spans="2:10" s="86" customFormat="1">
      <c r="B46" s="159"/>
      <c r="C46" s="159"/>
      <c r="D46" s="159"/>
      <c r="E46" s="159"/>
      <c r="F46" s="159"/>
      <c r="G46" s="159"/>
      <c r="H46" s="159"/>
    </row>
    <row r="47" spans="2:10" s="86" customFormat="1">
      <c r="B47" s="159"/>
      <c r="C47" s="159"/>
      <c r="D47" s="159"/>
      <c r="E47" s="159"/>
      <c r="F47" s="159"/>
      <c r="G47" s="159"/>
      <c r="H47" s="159"/>
    </row>
    <row r="48" spans="2:10" s="86" customFormat="1">
      <c r="B48" s="159"/>
      <c r="C48" s="159"/>
      <c r="D48" s="159"/>
      <c r="E48" s="159"/>
      <c r="F48" s="159"/>
      <c r="G48" s="159"/>
      <c r="H48" s="159"/>
    </row>
    <row r="49" spans="2:8" s="86" customFormat="1">
      <c r="B49" s="159"/>
      <c r="C49" s="159"/>
      <c r="D49" s="159"/>
      <c r="E49" s="159"/>
      <c r="F49" s="159"/>
      <c r="G49" s="159"/>
      <c r="H49" s="159"/>
    </row>
    <row r="50" spans="2:8" s="86" customFormat="1">
      <c r="B50" s="159"/>
      <c r="C50" s="159"/>
      <c r="D50" s="159"/>
      <c r="E50" s="159"/>
      <c r="F50" s="159"/>
      <c r="G50" s="159"/>
      <c r="H50" s="159"/>
    </row>
    <row r="51" spans="2:8" s="86" customFormat="1">
      <c r="B51" s="159"/>
      <c r="C51" s="159"/>
      <c r="D51" s="159"/>
      <c r="E51" s="159"/>
      <c r="F51" s="159"/>
      <c r="G51" s="159"/>
      <c r="H51" s="159"/>
    </row>
    <row r="52" spans="2:8" s="86" customFormat="1">
      <c r="B52" s="159"/>
      <c r="C52" s="159"/>
      <c r="D52" s="159"/>
      <c r="E52" s="159"/>
      <c r="F52" s="159"/>
      <c r="G52" s="159"/>
      <c r="H52" s="159"/>
    </row>
    <row r="53" spans="2:8" s="86" customFormat="1">
      <c r="B53" s="159"/>
      <c r="C53" s="159"/>
      <c r="D53" s="159"/>
      <c r="E53" s="159"/>
      <c r="F53" s="159"/>
      <c r="G53" s="159"/>
      <c r="H53" s="159"/>
    </row>
    <row r="54" spans="2:8" s="85" customFormat="1">
      <c r="B54" s="159"/>
      <c r="C54" s="159"/>
      <c r="D54" s="159"/>
      <c r="E54" s="159"/>
      <c r="F54" s="159"/>
      <c r="G54" s="159"/>
      <c r="H54" s="159"/>
    </row>
    <row r="55" spans="2:8" s="85" customFormat="1">
      <c r="B55" s="159"/>
      <c r="C55" s="159"/>
      <c r="D55" s="159"/>
      <c r="E55" s="159"/>
      <c r="F55" s="159"/>
      <c r="G55" s="159"/>
      <c r="H55" s="159"/>
    </row>
    <row r="56" spans="2:8" s="85" customFormat="1">
      <c r="B56" s="159"/>
      <c r="C56" s="159"/>
      <c r="D56" s="159"/>
      <c r="E56" s="159"/>
      <c r="F56" s="159"/>
      <c r="G56" s="159"/>
      <c r="H56" s="159"/>
    </row>
    <row r="57" spans="2:8" s="85" customFormat="1">
      <c r="B57" s="159"/>
      <c r="C57" s="159"/>
      <c r="D57" s="159"/>
      <c r="E57" s="159"/>
      <c r="F57" s="159"/>
      <c r="G57" s="159"/>
      <c r="H57" s="159"/>
    </row>
    <row r="58" spans="2:8" s="85" customFormat="1">
      <c r="B58" s="159"/>
      <c r="C58" s="159"/>
      <c r="D58" s="159"/>
      <c r="E58" s="159"/>
      <c r="F58" s="159"/>
      <c r="G58" s="159"/>
      <c r="H58" s="159"/>
    </row>
    <row r="59" spans="2:8" s="85" customFormat="1">
      <c r="B59" s="159"/>
      <c r="C59" s="159"/>
      <c r="D59" s="159"/>
      <c r="E59" s="159"/>
      <c r="F59" s="159"/>
      <c r="G59" s="159"/>
      <c r="H59" s="159"/>
    </row>
    <row r="60" spans="2:8" s="85" customFormat="1">
      <c r="B60" s="159"/>
      <c r="C60" s="159"/>
      <c r="D60" s="159"/>
      <c r="E60" s="159"/>
      <c r="F60" s="159"/>
      <c r="G60" s="159"/>
      <c r="H60" s="159"/>
    </row>
    <row r="61" spans="2:8" s="85" customFormat="1">
      <c r="B61" s="159"/>
      <c r="C61" s="159"/>
      <c r="D61" s="159"/>
      <c r="E61" s="159"/>
      <c r="F61" s="159"/>
      <c r="G61" s="159"/>
      <c r="H61" s="159"/>
    </row>
    <row r="62" spans="2:8" s="85" customFormat="1">
      <c r="B62" s="159"/>
      <c r="C62" s="159"/>
      <c r="D62" s="159"/>
      <c r="E62" s="159"/>
      <c r="F62" s="159"/>
      <c r="G62" s="159"/>
      <c r="H62" s="159"/>
    </row>
    <row r="63" spans="2:8" s="85" customFormat="1">
      <c r="B63" s="159"/>
      <c r="C63" s="159"/>
      <c r="D63" s="159"/>
      <c r="E63" s="159"/>
      <c r="F63" s="159"/>
      <c r="G63" s="159"/>
      <c r="H63" s="159"/>
    </row>
    <row r="64" spans="2:8" s="85" customFormat="1">
      <c r="B64" s="159"/>
      <c r="C64" s="159"/>
      <c r="D64" s="159"/>
      <c r="E64" s="159"/>
      <c r="F64" s="159"/>
      <c r="G64" s="159"/>
      <c r="H64" s="159"/>
    </row>
    <row r="65" spans="2:8" s="85" customFormat="1">
      <c r="B65" s="159"/>
      <c r="C65" s="159"/>
      <c r="D65" s="159"/>
      <c r="E65" s="159"/>
      <c r="F65" s="159"/>
      <c r="G65" s="159"/>
      <c r="H65" s="159"/>
    </row>
    <row r="66" spans="2:8" s="85" customFormat="1">
      <c r="B66" s="159"/>
      <c r="C66" s="159"/>
      <c r="D66" s="159"/>
      <c r="E66" s="159"/>
      <c r="F66" s="159"/>
      <c r="G66" s="159"/>
      <c r="H66" s="159"/>
    </row>
    <row r="67" spans="2:8" s="85" customFormat="1">
      <c r="B67" s="159"/>
      <c r="C67" s="159"/>
      <c r="D67" s="159"/>
      <c r="E67" s="159"/>
      <c r="F67" s="159"/>
      <c r="G67" s="159"/>
      <c r="H67" s="159"/>
    </row>
    <row r="68" spans="2:8" s="85" customFormat="1">
      <c r="B68" s="159"/>
      <c r="C68" s="159"/>
      <c r="D68" s="159"/>
      <c r="E68" s="159"/>
      <c r="F68" s="159"/>
      <c r="G68" s="159"/>
      <c r="H68" s="159"/>
    </row>
    <row r="69" spans="2:8" s="85" customFormat="1">
      <c r="B69" s="159"/>
      <c r="C69" s="159"/>
      <c r="D69" s="159"/>
      <c r="E69" s="159"/>
      <c r="F69" s="159"/>
      <c r="G69" s="159"/>
      <c r="H69" s="159"/>
    </row>
    <row r="70" spans="2:8" s="85" customFormat="1">
      <c r="B70" s="159"/>
      <c r="C70" s="159"/>
      <c r="D70" s="159"/>
      <c r="E70" s="159"/>
      <c r="F70" s="159"/>
      <c r="G70" s="159"/>
      <c r="H70" s="159"/>
    </row>
    <row r="71" spans="2:8" s="85" customFormat="1">
      <c r="B71" s="159"/>
      <c r="C71" s="159"/>
      <c r="D71" s="159"/>
      <c r="E71" s="159"/>
      <c r="F71" s="159"/>
      <c r="G71" s="159"/>
      <c r="H71" s="159"/>
    </row>
    <row r="72" spans="2:8" s="85" customFormat="1">
      <c r="B72" s="159"/>
      <c r="C72" s="159"/>
      <c r="D72" s="159"/>
      <c r="E72" s="159"/>
      <c r="F72" s="159"/>
      <c r="G72" s="159"/>
      <c r="H72" s="159"/>
    </row>
    <row r="73" spans="2:8" s="85" customFormat="1">
      <c r="B73" s="159"/>
      <c r="C73" s="159"/>
      <c r="D73" s="159"/>
      <c r="E73" s="159"/>
      <c r="F73" s="159"/>
      <c r="G73" s="159"/>
      <c r="H73" s="159"/>
    </row>
    <row r="74" spans="2:8" s="85" customFormat="1">
      <c r="B74" s="159"/>
      <c r="C74" s="159"/>
      <c r="D74" s="159"/>
      <c r="E74" s="159"/>
      <c r="F74" s="159"/>
      <c r="G74" s="159"/>
      <c r="H74" s="159"/>
    </row>
    <row r="75" spans="2:8">
      <c r="B75" s="159"/>
      <c r="C75" s="159"/>
      <c r="D75" s="159"/>
      <c r="E75" s="159"/>
      <c r="F75" s="159"/>
      <c r="G75" s="159"/>
      <c r="H75" s="159"/>
    </row>
    <row r="76" spans="2:8">
      <c r="B76" s="159"/>
      <c r="C76" s="159"/>
      <c r="D76" s="159"/>
      <c r="E76" s="159"/>
      <c r="F76" s="159"/>
      <c r="G76" s="159"/>
      <c r="H76" s="159"/>
    </row>
    <row r="77" spans="2:8">
      <c r="B77" s="159"/>
      <c r="C77" s="159"/>
      <c r="D77" s="159"/>
      <c r="E77" s="159"/>
      <c r="F77" s="159"/>
      <c r="G77" s="159"/>
      <c r="H77" s="159"/>
    </row>
    <row r="78" spans="2:8">
      <c r="B78" s="159"/>
      <c r="C78" s="159"/>
      <c r="D78" s="159"/>
      <c r="E78" s="159"/>
      <c r="F78" s="159"/>
      <c r="G78" s="159"/>
      <c r="H78" s="159"/>
    </row>
    <row r="79" spans="2:8">
      <c r="B79" s="159"/>
      <c r="C79" s="159"/>
      <c r="D79" s="159"/>
      <c r="E79" s="159"/>
      <c r="F79" s="159"/>
      <c r="G79" s="159"/>
      <c r="H79" s="159"/>
    </row>
    <row r="80" spans="2:8">
      <c r="B80" s="159"/>
      <c r="C80" s="159"/>
      <c r="D80" s="159"/>
      <c r="E80" s="159"/>
      <c r="F80" s="159"/>
      <c r="G80" s="159"/>
      <c r="H80" s="159"/>
    </row>
    <row r="81" spans="2:8">
      <c r="B81" s="159"/>
      <c r="C81" s="159"/>
      <c r="D81" s="159"/>
      <c r="E81" s="159"/>
      <c r="F81" s="159"/>
      <c r="G81" s="159"/>
      <c r="H81" s="159"/>
    </row>
    <row r="82" spans="2:8">
      <c r="B82" s="159"/>
      <c r="C82" s="159"/>
      <c r="D82" s="159"/>
      <c r="E82" s="159"/>
      <c r="F82" s="159"/>
      <c r="G82" s="159"/>
      <c r="H82" s="159"/>
    </row>
    <row r="83" spans="2:8">
      <c r="B83" s="159"/>
      <c r="C83" s="159"/>
      <c r="D83" s="159"/>
      <c r="E83" s="159"/>
      <c r="F83" s="159"/>
      <c r="G83" s="159"/>
      <c r="H83" s="159"/>
    </row>
    <row r="84" spans="2:8">
      <c r="B84" s="159"/>
      <c r="C84" s="159"/>
      <c r="D84" s="159"/>
      <c r="E84" s="159"/>
      <c r="F84" s="159"/>
      <c r="G84" s="159"/>
      <c r="H84" s="159"/>
    </row>
    <row r="85" spans="2:8">
      <c r="B85" s="159"/>
      <c r="C85" s="159"/>
      <c r="D85" s="159"/>
      <c r="E85" s="159"/>
      <c r="F85" s="159"/>
      <c r="G85" s="159"/>
      <c r="H85" s="159"/>
    </row>
    <row r="86" spans="2:8">
      <c r="B86" s="159"/>
      <c r="C86" s="159"/>
      <c r="D86" s="159"/>
      <c r="E86" s="159"/>
      <c r="F86" s="159"/>
      <c r="G86" s="159"/>
      <c r="H86" s="159"/>
    </row>
    <row r="87" spans="2:8">
      <c r="B87" s="159"/>
      <c r="C87" s="159"/>
      <c r="D87" s="159"/>
      <c r="E87" s="159"/>
      <c r="F87" s="159"/>
      <c r="G87" s="159"/>
      <c r="H87" s="159"/>
    </row>
    <row r="88" spans="2:8">
      <c r="B88" s="159"/>
      <c r="C88" s="159"/>
      <c r="D88" s="159"/>
      <c r="E88" s="159"/>
      <c r="F88" s="159"/>
      <c r="G88" s="159"/>
      <c r="H88" s="159"/>
    </row>
    <row r="89" spans="2:8">
      <c r="B89" s="159"/>
      <c r="C89" s="159"/>
      <c r="D89" s="159"/>
      <c r="E89" s="159"/>
      <c r="F89" s="159"/>
      <c r="G89" s="159"/>
      <c r="H89" s="159"/>
    </row>
    <row r="90" spans="2:8">
      <c r="B90" s="159"/>
      <c r="C90" s="159"/>
      <c r="D90" s="159"/>
      <c r="E90" s="159"/>
      <c r="F90" s="159"/>
      <c r="G90" s="159"/>
      <c r="H90" s="159"/>
    </row>
    <row r="91" spans="2:8">
      <c r="B91" s="160"/>
      <c r="C91" s="160"/>
      <c r="D91" s="160"/>
      <c r="E91" s="160"/>
      <c r="F91" s="160"/>
      <c r="G91" s="160"/>
      <c r="H91" s="160"/>
    </row>
    <row r="92" spans="2:8">
      <c r="B92" s="160"/>
      <c r="C92" s="160"/>
      <c r="D92" s="160"/>
      <c r="E92" s="160"/>
      <c r="F92" s="160"/>
      <c r="G92" s="160"/>
      <c r="H92" s="160"/>
    </row>
    <row r="93" spans="2:8">
      <c r="B93" s="160"/>
      <c r="C93" s="160"/>
      <c r="D93" s="160"/>
      <c r="E93" s="160"/>
      <c r="F93" s="160"/>
      <c r="G93" s="160"/>
      <c r="H93" s="160"/>
    </row>
    <row r="94" spans="2:8">
      <c r="B94" s="160"/>
      <c r="C94" s="160"/>
      <c r="D94" s="160"/>
      <c r="E94" s="160"/>
      <c r="F94" s="160"/>
      <c r="G94" s="160"/>
      <c r="H94" s="160"/>
    </row>
    <row r="95" spans="2:8">
      <c r="B95" s="160"/>
      <c r="C95" s="160"/>
      <c r="D95" s="160"/>
      <c r="E95" s="160"/>
      <c r="F95" s="160"/>
      <c r="G95" s="160"/>
      <c r="H95" s="160"/>
    </row>
    <row r="96" spans="2:8">
      <c r="B96" s="160"/>
      <c r="C96" s="160"/>
      <c r="D96" s="160"/>
      <c r="E96" s="160"/>
      <c r="F96" s="160"/>
      <c r="G96" s="160"/>
      <c r="H96" s="160"/>
    </row>
    <row r="97" spans="2:8">
      <c r="B97" s="160"/>
      <c r="C97" s="160"/>
      <c r="D97" s="160"/>
      <c r="E97" s="160"/>
      <c r="F97" s="160"/>
      <c r="G97" s="160"/>
      <c r="H97" s="160"/>
    </row>
    <row r="98" spans="2:8">
      <c r="B98" s="160"/>
      <c r="C98" s="160"/>
      <c r="D98" s="160"/>
      <c r="E98" s="160"/>
      <c r="F98" s="160"/>
      <c r="G98" s="160"/>
      <c r="H98" s="160"/>
    </row>
    <row r="99" spans="2:8">
      <c r="B99" s="160"/>
      <c r="C99" s="160"/>
      <c r="D99" s="160"/>
      <c r="E99" s="160"/>
      <c r="F99" s="160"/>
      <c r="G99" s="160"/>
      <c r="H99" s="160"/>
    </row>
    <row r="100" spans="2:8">
      <c r="B100" s="160"/>
      <c r="C100" s="160"/>
      <c r="D100" s="160"/>
      <c r="E100" s="160"/>
      <c r="F100" s="160"/>
      <c r="G100" s="160"/>
      <c r="H100" s="160"/>
    </row>
    <row r="101" spans="2:8">
      <c r="B101" s="160"/>
      <c r="C101" s="160"/>
      <c r="D101" s="160"/>
      <c r="E101" s="160"/>
      <c r="F101" s="160"/>
      <c r="G101" s="160"/>
      <c r="H101" s="160"/>
    </row>
    <row r="102" spans="2:8">
      <c r="B102" s="160"/>
      <c r="C102" s="160"/>
      <c r="D102" s="160"/>
      <c r="E102" s="160"/>
      <c r="F102" s="160"/>
      <c r="G102" s="160"/>
      <c r="H102" s="160"/>
    </row>
    <row r="103" spans="2:8">
      <c r="B103" s="160"/>
      <c r="C103" s="160"/>
      <c r="D103" s="160"/>
      <c r="E103" s="160"/>
      <c r="F103" s="160"/>
      <c r="G103" s="160"/>
      <c r="H103" s="160"/>
    </row>
    <row r="104" spans="2:8">
      <c r="B104" s="160"/>
      <c r="C104" s="160"/>
      <c r="D104" s="160"/>
      <c r="E104" s="160"/>
      <c r="F104" s="160"/>
      <c r="G104" s="160"/>
      <c r="H104" s="160"/>
    </row>
    <row r="105" spans="2:8">
      <c r="B105" s="160"/>
      <c r="C105" s="160"/>
      <c r="D105" s="160"/>
      <c r="E105" s="160"/>
      <c r="F105" s="160"/>
      <c r="G105" s="160"/>
      <c r="H105" s="160"/>
    </row>
    <row r="106" spans="2:8">
      <c r="B106" s="160"/>
      <c r="C106" s="160"/>
      <c r="D106" s="160"/>
      <c r="E106" s="160"/>
      <c r="F106" s="160"/>
      <c r="G106" s="160"/>
      <c r="H106" s="160"/>
    </row>
    <row r="107" spans="2:8">
      <c r="B107" s="160"/>
      <c r="C107" s="160"/>
      <c r="D107" s="160"/>
      <c r="E107" s="160"/>
      <c r="F107" s="160"/>
      <c r="G107" s="160"/>
      <c r="H107" s="160"/>
    </row>
    <row r="108" spans="2:8">
      <c r="B108" s="160"/>
      <c r="C108" s="160"/>
      <c r="D108" s="160"/>
      <c r="E108" s="160"/>
      <c r="F108" s="160"/>
      <c r="G108" s="160"/>
      <c r="H108" s="160"/>
    </row>
    <row r="109" spans="2:8">
      <c r="B109" s="160"/>
      <c r="C109" s="160"/>
      <c r="D109" s="160"/>
      <c r="E109" s="160"/>
      <c r="F109" s="160"/>
      <c r="G109" s="160"/>
      <c r="H109" s="160"/>
    </row>
    <row r="110" spans="2:8">
      <c r="B110" s="160"/>
      <c r="C110" s="160"/>
      <c r="D110" s="160"/>
      <c r="E110" s="160"/>
      <c r="F110" s="160"/>
      <c r="G110" s="160"/>
      <c r="H110" s="160"/>
    </row>
    <row r="111" spans="2:8">
      <c r="B111" s="160"/>
      <c r="C111" s="160"/>
      <c r="D111" s="160"/>
      <c r="E111" s="160"/>
      <c r="F111" s="160"/>
      <c r="G111" s="160"/>
      <c r="H111" s="160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5AA9-FEFD-49FD-8983-FC08D80836C9}">
  <dimension ref="A1:X103"/>
  <sheetViews>
    <sheetView showGridLines="0" zoomScale="50" zoomScaleNormal="50" workbookViewId="0">
      <pane ySplit="1" topLeftCell="A2" activePane="bottomLeft" state="frozen"/>
      <selection activeCell="B1" sqref="B1"/>
      <selection pane="bottomLeft" activeCell="D104" sqref="D104"/>
    </sheetView>
  </sheetViews>
  <sheetFormatPr defaultColWidth="9.33203125" defaultRowHeight="58.35" customHeight="1"/>
  <cols>
    <col min="1" max="1" width="8.109375" style="1" customWidth="1"/>
    <col min="2" max="2" width="17.21875" style="114" customWidth="1"/>
    <col min="3" max="3" width="65.21875" style="200" customWidth="1"/>
    <col min="4" max="4" width="35.21875" style="260" customWidth="1"/>
    <col min="5" max="5" width="33.77734375" style="2" customWidth="1"/>
    <col min="6" max="6" width="19.33203125" style="263" customWidth="1"/>
    <col min="7" max="7" width="15.88671875" style="61" customWidth="1"/>
    <col min="8" max="8" width="16.33203125" style="61" customWidth="1"/>
    <col min="9" max="9" width="15.5546875" style="61" customWidth="1"/>
    <col min="10" max="10" width="14.88671875" style="263" customWidth="1"/>
    <col min="11" max="11" width="15.33203125" style="61" customWidth="1"/>
    <col min="12" max="12" width="16.88671875" style="263" customWidth="1"/>
    <col min="13" max="13" width="14.33203125" style="2" customWidth="1"/>
    <col min="14" max="14" width="50.44140625" style="265" customWidth="1"/>
    <col min="15" max="15" width="28.77734375" style="2" customWidth="1"/>
    <col min="16" max="16" width="46.33203125" style="10" customWidth="1"/>
    <col min="17" max="16384" width="9.33203125" style="10"/>
  </cols>
  <sheetData>
    <row r="1" spans="1:24" ht="58.35" customHeight="1">
      <c r="C1" s="200" t="s">
        <v>4146</v>
      </c>
      <c r="E1" s="161"/>
    </row>
    <row r="2" spans="1:24" ht="58.35" customHeight="1">
      <c r="D2" s="591"/>
      <c r="E2" s="591"/>
      <c r="F2" s="591"/>
      <c r="G2" s="591"/>
      <c r="H2" s="591"/>
      <c r="I2" s="591"/>
      <c r="J2" s="592"/>
      <c r="K2" s="591"/>
      <c r="L2" s="592"/>
      <c r="M2" s="591"/>
      <c r="N2" s="591"/>
      <c r="O2" s="591"/>
    </row>
    <row r="3" spans="1:24" ht="46.35" customHeight="1">
      <c r="B3" s="80"/>
      <c r="C3" s="593" t="s">
        <v>4147</v>
      </c>
      <c r="D3" s="594"/>
      <c r="E3" s="594"/>
      <c r="F3" s="594"/>
      <c r="G3" s="594"/>
      <c r="H3" s="594"/>
      <c r="I3" s="595"/>
      <c r="J3" s="596"/>
      <c r="K3" s="595"/>
      <c r="L3" s="596"/>
      <c r="M3" s="594"/>
      <c r="N3" s="594"/>
      <c r="O3" s="594"/>
      <c r="P3" s="597"/>
      <c r="Q3" s="597"/>
      <c r="R3" s="597"/>
      <c r="S3" s="597"/>
      <c r="T3" s="597"/>
      <c r="U3" s="597"/>
      <c r="V3" s="597"/>
      <c r="W3" s="597"/>
      <c r="X3" s="597"/>
    </row>
    <row r="4" spans="1:24" ht="156.6">
      <c r="C4" s="230" t="s">
        <v>4132</v>
      </c>
      <c r="D4" s="185" t="s">
        <v>4133</v>
      </c>
      <c r="E4" s="230" t="s">
        <v>4134</v>
      </c>
      <c r="F4" s="225" t="s">
        <v>4135</v>
      </c>
      <c r="G4" s="225" t="s">
        <v>4136</v>
      </c>
      <c r="H4" s="235" t="s">
        <v>4137</v>
      </c>
      <c r="I4" s="236" t="s">
        <v>4138</v>
      </c>
      <c r="J4" s="6" t="s">
        <v>4148</v>
      </c>
      <c r="K4" s="6" t="s">
        <v>4149</v>
      </c>
      <c r="L4" s="6" t="s">
        <v>4150</v>
      </c>
      <c r="M4" s="6" t="s">
        <v>4151</v>
      </c>
      <c r="N4" s="261" t="s">
        <v>4152</v>
      </c>
      <c r="O4" s="185" t="s">
        <v>4153</v>
      </c>
    </row>
    <row r="5" spans="1:24" s="96" customFormat="1" ht="58.35" customHeight="1">
      <c r="A5" s="598" t="s">
        <v>4154</v>
      </c>
      <c r="B5" s="234"/>
      <c r="C5" s="557" t="s">
        <v>4155</v>
      </c>
      <c r="D5" s="557" t="s">
        <v>4156</v>
      </c>
      <c r="E5" s="558" t="s">
        <v>4771</v>
      </c>
      <c r="F5" s="559">
        <v>900</v>
      </c>
      <c r="G5" s="559">
        <f t="shared" ref="G5:G18" si="0">F5/30</f>
        <v>30</v>
      </c>
      <c r="H5" s="559">
        <v>4</v>
      </c>
      <c r="I5" s="559">
        <v>6</v>
      </c>
      <c r="J5" s="559">
        <v>0</v>
      </c>
      <c r="K5" s="559">
        <v>27</v>
      </c>
      <c r="L5" s="559">
        <f t="shared" ref="L5:L17" si="1">F5-(J5+K5*30)</f>
        <v>90</v>
      </c>
      <c r="M5" s="560">
        <f t="shared" ref="M5:M62" si="2">L5/F5</f>
        <v>0.1</v>
      </c>
      <c r="N5" s="562" t="str">
        <f>CONCATENATE(C5, " ", "-", " ", "Unlimited - Smart 200")</f>
        <v>Apple iPhone 17 256GB - Black - Unlimited - Smart 200</v>
      </c>
      <c r="O5" s="561" t="s">
        <v>4860</v>
      </c>
      <c r="P5" s="272"/>
    </row>
    <row r="6" spans="1:24" s="82" customFormat="1" ht="58.35" customHeight="1">
      <c r="A6" s="599"/>
      <c r="B6" s="234"/>
      <c r="C6" s="557" t="s">
        <v>4158</v>
      </c>
      <c r="D6" s="557" t="s">
        <v>4159</v>
      </c>
      <c r="E6" s="558" t="s">
        <v>4771</v>
      </c>
      <c r="F6" s="559">
        <v>900</v>
      </c>
      <c r="G6" s="559">
        <f t="shared" si="0"/>
        <v>30</v>
      </c>
      <c r="H6" s="559">
        <v>4</v>
      </c>
      <c r="I6" s="559">
        <v>6</v>
      </c>
      <c r="J6" s="559">
        <v>0</v>
      </c>
      <c r="K6" s="559">
        <v>27</v>
      </c>
      <c r="L6" s="559">
        <f t="shared" si="1"/>
        <v>90</v>
      </c>
      <c r="M6" s="560">
        <f t="shared" si="2"/>
        <v>0.1</v>
      </c>
      <c r="N6" s="562" t="str">
        <f>CONCATENATE(C6, " ", "-", " ", "Unlimited - Smart 200")</f>
        <v>Apple iPhone 17 256GB - White - Unlimited - Smart 200</v>
      </c>
      <c r="O6" s="561" t="s">
        <v>4861</v>
      </c>
    </row>
    <row r="7" spans="1:24" ht="58.35" customHeight="1">
      <c r="A7" s="599"/>
      <c r="B7" s="234"/>
      <c r="C7" s="557" t="s">
        <v>4160</v>
      </c>
      <c r="D7" s="557" t="s">
        <v>4161</v>
      </c>
      <c r="E7" s="558" t="s">
        <v>4771</v>
      </c>
      <c r="F7" s="559">
        <v>900</v>
      </c>
      <c r="G7" s="559">
        <f t="shared" si="0"/>
        <v>30</v>
      </c>
      <c r="H7" s="559">
        <v>4</v>
      </c>
      <c r="I7" s="559">
        <v>6</v>
      </c>
      <c r="J7" s="559">
        <v>0</v>
      </c>
      <c r="K7" s="559">
        <v>27</v>
      </c>
      <c r="L7" s="559">
        <f t="shared" si="1"/>
        <v>90</v>
      </c>
      <c r="M7" s="560">
        <f t="shared" si="2"/>
        <v>0.1</v>
      </c>
      <c r="N7" s="562" t="str">
        <f>CONCATENATE(C7, " ", "-", " ", "Unlimited - Smart 200")</f>
        <v>Apple iPhone 17 256GB - Mist Blue - Unlimited - Smart 200</v>
      </c>
      <c r="O7" s="561" t="s">
        <v>4862</v>
      </c>
    </row>
    <row r="8" spans="1:24" ht="58.35" customHeight="1">
      <c r="A8" s="599"/>
      <c r="B8" s="233"/>
      <c r="C8" s="557" t="s">
        <v>4162</v>
      </c>
      <c r="D8" s="557" t="s">
        <v>4163</v>
      </c>
      <c r="E8" s="558" t="s">
        <v>4771</v>
      </c>
      <c r="F8" s="559">
        <v>1080</v>
      </c>
      <c r="G8" s="559">
        <f>F8/30</f>
        <v>36</v>
      </c>
      <c r="H8" s="559">
        <v>4</v>
      </c>
      <c r="I8" s="559">
        <v>6</v>
      </c>
      <c r="J8" s="559">
        <v>0</v>
      </c>
      <c r="K8" s="563">
        <v>33</v>
      </c>
      <c r="L8" s="559">
        <f>F8-(J8+K8*30)</f>
        <v>90</v>
      </c>
      <c r="M8" s="560">
        <f>L8/F8</f>
        <v>8.3333333333333329E-2</v>
      </c>
      <c r="N8" s="562" t="str">
        <f>CONCATENATE(C8, " ", "-", " ", "Unlimited - Smart 200")</f>
        <v>Apple iPhone Air 256GB - Space Black - Unlimited - Smart 200</v>
      </c>
      <c r="O8" s="561" t="s">
        <v>4863</v>
      </c>
    </row>
    <row r="9" spans="1:24" s="98" customFormat="1" ht="58.35" customHeight="1">
      <c r="A9" s="599"/>
      <c r="B9" s="233"/>
      <c r="C9" s="557" t="s">
        <v>4164</v>
      </c>
      <c r="D9" s="557" t="s">
        <v>4165</v>
      </c>
      <c r="E9" s="558" t="s">
        <v>4771</v>
      </c>
      <c r="F9" s="559">
        <v>1080</v>
      </c>
      <c r="G9" s="559">
        <f>F9/30</f>
        <v>36</v>
      </c>
      <c r="H9" s="559">
        <v>4</v>
      </c>
      <c r="I9" s="559">
        <v>6</v>
      </c>
      <c r="J9" s="559">
        <v>0</v>
      </c>
      <c r="K9" s="563">
        <v>33</v>
      </c>
      <c r="L9" s="559">
        <f>F9-(J9+K9*30)</f>
        <v>90</v>
      </c>
      <c r="M9" s="560">
        <f>L9/F9</f>
        <v>8.3333333333333329E-2</v>
      </c>
      <c r="N9" s="562" t="str">
        <f t="shared" ref="N9:N67" si="3">CONCATENATE(C9, " ", "-", " ", "Unlimited - Smart 200")</f>
        <v>Apple iPhone Air 256GB - Cloud White - Unlimited - Smart 200</v>
      </c>
      <c r="O9" s="561" t="s">
        <v>4864</v>
      </c>
    </row>
    <row r="10" spans="1:24" s="98" customFormat="1" ht="58.35" customHeight="1">
      <c r="A10" s="599"/>
      <c r="B10" s="233"/>
      <c r="C10" s="557" t="s">
        <v>4166</v>
      </c>
      <c r="D10" s="557" t="s">
        <v>4167</v>
      </c>
      <c r="E10" s="558" t="s">
        <v>4771</v>
      </c>
      <c r="F10" s="559">
        <v>1080</v>
      </c>
      <c r="G10" s="559">
        <f>F10/30</f>
        <v>36</v>
      </c>
      <c r="H10" s="559">
        <v>4</v>
      </c>
      <c r="I10" s="559">
        <v>6</v>
      </c>
      <c r="J10" s="559">
        <v>0</v>
      </c>
      <c r="K10" s="563">
        <v>33</v>
      </c>
      <c r="L10" s="559">
        <f>F10-(J10+K10*30)</f>
        <v>90</v>
      </c>
      <c r="M10" s="560">
        <f>L10/F10</f>
        <v>8.3333333333333329E-2</v>
      </c>
      <c r="N10" s="562" t="str">
        <f t="shared" si="3"/>
        <v>Apple iPhone Air 256GB - Light Gold - Unlimited - Smart 200</v>
      </c>
      <c r="O10" s="561" t="s">
        <v>4865</v>
      </c>
    </row>
    <row r="11" spans="1:24" s="98" customFormat="1" ht="58.2" customHeight="1">
      <c r="A11" s="599"/>
      <c r="B11" s="573"/>
      <c r="C11" s="149" t="s">
        <v>4168</v>
      </c>
      <c r="D11" s="149" t="s">
        <v>4169</v>
      </c>
      <c r="E11" s="143" t="s">
        <v>4771</v>
      </c>
      <c r="F11" s="144">
        <v>1020</v>
      </c>
      <c r="G11" s="144">
        <f t="shared" si="0"/>
        <v>34</v>
      </c>
      <c r="H11" s="144">
        <v>4</v>
      </c>
      <c r="I11" s="144">
        <v>6</v>
      </c>
      <c r="J11" s="144">
        <v>0</v>
      </c>
      <c r="K11" s="144">
        <v>31</v>
      </c>
      <c r="L11" s="144">
        <f t="shared" si="1"/>
        <v>90</v>
      </c>
      <c r="M11" s="145">
        <f t="shared" si="2"/>
        <v>8.8235294117647065E-2</v>
      </c>
      <c r="N11" s="146" t="str">
        <f t="shared" si="3"/>
        <v>Apple iPhone 17 Pro 256GB - Silver - Unlimited - Smart 200</v>
      </c>
      <c r="O11" s="244" t="s">
        <v>4782</v>
      </c>
    </row>
    <row r="12" spans="1:24" s="98" customFormat="1" ht="58.35" customHeight="1">
      <c r="A12" s="599"/>
      <c r="B12" s="573"/>
      <c r="C12" s="149" t="s">
        <v>4170</v>
      </c>
      <c r="D12" s="149" t="s">
        <v>4171</v>
      </c>
      <c r="E12" s="143" t="s">
        <v>4771</v>
      </c>
      <c r="F12" s="144">
        <v>1020</v>
      </c>
      <c r="G12" s="144">
        <f t="shared" si="0"/>
        <v>34</v>
      </c>
      <c r="H12" s="144">
        <v>4</v>
      </c>
      <c r="I12" s="144">
        <v>6</v>
      </c>
      <c r="J12" s="144">
        <v>0</v>
      </c>
      <c r="K12" s="144">
        <v>31</v>
      </c>
      <c r="L12" s="144">
        <f t="shared" si="1"/>
        <v>90</v>
      </c>
      <c r="M12" s="145">
        <f t="shared" si="2"/>
        <v>8.8235294117647065E-2</v>
      </c>
      <c r="N12" s="146" t="str">
        <f t="shared" si="3"/>
        <v>Apple iPhone 17 Pro 256GB - Cosmic Orange - Unlimited - Smart 200</v>
      </c>
      <c r="O12" s="244" t="s">
        <v>4783</v>
      </c>
    </row>
    <row r="13" spans="1:24" s="98" customFormat="1" ht="58.35" customHeight="1">
      <c r="A13" s="599"/>
      <c r="B13" s="573"/>
      <c r="C13" s="149" t="s">
        <v>4172</v>
      </c>
      <c r="D13" s="149" t="s">
        <v>4173</v>
      </c>
      <c r="E13" s="143" t="s">
        <v>4771</v>
      </c>
      <c r="F13" s="144">
        <v>1020</v>
      </c>
      <c r="G13" s="144">
        <f t="shared" si="0"/>
        <v>34</v>
      </c>
      <c r="H13" s="144">
        <v>4</v>
      </c>
      <c r="I13" s="144">
        <v>6</v>
      </c>
      <c r="J13" s="144">
        <v>0</v>
      </c>
      <c r="K13" s="144">
        <v>31</v>
      </c>
      <c r="L13" s="144">
        <f t="shared" si="1"/>
        <v>90</v>
      </c>
      <c r="M13" s="145">
        <f t="shared" si="2"/>
        <v>8.8235294117647065E-2</v>
      </c>
      <c r="N13" s="146" t="str">
        <f t="shared" si="3"/>
        <v>Apple iPhone 17 Pro 256GB - Deep Blue - Unlimited - Smart 200</v>
      </c>
      <c r="O13" s="244" t="s">
        <v>4784</v>
      </c>
    </row>
    <row r="14" spans="1:24" s="98" customFormat="1" ht="58.35" customHeight="1">
      <c r="A14" s="599"/>
      <c r="B14" s="573"/>
      <c r="C14" s="149" t="s">
        <v>4174</v>
      </c>
      <c r="D14" s="149" t="s">
        <v>4175</v>
      </c>
      <c r="E14" s="143" t="s">
        <v>4771</v>
      </c>
      <c r="F14" s="144">
        <v>1110</v>
      </c>
      <c r="G14" s="144">
        <f t="shared" si="0"/>
        <v>37</v>
      </c>
      <c r="H14" s="144">
        <v>4</v>
      </c>
      <c r="I14" s="144">
        <v>6</v>
      </c>
      <c r="J14" s="144">
        <v>0</v>
      </c>
      <c r="K14" s="144">
        <v>34</v>
      </c>
      <c r="L14" s="144">
        <f t="shared" si="1"/>
        <v>90</v>
      </c>
      <c r="M14" s="145">
        <f t="shared" si="2"/>
        <v>8.1081081081081086E-2</v>
      </c>
      <c r="N14" s="146" t="str">
        <f t="shared" si="3"/>
        <v>Apple iPhone 17 Pro Max 256GB - Silver - Unlimited - Smart 200</v>
      </c>
      <c r="O14" s="244" t="s">
        <v>4785</v>
      </c>
    </row>
    <row r="15" spans="1:24" s="98" customFormat="1" ht="58.35" customHeight="1">
      <c r="A15" s="599"/>
      <c r="B15" s="573"/>
      <c r="C15" s="149" t="s">
        <v>4176</v>
      </c>
      <c r="D15" s="149" t="s">
        <v>4177</v>
      </c>
      <c r="E15" s="143" t="s">
        <v>4771</v>
      </c>
      <c r="F15" s="144">
        <v>1110</v>
      </c>
      <c r="G15" s="144">
        <f t="shared" si="0"/>
        <v>37</v>
      </c>
      <c r="H15" s="144">
        <v>4</v>
      </c>
      <c r="I15" s="144">
        <v>6</v>
      </c>
      <c r="J15" s="144">
        <v>0</v>
      </c>
      <c r="K15" s="144">
        <v>34</v>
      </c>
      <c r="L15" s="144">
        <f t="shared" si="1"/>
        <v>90</v>
      </c>
      <c r="M15" s="145">
        <f t="shared" si="2"/>
        <v>8.1081081081081086E-2</v>
      </c>
      <c r="N15" s="146" t="str">
        <f t="shared" si="3"/>
        <v>Apple iPhone 17 Pro Max 256GB - Cosmic Orange - Unlimited - Smart 200</v>
      </c>
      <c r="O15" s="244" t="s">
        <v>4786</v>
      </c>
    </row>
    <row r="16" spans="1:24" s="98" customFormat="1" ht="58.35" customHeight="1">
      <c r="A16" s="599"/>
      <c r="B16" s="573"/>
      <c r="C16" s="149" t="s">
        <v>4178</v>
      </c>
      <c r="D16" s="149" t="s">
        <v>4179</v>
      </c>
      <c r="E16" s="143" t="s">
        <v>4771</v>
      </c>
      <c r="F16" s="144">
        <v>1110</v>
      </c>
      <c r="G16" s="144">
        <f t="shared" si="0"/>
        <v>37</v>
      </c>
      <c r="H16" s="144">
        <v>4</v>
      </c>
      <c r="I16" s="144">
        <v>6</v>
      </c>
      <c r="J16" s="144">
        <v>0</v>
      </c>
      <c r="K16" s="144">
        <v>34</v>
      </c>
      <c r="L16" s="144">
        <f t="shared" si="1"/>
        <v>90</v>
      </c>
      <c r="M16" s="145">
        <f t="shared" si="2"/>
        <v>8.1081081081081086E-2</v>
      </c>
      <c r="N16" s="146" t="str">
        <f t="shared" si="3"/>
        <v>Apple iPhone 17 Pro Max 256GB - Deep Blue - Unlimited - Smart 200</v>
      </c>
      <c r="O16" s="244" t="s">
        <v>4787</v>
      </c>
    </row>
    <row r="17" spans="1:15" s="98" customFormat="1" ht="58.35" customHeight="1">
      <c r="A17" s="599"/>
      <c r="B17" s="232"/>
      <c r="C17" s="564" t="s">
        <v>4180</v>
      </c>
      <c r="D17" s="564" t="s">
        <v>4181</v>
      </c>
      <c r="E17" s="565" t="s">
        <v>4771</v>
      </c>
      <c r="F17" s="563">
        <v>690</v>
      </c>
      <c r="G17" s="563">
        <f t="shared" si="0"/>
        <v>23</v>
      </c>
      <c r="H17" s="563">
        <v>4</v>
      </c>
      <c r="I17" s="563">
        <v>6</v>
      </c>
      <c r="J17" s="563">
        <v>0</v>
      </c>
      <c r="K17" s="563">
        <v>20</v>
      </c>
      <c r="L17" s="563">
        <f t="shared" si="1"/>
        <v>90</v>
      </c>
      <c r="M17" s="566">
        <f t="shared" si="2"/>
        <v>0.13043478260869565</v>
      </c>
      <c r="N17" s="567" t="str">
        <f t="shared" si="3"/>
        <v>Apple iPhone 17e 256GB - Black - Unlimited - Smart 200</v>
      </c>
      <c r="O17" s="568" t="s">
        <v>4866</v>
      </c>
    </row>
    <row r="18" spans="1:15" s="98" customFormat="1" ht="58.35" customHeight="1">
      <c r="A18" s="599"/>
      <c r="B18" s="232"/>
      <c r="C18" s="564" t="s">
        <v>4182</v>
      </c>
      <c r="D18" s="564" t="s">
        <v>4183</v>
      </c>
      <c r="E18" s="565" t="s">
        <v>4771</v>
      </c>
      <c r="F18" s="563">
        <v>690</v>
      </c>
      <c r="G18" s="563">
        <f t="shared" si="0"/>
        <v>23</v>
      </c>
      <c r="H18" s="563">
        <v>4</v>
      </c>
      <c r="I18" s="563">
        <v>6</v>
      </c>
      <c r="J18" s="563">
        <v>0</v>
      </c>
      <c r="K18" s="563">
        <v>20</v>
      </c>
      <c r="L18" s="563">
        <f>F18-(J18+K18*30)</f>
        <v>90</v>
      </c>
      <c r="M18" s="566">
        <f t="shared" si="2"/>
        <v>0.13043478260869565</v>
      </c>
      <c r="N18" s="567" t="str">
        <f t="shared" si="3"/>
        <v>Apple iPhone 17e 256GB - White - Unlimited - Smart 200</v>
      </c>
      <c r="O18" s="568" t="s">
        <v>4867</v>
      </c>
    </row>
    <row r="19" spans="1:15" s="98" customFormat="1" ht="58.35" customHeight="1">
      <c r="A19" s="599"/>
      <c r="B19" s="232"/>
      <c r="C19" s="564" t="s">
        <v>4184</v>
      </c>
      <c r="D19" s="564" t="s">
        <v>4185</v>
      </c>
      <c r="E19" s="565" t="s">
        <v>4771</v>
      </c>
      <c r="F19" s="563">
        <v>840</v>
      </c>
      <c r="G19" s="563">
        <f>F19/30</f>
        <v>28</v>
      </c>
      <c r="H19" s="563">
        <v>4</v>
      </c>
      <c r="I19" s="563">
        <v>6</v>
      </c>
      <c r="J19" s="563">
        <v>0</v>
      </c>
      <c r="K19" s="563">
        <v>24</v>
      </c>
      <c r="L19" s="563">
        <f t="shared" ref="L19:L20" si="4">F19-(J19+K19*30)</f>
        <v>120</v>
      </c>
      <c r="M19" s="566">
        <f t="shared" si="2"/>
        <v>0.14285714285714285</v>
      </c>
      <c r="N19" s="567" t="str">
        <f t="shared" si="3"/>
        <v>Apple iPhone 16 128GB - Nero - Unlimited - Smart 200</v>
      </c>
      <c r="O19" s="568" t="s">
        <v>4868</v>
      </c>
    </row>
    <row r="20" spans="1:15" s="98" customFormat="1" ht="58.35" customHeight="1">
      <c r="A20" s="599"/>
      <c r="B20" s="232"/>
      <c r="C20" s="564" t="s">
        <v>4186</v>
      </c>
      <c r="D20" s="564" t="s">
        <v>4187</v>
      </c>
      <c r="E20" s="565" t="s">
        <v>4771</v>
      </c>
      <c r="F20" s="563">
        <v>570</v>
      </c>
      <c r="G20" s="563">
        <f t="shared" ref="G20:G69" si="5">F20/30</f>
        <v>19</v>
      </c>
      <c r="H20" s="563">
        <v>4</v>
      </c>
      <c r="I20" s="563">
        <v>6</v>
      </c>
      <c r="J20" s="563">
        <v>0</v>
      </c>
      <c r="K20" s="563">
        <v>15</v>
      </c>
      <c r="L20" s="563">
        <f t="shared" si="4"/>
        <v>120</v>
      </c>
      <c r="M20" s="566">
        <f t="shared" si="2"/>
        <v>0.21052631578947367</v>
      </c>
      <c r="N20" s="567" t="str">
        <f t="shared" si="3"/>
        <v>Apple iPhone 16e 128GB - Black - Unlimited - Smart 200</v>
      </c>
      <c r="O20" s="568" t="s">
        <v>4869</v>
      </c>
    </row>
    <row r="21" spans="1:15" s="98" customFormat="1" ht="58.35" customHeight="1">
      <c r="A21" s="599"/>
      <c r="B21" s="233"/>
      <c r="C21" s="564" t="s">
        <v>4188</v>
      </c>
      <c r="D21" s="569" t="s">
        <v>4189</v>
      </c>
      <c r="E21" s="565" t="s">
        <v>4771</v>
      </c>
      <c r="F21" s="563">
        <v>570</v>
      </c>
      <c r="G21" s="563">
        <f t="shared" si="5"/>
        <v>19</v>
      </c>
      <c r="H21" s="563">
        <v>4</v>
      </c>
      <c r="I21" s="563">
        <v>6</v>
      </c>
      <c r="J21" s="563">
        <v>0</v>
      </c>
      <c r="K21" s="563">
        <v>15</v>
      </c>
      <c r="L21" s="563">
        <f>F21-(J21+K21*30)</f>
        <v>120</v>
      </c>
      <c r="M21" s="566">
        <f t="shared" si="2"/>
        <v>0.21052631578947367</v>
      </c>
      <c r="N21" s="567" t="str">
        <f t="shared" si="3"/>
        <v>Apple iPhone 16e 128GB - White - Unlimited - Smart 200</v>
      </c>
      <c r="O21" s="568" t="s">
        <v>4870</v>
      </c>
    </row>
    <row r="22" spans="1:15" s="98" customFormat="1" ht="58.35" customHeight="1">
      <c r="A22" s="600" t="s">
        <v>4190</v>
      </c>
      <c r="B22" s="574"/>
      <c r="C22" s="149" t="s">
        <v>4191</v>
      </c>
      <c r="D22" s="149" t="s">
        <v>4192</v>
      </c>
      <c r="E22" s="143" t="s">
        <v>4771</v>
      </c>
      <c r="F22" s="144">
        <v>1890</v>
      </c>
      <c r="G22" s="144">
        <f t="shared" si="5"/>
        <v>63</v>
      </c>
      <c r="H22" s="144">
        <v>4</v>
      </c>
      <c r="I22" s="144">
        <v>6</v>
      </c>
      <c r="J22" s="144">
        <v>0</v>
      </c>
      <c r="K22" s="144">
        <v>59</v>
      </c>
      <c r="L22" s="144">
        <f t="shared" ref="L22:L80" si="6">F22-(J22+K22*30)</f>
        <v>120</v>
      </c>
      <c r="M22" s="145">
        <f t="shared" si="2"/>
        <v>6.3492063492063489E-2</v>
      </c>
      <c r="N22" s="146" t="str">
        <f t="shared" si="3"/>
        <v>Samsung Galaxy Z Fold8 Ultra 1 TB - Graphite - Unlimited - Smart 200</v>
      </c>
      <c r="O22" s="244" t="s">
        <v>4788</v>
      </c>
    </row>
    <row r="23" spans="1:15" s="98" customFormat="1" ht="58.35" customHeight="1">
      <c r="A23" s="590"/>
      <c r="B23" s="574"/>
      <c r="C23" s="149" t="s">
        <v>4193</v>
      </c>
      <c r="D23" s="149" t="s">
        <v>4194</v>
      </c>
      <c r="E23" s="143" t="s">
        <v>4771</v>
      </c>
      <c r="F23" s="144">
        <v>1890</v>
      </c>
      <c r="G23" s="144">
        <f t="shared" si="5"/>
        <v>63</v>
      </c>
      <c r="H23" s="144">
        <v>4</v>
      </c>
      <c r="I23" s="144">
        <v>6</v>
      </c>
      <c r="J23" s="144">
        <v>0</v>
      </c>
      <c r="K23" s="144">
        <v>59</v>
      </c>
      <c r="L23" s="144">
        <f t="shared" si="6"/>
        <v>120</v>
      </c>
      <c r="M23" s="145">
        <f t="shared" si="2"/>
        <v>6.3492063492063489E-2</v>
      </c>
      <c r="N23" s="146" t="str">
        <f t="shared" si="3"/>
        <v>Samsung Galaxy Z Fold8 Ultra 1 TB - Violet Shadow - Unlimited - Smart 200</v>
      </c>
      <c r="O23" s="244" t="s">
        <v>4789</v>
      </c>
    </row>
    <row r="24" spans="1:15" s="98" customFormat="1" ht="58.35" customHeight="1">
      <c r="A24" s="590"/>
      <c r="B24" s="574"/>
      <c r="C24" s="149" t="s">
        <v>4195</v>
      </c>
      <c r="D24" s="149" t="s">
        <v>4196</v>
      </c>
      <c r="E24" s="143" t="s">
        <v>4771</v>
      </c>
      <c r="F24" s="144">
        <v>1680</v>
      </c>
      <c r="G24" s="144">
        <f t="shared" si="5"/>
        <v>56</v>
      </c>
      <c r="H24" s="144">
        <v>4</v>
      </c>
      <c r="I24" s="144">
        <v>6</v>
      </c>
      <c r="J24" s="144">
        <v>0</v>
      </c>
      <c r="K24" s="144">
        <v>52</v>
      </c>
      <c r="L24" s="144">
        <f t="shared" si="6"/>
        <v>120</v>
      </c>
      <c r="M24" s="145">
        <f t="shared" si="2"/>
        <v>7.1428571428571425E-2</v>
      </c>
      <c r="N24" s="146" t="str">
        <f t="shared" si="3"/>
        <v>Samsung Galaxy Z Fold8 Ultra 512GB - Graphite - Unlimited - Smart 200</v>
      </c>
      <c r="O24" s="244" t="s">
        <v>4790</v>
      </c>
    </row>
    <row r="25" spans="1:15" s="98" customFormat="1" ht="58.35" customHeight="1">
      <c r="A25" s="590"/>
      <c r="B25" s="574"/>
      <c r="C25" s="149" t="s">
        <v>4197</v>
      </c>
      <c r="D25" s="149" t="s">
        <v>4198</v>
      </c>
      <c r="E25" s="143" t="s">
        <v>4771</v>
      </c>
      <c r="F25" s="144">
        <v>1680</v>
      </c>
      <c r="G25" s="144">
        <f t="shared" si="5"/>
        <v>56</v>
      </c>
      <c r="H25" s="144">
        <v>4</v>
      </c>
      <c r="I25" s="144">
        <v>6</v>
      </c>
      <c r="J25" s="144">
        <v>0</v>
      </c>
      <c r="K25" s="144">
        <v>52</v>
      </c>
      <c r="L25" s="144">
        <f t="shared" si="6"/>
        <v>120</v>
      </c>
      <c r="M25" s="145">
        <f t="shared" si="2"/>
        <v>7.1428571428571425E-2</v>
      </c>
      <c r="N25" s="146" t="str">
        <f t="shared" si="3"/>
        <v>Samsung Galaxy Z Fold8 Ultra 512GB - Violet Shadow - Unlimited - Smart 200</v>
      </c>
      <c r="O25" s="244" t="s">
        <v>4791</v>
      </c>
    </row>
    <row r="26" spans="1:15" ht="58.35" customHeight="1">
      <c r="A26" s="590"/>
      <c r="B26" s="279"/>
      <c r="C26" s="557" t="s">
        <v>4199</v>
      </c>
      <c r="D26" s="557" t="s">
        <v>4200</v>
      </c>
      <c r="E26" s="558" t="s">
        <v>4771</v>
      </c>
      <c r="F26" s="559">
        <v>1440</v>
      </c>
      <c r="G26" s="559">
        <f t="shared" si="5"/>
        <v>48</v>
      </c>
      <c r="H26" s="559">
        <v>4</v>
      </c>
      <c r="I26" s="559">
        <v>6</v>
      </c>
      <c r="J26" s="559">
        <v>0</v>
      </c>
      <c r="K26" s="559">
        <v>44</v>
      </c>
      <c r="L26" s="559">
        <f t="shared" si="6"/>
        <v>120</v>
      </c>
      <c r="M26" s="560">
        <f t="shared" si="2"/>
        <v>8.3333333333333329E-2</v>
      </c>
      <c r="N26" s="562" t="str">
        <f t="shared" si="3"/>
        <v>Samsung Galaxy Z Fold8 Ultra 256GB - Graphite - Unlimited - Smart 200</v>
      </c>
      <c r="O26" s="561" t="s">
        <v>4871</v>
      </c>
    </row>
    <row r="27" spans="1:15" ht="58.35" customHeight="1">
      <c r="A27" s="590"/>
      <c r="B27" s="279"/>
      <c r="C27" s="557" t="s">
        <v>4201</v>
      </c>
      <c r="D27" s="557" t="s">
        <v>4202</v>
      </c>
      <c r="E27" s="558" t="s">
        <v>4771</v>
      </c>
      <c r="F27" s="559">
        <v>1440</v>
      </c>
      <c r="G27" s="559">
        <f t="shared" si="5"/>
        <v>48</v>
      </c>
      <c r="H27" s="559">
        <v>4</v>
      </c>
      <c r="I27" s="559">
        <v>6</v>
      </c>
      <c r="J27" s="559">
        <v>0</v>
      </c>
      <c r="K27" s="559">
        <v>44</v>
      </c>
      <c r="L27" s="559">
        <f t="shared" si="6"/>
        <v>120</v>
      </c>
      <c r="M27" s="560">
        <f t="shared" si="2"/>
        <v>8.3333333333333329E-2</v>
      </c>
      <c r="N27" s="562" t="str">
        <f t="shared" si="3"/>
        <v>Samsung Galaxy Z Fold8 Ultra 256GB - Violet Shadow - Unlimited - Smart 200</v>
      </c>
      <c r="O27" s="561" t="s">
        <v>4872</v>
      </c>
    </row>
    <row r="28" spans="1:15" s="98" customFormat="1" ht="58.35" customHeight="1">
      <c r="A28" s="590"/>
      <c r="B28" s="574"/>
      <c r="C28" s="149" t="s">
        <v>4203</v>
      </c>
      <c r="D28" s="149" t="s">
        <v>4204</v>
      </c>
      <c r="E28" s="143" t="s">
        <v>4771</v>
      </c>
      <c r="F28" s="144">
        <v>1710</v>
      </c>
      <c r="G28" s="144">
        <f t="shared" si="5"/>
        <v>57</v>
      </c>
      <c r="H28" s="144">
        <v>4</v>
      </c>
      <c r="I28" s="144">
        <v>6</v>
      </c>
      <c r="J28" s="144">
        <v>0</v>
      </c>
      <c r="K28" s="144">
        <v>53</v>
      </c>
      <c r="L28" s="144">
        <f t="shared" si="6"/>
        <v>120</v>
      </c>
      <c r="M28" s="145">
        <f t="shared" si="2"/>
        <v>7.0175438596491224E-2</v>
      </c>
      <c r="N28" s="146" t="str">
        <f t="shared" si="3"/>
        <v>Samsung Galaxy Z Fold8 1 TB - Graphite - Unlimited - Smart 200</v>
      </c>
      <c r="O28" s="244" t="s">
        <v>4792</v>
      </c>
    </row>
    <row r="29" spans="1:15" s="98" customFormat="1" ht="58.35" customHeight="1">
      <c r="A29" s="590"/>
      <c r="B29" s="574"/>
      <c r="C29" s="149" t="s">
        <v>4205</v>
      </c>
      <c r="D29" s="149" t="s">
        <v>4206</v>
      </c>
      <c r="E29" s="143" t="s">
        <v>4771</v>
      </c>
      <c r="F29" s="144">
        <v>1710</v>
      </c>
      <c r="G29" s="144">
        <f t="shared" si="5"/>
        <v>57</v>
      </c>
      <c r="H29" s="144">
        <v>4</v>
      </c>
      <c r="I29" s="144">
        <v>6</v>
      </c>
      <c r="J29" s="144">
        <v>0</v>
      </c>
      <c r="K29" s="144">
        <v>53</v>
      </c>
      <c r="L29" s="144">
        <f t="shared" si="6"/>
        <v>120</v>
      </c>
      <c r="M29" s="145">
        <f t="shared" si="2"/>
        <v>7.0175438596491224E-2</v>
      </c>
      <c r="N29" s="146" t="str">
        <f t="shared" si="3"/>
        <v>Samsung Galaxy Z Fold8 1 TB - Lavender - Unlimited - Smart 200</v>
      </c>
      <c r="O29" s="244" t="s">
        <v>4793</v>
      </c>
    </row>
    <row r="30" spans="1:15" ht="58.35" customHeight="1">
      <c r="A30" s="590"/>
      <c r="B30" s="279"/>
      <c r="C30" s="564" t="s">
        <v>4207</v>
      </c>
      <c r="D30" s="564" t="s">
        <v>4208</v>
      </c>
      <c r="E30" s="565" t="s">
        <v>4771</v>
      </c>
      <c r="F30" s="563">
        <v>1440</v>
      </c>
      <c r="G30" s="563">
        <f t="shared" si="5"/>
        <v>48</v>
      </c>
      <c r="H30" s="563">
        <v>4</v>
      </c>
      <c r="I30" s="563">
        <v>6</v>
      </c>
      <c r="J30" s="563">
        <v>0</v>
      </c>
      <c r="K30" s="563">
        <v>44</v>
      </c>
      <c r="L30" s="563">
        <f t="shared" si="6"/>
        <v>120</v>
      </c>
      <c r="M30" s="566">
        <f t="shared" si="2"/>
        <v>8.3333333333333329E-2</v>
      </c>
      <c r="N30" s="567" t="str">
        <f t="shared" si="3"/>
        <v>Samsung Galaxy Z Fold8 512GB - Graphite - Unlimited - Smart 200</v>
      </c>
      <c r="O30" s="568" t="s">
        <v>4873</v>
      </c>
    </row>
    <row r="31" spans="1:15" ht="58.35" customHeight="1">
      <c r="A31" s="590"/>
      <c r="B31" s="279"/>
      <c r="C31" s="564" t="s">
        <v>4209</v>
      </c>
      <c r="D31" s="564" t="s">
        <v>4210</v>
      </c>
      <c r="E31" s="565" t="s">
        <v>4771</v>
      </c>
      <c r="F31" s="563">
        <v>1440</v>
      </c>
      <c r="G31" s="563">
        <f t="shared" si="5"/>
        <v>48</v>
      </c>
      <c r="H31" s="563">
        <v>4</v>
      </c>
      <c r="I31" s="563">
        <v>6</v>
      </c>
      <c r="J31" s="563">
        <v>0</v>
      </c>
      <c r="K31" s="563">
        <v>44</v>
      </c>
      <c r="L31" s="563">
        <f t="shared" si="6"/>
        <v>120</v>
      </c>
      <c r="M31" s="566">
        <f t="shared" si="2"/>
        <v>8.3333333333333329E-2</v>
      </c>
      <c r="N31" s="567" t="str">
        <f t="shared" si="3"/>
        <v>Samsung Galaxy Z Fold8 512GB - Lavender - Unlimited - Smart 200</v>
      </c>
      <c r="O31" s="568" t="s">
        <v>4874</v>
      </c>
    </row>
    <row r="32" spans="1:15" ht="58.35" customHeight="1">
      <c r="A32" s="590"/>
      <c r="B32" s="279"/>
      <c r="C32" s="564" t="s">
        <v>4211</v>
      </c>
      <c r="D32" s="564" t="s">
        <v>4212</v>
      </c>
      <c r="E32" s="565" t="s">
        <v>4771</v>
      </c>
      <c r="F32" s="563">
        <v>1290</v>
      </c>
      <c r="G32" s="563">
        <f t="shared" si="5"/>
        <v>43</v>
      </c>
      <c r="H32" s="563">
        <v>4</v>
      </c>
      <c r="I32" s="563">
        <v>6</v>
      </c>
      <c r="J32" s="563">
        <v>0</v>
      </c>
      <c r="K32" s="563">
        <v>39</v>
      </c>
      <c r="L32" s="563">
        <f t="shared" si="6"/>
        <v>120</v>
      </c>
      <c r="M32" s="566">
        <f t="shared" si="2"/>
        <v>9.3023255813953487E-2</v>
      </c>
      <c r="N32" s="567" t="str">
        <f t="shared" si="3"/>
        <v>Samsung Galaxy Z Fold8 256GB - Graphite - Unlimited - Smart 200</v>
      </c>
      <c r="O32" s="568" t="s">
        <v>4875</v>
      </c>
    </row>
    <row r="33" spans="1:15" ht="58.35" customHeight="1">
      <c r="A33" s="590"/>
      <c r="B33" s="279"/>
      <c r="C33" s="564" t="s">
        <v>4213</v>
      </c>
      <c r="D33" s="564" t="s">
        <v>4214</v>
      </c>
      <c r="E33" s="565" t="s">
        <v>4771</v>
      </c>
      <c r="F33" s="563">
        <v>1290</v>
      </c>
      <c r="G33" s="563">
        <f t="shared" si="5"/>
        <v>43</v>
      </c>
      <c r="H33" s="563">
        <v>4</v>
      </c>
      <c r="I33" s="563">
        <v>6</v>
      </c>
      <c r="J33" s="563">
        <v>0</v>
      </c>
      <c r="K33" s="563">
        <v>39</v>
      </c>
      <c r="L33" s="563">
        <f t="shared" si="6"/>
        <v>120</v>
      </c>
      <c r="M33" s="566">
        <f t="shared" si="2"/>
        <v>9.3023255813953487E-2</v>
      </c>
      <c r="N33" s="567" t="str">
        <f t="shared" si="3"/>
        <v>Samsung Galaxy Z Fold8 256GB - Lavender - Unlimited - Smart 200</v>
      </c>
      <c r="O33" s="568" t="s">
        <v>4876</v>
      </c>
    </row>
    <row r="34" spans="1:15" s="98" customFormat="1" ht="58.35" customHeight="1">
      <c r="A34" s="590"/>
      <c r="B34" s="574"/>
      <c r="C34" s="149" t="s">
        <v>4215</v>
      </c>
      <c r="D34" s="149" t="s">
        <v>4216</v>
      </c>
      <c r="E34" s="143" t="s">
        <v>4771</v>
      </c>
      <c r="F34" s="144">
        <v>960</v>
      </c>
      <c r="G34" s="144">
        <f t="shared" si="5"/>
        <v>32</v>
      </c>
      <c r="H34" s="144">
        <v>4</v>
      </c>
      <c r="I34" s="144">
        <v>6</v>
      </c>
      <c r="J34" s="144">
        <v>0</v>
      </c>
      <c r="K34" s="144">
        <v>28</v>
      </c>
      <c r="L34" s="144">
        <f t="shared" si="6"/>
        <v>120</v>
      </c>
      <c r="M34" s="145">
        <f t="shared" si="2"/>
        <v>0.125</v>
      </c>
      <c r="N34" s="146" t="str">
        <f t="shared" si="3"/>
        <v>Samsung Galaxy Z Flip8 512GB - Graphite - Unlimited - Smart 200</v>
      </c>
      <c r="O34" s="244" t="s">
        <v>4794</v>
      </c>
    </row>
    <row r="35" spans="1:15" s="98" customFormat="1" ht="58.35" customHeight="1">
      <c r="A35" s="590"/>
      <c r="B35" s="574"/>
      <c r="C35" s="149" t="s">
        <v>4217</v>
      </c>
      <c r="D35" s="149" t="s">
        <v>4218</v>
      </c>
      <c r="E35" s="143" t="s">
        <v>4771</v>
      </c>
      <c r="F35" s="144">
        <v>780</v>
      </c>
      <c r="G35" s="144">
        <f t="shared" si="5"/>
        <v>26</v>
      </c>
      <c r="H35" s="144">
        <v>4</v>
      </c>
      <c r="I35" s="144">
        <v>6</v>
      </c>
      <c r="J35" s="144">
        <v>0</v>
      </c>
      <c r="K35" s="144">
        <v>22</v>
      </c>
      <c r="L35" s="144">
        <f t="shared" si="6"/>
        <v>120</v>
      </c>
      <c r="M35" s="145">
        <f t="shared" si="2"/>
        <v>0.15384615384615385</v>
      </c>
      <c r="N35" s="146" t="str">
        <f t="shared" si="3"/>
        <v>Samsung Galaxy Z Flip8 256GB - Graphite - Unlimited - Smart 200</v>
      </c>
      <c r="O35" s="244" t="s">
        <v>4795</v>
      </c>
    </row>
    <row r="36" spans="1:15" s="98" customFormat="1" ht="58.35" customHeight="1">
      <c r="A36" s="590"/>
      <c r="B36" s="574"/>
      <c r="C36" s="149" t="s">
        <v>4219</v>
      </c>
      <c r="D36" s="149" t="s">
        <v>4220</v>
      </c>
      <c r="E36" s="143" t="s">
        <v>4771</v>
      </c>
      <c r="F36" s="144">
        <v>1440</v>
      </c>
      <c r="G36" s="144">
        <f t="shared" si="5"/>
        <v>48</v>
      </c>
      <c r="H36" s="144">
        <v>4</v>
      </c>
      <c r="I36" s="144">
        <v>6</v>
      </c>
      <c r="J36" s="278">
        <v>0</v>
      </c>
      <c r="K36" s="144">
        <v>45</v>
      </c>
      <c r="L36" s="278">
        <f t="shared" si="6"/>
        <v>90</v>
      </c>
      <c r="M36" s="145">
        <f t="shared" si="2"/>
        <v>6.25E-2</v>
      </c>
      <c r="N36" s="146" t="str">
        <f t="shared" si="3"/>
        <v>Samsung Galaxy S26 Ultra 1TB - Black - Unlimited - Smart 200</v>
      </c>
      <c r="O36" s="244" t="s">
        <v>4796</v>
      </c>
    </row>
    <row r="37" spans="1:15" s="98" customFormat="1" ht="58.35" customHeight="1">
      <c r="A37" s="590"/>
      <c r="B37" s="575"/>
      <c r="C37" s="149" t="s">
        <v>4221</v>
      </c>
      <c r="D37" s="149" t="s">
        <v>4222</v>
      </c>
      <c r="E37" s="143" t="s">
        <v>4771</v>
      </c>
      <c r="F37" s="144">
        <v>1440</v>
      </c>
      <c r="G37" s="144">
        <f t="shared" si="5"/>
        <v>48</v>
      </c>
      <c r="H37" s="144">
        <v>4</v>
      </c>
      <c r="I37" s="144">
        <v>6</v>
      </c>
      <c r="J37" s="278">
        <v>0</v>
      </c>
      <c r="K37" s="144">
        <v>45</v>
      </c>
      <c r="L37" s="278">
        <f t="shared" si="6"/>
        <v>90</v>
      </c>
      <c r="M37" s="145">
        <f t="shared" si="2"/>
        <v>6.25E-2</v>
      </c>
      <c r="N37" s="146" t="str">
        <f t="shared" si="3"/>
        <v>Samsung Galaxy S26 Ultra 1TB - Sky Blue - Unlimited - Smart 200</v>
      </c>
      <c r="O37" s="244" t="s">
        <v>4797</v>
      </c>
    </row>
    <row r="38" spans="1:15" s="98" customFormat="1" ht="58.35" customHeight="1">
      <c r="A38" s="590"/>
      <c r="B38" s="554"/>
      <c r="C38" s="149" t="s">
        <v>4223</v>
      </c>
      <c r="D38" s="149" t="s">
        <v>4224</v>
      </c>
      <c r="E38" s="143" t="s">
        <v>4771</v>
      </c>
      <c r="F38" s="144">
        <v>1440</v>
      </c>
      <c r="G38" s="144">
        <f t="shared" si="5"/>
        <v>48</v>
      </c>
      <c r="H38" s="144">
        <v>4</v>
      </c>
      <c r="I38" s="144">
        <v>6</v>
      </c>
      <c r="J38" s="278">
        <v>0</v>
      </c>
      <c r="K38" s="144">
        <v>45</v>
      </c>
      <c r="L38" s="278">
        <f t="shared" si="6"/>
        <v>90</v>
      </c>
      <c r="M38" s="145">
        <f t="shared" si="2"/>
        <v>6.25E-2</v>
      </c>
      <c r="N38" s="146" t="str">
        <f t="shared" si="3"/>
        <v>Samsung Galaxy S26 Ultra 1TB - Cobalt Violet - Unlimited - Smart 200</v>
      </c>
      <c r="O38" s="244" t="s">
        <v>4798</v>
      </c>
    </row>
    <row r="39" spans="1:15" s="98" customFormat="1" ht="58.35" customHeight="1">
      <c r="A39" s="590"/>
      <c r="B39" s="554"/>
      <c r="C39" s="149" t="s">
        <v>4225</v>
      </c>
      <c r="D39" s="149" t="s">
        <v>4226</v>
      </c>
      <c r="E39" s="143" t="s">
        <v>4771</v>
      </c>
      <c r="F39" s="144">
        <v>1230</v>
      </c>
      <c r="G39" s="144">
        <f t="shared" si="5"/>
        <v>41</v>
      </c>
      <c r="H39" s="144">
        <v>4</v>
      </c>
      <c r="I39" s="144">
        <v>6</v>
      </c>
      <c r="J39" s="278">
        <v>0</v>
      </c>
      <c r="K39" s="144">
        <v>38</v>
      </c>
      <c r="L39" s="278">
        <f t="shared" si="6"/>
        <v>90</v>
      </c>
      <c r="M39" s="145">
        <f t="shared" si="2"/>
        <v>7.3170731707317069E-2</v>
      </c>
      <c r="N39" s="146" t="str">
        <f t="shared" si="3"/>
        <v>Samsung Galaxy S26 Ultra 512GB - Black - Unlimited - Smart 200</v>
      </c>
      <c r="O39" s="244" t="s">
        <v>4799</v>
      </c>
    </row>
    <row r="40" spans="1:15" s="98" customFormat="1" ht="58.35" customHeight="1">
      <c r="A40" s="590"/>
      <c r="B40" s="574"/>
      <c r="C40" s="149" t="s">
        <v>4227</v>
      </c>
      <c r="D40" s="149" t="s">
        <v>4228</v>
      </c>
      <c r="E40" s="143" t="s">
        <v>4771</v>
      </c>
      <c r="F40" s="144">
        <v>1230</v>
      </c>
      <c r="G40" s="144">
        <f t="shared" si="5"/>
        <v>41</v>
      </c>
      <c r="H40" s="144">
        <v>4</v>
      </c>
      <c r="I40" s="144">
        <v>6</v>
      </c>
      <c r="J40" s="278">
        <v>0</v>
      </c>
      <c r="K40" s="144">
        <v>38</v>
      </c>
      <c r="L40" s="278">
        <f>F40-(J40+K40*30)</f>
        <v>90</v>
      </c>
      <c r="M40" s="145">
        <f t="shared" si="2"/>
        <v>7.3170731707317069E-2</v>
      </c>
      <c r="N40" s="146" t="str">
        <f t="shared" si="3"/>
        <v>Samsung Galaxy S26 Ultra 512GB - Sky Blue - Unlimited - Smart 200</v>
      </c>
      <c r="O40" s="244" t="s">
        <v>4800</v>
      </c>
    </row>
    <row r="41" spans="1:15" s="98" customFormat="1" ht="58.35" customHeight="1">
      <c r="A41" s="590"/>
      <c r="B41" s="574"/>
      <c r="C41" s="149" t="s">
        <v>4229</v>
      </c>
      <c r="D41" s="149" t="s">
        <v>4230</v>
      </c>
      <c r="E41" s="143" t="s">
        <v>4771</v>
      </c>
      <c r="F41" s="144">
        <v>1230</v>
      </c>
      <c r="G41" s="144">
        <f t="shared" si="5"/>
        <v>41</v>
      </c>
      <c r="H41" s="144">
        <v>4</v>
      </c>
      <c r="I41" s="144">
        <v>6</v>
      </c>
      <c r="J41" s="278">
        <v>0</v>
      </c>
      <c r="K41" s="144">
        <v>38</v>
      </c>
      <c r="L41" s="278">
        <f t="shared" si="6"/>
        <v>90</v>
      </c>
      <c r="M41" s="145">
        <f t="shared" si="2"/>
        <v>7.3170731707317069E-2</v>
      </c>
      <c r="N41" s="146" t="str">
        <f t="shared" si="3"/>
        <v>Samsung Galaxy S26 Ultra 512GB - Cobalt Violet - Unlimited - Smart 200</v>
      </c>
      <c r="O41" s="244" t="s">
        <v>4801</v>
      </c>
    </row>
    <row r="42" spans="1:15" s="98" customFormat="1" ht="58.35" customHeight="1">
      <c r="A42" s="590"/>
      <c r="B42" s="574"/>
      <c r="C42" s="149" t="s">
        <v>4231</v>
      </c>
      <c r="D42" s="149" t="s">
        <v>4232</v>
      </c>
      <c r="E42" s="143" t="s">
        <v>4771</v>
      </c>
      <c r="F42" s="144">
        <v>1080</v>
      </c>
      <c r="G42" s="144">
        <f t="shared" si="5"/>
        <v>36</v>
      </c>
      <c r="H42" s="144">
        <v>4</v>
      </c>
      <c r="I42" s="144">
        <v>6</v>
      </c>
      <c r="J42" s="278">
        <v>0</v>
      </c>
      <c r="K42" s="144">
        <v>33</v>
      </c>
      <c r="L42" s="278">
        <f t="shared" si="6"/>
        <v>90</v>
      </c>
      <c r="M42" s="145">
        <f t="shared" si="2"/>
        <v>8.3333333333333329E-2</v>
      </c>
      <c r="N42" s="146" t="str">
        <f t="shared" si="3"/>
        <v>Samsung Galaxy S26 Ultra 256GB - Black - Unlimited - Smart 200</v>
      </c>
      <c r="O42" s="244" t="s">
        <v>4802</v>
      </c>
    </row>
    <row r="43" spans="1:15" s="98" customFormat="1" ht="58.35" customHeight="1">
      <c r="A43" s="590"/>
      <c r="B43" s="575"/>
      <c r="C43" s="149" t="s">
        <v>4233</v>
      </c>
      <c r="D43" s="149" t="s">
        <v>4234</v>
      </c>
      <c r="E43" s="143" t="s">
        <v>4771</v>
      </c>
      <c r="F43" s="144">
        <v>1080</v>
      </c>
      <c r="G43" s="144">
        <f t="shared" si="5"/>
        <v>36</v>
      </c>
      <c r="H43" s="144">
        <v>4</v>
      </c>
      <c r="I43" s="144">
        <v>6</v>
      </c>
      <c r="J43" s="278">
        <v>0</v>
      </c>
      <c r="K43" s="144">
        <v>33</v>
      </c>
      <c r="L43" s="278">
        <f t="shared" si="6"/>
        <v>90</v>
      </c>
      <c r="M43" s="145">
        <f t="shared" si="2"/>
        <v>8.3333333333333329E-2</v>
      </c>
      <c r="N43" s="146" t="str">
        <f t="shared" si="3"/>
        <v>Samsung Galaxy S26 Ultra 256GB - Sky Blue - Unlimited - Smart 200</v>
      </c>
      <c r="O43" s="244" t="s">
        <v>4803</v>
      </c>
    </row>
    <row r="44" spans="1:15" s="98" customFormat="1" ht="58.35" customHeight="1">
      <c r="A44" s="590"/>
      <c r="B44" s="554"/>
      <c r="C44" s="149" t="s">
        <v>4235</v>
      </c>
      <c r="D44" s="149" t="s">
        <v>4236</v>
      </c>
      <c r="E44" s="143" t="s">
        <v>4771</v>
      </c>
      <c r="F44" s="144">
        <v>1080</v>
      </c>
      <c r="G44" s="144">
        <f t="shared" si="5"/>
        <v>36</v>
      </c>
      <c r="H44" s="144">
        <v>4</v>
      </c>
      <c r="I44" s="144">
        <v>6</v>
      </c>
      <c r="J44" s="278">
        <v>0</v>
      </c>
      <c r="K44" s="144">
        <v>33</v>
      </c>
      <c r="L44" s="278">
        <f t="shared" si="6"/>
        <v>90</v>
      </c>
      <c r="M44" s="145">
        <f t="shared" si="2"/>
        <v>8.3333333333333329E-2</v>
      </c>
      <c r="N44" s="146" t="str">
        <f t="shared" si="3"/>
        <v>Samsung Galaxy S26 Ultra 256GB - Cobalt Violet - Unlimited - Smart 200</v>
      </c>
      <c r="O44" s="244" t="s">
        <v>4804</v>
      </c>
    </row>
    <row r="45" spans="1:15" s="98" customFormat="1" ht="58.35" customHeight="1">
      <c r="A45" s="590"/>
      <c r="B45" s="574"/>
      <c r="C45" s="149" t="s">
        <v>4237</v>
      </c>
      <c r="D45" s="149" t="s">
        <v>4238</v>
      </c>
      <c r="E45" s="143" t="s">
        <v>4771</v>
      </c>
      <c r="F45" s="144">
        <v>1080</v>
      </c>
      <c r="G45" s="144">
        <f t="shared" si="5"/>
        <v>36</v>
      </c>
      <c r="H45" s="144">
        <v>4</v>
      </c>
      <c r="I45" s="144">
        <v>6</v>
      </c>
      <c r="J45" s="278">
        <v>0</v>
      </c>
      <c r="K45" s="144">
        <v>33</v>
      </c>
      <c r="L45" s="278">
        <f t="shared" si="6"/>
        <v>90</v>
      </c>
      <c r="M45" s="145">
        <f t="shared" si="2"/>
        <v>8.3333333333333329E-2</v>
      </c>
      <c r="N45" s="146" t="str">
        <f t="shared" si="3"/>
        <v>Samsung Galaxy S26+ 512GB - Black - Unlimited - Smart 200</v>
      </c>
      <c r="O45" s="244" t="s">
        <v>4805</v>
      </c>
    </row>
    <row r="46" spans="1:15" s="98" customFormat="1" ht="58.35" customHeight="1">
      <c r="A46" s="590"/>
      <c r="B46" s="574"/>
      <c r="C46" s="149" t="s">
        <v>4239</v>
      </c>
      <c r="D46" s="149" t="s">
        <v>4240</v>
      </c>
      <c r="E46" s="143" t="s">
        <v>4771</v>
      </c>
      <c r="F46" s="144">
        <v>1080</v>
      </c>
      <c r="G46" s="144">
        <f t="shared" si="5"/>
        <v>36</v>
      </c>
      <c r="H46" s="144">
        <v>4</v>
      </c>
      <c r="I46" s="144">
        <v>6</v>
      </c>
      <c r="J46" s="278">
        <v>0</v>
      </c>
      <c r="K46" s="144">
        <v>33</v>
      </c>
      <c r="L46" s="278">
        <f t="shared" si="6"/>
        <v>90</v>
      </c>
      <c r="M46" s="145">
        <f t="shared" si="2"/>
        <v>8.3333333333333329E-2</v>
      </c>
      <c r="N46" s="146" t="str">
        <f t="shared" si="3"/>
        <v>Samsung Galaxy S26+ 512GB - Sky Blue - Unlimited - Smart 200</v>
      </c>
      <c r="O46" s="244" t="s">
        <v>4806</v>
      </c>
    </row>
    <row r="47" spans="1:15" s="98" customFormat="1" ht="58.35" customHeight="1">
      <c r="A47" s="590"/>
      <c r="B47" s="574"/>
      <c r="C47" s="149" t="s">
        <v>4241</v>
      </c>
      <c r="D47" s="149" t="s">
        <v>4242</v>
      </c>
      <c r="E47" s="143" t="s">
        <v>4771</v>
      </c>
      <c r="F47" s="144">
        <v>1080</v>
      </c>
      <c r="G47" s="144">
        <f t="shared" si="5"/>
        <v>36</v>
      </c>
      <c r="H47" s="144">
        <v>4</v>
      </c>
      <c r="I47" s="144">
        <v>6</v>
      </c>
      <c r="J47" s="278">
        <v>0</v>
      </c>
      <c r="K47" s="144">
        <v>33</v>
      </c>
      <c r="L47" s="278">
        <f t="shared" si="6"/>
        <v>90</v>
      </c>
      <c r="M47" s="145">
        <f t="shared" si="2"/>
        <v>8.3333333333333329E-2</v>
      </c>
      <c r="N47" s="146" t="str">
        <f t="shared" si="3"/>
        <v>Samsung Galaxy S26+ 512GB - Cobalt Violet - Unlimited - Smart 200</v>
      </c>
      <c r="O47" s="244" t="s">
        <v>4807</v>
      </c>
    </row>
    <row r="48" spans="1:15" s="98" customFormat="1" ht="58.35" customHeight="1">
      <c r="A48" s="590"/>
      <c r="B48" s="574"/>
      <c r="C48" s="149" t="s">
        <v>4243</v>
      </c>
      <c r="D48" s="149" t="s">
        <v>4244</v>
      </c>
      <c r="E48" s="143" t="s">
        <v>4771</v>
      </c>
      <c r="F48" s="144">
        <v>930</v>
      </c>
      <c r="G48" s="144">
        <f t="shared" si="5"/>
        <v>31</v>
      </c>
      <c r="H48" s="144">
        <v>4</v>
      </c>
      <c r="I48" s="144">
        <v>6</v>
      </c>
      <c r="J48" s="278">
        <v>0</v>
      </c>
      <c r="K48" s="144">
        <v>28</v>
      </c>
      <c r="L48" s="278">
        <f t="shared" si="6"/>
        <v>90</v>
      </c>
      <c r="M48" s="145">
        <f t="shared" si="2"/>
        <v>9.6774193548387094E-2</v>
      </c>
      <c r="N48" s="146" t="str">
        <f t="shared" si="3"/>
        <v>Samsung Galaxy S26+ 256GB - Black - Unlimited - Smart 200</v>
      </c>
      <c r="O48" s="244" t="s">
        <v>4808</v>
      </c>
    </row>
    <row r="49" spans="1:15" s="98" customFormat="1" ht="58.35" customHeight="1">
      <c r="A49" s="590"/>
      <c r="B49" s="574"/>
      <c r="C49" s="149" t="s">
        <v>4245</v>
      </c>
      <c r="D49" s="149" t="s">
        <v>4246</v>
      </c>
      <c r="E49" s="143" t="s">
        <v>4771</v>
      </c>
      <c r="F49" s="144">
        <v>930</v>
      </c>
      <c r="G49" s="144">
        <f t="shared" si="5"/>
        <v>31</v>
      </c>
      <c r="H49" s="144">
        <v>4</v>
      </c>
      <c r="I49" s="144">
        <v>6</v>
      </c>
      <c r="J49" s="278">
        <v>0</v>
      </c>
      <c r="K49" s="144">
        <v>28</v>
      </c>
      <c r="L49" s="278">
        <f t="shared" si="6"/>
        <v>90</v>
      </c>
      <c r="M49" s="145">
        <f t="shared" si="2"/>
        <v>9.6774193548387094E-2</v>
      </c>
      <c r="N49" s="146" t="str">
        <f t="shared" si="3"/>
        <v>Samsung Galaxy S26+ 256GB - Sky Blue - Unlimited - Smart 200</v>
      </c>
      <c r="O49" s="244" t="s">
        <v>4809</v>
      </c>
    </row>
    <row r="50" spans="1:15" s="160" customFormat="1" ht="58.35" customHeight="1">
      <c r="A50" s="590"/>
      <c r="B50" s="574"/>
      <c r="C50" s="149" t="s">
        <v>4247</v>
      </c>
      <c r="D50" s="149" t="s">
        <v>4248</v>
      </c>
      <c r="E50" s="143" t="s">
        <v>4771</v>
      </c>
      <c r="F50" s="144">
        <v>930</v>
      </c>
      <c r="G50" s="144">
        <f t="shared" si="5"/>
        <v>31</v>
      </c>
      <c r="H50" s="144">
        <v>4</v>
      </c>
      <c r="I50" s="144">
        <v>6</v>
      </c>
      <c r="J50" s="278">
        <v>0</v>
      </c>
      <c r="K50" s="144">
        <v>28</v>
      </c>
      <c r="L50" s="278">
        <f t="shared" si="6"/>
        <v>90</v>
      </c>
      <c r="M50" s="145">
        <f t="shared" si="2"/>
        <v>9.6774193548387094E-2</v>
      </c>
      <c r="N50" s="146" t="str">
        <f t="shared" si="3"/>
        <v>Samsung Galaxy S26+ 256GB - Cobalt Violet - Unlimited - Smart 200</v>
      </c>
      <c r="O50" s="244" t="s">
        <v>4810</v>
      </c>
    </row>
    <row r="51" spans="1:15" s="160" customFormat="1" ht="58.35" customHeight="1">
      <c r="A51" s="590"/>
      <c r="B51" s="574"/>
      <c r="C51" s="149" t="s">
        <v>4249</v>
      </c>
      <c r="D51" s="149" t="s">
        <v>4250</v>
      </c>
      <c r="E51" s="143" t="s">
        <v>4771</v>
      </c>
      <c r="F51" s="144">
        <v>870</v>
      </c>
      <c r="G51" s="144">
        <f t="shared" si="5"/>
        <v>29</v>
      </c>
      <c r="H51" s="144">
        <v>4</v>
      </c>
      <c r="I51" s="144">
        <v>6</v>
      </c>
      <c r="J51" s="278">
        <v>0</v>
      </c>
      <c r="K51" s="144">
        <v>26</v>
      </c>
      <c r="L51" s="278">
        <f t="shared" si="6"/>
        <v>90</v>
      </c>
      <c r="M51" s="145">
        <f t="shared" si="2"/>
        <v>0.10344827586206896</v>
      </c>
      <c r="N51" s="146" t="str">
        <f t="shared" si="3"/>
        <v>Samsung Galaxy S26 512GB - Black - Unlimited - Smart 200</v>
      </c>
      <c r="O51" s="244" t="s">
        <v>4811</v>
      </c>
    </row>
    <row r="52" spans="1:15" s="160" customFormat="1" ht="58.35" customHeight="1">
      <c r="A52" s="590"/>
      <c r="B52" s="574"/>
      <c r="C52" s="149" t="s">
        <v>4251</v>
      </c>
      <c r="D52" s="149" t="s">
        <v>4252</v>
      </c>
      <c r="E52" s="143" t="s">
        <v>4771</v>
      </c>
      <c r="F52" s="144">
        <v>870</v>
      </c>
      <c r="G52" s="144">
        <f t="shared" si="5"/>
        <v>29</v>
      </c>
      <c r="H52" s="144">
        <v>4</v>
      </c>
      <c r="I52" s="144">
        <v>6</v>
      </c>
      <c r="J52" s="278">
        <v>0</v>
      </c>
      <c r="K52" s="144">
        <v>26</v>
      </c>
      <c r="L52" s="278">
        <f t="shared" si="6"/>
        <v>90</v>
      </c>
      <c r="M52" s="145">
        <f t="shared" si="2"/>
        <v>0.10344827586206896</v>
      </c>
      <c r="N52" s="146" t="str">
        <f t="shared" si="3"/>
        <v>Samsung Galaxy S26 512GB - Sky Blue - Unlimited - Smart 200</v>
      </c>
      <c r="O52" s="244" t="s">
        <v>4812</v>
      </c>
    </row>
    <row r="53" spans="1:15" s="160" customFormat="1" ht="58.35" customHeight="1">
      <c r="A53" s="590"/>
      <c r="B53" s="574"/>
      <c r="C53" s="149" t="s">
        <v>4253</v>
      </c>
      <c r="D53" s="149" t="s">
        <v>4254</v>
      </c>
      <c r="E53" s="143" t="s">
        <v>4771</v>
      </c>
      <c r="F53" s="144">
        <v>870</v>
      </c>
      <c r="G53" s="144">
        <f t="shared" si="5"/>
        <v>29</v>
      </c>
      <c r="H53" s="144">
        <v>4</v>
      </c>
      <c r="I53" s="144">
        <v>6</v>
      </c>
      <c r="J53" s="278">
        <v>0</v>
      </c>
      <c r="K53" s="144">
        <v>26</v>
      </c>
      <c r="L53" s="278">
        <f t="shared" si="6"/>
        <v>90</v>
      </c>
      <c r="M53" s="145">
        <f t="shared" si="2"/>
        <v>0.10344827586206896</v>
      </c>
      <c r="N53" s="146" t="str">
        <f t="shared" si="3"/>
        <v>Samsung Galaxy S26 512GB - Cobalt Violet - Unlimited - Smart 200</v>
      </c>
      <c r="O53" s="244" t="s">
        <v>4813</v>
      </c>
    </row>
    <row r="54" spans="1:15" s="160" customFormat="1" ht="58.35" customHeight="1">
      <c r="A54" s="590"/>
      <c r="B54" s="574"/>
      <c r="C54" s="149" t="s">
        <v>4255</v>
      </c>
      <c r="D54" s="149" t="s">
        <v>4256</v>
      </c>
      <c r="E54" s="143" t="s">
        <v>4771</v>
      </c>
      <c r="F54" s="144">
        <v>720</v>
      </c>
      <c r="G54" s="144">
        <f t="shared" si="5"/>
        <v>24</v>
      </c>
      <c r="H54" s="144">
        <v>4</v>
      </c>
      <c r="I54" s="144">
        <v>6</v>
      </c>
      <c r="J54" s="278">
        <v>0</v>
      </c>
      <c r="K54" s="144">
        <v>21</v>
      </c>
      <c r="L54" s="278">
        <f t="shared" si="6"/>
        <v>90</v>
      </c>
      <c r="M54" s="145">
        <f t="shared" si="2"/>
        <v>0.125</v>
      </c>
      <c r="N54" s="146" t="str">
        <f t="shared" si="3"/>
        <v>Samsung Galaxy S26 256GB - Black - Unlimited - Smart 200</v>
      </c>
      <c r="O54" s="244" t="s">
        <v>4814</v>
      </c>
    </row>
    <row r="55" spans="1:15" s="576" customFormat="1" ht="58.35" customHeight="1">
      <c r="A55" s="590"/>
      <c r="B55" s="574"/>
      <c r="C55" s="149" t="s">
        <v>4257</v>
      </c>
      <c r="D55" s="149" t="s">
        <v>4258</v>
      </c>
      <c r="E55" s="143" t="s">
        <v>4771</v>
      </c>
      <c r="F55" s="144">
        <v>720</v>
      </c>
      <c r="G55" s="144">
        <f t="shared" si="5"/>
        <v>24</v>
      </c>
      <c r="H55" s="144">
        <v>4</v>
      </c>
      <c r="I55" s="144">
        <v>6</v>
      </c>
      <c r="J55" s="278">
        <v>0</v>
      </c>
      <c r="K55" s="144">
        <v>21</v>
      </c>
      <c r="L55" s="278">
        <f t="shared" si="6"/>
        <v>90</v>
      </c>
      <c r="M55" s="145">
        <f t="shared" si="2"/>
        <v>0.125</v>
      </c>
      <c r="N55" s="146" t="str">
        <f t="shared" si="3"/>
        <v>Samsung Galaxy S26 256GB - Sky Blue - Unlimited - Smart 200</v>
      </c>
      <c r="O55" s="244" t="s">
        <v>4815</v>
      </c>
    </row>
    <row r="56" spans="1:15" s="576" customFormat="1" ht="58.35" customHeight="1">
      <c r="A56" s="590"/>
      <c r="B56" s="574"/>
      <c r="C56" s="149" t="s">
        <v>4259</v>
      </c>
      <c r="D56" s="149" t="s">
        <v>4260</v>
      </c>
      <c r="E56" s="143" t="s">
        <v>4771</v>
      </c>
      <c r="F56" s="144">
        <v>720</v>
      </c>
      <c r="G56" s="144">
        <f t="shared" si="5"/>
        <v>24</v>
      </c>
      <c r="H56" s="144">
        <v>4</v>
      </c>
      <c r="I56" s="144">
        <v>6</v>
      </c>
      <c r="J56" s="278">
        <v>0</v>
      </c>
      <c r="K56" s="144">
        <v>21</v>
      </c>
      <c r="L56" s="278">
        <f t="shared" si="6"/>
        <v>90</v>
      </c>
      <c r="M56" s="145">
        <f t="shared" si="2"/>
        <v>0.125</v>
      </c>
      <c r="N56" s="146" t="str">
        <f t="shared" si="3"/>
        <v>Samsung Galaxy S26 256GB - Cobalt Violet - Unlimited - Smart 200</v>
      </c>
      <c r="O56" s="244" t="s">
        <v>4816</v>
      </c>
    </row>
    <row r="57" spans="1:15" s="160" customFormat="1" ht="58.35" customHeight="1">
      <c r="A57" s="590"/>
      <c r="B57" s="574"/>
      <c r="C57" s="149" t="s">
        <v>4684</v>
      </c>
      <c r="D57" s="149" t="s">
        <v>4679</v>
      </c>
      <c r="E57" s="143" t="s">
        <v>4771</v>
      </c>
      <c r="F57" s="144">
        <v>570</v>
      </c>
      <c r="G57" s="144">
        <f t="shared" si="5"/>
        <v>19</v>
      </c>
      <c r="H57" s="144">
        <v>4</v>
      </c>
      <c r="I57" s="144">
        <v>6</v>
      </c>
      <c r="J57" s="144">
        <v>0</v>
      </c>
      <c r="K57" s="144">
        <v>16</v>
      </c>
      <c r="L57" s="144">
        <f t="shared" si="6"/>
        <v>90</v>
      </c>
      <c r="M57" s="145">
        <f t="shared" si="2"/>
        <v>0.15789473684210525</v>
      </c>
      <c r="N57" s="146" t="str">
        <f t="shared" si="3"/>
        <v>Samsung Galaxy S26 FE 128GB - Graphite - Unlimited - Smart 200</v>
      </c>
      <c r="O57" s="244" t="s">
        <v>4817</v>
      </c>
    </row>
    <row r="58" spans="1:15" s="160" customFormat="1" ht="58.35" customHeight="1">
      <c r="A58" s="590"/>
      <c r="B58" s="583"/>
      <c r="C58" s="149" t="s">
        <v>4685</v>
      </c>
      <c r="D58" s="149" t="s">
        <v>4680</v>
      </c>
      <c r="E58" s="143" t="s">
        <v>4771</v>
      </c>
      <c r="F58" s="144">
        <v>570</v>
      </c>
      <c r="G58" s="144">
        <f t="shared" si="5"/>
        <v>19</v>
      </c>
      <c r="H58" s="144">
        <v>4</v>
      </c>
      <c r="I58" s="144">
        <v>6</v>
      </c>
      <c r="J58" s="144">
        <v>0</v>
      </c>
      <c r="K58" s="144">
        <v>16</v>
      </c>
      <c r="L58" s="144">
        <f t="shared" si="6"/>
        <v>90</v>
      </c>
      <c r="M58" s="145">
        <f t="shared" si="2"/>
        <v>0.15789473684210525</v>
      </c>
      <c r="N58" s="146" t="str">
        <f t="shared" si="3"/>
        <v>Samsung Galaxy S26 FE 128GB - Pistachio - Unlimited - Smart 200</v>
      </c>
      <c r="O58" s="244" t="s">
        <v>4818</v>
      </c>
    </row>
    <row r="59" spans="1:15" s="98" customFormat="1" ht="58.35" customHeight="1">
      <c r="A59" s="590"/>
      <c r="B59" s="583"/>
      <c r="C59" s="149" t="s">
        <v>4686</v>
      </c>
      <c r="D59" s="149" t="s">
        <v>4681</v>
      </c>
      <c r="E59" s="143" t="s">
        <v>4771</v>
      </c>
      <c r="F59" s="144">
        <v>570</v>
      </c>
      <c r="G59" s="144">
        <f t="shared" si="5"/>
        <v>19</v>
      </c>
      <c r="H59" s="144">
        <v>4</v>
      </c>
      <c r="I59" s="144">
        <v>6</v>
      </c>
      <c r="J59" s="144">
        <v>0</v>
      </c>
      <c r="K59" s="144">
        <v>16</v>
      </c>
      <c r="L59" s="144">
        <f t="shared" si="6"/>
        <v>90</v>
      </c>
      <c r="M59" s="145">
        <f t="shared" si="2"/>
        <v>0.15789473684210525</v>
      </c>
      <c r="N59" s="146" t="str">
        <f t="shared" si="3"/>
        <v>Samsung Galaxy S26 FE 128GB - BlueBerry - Unlimited - Smart 200</v>
      </c>
      <c r="O59" s="244" t="s">
        <v>4819</v>
      </c>
    </row>
    <row r="60" spans="1:15" s="98" customFormat="1" ht="58.35" customHeight="1">
      <c r="A60" s="590"/>
      <c r="B60" s="574"/>
      <c r="C60" s="149" t="s">
        <v>4261</v>
      </c>
      <c r="D60" s="173" t="s">
        <v>4262</v>
      </c>
      <c r="E60" s="143" t="s">
        <v>4771</v>
      </c>
      <c r="F60" s="144">
        <v>225</v>
      </c>
      <c r="G60" s="144">
        <f t="shared" si="5"/>
        <v>7.5</v>
      </c>
      <c r="H60" s="144">
        <v>4</v>
      </c>
      <c r="I60" s="144">
        <v>6</v>
      </c>
      <c r="J60" s="278">
        <v>20</v>
      </c>
      <c r="K60" s="144">
        <v>4</v>
      </c>
      <c r="L60" s="278">
        <f t="shared" si="6"/>
        <v>85</v>
      </c>
      <c r="M60" s="145">
        <f t="shared" si="2"/>
        <v>0.37777777777777777</v>
      </c>
      <c r="N60" s="146" t="str">
        <f t="shared" si="3"/>
        <v>Samsung Galaxy Xcover 7 EE 128GB - Black - Unlimited - Smart 200</v>
      </c>
      <c r="O60" s="244" t="s">
        <v>4820</v>
      </c>
    </row>
    <row r="61" spans="1:15" s="98" customFormat="1" ht="58.35" customHeight="1">
      <c r="A61" s="590"/>
      <c r="B61" s="575"/>
      <c r="C61" s="149" t="s">
        <v>4263</v>
      </c>
      <c r="D61" s="173" t="s">
        <v>4264</v>
      </c>
      <c r="E61" s="143" t="s">
        <v>4771</v>
      </c>
      <c r="F61" s="144">
        <v>180</v>
      </c>
      <c r="G61" s="144">
        <f t="shared" si="5"/>
        <v>6</v>
      </c>
      <c r="H61" s="144">
        <v>4</v>
      </c>
      <c r="I61" s="144">
        <v>6</v>
      </c>
      <c r="J61" s="278">
        <v>0</v>
      </c>
      <c r="K61" s="144">
        <v>3</v>
      </c>
      <c r="L61" s="278">
        <f t="shared" si="6"/>
        <v>90</v>
      </c>
      <c r="M61" s="145">
        <f t="shared" si="2"/>
        <v>0.5</v>
      </c>
      <c r="N61" s="146" t="str">
        <f t="shared" si="3"/>
        <v>Samsung Galaxy A17 5G 128GB - Black - Unlimited - Smart 200</v>
      </c>
      <c r="O61" s="244" t="s">
        <v>4821</v>
      </c>
    </row>
    <row r="62" spans="1:15" s="98" customFormat="1" ht="58.35" customHeight="1">
      <c r="A62" s="590"/>
      <c r="B62" s="575"/>
      <c r="C62" s="149" t="s">
        <v>4265</v>
      </c>
      <c r="D62" s="173" t="s">
        <v>4266</v>
      </c>
      <c r="E62" s="143" t="s">
        <v>4771</v>
      </c>
      <c r="F62" s="144">
        <v>180</v>
      </c>
      <c r="G62" s="144">
        <f t="shared" si="5"/>
        <v>6</v>
      </c>
      <c r="H62" s="144">
        <v>4</v>
      </c>
      <c r="I62" s="144">
        <v>6</v>
      </c>
      <c r="J62" s="278">
        <v>0</v>
      </c>
      <c r="K62" s="144">
        <v>3</v>
      </c>
      <c r="L62" s="278">
        <f t="shared" si="6"/>
        <v>90</v>
      </c>
      <c r="M62" s="145">
        <f t="shared" si="2"/>
        <v>0.5</v>
      </c>
      <c r="N62" s="146" t="str">
        <f t="shared" si="3"/>
        <v>Samsung Galaxy A17 5G 128GB - Blue - Unlimited - Smart 200</v>
      </c>
      <c r="O62" s="244" t="s">
        <v>4822</v>
      </c>
    </row>
    <row r="63" spans="1:15" s="98" customFormat="1" ht="58.35" customHeight="1">
      <c r="A63" s="590"/>
      <c r="B63" s="575"/>
      <c r="C63" s="149" t="s">
        <v>4279</v>
      </c>
      <c r="D63" s="578" t="s">
        <v>4280</v>
      </c>
      <c r="E63" s="143" t="s">
        <v>4771</v>
      </c>
      <c r="F63" s="144">
        <v>180</v>
      </c>
      <c r="G63" s="144">
        <f>F63/30</f>
        <v>6</v>
      </c>
      <c r="H63" s="144">
        <v>4</v>
      </c>
      <c r="I63" s="144">
        <v>6</v>
      </c>
      <c r="J63" s="144">
        <v>0</v>
      </c>
      <c r="K63" s="144">
        <v>3</v>
      </c>
      <c r="L63" s="144">
        <f>F63-(J63+K63*30)</f>
        <v>90</v>
      </c>
      <c r="M63" s="145">
        <f>L63/F63</f>
        <v>0.5</v>
      </c>
      <c r="N63" s="146" t="str">
        <f>CONCATENATE(C63, " ", "-", " ", "Unlimited - Smart 200")</f>
        <v>Samsung Galaxy A17 5G 128GB - Gray - Unlimited - Smart 200</v>
      </c>
      <c r="O63" s="581" t="s">
        <v>4826</v>
      </c>
    </row>
    <row r="64" spans="1:15" s="277" customFormat="1" ht="58.35" customHeight="1">
      <c r="A64" s="590"/>
      <c r="B64" s="582"/>
      <c r="C64" s="577" t="s">
        <v>4267</v>
      </c>
      <c r="D64" s="578" t="s">
        <v>4268</v>
      </c>
      <c r="E64" s="579" t="s">
        <v>4771</v>
      </c>
      <c r="F64" s="278">
        <v>420</v>
      </c>
      <c r="G64" s="278">
        <f t="shared" si="5"/>
        <v>14</v>
      </c>
      <c r="H64" s="278">
        <v>4</v>
      </c>
      <c r="I64" s="278">
        <v>6</v>
      </c>
      <c r="J64" s="278">
        <v>0</v>
      </c>
      <c r="K64" s="278">
        <v>12</v>
      </c>
      <c r="L64" s="278">
        <f>F64-(J64+K64*30)</f>
        <v>60</v>
      </c>
      <c r="M64" s="580">
        <f t="shared" ref="M64:M80" si="7">L64/F64</f>
        <v>0.14285714285714285</v>
      </c>
      <c r="N64" s="249" t="str">
        <f t="shared" si="3"/>
        <v>Samsung Galaxy A57 5G 256GB - Navy - Unlimited - Smart 200</v>
      </c>
      <c r="O64" s="581" t="s">
        <v>4823</v>
      </c>
    </row>
    <row r="65" spans="1:15" s="98" customFormat="1" ht="58.35" customHeight="1">
      <c r="A65" s="590"/>
      <c r="B65" s="575"/>
      <c r="C65" s="149" t="s">
        <v>4269</v>
      </c>
      <c r="D65" s="173" t="s">
        <v>4270</v>
      </c>
      <c r="E65" s="143" t="s">
        <v>4771</v>
      </c>
      <c r="F65" s="144">
        <v>420</v>
      </c>
      <c r="G65" s="144">
        <f t="shared" si="5"/>
        <v>14</v>
      </c>
      <c r="H65" s="144">
        <v>4</v>
      </c>
      <c r="I65" s="144">
        <v>6</v>
      </c>
      <c r="J65" s="278">
        <v>0</v>
      </c>
      <c r="K65" s="144">
        <v>12</v>
      </c>
      <c r="L65" s="278">
        <f t="shared" ref="L65:L66" si="8">F65-(J65+K65*30)</f>
        <v>60</v>
      </c>
      <c r="M65" s="145">
        <f t="shared" si="7"/>
        <v>0.14285714285714285</v>
      </c>
      <c r="N65" s="146" t="str">
        <f t="shared" si="3"/>
        <v>Samsung Galaxy A57 5G 256GB - Gray - Unlimited - Smart 200</v>
      </c>
      <c r="O65" s="244" t="s">
        <v>4824</v>
      </c>
    </row>
    <row r="66" spans="1:15" s="98" customFormat="1" ht="58.35" customHeight="1">
      <c r="A66" s="590"/>
      <c r="C66" s="149" t="s">
        <v>4271</v>
      </c>
      <c r="D66" s="173" t="s">
        <v>4272</v>
      </c>
      <c r="E66" s="143" t="s">
        <v>4771</v>
      </c>
      <c r="F66" s="144">
        <v>360</v>
      </c>
      <c r="G66" s="144">
        <f t="shared" si="5"/>
        <v>12</v>
      </c>
      <c r="H66" s="144">
        <v>4</v>
      </c>
      <c r="I66" s="144">
        <v>6</v>
      </c>
      <c r="J66" s="278">
        <v>0</v>
      </c>
      <c r="K66" s="144">
        <v>10</v>
      </c>
      <c r="L66" s="278">
        <f t="shared" si="8"/>
        <v>60</v>
      </c>
      <c r="M66" s="145">
        <f t="shared" si="7"/>
        <v>0.16666666666666666</v>
      </c>
      <c r="N66" s="146" t="str">
        <f t="shared" si="3"/>
        <v>Samsung Galaxy A57 5G EE 128GB - Gray - Unlimited - Smart 200</v>
      </c>
      <c r="O66" s="244" t="s">
        <v>4825</v>
      </c>
    </row>
    <row r="67" spans="1:15" s="98" customFormat="1" ht="58.35" customHeight="1">
      <c r="A67" s="590"/>
      <c r="B67" s="280"/>
      <c r="C67" s="557" t="s">
        <v>4273</v>
      </c>
      <c r="D67" s="570" t="s">
        <v>4274</v>
      </c>
      <c r="E67" s="558" t="s">
        <v>4771</v>
      </c>
      <c r="F67" s="559">
        <v>300</v>
      </c>
      <c r="G67" s="559">
        <f t="shared" si="5"/>
        <v>10</v>
      </c>
      <c r="H67" s="559">
        <v>4</v>
      </c>
      <c r="I67" s="559">
        <v>6</v>
      </c>
      <c r="J67" s="559">
        <v>0</v>
      </c>
      <c r="K67" s="559">
        <v>8</v>
      </c>
      <c r="L67" s="559">
        <f>F67-(J67+K67*30)</f>
        <v>60</v>
      </c>
      <c r="M67" s="560">
        <f t="shared" si="7"/>
        <v>0.2</v>
      </c>
      <c r="N67" s="562" t="str">
        <f t="shared" si="3"/>
        <v>Samsung Galaxy A37 5G 128GB - Charcoal - Unlimited - Smart 200</v>
      </c>
      <c r="O67" s="561" t="s">
        <v>4877</v>
      </c>
    </row>
    <row r="68" spans="1:15" s="98" customFormat="1" ht="58.35" customHeight="1">
      <c r="A68" s="590"/>
      <c r="B68" s="280"/>
      <c r="C68" s="557" t="s">
        <v>4275</v>
      </c>
      <c r="D68" s="570" t="s">
        <v>4276</v>
      </c>
      <c r="E68" s="558" t="s">
        <v>4771</v>
      </c>
      <c r="F68" s="559">
        <v>300</v>
      </c>
      <c r="G68" s="559">
        <f t="shared" si="5"/>
        <v>10</v>
      </c>
      <c r="H68" s="559">
        <v>4</v>
      </c>
      <c r="I68" s="559">
        <v>6</v>
      </c>
      <c r="J68" s="559">
        <v>0</v>
      </c>
      <c r="K68" s="559">
        <v>8</v>
      </c>
      <c r="L68" s="559">
        <f t="shared" ref="L68:L70" si="9">F68-(J68+K68*30)</f>
        <v>60</v>
      </c>
      <c r="M68" s="560">
        <f t="shared" si="7"/>
        <v>0.2</v>
      </c>
      <c r="N68" s="562" t="str">
        <f t="shared" ref="N68:N86" si="10">CONCATENATE(C68, " ", "-", " ", "Unlimited - Smart 200")</f>
        <v>Samsung Galaxy A37 5G 128GB - Graygreen - Unlimited - Smart 200</v>
      </c>
      <c r="O68" s="561" t="s">
        <v>4878</v>
      </c>
    </row>
    <row r="69" spans="1:15" ht="58.35" customHeight="1">
      <c r="A69" s="590"/>
      <c r="B69" s="233"/>
      <c r="C69" s="557" t="s">
        <v>4277</v>
      </c>
      <c r="D69" s="570" t="s">
        <v>4278</v>
      </c>
      <c r="E69" s="558" t="s">
        <v>4771</v>
      </c>
      <c r="F69" s="559">
        <v>300</v>
      </c>
      <c r="G69" s="559">
        <f t="shared" si="5"/>
        <v>10</v>
      </c>
      <c r="H69" s="559">
        <v>4</v>
      </c>
      <c r="I69" s="559">
        <v>6</v>
      </c>
      <c r="J69" s="559">
        <v>0</v>
      </c>
      <c r="K69" s="559">
        <v>8</v>
      </c>
      <c r="L69" s="559">
        <f t="shared" si="9"/>
        <v>60</v>
      </c>
      <c r="M69" s="560">
        <f t="shared" si="7"/>
        <v>0.2</v>
      </c>
      <c r="N69" s="562" t="str">
        <f>CONCATENATE(C69, " ", "-", " ", "Unlimited - Smart 200")</f>
        <v>Samsung Galaxy A37 5G 128GB - White - Unlimited - Smart 200</v>
      </c>
      <c r="O69" s="561" t="s">
        <v>4879</v>
      </c>
    </row>
    <row r="70" spans="1:15" s="98" customFormat="1" ht="58.35" customHeight="1">
      <c r="A70" s="590"/>
      <c r="B70" s="279"/>
      <c r="C70" s="564" t="s">
        <v>4281</v>
      </c>
      <c r="D70" s="569" t="s">
        <v>4282</v>
      </c>
      <c r="E70" s="565" t="s">
        <v>4771</v>
      </c>
      <c r="F70" s="563">
        <v>255</v>
      </c>
      <c r="G70" s="563">
        <f>F70/30</f>
        <v>8.5</v>
      </c>
      <c r="H70" s="563">
        <v>4</v>
      </c>
      <c r="I70" s="563">
        <v>6</v>
      </c>
      <c r="J70" s="563">
        <v>0</v>
      </c>
      <c r="K70" s="563">
        <v>6.5</v>
      </c>
      <c r="L70" s="563">
        <f t="shared" si="9"/>
        <v>60</v>
      </c>
      <c r="M70" s="566">
        <f t="shared" si="7"/>
        <v>0.23529411764705882</v>
      </c>
      <c r="N70" s="567" t="str">
        <f t="shared" si="10"/>
        <v>Samsung Galaxy A27 5G 128GB - Black - Unlimited - Smart 200</v>
      </c>
      <c r="O70" s="568" t="s">
        <v>4880</v>
      </c>
    </row>
    <row r="71" spans="1:15" ht="58.35" customHeight="1">
      <c r="A71" s="590"/>
      <c r="B71" s="268"/>
      <c r="C71" s="564" t="s">
        <v>4283</v>
      </c>
      <c r="D71" s="569" t="s">
        <v>4284</v>
      </c>
      <c r="E71" s="565" t="s">
        <v>4771</v>
      </c>
      <c r="F71" s="563">
        <v>255</v>
      </c>
      <c r="G71" s="563">
        <f>F71/30</f>
        <v>8.5</v>
      </c>
      <c r="H71" s="563">
        <v>4</v>
      </c>
      <c r="I71" s="563">
        <v>6</v>
      </c>
      <c r="J71" s="563">
        <v>0</v>
      </c>
      <c r="K71" s="563">
        <v>6.5</v>
      </c>
      <c r="L71" s="563">
        <f t="shared" si="6"/>
        <v>60</v>
      </c>
      <c r="M71" s="566">
        <f t="shared" si="7"/>
        <v>0.23529411764705882</v>
      </c>
      <c r="N71" s="567" t="str">
        <f t="shared" si="10"/>
        <v>Samsung Galaxy A27 5G 128GB - Blue - Unlimited - Smart 200</v>
      </c>
      <c r="O71" s="568" t="s">
        <v>4881</v>
      </c>
    </row>
    <row r="72" spans="1:15" s="98" customFormat="1" ht="58.35" customHeight="1">
      <c r="A72" s="589" t="s">
        <v>4285</v>
      </c>
      <c r="B72" s="574"/>
      <c r="C72" s="149" t="s">
        <v>4693</v>
      </c>
      <c r="D72" s="149" t="s">
        <v>4666</v>
      </c>
      <c r="E72" s="143" t="s">
        <v>4771</v>
      </c>
      <c r="F72" s="144">
        <v>420</v>
      </c>
      <c r="G72" s="144">
        <f t="shared" ref="G72:G80" si="11">F72/30</f>
        <v>14</v>
      </c>
      <c r="H72" s="144">
        <v>4</v>
      </c>
      <c r="I72" s="144">
        <v>6</v>
      </c>
      <c r="J72" s="144">
        <v>0</v>
      </c>
      <c r="K72" s="144">
        <v>12</v>
      </c>
      <c r="L72" s="144">
        <f t="shared" si="6"/>
        <v>60</v>
      </c>
      <c r="M72" s="145">
        <f t="shared" si="7"/>
        <v>0.14285714285714285</v>
      </c>
      <c r="N72" s="146" t="str">
        <f t="shared" si="10"/>
        <v>Xiaomi Redmi Note 17 Pro Max 256GB - Black - Unlimited - Smart 200</v>
      </c>
      <c r="O72" s="581" t="s">
        <v>4827</v>
      </c>
    </row>
    <row r="73" spans="1:15" s="98" customFormat="1" ht="58.35" customHeight="1">
      <c r="A73" s="590"/>
      <c r="B73" s="574"/>
      <c r="C73" s="149" t="s">
        <v>4667</v>
      </c>
      <c r="D73" s="149" t="s">
        <v>4668</v>
      </c>
      <c r="E73" s="143" t="s">
        <v>4771</v>
      </c>
      <c r="F73" s="144">
        <v>360</v>
      </c>
      <c r="G73" s="144">
        <f t="shared" si="11"/>
        <v>12</v>
      </c>
      <c r="H73" s="144">
        <v>4</v>
      </c>
      <c r="I73" s="144">
        <v>6</v>
      </c>
      <c r="J73" s="144">
        <v>0</v>
      </c>
      <c r="K73" s="144">
        <v>10</v>
      </c>
      <c r="L73" s="144">
        <f t="shared" si="6"/>
        <v>60</v>
      </c>
      <c r="M73" s="145">
        <f t="shared" si="7"/>
        <v>0.16666666666666666</v>
      </c>
      <c r="N73" s="146" t="str">
        <f>CONCATENATE(C73, " ", "-", " ", "Unlimited - Smart 200")</f>
        <v>Xiaomi Redmi Note 17 Pro - 256GB - Black - Unlimited - Smart 200</v>
      </c>
      <c r="O73" s="581" t="s">
        <v>4828</v>
      </c>
    </row>
    <row r="74" spans="1:15" s="98" customFormat="1" ht="58.35" customHeight="1">
      <c r="A74" s="590"/>
      <c r="B74" s="583"/>
      <c r="C74" s="149" t="s">
        <v>4671</v>
      </c>
      <c r="D74" s="149" t="s">
        <v>4670</v>
      </c>
      <c r="E74" s="143" t="s">
        <v>4771</v>
      </c>
      <c r="F74" s="144">
        <v>285</v>
      </c>
      <c r="G74" s="144">
        <f t="shared" si="11"/>
        <v>9.5</v>
      </c>
      <c r="H74" s="144">
        <v>4</v>
      </c>
      <c r="I74" s="144">
        <v>6</v>
      </c>
      <c r="J74" s="144">
        <v>0</v>
      </c>
      <c r="K74" s="144">
        <v>7.5</v>
      </c>
      <c r="L74" s="144">
        <f t="shared" si="6"/>
        <v>60</v>
      </c>
      <c r="M74" s="145">
        <f t="shared" si="7"/>
        <v>0.21052631578947367</v>
      </c>
      <c r="N74" s="146" t="str">
        <f t="shared" si="10"/>
        <v>Xiaomi Redmi Note 17 5G - 256GB - Black - Unlimited - Smart 200</v>
      </c>
      <c r="O74" s="581" t="s">
        <v>4829</v>
      </c>
    </row>
    <row r="75" spans="1:15" s="277" customFormat="1" ht="58.35" customHeight="1">
      <c r="A75" s="590"/>
      <c r="B75" s="583"/>
      <c r="C75" s="577" t="s">
        <v>4669</v>
      </c>
      <c r="D75" s="577" t="s">
        <v>4673</v>
      </c>
      <c r="E75" s="579" t="s">
        <v>4771</v>
      </c>
      <c r="F75" s="278">
        <v>210</v>
      </c>
      <c r="G75" s="278">
        <f t="shared" si="11"/>
        <v>7</v>
      </c>
      <c r="H75" s="278">
        <v>4</v>
      </c>
      <c r="I75" s="278">
        <v>6</v>
      </c>
      <c r="J75" s="278">
        <v>0</v>
      </c>
      <c r="K75" s="278">
        <v>5</v>
      </c>
      <c r="L75" s="278">
        <f t="shared" si="6"/>
        <v>60</v>
      </c>
      <c r="M75" s="580">
        <f t="shared" si="7"/>
        <v>0.2857142857142857</v>
      </c>
      <c r="N75" s="249" t="str">
        <f t="shared" si="10"/>
        <v>Xiaomi Redmi 17 5G - 256GB - Black - Unlimited - Smart 200</v>
      </c>
      <c r="O75" s="581" t="s">
        <v>4830</v>
      </c>
    </row>
    <row r="76" spans="1:15" s="277" customFormat="1" ht="58.35" customHeight="1">
      <c r="A76" s="590"/>
      <c r="B76" s="583"/>
      <c r="C76" s="577" t="s">
        <v>4672</v>
      </c>
      <c r="D76" s="577" t="s">
        <v>4674</v>
      </c>
      <c r="E76" s="579" t="s">
        <v>4771</v>
      </c>
      <c r="F76" s="278">
        <v>210</v>
      </c>
      <c r="G76" s="278">
        <f t="shared" si="11"/>
        <v>7</v>
      </c>
      <c r="H76" s="278">
        <v>4</v>
      </c>
      <c r="I76" s="278">
        <v>6</v>
      </c>
      <c r="J76" s="278">
        <v>0</v>
      </c>
      <c r="K76" s="278">
        <v>5</v>
      </c>
      <c r="L76" s="278">
        <f t="shared" si="6"/>
        <v>60</v>
      </c>
      <c r="M76" s="580">
        <f t="shared" si="7"/>
        <v>0.2857142857142857</v>
      </c>
      <c r="N76" s="249" t="str">
        <f t="shared" si="10"/>
        <v>Xiaomi Redmi 17 5G - 256GB - Blue - Unlimited - Smart 200</v>
      </c>
      <c r="O76" s="581" t="s">
        <v>4831</v>
      </c>
    </row>
    <row r="77" spans="1:15" s="98" customFormat="1" ht="58.35" customHeight="1">
      <c r="A77" s="590"/>
      <c r="B77" s="574"/>
      <c r="C77" s="149" t="s">
        <v>4675</v>
      </c>
      <c r="D77" s="149" t="s">
        <v>4676</v>
      </c>
      <c r="E77" s="143" t="s">
        <v>4771</v>
      </c>
      <c r="F77" s="144">
        <v>180</v>
      </c>
      <c r="G77" s="144">
        <f t="shared" si="11"/>
        <v>6</v>
      </c>
      <c r="H77" s="144">
        <v>4</v>
      </c>
      <c r="I77" s="144">
        <v>6</v>
      </c>
      <c r="J77" s="144">
        <v>0</v>
      </c>
      <c r="K77" s="144">
        <v>4</v>
      </c>
      <c r="L77" s="144">
        <f t="shared" si="6"/>
        <v>60</v>
      </c>
      <c r="M77" s="145">
        <f t="shared" si="7"/>
        <v>0.33333333333333331</v>
      </c>
      <c r="N77" s="146" t="str">
        <f t="shared" si="10"/>
        <v>Xiaomi Redmi 17c 5G - 128GB - Black - Unlimited - Smart 200</v>
      </c>
      <c r="O77" s="244" t="s">
        <v>4832</v>
      </c>
    </row>
    <row r="78" spans="1:15" s="98" customFormat="1" ht="58.35" customHeight="1">
      <c r="A78" s="590"/>
      <c r="B78" s="574"/>
      <c r="C78" s="149" t="s">
        <v>4677</v>
      </c>
      <c r="D78" s="149" t="s">
        <v>4678</v>
      </c>
      <c r="E78" s="143" t="s">
        <v>4771</v>
      </c>
      <c r="F78" s="144">
        <v>180</v>
      </c>
      <c r="G78" s="144">
        <f t="shared" si="11"/>
        <v>6</v>
      </c>
      <c r="H78" s="144">
        <v>4</v>
      </c>
      <c r="I78" s="144">
        <v>6</v>
      </c>
      <c r="J78" s="144">
        <v>0</v>
      </c>
      <c r="K78" s="144">
        <v>4</v>
      </c>
      <c r="L78" s="144">
        <f t="shared" si="6"/>
        <v>60</v>
      </c>
      <c r="M78" s="145">
        <f t="shared" si="7"/>
        <v>0.33333333333333331</v>
      </c>
      <c r="N78" s="146" t="str">
        <f t="shared" si="10"/>
        <v>Xiaomi Redmi 17c 5G - 256GB - Brown - Unlimited - Smart 200</v>
      </c>
      <c r="O78" s="244" t="s">
        <v>4833</v>
      </c>
    </row>
    <row r="79" spans="1:15" s="98" customFormat="1" ht="58.35" customHeight="1">
      <c r="A79" s="590"/>
      <c r="B79" s="574"/>
      <c r="C79" s="149" t="s">
        <v>4286</v>
      </c>
      <c r="D79" s="149" t="s">
        <v>4287</v>
      </c>
      <c r="E79" s="143" t="s">
        <v>4771</v>
      </c>
      <c r="F79" s="144">
        <v>645</v>
      </c>
      <c r="G79" s="144">
        <f t="shared" si="11"/>
        <v>21.5</v>
      </c>
      <c r="H79" s="144">
        <v>4</v>
      </c>
      <c r="I79" s="144">
        <v>6</v>
      </c>
      <c r="J79" s="144">
        <v>0</v>
      </c>
      <c r="K79" s="144">
        <v>19.5</v>
      </c>
      <c r="L79" s="144">
        <f t="shared" si="6"/>
        <v>60</v>
      </c>
      <c r="M79" s="145">
        <f t="shared" si="7"/>
        <v>9.3023255813953487E-2</v>
      </c>
      <c r="N79" s="146" t="str">
        <f t="shared" si="10"/>
        <v>Xiaomi 17T Pro 512GB - Black - Unlimited - Smart 200</v>
      </c>
      <c r="O79" s="244" t="s">
        <v>4834</v>
      </c>
    </row>
    <row r="80" spans="1:15" s="98" customFormat="1" ht="58.35" customHeight="1">
      <c r="A80" s="590"/>
      <c r="B80" s="554"/>
      <c r="C80" s="149" t="s">
        <v>4288</v>
      </c>
      <c r="D80" s="149" t="s">
        <v>4289</v>
      </c>
      <c r="E80" s="143" t="s">
        <v>4771</v>
      </c>
      <c r="F80" s="144">
        <v>495</v>
      </c>
      <c r="G80" s="144">
        <f t="shared" si="11"/>
        <v>16.5</v>
      </c>
      <c r="H80" s="144">
        <v>4</v>
      </c>
      <c r="I80" s="144">
        <v>6</v>
      </c>
      <c r="J80" s="144">
        <v>0</v>
      </c>
      <c r="K80" s="144">
        <v>14.5</v>
      </c>
      <c r="L80" s="144">
        <f t="shared" si="6"/>
        <v>60</v>
      </c>
      <c r="M80" s="145">
        <f t="shared" si="7"/>
        <v>0.12121212121212122</v>
      </c>
      <c r="N80" s="146" t="str">
        <f t="shared" si="10"/>
        <v>Xiaomi 17T 256GB - Black - Unlimited - Smart 200</v>
      </c>
      <c r="O80" s="244" t="s">
        <v>4835</v>
      </c>
    </row>
    <row r="81" spans="1:15" s="98" customFormat="1" ht="58.35" customHeight="1">
      <c r="A81" s="590"/>
      <c r="B81" s="574"/>
      <c r="C81" s="149" t="s">
        <v>4292</v>
      </c>
      <c r="D81" s="173" t="s">
        <v>4293</v>
      </c>
      <c r="E81" s="143" t="s">
        <v>4771</v>
      </c>
      <c r="F81" s="144">
        <v>450</v>
      </c>
      <c r="G81" s="144">
        <f>F81/30</f>
        <v>15</v>
      </c>
      <c r="H81" s="144">
        <v>4</v>
      </c>
      <c r="I81" s="144">
        <v>6</v>
      </c>
      <c r="J81" s="144">
        <v>0</v>
      </c>
      <c r="K81" s="144">
        <v>13</v>
      </c>
      <c r="L81" s="144">
        <f>F81-(J81+K81*30)</f>
        <v>60</v>
      </c>
      <c r="M81" s="145">
        <f>L81/F81</f>
        <v>0.13333333333333333</v>
      </c>
      <c r="N81" s="146" t="str">
        <f t="shared" si="10"/>
        <v>Honor 600 5G 256GB - Black - Unlimited - Smart 200</v>
      </c>
      <c r="O81" s="244" t="s">
        <v>4836</v>
      </c>
    </row>
    <row r="82" spans="1:15" s="98" customFormat="1" ht="58.35" customHeight="1">
      <c r="A82" s="590"/>
      <c r="B82" s="554"/>
      <c r="C82" s="149" t="s">
        <v>4294</v>
      </c>
      <c r="D82" s="173" t="s">
        <v>4295</v>
      </c>
      <c r="E82" s="143" t="s">
        <v>4771</v>
      </c>
      <c r="F82" s="144">
        <v>600</v>
      </c>
      <c r="G82" s="144">
        <f>F82/30</f>
        <v>20</v>
      </c>
      <c r="H82" s="144">
        <v>4</v>
      </c>
      <c r="I82" s="144">
        <v>6</v>
      </c>
      <c r="J82" s="144">
        <v>0</v>
      </c>
      <c r="K82" s="144">
        <v>18</v>
      </c>
      <c r="L82" s="144">
        <f>F82-(J82+K82*30)</f>
        <v>60</v>
      </c>
      <c r="M82" s="145">
        <f>L82/F82</f>
        <v>0.1</v>
      </c>
      <c r="N82" s="146" t="str">
        <f t="shared" si="10"/>
        <v>Honor 600 Pro 512GB - Black - Unlimited - Smart 200</v>
      </c>
      <c r="O82" s="244" t="s">
        <v>4837</v>
      </c>
    </row>
    <row r="83" spans="1:15" s="98" customFormat="1" ht="58.35" customHeight="1">
      <c r="A83" s="590"/>
      <c r="B83" s="575"/>
      <c r="C83" s="149" t="s">
        <v>4296</v>
      </c>
      <c r="D83" s="173" t="s">
        <v>4297</v>
      </c>
      <c r="E83" s="143" t="s">
        <v>4771</v>
      </c>
      <c r="F83" s="144">
        <v>1440</v>
      </c>
      <c r="G83" s="144">
        <f t="shared" ref="G83:G86" si="12">F83/30</f>
        <v>48</v>
      </c>
      <c r="H83" s="144">
        <v>4</v>
      </c>
      <c r="I83" s="144">
        <v>6</v>
      </c>
      <c r="J83" s="144">
        <v>0</v>
      </c>
      <c r="K83" s="144">
        <v>45</v>
      </c>
      <c r="L83" s="144">
        <f t="shared" ref="L83:L86" si="13">F83-(J83+K83*30)</f>
        <v>90</v>
      </c>
      <c r="M83" s="145">
        <f t="shared" ref="M83:M86" si="14">L83/F83</f>
        <v>6.25E-2</v>
      </c>
      <c r="N83" s="146" t="str">
        <f t="shared" si="10"/>
        <v>Honor Magic V6 512GB - Black - Unlimited - Smart 200</v>
      </c>
      <c r="O83" s="244" t="s">
        <v>4838</v>
      </c>
    </row>
    <row r="84" spans="1:15" s="98" customFormat="1" ht="58.35" customHeight="1">
      <c r="A84" s="590"/>
      <c r="B84" s="575"/>
      <c r="C84" s="149" t="s">
        <v>4298</v>
      </c>
      <c r="D84" s="173" t="s">
        <v>4299</v>
      </c>
      <c r="E84" s="143" t="s">
        <v>4771</v>
      </c>
      <c r="F84" s="144">
        <v>300</v>
      </c>
      <c r="G84" s="144">
        <f t="shared" si="12"/>
        <v>10</v>
      </c>
      <c r="H84" s="144">
        <v>4</v>
      </c>
      <c r="I84" s="144">
        <v>6</v>
      </c>
      <c r="J84" s="278">
        <v>0</v>
      </c>
      <c r="K84" s="144">
        <v>8</v>
      </c>
      <c r="L84" s="278">
        <f t="shared" si="13"/>
        <v>60</v>
      </c>
      <c r="M84" s="145">
        <f t="shared" si="14"/>
        <v>0.2</v>
      </c>
      <c r="N84" s="146" t="str">
        <f t="shared" si="10"/>
        <v>Honor 600 Lite 5G 256GB  + EarBuds X7e Active - Velvet Black  - Unlimited - Smart 200</v>
      </c>
      <c r="O84" s="244" t="s">
        <v>4839</v>
      </c>
    </row>
    <row r="85" spans="1:15" s="98" customFormat="1" ht="58.35" customHeight="1">
      <c r="A85" s="590"/>
      <c r="B85" s="554"/>
      <c r="C85" s="149" t="s">
        <v>4300</v>
      </c>
      <c r="D85" s="173" t="s">
        <v>4301</v>
      </c>
      <c r="E85" s="143" t="s">
        <v>4771</v>
      </c>
      <c r="F85" s="144">
        <v>180</v>
      </c>
      <c r="G85" s="144">
        <f t="shared" si="12"/>
        <v>6</v>
      </c>
      <c r="H85" s="144">
        <v>4</v>
      </c>
      <c r="I85" s="144">
        <v>6</v>
      </c>
      <c r="J85" s="144">
        <v>0</v>
      </c>
      <c r="K85" s="144">
        <v>4</v>
      </c>
      <c r="L85" s="144">
        <f t="shared" si="13"/>
        <v>60</v>
      </c>
      <c r="M85" s="145">
        <f t="shared" si="14"/>
        <v>0.33333333333333331</v>
      </c>
      <c r="N85" s="146" t="str">
        <f t="shared" si="10"/>
        <v>Honor 600 Smart 5G 128GB - Black - Unlimited - Smart 200</v>
      </c>
      <c r="O85" s="244" t="s">
        <v>4840</v>
      </c>
    </row>
    <row r="86" spans="1:15" s="98" customFormat="1" ht="58.35" customHeight="1">
      <c r="A86" s="590"/>
      <c r="C86" s="149" t="s">
        <v>4302</v>
      </c>
      <c r="D86" s="173" t="s">
        <v>4303</v>
      </c>
      <c r="E86" s="143" t="s">
        <v>4771</v>
      </c>
      <c r="F86" s="144">
        <v>960</v>
      </c>
      <c r="G86" s="144">
        <f t="shared" si="12"/>
        <v>32</v>
      </c>
      <c r="H86" s="144" t="s">
        <v>4142</v>
      </c>
      <c r="I86" s="144" t="s">
        <v>4142</v>
      </c>
      <c r="J86" s="144">
        <v>0</v>
      </c>
      <c r="K86" s="144">
        <v>29</v>
      </c>
      <c r="L86" s="144">
        <f t="shared" si="13"/>
        <v>90</v>
      </c>
      <c r="M86" s="145">
        <f t="shared" si="14"/>
        <v>9.375E-2</v>
      </c>
      <c r="N86" s="146" t="str">
        <f t="shared" si="10"/>
        <v>Nextivity GO G41 - Unlimited - Smart 200</v>
      </c>
      <c r="O86" s="244" t="s">
        <v>4841</v>
      </c>
    </row>
    <row r="87" spans="1:15" s="98" customFormat="1" ht="58.35" customHeight="1">
      <c r="A87" s="590"/>
      <c r="C87" s="149" t="s">
        <v>4304</v>
      </c>
      <c r="D87" s="173" t="s">
        <v>4305</v>
      </c>
      <c r="E87" s="143" t="s">
        <v>4772</v>
      </c>
      <c r="F87" s="144">
        <v>1800</v>
      </c>
      <c r="G87" s="144">
        <f>F87/30</f>
        <v>60</v>
      </c>
      <c r="H87" s="144" t="s">
        <v>4142</v>
      </c>
      <c r="I87" s="144" t="s">
        <v>4142</v>
      </c>
      <c r="J87" s="278">
        <v>0</v>
      </c>
      <c r="K87" s="144">
        <v>55</v>
      </c>
      <c r="L87" s="278">
        <f>F87-(J87+K87*30)</f>
        <v>150</v>
      </c>
      <c r="M87" s="145">
        <f>L87/F87</f>
        <v>8.3333333333333329E-2</v>
      </c>
      <c r="N87" s="149" t="str">
        <f>CONCATENATE(C87, " ", "-", " ", "Unlimited MONDO")</f>
        <v>Nextivity GO G51 - Unlimited MONDO</v>
      </c>
      <c r="O87" s="244" t="s">
        <v>4842</v>
      </c>
    </row>
    <row r="88" spans="1:15" s="98" customFormat="1" ht="58.35" customHeight="1">
      <c r="A88" s="590"/>
      <c r="B88" s="554"/>
      <c r="C88" s="149" t="s">
        <v>4306</v>
      </c>
      <c r="D88" s="149" t="s">
        <v>4307</v>
      </c>
      <c r="E88" s="143" t="s">
        <v>4771</v>
      </c>
      <c r="F88" s="144">
        <v>300</v>
      </c>
      <c r="G88" s="144">
        <f t="shared" ref="G88:G100" si="15">F88/30</f>
        <v>10</v>
      </c>
      <c r="H88" s="144">
        <v>4</v>
      </c>
      <c r="I88" s="144">
        <v>6</v>
      </c>
      <c r="J88" s="144">
        <v>0</v>
      </c>
      <c r="K88" s="144">
        <v>8</v>
      </c>
      <c r="L88" s="144">
        <f t="shared" ref="L88:L96" si="16">F88-(J88+K88*30)</f>
        <v>60</v>
      </c>
      <c r="M88" s="145">
        <f t="shared" ref="M88:M96" si="17">L88/F88</f>
        <v>0.2</v>
      </c>
      <c r="N88" s="146" t="str">
        <f t="shared" ref="N88:N100" si="18">CONCATENATE(C88, " ", "-", " ", "Unlimited - Smart 200")</f>
        <v>Motorola Edge 70 Fusion 512GB + bundle Watch - Silhouette - Unlimited - Smart 200</v>
      </c>
      <c r="O88" s="244" t="s">
        <v>4843</v>
      </c>
    </row>
    <row r="89" spans="1:15" s="98" customFormat="1" ht="58.35" customHeight="1">
      <c r="A89" s="590"/>
      <c r="C89" s="149" t="s">
        <v>4308</v>
      </c>
      <c r="D89" s="149" t="s">
        <v>4309</v>
      </c>
      <c r="E89" s="143" t="s">
        <v>4771</v>
      </c>
      <c r="F89" s="144">
        <v>840</v>
      </c>
      <c r="G89" s="144">
        <f t="shared" si="15"/>
        <v>28</v>
      </c>
      <c r="H89" s="144">
        <v>4</v>
      </c>
      <c r="I89" s="144">
        <v>6</v>
      </c>
      <c r="J89" s="144">
        <v>0</v>
      </c>
      <c r="K89" s="144">
        <v>25</v>
      </c>
      <c r="L89" s="144">
        <f t="shared" si="16"/>
        <v>90</v>
      </c>
      <c r="M89" s="145">
        <f t="shared" si="17"/>
        <v>0.10714285714285714</v>
      </c>
      <c r="N89" s="146" t="str">
        <f t="shared" si="18"/>
        <v>Motorola Signature 512GB - Carbon - Unlimited - Smart 200</v>
      </c>
      <c r="O89" s="244" t="s">
        <v>4844</v>
      </c>
    </row>
    <row r="90" spans="1:15" s="98" customFormat="1" ht="58.35" customHeight="1">
      <c r="A90" s="590"/>
      <c r="B90" s="554"/>
      <c r="C90" s="149" t="s">
        <v>4310</v>
      </c>
      <c r="D90" s="149" t="s">
        <v>4311</v>
      </c>
      <c r="E90" s="143" t="s">
        <v>4771</v>
      </c>
      <c r="F90" s="144">
        <v>690</v>
      </c>
      <c r="G90" s="144">
        <f t="shared" si="15"/>
        <v>23</v>
      </c>
      <c r="H90" s="144">
        <v>4</v>
      </c>
      <c r="I90" s="144">
        <v>6</v>
      </c>
      <c r="J90" s="144">
        <v>0</v>
      </c>
      <c r="K90" s="144">
        <v>20</v>
      </c>
      <c r="L90" s="144">
        <f t="shared" si="16"/>
        <v>90</v>
      </c>
      <c r="M90" s="145">
        <f t="shared" si="17"/>
        <v>0.13043478260869565</v>
      </c>
      <c r="N90" s="146" t="str">
        <f t="shared" si="18"/>
        <v>Motorola Razr 70 Plus  512GB - Mountain View - Unlimited - Smart 200</v>
      </c>
      <c r="O90" s="244" t="s">
        <v>4845</v>
      </c>
    </row>
    <row r="91" spans="1:15" s="98" customFormat="1" ht="58.35" customHeight="1">
      <c r="A91" s="590"/>
      <c r="B91" s="554"/>
      <c r="C91" s="149" t="s">
        <v>4312</v>
      </c>
      <c r="D91" s="149" t="s">
        <v>4313</v>
      </c>
      <c r="E91" s="143" t="s">
        <v>4771</v>
      </c>
      <c r="F91" s="144">
        <v>1170</v>
      </c>
      <c r="G91" s="144">
        <f t="shared" si="15"/>
        <v>39</v>
      </c>
      <c r="H91" s="144">
        <v>4</v>
      </c>
      <c r="I91" s="144">
        <v>6</v>
      </c>
      <c r="J91" s="144">
        <v>0</v>
      </c>
      <c r="K91" s="144">
        <v>36</v>
      </c>
      <c r="L91" s="144">
        <f t="shared" si="16"/>
        <v>90</v>
      </c>
      <c r="M91" s="145">
        <f t="shared" si="17"/>
        <v>7.6923076923076927E-2</v>
      </c>
      <c r="N91" s="146" t="str">
        <f t="shared" si="18"/>
        <v>Motorola Razr Fold  512GB - Blackened Blue - Unlimited - Smart 200</v>
      </c>
      <c r="O91" s="244" t="s">
        <v>4846</v>
      </c>
    </row>
    <row r="92" spans="1:15" s="98" customFormat="1" ht="58.35" customHeight="1">
      <c r="A92" s="590"/>
      <c r="B92" s="554"/>
      <c r="C92" s="149" t="s">
        <v>4314</v>
      </c>
      <c r="D92" s="149" t="s">
        <v>4315</v>
      </c>
      <c r="E92" s="143" t="s">
        <v>4771</v>
      </c>
      <c r="F92" s="144">
        <v>180</v>
      </c>
      <c r="G92" s="144">
        <f t="shared" si="15"/>
        <v>6</v>
      </c>
      <c r="H92" s="144">
        <v>4</v>
      </c>
      <c r="I92" s="144">
        <v>6</v>
      </c>
      <c r="J92" s="144">
        <v>0</v>
      </c>
      <c r="K92" s="144">
        <v>4</v>
      </c>
      <c r="L92" s="144">
        <f t="shared" si="16"/>
        <v>60</v>
      </c>
      <c r="M92" s="145">
        <f t="shared" si="17"/>
        <v>0.33333333333333331</v>
      </c>
      <c r="N92" s="146" t="str">
        <f t="shared" si="18"/>
        <v>Motorola Moto G57 5G 256GB - Corsair - Unlimited - Smart 200</v>
      </c>
      <c r="O92" s="244" t="s">
        <v>4847</v>
      </c>
    </row>
    <row r="93" spans="1:15" s="98" customFormat="1" ht="58.35" customHeight="1">
      <c r="A93" s="590"/>
      <c r="B93" s="554"/>
      <c r="C93" s="149" t="s">
        <v>4316</v>
      </c>
      <c r="D93" s="173" t="s">
        <v>4317</v>
      </c>
      <c r="E93" s="143" t="s">
        <v>4771</v>
      </c>
      <c r="F93" s="144">
        <v>210</v>
      </c>
      <c r="G93" s="144">
        <f t="shared" si="15"/>
        <v>7</v>
      </c>
      <c r="H93" s="144">
        <v>4</v>
      </c>
      <c r="I93" s="144">
        <v>6</v>
      </c>
      <c r="J93" s="278">
        <v>0</v>
      </c>
      <c r="K93" s="144">
        <v>5</v>
      </c>
      <c r="L93" s="278">
        <f t="shared" si="16"/>
        <v>60</v>
      </c>
      <c r="M93" s="145">
        <f t="shared" si="17"/>
        <v>0.2857142857142857</v>
      </c>
      <c r="N93" s="146" t="str">
        <f t="shared" si="18"/>
        <v>TCL NXTPAPER 70 PRO 256GB - Stellar Blue - Unlimited - Smart 200</v>
      </c>
      <c r="O93" s="244" t="s">
        <v>4848</v>
      </c>
    </row>
    <row r="94" spans="1:15" s="98" customFormat="1" ht="58.35" customHeight="1">
      <c r="A94" s="590"/>
      <c r="B94" s="574"/>
      <c r="C94" s="149" t="s">
        <v>4683</v>
      </c>
      <c r="D94" s="173" t="s">
        <v>4682</v>
      </c>
      <c r="E94" s="143" t="s">
        <v>4771</v>
      </c>
      <c r="F94" s="144">
        <v>300</v>
      </c>
      <c r="G94" s="144">
        <f t="shared" si="15"/>
        <v>10</v>
      </c>
      <c r="H94" s="144">
        <v>4</v>
      </c>
      <c r="I94" s="144">
        <v>6</v>
      </c>
      <c r="J94" s="144">
        <v>0</v>
      </c>
      <c r="K94" s="144">
        <v>8</v>
      </c>
      <c r="L94" s="144">
        <f t="shared" si="16"/>
        <v>60</v>
      </c>
      <c r="M94" s="145">
        <f t="shared" si="17"/>
        <v>0.2</v>
      </c>
      <c r="N94" s="146" t="str">
        <f t="shared" si="18"/>
        <v>TCL P80 Pro 256GB - Midnight Black - Unlimited - Smart 200</v>
      </c>
      <c r="O94" s="244" t="s">
        <v>4849</v>
      </c>
    </row>
    <row r="95" spans="1:15" s="98" customFormat="1" ht="58.35" customHeight="1">
      <c r="A95" s="590"/>
      <c r="B95" s="573"/>
      <c r="C95" s="149" t="s">
        <v>4318</v>
      </c>
      <c r="D95" s="173" t="s">
        <v>4319</v>
      </c>
      <c r="E95" s="143" t="s">
        <v>4771</v>
      </c>
      <c r="F95" s="144">
        <v>120</v>
      </c>
      <c r="G95" s="144">
        <f t="shared" si="15"/>
        <v>4</v>
      </c>
      <c r="H95" s="144">
        <v>4</v>
      </c>
      <c r="I95" s="144">
        <v>6</v>
      </c>
      <c r="J95" s="144">
        <v>0</v>
      </c>
      <c r="K95" s="144">
        <v>1</v>
      </c>
      <c r="L95" s="144">
        <f t="shared" si="16"/>
        <v>90</v>
      </c>
      <c r="M95" s="145">
        <f t="shared" si="17"/>
        <v>0.75</v>
      </c>
      <c r="N95" s="146" t="str">
        <f t="shared" si="18"/>
        <v>TCL K70 5G 128GB - Midnight Black - Unlimited - Smart 200</v>
      </c>
      <c r="O95" s="244" t="s">
        <v>4850</v>
      </c>
    </row>
    <row r="96" spans="1:15" s="98" customFormat="1" ht="58.35" customHeight="1">
      <c r="A96" s="590"/>
      <c r="B96" s="573"/>
      <c r="C96" s="149" t="s">
        <v>4320</v>
      </c>
      <c r="D96" s="173" t="s">
        <v>4321</v>
      </c>
      <c r="E96" s="143" t="s">
        <v>4771</v>
      </c>
      <c r="F96" s="144">
        <v>120</v>
      </c>
      <c r="G96" s="144">
        <f t="shared" si="15"/>
        <v>4</v>
      </c>
      <c r="H96" s="144">
        <v>4</v>
      </c>
      <c r="I96" s="144">
        <v>6</v>
      </c>
      <c r="J96" s="144">
        <v>0</v>
      </c>
      <c r="K96" s="144">
        <v>1</v>
      </c>
      <c r="L96" s="144">
        <f t="shared" si="16"/>
        <v>90</v>
      </c>
      <c r="M96" s="145">
        <f t="shared" si="17"/>
        <v>0.75</v>
      </c>
      <c r="N96" s="146" t="str">
        <f t="shared" si="18"/>
        <v>TCL K70 5G 128GB - Stardust Blue - Unlimited - Smart 200</v>
      </c>
      <c r="O96" s="244" t="s">
        <v>4851</v>
      </c>
    </row>
    <row r="97" spans="1:15" s="98" customFormat="1" ht="58.35" customHeight="1">
      <c r="A97" s="590"/>
      <c r="B97" s="573"/>
      <c r="C97" s="149" t="s">
        <v>4322</v>
      </c>
      <c r="D97" s="173" t="s">
        <v>4323</v>
      </c>
      <c r="E97" s="143" t="s">
        <v>4771</v>
      </c>
      <c r="F97" s="144">
        <v>120</v>
      </c>
      <c r="G97" s="144">
        <f t="shared" si="15"/>
        <v>4</v>
      </c>
      <c r="H97" s="144">
        <v>4</v>
      </c>
      <c r="I97" s="144">
        <v>6</v>
      </c>
      <c r="J97" s="144">
        <v>0</v>
      </c>
      <c r="K97" s="144">
        <v>1</v>
      </c>
      <c r="L97" s="144">
        <f>F97-(J97+K97*30)</f>
        <v>90</v>
      </c>
      <c r="M97" s="145">
        <f>L97/F97</f>
        <v>0.75</v>
      </c>
      <c r="N97" s="146" t="str">
        <f t="shared" si="18"/>
        <v>New ZTE Blade A76 5G 128GB - Stardust Black - Unlimited - Smart 200</v>
      </c>
      <c r="O97" s="244" t="s">
        <v>4852</v>
      </c>
    </row>
    <row r="98" spans="1:15" s="98" customFormat="1" ht="58.35" customHeight="1">
      <c r="A98" s="590"/>
      <c r="B98" s="554"/>
      <c r="C98" s="149" t="s">
        <v>4324</v>
      </c>
      <c r="D98" s="173" t="s">
        <v>4325</v>
      </c>
      <c r="E98" s="143" t="s">
        <v>4771</v>
      </c>
      <c r="F98" s="144">
        <v>285</v>
      </c>
      <c r="G98" s="144">
        <f t="shared" si="15"/>
        <v>9.5</v>
      </c>
      <c r="H98" s="144">
        <v>4</v>
      </c>
      <c r="I98" s="144">
        <v>6</v>
      </c>
      <c r="J98" s="144">
        <v>30</v>
      </c>
      <c r="K98" s="144">
        <v>6.5</v>
      </c>
      <c r="L98" s="144">
        <f>F98-(J98+K98*30)</f>
        <v>60</v>
      </c>
      <c r="M98" s="145">
        <f>L98/F98</f>
        <v>0.21052631578947367</v>
      </c>
      <c r="N98" s="146" t="str">
        <f t="shared" si="18"/>
        <v>ZTE Nubia Neo 5 GT 256GB - Black - Unlimited - Smart 200</v>
      </c>
      <c r="O98" s="244" t="s">
        <v>4853</v>
      </c>
    </row>
    <row r="99" spans="1:15" s="98" customFormat="1" ht="58.35" customHeight="1">
      <c r="A99" s="590"/>
      <c r="B99" s="554"/>
      <c r="C99" s="149" t="s">
        <v>4326</v>
      </c>
      <c r="D99" s="173" t="s">
        <v>4327</v>
      </c>
      <c r="E99" s="143" t="s">
        <v>4771</v>
      </c>
      <c r="F99" s="144">
        <v>240</v>
      </c>
      <c r="G99" s="144">
        <f t="shared" si="15"/>
        <v>8</v>
      </c>
      <c r="H99" s="144">
        <v>4</v>
      </c>
      <c r="I99" s="144">
        <v>6</v>
      </c>
      <c r="J99" s="278">
        <v>0</v>
      </c>
      <c r="K99" s="144">
        <v>5</v>
      </c>
      <c r="L99" s="278">
        <f>F99-(J99+K99*30)</f>
        <v>90</v>
      </c>
      <c r="M99" s="145">
        <f>L99/F99</f>
        <v>0.375</v>
      </c>
      <c r="N99" s="146" t="str">
        <f t="shared" si="18"/>
        <v>ZTE Nubia Air 5G 512GB - Black - Unlimited - Smart 200</v>
      </c>
      <c r="O99" s="244" t="s">
        <v>4854</v>
      </c>
    </row>
    <row r="100" spans="1:15" s="98" customFormat="1" ht="58.35" customHeight="1">
      <c r="A100" s="590"/>
      <c r="B100" s="554"/>
      <c r="C100" s="149" t="s">
        <v>4328</v>
      </c>
      <c r="D100" s="173" t="s">
        <v>4329</v>
      </c>
      <c r="E100" s="143" t="s">
        <v>4771</v>
      </c>
      <c r="F100" s="144">
        <v>150</v>
      </c>
      <c r="G100" s="144">
        <f t="shared" si="15"/>
        <v>5</v>
      </c>
      <c r="H100" s="144">
        <v>4</v>
      </c>
      <c r="I100" s="144">
        <v>6</v>
      </c>
      <c r="J100" s="278">
        <v>0</v>
      </c>
      <c r="K100" s="144">
        <v>2</v>
      </c>
      <c r="L100" s="278">
        <f>F100-(J100+K100*30)</f>
        <v>90</v>
      </c>
      <c r="M100" s="145">
        <f>L100/F100</f>
        <v>0.6</v>
      </c>
      <c r="N100" s="146" t="str">
        <f t="shared" si="18"/>
        <v>ZTE Nubia Focus 2 5G 256GB - Obsidian Black - Unlimited - Smart 200</v>
      </c>
      <c r="O100" s="244" t="s">
        <v>4855</v>
      </c>
    </row>
    <row r="102" spans="1:15" ht="58.2" customHeight="1">
      <c r="B102" s="554"/>
      <c r="C102" s="120"/>
      <c r="D102" s="152"/>
      <c r="F102" s="275"/>
      <c r="H102" s="121"/>
      <c r="I102" s="121"/>
      <c r="J102" s="276"/>
      <c r="K102" s="121"/>
      <c r="L102" s="267"/>
      <c r="M102" s="122"/>
      <c r="N102" s="266"/>
      <c r="O102" s="123"/>
    </row>
    <row r="103" spans="1:15" ht="58.35" customHeight="1">
      <c r="B103" s="554"/>
    </row>
  </sheetData>
  <autoFilter ref="A4:X100" xr:uid="{D013470B-8078-4246-AB46-68C1FA66AE4C}"/>
  <mergeCells count="6">
    <mergeCell ref="A72:A100"/>
    <mergeCell ref="D2:O2"/>
    <mergeCell ref="C3:O3"/>
    <mergeCell ref="P3:X3"/>
    <mergeCell ref="A5:A21"/>
    <mergeCell ref="A22:A7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3141-CA79-4A5E-8F42-8E2224BC4764}">
  <sheetPr codeName="Foglio6"/>
  <dimension ref="A2:T26"/>
  <sheetViews>
    <sheetView zoomScale="40" zoomScaleNormal="40" workbookViewId="0">
      <pane ySplit="4" topLeftCell="A6" activePane="bottomLeft" state="frozen"/>
      <selection activeCell="C103" sqref="C103:D103"/>
      <selection pane="bottomLeft" activeCell="P9" sqref="P9"/>
    </sheetView>
  </sheetViews>
  <sheetFormatPr defaultColWidth="9.33203125" defaultRowHeight="13.2"/>
  <cols>
    <col min="1" max="1" width="9.33203125" style="1"/>
    <col min="2" max="2" width="15" style="228" customWidth="1"/>
    <col min="3" max="3" width="62.6640625" style="84" customWidth="1"/>
    <col min="4" max="4" width="60.44140625" style="61" customWidth="1"/>
    <col min="5" max="5" width="54.33203125" style="2" customWidth="1"/>
    <col min="6" max="6" width="39.109375" style="61" customWidth="1"/>
    <col min="7" max="7" width="18.33203125" style="61" customWidth="1"/>
    <col min="8" max="9" width="18.33203125" style="2" customWidth="1"/>
    <col min="10" max="10" width="30.109375" style="84" customWidth="1"/>
    <col min="11" max="11" width="23.33203125" style="84" customWidth="1"/>
    <col min="12" max="12" width="16.5546875" style="8" customWidth="1"/>
    <col min="13" max="13" width="19.33203125" style="70" customWidth="1"/>
    <col min="14" max="14" width="65.5546875" style="157" customWidth="1"/>
    <col min="15" max="15" width="32.33203125" style="61" customWidth="1"/>
    <col min="16" max="16" width="27" style="1" customWidth="1"/>
    <col min="17" max="16384" width="9.33203125" style="1"/>
  </cols>
  <sheetData>
    <row r="2" spans="1:20" ht="109.2" customHeight="1">
      <c r="D2" s="608"/>
      <c r="E2" s="608"/>
      <c r="F2" s="609"/>
      <c r="G2" s="609"/>
      <c r="H2" s="83"/>
      <c r="I2" s="83"/>
      <c r="J2" s="604"/>
      <c r="K2" s="604"/>
      <c r="L2" s="604"/>
      <c r="M2" s="604"/>
      <c r="N2" s="604"/>
    </row>
    <row r="3" spans="1:20" ht="15.6" customHeight="1" thickBot="1">
      <c r="C3" s="248"/>
      <c r="D3" s="605" t="s">
        <v>4147</v>
      </c>
      <c r="E3" s="605"/>
      <c r="F3" s="605"/>
      <c r="G3" s="605"/>
      <c r="H3" s="605"/>
      <c r="I3" s="605"/>
      <c r="J3" s="605"/>
      <c r="K3" s="605"/>
      <c r="L3" s="605"/>
      <c r="M3" s="605"/>
      <c r="N3" s="151"/>
    </row>
    <row r="4" spans="1:20" ht="108" customHeight="1" thickBot="1">
      <c r="B4" s="229"/>
      <c r="C4" s="227" t="s">
        <v>4132</v>
      </c>
      <c r="D4" s="74" t="s">
        <v>4133</v>
      </c>
      <c r="E4" s="74" t="s">
        <v>4134</v>
      </c>
      <c r="F4" s="129" t="s">
        <v>4135</v>
      </c>
      <c r="G4" s="129" t="s">
        <v>4136</v>
      </c>
      <c r="H4" s="75" t="s">
        <v>4137</v>
      </c>
      <c r="I4" s="76" t="s">
        <v>4138</v>
      </c>
      <c r="J4" s="77" t="s">
        <v>4148</v>
      </c>
      <c r="K4" s="77" t="s">
        <v>4149</v>
      </c>
      <c r="L4" s="77" t="s">
        <v>4348</v>
      </c>
      <c r="M4" s="77" t="s">
        <v>4349</v>
      </c>
      <c r="N4" s="246" t="s">
        <v>4350</v>
      </c>
      <c r="O4" s="247" t="s">
        <v>4153</v>
      </c>
    </row>
    <row r="5" spans="1:20" s="98" customFormat="1" ht="75.599999999999994" customHeight="1">
      <c r="A5" s="611" t="s">
        <v>4351</v>
      </c>
      <c r="B5" s="279"/>
      <c r="C5" s="282" t="s">
        <v>4352</v>
      </c>
      <c r="D5" s="238" t="s">
        <v>4353</v>
      </c>
      <c r="E5" s="238" t="s">
        <v>4354</v>
      </c>
      <c r="F5" s="283">
        <v>1230</v>
      </c>
      <c r="G5" s="283">
        <f t="shared" ref="G5" si="0">F5/30</f>
        <v>41</v>
      </c>
      <c r="H5" s="242">
        <v>4</v>
      </c>
      <c r="I5" s="242">
        <v>6</v>
      </c>
      <c r="J5" s="181">
        <v>200</v>
      </c>
      <c r="K5" s="181">
        <v>33</v>
      </c>
      <c r="L5" s="181">
        <f t="shared" ref="L5" si="1">F5-(J5+K5*30)</f>
        <v>40</v>
      </c>
      <c r="M5" s="284">
        <f t="shared" ref="M5" si="2">L5/F5</f>
        <v>3.2520325203252036E-2</v>
      </c>
      <c r="N5" s="182" t="str">
        <f>CONCATENATE(C5, " ", "-", " ", "SUPER GIGA 70_UNL")</f>
        <v>Apple iPad Pro 11 Std Glass ed 2025 - Space Black - SUPER GIGA 70_UNL</v>
      </c>
      <c r="O5" s="245" t="s">
        <v>4355</v>
      </c>
    </row>
    <row r="6" spans="1:20" s="98" customFormat="1" ht="62.1" customHeight="1">
      <c r="A6" s="590"/>
      <c r="B6" s="279"/>
      <c r="C6" s="282" t="s">
        <v>4356</v>
      </c>
      <c r="D6" s="238" t="s">
        <v>4357</v>
      </c>
      <c r="E6" s="238" t="s">
        <v>4354</v>
      </c>
      <c r="F6" s="283">
        <v>1230</v>
      </c>
      <c r="G6" s="283">
        <f t="shared" ref="G6" si="3">F6/30</f>
        <v>41</v>
      </c>
      <c r="H6" s="242">
        <v>4</v>
      </c>
      <c r="I6" s="242">
        <v>6</v>
      </c>
      <c r="J6" s="181">
        <v>200</v>
      </c>
      <c r="K6" s="181">
        <v>33</v>
      </c>
      <c r="L6" s="181">
        <f t="shared" ref="L6" si="4">F6-(J6+K6*30)</f>
        <v>40</v>
      </c>
      <c r="M6" s="284">
        <f t="shared" ref="M6" si="5">L6/F6</f>
        <v>3.2520325203252036E-2</v>
      </c>
      <c r="N6" s="182" t="str">
        <f>CONCATENATE(C6, " ", "-", " ", "SUPER GIGA 70_UNL")</f>
        <v>Apple iPad Pro 11 Std Glass ed 2025 - Silver - SUPER GIGA 70_UNL</v>
      </c>
      <c r="O6" s="245" t="s">
        <v>4358</v>
      </c>
    </row>
    <row r="7" spans="1:20" s="98" customFormat="1" ht="80.099999999999994" customHeight="1">
      <c r="A7" s="590"/>
      <c r="B7" s="279"/>
      <c r="C7" s="238" t="s">
        <v>4359</v>
      </c>
      <c r="D7" s="238" t="s">
        <v>4360</v>
      </c>
      <c r="E7" s="238" t="s">
        <v>4354</v>
      </c>
      <c r="F7" s="283">
        <v>1500</v>
      </c>
      <c r="G7" s="283">
        <f t="shared" ref="G7" si="6">F7/30</f>
        <v>50</v>
      </c>
      <c r="H7" s="242">
        <v>4</v>
      </c>
      <c r="I7" s="242">
        <v>6</v>
      </c>
      <c r="J7" s="181">
        <v>250</v>
      </c>
      <c r="K7" s="181">
        <v>40</v>
      </c>
      <c r="L7" s="181">
        <f t="shared" ref="L7" si="7">F7-(J7+K7*30)</f>
        <v>50</v>
      </c>
      <c r="M7" s="284">
        <f t="shared" ref="M7" si="8">L7/F7</f>
        <v>3.3333333333333333E-2</v>
      </c>
      <c r="N7" s="182" t="str">
        <f t="shared" ref="N7:N8" si="9">CONCATENATE(C7, " ", "-", " ", "SUPER GIGA 70_UNL")</f>
        <v>Apple iPad Pro 13 Std Glass ed 2025 - Space Black - SUPER GIGA 70_UNL</v>
      </c>
      <c r="O7" s="285" t="s">
        <v>4361</v>
      </c>
    </row>
    <row r="8" spans="1:20" s="277" customFormat="1" ht="53.1" customHeight="1">
      <c r="A8" s="590"/>
      <c r="B8" s="279"/>
      <c r="C8" s="238" t="s">
        <v>4362</v>
      </c>
      <c r="D8" s="238" t="s">
        <v>4363</v>
      </c>
      <c r="E8" s="238" t="s">
        <v>4354</v>
      </c>
      <c r="F8" s="283">
        <v>1500</v>
      </c>
      <c r="G8" s="283">
        <f t="shared" ref="G8" si="10">F8/30</f>
        <v>50</v>
      </c>
      <c r="H8" s="242">
        <v>4</v>
      </c>
      <c r="I8" s="242">
        <v>6</v>
      </c>
      <c r="J8" s="181">
        <v>250</v>
      </c>
      <c r="K8" s="181">
        <v>40</v>
      </c>
      <c r="L8" s="181">
        <f t="shared" ref="L8" si="11">F8-(J8+K8*30)</f>
        <v>50</v>
      </c>
      <c r="M8" s="284">
        <f t="shared" ref="M8" si="12">L8/F8</f>
        <v>3.3333333333333333E-2</v>
      </c>
      <c r="N8" s="182" t="str">
        <f t="shared" si="9"/>
        <v>Apple iPad Pro 13 Std Glass ed 2025 - Silver - SUPER GIGA 70_UNL</v>
      </c>
      <c r="O8" s="285" t="s">
        <v>4364</v>
      </c>
    </row>
    <row r="9" spans="1:20" s="277" customFormat="1" ht="65.099999999999994" customHeight="1">
      <c r="A9" s="590"/>
      <c r="B9" s="279"/>
      <c r="C9" s="238" t="s">
        <v>4365</v>
      </c>
      <c r="D9" s="286" t="s">
        <v>4366</v>
      </c>
      <c r="E9" s="238" t="s">
        <v>4354</v>
      </c>
      <c r="F9" s="283">
        <v>900</v>
      </c>
      <c r="G9" s="283">
        <f>F9/30</f>
        <v>30</v>
      </c>
      <c r="H9" s="242">
        <v>4</v>
      </c>
      <c r="I9" s="242">
        <v>6</v>
      </c>
      <c r="J9" s="181">
        <v>150</v>
      </c>
      <c r="K9" s="181">
        <v>22</v>
      </c>
      <c r="L9" s="181">
        <f t="shared" ref="L9" si="13">F9-(J9+K9*30)</f>
        <v>90</v>
      </c>
      <c r="M9" s="284">
        <f t="shared" ref="M9" si="14">L9/F9</f>
        <v>0.1</v>
      </c>
      <c r="N9" s="182" t="str">
        <f>CONCATENATE(C9, " ", "-", " ", "SUPER GIGA 70_UNL")</f>
        <v>Apple iPad Air 11 2026 - 256GB - Space Gray - SUPER GIGA 70_UNL</v>
      </c>
      <c r="O9" s="285" t="s">
        <v>4367</v>
      </c>
    </row>
    <row r="10" spans="1:20" s="277" customFormat="1" ht="53.1" customHeight="1">
      <c r="A10" s="590"/>
      <c r="B10" s="279"/>
      <c r="C10" s="282" t="s">
        <v>4368</v>
      </c>
      <c r="D10" s="286" t="s">
        <v>4369</v>
      </c>
      <c r="E10" s="238" t="s">
        <v>4354</v>
      </c>
      <c r="F10" s="283">
        <v>645</v>
      </c>
      <c r="G10" s="283">
        <f t="shared" ref="G10:G12" si="15">F10/30</f>
        <v>21.5</v>
      </c>
      <c r="H10" s="242">
        <v>4</v>
      </c>
      <c r="I10" s="242">
        <v>6</v>
      </c>
      <c r="J10" s="181">
        <v>100</v>
      </c>
      <c r="K10" s="181">
        <v>15.5</v>
      </c>
      <c r="L10" s="181">
        <f t="shared" ref="L10:L11" si="16">F10-(J10+K10*30)</f>
        <v>80</v>
      </c>
      <c r="M10" s="284">
        <f t="shared" ref="M10:M12" si="17">L10/F10</f>
        <v>0.12403100775193798</v>
      </c>
      <c r="N10" s="182" t="str">
        <f>CONCATENATE(C10, " ", "-", " ", "SUPER GIGA 70_UNL")</f>
        <v>Apple iPad 11 2025 - 256GB - Silver - SUPER GIGA 70_UNL</v>
      </c>
      <c r="O10" s="285" t="s">
        <v>4370</v>
      </c>
    </row>
    <row r="11" spans="1:20" s="98" customFormat="1" ht="53.1" customHeight="1">
      <c r="A11" s="590"/>
      <c r="B11" s="279"/>
      <c r="C11" s="238" t="s">
        <v>4371</v>
      </c>
      <c r="D11" s="238" t="s">
        <v>4372</v>
      </c>
      <c r="E11" s="238" t="s">
        <v>4354</v>
      </c>
      <c r="F11" s="283">
        <v>540</v>
      </c>
      <c r="G11" s="283">
        <f t="shared" si="15"/>
        <v>18</v>
      </c>
      <c r="H11" s="242">
        <v>4</v>
      </c>
      <c r="I11" s="242">
        <v>6</v>
      </c>
      <c r="J11" s="181">
        <v>0</v>
      </c>
      <c r="K11" s="181">
        <v>13.5</v>
      </c>
      <c r="L11" s="181">
        <f t="shared" si="16"/>
        <v>135</v>
      </c>
      <c r="M11" s="284">
        <f t="shared" si="17"/>
        <v>0.25</v>
      </c>
      <c r="N11" s="182" t="str">
        <f>CONCATENATE(C11, " ", "-", " ", "SUPER GIGA 70_UNL")</f>
        <v>Apple iPad 11th gen (2025) 128GB - Silver - SUPER GIGA 70_UNL</v>
      </c>
      <c r="O11" s="285" t="s">
        <v>4373</v>
      </c>
    </row>
    <row r="12" spans="1:20" s="10" customFormat="1" ht="53.1" customHeight="1">
      <c r="A12" s="610" t="s">
        <v>4190</v>
      </c>
      <c r="B12" s="229"/>
      <c r="C12" s="238" t="s">
        <v>4374</v>
      </c>
      <c r="D12" s="238" t="s">
        <v>4375</v>
      </c>
      <c r="E12" s="238" t="s">
        <v>4376</v>
      </c>
      <c r="F12" s="150">
        <v>210</v>
      </c>
      <c r="G12" s="150">
        <f t="shared" si="15"/>
        <v>7</v>
      </c>
      <c r="H12" s="148">
        <v>4</v>
      </c>
      <c r="I12" s="148">
        <v>6</v>
      </c>
      <c r="J12" s="144">
        <v>0</v>
      </c>
      <c r="K12" s="144">
        <v>5</v>
      </c>
      <c r="L12" s="144">
        <f>F12-(J12+K12*30)</f>
        <v>60</v>
      </c>
      <c r="M12" s="145">
        <f t="shared" si="17"/>
        <v>0.2857142857142857</v>
      </c>
      <c r="N12" s="146" t="str">
        <f>CONCATENATE(C12, " ", "-", " ", "SUPER GIGA")</f>
        <v>Samsung Galaxy Tab A11+ 5G EE 128GB - Gray - SUPER GIGA</v>
      </c>
      <c r="O12" s="252" t="s">
        <v>4377</v>
      </c>
    </row>
    <row r="13" spans="1:20" s="10" customFormat="1" ht="53.1" customHeight="1">
      <c r="A13" s="590"/>
      <c r="B13" s="229"/>
      <c r="C13" s="143" t="s">
        <v>4378</v>
      </c>
      <c r="D13" s="143" t="s">
        <v>4379</v>
      </c>
      <c r="E13" s="143" t="s">
        <v>4354</v>
      </c>
      <c r="F13" s="150">
        <v>1110</v>
      </c>
      <c r="G13" s="150">
        <f>F13/30</f>
        <v>37</v>
      </c>
      <c r="H13" s="148">
        <v>4</v>
      </c>
      <c r="I13" s="148">
        <v>6</v>
      </c>
      <c r="J13" s="144">
        <v>200</v>
      </c>
      <c r="K13" s="144">
        <v>28</v>
      </c>
      <c r="L13" s="144">
        <f>F13-(J13+K13*30)</f>
        <v>70</v>
      </c>
      <c r="M13" s="145">
        <f>L13/F13</f>
        <v>6.3063063063063057E-2</v>
      </c>
      <c r="N13" s="146" t="str">
        <f>CONCATENATE(C13, " ", "-", " ", "SUPER GIGA 70_UNL")</f>
        <v>Samsung Galaxy Tab S11 ULTRA 5G 256GB Keyboard - Gray - SUPER GIGA 70_UNL</v>
      </c>
      <c r="O13" s="262">
        <v>9991768395127860</v>
      </c>
    </row>
    <row r="14" spans="1:20" ht="53.1" customHeight="1">
      <c r="A14" s="590"/>
      <c r="B14" s="229"/>
      <c r="C14" s="143" t="s">
        <v>4380</v>
      </c>
      <c r="D14" s="143" t="s">
        <v>4381</v>
      </c>
      <c r="E14" s="143" t="s">
        <v>4354</v>
      </c>
      <c r="F14" s="150">
        <v>780</v>
      </c>
      <c r="G14" s="150">
        <f t="shared" ref="G14" si="18">F14/30</f>
        <v>26</v>
      </c>
      <c r="H14" s="148">
        <v>4</v>
      </c>
      <c r="I14" s="148">
        <v>6</v>
      </c>
      <c r="J14" s="144">
        <v>150</v>
      </c>
      <c r="K14" s="144">
        <v>19</v>
      </c>
      <c r="L14" s="144">
        <f t="shared" ref="L14" si="19">F14-(J14+K14*30)</f>
        <v>60</v>
      </c>
      <c r="M14" s="145">
        <f t="shared" ref="M14" si="20">L14/F14</f>
        <v>7.6923076923076927E-2</v>
      </c>
      <c r="N14" s="146" t="str">
        <f>CONCATENATE(C14, " ", "-", " ", "SUPER GIGA 70_UNL")</f>
        <v>Samsung Galaxy Tab S11 EE 5G 128GB - Gray - SUPER GIGA 70_UNL</v>
      </c>
      <c r="O14" s="252" t="s">
        <v>4382</v>
      </c>
      <c r="P14" s="7"/>
      <c r="Q14" s="7"/>
      <c r="R14" s="7"/>
      <c r="S14" s="7"/>
      <c r="T14" s="7"/>
    </row>
    <row r="15" spans="1:20" s="10" customFormat="1" ht="53.1" customHeight="1">
      <c r="A15" s="590"/>
      <c r="B15" s="229"/>
      <c r="C15" s="143" t="s">
        <v>4383</v>
      </c>
      <c r="D15" s="143" t="s">
        <v>4384</v>
      </c>
      <c r="E15" s="238" t="s">
        <v>4376</v>
      </c>
      <c r="F15" s="150">
        <v>390</v>
      </c>
      <c r="G15" s="150">
        <f t="shared" ref="G15" si="21">F15/30</f>
        <v>13</v>
      </c>
      <c r="H15" s="148">
        <v>4</v>
      </c>
      <c r="I15" s="148">
        <v>6</v>
      </c>
      <c r="J15" s="144">
        <v>0</v>
      </c>
      <c r="K15" s="144">
        <v>10</v>
      </c>
      <c r="L15" s="144">
        <f>F15-(J15+K15*30)</f>
        <v>90</v>
      </c>
      <c r="M15" s="145">
        <f t="shared" ref="M15" si="22">L15/F15</f>
        <v>0.23076923076923078</v>
      </c>
      <c r="N15" s="146" t="str">
        <f>CONCATENATE(C15, " ", "-", " ", "SUPER GIGA")</f>
        <v>Samsung Galaxy Tab S10 Lite 5G 128GB - Gray - SUPER GIGA</v>
      </c>
      <c r="O15" s="252" t="s">
        <v>4385</v>
      </c>
      <c r="P15" s="253"/>
      <c r="Q15" s="253"/>
      <c r="R15" s="253"/>
      <c r="S15" s="253"/>
      <c r="T15" s="253"/>
    </row>
    <row r="16" spans="1:20" s="10" customFormat="1" ht="53.1" customHeight="1">
      <c r="A16" s="589" t="s">
        <v>4285</v>
      </c>
      <c r="B16" s="229"/>
      <c r="C16" s="238" t="s">
        <v>4386</v>
      </c>
      <c r="D16" s="238" t="s">
        <v>4387</v>
      </c>
      <c r="E16" s="143" t="s">
        <v>4388</v>
      </c>
      <c r="F16" s="150">
        <v>150</v>
      </c>
      <c r="G16" s="150">
        <f>F16/30</f>
        <v>5</v>
      </c>
      <c r="H16" s="148">
        <v>4</v>
      </c>
      <c r="I16" s="148">
        <v>6</v>
      </c>
      <c r="J16" s="144">
        <v>0</v>
      </c>
      <c r="K16" s="144">
        <v>3</v>
      </c>
      <c r="L16" s="144">
        <f>F16-(J16+K16*30)</f>
        <v>60</v>
      </c>
      <c r="M16" s="145">
        <f>L16/F16</f>
        <v>0.4</v>
      </c>
      <c r="N16" s="146" t="str">
        <f>CONCATENATE(C16, " ", "-", " ", "SUPER GIGA UNL")</f>
        <v>Mobile Wi-Fi 5G Zyxel NR5309 - White - SUPER GIGA UNL</v>
      </c>
      <c r="O16" s="252" t="s">
        <v>4389</v>
      </c>
      <c r="P16" s="253"/>
      <c r="Q16" s="253"/>
      <c r="R16" s="253"/>
      <c r="S16" s="253"/>
      <c r="T16" s="253"/>
    </row>
    <row r="17" spans="1:16" s="10" customFormat="1" ht="53.1" customHeight="1">
      <c r="A17" s="590"/>
      <c r="C17" s="143" t="s">
        <v>4390</v>
      </c>
      <c r="D17" s="143" t="s">
        <v>4391</v>
      </c>
      <c r="E17" s="143" t="s">
        <v>4354</v>
      </c>
      <c r="F17" s="150">
        <v>120</v>
      </c>
      <c r="G17" s="150">
        <f t="shared" ref="G17:G18" si="23">F17/30</f>
        <v>4</v>
      </c>
      <c r="H17" s="148">
        <v>4</v>
      </c>
      <c r="I17" s="148">
        <v>6</v>
      </c>
      <c r="J17" s="144">
        <v>0</v>
      </c>
      <c r="K17" s="144">
        <v>0</v>
      </c>
      <c r="L17" s="144">
        <f t="shared" ref="L17:L18" si="24">F17-(J17+K17*30)</f>
        <v>120</v>
      </c>
      <c r="M17" s="145">
        <f t="shared" ref="M17:M18" si="25">L17/F17</f>
        <v>1</v>
      </c>
      <c r="N17" s="146" t="str">
        <f>CONCATENATE(C17, " ", "-", " ", "SUPER GIGA 70_UNL")</f>
        <v>TCL TAB 11 FE LTE 128GB - Gray - SUPER GIGA 70_UNL</v>
      </c>
      <c r="O17" s="145" t="s">
        <v>4392</v>
      </c>
    </row>
    <row r="18" spans="1:16" s="98" customFormat="1" ht="53.1" customHeight="1">
      <c r="A18" s="590"/>
      <c r="B18" s="229"/>
      <c r="C18" s="143" t="s">
        <v>4390</v>
      </c>
      <c r="D18" s="143" t="s">
        <v>4391</v>
      </c>
      <c r="E18" s="143" t="s">
        <v>4393</v>
      </c>
      <c r="F18" s="150">
        <v>120</v>
      </c>
      <c r="G18" s="150">
        <f t="shared" si="23"/>
        <v>4</v>
      </c>
      <c r="H18" s="148">
        <v>4</v>
      </c>
      <c r="I18" s="148">
        <v>6</v>
      </c>
      <c r="J18" s="144">
        <v>0</v>
      </c>
      <c r="K18" s="144">
        <v>1</v>
      </c>
      <c r="L18" s="144">
        <f t="shared" si="24"/>
        <v>90</v>
      </c>
      <c r="M18" s="145">
        <f t="shared" si="25"/>
        <v>0.75</v>
      </c>
      <c r="N18" s="146" t="str">
        <f>CONCATENATE(C18, " ", "-", " ", "SUPER GIGA 30")</f>
        <v>TCL TAB 11 FE LTE 128GB - Gray - SUPER GIGA 30</v>
      </c>
      <c r="O18" s="252" t="s">
        <v>4394</v>
      </c>
    </row>
    <row r="19" spans="1:16" s="98" customFormat="1" ht="42">
      <c r="A19" s="590"/>
      <c r="B19" s="268"/>
      <c r="C19" s="143" t="s">
        <v>4395</v>
      </c>
      <c r="D19" s="143" t="s">
        <v>4396</v>
      </c>
      <c r="E19" s="143" t="s">
        <v>4376</v>
      </c>
      <c r="F19" s="150">
        <v>90</v>
      </c>
      <c r="G19" s="150">
        <f>F19/30</f>
        <v>3</v>
      </c>
      <c r="H19" s="148">
        <v>4</v>
      </c>
      <c r="I19" s="148">
        <v>6</v>
      </c>
      <c r="J19" s="144">
        <v>0</v>
      </c>
      <c r="K19" s="144">
        <v>1</v>
      </c>
      <c r="L19" s="144">
        <f>F19-(J19+K19*30)</f>
        <v>60</v>
      </c>
      <c r="M19" s="145">
        <f>L19/F19</f>
        <v>0.66666666666666663</v>
      </c>
      <c r="N19" s="182" t="str">
        <f>CONCATENATE(C19, " ", "-", " ", "SUPER GIGA")</f>
        <v>Mobile WiFi Connect Tmap W52 5G - Black - SUPER GIGA</v>
      </c>
      <c r="O19" s="255" t="s">
        <v>4397</v>
      </c>
      <c r="P19" s="254"/>
    </row>
    <row r="20" spans="1:16" s="10" customFormat="1" ht="42">
      <c r="A20" s="590"/>
      <c r="B20" s="229"/>
      <c r="C20" s="238" t="s">
        <v>4345</v>
      </c>
      <c r="D20" s="238" t="s">
        <v>4346</v>
      </c>
      <c r="E20" s="143" t="s">
        <v>4376</v>
      </c>
      <c r="F20" s="150">
        <v>30</v>
      </c>
      <c r="G20" s="150">
        <f>F20/30</f>
        <v>1</v>
      </c>
      <c r="H20" s="148">
        <v>4</v>
      </c>
      <c r="I20" s="148">
        <v>6</v>
      </c>
      <c r="J20" s="144">
        <v>0</v>
      </c>
      <c r="K20" s="144">
        <v>0</v>
      </c>
      <c r="L20" s="144">
        <f>F20-(J20+K20*30)</f>
        <v>30</v>
      </c>
      <c r="M20" s="145">
        <f>L20/F20</f>
        <v>1</v>
      </c>
      <c r="N20" s="182" t="str">
        <f>CONCATENATE(C20, " ", "-", " ", "SUPER GIGA")</f>
        <v>TCL IK41 - White - SUPER GIGA</v>
      </c>
      <c r="O20" s="255" t="s">
        <v>4398</v>
      </c>
    </row>
    <row r="21" spans="1:16" ht="42">
      <c r="A21" s="590"/>
      <c r="B21" s="229"/>
      <c r="C21" s="143" t="s">
        <v>4399</v>
      </c>
      <c r="D21" s="238" t="s">
        <v>4400</v>
      </c>
      <c r="E21" s="143" t="s">
        <v>4376</v>
      </c>
      <c r="F21" s="150">
        <v>45</v>
      </c>
      <c r="G21" s="150">
        <f>F21/30</f>
        <v>1.5</v>
      </c>
      <c r="H21" s="148">
        <v>4</v>
      </c>
      <c r="I21" s="148">
        <v>6</v>
      </c>
      <c r="J21" s="144">
        <v>0</v>
      </c>
      <c r="K21" s="144">
        <v>0</v>
      </c>
      <c r="L21" s="144">
        <f>F21-(J21+K21*30)</f>
        <v>45</v>
      </c>
      <c r="M21" s="145">
        <f>L21/F21</f>
        <v>1</v>
      </c>
      <c r="N21" s="249" t="str">
        <f>CONCATENATE(C21, " ", "-", " ", "SUPER GIGA")</f>
        <v>ZTE WebPocket  4G+ NEW U20 - White - SUPER GIGA</v>
      </c>
      <c r="O21" s="250" t="s">
        <v>4401</v>
      </c>
    </row>
    <row r="22" spans="1:16" s="10" customFormat="1" ht="24.6">
      <c r="A22" s="52"/>
      <c r="B22" s="52"/>
      <c r="C22" s="52"/>
      <c r="D22" s="62"/>
      <c r="E22" s="1"/>
      <c r="F22" s="1"/>
      <c r="G22" s="1"/>
      <c r="H22" s="1"/>
      <c r="I22" s="1"/>
      <c r="J22" s="1"/>
      <c r="K22" s="84"/>
      <c r="L22" s="8"/>
      <c r="M22" s="124"/>
      <c r="N22" s="155"/>
      <c r="O22" s="156"/>
    </row>
    <row r="23" spans="1:16" ht="24.6">
      <c r="A23" s="231"/>
      <c r="B23" s="2"/>
      <c r="C23" s="52"/>
      <c r="D23" s="62"/>
      <c r="E23" s="1"/>
      <c r="F23" s="1"/>
      <c r="G23" s="1"/>
      <c r="H23" s="1"/>
      <c r="I23" s="1"/>
      <c r="J23" s="1"/>
      <c r="M23" s="124"/>
      <c r="N23" s="155"/>
      <c r="O23" s="156"/>
    </row>
    <row r="24" spans="1:16" ht="36.6">
      <c r="B24" s="2"/>
      <c r="C24" s="2"/>
      <c r="D24" s="62"/>
      <c r="E24" s="1"/>
      <c r="F24" s="606"/>
      <c r="G24" s="607"/>
      <c r="H24" s="607"/>
      <c r="I24" s="1"/>
      <c r="J24" s="1"/>
      <c r="M24" s="124"/>
      <c r="N24" s="155"/>
      <c r="O24" s="156"/>
    </row>
    <row r="26" spans="1:16">
      <c r="C26" s="2"/>
      <c r="D26" s="84"/>
      <c r="E26" s="61"/>
      <c r="F26" s="2"/>
      <c r="H26" s="61"/>
      <c r="J26" s="2"/>
      <c r="L26" s="84"/>
      <c r="M26" s="8"/>
      <c r="N26" s="70"/>
      <c r="O26" s="157"/>
      <c r="P26" s="61"/>
    </row>
  </sheetData>
  <mergeCells count="8">
    <mergeCell ref="A16:A21"/>
    <mergeCell ref="A12:A15"/>
    <mergeCell ref="A5:A11"/>
    <mergeCell ref="J2:N2"/>
    <mergeCell ref="D3:M3"/>
    <mergeCell ref="F24:H24"/>
    <mergeCell ref="D2:E2"/>
    <mergeCell ref="F2:G2"/>
  </mergeCells>
  <phoneticPr fontId="35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6FBE-C901-45D7-8422-77E3AD777B6E}">
  <sheetPr codeName="Foglio7"/>
  <dimension ref="A2:K50"/>
  <sheetViews>
    <sheetView showGridLines="0" topLeftCell="A3" zoomScale="50" zoomScaleNormal="50" workbookViewId="0">
      <selection activeCell="A13" sqref="A13:XFD13"/>
    </sheetView>
  </sheetViews>
  <sheetFormatPr defaultColWidth="9.33203125" defaultRowHeight="17.399999999999999"/>
  <cols>
    <col min="1" max="1" width="19.5546875" style="80" customWidth="1"/>
    <col min="2" max="2" width="43" style="84" customWidth="1"/>
    <col min="3" max="3" width="39.5546875" style="84" customWidth="1"/>
    <col min="4" max="4" width="27.5546875" style="2" customWidth="1"/>
    <col min="5" max="5" width="18.33203125" style="61" customWidth="1"/>
    <col min="6" max="6" width="15.5546875" style="61" customWidth="1"/>
    <col min="7" max="7" width="18.33203125" style="2" customWidth="1"/>
    <col min="8" max="8" width="16.33203125" style="2" customWidth="1"/>
    <col min="9" max="9" width="19.5546875" style="61" customWidth="1"/>
    <col min="10" max="10" width="75.5546875" style="61" customWidth="1"/>
    <col min="11" max="11" width="42.33203125" style="68" bestFit="1" customWidth="1"/>
    <col min="12" max="16384" width="9.33203125" style="10"/>
  </cols>
  <sheetData>
    <row r="2" spans="1:11" ht="6.75" customHeight="1"/>
    <row r="3" spans="1:11" ht="125.85" customHeight="1">
      <c r="C3" s="613"/>
      <c r="D3" s="608"/>
      <c r="E3" s="62"/>
      <c r="F3" s="62"/>
      <c r="G3" s="1"/>
      <c r="H3" s="1"/>
      <c r="I3" s="62"/>
      <c r="J3" s="62"/>
    </row>
    <row r="4" spans="1:11" ht="63.6" customHeight="1">
      <c r="A4" s="81"/>
      <c r="B4" s="601" t="s">
        <v>4332</v>
      </c>
      <c r="C4" s="602"/>
      <c r="D4" s="602"/>
      <c r="E4" s="602"/>
      <c r="F4" s="602"/>
      <c r="G4" s="602"/>
      <c r="H4" s="602"/>
      <c r="I4" s="602"/>
      <c r="J4" s="602"/>
      <c r="K4" s="603"/>
    </row>
    <row r="5" spans="1:11" ht="141" customHeight="1">
      <c r="B5" s="63" t="s">
        <v>4132</v>
      </c>
      <c r="C5" s="63" t="s">
        <v>4133</v>
      </c>
      <c r="D5" s="63" t="s">
        <v>4134</v>
      </c>
      <c r="E5" s="128" t="s">
        <v>4135</v>
      </c>
      <c r="F5" s="128" t="s">
        <v>4136</v>
      </c>
      <c r="G5" s="64" t="s">
        <v>4137</v>
      </c>
      <c r="H5" s="65" t="s">
        <v>4138</v>
      </c>
      <c r="I5" s="66" t="s">
        <v>4333</v>
      </c>
      <c r="J5" s="63" t="s">
        <v>4152</v>
      </c>
      <c r="K5" s="67" t="s">
        <v>4153</v>
      </c>
    </row>
    <row r="6" spans="1:11" ht="53.1" customHeight="1">
      <c r="A6" s="233"/>
      <c r="B6" s="149" t="s">
        <v>4290</v>
      </c>
      <c r="C6" s="173" t="s">
        <v>4291</v>
      </c>
      <c r="D6" s="143" t="s">
        <v>4334</v>
      </c>
      <c r="E6" s="148">
        <v>150</v>
      </c>
      <c r="F6" s="148">
        <f>E6/30</f>
        <v>5</v>
      </c>
      <c r="G6" s="148">
        <v>4</v>
      </c>
      <c r="H6" s="148">
        <v>6</v>
      </c>
      <c r="I6" s="144">
        <f>E6</f>
        <v>150</v>
      </c>
      <c r="J6" s="144" t="str">
        <f>CONCATENATE(B6, " ", "-", " ", D6)</f>
        <v>Xiaomi Redmi 15c 5G 128GB - Midnight Black - SUPER FLEX</v>
      </c>
      <c r="K6" s="244" t="s">
        <v>4335</v>
      </c>
    </row>
    <row r="7" spans="1:11" ht="53.1" customHeight="1">
      <c r="B7" s="149" t="s">
        <v>4336</v>
      </c>
      <c r="C7" s="149" t="s">
        <v>4337</v>
      </c>
      <c r="D7" s="143" t="s">
        <v>4334</v>
      </c>
      <c r="E7" s="148">
        <v>75</v>
      </c>
      <c r="F7" s="148">
        <f t="shared" ref="F7:F8" si="0">E7/30</f>
        <v>2.5</v>
      </c>
      <c r="G7" s="148">
        <v>4</v>
      </c>
      <c r="H7" s="148">
        <v>6</v>
      </c>
      <c r="I7" s="144">
        <f t="shared" ref="I7:I8" si="1">E7</f>
        <v>75</v>
      </c>
      <c r="J7" s="144" t="str">
        <f t="shared" ref="J7:J8" si="2">CONCATENATE(B7, " ", "-", " ", D7)</f>
        <v>ZTE WebCube 4G+ NEXT - White - SUPER FLEX</v>
      </c>
      <c r="K7" s="244" t="s">
        <v>4338</v>
      </c>
    </row>
    <row r="8" spans="1:11" ht="53.1" customHeight="1">
      <c r="A8" s="97"/>
      <c r="B8" s="149" t="s">
        <v>4339</v>
      </c>
      <c r="C8" s="149" t="s">
        <v>4340</v>
      </c>
      <c r="D8" s="143" t="s">
        <v>4334</v>
      </c>
      <c r="E8" s="148">
        <v>60</v>
      </c>
      <c r="F8" s="148">
        <f t="shared" si="0"/>
        <v>2</v>
      </c>
      <c r="G8" s="148">
        <v>4</v>
      </c>
      <c r="H8" s="148">
        <v>6</v>
      </c>
      <c r="I8" s="144">
        <f t="shared" si="1"/>
        <v>60</v>
      </c>
      <c r="J8" s="144" t="str">
        <f t="shared" si="2"/>
        <v>WebPocket. 4G + ZTE MF971R - White  - SUPER FLEX</v>
      </c>
      <c r="K8" s="244" t="s">
        <v>4341</v>
      </c>
    </row>
    <row r="9" spans="1:11" ht="53.1" customHeight="1">
      <c r="A9" s="239"/>
      <c r="B9" s="241" t="s">
        <v>4342</v>
      </c>
      <c r="C9" s="241" t="s">
        <v>4343</v>
      </c>
      <c r="D9" s="238" t="s">
        <v>4334</v>
      </c>
      <c r="E9" s="242">
        <v>36</v>
      </c>
      <c r="F9" s="242">
        <f t="shared" ref="F9" si="3">E9/30</f>
        <v>1.2</v>
      </c>
      <c r="G9" s="242">
        <v>4</v>
      </c>
      <c r="H9" s="242">
        <v>6</v>
      </c>
      <c r="I9" s="181">
        <f t="shared" ref="I9" si="4">E9</f>
        <v>36</v>
      </c>
      <c r="J9" s="181" t="str">
        <f t="shared" ref="J9" si="5">CONCATENATE(B9, " ", "-", " ", D9)</f>
        <v>ZTE WebPocket. 4G LTE - Black - SUPER FLEX</v>
      </c>
      <c r="K9" s="245" t="s">
        <v>4344</v>
      </c>
    </row>
    <row r="10" spans="1:11" ht="53.1" customHeight="1">
      <c r="A10" s="240"/>
      <c r="B10" s="251" t="s">
        <v>4345</v>
      </c>
      <c r="C10" s="251" t="s">
        <v>4346</v>
      </c>
      <c r="D10" s="143" t="s">
        <v>4334</v>
      </c>
      <c r="E10" s="148">
        <v>30</v>
      </c>
      <c r="F10" s="148">
        <f>E10/30</f>
        <v>1</v>
      </c>
      <c r="G10" s="148">
        <v>4</v>
      </c>
      <c r="H10" s="148">
        <v>6</v>
      </c>
      <c r="I10" s="144">
        <f t="shared" ref="I10" si="6">E10</f>
        <v>30</v>
      </c>
      <c r="J10" s="144" t="str">
        <f>CONCATENATE(B10, " ", "-", " ", D10)</f>
        <v>TCL IK41 - White - SUPER FLEX</v>
      </c>
      <c r="K10" s="244" t="s">
        <v>4347</v>
      </c>
    </row>
    <row r="11" spans="1:11" s="115" customFormat="1" ht="53.1" customHeight="1">
      <c r="A11" s="97"/>
      <c r="B11" s="153"/>
      <c r="C11" s="154"/>
      <c r="D11" s="96"/>
      <c r="E11" s="612" t="s">
        <v>4330</v>
      </c>
      <c r="F11" s="612"/>
      <c r="G11" s="612"/>
      <c r="H11" s="612"/>
      <c r="I11" s="612"/>
      <c r="J11" s="96"/>
      <c r="K11" s="96"/>
    </row>
    <row r="12" spans="1:11" s="98" customFormat="1" ht="53.1" customHeight="1">
      <c r="A12" s="153"/>
      <c r="B12" s="154"/>
      <c r="C12" s="154"/>
      <c r="D12" s="96"/>
      <c r="E12" s="270"/>
      <c r="F12" s="270"/>
      <c r="G12" s="271" t="s">
        <v>4331</v>
      </c>
      <c r="H12" s="270"/>
      <c r="I12" s="270"/>
      <c r="J12" s="96"/>
      <c r="K12" s="96"/>
    </row>
    <row r="13" spans="1:11">
      <c r="B13" s="62"/>
      <c r="C13" s="62"/>
      <c r="D13" s="1"/>
      <c r="E13" s="1"/>
      <c r="F13" s="1"/>
      <c r="G13" s="1"/>
      <c r="H13" s="1"/>
      <c r="I13" s="62"/>
      <c r="J13" s="1"/>
      <c r="K13" s="1"/>
    </row>
    <row r="14" spans="1:11">
      <c r="B14" s="62"/>
    </row>
    <row r="15" spans="1:11" ht="52.8" customHeight="1">
      <c r="A15" s="10"/>
    </row>
    <row r="31" spans="3:11">
      <c r="G31" s="1"/>
      <c r="H31" s="1"/>
      <c r="I31" s="62"/>
      <c r="J31" s="62"/>
      <c r="K31" s="69"/>
    </row>
    <row r="32" spans="3:11">
      <c r="C32" s="52"/>
      <c r="D32" s="1"/>
      <c r="E32" s="62"/>
      <c r="F32" s="62"/>
      <c r="G32" s="1"/>
      <c r="H32" s="1"/>
      <c r="I32" s="62"/>
      <c r="J32" s="62"/>
      <c r="K32" s="69"/>
    </row>
    <row r="33" spans="2:11">
      <c r="B33" s="52"/>
      <c r="C33" s="52"/>
      <c r="D33" s="1"/>
      <c r="E33" s="62"/>
      <c r="F33" s="62"/>
      <c r="G33" s="1"/>
      <c r="H33" s="1"/>
      <c r="I33" s="62"/>
      <c r="J33" s="62"/>
      <c r="K33" s="69"/>
    </row>
    <row r="34" spans="2:11">
      <c r="B34" s="52"/>
      <c r="C34" s="52"/>
      <c r="D34" s="1"/>
      <c r="E34" s="62"/>
      <c r="F34" s="62"/>
      <c r="G34" s="1"/>
      <c r="H34" s="1"/>
      <c r="I34" s="62"/>
      <c r="J34" s="62"/>
      <c r="K34" s="69"/>
    </row>
    <row r="35" spans="2:11">
      <c r="B35" s="52"/>
      <c r="C35" s="52"/>
      <c r="D35" s="1"/>
      <c r="E35" s="62"/>
      <c r="F35" s="62"/>
    </row>
    <row r="36" spans="2:11">
      <c r="B36" s="52"/>
    </row>
    <row r="41" spans="2:11">
      <c r="G41" s="1"/>
      <c r="H41" s="1"/>
      <c r="I41" s="62"/>
      <c r="J41" s="62"/>
      <c r="K41" s="69"/>
    </row>
    <row r="42" spans="2:11">
      <c r="C42" s="52"/>
      <c r="D42" s="1"/>
      <c r="E42" s="62"/>
      <c r="F42" s="62"/>
      <c r="G42" s="1"/>
      <c r="H42" s="1"/>
      <c r="I42" s="62"/>
      <c r="J42" s="62"/>
      <c r="K42" s="69"/>
    </row>
    <row r="43" spans="2:11">
      <c r="B43" s="52"/>
      <c r="C43" s="52"/>
      <c r="D43" s="1"/>
      <c r="E43" s="62"/>
      <c r="F43" s="62"/>
      <c r="G43" s="1"/>
      <c r="H43" s="1"/>
      <c r="I43" s="62"/>
      <c r="J43" s="62"/>
      <c r="K43" s="69"/>
    </row>
    <row r="44" spans="2:11">
      <c r="B44" s="52"/>
      <c r="C44" s="52"/>
      <c r="D44" s="1"/>
      <c r="E44" s="62"/>
      <c r="F44" s="62"/>
      <c r="G44" s="1"/>
      <c r="H44" s="1"/>
      <c r="I44" s="62"/>
      <c r="J44" s="62"/>
      <c r="K44" s="69"/>
    </row>
    <row r="45" spans="2:11">
      <c r="B45" s="52"/>
      <c r="C45" s="52"/>
      <c r="D45" s="1"/>
      <c r="E45" s="62"/>
      <c r="F45" s="62"/>
    </row>
    <row r="46" spans="2:11">
      <c r="B46" s="52"/>
      <c r="G46" s="1"/>
      <c r="H46" s="1"/>
      <c r="I46" s="62"/>
      <c r="J46" s="62"/>
      <c r="K46" s="69"/>
    </row>
    <row r="47" spans="2:11">
      <c r="C47" s="52"/>
      <c r="D47" s="1"/>
      <c r="E47" s="62"/>
      <c r="F47" s="62"/>
    </row>
    <row r="48" spans="2:11">
      <c r="B48" s="52"/>
      <c r="G48" s="1"/>
      <c r="H48" s="1"/>
      <c r="I48" s="62"/>
      <c r="J48" s="62"/>
      <c r="K48" s="69"/>
    </row>
    <row r="49" spans="2:6">
      <c r="C49" s="52"/>
      <c r="D49" s="1"/>
      <c r="E49" s="62"/>
      <c r="F49" s="62"/>
    </row>
    <row r="50" spans="2:6">
      <c r="B50" s="52"/>
    </row>
  </sheetData>
  <mergeCells count="3">
    <mergeCell ref="E11:I11"/>
    <mergeCell ref="C3:D3"/>
    <mergeCell ref="B4:K4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35D6-9419-466F-B5FA-8AB88B83FD77}">
  <sheetPr codeName="Foglio10"/>
  <dimension ref="A1:AG16"/>
  <sheetViews>
    <sheetView showGridLines="0" zoomScale="40" zoomScaleNormal="40" workbookViewId="0">
      <pane ySplit="4" topLeftCell="A5" activePane="bottomLeft" state="frozen"/>
      <selection activeCell="B5" sqref="B5"/>
      <selection pane="bottomLeft" activeCell="A5" sqref="A5:A7"/>
    </sheetView>
  </sheetViews>
  <sheetFormatPr defaultColWidth="9.33203125" defaultRowHeight="13.2"/>
  <cols>
    <col min="1" max="1" width="9.33203125" style="62"/>
    <col min="2" max="2" width="24.33203125" style="8" customWidth="1"/>
    <col min="3" max="3" width="46.33203125" style="7" customWidth="1"/>
    <col min="4" max="4" width="36" style="2" customWidth="1"/>
    <col min="5" max="5" width="58.44140625" style="2" customWidth="1"/>
    <col min="6" max="7" width="24.5546875" style="2" customWidth="1"/>
    <col min="8" max="8" width="40.109375" style="2" customWidth="1"/>
    <col min="9" max="9" width="33.33203125" style="2" customWidth="1"/>
    <col min="10" max="10" width="18.5546875" style="2" customWidth="1"/>
    <col min="11" max="11" width="26" style="2" customWidth="1"/>
    <col min="12" max="12" width="21.33203125" style="2" customWidth="1"/>
    <col min="13" max="13" width="18.33203125" style="2" customWidth="1"/>
    <col min="14" max="14" width="55.5546875" style="2" customWidth="1"/>
    <col min="15" max="15" width="36.5546875" style="8" customWidth="1"/>
    <col min="16" max="16" width="41.5546875" style="9" bestFit="1" customWidth="1"/>
    <col min="17" max="16384" width="9.33203125" style="1"/>
  </cols>
  <sheetData>
    <row r="1" spans="1:33" ht="42.6" customHeight="1"/>
    <row r="2" spans="1:33" ht="61.35" customHeight="1">
      <c r="D2" s="87"/>
      <c r="E2" s="87"/>
      <c r="F2" s="605"/>
      <c r="G2" s="605"/>
      <c r="H2" s="605"/>
      <c r="I2" s="605"/>
      <c r="J2" s="605"/>
      <c r="K2" s="605"/>
      <c r="L2" s="605"/>
      <c r="M2" s="605"/>
      <c r="N2" s="605"/>
    </row>
    <row r="3" spans="1:33" ht="96" customHeight="1">
      <c r="C3" s="617" t="s">
        <v>4426</v>
      </c>
      <c r="D3" s="617"/>
      <c r="E3" s="91"/>
      <c r="F3" s="618"/>
      <c r="G3" s="618"/>
      <c r="H3" s="618"/>
      <c r="I3" s="618"/>
      <c r="J3" s="619" t="s">
        <v>4427</v>
      </c>
      <c r="K3" s="619"/>
      <c r="L3" s="619"/>
      <c r="M3" s="619"/>
      <c r="N3" s="619"/>
      <c r="O3" s="619"/>
    </row>
    <row r="4" spans="1:33" ht="88.8" customHeight="1" thickBot="1">
      <c r="C4" s="51" t="s">
        <v>4132</v>
      </c>
      <c r="D4" s="51" t="s">
        <v>4133</v>
      </c>
      <c r="E4" s="92" t="s">
        <v>4428</v>
      </c>
      <c r="F4" s="131" t="s">
        <v>4429</v>
      </c>
      <c r="G4" s="131" t="s">
        <v>4430</v>
      </c>
      <c r="H4" s="93" t="s">
        <v>4137</v>
      </c>
      <c r="I4" s="94" t="s">
        <v>4138</v>
      </c>
      <c r="J4" s="95" t="s">
        <v>4148</v>
      </c>
      <c r="K4" s="95" t="s">
        <v>4149</v>
      </c>
      <c r="L4" s="95" t="s">
        <v>4431</v>
      </c>
      <c r="M4" s="95" t="s">
        <v>4432</v>
      </c>
      <c r="N4" s="51" t="s">
        <v>4350</v>
      </c>
      <c r="O4" s="51" t="s">
        <v>4433</v>
      </c>
    </row>
    <row r="5" spans="1:33" ht="53.1" customHeight="1" thickBot="1">
      <c r="A5" s="620" t="s">
        <v>4190</v>
      </c>
      <c r="B5" s="73"/>
      <c r="C5" s="174" t="s">
        <v>4434</v>
      </c>
      <c r="D5" s="174" t="s">
        <v>4435</v>
      </c>
      <c r="E5" s="175" t="s">
        <v>4436</v>
      </c>
      <c r="F5" s="176">
        <v>780</v>
      </c>
      <c r="G5" s="176">
        <f>F5/30</f>
        <v>26</v>
      </c>
      <c r="H5" s="176">
        <v>4</v>
      </c>
      <c r="I5" s="176">
        <v>6</v>
      </c>
      <c r="J5" s="176">
        <v>150</v>
      </c>
      <c r="K5" s="176">
        <v>19</v>
      </c>
      <c r="L5" s="176">
        <f t="shared" ref="L5:L11" si="0">F5-(J5+K5*30)</f>
        <v>60</v>
      </c>
      <c r="M5" s="177">
        <f t="shared" ref="M5:M11" si="1">L5/F5</f>
        <v>7.6923076923076927E-2</v>
      </c>
      <c r="N5" s="178" t="s">
        <v>4437</v>
      </c>
      <c r="O5" s="127">
        <v>1604462140166</v>
      </c>
      <c r="AG5" s="1" t="s">
        <v>4438</v>
      </c>
    </row>
    <row r="6" spans="1:33" ht="53.1" customHeight="1" thickBot="1">
      <c r="A6" s="620"/>
      <c r="B6" s="73"/>
      <c r="C6" s="143" t="s">
        <v>4439</v>
      </c>
      <c r="D6" s="143" t="s">
        <v>4440</v>
      </c>
      <c r="E6" s="143" t="s">
        <v>4441</v>
      </c>
      <c r="F6" s="150">
        <v>150</v>
      </c>
      <c r="G6" s="150">
        <f t="shared" ref="G6" si="2">F6/30</f>
        <v>5</v>
      </c>
      <c r="H6" s="150">
        <v>4</v>
      </c>
      <c r="I6" s="150">
        <v>6</v>
      </c>
      <c r="J6" s="144">
        <v>0</v>
      </c>
      <c r="K6" s="144">
        <v>3</v>
      </c>
      <c r="L6" s="144">
        <f t="shared" si="0"/>
        <v>60</v>
      </c>
      <c r="M6" s="145">
        <f t="shared" si="1"/>
        <v>0.4</v>
      </c>
      <c r="N6" s="145" t="s">
        <v>4442</v>
      </c>
      <c r="O6" s="127">
        <v>1607122396837</v>
      </c>
    </row>
    <row r="7" spans="1:33" ht="53.1" customHeight="1" thickBot="1">
      <c r="A7" s="620"/>
      <c r="C7" s="174" t="s">
        <v>4336</v>
      </c>
      <c r="D7" s="174" t="s">
        <v>4337</v>
      </c>
      <c r="E7" s="175" t="s">
        <v>4443</v>
      </c>
      <c r="F7" s="176">
        <v>75</v>
      </c>
      <c r="G7" s="176">
        <f t="shared" ref="G7:G9" si="3">F7/30</f>
        <v>2.5</v>
      </c>
      <c r="H7" s="176">
        <v>4</v>
      </c>
      <c r="I7" s="176">
        <v>6</v>
      </c>
      <c r="J7" s="176">
        <v>0</v>
      </c>
      <c r="K7" s="176">
        <v>1</v>
      </c>
      <c r="L7" s="176">
        <f t="shared" si="0"/>
        <v>45</v>
      </c>
      <c r="M7" s="177">
        <f t="shared" si="1"/>
        <v>0.6</v>
      </c>
      <c r="N7" s="178" t="s">
        <v>4444</v>
      </c>
      <c r="O7" s="127">
        <v>1564032108869</v>
      </c>
      <c r="P7" s="89"/>
    </row>
    <row r="8" spans="1:33" ht="53.1" customHeight="1" thickBot="1">
      <c r="A8" s="616" t="s">
        <v>4285</v>
      </c>
      <c r="B8" s="73"/>
      <c r="C8" s="143" t="s">
        <v>4336</v>
      </c>
      <c r="D8" s="143" t="s">
        <v>4337</v>
      </c>
      <c r="E8" s="146" t="s">
        <v>4445</v>
      </c>
      <c r="F8" s="144">
        <v>75</v>
      </c>
      <c r="G8" s="144">
        <f t="shared" si="3"/>
        <v>2.5</v>
      </c>
      <c r="H8" s="144">
        <v>4</v>
      </c>
      <c r="I8" s="144">
        <v>6</v>
      </c>
      <c r="J8" s="144">
        <v>0</v>
      </c>
      <c r="K8" s="144">
        <v>0</v>
      </c>
      <c r="L8" s="144">
        <f t="shared" si="0"/>
        <v>75</v>
      </c>
      <c r="M8" s="162">
        <f t="shared" si="1"/>
        <v>1</v>
      </c>
      <c r="N8" s="127" t="s">
        <v>4446</v>
      </c>
      <c r="O8" s="127">
        <v>1564032108876</v>
      </c>
    </row>
    <row r="9" spans="1:33" ht="53.1" customHeight="1" thickBot="1">
      <c r="A9" s="616"/>
      <c r="B9" s="88"/>
      <c r="C9" s="174" t="s">
        <v>4447</v>
      </c>
      <c r="D9" s="143" t="s">
        <v>4448</v>
      </c>
      <c r="E9" s="175" t="s">
        <v>4441</v>
      </c>
      <c r="F9" s="176">
        <v>75</v>
      </c>
      <c r="G9" s="176">
        <f t="shared" si="3"/>
        <v>2.5</v>
      </c>
      <c r="H9" s="176">
        <v>4</v>
      </c>
      <c r="I9" s="176">
        <v>6</v>
      </c>
      <c r="J9" s="176">
        <v>0</v>
      </c>
      <c r="K9" s="176">
        <v>0</v>
      </c>
      <c r="L9" s="176">
        <f t="shared" si="0"/>
        <v>75</v>
      </c>
      <c r="M9" s="177">
        <f t="shared" si="1"/>
        <v>1</v>
      </c>
      <c r="N9" s="178" t="s">
        <v>4449</v>
      </c>
      <c r="O9" s="127">
        <v>1590900649148</v>
      </c>
    </row>
    <row r="10" spans="1:33" ht="53.1" customHeight="1" thickBot="1">
      <c r="A10" s="616"/>
      <c r="B10" s="73"/>
      <c r="C10" s="143" t="s">
        <v>4339</v>
      </c>
      <c r="D10" s="143" t="s">
        <v>4340</v>
      </c>
      <c r="E10" s="146" t="s">
        <v>4445</v>
      </c>
      <c r="F10" s="176">
        <v>60</v>
      </c>
      <c r="G10" s="176">
        <f t="shared" ref="G10" si="4">F10/30</f>
        <v>2</v>
      </c>
      <c r="H10" s="176">
        <v>4</v>
      </c>
      <c r="I10" s="176">
        <v>6</v>
      </c>
      <c r="J10" s="176">
        <v>0</v>
      </c>
      <c r="K10" s="176">
        <v>0</v>
      </c>
      <c r="L10" s="176">
        <f t="shared" si="0"/>
        <v>60</v>
      </c>
      <c r="M10" s="177">
        <f t="shared" si="1"/>
        <v>1</v>
      </c>
      <c r="N10" s="178" t="s">
        <v>4450</v>
      </c>
      <c r="O10" s="127">
        <v>1604462140173</v>
      </c>
    </row>
    <row r="11" spans="1:33" ht="53.1" customHeight="1" thickBot="1">
      <c r="A11" s="616"/>
      <c r="B11" s="79"/>
      <c r="C11" s="143" t="s">
        <v>4451</v>
      </c>
      <c r="D11" s="143" t="s">
        <v>4452</v>
      </c>
      <c r="E11" s="146" t="s">
        <v>4441</v>
      </c>
      <c r="F11" s="144">
        <v>45</v>
      </c>
      <c r="G11" s="144">
        <f>F11/30</f>
        <v>1.5</v>
      </c>
      <c r="H11" s="144">
        <v>4</v>
      </c>
      <c r="I11" s="144">
        <v>6</v>
      </c>
      <c r="J11" s="144">
        <v>0</v>
      </c>
      <c r="K11" s="144">
        <v>0</v>
      </c>
      <c r="L11" s="144">
        <f t="shared" si="0"/>
        <v>45</v>
      </c>
      <c r="M11" s="162">
        <f t="shared" si="1"/>
        <v>1</v>
      </c>
      <c r="N11" s="127" t="s">
        <v>4453</v>
      </c>
      <c r="O11" s="127">
        <v>1586597845194</v>
      </c>
    </row>
    <row r="12" spans="1:33" ht="53.1" customHeight="1" thickBot="1">
      <c r="A12" s="616"/>
      <c r="B12" s="119"/>
      <c r="C12" s="143" t="s">
        <v>4342</v>
      </c>
      <c r="D12" s="143" t="s">
        <v>4343</v>
      </c>
      <c r="E12" s="182" t="s">
        <v>4441</v>
      </c>
      <c r="F12" s="181">
        <v>36</v>
      </c>
      <c r="G12" s="181">
        <f t="shared" ref="G12" si="5">F12/30</f>
        <v>1.2</v>
      </c>
      <c r="H12" s="181">
        <v>4</v>
      </c>
      <c r="I12" s="181">
        <v>6</v>
      </c>
      <c r="J12" s="181">
        <v>0</v>
      </c>
      <c r="K12" s="181">
        <v>0</v>
      </c>
      <c r="L12" s="181">
        <f t="shared" ref="L12" si="6">F12-(J12+K12*30)</f>
        <v>36</v>
      </c>
      <c r="M12" s="184">
        <f t="shared" ref="M12" si="7">L12/F12</f>
        <v>1</v>
      </c>
      <c r="N12" s="183" t="s">
        <v>4454</v>
      </c>
      <c r="O12" s="183">
        <v>1620227735486</v>
      </c>
      <c r="P12" s="1"/>
    </row>
    <row r="13" spans="1:33" ht="53.1" customHeight="1">
      <c r="A13" s="616"/>
      <c r="C13" s="143" t="s">
        <v>4455</v>
      </c>
      <c r="D13" s="143" t="s">
        <v>4456</v>
      </c>
      <c r="E13" s="182" t="s">
        <v>4441</v>
      </c>
      <c r="F13" s="181">
        <v>30</v>
      </c>
      <c r="G13" s="181">
        <f t="shared" ref="G13" si="8">F13/30</f>
        <v>1</v>
      </c>
      <c r="H13" s="181">
        <v>4</v>
      </c>
      <c r="I13" s="181">
        <v>6</v>
      </c>
      <c r="J13" s="181">
        <v>0</v>
      </c>
      <c r="K13" s="181">
        <v>0</v>
      </c>
      <c r="L13" s="181">
        <f t="shared" ref="L13" si="9">F13-(J13+K13*30)</f>
        <v>30</v>
      </c>
      <c r="M13" s="184">
        <f t="shared" ref="M13" si="10">L13/F13</f>
        <v>1</v>
      </c>
      <c r="N13" s="183" t="s">
        <v>4457</v>
      </c>
      <c r="O13" s="183">
        <v>1631526690500</v>
      </c>
    </row>
    <row r="14" spans="1:33" s="98" customFormat="1" ht="53.1" customHeight="1">
      <c r="A14" s="180"/>
      <c r="B14" s="97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79"/>
    </row>
    <row r="15" spans="1:33" ht="53.1" customHeight="1">
      <c r="A15" s="180"/>
      <c r="B15" s="79"/>
      <c r="C15" s="84"/>
      <c r="D15" s="84"/>
      <c r="E15" s="84"/>
      <c r="F15" s="84"/>
      <c r="G15" s="84"/>
      <c r="H15" s="614" t="s">
        <v>4145</v>
      </c>
      <c r="I15" s="615"/>
      <c r="J15" s="615"/>
      <c r="K15" s="8"/>
      <c r="L15" s="8"/>
      <c r="M15" s="8"/>
      <c r="N15" s="84"/>
      <c r="O15" s="84"/>
    </row>
    <row r="16" spans="1:33" s="98" customFormat="1" ht="18" customHeight="1">
      <c r="A16" s="126"/>
      <c r="B16" s="126"/>
      <c r="C16" s="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9"/>
    </row>
  </sheetData>
  <mergeCells count="7">
    <mergeCell ref="H15:J15"/>
    <mergeCell ref="A8:A13"/>
    <mergeCell ref="F2:N2"/>
    <mergeCell ref="C3:D3"/>
    <mergeCell ref="F3:I3"/>
    <mergeCell ref="J3:O3"/>
    <mergeCell ref="A5:A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9427-5C73-4D3E-AF2D-23E4373EA422}">
  <sheetPr codeName="Foglio11">
    <pageSetUpPr fitToPage="1"/>
  </sheetPr>
  <dimension ref="A2:N24"/>
  <sheetViews>
    <sheetView topLeftCell="A6" zoomScale="50" zoomScaleNormal="50" workbookViewId="0">
      <selection activeCell="C7" sqref="C7"/>
    </sheetView>
  </sheetViews>
  <sheetFormatPr defaultColWidth="9.33203125" defaultRowHeight="13.2"/>
  <cols>
    <col min="1" max="1" width="16" style="1" customWidth="1"/>
    <col min="2" max="2" width="53.33203125" style="1" customWidth="1"/>
    <col min="3" max="3" width="33.5546875" style="1" customWidth="1"/>
    <col min="4" max="4" width="47.5546875" style="1" customWidth="1"/>
    <col min="5" max="5" width="19.5546875" style="1" customWidth="1"/>
    <col min="6" max="6" width="18.33203125" style="1" customWidth="1"/>
    <col min="7" max="7" width="19.5546875" style="1" bestFit="1" customWidth="1"/>
    <col min="8" max="8" width="21.5546875" style="1" bestFit="1" customWidth="1"/>
    <col min="9" max="9" width="21" style="1" customWidth="1"/>
    <col min="10" max="10" width="18.21875" style="1" customWidth="1"/>
    <col min="11" max="11" width="32.5546875" style="1" customWidth="1"/>
    <col min="12" max="12" width="31.33203125" style="1" customWidth="1"/>
    <col min="13" max="13" width="42.5546875" style="1" customWidth="1"/>
    <col min="14" max="14" width="29.33203125" style="1" customWidth="1"/>
    <col min="15" max="16384" width="9.33203125" style="1"/>
  </cols>
  <sheetData>
    <row r="2" spans="1:14" ht="67.05" customHeight="1">
      <c r="B2" s="621" t="s">
        <v>4402</v>
      </c>
      <c r="C2" s="622"/>
      <c r="D2" s="622"/>
      <c r="E2" s="622"/>
      <c r="F2" s="622"/>
      <c r="G2" s="622"/>
      <c r="H2" s="622"/>
    </row>
    <row r="3" spans="1:14" ht="51.6" customHeight="1">
      <c r="B3" s="63" t="s">
        <v>4132</v>
      </c>
      <c r="C3" s="51" t="s">
        <v>4133</v>
      </c>
      <c r="D3" s="63" t="s">
        <v>4134</v>
      </c>
      <c r="E3" s="225" t="s">
        <v>4135</v>
      </c>
      <c r="F3" s="163" t="s">
        <v>4136</v>
      </c>
      <c r="G3" s="164" t="s">
        <v>4137</v>
      </c>
      <c r="H3" s="165" t="s">
        <v>4138</v>
      </c>
      <c r="I3" s="6" t="s">
        <v>4148</v>
      </c>
      <c r="J3" s="6" t="s">
        <v>4149</v>
      </c>
      <c r="K3" s="226" t="s">
        <v>4403</v>
      </c>
      <c r="L3" s="6" t="s">
        <v>4404</v>
      </c>
      <c r="M3" s="185" t="s">
        <v>4152</v>
      </c>
      <c r="N3" s="185" t="s">
        <v>4153</v>
      </c>
    </row>
    <row r="4" spans="1:14" ht="93.6" customHeight="1">
      <c r="A4" s="237"/>
      <c r="B4" s="587" t="s">
        <v>4857</v>
      </c>
      <c r="C4" s="571" t="s">
        <v>4406</v>
      </c>
      <c r="D4" s="565" t="s">
        <v>4773</v>
      </c>
      <c r="E4" s="563">
        <v>30</v>
      </c>
      <c r="F4" s="563">
        <f>E4/30</f>
        <v>1</v>
      </c>
      <c r="G4" s="572">
        <v>4</v>
      </c>
      <c r="H4" s="572">
        <v>6</v>
      </c>
      <c r="I4" s="563">
        <v>0</v>
      </c>
      <c r="J4" s="563">
        <v>0</v>
      </c>
      <c r="K4" s="563">
        <f t="shared" ref="K4" si="0">E4-(I4+J4*30)</f>
        <v>30</v>
      </c>
      <c r="L4" s="566">
        <f t="shared" ref="L4" si="1">K4/E4</f>
        <v>1</v>
      </c>
      <c r="M4" s="567" t="str">
        <f>CONCATENATE(B4, " ", "-", " ", "Unlimited - Smart 200")</f>
        <v>Kit Accessori Cellularline  - Unlimited - Smart 200</v>
      </c>
      <c r="N4" s="568" t="s">
        <v>4856</v>
      </c>
    </row>
    <row r="5" spans="1:14" ht="41.1" customHeight="1">
      <c r="A5" s="237"/>
      <c r="B5" s="584" t="s">
        <v>4776</v>
      </c>
      <c r="C5" s="551" t="s">
        <v>4777</v>
      </c>
      <c r="D5" s="552"/>
      <c r="E5" s="555">
        <v>135</v>
      </c>
      <c r="F5" s="555">
        <f>+E5/30</f>
        <v>4.5</v>
      </c>
      <c r="G5" s="555">
        <v>4</v>
      </c>
      <c r="H5" s="555">
        <v>6</v>
      </c>
      <c r="I5" s="556"/>
    </row>
    <row r="6" spans="1:14" ht="41.1" customHeight="1">
      <c r="A6" s="72"/>
      <c r="B6" s="585" t="s">
        <v>4410</v>
      </c>
      <c r="C6" s="243" t="s">
        <v>4411</v>
      </c>
      <c r="D6" s="143"/>
      <c r="E6" s="147">
        <v>195</v>
      </c>
      <c r="F6" s="147">
        <f>+E6/30</f>
        <v>6.5</v>
      </c>
      <c r="G6" s="147">
        <v>4</v>
      </c>
      <c r="H6" s="147">
        <v>6</v>
      </c>
      <c r="I6" s="556"/>
    </row>
    <row r="7" spans="1:14" s="44" customFormat="1" ht="49.05" customHeight="1">
      <c r="B7" s="584" t="s">
        <v>4778</v>
      </c>
      <c r="C7" s="584" t="s">
        <v>4779</v>
      </c>
      <c r="D7" s="552"/>
      <c r="E7" s="555">
        <v>120</v>
      </c>
      <c r="F7" s="555">
        <f>+E7/30</f>
        <v>4</v>
      </c>
      <c r="G7" s="555">
        <v>4</v>
      </c>
      <c r="H7" s="555">
        <v>6</v>
      </c>
      <c r="I7" s="556"/>
      <c r="J7" s="1"/>
      <c r="K7" s="1"/>
      <c r="L7" s="554"/>
      <c r="M7" s="1"/>
      <c r="N7" s="1"/>
    </row>
    <row r="8" spans="1:14" ht="49.05" customHeight="1">
      <c r="B8" s="584" t="s">
        <v>4780</v>
      </c>
      <c r="C8" s="584" t="s">
        <v>4781</v>
      </c>
      <c r="D8" s="552"/>
      <c r="E8" s="555">
        <v>390</v>
      </c>
      <c r="F8" s="555">
        <f>+E8/30</f>
        <v>13</v>
      </c>
      <c r="G8" s="555">
        <v>4</v>
      </c>
      <c r="H8" s="555">
        <v>6</v>
      </c>
      <c r="I8" s="556"/>
      <c r="L8" s="554"/>
    </row>
    <row r="9" spans="1:14" ht="22.8">
      <c r="B9" s="585" t="s">
        <v>4416</v>
      </c>
      <c r="C9" s="585" t="s">
        <v>4417</v>
      </c>
      <c r="D9" s="143"/>
      <c r="E9" s="147">
        <v>60</v>
      </c>
      <c r="F9" s="147">
        <f t="shared" ref="F9:F12" si="2">+E9/30</f>
        <v>2</v>
      </c>
      <c r="G9" s="147">
        <v>4</v>
      </c>
      <c r="H9" s="147">
        <v>6</v>
      </c>
    </row>
    <row r="10" spans="1:14" ht="39.6" customHeight="1">
      <c r="B10" s="585" t="s">
        <v>4418</v>
      </c>
      <c r="C10" s="585" t="s">
        <v>4419</v>
      </c>
      <c r="D10" s="143"/>
      <c r="E10" s="147">
        <v>60</v>
      </c>
      <c r="F10" s="147">
        <f>+E10/30</f>
        <v>2</v>
      </c>
      <c r="G10" s="147">
        <v>4</v>
      </c>
      <c r="H10" s="147">
        <v>6</v>
      </c>
      <c r="I10" s="44"/>
      <c r="J10" s="44"/>
      <c r="K10" s="44"/>
      <c r="L10" s="44"/>
      <c r="M10" s="44"/>
      <c r="N10" s="44"/>
    </row>
    <row r="11" spans="1:14" ht="39.6" customHeight="1">
      <c r="A11" s="232"/>
      <c r="B11" s="586" t="s">
        <v>4420</v>
      </c>
      <c r="C11" s="586" t="s">
        <v>4421</v>
      </c>
      <c r="D11" s="143"/>
      <c r="E11" s="90">
        <v>60</v>
      </c>
      <c r="F11" s="90">
        <f t="shared" ref="F11" si="3">+E11/30</f>
        <v>2</v>
      </c>
      <c r="G11" s="90">
        <v>4</v>
      </c>
      <c r="H11" s="90">
        <v>6</v>
      </c>
    </row>
    <row r="12" spans="1:14" ht="39" customHeight="1" thickBot="1">
      <c r="B12" s="243" t="s">
        <v>4422</v>
      </c>
      <c r="C12" s="243" t="s">
        <v>4423</v>
      </c>
      <c r="D12" s="143"/>
      <c r="E12" s="264">
        <v>135</v>
      </c>
      <c r="F12" s="90">
        <f t="shared" si="2"/>
        <v>4.5</v>
      </c>
      <c r="G12" s="90">
        <v>4</v>
      </c>
      <c r="H12" s="90">
        <v>6</v>
      </c>
    </row>
    <row r="13" spans="1:14" ht="15.6" thickBot="1">
      <c r="B13" s="623" t="s">
        <v>4424</v>
      </c>
      <c r="C13" s="624"/>
      <c r="D13" s="624"/>
      <c r="E13" s="624"/>
      <c r="F13" s="624"/>
      <c r="G13" s="624"/>
      <c r="H13" s="625"/>
    </row>
    <row r="14" spans="1:14" ht="37.35" customHeight="1"/>
    <row r="15" spans="1:14" ht="54" customHeight="1"/>
    <row r="16" spans="1:14" ht="16.8">
      <c r="B16" s="626" t="s">
        <v>4425</v>
      </c>
      <c r="C16" s="627"/>
      <c r="D16" s="627"/>
      <c r="E16" s="627"/>
      <c r="F16" s="627"/>
      <c r="G16" s="627"/>
      <c r="H16" s="627"/>
    </row>
    <row r="21" spans="1:14" ht="63">
      <c r="A21" s="554" t="s">
        <v>4775</v>
      </c>
      <c r="B21" s="543" t="s">
        <v>4405</v>
      </c>
      <c r="C21" s="544" t="s">
        <v>4406</v>
      </c>
      <c r="D21" s="545" t="s">
        <v>4157</v>
      </c>
      <c r="E21" s="546">
        <v>30</v>
      </c>
      <c r="F21" s="546">
        <f>E21/30</f>
        <v>1</v>
      </c>
      <c r="G21" s="547">
        <v>4</v>
      </c>
      <c r="H21" s="547">
        <v>6</v>
      </c>
      <c r="I21" s="546">
        <v>0</v>
      </c>
      <c r="J21" s="546">
        <v>0</v>
      </c>
      <c r="K21" s="546">
        <f t="shared" ref="K21" si="4">E21-(I21+J21*30)</f>
        <v>30</v>
      </c>
      <c r="L21" s="548">
        <f t="shared" ref="L21" si="5">K21/E21</f>
        <v>1</v>
      </c>
      <c r="M21" s="549" t="str">
        <f>CONCATENATE(B21, " ", "-", " ", "UNLIMITED - SMART 100")</f>
        <v>Kit Accessori Cellularline  - UNLIMITED - SMART 100</v>
      </c>
      <c r="N21" s="550" t="s">
        <v>4407</v>
      </c>
    </row>
    <row r="22" spans="1:14" ht="52.2">
      <c r="A22" s="554" t="s">
        <v>4774</v>
      </c>
      <c r="B22" s="543" t="s">
        <v>4408</v>
      </c>
      <c r="C22" s="544" t="s">
        <v>4409</v>
      </c>
      <c r="D22" s="545"/>
      <c r="E22" s="553">
        <v>390</v>
      </c>
      <c r="F22" s="553">
        <f>+E22/30</f>
        <v>13</v>
      </c>
      <c r="G22" s="553">
        <v>4</v>
      </c>
      <c r="H22" s="553">
        <v>6</v>
      </c>
    </row>
    <row r="23" spans="1:14" ht="42.6" customHeight="1">
      <c r="A23" s="554" t="s">
        <v>4774</v>
      </c>
      <c r="B23" s="543" t="s">
        <v>4412</v>
      </c>
      <c r="C23" s="543" t="s">
        <v>4413</v>
      </c>
      <c r="D23" s="545"/>
      <c r="E23" s="553">
        <v>120</v>
      </c>
      <c r="F23" s="553">
        <f>+E23/30</f>
        <v>4</v>
      </c>
      <c r="G23" s="553">
        <v>4</v>
      </c>
      <c r="H23" s="553">
        <v>6</v>
      </c>
    </row>
    <row r="24" spans="1:14" ht="52.2">
      <c r="A24" s="554" t="s">
        <v>4774</v>
      </c>
      <c r="B24" s="543" t="s">
        <v>4414</v>
      </c>
      <c r="C24" s="543" t="s">
        <v>4415</v>
      </c>
      <c r="D24" s="545"/>
      <c r="E24" s="553">
        <v>150</v>
      </c>
      <c r="F24" s="553">
        <f>+E24/30</f>
        <v>5</v>
      </c>
      <c r="G24" s="553">
        <v>4</v>
      </c>
      <c r="H24" s="553">
        <v>6</v>
      </c>
    </row>
  </sheetData>
  <mergeCells count="3">
    <mergeCell ref="B2:H2"/>
    <mergeCell ref="B13:H13"/>
    <mergeCell ref="B16:H16"/>
  </mergeCells>
  <phoneticPr fontId="35" type="noConversion"/>
  <pageMargins left="0.7" right="0.7" top="0.75" bottom="0.75" header="0.3" footer="0.3"/>
  <pageSetup paperSize="9" scale="45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1400-6741-4966-AA89-EAEE7E28176D}">
  <dimension ref="A2:X135"/>
  <sheetViews>
    <sheetView zoomScale="70" zoomScaleNormal="70" workbookViewId="0">
      <selection activeCell="H71" sqref="H71"/>
    </sheetView>
  </sheetViews>
  <sheetFormatPr defaultColWidth="20.6640625" defaultRowHeight="15.6"/>
  <cols>
    <col min="1" max="1" width="20.6640625" style="213"/>
    <col min="2" max="2" width="20.6640625" style="108"/>
    <col min="3" max="3" width="20.6640625" style="11"/>
    <col min="4" max="4" width="28.21875" style="11" customWidth="1"/>
    <col min="5" max="5" width="13.33203125" style="12" customWidth="1"/>
    <col min="6" max="6" width="14" style="214" bestFit="1" customWidth="1"/>
    <col min="7" max="7" width="7.88671875" style="214" customWidth="1"/>
    <col min="8" max="8" width="13.6640625" style="13" bestFit="1" customWidth="1"/>
    <col min="9" max="9" width="14" style="13" bestFit="1" customWidth="1"/>
    <col min="10" max="10" width="12.88671875" style="13" customWidth="1"/>
    <col min="11" max="11" width="11.33203125" style="13" customWidth="1"/>
    <col min="12" max="12" width="20.6640625" style="14"/>
    <col min="13" max="13" width="34.21875" style="14" customWidth="1"/>
    <col min="14" max="15" width="20.6640625" style="109"/>
    <col min="16" max="16" width="20.6640625" style="212"/>
    <col min="17" max="22" width="20.6640625" style="109"/>
    <col min="23" max="16384" width="20.6640625" style="108"/>
  </cols>
  <sheetData>
    <row r="2" spans="1:17" ht="83.25" customHeight="1" thickBot="1">
      <c r="A2" s="312"/>
      <c r="B2" s="313"/>
      <c r="C2" s="642"/>
      <c r="D2" s="642"/>
      <c r="E2" s="642"/>
      <c r="F2" s="642"/>
      <c r="G2" s="642"/>
      <c r="H2" s="643"/>
      <c r="I2" s="643"/>
      <c r="J2" s="643"/>
      <c r="K2" s="314"/>
      <c r="L2" s="313"/>
      <c r="M2" s="315"/>
      <c r="N2" s="315"/>
      <c r="O2" s="316"/>
      <c r="P2" s="317"/>
    </row>
    <row r="3" spans="1:17" ht="27.45" customHeight="1" thickBot="1">
      <c r="A3" s="256"/>
      <c r="F3" s="644" t="s">
        <v>4458</v>
      </c>
      <c r="G3" s="644"/>
      <c r="H3" s="645" t="s">
        <v>4459</v>
      </c>
      <c r="I3" s="645"/>
      <c r="J3" s="645"/>
      <c r="K3" s="645"/>
      <c r="L3" s="645"/>
      <c r="M3" s="645"/>
      <c r="N3" s="645"/>
      <c r="O3" s="645"/>
      <c r="P3" s="201"/>
    </row>
    <row r="4" spans="1:17" ht="51" customHeight="1" thickBot="1">
      <c r="A4" s="256"/>
      <c r="B4" s="318" t="s">
        <v>4132</v>
      </c>
      <c r="C4" s="319" t="s">
        <v>4460</v>
      </c>
      <c r="D4" s="320" t="s">
        <v>4133</v>
      </c>
      <c r="E4" s="321" t="s">
        <v>4461</v>
      </c>
      <c r="F4" s="321" t="s">
        <v>4462</v>
      </c>
      <c r="G4" s="322" t="s">
        <v>4463</v>
      </c>
      <c r="H4" s="323" t="s">
        <v>4464</v>
      </c>
      <c r="I4" s="321" t="s">
        <v>4149</v>
      </c>
      <c r="J4" s="321" t="s">
        <v>4690</v>
      </c>
      <c r="K4" s="321" t="s">
        <v>4691</v>
      </c>
      <c r="L4" s="324" t="s">
        <v>4465</v>
      </c>
      <c r="M4" s="325" t="s">
        <v>4466</v>
      </c>
      <c r="N4" s="325" t="s">
        <v>4467</v>
      </c>
      <c r="O4" s="326" t="s">
        <v>4468</v>
      </c>
      <c r="P4" s="201"/>
      <c r="Q4" s="202"/>
    </row>
    <row r="5" spans="1:17" ht="24.75" customHeight="1" thickBot="1">
      <c r="A5" s="256"/>
      <c r="B5" s="646" t="s">
        <v>4469</v>
      </c>
      <c r="C5" s="646"/>
      <c r="D5" s="646"/>
      <c r="E5" s="646"/>
      <c r="F5" s="646"/>
      <c r="G5" s="646"/>
      <c r="H5" s="646"/>
      <c r="I5" s="646"/>
      <c r="J5" s="646"/>
      <c r="K5" s="646"/>
      <c r="L5" s="646"/>
      <c r="M5" s="646"/>
      <c r="N5" s="646"/>
      <c r="O5" s="646"/>
      <c r="P5" s="201"/>
      <c r="Q5" s="202"/>
    </row>
    <row r="6" spans="1:17" s="338" customFormat="1" ht="45.45" customHeight="1" thickBot="1">
      <c r="A6" s="327"/>
      <c r="B6" s="328" t="s">
        <v>4470</v>
      </c>
      <c r="C6" s="329" t="s">
        <v>4471</v>
      </c>
      <c r="D6" s="329" t="s">
        <v>4472</v>
      </c>
      <c r="E6" s="330">
        <v>240</v>
      </c>
      <c r="F6" s="331">
        <f t="shared" ref="F6:F68" si="0">E6/24</f>
        <v>10</v>
      </c>
      <c r="G6" s="332" t="s">
        <v>4473</v>
      </c>
      <c r="H6" s="331">
        <v>0</v>
      </c>
      <c r="I6" s="331">
        <v>0</v>
      </c>
      <c r="J6" s="333">
        <f>E6-H6-I6*24</f>
        <v>240</v>
      </c>
      <c r="K6" s="334">
        <f t="shared" ref="K6:K15" si="1">J6/E6</f>
        <v>1</v>
      </c>
      <c r="L6" s="329" t="s">
        <v>4474</v>
      </c>
      <c r="M6" s="335" t="s">
        <v>4475</v>
      </c>
      <c r="N6" s="336" t="s">
        <v>4476</v>
      </c>
      <c r="O6" s="336" t="s">
        <v>4477</v>
      </c>
      <c r="P6" s="337"/>
    </row>
    <row r="7" spans="1:17" s="338" customFormat="1" ht="45.75" customHeight="1" thickBot="1">
      <c r="A7" s="327"/>
      <c r="B7" s="328" t="s">
        <v>4470</v>
      </c>
      <c r="C7" s="329" t="s">
        <v>4471</v>
      </c>
      <c r="D7" s="329" t="s">
        <v>4472</v>
      </c>
      <c r="E7" s="330">
        <v>240</v>
      </c>
      <c r="F7" s="330">
        <f t="shared" si="0"/>
        <v>10</v>
      </c>
      <c r="G7" s="329" t="s">
        <v>4473</v>
      </c>
      <c r="H7" s="330">
        <v>0</v>
      </c>
      <c r="I7" s="330">
        <v>0</v>
      </c>
      <c r="J7" s="333">
        <f>E7-H7-I7*24</f>
        <v>240</v>
      </c>
      <c r="K7" s="334">
        <f t="shared" si="1"/>
        <v>1</v>
      </c>
      <c r="L7" s="329" t="s">
        <v>4478</v>
      </c>
      <c r="M7" s="335" t="s">
        <v>4479</v>
      </c>
      <c r="N7" s="336" t="s">
        <v>4480</v>
      </c>
      <c r="O7" s="336" t="s">
        <v>1494</v>
      </c>
      <c r="P7" s="337"/>
    </row>
    <row r="8" spans="1:17" s="342" customFormat="1" ht="47.4" thickBot="1">
      <c r="A8" s="339"/>
      <c r="B8" s="328" t="s">
        <v>4481</v>
      </c>
      <c r="C8" s="329" t="s">
        <v>4482</v>
      </c>
      <c r="D8" s="329" t="s">
        <v>4483</v>
      </c>
      <c r="E8" s="330">
        <v>96</v>
      </c>
      <c r="F8" s="330">
        <v>4</v>
      </c>
      <c r="G8" s="329" t="s">
        <v>4484</v>
      </c>
      <c r="H8" s="330">
        <v>0</v>
      </c>
      <c r="I8" s="330">
        <v>0</v>
      </c>
      <c r="J8" s="333">
        <f>E8-H8-I8*24</f>
        <v>96</v>
      </c>
      <c r="K8" s="334">
        <f t="shared" ref="K8" si="2">J8/E8</f>
        <v>1</v>
      </c>
      <c r="L8" s="329" t="s">
        <v>4478</v>
      </c>
      <c r="M8" s="329" t="s">
        <v>4485</v>
      </c>
      <c r="N8" s="336" t="s">
        <v>4486</v>
      </c>
      <c r="O8" s="340" t="s">
        <v>1494</v>
      </c>
      <c r="P8" s="341"/>
    </row>
    <row r="9" spans="1:17" s="342" customFormat="1" ht="56.55" customHeight="1" thickBot="1">
      <c r="A9" s="339"/>
      <c r="B9" s="328" t="s">
        <v>4481</v>
      </c>
      <c r="C9" s="329" t="s">
        <v>4482</v>
      </c>
      <c r="D9" s="329" t="s">
        <v>4483</v>
      </c>
      <c r="E9" s="330">
        <v>96</v>
      </c>
      <c r="F9" s="330">
        <v>4</v>
      </c>
      <c r="G9" s="329" t="s">
        <v>4484</v>
      </c>
      <c r="H9" s="330">
        <v>0</v>
      </c>
      <c r="I9" s="330">
        <v>0</v>
      </c>
      <c r="J9" s="333">
        <f>E9-H9-I9*24</f>
        <v>96</v>
      </c>
      <c r="K9" s="334">
        <f t="shared" si="1"/>
        <v>1</v>
      </c>
      <c r="L9" s="329" t="s">
        <v>4474</v>
      </c>
      <c r="M9" s="329" t="s">
        <v>4487</v>
      </c>
      <c r="N9" s="336" t="s">
        <v>4488</v>
      </c>
      <c r="O9" s="340" t="s">
        <v>4477</v>
      </c>
      <c r="P9" s="341"/>
    </row>
    <row r="10" spans="1:17" ht="50.25" customHeight="1">
      <c r="A10" s="166"/>
      <c r="B10" s="343" t="s">
        <v>4489</v>
      </c>
      <c r="C10" s="344" t="s">
        <v>4490</v>
      </c>
      <c r="D10" s="345" t="s">
        <v>4491</v>
      </c>
      <c r="E10" s="346">
        <v>480</v>
      </c>
      <c r="F10" s="333">
        <f t="shared" si="0"/>
        <v>20</v>
      </c>
      <c r="G10" s="333" t="s">
        <v>4473</v>
      </c>
      <c r="H10" s="333">
        <v>0</v>
      </c>
      <c r="I10" s="333">
        <v>0</v>
      </c>
      <c r="J10" s="333">
        <f>E10-H10-I10*24</f>
        <v>480</v>
      </c>
      <c r="K10" s="347">
        <f t="shared" si="1"/>
        <v>1</v>
      </c>
      <c r="L10" s="348" t="s">
        <v>4478</v>
      </c>
      <c r="M10" s="348" t="s">
        <v>4492</v>
      </c>
      <c r="N10" s="349">
        <v>1632238066824</v>
      </c>
      <c r="O10" s="350" t="s">
        <v>1494</v>
      </c>
      <c r="P10" s="201"/>
      <c r="Q10" s="202"/>
    </row>
    <row r="11" spans="1:17" ht="50.25" customHeight="1" thickBot="1">
      <c r="A11" s="166"/>
      <c r="B11" s="351" t="s">
        <v>4489</v>
      </c>
      <c r="C11" s="352" t="s">
        <v>4490</v>
      </c>
      <c r="D11" s="353" t="s">
        <v>4491</v>
      </c>
      <c r="E11" s="354">
        <v>480</v>
      </c>
      <c r="F11" s="354">
        <f t="shared" si="0"/>
        <v>20</v>
      </c>
      <c r="G11" s="354" t="s">
        <v>4473</v>
      </c>
      <c r="H11" s="354">
        <v>0</v>
      </c>
      <c r="I11" s="354">
        <v>0</v>
      </c>
      <c r="J11" s="354">
        <f t="shared" ref="J11:J13" si="3">E11-H11-I11*24</f>
        <v>480</v>
      </c>
      <c r="K11" s="355">
        <f t="shared" si="1"/>
        <v>1</v>
      </c>
      <c r="L11" s="356" t="s">
        <v>4474</v>
      </c>
      <c r="M11" s="356" t="s">
        <v>4493</v>
      </c>
      <c r="N11" s="357">
        <v>1632238066831</v>
      </c>
      <c r="O11" s="358" t="s">
        <v>4477</v>
      </c>
      <c r="P11" s="201"/>
      <c r="Q11" s="202"/>
    </row>
    <row r="12" spans="1:17" ht="55.5" customHeight="1" thickBot="1">
      <c r="A12" s="166"/>
      <c r="B12" s="359" t="s">
        <v>4494</v>
      </c>
      <c r="C12" s="360" t="s">
        <v>4495</v>
      </c>
      <c r="D12" s="345" t="s">
        <v>4496</v>
      </c>
      <c r="E12" s="361">
        <v>240</v>
      </c>
      <c r="F12" s="361">
        <f t="shared" si="0"/>
        <v>10</v>
      </c>
      <c r="G12" s="361" t="s">
        <v>4473</v>
      </c>
      <c r="H12" s="346">
        <v>0</v>
      </c>
      <c r="I12" s="346">
        <v>0</v>
      </c>
      <c r="J12" s="354">
        <f t="shared" si="3"/>
        <v>240</v>
      </c>
      <c r="K12" s="362">
        <f t="shared" si="1"/>
        <v>1</v>
      </c>
      <c r="L12" s="363" t="s">
        <v>4478</v>
      </c>
      <c r="M12" s="364" t="s">
        <v>4497</v>
      </c>
      <c r="N12" s="365">
        <v>1632238066839</v>
      </c>
      <c r="O12" s="350" t="s">
        <v>1494</v>
      </c>
      <c r="P12" s="201"/>
      <c r="Q12" s="202"/>
    </row>
    <row r="13" spans="1:17" ht="55.5" customHeight="1" thickBot="1">
      <c r="A13" s="166"/>
      <c r="B13" s="351" t="s">
        <v>4494</v>
      </c>
      <c r="C13" s="352" t="s">
        <v>4495</v>
      </c>
      <c r="D13" s="353" t="s">
        <v>4496</v>
      </c>
      <c r="E13" s="366">
        <v>240</v>
      </c>
      <c r="F13" s="366">
        <f t="shared" si="0"/>
        <v>10</v>
      </c>
      <c r="G13" s="366" t="s">
        <v>4473</v>
      </c>
      <c r="H13" s="366">
        <v>0</v>
      </c>
      <c r="I13" s="366">
        <v>0</v>
      </c>
      <c r="J13" s="354">
        <f t="shared" si="3"/>
        <v>240</v>
      </c>
      <c r="K13" s="367">
        <f t="shared" si="1"/>
        <v>1</v>
      </c>
      <c r="L13" s="368" t="s">
        <v>4474</v>
      </c>
      <c r="M13" s="369" t="s">
        <v>4498</v>
      </c>
      <c r="N13" s="357">
        <v>1632238066845</v>
      </c>
      <c r="O13" s="358" t="s">
        <v>4477</v>
      </c>
      <c r="P13" s="201"/>
      <c r="Q13" s="202"/>
    </row>
    <row r="14" spans="1:17" ht="57.75" customHeight="1">
      <c r="A14" s="166"/>
      <c r="B14" s="343" t="s">
        <v>4499</v>
      </c>
      <c r="C14" s="360" t="s">
        <v>4500</v>
      </c>
      <c r="D14" s="370" t="s">
        <v>4501</v>
      </c>
      <c r="E14" s="346">
        <v>96</v>
      </c>
      <c r="F14" s="346">
        <f t="shared" si="0"/>
        <v>4</v>
      </c>
      <c r="G14" s="346" t="s">
        <v>4473</v>
      </c>
      <c r="H14" s="346">
        <v>0</v>
      </c>
      <c r="I14" s="346">
        <v>0</v>
      </c>
      <c r="J14" s="346">
        <f>E14-H14-I14*24</f>
        <v>96</v>
      </c>
      <c r="K14" s="362">
        <f t="shared" si="1"/>
        <v>1</v>
      </c>
      <c r="L14" s="371" t="s">
        <v>4478</v>
      </c>
      <c r="M14" s="371" t="s">
        <v>4502</v>
      </c>
      <c r="N14" s="365">
        <v>1632238066854</v>
      </c>
      <c r="O14" s="350" t="s">
        <v>1494</v>
      </c>
      <c r="P14" s="201"/>
      <c r="Q14" s="202"/>
    </row>
    <row r="15" spans="1:17" ht="57.75" customHeight="1" thickBot="1">
      <c r="A15" s="166"/>
      <c r="B15" s="351" t="s">
        <v>4499</v>
      </c>
      <c r="C15" s="352" t="s">
        <v>4500</v>
      </c>
      <c r="D15" s="353" t="s">
        <v>4501</v>
      </c>
      <c r="E15" s="354">
        <v>96</v>
      </c>
      <c r="F15" s="354">
        <f t="shared" si="0"/>
        <v>4</v>
      </c>
      <c r="G15" s="354" t="s">
        <v>4473</v>
      </c>
      <c r="H15" s="354">
        <v>0</v>
      </c>
      <c r="I15" s="354">
        <v>0</v>
      </c>
      <c r="J15" s="354">
        <f>E15-H15-I15*24</f>
        <v>96</v>
      </c>
      <c r="K15" s="355">
        <f t="shared" si="1"/>
        <v>1</v>
      </c>
      <c r="L15" s="356" t="s">
        <v>4474</v>
      </c>
      <c r="M15" s="356" t="s">
        <v>4503</v>
      </c>
      <c r="N15" s="357">
        <v>1632238066860</v>
      </c>
      <c r="O15" s="358" t="s">
        <v>4477</v>
      </c>
      <c r="P15" s="201"/>
      <c r="Q15" s="202"/>
    </row>
    <row r="16" spans="1:17" ht="57.75" customHeight="1">
      <c r="A16" s="166"/>
      <c r="B16" s="372" t="s">
        <v>4504</v>
      </c>
      <c r="C16" s="360" t="s">
        <v>4505</v>
      </c>
      <c r="D16" s="370" t="s">
        <v>4506</v>
      </c>
      <c r="E16" s="333">
        <v>72</v>
      </c>
      <c r="F16" s="333">
        <f t="shared" si="0"/>
        <v>3</v>
      </c>
      <c r="G16" s="346" t="s">
        <v>4473</v>
      </c>
      <c r="H16" s="346" t="s">
        <v>4142</v>
      </c>
      <c r="I16" s="346" t="s">
        <v>4142</v>
      </c>
      <c r="J16" s="346" t="s">
        <v>4142</v>
      </c>
      <c r="K16" s="362" t="s">
        <v>4142</v>
      </c>
      <c r="L16" s="364" t="s">
        <v>4478</v>
      </c>
      <c r="M16" s="373" t="s">
        <v>4507</v>
      </c>
      <c r="N16" s="374" t="s">
        <v>4142</v>
      </c>
      <c r="O16" s="350" t="s">
        <v>1494</v>
      </c>
      <c r="P16" s="201"/>
      <c r="Q16" s="202"/>
    </row>
    <row r="17" spans="1:22" ht="57.75" customHeight="1">
      <c r="A17" s="166"/>
      <c r="B17" s="375" t="s">
        <v>4508</v>
      </c>
      <c r="C17" s="376" t="s">
        <v>4505</v>
      </c>
      <c r="D17" s="377" t="s">
        <v>4506</v>
      </c>
      <c r="E17" s="378">
        <v>72</v>
      </c>
      <c r="F17" s="378">
        <f t="shared" si="0"/>
        <v>3</v>
      </c>
      <c r="G17" s="379" t="s">
        <v>4473</v>
      </c>
      <c r="H17" s="379" t="s">
        <v>4142</v>
      </c>
      <c r="I17" s="379" t="s">
        <v>4142</v>
      </c>
      <c r="J17" s="379" t="s">
        <v>4142</v>
      </c>
      <c r="K17" s="380" t="s">
        <v>4142</v>
      </c>
      <c r="L17" s="381" t="s">
        <v>4474</v>
      </c>
      <c r="M17" s="382" t="s">
        <v>4509</v>
      </c>
      <c r="N17" s="383" t="s">
        <v>4142</v>
      </c>
      <c r="O17" s="384" t="s">
        <v>4477</v>
      </c>
      <c r="P17" s="201"/>
      <c r="Q17" s="202"/>
    </row>
    <row r="18" spans="1:22" ht="57.75" customHeight="1">
      <c r="A18" s="166"/>
      <c r="B18" s="375" t="s">
        <v>4510</v>
      </c>
      <c r="C18" s="376" t="s">
        <v>4511</v>
      </c>
      <c r="D18" s="377" t="s">
        <v>4512</v>
      </c>
      <c r="E18" s="378">
        <v>72</v>
      </c>
      <c r="F18" s="378">
        <f t="shared" si="0"/>
        <v>3</v>
      </c>
      <c r="G18" s="379" t="s">
        <v>4473</v>
      </c>
      <c r="H18" s="379" t="s">
        <v>4142</v>
      </c>
      <c r="I18" s="379" t="s">
        <v>4142</v>
      </c>
      <c r="J18" s="379" t="s">
        <v>4142</v>
      </c>
      <c r="K18" s="380" t="s">
        <v>4142</v>
      </c>
      <c r="L18" s="381" t="s">
        <v>4478</v>
      </c>
      <c r="M18" s="382" t="s">
        <v>4513</v>
      </c>
      <c r="N18" s="383" t="s">
        <v>4142</v>
      </c>
      <c r="O18" s="384" t="s">
        <v>1494</v>
      </c>
      <c r="P18" s="201"/>
      <c r="Q18" s="202"/>
    </row>
    <row r="19" spans="1:22" ht="57.75" customHeight="1" thickBot="1">
      <c r="A19" s="166"/>
      <c r="B19" s="351" t="s">
        <v>4510</v>
      </c>
      <c r="C19" s="352" t="s">
        <v>4511</v>
      </c>
      <c r="D19" s="353" t="s">
        <v>4512</v>
      </c>
      <c r="E19" s="354">
        <v>72</v>
      </c>
      <c r="F19" s="354">
        <f t="shared" si="0"/>
        <v>3</v>
      </c>
      <c r="G19" s="354" t="s">
        <v>4473</v>
      </c>
      <c r="H19" s="354" t="s">
        <v>4142</v>
      </c>
      <c r="I19" s="354" t="s">
        <v>4142</v>
      </c>
      <c r="J19" s="354" t="s">
        <v>4142</v>
      </c>
      <c r="K19" s="355" t="s">
        <v>4142</v>
      </c>
      <c r="L19" s="356" t="s">
        <v>4474</v>
      </c>
      <c r="M19" s="385" t="s">
        <v>4514</v>
      </c>
      <c r="N19" s="386" t="s">
        <v>4142</v>
      </c>
      <c r="O19" s="358" t="s">
        <v>4477</v>
      </c>
      <c r="P19" s="201"/>
      <c r="Q19" s="202"/>
    </row>
    <row r="20" spans="1:22" s="204" customFormat="1" ht="56.25" customHeight="1">
      <c r="A20" s="166"/>
      <c r="B20" s="375" t="s">
        <v>4515</v>
      </c>
      <c r="C20" s="376" t="s">
        <v>4516</v>
      </c>
      <c r="D20" s="377" t="s">
        <v>4517</v>
      </c>
      <c r="E20" s="378">
        <v>84</v>
      </c>
      <c r="F20" s="378">
        <f t="shared" si="0"/>
        <v>3.5</v>
      </c>
      <c r="G20" s="378" t="s">
        <v>4518</v>
      </c>
      <c r="H20" s="378">
        <v>0</v>
      </c>
      <c r="I20" s="378">
        <v>1</v>
      </c>
      <c r="J20" s="378">
        <f>E20-H20-I20*24</f>
        <v>60</v>
      </c>
      <c r="K20" s="387">
        <f>J20/E20</f>
        <v>0.7142857142857143</v>
      </c>
      <c r="L20" s="381" t="s">
        <v>4474</v>
      </c>
      <c r="M20" s="382" t="s">
        <v>4519</v>
      </c>
      <c r="N20" s="383">
        <v>1604089023239</v>
      </c>
      <c r="O20" s="384" t="s">
        <v>4477</v>
      </c>
      <c r="P20" s="201"/>
      <c r="Q20" s="203"/>
      <c r="R20" s="203"/>
      <c r="S20" s="203"/>
      <c r="T20" s="203"/>
      <c r="U20" s="203"/>
      <c r="V20" s="203"/>
    </row>
    <row r="21" spans="1:22" s="204" customFormat="1" ht="56.25" customHeight="1">
      <c r="A21" s="166"/>
      <c r="B21" s="375" t="s">
        <v>4520</v>
      </c>
      <c r="C21" s="376" t="s">
        <v>4521</v>
      </c>
      <c r="D21" s="377" t="s">
        <v>4522</v>
      </c>
      <c r="E21" s="378">
        <v>36</v>
      </c>
      <c r="F21" s="378">
        <f t="shared" si="0"/>
        <v>1.5</v>
      </c>
      <c r="G21" s="379" t="s">
        <v>4473</v>
      </c>
      <c r="H21" s="379" t="s">
        <v>4142</v>
      </c>
      <c r="I21" s="379" t="s">
        <v>4142</v>
      </c>
      <c r="J21" s="379" t="s">
        <v>4142</v>
      </c>
      <c r="K21" s="380" t="s">
        <v>4142</v>
      </c>
      <c r="L21" s="381" t="s">
        <v>4478</v>
      </c>
      <c r="M21" s="388" t="s">
        <v>4142</v>
      </c>
      <c r="N21" s="383" t="s">
        <v>4142</v>
      </c>
      <c r="O21" s="384" t="s">
        <v>1494</v>
      </c>
      <c r="P21" s="201"/>
      <c r="Q21" s="203"/>
      <c r="R21" s="203"/>
      <c r="S21" s="203"/>
      <c r="T21" s="203"/>
      <c r="U21" s="203"/>
      <c r="V21" s="203"/>
    </row>
    <row r="22" spans="1:22" s="204" customFormat="1" ht="56.25" customHeight="1" thickBot="1">
      <c r="A22" s="166"/>
      <c r="B22" s="351" t="s">
        <v>4520</v>
      </c>
      <c r="C22" s="376" t="s">
        <v>4521</v>
      </c>
      <c r="D22" s="353" t="s">
        <v>4522</v>
      </c>
      <c r="E22" s="354">
        <v>36</v>
      </c>
      <c r="F22" s="389">
        <f t="shared" si="0"/>
        <v>1.5</v>
      </c>
      <c r="G22" s="389" t="s">
        <v>4473</v>
      </c>
      <c r="H22" s="389" t="s">
        <v>4142</v>
      </c>
      <c r="I22" s="389" t="s">
        <v>4142</v>
      </c>
      <c r="J22" s="389" t="s">
        <v>4142</v>
      </c>
      <c r="K22" s="390" t="s">
        <v>4142</v>
      </c>
      <c r="L22" s="381" t="s">
        <v>4474</v>
      </c>
      <c r="M22" s="391" t="s">
        <v>4142</v>
      </c>
      <c r="N22" s="383" t="s">
        <v>4142</v>
      </c>
      <c r="O22" s="358" t="s">
        <v>4477</v>
      </c>
      <c r="P22" s="201"/>
      <c r="Q22" s="203"/>
      <c r="R22" s="203"/>
      <c r="S22" s="203"/>
      <c r="T22" s="203"/>
      <c r="U22" s="203"/>
      <c r="V22" s="203"/>
    </row>
    <row r="23" spans="1:22" s="204" customFormat="1" ht="56.25" customHeight="1">
      <c r="A23" s="635"/>
      <c r="B23" s="392" t="s">
        <v>4520</v>
      </c>
      <c r="C23" s="393" t="s">
        <v>4521</v>
      </c>
      <c r="D23" s="394" t="s">
        <v>4522</v>
      </c>
      <c r="E23" s="395">
        <v>36</v>
      </c>
      <c r="F23" s="395">
        <f t="shared" si="0"/>
        <v>1.5</v>
      </c>
      <c r="G23" s="395" t="s">
        <v>4473</v>
      </c>
      <c r="H23" s="395">
        <v>0</v>
      </c>
      <c r="I23" s="395">
        <v>0</v>
      </c>
      <c r="J23" s="395">
        <f t="shared" ref="J23:J34" si="4">E23-H23-I23*24</f>
        <v>36</v>
      </c>
      <c r="K23" s="396">
        <f>J23/E23</f>
        <v>1</v>
      </c>
      <c r="L23" s="335" t="s">
        <v>4478</v>
      </c>
      <c r="M23" s="397" t="s">
        <v>4523</v>
      </c>
      <c r="N23" s="398">
        <v>1617831508722</v>
      </c>
      <c r="O23" s="399" t="s">
        <v>1494</v>
      </c>
      <c r="P23" s="201"/>
      <c r="Q23" s="203"/>
      <c r="R23" s="203"/>
      <c r="S23" s="203"/>
      <c r="T23" s="203"/>
      <c r="U23" s="203"/>
      <c r="V23" s="203"/>
    </row>
    <row r="24" spans="1:22" s="204" customFormat="1" ht="56.25" customHeight="1">
      <c r="A24" s="635"/>
      <c r="B24" s="400" t="s">
        <v>4520</v>
      </c>
      <c r="C24" s="393" t="s">
        <v>4521</v>
      </c>
      <c r="D24" s="401" t="s">
        <v>4522</v>
      </c>
      <c r="E24" s="378">
        <v>36</v>
      </c>
      <c r="F24" s="378">
        <f t="shared" si="0"/>
        <v>1.5</v>
      </c>
      <c r="G24" s="378" t="s">
        <v>4473</v>
      </c>
      <c r="H24" s="378">
        <v>0</v>
      </c>
      <c r="I24" s="378">
        <v>0</v>
      </c>
      <c r="J24" s="378">
        <f t="shared" si="4"/>
        <v>36</v>
      </c>
      <c r="K24" s="402">
        <f>J24/E24</f>
        <v>1</v>
      </c>
      <c r="L24" s="335" t="s">
        <v>4474</v>
      </c>
      <c r="M24" s="403" t="s">
        <v>4524</v>
      </c>
      <c r="N24" s="398">
        <v>1617831508728</v>
      </c>
      <c r="O24" s="384" t="s">
        <v>4477</v>
      </c>
      <c r="P24" s="201"/>
      <c r="Q24" s="203"/>
      <c r="R24" s="203"/>
      <c r="S24" s="203"/>
      <c r="T24" s="203"/>
      <c r="U24" s="203"/>
      <c r="V24" s="203"/>
    </row>
    <row r="25" spans="1:22" s="204" customFormat="1" ht="56.25" customHeight="1">
      <c r="A25" s="635"/>
      <c r="B25" s="400" t="s">
        <v>4525</v>
      </c>
      <c r="C25" s="393" t="s">
        <v>4526</v>
      </c>
      <c r="D25" s="401" t="s">
        <v>4527</v>
      </c>
      <c r="E25" s="378">
        <v>60</v>
      </c>
      <c r="F25" s="378">
        <f t="shared" si="0"/>
        <v>2.5</v>
      </c>
      <c r="G25" s="378" t="s">
        <v>4473</v>
      </c>
      <c r="H25" s="378">
        <v>0</v>
      </c>
      <c r="I25" s="378">
        <v>1</v>
      </c>
      <c r="J25" s="378">
        <f t="shared" si="4"/>
        <v>36</v>
      </c>
      <c r="K25" s="402">
        <f t="shared" ref="K25:K34" si="5">J25/E25</f>
        <v>0.6</v>
      </c>
      <c r="L25" s="335" t="s">
        <v>4478</v>
      </c>
      <c r="M25" s="403" t="s">
        <v>4528</v>
      </c>
      <c r="N25" s="398">
        <v>1678133266093</v>
      </c>
      <c r="O25" s="384" t="s">
        <v>832</v>
      </c>
      <c r="P25" s="201"/>
      <c r="Q25" s="203"/>
      <c r="R25" s="203"/>
      <c r="S25" s="203"/>
      <c r="T25" s="203"/>
      <c r="U25" s="203"/>
      <c r="V25" s="203"/>
    </row>
    <row r="26" spans="1:22" s="204" customFormat="1" ht="56.25" customHeight="1">
      <c r="A26" s="635" t="s">
        <v>4529</v>
      </c>
      <c r="B26" s="404" t="s">
        <v>4525</v>
      </c>
      <c r="C26" s="405" t="s">
        <v>4526</v>
      </c>
      <c r="D26" s="406" t="s">
        <v>4527</v>
      </c>
      <c r="E26" s="407">
        <v>60</v>
      </c>
      <c r="F26" s="407">
        <f t="shared" si="0"/>
        <v>2.5</v>
      </c>
      <c r="G26" s="407" t="s">
        <v>4473</v>
      </c>
      <c r="H26" s="407">
        <v>0</v>
      </c>
      <c r="I26" s="407">
        <v>1</v>
      </c>
      <c r="J26" s="407">
        <f t="shared" si="4"/>
        <v>36</v>
      </c>
      <c r="K26" s="408">
        <f t="shared" si="5"/>
        <v>0.6</v>
      </c>
      <c r="L26" s="409" t="s">
        <v>4474</v>
      </c>
      <c r="M26" s="410" t="s">
        <v>4530</v>
      </c>
      <c r="N26" s="411">
        <v>1678133266100</v>
      </c>
      <c r="O26" s="412" t="s">
        <v>4531</v>
      </c>
      <c r="P26" s="201"/>
      <c r="Q26" s="203"/>
      <c r="R26" s="203"/>
      <c r="S26" s="203"/>
      <c r="T26" s="203"/>
      <c r="U26" s="203"/>
      <c r="V26" s="203"/>
    </row>
    <row r="27" spans="1:22" s="204" customFormat="1" ht="56.25" customHeight="1">
      <c r="A27" s="166"/>
      <c r="B27" s="392" t="s">
        <v>4532</v>
      </c>
      <c r="C27" s="393" t="s">
        <v>4526</v>
      </c>
      <c r="D27" s="394" t="s">
        <v>4533</v>
      </c>
      <c r="E27" s="395">
        <v>120</v>
      </c>
      <c r="F27" s="395">
        <f t="shared" si="0"/>
        <v>5</v>
      </c>
      <c r="G27" s="395" t="s">
        <v>4473</v>
      </c>
      <c r="H27" s="395">
        <v>0</v>
      </c>
      <c r="I27" s="395">
        <v>3</v>
      </c>
      <c r="J27" s="395">
        <f t="shared" si="4"/>
        <v>48</v>
      </c>
      <c r="K27" s="396">
        <f t="shared" si="5"/>
        <v>0.4</v>
      </c>
      <c r="L27" s="335" t="s">
        <v>4478</v>
      </c>
      <c r="M27" s="397" t="s">
        <v>4534</v>
      </c>
      <c r="N27" s="398">
        <v>1648460399918</v>
      </c>
      <c r="O27" s="399" t="s">
        <v>832</v>
      </c>
      <c r="P27" s="201"/>
      <c r="Q27" s="203"/>
      <c r="R27" s="203"/>
      <c r="S27" s="203"/>
      <c r="T27" s="203"/>
      <c r="U27" s="203"/>
      <c r="V27" s="203"/>
    </row>
    <row r="28" spans="1:22" s="204" customFormat="1" ht="56.25" customHeight="1">
      <c r="A28" s="166"/>
      <c r="B28" s="392" t="s">
        <v>4532</v>
      </c>
      <c r="C28" s="393" t="s">
        <v>4526</v>
      </c>
      <c r="D28" s="394" t="s">
        <v>4533</v>
      </c>
      <c r="E28" s="395">
        <v>120</v>
      </c>
      <c r="F28" s="395">
        <f t="shared" si="0"/>
        <v>5</v>
      </c>
      <c r="G28" s="395" t="s">
        <v>4473</v>
      </c>
      <c r="H28" s="395">
        <v>0</v>
      </c>
      <c r="I28" s="395">
        <v>3</v>
      </c>
      <c r="J28" s="395">
        <f t="shared" si="4"/>
        <v>48</v>
      </c>
      <c r="K28" s="396">
        <f t="shared" si="5"/>
        <v>0.4</v>
      </c>
      <c r="L28" s="335" t="s">
        <v>4474</v>
      </c>
      <c r="M28" s="397" t="s">
        <v>4535</v>
      </c>
      <c r="N28" s="398">
        <v>1648460399944</v>
      </c>
      <c r="O28" s="399" t="s">
        <v>4531</v>
      </c>
      <c r="P28" s="201"/>
      <c r="Q28" s="203"/>
      <c r="R28" s="203"/>
      <c r="S28" s="203"/>
      <c r="T28" s="203"/>
      <c r="U28" s="203"/>
      <c r="V28" s="203"/>
    </row>
    <row r="29" spans="1:22" s="204" customFormat="1" ht="56.25" customHeight="1">
      <c r="A29" s="166"/>
      <c r="B29" s="413" t="s">
        <v>4536</v>
      </c>
      <c r="C29" s="376" t="s">
        <v>4526</v>
      </c>
      <c r="D29" s="414" t="s">
        <v>4537</v>
      </c>
      <c r="E29" s="415">
        <v>48</v>
      </c>
      <c r="F29" s="415">
        <f t="shared" si="0"/>
        <v>2</v>
      </c>
      <c r="G29" s="415" t="s">
        <v>4518</v>
      </c>
      <c r="H29" s="379">
        <v>0</v>
      </c>
      <c r="I29" s="379">
        <v>1</v>
      </c>
      <c r="J29" s="379">
        <f t="shared" si="4"/>
        <v>24</v>
      </c>
      <c r="K29" s="380">
        <f t="shared" si="5"/>
        <v>0.5</v>
      </c>
      <c r="L29" s="416" t="s">
        <v>4478</v>
      </c>
      <c r="M29" s="381" t="s">
        <v>4538</v>
      </c>
      <c r="N29" s="417">
        <v>1545214052562</v>
      </c>
      <c r="O29" s="384" t="s">
        <v>832</v>
      </c>
      <c r="P29" s="205"/>
      <c r="Q29" s="203"/>
      <c r="R29" s="203"/>
      <c r="S29" s="203"/>
      <c r="T29" s="203"/>
      <c r="U29" s="203"/>
      <c r="V29" s="203"/>
    </row>
    <row r="30" spans="1:22" s="204" customFormat="1" ht="56.25" customHeight="1" thickBot="1">
      <c r="A30" s="166"/>
      <c r="B30" s="413" t="s">
        <v>4536</v>
      </c>
      <c r="C30" s="376" t="s">
        <v>4526</v>
      </c>
      <c r="D30" s="414" t="s">
        <v>4537</v>
      </c>
      <c r="E30" s="415">
        <v>48</v>
      </c>
      <c r="F30" s="379">
        <f t="shared" si="0"/>
        <v>2</v>
      </c>
      <c r="G30" s="379" t="s">
        <v>4518</v>
      </c>
      <c r="H30" s="379">
        <v>0</v>
      </c>
      <c r="I30" s="379">
        <v>1</v>
      </c>
      <c r="J30" s="379">
        <f t="shared" si="4"/>
        <v>24</v>
      </c>
      <c r="K30" s="380">
        <f t="shared" si="5"/>
        <v>0.5</v>
      </c>
      <c r="L30" s="381" t="s">
        <v>4474</v>
      </c>
      <c r="M30" s="381" t="s">
        <v>4539</v>
      </c>
      <c r="N30" s="417">
        <v>1545214052556</v>
      </c>
      <c r="O30" s="384" t="s">
        <v>4531</v>
      </c>
      <c r="P30" s="205"/>
      <c r="Q30" s="203"/>
      <c r="R30" s="203"/>
      <c r="S30" s="203"/>
      <c r="T30" s="203"/>
      <c r="U30" s="203"/>
      <c r="V30" s="203"/>
    </row>
    <row r="31" spans="1:22" s="342" customFormat="1" ht="56.25" customHeight="1" thickBot="1">
      <c r="A31" s="635"/>
      <c r="B31" s="328" t="s">
        <v>4540</v>
      </c>
      <c r="C31" s="329" t="s">
        <v>4541</v>
      </c>
      <c r="D31" s="329" t="s">
        <v>4542</v>
      </c>
      <c r="E31" s="330">
        <v>12</v>
      </c>
      <c r="F31" s="330">
        <f t="shared" si="0"/>
        <v>0.5</v>
      </c>
      <c r="G31" s="329" t="s">
        <v>4473</v>
      </c>
      <c r="H31" s="331">
        <v>0</v>
      </c>
      <c r="I31" s="331">
        <v>0.5</v>
      </c>
      <c r="J31" s="331">
        <f t="shared" si="4"/>
        <v>0</v>
      </c>
      <c r="K31" s="334">
        <f t="shared" si="5"/>
        <v>0</v>
      </c>
      <c r="L31" s="416" t="s">
        <v>4478</v>
      </c>
      <c r="M31" s="329" t="s">
        <v>4142</v>
      </c>
      <c r="N31" s="329" t="s">
        <v>4142</v>
      </c>
      <c r="O31" s="350" t="s">
        <v>1494</v>
      </c>
      <c r="P31" s="341"/>
    </row>
    <row r="32" spans="1:22" s="342" customFormat="1" ht="56.25" customHeight="1" thickBot="1">
      <c r="A32" s="635"/>
      <c r="B32" s="328" t="s">
        <v>4543</v>
      </c>
      <c r="C32" s="329" t="s">
        <v>4544</v>
      </c>
      <c r="D32" s="329" t="s">
        <v>4545</v>
      </c>
      <c r="E32" s="330">
        <v>12</v>
      </c>
      <c r="F32" s="330">
        <f t="shared" si="0"/>
        <v>0.5</v>
      </c>
      <c r="G32" s="329" t="s">
        <v>4473</v>
      </c>
      <c r="H32" s="331">
        <v>0</v>
      </c>
      <c r="I32" s="331">
        <v>0.5</v>
      </c>
      <c r="J32" s="331">
        <f t="shared" si="4"/>
        <v>0</v>
      </c>
      <c r="K32" s="334">
        <f t="shared" si="5"/>
        <v>0</v>
      </c>
      <c r="L32" s="416" t="s">
        <v>4478</v>
      </c>
      <c r="M32" s="329" t="s">
        <v>4142</v>
      </c>
      <c r="N32" s="329" t="s">
        <v>4142</v>
      </c>
      <c r="O32" s="350" t="s">
        <v>1494</v>
      </c>
      <c r="P32" s="341"/>
    </row>
    <row r="33" spans="1:22" s="342" customFormat="1" ht="56.25" customHeight="1" thickBot="1">
      <c r="A33" s="166"/>
      <c r="B33" s="328" t="s">
        <v>4540</v>
      </c>
      <c r="C33" s="329" t="s">
        <v>4541</v>
      </c>
      <c r="D33" s="329" t="s">
        <v>4542</v>
      </c>
      <c r="E33" s="330">
        <v>12</v>
      </c>
      <c r="F33" s="330">
        <f t="shared" si="0"/>
        <v>0.5</v>
      </c>
      <c r="G33" s="329" t="s">
        <v>4473</v>
      </c>
      <c r="H33" s="331">
        <v>0</v>
      </c>
      <c r="I33" s="331">
        <v>0.5</v>
      </c>
      <c r="J33" s="331">
        <f t="shared" si="4"/>
        <v>0</v>
      </c>
      <c r="K33" s="334">
        <f t="shared" si="5"/>
        <v>0</v>
      </c>
      <c r="L33" s="416" t="s">
        <v>4474</v>
      </c>
      <c r="M33" s="329" t="s">
        <v>4142</v>
      </c>
      <c r="N33" s="329" t="s">
        <v>4142</v>
      </c>
      <c r="O33" s="350" t="s">
        <v>4477</v>
      </c>
      <c r="P33" s="341"/>
    </row>
    <row r="34" spans="1:22" s="342" customFormat="1" ht="56.25" customHeight="1" thickBot="1">
      <c r="A34" s="166"/>
      <c r="B34" s="328" t="s">
        <v>4543</v>
      </c>
      <c r="C34" s="329" t="s">
        <v>4544</v>
      </c>
      <c r="D34" s="329" t="s">
        <v>4545</v>
      </c>
      <c r="E34" s="330">
        <v>12</v>
      </c>
      <c r="F34" s="330">
        <f t="shared" si="0"/>
        <v>0.5</v>
      </c>
      <c r="G34" s="329" t="s">
        <v>4473</v>
      </c>
      <c r="H34" s="331">
        <v>0</v>
      </c>
      <c r="I34" s="331">
        <v>0.5</v>
      </c>
      <c r="J34" s="331">
        <f t="shared" si="4"/>
        <v>0</v>
      </c>
      <c r="K34" s="334">
        <f t="shared" si="5"/>
        <v>0</v>
      </c>
      <c r="L34" s="416" t="s">
        <v>4474</v>
      </c>
      <c r="M34" s="329" t="s">
        <v>4142</v>
      </c>
      <c r="N34" s="329" t="s">
        <v>4142</v>
      </c>
      <c r="O34" s="350" t="s">
        <v>4477</v>
      </c>
      <c r="P34" s="341"/>
    </row>
    <row r="35" spans="1:22" s="204" customFormat="1" ht="56.25" customHeight="1">
      <c r="A35" s="635"/>
      <c r="B35" s="418" t="s">
        <v>4546</v>
      </c>
      <c r="C35" s="344" t="s">
        <v>4546</v>
      </c>
      <c r="D35" s="370" t="s">
        <v>4547</v>
      </c>
      <c r="E35" s="419">
        <v>12</v>
      </c>
      <c r="F35" s="419">
        <f t="shared" si="0"/>
        <v>0.5</v>
      </c>
      <c r="G35" s="346" t="s">
        <v>4473</v>
      </c>
      <c r="H35" s="346" t="s">
        <v>4142</v>
      </c>
      <c r="I35" s="346" t="s">
        <v>4142</v>
      </c>
      <c r="J35" s="346" t="s">
        <v>4142</v>
      </c>
      <c r="K35" s="362" t="s">
        <v>4142</v>
      </c>
      <c r="L35" s="420" t="s">
        <v>4478</v>
      </c>
      <c r="M35" s="421" t="s">
        <v>4142</v>
      </c>
      <c r="N35" s="344" t="s">
        <v>4142</v>
      </c>
      <c r="O35" s="350" t="s">
        <v>1494</v>
      </c>
      <c r="P35" s="205"/>
      <c r="Q35" s="203"/>
      <c r="R35" s="203"/>
      <c r="S35" s="203"/>
      <c r="T35" s="203"/>
      <c r="U35" s="203"/>
      <c r="V35" s="203"/>
    </row>
    <row r="36" spans="1:22" s="204" customFormat="1" ht="56.25" customHeight="1" thickBot="1">
      <c r="A36" s="635"/>
      <c r="B36" s="422" t="s">
        <v>4546</v>
      </c>
      <c r="C36" s="423" t="s">
        <v>4546</v>
      </c>
      <c r="D36" s="424" t="s">
        <v>4547</v>
      </c>
      <c r="E36" s="425">
        <v>12</v>
      </c>
      <c r="F36" s="426">
        <f t="shared" si="0"/>
        <v>0.5</v>
      </c>
      <c r="G36" s="354" t="s">
        <v>4473</v>
      </c>
      <c r="H36" s="354" t="s">
        <v>4142</v>
      </c>
      <c r="I36" s="354" t="s">
        <v>4142</v>
      </c>
      <c r="J36" s="354" t="s">
        <v>4142</v>
      </c>
      <c r="K36" s="355" t="s">
        <v>4142</v>
      </c>
      <c r="L36" s="369" t="s">
        <v>4474</v>
      </c>
      <c r="M36" s="427" t="s">
        <v>4142</v>
      </c>
      <c r="N36" s="423" t="s">
        <v>4142</v>
      </c>
      <c r="O36" s="428" t="s">
        <v>4477</v>
      </c>
      <c r="P36" s="205"/>
      <c r="Q36" s="203"/>
      <c r="R36" s="203"/>
      <c r="S36" s="203"/>
      <c r="T36" s="203"/>
      <c r="U36" s="203"/>
      <c r="V36" s="203"/>
    </row>
    <row r="37" spans="1:22" s="204" customFormat="1" ht="56.25" customHeight="1">
      <c r="A37" s="166"/>
      <c r="B37" s="429" t="s">
        <v>4548</v>
      </c>
      <c r="C37" s="376" t="s">
        <v>4549</v>
      </c>
      <c r="D37" s="414" t="s">
        <v>4550</v>
      </c>
      <c r="E37" s="379">
        <v>96</v>
      </c>
      <c r="F37" s="379">
        <f t="shared" si="0"/>
        <v>4</v>
      </c>
      <c r="G37" s="379" t="s">
        <v>4551</v>
      </c>
      <c r="H37" s="379" t="s">
        <v>4142</v>
      </c>
      <c r="I37" s="379" t="s">
        <v>4142</v>
      </c>
      <c r="J37" s="379" t="s">
        <v>4142</v>
      </c>
      <c r="K37" s="380" t="s">
        <v>4142</v>
      </c>
      <c r="L37" s="381" t="s">
        <v>4474</v>
      </c>
      <c r="M37" s="430" t="s">
        <v>4142</v>
      </c>
      <c r="N37" s="431" t="s">
        <v>4142</v>
      </c>
      <c r="O37" s="432" t="s">
        <v>4477</v>
      </c>
      <c r="P37" s="206"/>
      <c r="Q37" s="203"/>
      <c r="R37" s="203"/>
      <c r="S37" s="203"/>
      <c r="T37" s="203"/>
      <c r="U37" s="203"/>
      <c r="V37" s="203"/>
    </row>
    <row r="38" spans="1:22" s="99" customFormat="1" ht="56.25" customHeight="1">
      <c r="A38" s="287" t="s">
        <v>4692</v>
      </c>
      <c r="B38" s="526" t="s">
        <v>4552</v>
      </c>
      <c r="C38" s="434" t="s">
        <v>4553</v>
      </c>
      <c r="D38" s="435" t="s">
        <v>4554</v>
      </c>
      <c r="E38" s="436">
        <v>144</v>
      </c>
      <c r="F38" s="436">
        <f t="shared" si="0"/>
        <v>6</v>
      </c>
      <c r="G38" s="436" t="s">
        <v>4551</v>
      </c>
      <c r="H38" s="436" t="s">
        <v>4142</v>
      </c>
      <c r="I38" s="436">
        <v>3</v>
      </c>
      <c r="J38" s="436">
        <v>72</v>
      </c>
      <c r="K38" s="437">
        <v>0.5</v>
      </c>
      <c r="L38" s="438" t="s">
        <v>4478</v>
      </c>
      <c r="M38" s="439" t="s">
        <v>4555</v>
      </c>
      <c r="N38" s="440">
        <v>1677781200730</v>
      </c>
      <c r="O38" s="441" t="s">
        <v>1494</v>
      </c>
      <c r="P38" s="527"/>
      <c r="Q38" s="103"/>
      <c r="R38" s="103"/>
      <c r="S38" s="103"/>
      <c r="T38" s="103"/>
      <c r="U38" s="103"/>
      <c r="V38" s="103"/>
    </row>
    <row r="39" spans="1:22" s="99" customFormat="1" ht="56.25" customHeight="1">
      <c r="A39" s="287" t="s">
        <v>4692</v>
      </c>
      <c r="B39" s="526" t="s">
        <v>4552</v>
      </c>
      <c r="C39" s="434" t="s">
        <v>4553</v>
      </c>
      <c r="D39" s="435" t="s">
        <v>4554</v>
      </c>
      <c r="E39" s="436">
        <v>144</v>
      </c>
      <c r="F39" s="436">
        <f t="shared" si="0"/>
        <v>6</v>
      </c>
      <c r="G39" s="436" t="s">
        <v>4551</v>
      </c>
      <c r="H39" s="436" t="s">
        <v>4142</v>
      </c>
      <c r="I39" s="436">
        <v>3</v>
      </c>
      <c r="J39" s="436">
        <v>72</v>
      </c>
      <c r="K39" s="437">
        <v>0.5</v>
      </c>
      <c r="L39" s="438" t="s">
        <v>4474</v>
      </c>
      <c r="M39" s="439" t="s">
        <v>4556</v>
      </c>
      <c r="N39" s="440">
        <v>1677781200723</v>
      </c>
      <c r="O39" s="441" t="s">
        <v>4477</v>
      </c>
      <c r="P39" s="527"/>
      <c r="Q39" s="103"/>
      <c r="R39" s="103"/>
      <c r="S39" s="103"/>
      <c r="T39" s="103"/>
      <c r="U39" s="103"/>
      <c r="V39" s="103"/>
    </row>
    <row r="40" spans="1:22" s="204" customFormat="1" ht="57" customHeight="1">
      <c r="A40" s="257"/>
      <c r="B40" s="442" t="s">
        <v>4557</v>
      </c>
      <c r="C40" s="443" t="s">
        <v>4558</v>
      </c>
      <c r="D40" s="444" t="s">
        <v>4559</v>
      </c>
      <c r="E40" s="445">
        <v>300</v>
      </c>
      <c r="F40" s="445">
        <f t="shared" si="0"/>
        <v>12.5</v>
      </c>
      <c r="G40" s="445" t="s">
        <v>4551</v>
      </c>
      <c r="H40" s="445" t="s">
        <v>4142</v>
      </c>
      <c r="I40" s="445" t="s">
        <v>4142</v>
      </c>
      <c r="J40" s="445" t="s">
        <v>4142</v>
      </c>
      <c r="K40" s="446" t="s">
        <v>4142</v>
      </c>
      <c r="L40" s="447" t="s">
        <v>4478</v>
      </c>
      <c r="M40" s="448" t="s">
        <v>4142</v>
      </c>
      <c r="N40" s="449" t="s">
        <v>4142</v>
      </c>
      <c r="O40" s="450" t="s">
        <v>832</v>
      </c>
      <c r="P40" s="206"/>
      <c r="Q40" s="203"/>
      <c r="R40" s="203"/>
      <c r="S40" s="203"/>
      <c r="T40" s="203"/>
      <c r="U40" s="203"/>
      <c r="V40" s="203"/>
    </row>
    <row r="41" spans="1:22" s="204" customFormat="1" ht="56.25" customHeight="1" thickBot="1">
      <c r="A41" s="257"/>
      <c r="B41" s="451" t="s">
        <v>4557</v>
      </c>
      <c r="C41" s="452" t="s">
        <v>4558</v>
      </c>
      <c r="D41" s="453" t="s">
        <v>4559</v>
      </c>
      <c r="E41" s="426">
        <v>300</v>
      </c>
      <c r="F41" s="426">
        <f t="shared" si="0"/>
        <v>12.5</v>
      </c>
      <c r="G41" s="426" t="s">
        <v>4551</v>
      </c>
      <c r="H41" s="426" t="s">
        <v>4142</v>
      </c>
      <c r="I41" s="426" t="s">
        <v>4142</v>
      </c>
      <c r="J41" s="426" t="s">
        <v>4142</v>
      </c>
      <c r="K41" s="454" t="s">
        <v>4142</v>
      </c>
      <c r="L41" s="356" t="s">
        <v>4474</v>
      </c>
      <c r="M41" s="391" t="s">
        <v>4142</v>
      </c>
      <c r="N41" s="357" t="s">
        <v>4142</v>
      </c>
      <c r="O41" s="358" t="s">
        <v>4531</v>
      </c>
      <c r="P41" s="206"/>
      <c r="Q41" s="203"/>
      <c r="R41" s="203"/>
      <c r="S41" s="203"/>
      <c r="T41" s="203"/>
      <c r="U41" s="203"/>
      <c r="V41" s="203"/>
    </row>
    <row r="42" spans="1:22" s="99" customFormat="1" ht="56.25" customHeight="1">
      <c r="A42" s="287" t="s">
        <v>4692</v>
      </c>
      <c r="B42" s="433" t="s">
        <v>4560</v>
      </c>
      <c r="C42" s="434" t="s">
        <v>4561</v>
      </c>
      <c r="D42" s="435" t="s">
        <v>4562</v>
      </c>
      <c r="E42" s="436">
        <v>156</v>
      </c>
      <c r="F42" s="436">
        <f t="shared" si="0"/>
        <v>6.5</v>
      </c>
      <c r="G42" s="436" t="s">
        <v>4551</v>
      </c>
      <c r="H42" s="436" t="s">
        <v>4142</v>
      </c>
      <c r="I42" s="436" t="s">
        <v>4142</v>
      </c>
      <c r="J42" s="436" t="s">
        <v>4142</v>
      </c>
      <c r="K42" s="437" t="s">
        <v>4142</v>
      </c>
      <c r="L42" s="455" t="s">
        <v>4478</v>
      </c>
      <c r="M42" s="440" t="s">
        <v>4142</v>
      </c>
      <c r="N42" s="440" t="s">
        <v>4142</v>
      </c>
      <c r="O42" s="456" t="s">
        <v>832</v>
      </c>
      <c r="P42" s="281"/>
      <c r="Q42" s="103"/>
      <c r="R42" s="103"/>
      <c r="S42" s="103"/>
      <c r="T42" s="103"/>
      <c r="U42" s="103"/>
      <c r="V42" s="103"/>
    </row>
    <row r="43" spans="1:22" s="99" customFormat="1" ht="56.25" customHeight="1" thickBot="1">
      <c r="A43" s="287" t="s">
        <v>4692</v>
      </c>
      <c r="B43" s="433" t="s">
        <v>4560</v>
      </c>
      <c r="C43" s="434" t="s">
        <v>4561</v>
      </c>
      <c r="D43" s="435" t="s">
        <v>4562</v>
      </c>
      <c r="E43" s="436">
        <v>156</v>
      </c>
      <c r="F43" s="436">
        <f t="shared" si="0"/>
        <v>6.5</v>
      </c>
      <c r="G43" s="436" t="s">
        <v>4551</v>
      </c>
      <c r="H43" s="436" t="s">
        <v>4142</v>
      </c>
      <c r="I43" s="436" t="s">
        <v>4142</v>
      </c>
      <c r="J43" s="436" t="s">
        <v>4142</v>
      </c>
      <c r="K43" s="437" t="s">
        <v>4142</v>
      </c>
      <c r="L43" s="438" t="s">
        <v>4474</v>
      </c>
      <c r="M43" s="440" t="s">
        <v>4142</v>
      </c>
      <c r="N43" s="440" t="s">
        <v>4142</v>
      </c>
      <c r="O43" s="456" t="s">
        <v>4531</v>
      </c>
      <c r="P43" s="281"/>
      <c r="Q43" s="103"/>
      <c r="R43" s="103"/>
      <c r="S43" s="103"/>
      <c r="T43" s="103"/>
      <c r="U43" s="103"/>
      <c r="V43" s="103"/>
    </row>
    <row r="44" spans="1:22" s="204" customFormat="1" ht="56.25" customHeight="1" thickBot="1">
      <c r="A44" s="166"/>
      <c r="B44" s="457" t="s">
        <v>4563</v>
      </c>
      <c r="C44" s="458" t="s">
        <v>4564</v>
      </c>
      <c r="D44" s="459" t="s">
        <v>4565</v>
      </c>
      <c r="E44" s="419">
        <v>120</v>
      </c>
      <c r="F44" s="419">
        <f t="shared" si="0"/>
        <v>5</v>
      </c>
      <c r="G44" s="419" t="s">
        <v>4551</v>
      </c>
      <c r="H44" s="419">
        <v>0</v>
      </c>
      <c r="I44" s="419">
        <v>3</v>
      </c>
      <c r="J44" s="419">
        <f t="shared" ref="J44:J49" si="6">E44-H44-I44*24</f>
        <v>48</v>
      </c>
      <c r="K44" s="460">
        <f t="shared" ref="K44:K49" si="7">J44/E44</f>
        <v>0.4</v>
      </c>
      <c r="L44" s="420" t="s">
        <v>4478</v>
      </c>
      <c r="M44" s="365" t="s">
        <v>4566</v>
      </c>
      <c r="N44" s="365">
        <v>1589002996669</v>
      </c>
      <c r="O44" s="350" t="s">
        <v>1494</v>
      </c>
      <c r="P44" s="205"/>
      <c r="Q44" s="203"/>
      <c r="R44" s="203"/>
      <c r="S44" s="203"/>
      <c r="T44" s="203"/>
      <c r="U44" s="203"/>
      <c r="V44" s="203"/>
    </row>
    <row r="45" spans="1:22" s="204" customFormat="1" ht="56.25" customHeight="1" thickBot="1">
      <c r="A45" s="166"/>
      <c r="B45" s="328" t="s">
        <v>4563</v>
      </c>
      <c r="C45" s="393" t="s">
        <v>4564</v>
      </c>
      <c r="D45" s="329" t="s">
        <v>4565</v>
      </c>
      <c r="E45" s="461">
        <v>120</v>
      </c>
      <c r="F45" s="461">
        <f t="shared" si="0"/>
        <v>5</v>
      </c>
      <c r="G45" s="461" t="s">
        <v>4551</v>
      </c>
      <c r="H45" s="461">
        <v>0</v>
      </c>
      <c r="I45" s="461">
        <v>3</v>
      </c>
      <c r="J45" s="461">
        <f t="shared" si="6"/>
        <v>48</v>
      </c>
      <c r="K45" s="462">
        <f t="shared" si="7"/>
        <v>0.4</v>
      </c>
      <c r="L45" s="335" t="s">
        <v>4474</v>
      </c>
      <c r="M45" s="398" t="s">
        <v>4567</v>
      </c>
      <c r="N45" s="365">
        <v>1589002996662</v>
      </c>
      <c r="O45" s="384" t="s">
        <v>4477</v>
      </c>
      <c r="P45" s="205"/>
      <c r="Q45" s="203"/>
      <c r="R45" s="203"/>
      <c r="S45" s="203"/>
      <c r="T45" s="203"/>
      <c r="U45" s="203"/>
      <c r="V45" s="203"/>
    </row>
    <row r="46" spans="1:22" s="99" customFormat="1" ht="56.25" customHeight="1" thickBot="1">
      <c r="A46" s="640" t="s">
        <v>4694</v>
      </c>
      <c r="B46" s="528" t="s">
        <v>4568</v>
      </c>
      <c r="C46" s="463" t="s">
        <v>4569</v>
      </c>
      <c r="D46" s="464" t="s">
        <v>4570</v>
      </c>
      <c r="E46" s="465">
        <v>120</v>
      </c>
      <c r="F46" s="466">
        <f t="shared" si="0"/>
        <v>5</v>
      </c>
      <c r="G46" s="466" t="s">
        <v>4551</v>
      </c>
      <c r="H46" s="466">
        <v>0</v>
      </c>
      <c r="I46" s="466">
        <v>2.5</v>
      </c>
      <c r="J46" s="466">
        <f t="shared" si="6"/>
        <v>60</v>
      </c>
      <c r="K46" s="467">
        <f t="shared" si="7"/>
        <v>0.5</v>
      </c>
      <c r="L46" s="468" t="s">
        <v>4478</v>
      </c>
      <c r="M46" s="469" t="s">
        <v>4571</v>
      </c>
      <c r="N46" s="470">
        <v>1677781200736</v>
      </c>
      <c r="O46" s="471" t="s">
        <v>832</v>
      </c>
      <c r="P46" s="281"/>
      <c r="Q46" s="103"/>
      <c r="R46" s="103"/>
      <c r="S46" s="103"/>
      <c r="T46" s="103"/>
      <c r="U46" s="103"/>
      <c r="V46" s="103"/>
    </row>
    <row r="47" spans="1:22" s="99" customFormat="1" ht="56.25" customHeight="1" thickBot="1">
      <c r="A47" s="640"/>
      <c r="B47" s="528" t="s">
        <v>4568</v>
      </c>
      <c r="C47" s="463" t="s">
        <v>4569</v>
      </c>
      <c r="D47" s="464" t="s">
        <v>4570</v>
      </c>
      <c r="E47" s="465">
        <v>120</v>
      </c>
      <c r="F47" s="466">
        <f t="shared" si="0"/>
        <v>5</v>
      </c>
      <c r="G47" s="466" t="s">
        <v>4551</v>
      </c>
      <c r="H47" s="466">
        <v>0</v>
      </c>
      <c r="I47" s="466">
        <v>2.5</v>
      </c>
      <c r="J47" s="466">
        <f t="shared" si="6"/>
        <v>60</v>
      </c>
      <c r="K47" s="467">
        <f t="shared" si="7"/>
        <v>0.5</v>
      </c>
      <c r="L47" s="468" t="s">
        <v>4474</v>
      </c>
      <c r="M47" s="469" t="s">
        <v>4572</v>
      </c>
      <c r="N47" s="470">
        <v>1678133266110</v>
      </c>
      <c r="O47" s="471" t="s">
        <v>4531</v>
      </c>
      <c r="P47" s="281"/>
      <c r="Q47" s="103"/>
      <c r="R47" s="103"/>
      <c r="S47" s="103"/>
      <c r="T47" s="103"/>
      <c r="U47" s="103"/>
      <c r="V47" s="103"/>
    </row>
    <row r="48" spans="1:22" s="99" customFormat="1" ht="56.25" customHeight="1" thickBot="1">
      <c r="A48" s="641" t="s">
        <v>4687</v>
      </c>
      <c r="B48" s="529" t="s">
        <v>4568</v>
      </c>
      <c r="C48" s="472" t="s">
        <v>4569</v>
      </c>
      <c r="D48" s="473" t="s">
        <v>4570</v>
      </c>
      <c r="E48" s="474">
        <v>120</v>
      </c>
      <c r="F48" s="475">
        <f t="shared" si="0"/>
        <v>5</v>
      </c>
      <c r="G48" s="475" t="s">
        <v>4551</v>
      </c>
      <c r="H48" s="475">
        <v>0</v>
      </c>
      <c r="I48" s="475">
        <v>3</v>
      </c>
      <c r="J48" s="475">
        <f t="shared" si="6"/>
        <v>48</v>
      </c>
      <c r="K48" s="476">
        <f t="shared" si="7"/>
        <v>0.4</v>
      </c>
      <c r="L48" s="477" t="s">
        <v>4478</v>
      </c>
      <c r="M48" s="531" t="s">
        <v>4695</v>
      </c>
      <c r="N48" s="478">
        <v>1696997442001</v>
      </c>
      <c r="O48" s="479" t="s">
        <v>832</v>
      </c>
      <c r="P48" s="281"/>
      <c r="Q48" s="103"/>
      <c r="R48" s="103"/>
      <c r="S48" s="103"/>
      <c r="T48" s="103"/>
      <c r="U48" s="103"/>
      <c r="V48" s="103"/>
    </row>
    <row r="49" spans="1:22" s="99" customFormat="1" ht="56.25" customHeight="1" thickBot="1">
      <c r="A49" s="641"/>
      <c r="B49" s="529" t="s">
        <v>4568</v>
      </c>
      <c r="C49" s="472" t="s">
        <v>4569</v>
      </c>
      <c r="D49" s="473" t="s">
        <v>4570</v>
      </c>
      <c r="E49" s="474">
        <v>120</v>
      </c>
      <c r="F49" s="475">
        <f t="shared" si="0"/>
        <v>5</v>
      </c>
      <c r="G49" s="475" t="s">
        <v>4551</v>
      </c>
      <c r="H49" s="475">
        <v>0</v>
      </c>
      <c r="I49" s="475">
        <v>3</v>
      </c>
      <c r="J49" s="475">
        <f t="shared" si="6"/>
        <v>48</v>
      </c>
      <c r="K49" s="476">
        <f t="shared" si="7"/>
        <v>0.4</v>
      </c>
      <c r="L49" s="477" t="s">
        <v>4474</v>
      </c>
      <c r="M49" s="531" t="s">
        <v>4696</v>
      </c>
      <c r="N49" s="478">
        <v>1696997442007</v>
      </c>
      <c r="O49" s="479" t="s">
        <v>4531</v>
      </c>
      <c r="P49" s="281"/>
      <c r="Q49" s="103"/>
      <c r="R49" s="103"/>
      <c r="S49" s="103"/>
      <c r="T49" s="103"/>
      <c r="U49" s="103"/>
      <c r="V49" s="103"/>
    </row>
    <row r="50" spans="1:22" s="99" customFormat="1" ht="56.25" customHeight="1" thickBot="1">
      <c r="A50" s="530" t="s">
        <v>4688</v>
      </c>
      <c r="B50" s="529" t="s">
        <v>4573</v>
      </c>
      <c r="C50" s="472" t="s">
        <v>4574</v>
      </c>
      <c r="D50" s="473" t="s">
        <v>4575</v>
      </c>
      <c r="E50" s="532">
        <v>108</v>
      </c>
      <c r="F50" s="532">
        <f>E50/24</f>
        <v>4.5</v>
      </c>
      <c r="G50" s="475" t="s">
        <v>4551</v>
      </c>
      <c r="H50" s="480">
        <v>0</v>
      </c>
      <c r="I50" s="533">
        <v>4</v>
      </c>
      <c r="J50" s="533">
        <f>E50-H50-I50*24</f>
        <v>12</v>
      </c>
      <c r="K50" s="534">
        <f t="shared" ref="K50" si="8">J50/E50</f>
        <v>0.1111111111111111</v>
      </c>
      <c r="L50" s="477" t="s">
        <v>4478</v>
      </c>
      <c r="M50" s="472" t="s">
        <v>4697</v>
      </c>
      <c r="N50" s="478">
        <v>1697261119966</v>
      </c>
      <c r="O50" s="479" t="s">
        <v>832</v>
      </c>
      <c r="P50" s="281"/>
      <c r="Q50" s="103"/>
      <c r="R50" s="103"/>
      <c r="S50" s="103"/>
      <c r="T50" s="103"/>
      <c r="U50" s="103"/>
      <c r="V50" s="103"/>
    </row>
    <row r="51" spans="1:22" s="99" customFormat="1" ht="56.25" customHeight="1">
      <c r="A51" s="530" t="s">
        <v>4688</v>
      </c>
      <c r="B51" s="529" t="s">
        <v>4573</v>
      </c>
      <c r="C51" s="472" t="s">
        <v>4574</v>
      </c>
      <c r="D51" s="473" t="s">
        <v>4575</v>
      </c>
      <c r="E51" s="532">
        <v>108</v>
      </c>
      <c r="F51" s="532">
        <f t="shared" si="0"/>
        <v>4.5</v>
      </c>
      <c r="G51" s="475" t="s">
        <v>4551</v>
      </c>
      <c r="H51" s="480">
        <v>0</v>
      </c>
      <c r="I51" s="533">
        <v>4</v>
      </c>
      <c r="J51" s="533">
        <f>E51-H51-I51*24</f>
        <v>12</v>
      </c>
      <c r="K51" s="534">
        <f t="shared" ref="K51" si="9">J51/E51</f>
        <v>0.1111111111111111</v>
      </c>
      <c r="L51" s="477" t="s">
        <v>4474</v>
      </c>
      <c r="M51" s="472" t="s">
        <v>4698</v>
      </c>
      <c r="N51" s="478">
        <v>1697261120242</v>
      </c>
      <c r="O51" s="479" t="s">
        <v>4531</v>
      </c>
      <c r="P51" s="281"/>
      <c r="Q51" s="103"/>
      <c r="R51" s="103"/>
      <c r="S51" s="103"/>
      <c r="T51" s="103"/>
      <c r="U51" s="103"/>
      <c r="V51" s="103"/>
    </row>
    <row r="52" spans="1:22" s="99" customFormat="1" ht="56.25" customHeight="1">
      <c r="A52" s="641" t="s">
        <v>4687</v>
      </c>
      <c r="B52" s="529" t="s">
        <v>4573</v>
      </c>
      <c r="C52" s="472" t="s">
        <v>4574</v>
      </c>
      <c r="D52" s="473" t="s">
        <v>4575</v>
      </c>
      <c r="E52" s="475">
        <v>108</v>
      </c>
      <c r="F52" s="475">
        <f t="shared" si="0"/>
        <v>4.5</v>
      </c>
      <c r="G52" s="475" t="s">
        <v>4551</v>
      </c>
      <c r="H52" s="480" t="s">
        <v>4142</v>
      </c>
      <c r="I52" s="481" t="s">
        <v>4142</v>
      </c>
      <c r="J52" s="481" t="s">
        <v>4142</v>
      </c>
      <c r="K52" s="482" t="s">
        <v>4142</v>
      </c>
      <c r="L52" s="477" t="s">
        <v>4478</v>
      </c>
      <c r="M52" s="472" t="s">
        <v>4142</v>
      </c>
      <c r="N52" s="483" t="s">
        <v>4142</v>
      </c>
      <c r="O52" s="479" t="s">
        <v>832</v>
      </c>
      <c r="P52" s="281"/>
      <c r="Q52" s="103"/>
      <c r="R52" s="103"/>
      <c r="S52" s="103"/>
      <c r="T52" s="103"/>
      <c r="U52" s="103"/>
      <c r="V52" s="103"/>
    </row>
    <row r="53" spans="1:22" s="99" customFormat="1" ht="56.25" customHeight="1" thickBot="1">
      <c r="A53" s="641"/>
      <c r="B53" s="529" t="s">
        <v>4573</v>
      </c>
      <c r="C53" s="472" t="s">
        <v>4574</v>
      </c>
      <c r="D53" s="473" t="s">
        <v>4575</v>
      </c>
      <c r="E53" s="475">
        <v>108</v>
      </c>
      <c r="F53" s="475">
        <f t="shared" si="0"/>
        <v>4.5</v>
      </c>
      <c r="G53" s="475" t="s">
        <v>4551</v>
      </c>
      <c r="H53" s="480" t="s">
        <v>4142</v>
      </c>
      <c r="I53" s="481" t="s">
        <v>4142</v>
      </c>
      <c r="J53" s="481" t="s">
        <v>4142</v>
      </c>
      <c r="K53" s="482" t="s">
        <v>4142</v>
      </c>
      <c r="L53" s="477" t="s">
        <v>4474</v>
      </c>
      <c r="M53" s="472" t="s">
        <v>4142</v>
      </c>
      <c r="N53" s="483" t="s">
        <v>4142</v>
      </c>
      <c r="O53" s="479" t="s">
        <v>4531</v>
      </c>
      <c r="P53" s="281"/>
      <c r="Q53" s="103"/>
      <c r="R53" s="103"/>
      <c r="S53" s="103"/>
      <c r="T53" s="103"/>
      <c r="U53" s="103"/>
      <c r="V53" s="103"/>
    </row>
    <row r="54" spans="1:22" s="99" customFormat="1" ht="56.25" customHeight="1" thickBot="1">
      <c r="A54" s="641" t="s">
        <v>4687</v>
      </c>
      <c r="B54" s="529" t="s">
        <v>4576</v>
      </c>
      <c r="C54" s="472" t="s">
        <v>4577</v>
      </c>
      <c r="D54" s="473" t="s">
        <v>4578</v>
      </c>
      <c r="E54" s="475">
        <v>156</v>
      </c>
      <c r="F54" s="475">
        <f>E54/24</f>
        <v>6.5</v>
      </c>
      <c r="G54" s="475" t="s">
        <v>4551</v>
      </c>
      <c r="H54" s="480">
        <v>0</v>
      </c>
      <c r="I54" s="481">
        <v>6</v>
      </c>
      <c r="J54" s="481">
        <f>E54-H54-I54*24</f>
        <v>12</v>
      </c>
      <c r="K54" s="482">
        <f>J54/E54</f>
        <v>7.6923076923076927E-2</v>
      </c>
      <c r="L54" s="477" t="s">
        <v>4478</v>
      </c>
      <c r="M54" s="472" t="s">
        <v>4769</v>
      </c>
      <c r="N54" s="478">
        <v>1697261120248</v>
      </c>
      <c r="O54" s="479" t="s">
        <v>832</v>
      </c>
      <c r="P54" s="281"/>
      <c r="Q54" s="103"/>
      <c r="R54" s="103"/>
      <c r="S54" s="103"/>
      <c r="T54" s="103"/>
      <c r="U54" s="103"/>
      <c r="V54" s="103"/>
    </row>
    <row r="55" spans="1:22" s="99" customFormat="1" ht="56.25" customHeight="1">
      <c r="A55" s="641"/>
      <c r="B55" s="529" t="s">
        <v>4576</v>
      </c>
      <c r="C55" s="472" t="s">
        <v>4577</v>
      </c>
      <c r="D55" s="473" t="s">
        <v>4578</v>
      </c>
      <c r="E55" s="475">
        <v>156</v>
      </c>
      <c r="F55" s="475">
        <f t="shared" ref="F55" si="10">E55/24</f>
        <v>6.5</v>
      </c>
      <c r="G55" s="475" t="s">
        <v>4551</v>
      </c>
      <c r="H55" s="480">
        <v>0</v>
      </c>
      <c r="I55" s="481">
        <v>6</v>
      </c>
      <c r="J55" s="481">
        <f>E55-H55-I55*24</f>
        <v>12</v>
      </c>
      <c r="K55" s="482">
        <f>J55/E55</f>
        <v>7.6923076923076927E-2</v>
      </c>
      <c r="L55" s="477" t="s">
        <v>4474</v>
      </c>
      <c r="M55" s="472" t="s">
        <v>4768</v>
      </c>
      <c r="N55" s="478">
        <v>1697261120254</v>
      </c>
      <c r="O55" s="479" t="s">
        <v>4531</v>
      </c>
      <c r="P55" s="281"/>
      <c r="Q55" s="103"/>
      <c r="R55" s="103"/>
      <c r="S55" s="103"/>
      <c r="T55" s="103"/>
      <c r="U55" s="103"/>
      <c r="V55" s="103"/>
    </row>
    <row r="56" spans="1:22" s="204" customFormat="1" ht="56.25" customHeight="1">
      <c r="A56" s="166"/>
      <c r="B56" s="328" t="s">
        <v>4579</v>
      </c>
      <c r="C56" s="393" t="s">
        <v>4580</v>
      </c>
      <c r="D56" s="329" t="s">
        <v>4581</v>
      </c>
      <c r="E56" s="461">
        <v>72</v>
      </c>
      <c r="F56" s="461">
        <f t="shared" si="0"/>
        <v>3</v>
      </c>
      <c r="G56" s="461" t="s">
        <v>4551</v>
      </c>
      <c r="H56" s="484" t="s">
        <v>4142</v>
      </c>
      <c r="I56" s="379" t="s">
        <v>4142</v>
      </c>
      <c r="J56" s="379" t="s">
        <v>4142</v>
      </c>
      <c r="K56" s="485" t="s">
        <v>4142</v>
      </c>
      <c r="L56" s="335" t="s">
        <v>4478</v>
      </c>
      <c r="M56" s="393" t="s">
        <v>4142</v>
      </c>
      <c r="N56" s="398" t="s">
        <v>4142</v>
      </c>
      <c r="O56" s="384" t="s">
        <v>1494</v>
      </c>
      <c r="P56" s="205"/>
      <c r="Q56" s="203"/>
      <c r="R56" s="203"/>
      <c r="S56" s="203"/>
      <c r="T56" s="203"/>
      <c r="U56" s="203"/>
      <c r="V56" s="203"/>
    </row>
    <row r="57" spans="1:22" s="204" customFormat="1" ht="56.25" customHeight="1">
      <c r="A57" s="166"/>
      <c r="B57" s="328" t="s">
        <v>4579</v>
      </c>
      <c r="C57" s="393" t="s">
        <v>4580</v>
      </c>
      <c r="D57" s="329" t="s">
        <v>4581</v>
      </c>
      <c r="E57" s="461">
        <v>72</v>
      </c>
      <c r="F57" s="461">
        <f t="shared" si="0"/>
        <v>3</v>
      </c>
      <c r="G57" s="461" t="s">
        <v>4551</v>
      </c>
      <c r="H57" s="484" t="s">
        <v>4142</v>
      </c>
      <c r="I57" s="379" t="s">
        <v>4142</v>
      </c>
      <c r="J57" s="379" t="s">
        <v>4142</v>
      </c>
      <c r="K57" s="485" t="s">
        <v>4142</v>
      </c>
      <c r="L57" s="335" t="s">
        <v>4474</v>
      </c>
      <c r="M57" s="393" t="s">
        <v>4142</v>
      </c>
      <c r="N57" s="398" t="s">
        <v>4142</v>
      </c>
      <c r="O57" s="384" t="s">
        <v>4477</v>
      </c>
      <c r="P57" s="205"/>
      <c r="Q57" s="203"/>
      <c r="R57" s="203"/>
      <c r="S57" s="203"/>
      <c r="T57" s="203"/>
      <c r="U57" s="203"/>
      <c r="V57" s="203"/>
    </row>
    <row r="58" spans="1:22" s="204" customFormat="1" ht="56.25" customHeight="1">
      <c r="A58" s="166"/>
      <c r="B58" s="486" t="s">
        <v>4582</v>
      </c>
      <c r="C58" s="487" t="s">
        <v>4583</v>
      </c>
      <c r="D58" s="329" t="s">
        <v>4584</v>
      </c>
      <c r="E58" s="461">
        <v>12</v>
      </c>
      <c r="F58" s="461">
        <f t="shared" si="0"/>
        <v>0.5</v>
      </c>
      <c r="G58" s="461" t="s">
        <v>4551</v>
      </c>
      <c r="H58" s="484" t="s">
        <v>4142</v>
      </c>
      <c r="I58" s="379" t="s">
        <v>4142</v>
      </c>
      <c r="J58" s="379" t="s">
        <v>4142</v>
      </c>
      <c r="K58" s="485" t="s">
        <v>4142</v>
      </c>
      <c r="L58" s="335" t="s">
        <v>4478</v>
      </c>
      <c r="M58" s="393" t="s">
        <v>4142</v>
      </c>
      <c r="N58" s="398" t="s">
        <v>4142</v>
      </c>
      <c r="O58" s="384" t="s">
        <v>1494</v>
      </c>
      <c r="P58" s="205"/>
      <c r="Q58" s="203"/>
      <c r="R58" s="203"/>
      <c r="S58" s="203"/>
      <c r="T58" s="203"/>
      <c r="U58" s="203"/>
      <c r="V58" s="203"/>
    </row>
    <row r="59" spans="1:22" s="204" customFormat="1" ht="56.25" customHeight="1" thickBot="1">
      <c r="A59" s="166"/>
      <c r="B59" s="488" t="s">
        <v>4585</v>
      </c>
      <c r="C59" s="489" t="s">
        <v>4583</v>
      </c>
      <c r="D59" s="453" t="s">
        <v>4584</v>
      </c>
      <c r="E59" s="426">
        <v>12</v>
      </c>
      <c r="F59" s="426">
        <f t="shared" si="0"/>
        <v>0.5</v>
      </c>
      <c r="G59" s="426" t="s">
        <v>4551</v>
      </c>
      <c r="H59" s="490" t="s">
        <v>4142</v>
      </c>
      <c r="I59" s="354" t="s">
        <v>4142</v>
      </c>
      <c r="J59" s="354" t="s">
        <v>4142</v>
      </c>
      <c r="K59" s="491" t="s">
        <v>4142</v>
      </c>
      <c r="L59" s="369" t="s">
        <v>4474</v>
      </c>
      <c r="M59" s="452" t="s">
        <v>4142</v>
      </c>
      <c r="N59" s="357" t="s">
        <v>4142</v>
      </c>
      <c r="O59" s="358" t="s">
        <v>4477</v>
      </c>
      <c r="P59" s="205"/>
      <c r="Q59" s="203"/>
      <c r="R59" s="203"/>
      <c r="S59" s="203"/>
      <c r="T59" s="203"/>
      <c r="U59" s="203"/>
      <c r="V59" s="203"/>
    </row>
    <row r="60" spans="1:22" s="204" customFormat="1" ht="56.25" customHeight="1">
      <c r="A60" s="166"/>
      <c r="B60" s="492" t="s">
        <v>4586</v>
      </c>
      <c r="C60" s="493" t="s">
        <v>4587</v>
      </c>
      <c r="D60" s="494" t="s">
        <v>4588</v>
      </c>
      <c r="E60" s="495">
        <v>24</v>
      </c>
      <c r="F60" s="495">
        <f t="shared" si="0"/>
        <v>1</v>
      </c>
      <c r="G60" s="495" t="s">
        <v>4551</v>
      </c>
      <c r="H60" s="495" t="s">
        <v>4142</v>
      </c>
      <c r="I60" s="495" t="s">
        <v>4142</v>
      </c>
      <c r="J60" s="495" t="s">
        <v>4142</v>
      </c>
      <c r="K60" s="496" t="s">
        <v>4142</v>
      </c>
      <c r="L60" s="447" t="s">
        <v>4474</v>
      </c>
      <c r="M60" s="448" t="s">
        <v>4142</v>
      </c>
      <c r="N60" s="388" t="s">
        <v>4142</v>
      </c>
      <c r="O60" s="450" t="s">
        <v>4477</v>
      </c>
      <c r="P60" s="205"/>
      <c r="Q60" s="203"/>
      <c r="R60" s="203"/>
      <c r="S60" s="203"/>
      <c r="T60" s="203"/>
      <c r="U60" s="203"/>
      <c r="V60" s="203"/>
    </row>
    <row r="61" spans="1:22" s="204" customFormat="1" ht="56.25" customHeight="1">
      <c r="A61" s="166"/>
      <c r="B61" s="497" t="s">
        <v>4586</v>
      </c>
      <c r="C61" s="498" t="s">
        <v>4587</v>
      </c>
      <c r="D61" s="499" t="s">
        <v>4588</v>
      </c>
      <c r="E61" s="379">
        <v>24</v>
      </c>
      <c r="F61" s="379">
        <f t="shared" si="0"/>
        <v>1</v>
      </c>
      <c r="G61" s="379" t="s">
        <v>4551</v>
      </c>
      <c r="H61" s="379" t="s">
        <v>4142</v>
      </c>
      <c r="I61" s="379" t="s">
        <v>4142</v>
      </c>
      <c r="J61" s="379" t="s">
        <v>4142</v>
      </c>
      <c r="K61" s="380" t="s">
        <v>4142</v>
      </c>
      <c r="L61" s="500" t="s">
        <v>4478</v>
      </c>
      <c r="M61" s="431" t="s">
        <v>4142</v>
      </c>
      <c r="N61" s="431" t="s">
        <v>4142</v>
      </c>
      <c r="O61" s="501" t="s">
        <v>1494</v>
      </c>
      <c r="P61" s="205"/>
      <c r="Q61" s="203"/>
      <c r="R61" s="203"/>
      <c r="S61" s="203"/>
      <c r="T61" s="203"/>
      <c r="U61" s="203"/>
      <c r="V61" s="203"/>
    </row>
    <row r="62" spans="1:22" s="204" customFormat="1" ht="56.25" customHeight="1">
      <c r="A62" s="166"/>
      <c r="B62" s="328" t="s">
        <v>4589</v>
      </c>
      <c r="C62" s="393" t="s">
        <v>4590</v>
      </c>
      <c r="D62" s="329" t="s">
        <v>4591</v>
      </c>
      <c r="E62" s="379">
        <v>36</v>
      </c>
      <c r="F62" s="379">
        <f t="shared" si="0"/>
        <v>1.5</v>
      </c>
      <c r="G62" s="379" t="s">
        <v>4551</v>
      </c>
      <c r="H62" s="379" t="s">
        <v>4142</v>
      </c>
      <c r="I62" s="379" t="s">
        <v>4142</v>
      </c>
      <c r="J62" s="379" t="s">
        <v>4142</v>
      </c>
      <c r="K62" s="380" t="s">
        <v>4142</v>
      </c>
      <c r="L62" s="381" t="s">
        <v>4474</v>
      </c>
      <c r="M62" s="431" t="s">
        <v>4142</v>
      </c>
      <c r="N62" s="502" t="s">
        <v>4142</v>
      </c>
      <c r="O62" s="501" t="s">
        <v>4477</v>
      </c>
      <c r="P62" s="205"/>
      <c r="Q62" s="203"/>
      <c r="R62" s="203"/>
      <c r="S62" s="203"/>
      <c r="T62" s="203"/>
      <c r="U62" s="203"/>
      <c r="V62" s="203"/>
    </row>
    <row r="63" spans="1:22" s="204" customFormat="1" ht="56.25" customHeight="1" thickBot="1">
      <c r="A63" s="166"/>
      <c r="B63" s="328" t="s">
        <v>4589</v>
      </c>
      <c r="C63" s="393" t="s">
        <v>4590</v>
      </c>
      <c r="D63" s="329" t="s">
        <v>4591</v>
      </c>
      <c r="E63" s="379">
        <v>36</v>
      </c>
      <c r="F63" s="379">
        <f t="shared" si="0"/>
        <v>1.5</v>
      </c>
      <c r="G63" s="379" t="s">
        <v>4551</v>
      </c>
      <c r="H63" s="379" t="s">
        <v>4142</v>
      </c>
      <c r="I63" s="379" t="s">
        <v>4142</v>
      </c>
      <c r="J63" s="379" t="s">
        <v>4142</v>
      </c>
      <c r="K63" s="380" t="s">
        <v>4142</v>
      </c>
      <c r="L63" s="500" t="s">
        <v>4478</v>
      </c>
      <c r="M63" s="431" t="s">
        <v>4142</v>
      </c>
      <c r="N63" s="431" t="s">
        <v>4142</v>
      </c>
      <c r="O63" s="384" t="s">
        <v>1494</v>
      </c>
      <c r="P63" s="205"/>
      <c r="Q63" s="203"/>
      <c r="R63" s="203"/>
      <c r="S63" s="203"/>
      <c r="T63" s="203"/>
      <c r="U63" s="203"/>
      <c r="V63" s="203"/>
    </row>
    <row r="64" spans="1:22" s="204" customFormat="1" ht="56.25" customHeight="1">
      <c r="A64" s="258"/>
      <c r="B64" s="372" t="s">
        <v>4592</v>
      </c>
      <c r="C64" s="344" t="s">
        <v>4587</v>
      </c>
      <c r="D64" s="503" t="s">
        <v>4593</v>
      </c>
      <c r="E64" s="333">
        <v>24</v>
      </c>
      <c r="F64" s="333">
        <f t="shared" si="0"/>
        <v>1</v>
      </c>
      <c r="G64" s="333" t="s">
        <v>4551</v>
      </c>
      <c r="H64" s="333">
        <v>0</v>
      </c>
      <c r="I64" s="333">
        <v>0</v>
      </c>
      <c r="J64" s="333">
        <v>24</v>
      </c>
      <c r="K64" s="347">
        <f>J64/E64</f>
        <v>1</v>
      </c>
      <c r="L64" s="371" t="s">
        <v>4594</v>
      </c>
      <c r="M64" s="371" t="s">
        <v>2455</v>
      </c>
      <c r="N64" s="504">
        <v>1504160598992</v>
      </c>
      <c r="O64" s="505" t="s">
        <v>2453</v>
      </c>
      <c r="P64" s="205"/>
      <c r="Q64" s="203"/>
      <c r="R64" s="203"/>
      <c r="S64" s="203"/>
      <c r="T64" s="203"/>
      <c r="U64" s="203"/>
      <c r="V64" s="203"/>
    </row>
    <row r="65" spans="1:22" s="204" customFormat="1" ht="97.2">
      <c r="A65" s="110"/>
      <c r="B65" s="375" t="s">
        <v>4592</v>
      </c>
      <c r="C65" s="506" t="s">
        <v>4587</v>
      </c>
      <c r="D65" s="507" t="s">
        <v>4593</v>
      </c>
      <c r="E65" s="395">
        <v>24</v>
      </c>
      <c r="F65" s="395">
        <f t="shared" si="0"/>
        <v>1</v>
      </c>
      <c r="G65" s="395" t="s">
        <v>4551</v>
      </c>
      <c r="H65" s="395">
        <v>0</v>
      </c>
      <c r="I65" s="395">
        <v>0</v>
      </c>
      <c r="J65" s="395">
        <v>24</v>
      </c>
      <c r="K65" s="508">
        <f>J65/E65</f>
        <v>1</v>
      </c>
      <c r="L65" s="500" t="s">
        <v>4595</v>
      </c>
      <c r="M65" s="348" t="s">
        <v>4596</v>
      </c>
      <c r="N65" s="398">
        <v>1545330599360</v>
      </c>
      <c r="O65" s="509" t="s">
        <v>273</v>
      </c>
      <c r="P65" s="205"/>
      <c r="Q65" s="202"/>
      <c r="R65" s="203"/>
      <c r="S65" s="203"/>
      <c r="T65" s="203"/>
      <c r="U65" s="203"/>
      <c r="V65" s="203"/>
    </row>
    <row r="66" spans="1:22" s="204" customFormat="1" ht="97.2">
      <c r="A66" s="110"/>
      <c r="B66" s="375" t="s">
        <v>4592</v>
      </c>
      <c r="C66" s="506" t="s">
        <v>4587</v>
      </c>
      <c r="D66" s="507" t="s">
        <v>4593</v>
      </c>
      <c r="E66" s="378">
        <v>24</v>
      </c>
      <c r="F66" s="378">
        <f t="shared" si="0"/>
        <v>1</v>
      </c>
      <c r="G66" s="378" t="s">
        <v>4551</v>
      </c>
      <c r="H66" s="378">
        <v>0</v>
      </c>
      <c r="I66" s="378">
        <v>0</v>
      </c>
      <c r="J66" s="378">
        <v>24</v>
      </c>
      <c r="K66" s="387">
        <f>J66/E66</f>
        <v>1</v>
      </c>
      <c r="L66" s="382" t="s">
        <v>4595</v>
      </c>
      <c r="M66" s="416" t="s">
        <v>4597</v>
      </c>
      <c r="N66" s="398">
        <v>1545330599369</v>
      </c>
      <c r="O66" s="509" t="s">
        <v>2536</v>
      </c>
      <c r="P66" s="205"/>
      <c r="Q66" s="202"/>
      <c r="R66" s="203"/>
      <c r="S66" s="203"/>
      <c r="T66" s="203"/>
      <c r="U66" s="203"/>
      <c r="V66" s="203"/>
    </row>
    <row r="67" spans="1:22" s="204" customFormat="1" ht="97.8" thickBot="1">
      <c r="A67" s="274"/>
      <c r="B67" s="328" t="s">
        <v>4598</v>
      </c>
      <c r="C67" s="393" t="s">
        <v>4599</v>
      </c>
      <c r="D67" s="329" t="s">
        <v>4600</v>
      </c>
      <c r="E67" s="461">
        <v>120</v>
      </c>
      <c r="F67" s="461">
        <f t="shared" si="0"/>
        <v>5</v>
      </c>
      <c r="G67" s="461" t="s">
        <v>4551</v>
      </c>
      <c r="H67" s="461" t="s">
        <v>4142</v>
      </c>
      <c r="I67" s="461" t="s">
        <v>4142</v>
      </c>
      <c r="J67" s="461" t="s">
        <v>4142</v>
      </c>
      <c r="K67" s="462" t="s">
        <v>4142</v>
      </c>
      <c r="L67" s="510" t="s">
        <v>4770</v>
      </c>
      <c r="M67" s="462" t="s">
        <v>4142</v>
      </c>
      <c r="N67" s="462" t="s">
        <v>4142</v>
      </c>
      <c r="O67" s="511" t="s">
        <v>2291</v>
      </c>
      <c r="P67" s="205"/>
      <c r="Q67" s="203"/>
      <c r="R67" s="203"/>
      <c r="S67" s="203"/>
      <c r="T67" s="203"/>
      <c r="U67" s="203"/>
      <c r="V67" s="203"/>
    </row>
    <row r="68" spans="1:22" s="204" customFormat="1" ht="69.599999999999994" customHeight="1" thickBot="1">
      <c r="A68" s="166"/>
      <c r="B68" s="512" t="s">
        <v>4601</v>
      </c>
      <c r="C68" s="513" t="s">
        <v>4602</v>
      </c>
      <c r="D68" s="514" t="s">
        <v>4603</v>
      </c>
      <c r="E68" s="515">
        <v>36</v>
      </c>
      <c r="F68" s="515">
        <f t="shared" si="0"/>
        <v>1.5</v>
      </c>
      <c r="G68" s="515" t="s">
        <v>4551</v>
      </c>
      <c r="H68" s="515">
        <v>0</v>
      </c>
      <c r="I68" s="515">
        <v>0</v>
      </c>
      <c r="J68" s="515">
        <v>36</v>
      </c>
      <c r="K68" s="516">
        <f>J68/E68</f>
        <v>1</v>
      </c>
      <c r="L68" s="517" t="s">
        <v>4604</v>
      </c>
      <c r="M68" s="517" t="s">
        <v>2886</v>
      </c>
      <c r="N68" s="518">
        <v>1597262383614</v>
      </c>
      <c r="O68" s="519" t="s">
        <v>2884</v>
      </c>
      <c r="P68" s="205"/>
      <c r="Q68" s="203"/>
      <c r="R68" s="203"/>
      <c r="S68" s="203"/>
      <c r="T68" s="203"/>
      <c r="U68" s="203"/>
      <c r="V68" s="203"/>
    </row>
    <row r="69" spans="1:22" s="204" customFormat="1" ht="30" customHeight="1">
      <c r="A69" s="258"/>
      <c r="B69" s="636" t="s">
        <v>4605</v>
      </c>
      <c r="C69" s="637"/>
      <c r="D69" s="637"/>
      <c r="E69" s="637"/>
      <c r="F69" s="637"/>
      <c r="G69" s="637"/>
      <c r="H69" s="637"/>
      <c r="I69" s="637"/>
      <c r="J69" s="520"/>
      <c r="K69" s="520"/>
      <c r="M69" s="109"/>
      <c r="N69" s="111"/>
      <c r="O69" s="103"/>
      <c r="P69" s="205"/>
      <c r="Q69" s="203"/>
      <c r="R69" s="203"/>
      <c r="S69" s="203"/>
      <c r="T69" s="203"/>
      <c r="U69" s="203"/>
      <c r="V69" s="203"/>
    </row>
    <row r="70" spans="1:22" s="204" customFormat="1" ht="41.55" customHeight="1">
      <c r="A70" s="259"/>
      <c r="B70" s="638" t="s">
        <v>4606</v>
      </c>
      <c r="C70" s="639"/>
      <c r="D70" s="639"/>
      <c r="E70" s="639"/>
      <c r="F70" s="639"/>
      <c r="G70" s="639"/>
      <c r="H70" s="639"/>
      <c r="I70" s="639"/>
      <c r="J70" s="521"/>
      <c r="K70" s="521"/>
      <c r="L70" s="522"/>
      <c r="M70" s="523"/>
      <c r="N70" s="524"/>
      <c r="O70" s="524"/>
      <c r="P70" s="207"/>
      <c r="Q70" s="203"/>
      <c r="R70" s="203"/>
      <c r="S70" s="203"/>
      <c r="T70" s="203"/>
      <c r="U70" s="203"/>
      <c r="V70" s="203"/>
    </row>
    <row r="71" spans="1:22" s="204" customFormat="1" ht="60" customHeight="1">
      <c r="A71" s="103"/>
      <c r="B71" s="99"/>
      <c r="C71" s="99"/>
      <c r="D71" s="99"/>
      <c r="E71" s="103"/>
      <c r="F71" s="103"/>
      <c r="G71" s="103"/>
      <c r="H71" s="99"/>
      <c r="I71" s="99"/>
      <c r="J71" s="14"/>
      <c r="K71" s="14"/>
      <c r="L71" s="109"/>
      <c r="M71" s="109"/>
      <c r="N71" s="111"/>
      <c r="O71" s="103"/>
      <c r="Q71" s="203"/>
      <c r="R71" s="203"/>
      <c r="S71" s="203"/>
      <c r="T71" s="203"/>
      <c r="U71" s="203"/>
      <c r="V71" s="203"/>
    </row>
    <row r="72" spans="1:22" s="204" customFormat="1" ht="14.25" customHeight="1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5"/>
      <c r="M72" s="105"/>
      <c r="N72" s="105"/>
      <c r="O72" s="105"/>
      <c r="Q72" s="203"/>
      <c r="R72" s="203"/>
      <c r="S72" s="203"/>
      <c r="T72" s="203"/>
      <c r="U72" s="203"/>
      <c r="V72" s="203"/>
    </row>
    <row r="73" spans="1:22" s="204" customFormat="1" ht="56.25" customHeight="1">
      <c r="A73" s="103"/>
      <c r="B73" s="167"/>
      <c r="C73" s="53"/>
      <c r="D73" s="167"/>
      <c r="E73" s="169"/>
      <c r="F73" s="170"/>
      <c r="G73" s="170"/>
      <c r="H73" s="171"/>
      <c r="I73" s="171"/>
      <c r="J73" s="171"/>
      <c r="K73" s="171"/>
      <c r="L73" s="169"/>
      <c r="M73" s="169"/>
      <c r="N73" s="103"/>
      <c r="O73" s="103"/>
      <c r="Q73" s="203"/>
      <c r="R73" s="203"/>
      <c r="S73" s="203"/>
      <c r="T73" s="203"/>
      <c r="U73" s="203"/>
      <c r="V73" s="203"/>
    </row>
    <row r="74" spans="1:22" s="204" customFormat="1" ht="56.25" customHeight="1">
      <c r="A74" s="103"/>
      <c r="B74" s="631"/>
      <c r="C74" s="632"/>
      <c r="D74" s="167"/>
      <c r="E74" s="633"/>
      <c r="F74" s="634"/>
      <c r="G74" s="634"/>
      <c r="H74" s="629"/>
      <c r="I74" s="171"/>
      <c r="J74" s="171"/>
      <c r="K74" s="171"/>
      <c r="L74" s="172"/>
      <c r="M74" s="172"/>
      <c r="N74" s="111"/>
      <c r="O74" s="103"/>
      <c r="Q74" s="203"/>
      <c r="R74" s="203"/>
      <c r="S74" s="203"/>
      <c r="T74" s="203"/>
      <c r="U74" s="203"/>
      <c r="V74" s="203"/>
    </row>
    <row r="75" spans="1:22" s="204" customFormat="1" ht="56.25" customHeight="1">
      <c r="A75" s="103"/>
      <c r="B75" s="631"/>
      <c r="C75" s="632"/>
      <c r="D75" s="167"/>
      <c r="E75" s="633"/>
      <c r="F75" s="634"/>
      <c r="G75" s="634"/>
      <c r="H75" s="629"/>
      <c r="I75" s="171"/>
      <c r="J75" s="171"/>
      <c r="K75" s="171"/>
      <c r="L75" s="172"/>
      <c r="M75" s="172"/>
      <c r="N75" s="111"/>
      <c r="O75" s="103"/>
      <c r="Q75" s="203"/>
      <c r="R75" s="203"/>
      <c r="S75" s="203"/>
      <c r="T75" s="203"/>
      <c r="U75" s="203"/>
      <c r="V75" s="203"/>
    </row>
    <row r="76" spans="1:22" s="204" customFormat="1" ht="56.25" customHeight="1">
      <c r="A76" s="103"/>
      <c r="B76" s="167"/>
      <c r="C76" s="525"/>
      <c r="D76" s="525"/>
      <c r="E76" s="103"/>
      <c r="F76" s="170"/>
      <c r="G76" s="170"/>
      <c r="H76" s="171"/>
      <c r="I76" s="171"/>
      <c r="J76" s="171"/>
      <c r="K76" s="171"/>
      <c r="L76" s="169"/>
      <c r="M76" s="169"/>
      <c r="N76" s="103"/>
      <c r="O76" s="103"/>
      <c r="Q76" s="203"/>
      <c r="R76" s="203"/>
      <c r="S76" s="203"/>
      <c r="T76" s="203"/>
      <c r="U76" s="203"/>
      <c r="V76" s="203"/>
    </row>
    <row r="77" spans="1:22" s="204" customFormat="1" ht="56.25" customHeight="1">
      <c r="A77" s="167"/>
      <c r="B77" s="99"/>
      <c r="C77" s="99"/>
      <c r="D77" s="99"/>
      <c r="E77" s="103"/>
      <c r="F77" s="103"/>
      <c r="G77" s="103"/>
      <c r="H77" s="99"/>
      <c r="I77" s="99"/>
      <c r="J77" s="99"/>
      <c r="K77" s="99"/>
      <c r="L77" s="99"/>
      <c r="M77" s="99"/>
      <c r="N77" s="99"/>
      <c r="O77" s="172"/>
      <c r="Q77" s="203"/>
      <c r="R77" s="203"/>
      <c r="S77" s="203"/>
      <c r="T77" s="203"/>
      <c r="U77" s="203"/>
      <c r="V77" s="203"/>
    </row>
    <row r="78" spans="1:22" s="204" customFormat="1" ht="56.25" customHeight="1">
      <c r="A78" s="103"/>
      <c r="B78" s="99"/>
      <c r="C78" s="99"/>
      <c r="D78" s="99"/>
      <c r="E78" s="103"/>
      <c r="F78" s="103"/>
      <c r="G78" s="103"/>
      <c r="H78" s="99"/>
      <c r="I78" s="99"/>
      <c r="J78" s="99"/>
      <c r="K78" s="99"/>
      <c r="L78" s="99"/>
      <c r="M78" s="99"/>
      <c r="N78" s="99"/>
      <c r="O78" s="103"/>
      <c r="Q78" s="203"/>
      <c r="R78" s="203"/>
      <c r="S78" s="203"/>
      <c r="T78" s="203"/>
      <c r="U78" s="203"/>
      <c r="V78" s="203"/>
    </row>
    <row r="79" spans="1:22" s="204" customFormat="1" ht="56.25" customHeight="1">
      <c r="A79" s="103"/>
      <c r="B79" s="631"/>
      <c r="C79" s="632"/>
      <c r="D79" s="167"/>
      <c r="E79" s="633"/>
      <c r="F79" s="634"/>
      <c r="G79" s="634"/>
      <c r="H79" s="629"/>
      <c r="I79" s="171"/>
      <c r="J79" s="171"/>
      <c r="K79" s="171"/>
      <c r="L79" s="172"/>
      <c r="M79" s="172"/>
      <c r="N79" s="111"/>
      <c r="O79" s="103"/>
      <c r="Q79" s="203"/>
      <c r="R79" s="203"/>
      <c r="S79" s="203"/>
      <c r="T79" s="203"/>
      <c r="U79" s="203"/>
      <c r="V79" s="203"/>
    </row>
    <row r="80" spans="1:22" s="204" customFormat="1" ht="56.25" customHeight="1">
      <c r="A80" s="103"/>
      <c r="B80" s="631"/>
      <c r="C80" s="632"/>
      <c r="D80" s="167"/>
      <c r="E80" s="633"/>
      <c r="F80" s="634"/>
      <c r="G80" s="634"/>
      <c r="H80" s="629"/>
      <c r="I80" s="171"/>
      <c r="J80" s="171"/>
      <c r="K80" s="171"/>
      <c r="L80" s="172"/>
      <c r="M80" s="172"/>
      <c r="N80" s="111"/>
      <c r="O80" s="103"/>
      <c r="Q80" s="203"/>
      <c r="R80" s="203"/>
      <c r="S80" s="203"/>
      <c r="T80" s="203"/>
      <c r="U80" s="203"/>
      <c r="V80" s="203"/>
    </row>
    <row r="81" spans="1:22" s="204" customFormat="1" ht="56.25" customHeight="1">
      <c r="A81" s="103"/>
      <c r="B81" s="167"/>
      <c r="C81" s="54"/>
      <c r="D81" s="167"/>
      <c r="E81" s="169"/>
      <c r="F81" s="170"/>
      <c r="G81" s="170"/>
      <c r="H81" s="171"/>
      <c r="I81" s="171"/>
      <c r="J81" s="171"/>
      <c r="K81" s="171"/>
      <c r="L81" s="169"/>
      <c r="M81" s="169"/>
      <c r="N81" s="103"/>
      <c r="O81" s="103"/>
      <c r="Q81" s="203"/>
      <c r="R81" s="203"/>
      <c r="S81" s="203"/>
      <c r="T81" s="203"/>
      <c r="U81" s="203"/>
      <c r="V81" s="203"/>
    </row>
    <row r="82" spans="1:22" s="204" customFormat="1" ht="56.25" customHeight="1">
      <c r="A82" s="103"/>
      <c r="B82" s="631"/>
      <c r="C82" s="632"/>
      <c r="D82" s="167"/>
      <c r="E82" s="633"/>
      <c r="F82" s="634"/>
      <c r="G82" s="634"/>
      <c r="H82" s="629"/>
      <c r="I82" s="171"/>
      <c r="J82" s="171"/>
      <c r="K82" s="171"/>
      <c r="L82" s="172"/>
      <c r="M82" s="172"/>
      <c r="N82" s="111"/>
      <c r="O82" s="103"/>
      <c r="Q82" s="203"/>
      <c r="R82" s="203"/>
      <c r="S82" s="203"/>
      <c r="T82" s="203"/>
      <c r="U82" s="203"/>
      <c r="V82" s="203"/>
    </row>
    <row r="83" spans="1:22" s="204" customFormat="1" ht="56.25" customHeight="1">
      <c r="A83" s="103"/>
      <c r="B83" s="631"/>
      <c r="C83" s="632"/>
      <c r="D83" s="167"/>
      <c r="E83" s="633"/>
      <c r="F83" s="634"/>
      <c r="G83" s="634"/>
      <c r="H83" s="629"/>
      <c r="I83" s="171"/>
      <c r="J83" s="171"/>
      <c r="K83" s="171"/>
      <c r="L83" s="172"/>
      <c r="M83" s="172"/>
      <c r="N83" s="111"/>
      <c r="O83" s="103"/>
      <c r="Q83" s="203"/>
      <c r="R83" s="203"/>
      <c r="S83" s="203"/>
      <c r="T83" s="203"/>
      <c r="U83" s="203"/>
      <c r="V83" s="203"/>
    </row>
    <row r="84" spans="1:22" s="204" customFormat="1" ht="56.25" customHeight="1">
      <c r="A84" s="103"/>
      <c r="B84" s="167"/>
      <c r="C84" s="55"/>
      <c r="D84" s="167"/>
      <c r="E84" s="169"/>
      <c r="F84" s="170"/>
      <c r="G84" s="170"/>
      <c r="H84" s="171"/>
      <c r="I84" s="171"/>
      <c r="J84" s="171"/>
      <c r="K84" s="171" t="s">
        <v>4146</v>
      </c>
      <c r="L84" s="169"/>
      <c r="M84" s="169"/>
      <c r="N84" s="103"/>
      <c r="O84" s="103"/>
      <c r="Q84" s="203"/>
      <c r="R84" s="203"/>
      <c r="S84" s="203"/>
      <c r="T84" s="203"/>
      <c r="U84" s="203"/>
      <c r="V84" s="203"/>
    </row>
    <row r="85" spans="1:22" s="204" customFormat="1" ht="56.25" customHeight="1">
      <c r="A85" s="103"/>
      <c r="B85" s="631"/>
      <c r="C85" s="632"/>
      <c r="D85" s="167"/>
      <c r="E85" s="633"/>
      <c r="F85" s="634"/>
      <c r="G85" s="634"/>
      <c r="H85" s="629"/>
      <c r="I85" s="171"/>
      <c r="J85" s="171"/>
      <c r="K85" s="171"/>
      <c r="L85" s="172"/>
      <c r="M85" s="172"/>
      <c r="N85" s="111"/>
      <c r="O85" s="103"/>
      <c r="Q85" s="203"/>
      <c r="R85" s="203"/>
      <c r="S85" s="203"/>
      <c r="T85" s="203"/>
      <c r="U85" s="203"/>
      <c r="V85" s="203"/>
    </row>
    <row r="86" spans="1:22" s="204" customFormat="1" ht="56.25" customHeight="1">
      <c r="A86" s="103"/>
      <c r="B86" s="631"/>
      <c r="C86" s="632"/>
      <c r="D86" s="167"/>
      <c r="E86" s="633"/>
      <c r="F86" s="634"/>
      <c r="G86" s="634"/>
      <c r="H86" s="629"/>
      <c r="I86" s="171"/>
      <c r="J86" s="171"/>
      <c r="K86" s="171"/>
      <c r="L86" s="172"/>
      <c r="M86" s="172"/>
      <c r="N86" s="111"/>
      <c r="O86" s="103"/>
      <c r="Q86" s="203"/>
      <c r="R86" s="203"/>
      <c r="S86" s="203"/>
      <c r="T86" s="203"/>
      <c r="U86" s="203"/>
      <c r="V86" s="203"/>
    </row>
    <row r="87" spans="1:22" s="204" customFormat="1" ht="56.25" customHeight="1">
      <c r="A87" s="103"/>
      <c r="B87" s="167"/>
      <c r="C87" s="55"/>
      <c r="D87" s="167"/>
      <c r="E87" s="169"/>
      <c r="F87" s="170"/>
      <c r="G87" s="170"/>
      <c r="H87" s="171"/>
      <c r="I87" s="171"/>
      <c r="J87" s="171"/>
      <c r="K87" s="171"/>
      <c r="L87" s="169"/>
      <c r="M87" s="169"/>
      <c r="N87" s="103"/>
      <c r="O87" s="103"/>
      <c r="Q87" s="203"/>
      <c r="R87" s="203"/>
      <c r="S87" s="203"/>
      <c r="T87" s="203"/>
      <c r="U87" s="203"/>
      <c r="V87" s="203"/>
    </row>
    <row r="88" spans="1:22" s="204" customFormat="1" ht="56.25" customHeight="1">
      <c r="A88" s="103"/>
      <c r="B88" s="631"/>
      <c r="C88" s="632"/>
      <c r="D88" s="167"/>
      <c r="E88" s="633"/>
      <c r="F88" s="634"/>
      <c r="G88" s="634"/>
      <c r="H88" s="629"/>
      <c r="I88" s="171"/>
      <c r="J88" s="171"/>
      <c r="K88" s="171"/>
      <c r="L88" s="172"/>
      <c r="M88" s="172"/>
      <c r="N88" s="111"/>
      <c r="O88" s="103"/>
      <c r="Q88" s="203"/>
      <c r="R88" s="203"/>
      <c r="S88" s="203"/>
      <c r="T88" s="203"/>
      <c r="U88" s="203"/>
      <c r="V88" s="203"/>
    </row>
    <row r="89" spans="1:22" s="204" customFormat="1" ht="56.25" customHeight="1">
      <c r="A89" s="103"/>
      <c r="B89" s="631"/>
      <c r="C89" s="632"/>
      <c r="D89" s="167"/>
      <c r="E89" s="633"/>
      <c r="F89" s="634"/>
      <c r="G89" s="634"/>
      <c r="H89" s="629"/>
      <c r="I89" s="171"/>
      <c r="J89" s="171"/>
      <c r="K89" s="171"/>
      <c r="L89" s="172"/>
      <c r="M89" s="172"/>
      <c r="N89" s="111"/>
      <c r="O89" s="103"/>
      <c r="Q89" s="203"/>
      <c r="R89" s="203"/>
      <c r="S89" s="203"/>
      <c r="T89" s="203"/>
      <c r="U89" s="203"/>
      <c r="V89" s="203"/>
    </row>
    <row r="90" spans="1:22" s="204" customFormat="1" ht="56.25" customHeight="1">
      <c r="A90" s="103"/>
      <c r="B90" s="167"/>
      <c r="C90" s="55"/>
      <c r="D90" s="167"/>
      <c r="E90" s="169"/>
      <c r="F90" s="103"/>
      <c r="G90" s="170"/>
      <c r="H90" s="171"/>
      <c r="I90" s="171"/>
      <c r="J90" s="171"/>
      <c r="K90" s="171"/>
      <c r="L90" s="169"/>
      <c r="M90" s="169"/>
      <c r="N90" s="103"/>
      <c r="O90" s="103"/>
      <c r="Q90" s="203"/>
      <c r="R90" s="203"/>
      <c r="S90" s="203"/>
      <c r="T90" s="203"/>
      <c r="U90" s="203"/>
      <c r="V90" s="203"/>
    </row>
    <row r="91" spans="1:22" s="204" customFormat="1" ht="56.25" customHeight="1">
      <c r="A91" s="103"/>
      <c r="B91" s="631"/>
      <c r="C91" s="632"/>
      <c r="D91" s="167"/>
      <c r="E91" s="633"/>
      <c r="F91" s="634"/>
      <c r="G91" s="634"/>
      <c r="H91" s="629"/>
      <c r="I91" s="171"/>
      <c r="J91" s="171"/>
      <c r="K91" s="171"/>
      <c r="L91" s="172"/>
      <c r="M91" s="172"/>
      <c r="N91" s="111"/>
      <c r="O91" s="103"/>
      <c r="Q91" s="203"/>
      <c r="R91" s="203"/>
      <c r="S91" s="203"/>
      <c r="T91" s="203"/>
      <c r="U91" s="203"/>
      <c r="V91" s="203"/>
    </row>
    <row r="92" spans="1:22" s="204" customFormat="1" ht="56.25" customHeight="1">
      <c r="A92" s="103"/>
      <c r="B92" s="631"/>
      <c r="C92" s="632"/>
      <c r="D92" s="167"/>
      <c r="E92" s="633"/>
      <c r="F92" s="634"/>
      <c r="G92" s="634"/>
      <c r="H92" s="629"/>
      <c r="I92" s="171"/>
      <c r="J92" s="171"/>
      <c r="K92" s="171"/>
      <c r="L92" s="172"/>
      <c r="M92" s="172"/>
      <c r="N92" s="111"/>
      <c r="O92" s="103"/>
      <c r="Q92" s="203"/>
      <c r="R92" s="203"/>
      <c r="S92" s="203"/>
      <c r="T92" s="203"/>
      <c r="U92" s="203"/>
      <c r="V92" s="203"/>
    </row>
    <row r="93" spans="1:22" s="204" customFormat="1" ht="56.25" customHeight="1">
      <c r="A93" s="103"/>
      <c r="B93" s="112"/>
      <c r="C93" s="168"/>
      <c r="D93" s="167"/>
      <c r="E93" s="169"/>
      <c r="F93" s="170"/>
      <c r="G93" s="170"/>
      <c r="H93" s="171"/>
      <c r="I93" s="171"/>
      <c r="J93" s="171"/>
      <c r="K93" s="171"/>
      <c r="L93" s="169"/>
      <c r="M93" s="169"/>
      <c r="N93" s="103"/>
      <c r="O93" s="103"/>
      <c r="Q93" s="203"/>
      <c r="R93" s="203"/>
      <c r="S93" s="203"/>
      <c r="T93" s="203"/>
      <c r="U93" s="203"/>
      <c r="V93" s="203"/>
    </row>
    <row r="94" spans="1:22" s="204" customFormat="1" ht="56.25" customHeight="1">
      <c r="A94" s="103"/>
      <c r="B94" s="631"/>
      <c r="C94" s="632"/>
      <c r="D94" s="167"/>
      <c r="E94" s="633"/>
      <c r="F94" s="634"/>
      <c r="G94" s="634"/>
      <c r="H94" s="629"/>
      <c r="I94" s="171"/>
      <c r="J94" s="171"/>
      <c r="K94" s="171"/>
      <c r="L94" s="172"/>
      <c r="M94" s="172"/>
      <c r="N94" s="111"/>
      <c r="O94" s="103"/>
      <c r="Q94" s="203"/>
      <c r="R94" s="203"/>
      <c r="S94" s="203"/>
      <c r="T94" s="203"/>
      <c r="U94" s="203"/>
      <c r="V94" s="203"/>
    </row>
    <row r="95" spans="1:22" s="204" customFormat="1" ht="56.25" customHeight="1">
      <c r="A95" s="103"/>
      <c r="B95" s="631"/>
      <c r="C95" s="632"/>
      <c r="D95" s="167"/>
      <c r="E95" s="633"/>
      <c r="F95" s="634"/>
      <c r="G95" s="634"/>
      <c r="H95" s="629"/>
      <c r="I95" s="171"/>
      <c r="J95" s="171"/>
      <c r="K95" s="171"/>
      <c r="L95" s="172"/>
      <c r="M95" s="172"/>
      <c r="N95" s="111"/>
      <c r="O95" s="103"/>
      <c r="Q95" s="203"/>
      <c r="R95" s="203"/>
      <c r="S95" s="203"/>
      <c r="T95" s="203"/>
      <c r="U95" s="203"/>
      <c r="V95" s="203"/>
    </row>
    <row r="96" spans="1:22" s="204" customFormat="1" ht="56.25" customHeight="1">
      <c r="A96" s="103"/>
      <c r="B96" s="112"/>
      <c r="C96" s="168"/>
      <c r="D96" s="167"/>
      <c r="E96" s="169"/>
      <c r="F96" s="170"/>
      <c r="G96" s="170"/>
      <c r="H96" s="171"/>
      <c r="I96" s="171"/>
      <c r="J96" s="171"/>
      <c r="K96" s="171"/>
      <c r="L96" s="169"/>
      <c r="M96" s="169"/>
      <c r="N96" s="103"/>
      <c r="O96" s="103"/>
      <c r="Q96" s="203"/>
      <c r="R96" s="203"/>
      <c r="S96" s="113"/>
      <c r="T96" s="203"/>
      <c r="U96" s="203"/>
      <c r="V96" s="203"/>
    </row>
    <row r="97" spans="1:22" s="204" customFormat="1" ht="56.25" customHeight="1">
      <c r="A97" s="103"/>
      <c r="B97" s="631"/>
      <c r="C97" s="632"/>
      <c r="D97" s="167"/>
      <c r="E97" s="633"/>
      <c r="F97" s="634"/>
      <c r="G97" s="634"/>
      <c r="H97" s="629"/>
      <c r="I97" s="629"/>
      <c r="J97" s="629"/>
      <c r="K97" s="171"/>
      <c r="L97" s="630"/>
      <c r="M97" s="172"/>
      <c r="N97" s="111"/>
      <c r="O97" s="103"/>
      <c r="Q97" s="203"/>
      <c r="R97" s="203"/>
      <c r="S97" s="113"/>
      <c r="T97" s="203"/>
      <c r="U97" s="203"/>
      <c r="V97" s="203"/>
    </row>
    <row r="98" spans="1:22" s="204" customFormat="1" ht="56.25" customHeight="1">
      <c r="A98" s="103"/>
      <c r="B98" s="631"/>
      <c r="C98" s="632"/>
      <c r="D98" s="167"/>
      <c r="E98" s="633"/>
      <c r="F98" s="634"/>
      <c r="G98" s="634"/>
      <c r="H98" s="629"/>
      <c r="I98" s="629"/>
      <c r="J98" s="629"/>
      <c r="K98" s="171"/>
      <c r="L98" s="630"/>
      <c r="M98" s="172"/>
      <c r="N98" s="111"/>
      <c r="O98" s="103"/>
      <c r="Q98" s="203"/>
      <c r="R98" s="203"/>
      <c r="S98" s="113"/>
      <c r="T98" s="203"/>
      <c r="U98" s="203"/>
      <c r="V98" s="203"/>
    </row>
    <row r="99" spans="1:22" s="204" customFormat="1" ht="56.25" customHeight="1">
      <c r="A99" s="103"/>
      <c r="B99" s="112"/>
      <c r="C99" s="168"/>
      <c r="D99" s="167"/>
      <c r="E99" s="169"/>
      <c r="F99" s="170"/>
      <c r="G99" s="170"/>
      <c r="H99" s="171"/>
      <c r="I99" s="171"/>
      <c r="J99" s="171"/>
      <c r="K99" s="171"/>
      <c r="L99" s="169"/>
      <c r="M99" s="169"/>
      <c r="N99" s="103"/>
      <c r="O99" s="103"/>
      <c r="Q99" s="203"/>
      <c r="R99" s="203"/>
      <c r="S99" s="113"/>
      <c r="T99" s="203"/>
      <c r="U99" s="203"/>
      <c r="V99" s="203"/>
    </row>
    <row r="100" spans="1:22" s="204" customFormat="1" ht="56.25" customHeight="1">
      <c r="A100" s="103"/>
      <c r="B100" s="631"/>
      <c r="C100" s="632"/>
      <c r="D100" s="167"/>
      <c r="E100" s="633"/>
      <c r="F100" s="634"/>
      <c r="G100" s="634"/>
      <c r="H100" s="629"/>
      <c r="I100" s="629"/>
      <c r="J100" s="629"/>
      <c r="K100" s="171"/>
      <c r="L100" s="630"/>
      <c r="M100" s="172"/>
      <c r="N100" s="111"/>
      <c r="O100" s="103"/>
      <c r="Q100" s="203"/>
      <c r="R100" s="203"/>
      <c r="S100" s="113"/>
      <c r="T100" s="203"/>
      <c r="U100" s="203"/>
      <c r="V100" s="203"/>
    </row>
    <row r="101" spans="1:22" s="204" customFormat="1" ht="56.25" customHeight="1">
      <c r="A101" s="103"/>
      <c r="B101" s="631"/>
      <c r="C101" s="632"/>
      <c r="D101" s="167"/>
      <c r="E101" s="633"/>
      <c r="F101" s="634"/>
      <c r="G101" s="634"/>
      <c r="H101" s="629"/>
      <c r="I101" s="629"/>
      <c r="J101" s="629"/>
      <c r="K101" s="171"/>
      <c r="L101" s="630"/>
      <c r="M101" s="172"/>
      <c r="N101" s="111"/>
      <c r="O101" s="103"/>
      <c r="Q101" s="203"/>
      <c r="R101" s="203"/>
      <c r="S101" s="113"/>
      <c r="T101" s="203"/>
      <c r="U101" s="203"/>
      <c r="V101" s="203"/>
    </row>
    <row r="102" spans="1:22" s="204" customFormat="1" ht="56.25" customHeight="1">
      <c r="A102" s="103"/>
      <c r="B102" s="113"/>
      <c r="C102" s="168"/>
      <c r="D102" s="56"/>
      <c r="E102" s="57"/>
      <c r="F102" s="103"/>
      <c r="G102" s="58"/>
      <c r="H102" s="59"/>
      <c r="I102" s="59"/>
      <c r="J102" s="59"/>
      <c r="K102" s="59"/>
      <c r="L102" s="169"/>
      <c r="M102" s="169"/>
      <c r="N102" s="103"/>
      <c r="O102" s="103"/>
      <c r="Q102" s="203"/>
      <c r="R102" s="203"/>
      <c r="S102" s="113"/>
      <c r="T102" s="203"/>
      <c r="U102" s="203"/>
      <c r="V102" s="203"/>
    </row>
    <row r="103" spans="1:22" s="204" customFormat="1" ht="56.25" customHeight="1">
      <c r="A103" s="103"/>
      <c r="B103" s="99"/>
      <c r="C103" s="99"/>
      <c r="D103" s="99"/>
      <c r="E103" s="106"/>
      <c r="F103" s="103"/>
      <c r="G103" s="103"/>
      <c r="H103" s="107"/>
      <c r="I103" s="107"/>
      <c r="J103" s="107"/>
      <c r="K103" s="107"/>
      <c r="L103" s="169"/>
      <c r="M103" s="169"/>
      <c r="N103" s="103"/>
      <c r="O103" s="103"/>
      <c r="Q103" s="203"/>
      <c r="R103" s="203"/>
      <c r="S103" s="113"/>
      <c r="T103" s="203"/>
      <c r="U103" s="203"/>
      <c r="V103" s="203"/>
    </row>
    <row r="104" spans="1:22" s="204" customFormat="1" ht="56.25" customHeight="1">
      <c r="A104" s="103"/>
      <c r="B104" s="99"/>
      <c r="C104" s="99"/>
      <c r="D104" s="99"/>
      <c r="E104" s="106"/>
      <c r="F104" s="103"/>
      <c r="G104" s="103"/>
      <c r="H104" s="107"/>
      <c r="I104" s="107"/>
      <c r="J104" s="107"/>
      <c r="K104" s="107"/>
      <c r="L104" s="169"/>
      <c r="M104" s="169"/>
      <c r="N104" s="103"/>
      <c r="O104" s="103"/>
      <c r="Q104" s="203"/>
      <c r="R104" s="203"/>
      <c r="S104" s="113"/>
      <c r="T104" s="203"/>
      <c r="U104" s="203"/>
      <c r="V104" s="203"/>
    </row>
    <row r="105" spans="1:22" s="204" customFormat="1" ht="56.25" customHeight="1">
      <c r="A105" s="103"/>
      <c r="B105" s="99"/>
      <c r="C105" s="99"/>
      <c r="D105" s="99"/>
      <c r="E105" s="106"/>
      <c r="F105" s="103"/>
      <c r="G105" s="103"/>
      <c r="H105" s="107"/>
      <c r="I105" s="107"/>
      <c r="J105" s="107"/>
      <c r="K105" s="107"/>
      <c r="L105" s="169"/>
      <c r="M105" s="169"/>
      <c r="N105" s="103"/>
      <c r="O105" s="103"/>
      <c r="Q105" s="203"/>
      <c r="R105" s="203"/>
      <c r="S105" s="113"/>
      <c r="T105" s="203"/>
      <c r="U105" s="203"/>
      <c r="V105" s="203"/>
    </row>
    <row r="106" spans="1:22" s="204" customFormat="1" ht="56.25" customHeight="1">
      <c r="A106" s="103"/>
      <c r="B106" s="99"/>
      <c r="C106" s="99"/>
      <c r="D106" s="99"/>
      <c r="E106" s="106"/>
      <c r="F106" s="103"/>
      <c r="G106" s="103"/>
      <c r="H106" s="107"/>
      <c r="I106" s="107"/>
      <c r="J106" s="107"/>
      <c r="K106" s="107"/>
      <c r="L106" s="169"/>
      <c r="M106" s="169"/>
      <c r="N106" s="103"/>
      <c r="O106" s="103"/>
      <c r="Q106" s="203"/>
      <c r="R106" s="203"/>
      <c r="S106" s="113"/>
      <c r="T106" s="203"/>
      <c r="U106" s="203"/>
      <c r="V106" s="203"/>
    </row>
    <row r="107" spans="1:22" s="204" customFormat="1" ht="56.25" customHeight="1">
      <c r="A107" s="103"/>
      <c r="B107" s="99"/>
      <c r="C107" s="99"/>
      <c r="D107" s="99"/>
      <c r="E107" s="106"/>
      <c r="F107" s="103"/>
      <c r="G107" s="103"/>
      <c r="H107" s="107"/>
      <c r="I107" s="107"/>
      <c r="J107" s="107"/>
      <c r="K107" s="107"/>
      <c r="L107" s="169"/>
      <c r="M107" s="169"/>
      <c r="N107" s="103"/>
      <c r="O107" s="103"/>
      <c r="Q107" s="203"/>
      <c r="R107" s="203"/>
      <c r="S107" s="113"/>
      <c r="T107" s="203"/>
      <c r="U107" s="203"/>
      <c r="V107" s="203"/>
    </row>
    <row r="108" spans="1:22" s="204" customFormat="1" ht="80.849999999999994" customHeight="1">
      <c r="A108" s="103"/>
      <c r="B108" s="99"/>
      <c r="C108" s="99"/>
      <c r="D108" s="99"/>
      <c r="E108" s="106"/>
      <c r="F108" s="103"/>
      <c r="G108" s="103"/>
      <c r="H108" s="107"/>
      <c r="I108" s="107"/>
      <c r="J108" s="107"/>
      <c r="K108" s="107"/>
      <c r="L108" s="169"/>
      <c r="M108" s="169"/>
      <c r="N108" s="103"/>
      <c r="O108" s="103"/>
      <c r="Q108" s="203"/>
      <c r="R108" s="203"/>
      <c r="S108" s="113"/>
      <c r="T108" s="203"/>
      <c r="U108" s="203"/>
      <c r="V108" s="203"/>
    </row>
    <row r="109" spans="1:22" s="204" customFormat="1" ht="15.75" customHeight="1">
      <c r="A109" s="103"/>
      <c r="B109" s="60"/>
      <c r="C109" s="11"/>
      <c r="D109" s="11"/>
      <c r="E109" s="12"/>
      <c r="F109" s="214"/>
      <c r="G109" s="214"/>
      <c r="H109" s="13"/>
      <c r="I109" s="13"/>
      <c r="J109" s="13"/>
      <c r="K109" s="13"/>
      <c r="L109" s="169"/>
      <c r="M109" s="169"/>
      <c r="N109" s="103"/>
      <c r="O109" s="103"/>
      <c r="Q109" s="203"/>
      <c r="R109" s="203"/>
      <c r="S109" s="113"/>
      <c r="T109" s="203"/>
      <c r="U109" s="203"/>
      <c r="V109" s="203"/>
    </row>
    <row r="110" spans="1:22" s="204" customFormat="1" ht="83.25" customHeight="1">
      <c r="A110" s="103"/>
      <c r="B110" s="108"/>
      <c r="C110" s="11"/>
      <c r="D110" s="11"/>
      <c r="E110" s="12"/>
      <c r="F110" s="214"/>
      <c r="G110" s="214"/>
      <c r="H110" s="13"/>
      <c r="I110" s="13"/>
      <c r="J110" s="13"/>
      <c r="K110" s="13"/>
      <c r="L110" s="169"/>
      <c r="M110" s="169"/>
      <c r="N110" s="103"/>
      <c r="O110" s="103"/>
      <c r="Q110" s="203"/>
      <c r="R110" s="203"/>
      <c r="S110" s="113"/>
      <c r="T110" s="203"/>
      <c r="U110" s="203"/>
      <c r="V110" s="203"/>
    </row>
    <row r="111" spans="1:22" s="204" customFormat="1" ht="83.25" customHeight="1">
      <c r="A111" s="103"/>
      <c r="B111" s="108"/>
      <c r="C111" s="11"/>
      <c r="D111" s="11"/>
      <c r="E111" s="12"/>
      <c r="F111" s="214"/>
      <c r="G111" s="214"/>
      <c r="H111" s="13"/>
      <c r="I111" s="13"/>
      <c r="J111" s="13"/>
      <c r="K111" s="13"/>
      <c r="L111" s="169"/>
      <c r="M111" s="169"/>
      <c r="N111" s="103"/>
      <c r="O111" s="103"/>
      <c r="Q111" s="203"/>
      <c r="R111" s="203"/>
      <c r="S111" s="113"/>
      <c r="T111" s="203"/>
      <c r="U111" s="203"/>
      <c r="V111" s="203"/>
    </row>
    <row r="112" spans="1:22" s="204" customFormat="1" ht="13.05" customHeight="1">
      <c r="A112" s="103"/>
      <c r="B112" s="108"/>
      <c r="C112" s="11"/>
      <c r="D112" s="11"/>
      <c r="E112" s="12"/>
      <c r="F112" s="214"/>
      <c r="G112" s="214"/>
      <c r="H112" s="13"/>
      <c r="I112" s="13"/>
      <c r="J112" s="13"/>
      <c r="K112" s="13"/>
      <c r="L112" s="169"/>
      <c r="M112" s="169"/>
      <c r="N112" s="103"/>
      <c r="O112" s="103"/>
      <c r="Q112" s="203"/>
      <c r="R112" s="203"/>
      <c r="S112" s="113"/>
      <c r="T112" s="203"/>
      <c r="U112" s="203"/>
      <c r="V112" s="203"/>
    </row>
    <row r="113" spans="1:24" s="204" customFormat="1" ht="83.25" customHeight="1">
      <c r="A113" s="103"/>
      <c r="B113" s="108"/>
      <c r="C113" s="11"/>
      <c r="D113" s="11"/>
      <c r="E113" s="12"/>
      <c r="F113" s="214"/>
      <c r="G113" s="214"/>
      <c r="H113" s="13"/>
      <c r="I113" s="13"/>
      <c r="J113" s="13"/>
      <c r="K113" s="13"/>
      <c r="L113" s="169"/>
      <c r="M113" s="169"/>
      <c r="N113" s="103"/>
      <c r="O113" s="103"/>
      <c r="Q113" s="203"/>
      <c r="R113" s="203"/>
      <c r="S113" s="113"/>
      <c r="T113" s="203"/>
      <c r="U113" s="203"/>
      <c r="V113" s="203"/>
    </row>
    <row r="114" spans="1:24" s="204" customFormat="1" ht="83.25" customHeight="1">
      <c r="A114" s="103"/>
      <c r="B114" s="108"/>
      <c r="C114" s="11"/>
      <c r="D114" s="11"/>
      <c r="E114" s="12"/>
      <c r="F114" s="214"/>
      <c r="G114" s="214"/>
      <c r="H114" s="13"/>
      <c r="I114" s="13"/>
      <c r="J114" s="13"/>
      <c r="K114" s="13"/>
      <c r="L114" s="169"/>
      <c r="M114" s="169"/>
      <c r="N114" s="103"/>
      <c r="O114" s="103"/>
      <c r="Q114" s="203"/>
      <c r="R114" s="203"/>
      <c r="S114" s="113"/>
      <c r="T114" s="203"/>
      <c r="U114" s="203"/>
      <c r="V114" s="203"/>
    </row>
    <row r="115" spans="1:24" s="204" customFormat="1" ht="83.25" customHeight="1">
      <c r="A115" s="103"/>
      <c r="B115" s="108"/>
      <c r="C115" s="11"/>
      <c r="D115" s="11"/>
      <c r="E115" s="12"/>
      <c r="F115" s="214"/>
      <c r="G115" s="214"/>
      <c r="H115" s="13"/>
      <c r="I115" s="13"/>
      <c r="J115" s="13"/>
      <c r="K115" s="13"/>
      <c r="L115" s="169"/>
      <c r="M115" s="169"/>
      <c r="N115" s="103"/>
      <c r="O115" s="103"/>
      <c r="Q115" s="203"/>
      <c r="R115" s="203"/>
      <c r="S115" s="113"/>
      <c r="T115" s="203"/>
      <c r="U115" s="203"/>
      <c r="V115" s="208"/>
    </row>
    <row r="116" spans="1:24" s="204" customFormat="1" ht="83.25" customHeight="1">
      <c r="A116" s="103"/>
      <c r="B116" s="108"/>
      <c r="C116" s="11"/>
      <c r="D116" s="11"/>
      <c r="E116" s="12"/>
      <c r="F116" s="214"/>
      <c r="G116" s="214"/>
      <c r="H116" s="13"/>
      <c r="I116" s="13"/>
      <c r="J116" s="13"/>
      <c r="K116" s="13"/>
      <c r="L116" s="14"/>
      <c r="M116" s="14"/>
      <c r="N116" s="109"/>
      <c r="O116" s="103"/>
      <c r="Q116" s="628"/>
      <c r="R116" s="628"/>
      <c r="S116" s="628"/>
      <c r="T116" s="187"/>
      <c r="U116" s="187"/>
      <c r="V116" s="208"/>
      <c r="W116" s="208"/>
      <c r="X116" s="208"/>
    </row>
    <row r="117" spans="1:24" s="204" customFormat="1" ht="83.25" customHeight="1">
      <c r="A117" s="103"/>
      <c r="B117" s="108"/>
      <c r="C117" s="11"/>
      <c r="D117" s="11"/>
      <c r="E117" s="12"/>
      <c r="F117" s="214"/>
      <c r="G117" s="214"/>
      <c r="H117" s="13"/>
      <c r="I117" s="13"/>
      <c r="J117" s="13"/>
      <c r="K117" s="13"/>
      <c r="L117" s="14"/>
      <c r="M117" s="14"/>
      <c r="N117" s="109"/>
      <c r="O117" s="103"/>
      <c r="Q117" s="628"/>
      <c r="R117" s="628"/>
      <c r="S117" s="209"/>
      <c r="T117" s="187"/>
      <c r="U117" s="187"/>
      <c r="V117" s="208"/>
      <c r="W117" s="208"/>
      <c r="X117" s="208"/>
    </row>
    <row r="118" spans="1:24" s="204" customFormat="1" ht="83.25" customHeight="1">
      <c r="A118" s="103"/>
      <c r="B118" s="108"/>
      <c r="C118" s="11"/>
      <c r="D118" s="11"/>
      <c r="E118" s="12"/>
      <c r="F118" s="214"/>
      <c r="G118" s="214"/>
      <c r="H118" s="13"/>
      <c r="I118" s="13"/>
      <c r="J118" s="13"/>
      <c r="K118" s="13"/>
      <c r="L118" s="14"/>
      <c r="M118" s="14"/>
      <c r="N118" s="109"/>
      <c r="O118" s="103"/>
      <c r="Q118" s="628"/>
      <c r="R118" s="628"/>
      <c r="S118" s="628"/>
      <c r="T118" s="113"/>
      <c r="U118" s="113"/>
      <c r="V118" s="208"/>
      <c r="W118" s="208"/>
      <c r="X118" s="208"/>
    </row>
    <row r="119" spans="1:24" s="204" customFormat="1" ht="83.25" customHeight="1">
      <c r="A119" s="103"/>
      <c r="B119" s="108"/>
      <c r="C119" s="11"/>
      <c r="D119" s="11"/>
      <c r="E119" s="12"/>
      <c r="F119" s="214"/>
      <c r="G119" s="214"/>
      <c r="H119" s="13"/>
      <c r="I119" s="13"/>
      <c r="J119" s="13"/>
      <c r="K119" s="13"/>
      <c r="L119" s="14"/>
      <c r="M119" s="14"/>
      <c r="N119" s="109"/>
      <c r="O119" s="103"/>
      <c r="Q119" s="628"/>
      <c r="R119" s="628"/>
      <c r="S119" s="628"/>
      <c r="T119" s="210"/>
      <c r="U119" s="113"/>
      <c r="V119" s="208"/>
      <c r="W119" s="208"/>
      <c r="X119" s="208"/>
    </row>
    <row r="120" spans="1:24" s="204" customFormat="1" ht="83.25" customHeight="1">
      <c r="A120" s="103"/>
      <c r="B120" s="108"/>
      <c r="C120" s="11"/>
      <c r="D120" s="11"/>
      <c r="E120" s="12"/>
      <c r="F120" s="214"/>
      <c r="G120" s="214"/>
      <c r="H120" s="13"/>
      <c r="I120" s="13"/>
      <c r="J120" s="13"/>
      <c r="K120" s="13"/>
      <c r="L120" s="14"/>
      <c r="M120" s="14"/>
      <c r="N120" s="109"/>
      <c r="O120" s="103"/>
      <c r="Q120" s="628"/>
      <c r="R120" s="628"/>
      <c r="S120" s="628"/>
      <c r="T120" s="211"/>
      <c r="U120" s="113"/>
      <c r="V120" s="208"/>
      <c r="W120" s="208"/>
      <c r="X120" s="208"/>
    </row>
    <row r="121" spans="1:24" s="204" customFormat="1" ht="83.25" customHeight="1">
      <c r="A121" s="103"/>
      <c r="B121" s="108"/>
      <c r="C121" s="11"/>
      <c r="D121" s="11"/>
      <c r="E121" s="12"/>
      <c r="F121" s="214"/>
      <c r="G121" s="214"/>
      <c r="H121" s="13"/>
      <c r="I121" s="13"/>
      <c r="J121" s="13"/>
      <c r="K121" s="13"/>
      <c r="L121" s="14"/>
      <c r="M121" s="14"/>
      <c r="N121" s="109"/>
      <c r="O121" s="103"/>
      <c r="Q121" s="628"/>
      <c r="R121" s="628"/>
      <c r="S121" s="628"/>
      <c r="T121" s="113"/>
      <c r="U121" s="113"/>
      <c r="V121" s="208"/>
      <c r="W121" s="208"/>
      <c r="X121" s="208"/>
    </row>
    <row r="122" spans="1:24" s="204" customFormat="1" ht="83.25" customHeight="1">
      <c r="A122" s="103"/>
      <c r="B122" s="108"/>
      <c r="C122" s="11"/>
      <c r="D122" s="11"/>
      <c r="E122" s="12"/>
      <c r="F122" s="214"/>
      <c r="G122" s="214"/>
      <c r="H122" s="13"/>
      <c r="I122" s="13"/>
      <c r="J122" s="13"/>
      <c r="K122" s="13"/>
      <c r="L122" s="14"/>
      <c r="M122" s="14"/>
      <c r="N122" s="109"/>
      <c r="O122" s="103"/>
      <c r="Q122" s="203"/>
      <c r="R122" s="203"/>
      <c r="S122" s="203"/>
      <c r="T122" s="203"/>
      <c r="U122" s="203"/>
      <c r="V122" s="203"/>
    </row>
    <row r="123" spans="1:24" s="204" customFormat="1" ht="83.25" customHeight="1">
      <c r="A123" s="103"/>
      <c r="B123" s="108"/>
      <c r="C123" s="11"/>
      <c r="D123" s="11"/>
      <c r="E123" s="12"/>
      <c r="F123" s="214"/>
      <c r="G123" s="214"/>
      <c r="H123" s="13"/>
      <c r="I123" s="13"/>
      <c r="J123" s="13"/>
      <c r="K123" s="13"/>
      <c r="L123" s="14"/>
      <c r="M123" s="14"/>
      <c r="N123" s="109"/>
      <c r="O123" s="103"/>
      <c r="Q123" s="203"/>
      <c r="R123" s="203"/>
      <c r="S123" s="203"/>
      <c r="T123" s="203"/>
      <c r="U123" s="203"/>
      <c r="V123" s="203"/>
    </row>
    <row r="124" spans="1:24" s="204" customFormat="1" ht="83.25" customHeight="1">
      <c r="A124" s="103"/>
      <c r="B124" s="108"/>
      <c r="C124" s="11"/>
      <c r="D124" s="11"/>
      <c r="E124" s="12"/>
      <c r="F124" s="214"/>
      <c r="G124" s="214"/>
      <c r="H124" s="13"/>
      <c r="I124" s="13"/>
      <c r="J124" s="13"/>
      <c r="K124" s="13"/>
      <c r="L124" s="14"/>
      <c r="M124" s="14"/>
      <c r="N124" s="109"/>
      <c r="O124" s="103"/>
      <c r="Q124" s="203"/>
      <c r="R124" s="203"/>
      <c r="S124" s="203"/>
      <c r="T124" s="203"/>
      <c r="U124" s="203"/>
      <c r="V124" s="203"/>
    </row>
    <row r="125" spans="1:24" s="204" customFormat="1" ht="83.25" customHeight="1">
      <c r="A125" s="103"/>
      <c r="B125" s="108"/>
      <c r="C125" s="11"/>
      <c r="D125" s="11"/>
      <c r="E125" s="12"/>
      <c r="F125" s="214"/>
      <c r="G125" s="214"/>
      <c r="H125" s="13"/>
      <c r="I125" s="13"/>
      <c r="J125" s="13"/>
      <c r="K125" s="13"/>
      <c r="L125" s="14"/>
      <c r="M125" s="14"/>
      <c r="N125" s="109"/>
      <c r="O125" s="103"/>
      <c r="Q125" s="203"/>
      <c r="R125" s="203"/>
      <c r="S125" s="203"/>
      <c r="T125" s="203"/>
      <c r="U125" s="203"/>
      <c r="V125" s="203"/>
    </row>
    <row r="126" spans="1:24" s="204" customFormat="1" ht="83.25" customHeight="1">
      <c r="A126" s="103"/>
      <c r="B126" s="108"/>
      <c r="C126" s="11"/>
      <c r="D126" s="11"/>
      <c r="E126" s="12"/>
      <c r="F126" s="214"/>
      <c r="G126" s="214"/>
      <c r="H126" s="13"/>
      <c r="I126" s="13"/>
      <c r="J126" s="13"/>
      <c r="K126" s="13"/>
      <c r="L126" s="14"/>
      <c r="M126" s="14"/>
      <c r="N126" s="109"/>
      <c r="O126" s="103"/>
      <c r="Q126" s="203"/>
      <c r="R126" s="203"/>
      <c r="S126" s="203"/>
      <c r="T126" s="203"/>
      <c r="U126" s="203"/>
      <c r="V126" s="203"/>
    </row>
    <row r="127" spans="1:24" s="204" customFormat="1" ht="83.25" customHeight="1">
      <c r="A127" s="103"/>
      <c r="B127" s="108"/>
      <c r="C127" s="11"/>
      <c r="D127" s="11"/>
      <c r="E127" s="12"/>
      <c r="F127" s="214"/>
      <c r="G127" s="214"/>
      <c r="H127" s="13"/>
      <c r="I127" s="13"/>
      <c r="J127" s="13"/>
      <c r="K127" s="13"/>
      <c r="L127" s="14"/>
      <c r="M127" s="14"/>
      <c r="N127" s="109"/>
      <c r="O127" s="103"/>
      <c r="Q127" s="203"/>
      <c r="R127" s="203"/>
      <c r="S127" s="203"/>
      <c r="T127" s="203"/>
      <c r="U127" s="203"/>
      <c r="V127" s="203"/>
    </row>
    <row r="128" spans="1:24" s="204" customFormat="1" ht="83.25" customHeight="1">
      <c r="A128" s="103"/>
      <c r="B128" s="108"/>
      <c r="C128" s="11"/>
      <c r="D128" s="11"/>
      <c r="E128" s="12"/>
      <c r="F128" s="214"/>
      <c r="G128" s="214"/>
      <c r="H128" s="13"/>
      <c r="I128" s="13"/>
      <c r="J128" s="13"/>
      <c r="K128" s="13"/>
      <c r="L128" s="14"/>
      <c r="M128" s="14"/>
      <c r="N128" s="109"/>
      <c r="O128" s="103"/>
      <c r="Q128" s="203"/>
      <c r="R128" s="203"/>
      <c r="S128" s="203"/>
      <c r="T128" s="203"/>
      <c r="U128" s="203"/>
      <c r="V128" s="203"/>
    </row>
    <row r="129" spans="1:16" ht="63.75" customHeight="1">
      <c r="A129" s="103"/>
      <c r="O129" s="103"/>
      <c r="P129" s="204"/>
    </row>
    <row r="130" spans="1:16" ht="63.75" customHeight="1">
      <c r="A130" s="103"/>
      <c r="O130" s="103"/>
      <c r="P130" s="204"/>
    </row>
    <row r="131" spans="1:16" ht="63.75" customHeight="1">
      <c r="A131" s="103"/>
      <c r="O131" s="103"/>
      <c r="P131" s="204"/>
    </row>
    <row r="132" spans="1:16" ht="63.75" customHeight="1">
      <c r="A132" s="103"/>
      <c r="O132" s="103"/>
      <c r="P132" s="204"/>
    </row>
    <row r="133" spans="1:16" ht="63.75" customHeight="1"/>
    <row r="134" spans="1:16" ht="63.75" customHeight="1"/>
    <row r="135" spans="1:16" ht="63.75" customHeight="1"/>
  </sheetData>
  <mergeCells count="81">
    <mergeCell ref="C2:G2"/>
    <mergeCell ref="H2:J2"/>
    <mergeCell ref="A23:A24"/>
    <mergeCell ref="A25:A26"/>
    <mergeCell ref="A31:A32"/>
    <mergeCell ref="F3:G3"/>
    <mergeCell ref="H3:O3"/>
    <mergeCell ref="B5:O5"/>
    <mergeCell ref="A35:A36"/>
    <mergeCell ref="B69:I69"/>
    <mergeCell ref="B70:I70"/>
    <mergeCell ref="B74:B75"/>
    <mergeCell ref="C74:C75"/>
    <mergeCell ref="E74:E75"/>
    <mergeCell ref="F74:F75"/>
    <mergeCell ref="G74:G75"/>
    <mergeCell ref="H74:H75"/>
    <mergeCell ref="A46:A47"/>
    <mergeCell ref="A48:A49"/>
    <mergeCell ref="A52:A53"/>
    <mergeCell ref="A54:A55"/>
    <mergeCell ref="H79:H80"/>
    <mergeCell ref="B82:B83"/>
    <mergeCell ref="C82:C83"/>
    <mergeCell ref="E82:E83"/>
    <mergeCell ref="F82:F83"/>
    <mergeCell ref="G82:G83"/>
    <mergeCell ref="H82:H83"/>
    <mergeCell ref="B79:B80"/>
    <mergeCell ref="C79:C80"/>
    <mergeCell ref="E79:E80"/>
    <mergeCell ref="F79:F80"/>
    <mergeCell ref="G79:G80"/>
    <mergeCell ref="H85:H86"/>
    <mergeCell ref="B88:B89"/>
    <mergeCell ref="C88:C89"/>
    <mergeCell ref="E88:E89"/>
    <mergeCell ref="F88:F89"/>
    <mergeCell ref="G88:G89"/>
    <mergeCell ref="H88:H89"/>
    <mergeCell ref="B85:B86"/>
    <mergeCell ref="C85:C86"/>
    <mergeCell ref="E85:E86"/>
    <mergeCell ref="F85:F86"/>
    <mergeCell ref="G85:G86"/>
    <mergeCell ref="G97:G98"/>
    <mergeCell ref="H91:H92"/>
    <mergeCell ref="B94:B95"/>
    <mergeCell ref="C94:C95"/>
    <mergeCell ref="E94:E95"/>
    <mergeCell ref="F94:F95"/>
    <mergeCell ref="G94:G95"/>
    <mergeCell ref="H94:H95"/>
    <mergeCell ref="B91:B92"/>
    <mergeCell ref="C91:C92"/>
    <mergeCell ref="E91:E92"/>
    <mergeCell ref="F91:F92"/>
    <mergeCell ref="G91:G92"/>
    <mergeCell ref="H97:H98"/>
    <mergeCell ref="I97:I98"/>
    <mergeCell ref="J97:J98"/>
    <mergeCell ref="L97:L98"/>
    <mergeCell ref="B100:B101"/>
    <mergeCell ref="C100:C101"/>
    <mergeCell ref="E100:E101"/>
    <mergeCell ref="F100:F101"/>
    <mergeCell ref="G100:G101"/>
    <mergeCell ref="H100:H101"/>
    <mergeCell ref="I100:I101"/>
    <mergeCell ref="J100:J101"/>
    <mergeCell ref="L100:L101"/>
    <mergeCell ref="B97:B98"/>
    <mergeCell ref="C97:C98"/>
    <mergeCell ref="E97:E98"/>
    <mergeCell ref="F97:F98"/>
    <mergeCell ref="Q121:S121"/>
    <mergeCell ref="Q116:S116"/>
    <mergeCell ref="Q117:R117"/>
    <mergeCell ref="Q118:S118"/>
    <mergeCell ref="Q119:S119"/>
    <mergeCell ref="Q120:S120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A907-0FB2-4B9C-B32F-8448BA71AD20}">
  <sheetPr codeName="Foglio9"/>
  <dimension ref="B1:I45"/>
  <sheetViews>
    <sheetView topLeftCell="A31" workbookViewId="0">
      <selection activeCell="B38" sqref="B38:E45"/>
    </sheetView>
  </sheetViews>
  <sheetFormatPr defaultRowHeight="14.4"/>
  <cols>
    <col min="2" max="2" width="38.5546875" customWidth="1"/>
    <col min="3" max="3" width="24.33203125" bestFit="1" customWidth="1"/>
    <col min="4" max="4" width="19" customWidth="1"/>
    <col min="5" max="5" width="32.33203125" bestFit="1" customWidth="1"/>
    <col min="6" max="6" width="11.33203125" bestFit="1" customWidth="1"/>
    <col min="7" max="7" width="23" bestFit="1" customWidth="1"/>
  </cols>
  <sheetData>
    <row r="1" spans="2:9" ht="15" thickBot="1"/>
    <row r="2" spans="2:9" ht="21.6" thickBot="1">
      <c r="B2" s="25" t="s">
        <v>4607</v>
      </c>
      <c r="F2" s="649" t="s">
        <v>4608</v>
      </c>
      <c r="G2" s="650"/>
      <c r="H2" s="650"/>
      <c r="I2" s="651"/>
    </row>
    <row r="3" spans="2:9" ht="42">
      <c r="B3" s="3" t="s">
        <v>4132</v>
      </c>
      <c r="C3" s="20" t="s">
        <v>4609</v>
      </c>
      <c r="D3" s="20" t="s">
        <v>4610</v>
      </c>
      <c r="E3" s="21" t="s">
        <v>4611</v>
      </c>
      <c r="F3" s="22" t="s">
        <v>4612</v>
      </c>
      <c r="G3" s="22" t="s">
        <v>4613</v>
      </c>
      <c r="H3" s="22" t="s">
        <v>4614</v>
      </c>
      <c r="I3" s="22" t="s">
        <v>4615</v>
      </c>
    </row>
    <row r="4" spans="2:9" ht="15">
      <c r="B4" s="26" t="s">
        <v>4616</v>
      </c>
      <c r="C4" s="27" t="s">
        <v>4607</v>
      </c>
      <c r="D4" s="29">
        <v>780</v>
      </c>
      <c r="E4" s="23">
        <v>26</v>
      </c>
      <c r="F4" s="30">
        <v>149.99</v>
      </c>
      <c r="G4" s="30">
        <v>18.989999999999998</v>
      </c>
      <c r="H4" s="30">
        <v>60.31</v>
      </c>
      <c r="I4" s="40">
        <v>7.7320512820512902E-2</v>
      </c>
    </row>
    <row r="5" spans="2:9" ht="15">
      <c r="B5" s="26" t="s">
        <v>4617</v>
      </c>
      <c r="C5" s="27" t="s">
        <v>4607</v>
      </c>
      <c r="D5" s="29">
        <v>675</v>
      </c>
      <c r="E5" s="23">
        <v>22.5</v>
      </c>
      <c r="F5" s="30">
        <v>99.99</v>
      </c>
      <c r="G5" s="30">
        <v>15.99</v>
      </c>
      <c r="H5" s="30">
        <v>95.31</v>
      </c>
      <c r="I5" s="40">
        <v>0.14120000000000008</v>
      </c>
    </row>
    <row r="6" spans="2:9" ht="15">
      <c r="B6" s="26" t="s">
        <v>4618</v>
      </c>
      <c r="C6" s="27" t="s">
        <v>4607</v>
      </c>
      <c r="D6" s="29">
        <v>555</v>
      </c>
      <c r="E6" s="23">
        <v>18.5</v>
      </c>
      <c r="F6" s="30">
        <v>49.99</v>
      </c>
      <c r="G6" s="30">
        <v>14.99</v>
      </c>
      <c r="H6" s="30">
        <v>55.31</v>
      </c>
      <c r="I6" s="40">
        <v>9.9657657657657661E-2</v>
      </c>
    </row>
    <row r="7" spans="2:9" ht="15">
      <c r="B7" s="26" t="s">
        <v>4619</v>
      </c>
      <c r="C7" s="27" t="s">
        <v>4607</v>
      </c>
      <c r="D7" s="29">
        <v>495</v>
      </c>
      <c r="E7" s="23">
        <v>16.5</v>
      </c>
      <c r="F7" s="30">
        <v>49.99</v>
      </c>
      <c r="G7" s="30">
        <v>12.99</v>
      </c>
      <c r="H7" s="30">
        <v>40.31</v>
      </c>
      <c r="I7" s="40">
        <v>0.112</v>
      </c>
    </row>
    <row r="8" spans="2:9" ht="15">
      <c r="B8" s="26" t="s">
        <v>4620</v>
      </c>
      <c r="C8" s="27" t="s">
        <v>4607</v>
      </c>
      <c r="D8" s="29">
        <v>390</v>
      </c>
      <c r="E8" s="23">
        <v>13</v>
      </c>
      <c r="F8" s="30">
        <v>49.99</v>
      </c>
      <c r="G8" s="30">
        <v>9.99</v>
      </c>
      <c r="H8" s="30">
        <v>55.31</v>
      </c>
      <c r="I8" s="40">
        <v>0.10299999999999999</v>
      </c>
    </row>
    <row r="9" spans="2:9" ht="15">
      <c r="B9" s="26" t="s">
        <v>4621</v>
      </c>
      <c r="C9" s="27" t="s">
        <v>4607</v>
      </c>
      <c r="D9" s="29">
        <v>135</v>
      </c>
      <c r="E9" s="23">
        <v>4.5</v>
      </c>
      <c r="F9" s="30">
        <v>49.99</v>
      </c>
      <c r="G9" s="30">
        <v>0.99</v>
      </c>
      <c r="H9" s="30">
        <v>55.31</v>
      </c>
      <c r="I9" s="40">
        <v>0.41</v>
      </c>
    </row>
    <row r="11" spans="2:9" ht="18">
      <c r="B11" s="24" t="s">
        <v>4622</v>
      </c>
      <c r="F11" s="41"/>
      <c r="G11" s="41"/>
      <c r="H11" s="41"/>
      <c r="I11" s="41"/>
    </row>
    <row r="12" spans="2:9" ht="42">
      <c r="B12" s="3" t="s">
        <v>4132</v>
      </c>
      <c r="C12" s="20" t="s">
        <v>4609</v>
      </c>
      <c r="D12" s="22" t="s">
        <v>4612</v>
      </c>
      <c r="E12" s="22" t="s">
        <v>4613</v>
      </c>
      <c r="F12" s="42" t="s">
        <v>4614</v>
      </c>
      <c r="G12" s="43"/>
    </row>
    <row r="13" spans="2:9" ht="15">
      <c r="B13" s="26" t="s">
        <v>4616</v>
      </c>
      <c r="C13" s="27" t="s">
        <v>4623</v>
      </c>
      <c r="D13" s="28">
        <v>149.99</v>
      </c>
      <c r="E13" s="28">
        <v>18.989999999999998</v>
      </c>
      <c r="F13" s="28">
        <v>60.31</v>
      </c>
      <c r="G13" s="40"/>
    </row>
    <row r="14" spans="2:9" ht="15">
      <c r="B14" s="26" t="s">
        <v>4617</v>
      </c>
      <c r="C14" s="27" t="s">
        <v>4623</v>
      </c>
      <c r="D14" s="28">
        <v>99.99</v>
      </c>
      <c r="E14" s="28">
        <v>15.99</v>
      </c>
      <c r="F14" s="28">
        <v>95.31</v>
      </c>
      <c r="G14" s="40"/>
    </row>
    <row r="15" spans="2:9" ht="15">
      <c r="B15" s="26" t="s">
        <v>4618</v>
      </c>
      <c r="C15" s="27" t="s">
        <v>4623</v>
      </c>
      <c r="D15" s="28">
        <v>49.99</v>
      </c>
      <c r="E15" s="28">
        <v>14.99</v>
      </c>
      <c r="F15" s="28">
        <v>55.31</v>
      </c>
      <c r="G15" s="40"/>
    </row>
    <row r="16" spans="2:9" ht="15">
      <c r="B16" s="26" t="s">
        <v>4619</v>
      </c>
      <c r="C16" s="27" t="s">
        <v>4623</v>
      </c>
      <c r="D16" s="28">
        <v>49.99</v>
      </c>
      <c r="E16" s="28">
        <v>12.99</v>
      </c>
      <c r="F16" s="28">
        <v>40.31</v>
      </c>
      <c r="G16" s="40"/>
    </row>
    <row r="17" spans="2:7" ht="15">
      <c r="B17" s="26" t="s">
        <v>4620</v>
      </c>
      <c r="C17" s="27" t="s">
        <v>4623</v>
      </c>
      <c r="D17" s="28">
        <v>49.99</v>
      </c>
      <c r="E17" s="28">
        <v>9.99</v>
      </c>
      <c r="F17" s="28">
        <v>55.31</v>
      </c>
      <c r="G17" s="40"/>
    </row>
    <row r="18" spans="2:7" ht="15">
      <c r="B18" s="26" t="s">
        <v>4621</v>
      </c>
      <c r="C18" s="27" t="s">
        <v>4623</v>
      </c>
      <c r="D18" s="28">
        <v>50</v>
      </c>
      <c r="E18" s="28">
        <v>0.99</v>
      </c>
      <c r="F18" s="28">
        <v>55</v>
      </c>
      <c r="G18" s="40"/>
    </row>
    <row r="21" spans="2:7" ht="18">
      <c r="B21" s="24" t="s">
        <v>4624</v>
      </c>
    </row>
    <row r="22" spans="2:7" ht="42.6" thickBot="1">
      <c r="B22" s="31" t="s">
        <v>4132</v>
      </c>
      <c r="C22" s="32" t="s">
        <v>4609</v>
      </c>
      <c r="D22" s="33" t="s">
        <v>4612</v>
      </c>
      <c r="E22" s="33" t="s">
        <v>4613</v>
      </c>
      <c r="F22" s="33" t="s">
        <v>4614</v>
      </c>
    </row>
    <row r="23" spans="2:7" ht="34.799999999999997" customHeight="1">
      <c r="B23" s="34" t="s">
        <v>4616</v>
      </c>
      <c r="C23" s="35" t="s">
        <v>4625</v>
      </c>
      <c r="D23" s="652">
        <v>0</v>
      </c>
      <c r="E23" s="38">
        <v>26</v>
      </c>
      <c r="F23" s="38">
        <v>0</v>
      </c>
    </row>
    <row r="24" spans="2:7" ht="15" thickBot="1">
      <c r="B24" s="36"/>
      <c r="C24" s="37" t="s">
        <v>4626</v>
      </c>
      <c r="D24" s="653"/>
      <c r="E24" s="38">
        <v>25</v>
      </c>
      <c r="F24" s="38">
        <v>30</v>
      </c>
    </row>
    <row r="25" spans="2:7" ht="15">
      <c r="B25" s="34" t="s">
        <v>4617</v>
      </c>
      <c r="C25" s="35" t="s">
        <v>4625</v>
      </c>
      <c r="D25" s="647">
        <v>0</v>
      </c>
      <c r="E25" s="39">
        <v>22.5</v>
      </c>
      <c r="F25" s="39">
        <v>0</v>
      </c>
    </row>
    <row r="26" spans="2:7" ht="15" thickBot="1">
      <c r="B26" s="36"/>
      <c r="C26" s="37" t="s">
        <v>4626</v>
      </c>
      <c r="D26" s="648"/>
      <c r="E26" s="39">
        <v>20</v>
      </c>
      <c r="F26" s="39">
        <v>75</v>
      </c>
    </row>
    <row r="27" spans="2:7" ht="15">
      <c r="B27" s="34" t="s">
        <v>4618</v>
      </c>
      <c r="C27" s="35" t="s">
        <v>4625</v>
      </c>
      <c r="D27" s="647">
        <v>0</v>
      </c>
      <c r="E27" s="39">
        <v>18.5</v>
      </c>
      <c r="F27" s="39">
        <v>0</v>
      </c>
    </row>
    <row r="28" spans="2:7" ht="15" thickBot="1">
      <c r="B28" s="36"/>
      <c r="C28" s="37" t="s">
        <v>4626</v>
      </c>
      <c r="D28" s="648"/>
      <c r="E28" s="39">
        <v>17</v>
      </c>
      <c r="F28" s="39">
        <v>45</v>
      </c>
    </row>
    <row r="29" spans="2:7" ht="15">
      <c r="B29" s="34" t="s">
        <v>4619</v>
      </c>
      <c r="C29" s="35" t="s">
        <v>4625</v>
      </c>
      <c r="D29" s="647">
        <v>0</v>
      </c>
      <c r="E29" s="39">
        <v>16.5</v>
      </c>
      <c r="F29" s="39">
        <v>0</v>
      </c>
    </row>
    <row r="30" spans="2:7" ht="15" thickBot="1">
      <c r="B30" s="36"/>
      <c r="C30" s="37" t="s">
        <v>4626</v>
      </c>
      <c r="D30" s="648"/>
      <c r="E30" s="39">
        <v>15</v>
      </c>
      <c r="F30" s="39">
        <v>45</v>
      </c>
    </row>
    <row r="31" spans="2:7" ht="15">
      <c r="B31" s="34" t="s">
        <v>4620</v>
      </c>
      <c r="C31" s="35" t="s">
        <v>4625</v>
      </c>
      <c r="D31" s="647">
        <v>0</v>
      </c>
      <c r="E31" s="39">
        <v>13</v>
      </c>
      <c r="F31" s="39">
        <v>0</v>
      </c>
    </row>
    <row r="32" spans="2:7" ht="15" thickBot="1">
      <c r="B32" s="36"/>
      <c r="C32" s="37" t="s">
        <v>4626</v>
      </c>
      <c r="D32" s="648"/>
      <c r="E32" s="39">
        <v>12</v>
      </c>
      <c r="F32" s="39">
        <v>30</v>
      </c>
    </row>
    <row r="33" spans="2:6" ht="15">
      <c r="B33" s="34" t="s">
        <v>4621</v>
      </c>
      <c r="C33" s="35" t="s">
        <v>4625</v>
      </c>
      <c r="D33" s="647">
        <v>0</v>
      </c>
      <c r="E33" s="39">
        <v>4</v>
      </c>
      <c r="F33" s="39">
        <v>15</v>
      </c>
    </row>
    <row r="34" spans="2:6" ht="15" thickBot="1">
      <c r="B34" s="36"/>
      <c r="C34" s="37" t="s">
        <v>4626</v>
      </c>
      <c r="D34" s="648"/>
      <c r="E34" s="39">
        <v>4</v>
      </c>
      <c r="F34" s="39">
        <v>15</v>
      </c>
    </row>
    <row r="38" spans="2:6" ht="21">
      <c r="B38" s="25" t="s">
        <v>4627</v>
      </c>
    </row>
    <row r="39" spans="2:6" ht="42">
      <c r="B39" s="3" t="s">
        <v>4132</v>
      </c>
      <c r="C39" s="20" t="s">
        <v>4609</v>
      </c>
      <c r="D39" s="20" t="s">
        <v>4610</v>
      </c>
      <c r="E39" s="21" t="s">
        <v>4611</v>
      </c>
    </row>
    <row r="40" spans="2:6" ht="15">
      <c r="B40" s="26" t="s">
        <v>4616</v>
      </c>
      <c r="C40" s="27" t="s">
        <v>4627</v>
      </c>
      <c r="D40" s="29">
        <v>780</v>
      </c>
      <c r="E40" s="23">
        <v>26</v>
      </c>
    </row>
    <row r="41" spans="2:6" ht="15">
      <c r="B41" s="26" t="s">
        <v>4617</v>
      </c>
      <c r="C41" s="27" t="s">
        <v>4627</v>
      </c>
      <c r="D41" s="29">
        <v>675</v>
      </c>
      <c r="E41" s="23">
        <v>22.5</v>
      </c>
    </row>
    <row r="42" spans="2:6" ht="15">
      <c r="B42" s="26" t="s">
        <v>4618</v>
      </c>
      <c r="C42" s="27" t="s">
        <v>4627</v>
      </c>
      <c r="D42" s="29">
        <v>555</v>
      </c>
      <c r="E42" s="23">
        <v>18.5</v>
      </c>
    </row>
    <row r="43" spans="2:6" ht="15">
      <c r="B43" s="26" t="s">
        <v>4619</v>
      </c>
      <c r="C43" s="27" t="s">
        <v>4627</v>
      </c>
      <c r="D43" s="29">
        <v>495</v>
      </c>
      <c r="E43" s="23">
        <v>16.5</v>
      </c>
    </row>
    <row r="44" spans="2:6" ht="15">
      <c r="B44" s="26" t="s">
        <v>4620</v>
      </c>
      <c r="C44" s="27" t="s">
        <v>4627</v>
      </c>
      <c r="D44" s="29">
        <v>390</v>
      </c>
      <c r="E44" s="23">
        <v>13</v>
      </c>
    </row>
    <row r="45" spans="2:6" ht="15">
      <c r="B45" s="26" t="s">
        <v>4621</v>
      </c>
      <c r="C45" s="27" t="s">
        <v>4627</v>
      </c>
      <c r="D45" s="29">
        <v>135</v>
      </c>
      <c r="E45" s="23">
        <v>4.5</v>
      </c>
    </row>
  </sheetData>
  <mergeCells count="7">
    <mergeCell ref="D33:D34"/>
    <mergeCell ref="D27:D28"/>
    <mergeCell ref="D29:D30"/>
    <mergeCell ref="D31:D32"/>
    <mergeCell ref="F2:I2"/>
    <mergeCell ref="D23:D24"/>
    <mergeCell ref="D25:D2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EC87-28B6-462E-B69A-22511C39FEF0}">
  <dimension ref="A1:P43"/>
  <sheetViews>
    <sheetView topLeftCell="A24" zoomScale="85" zoomScaleNormal="85" workbookViewId="0">
      <selection activeCell="F35" sqref="F35"/>
    </sheetView>
  </sheetViews>
  <sheetFormatPr defaultColWidth="8.6640625" defaultRowHeight="14.4"/>
  <cols>
    <col min="1" max="1" width="13.5546875" style="303" bestFit="1" customWidth="1"/>
    <col min="2" max="2" width="28.44140625" customWidth="1"/>
    <col min="3" max="3" width="24.33203125" customWidth="1"/>
    <col min="4" max="4" width="15.33203125" customWidth="1"/>
    <col min="5" max="5" width="9.5546875" customWidth="1"/>
    <col min="6" max="6" width="11.33203125" customWidth="1"/>
    <col min="7" max="7" width="7.33203125" bestFit="1" customWidth="1"/>
    <col min="8" max="8" width="9.5546875" bestFit="1" customWidth="1"/>
    <col min="9" max="9" width="10" bestFit="1" customWidth="1"/>
    <col min="10" max="10" width="11.33203125" customWidth="1"/>
    <col min="11" max="11" width="9.5546875" customWidth="1"/>
    <col min="12" max="12" width="24.5546875" customWidth="1"/>
    <col min="13" max="13" width="25" customWidth="1"/>
    <col min="14" max="14" width="18.6640625" style="215" bestFit="1" customWidth="1"/>
    <col min="15" max="15" width="18.5546875" bestFit="1" customWidth="1"/>
    <col min="16" max="16" width="3" style="78" customWidth="1"/>
    <col min="17" max="17" width="18.33203125" style="78" customWidth="1"/>
    <col min="18" max="16384" width="8.6640625" style="78"/>
  </cols>
  <sheetData>
    <row r="1" spans="1:16" ht="9.75" customHeight="1"/>
    <row r="2" spans="1:16" ht="15" thickBot="1">
      <c r="A2" s="304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216"/>
      <c r="O2" s="198"/>
      <c r="P2" s="310"/>
    </row>
    <row r="3" spans="1:16" ht="26.4" thickBot="1">
      <c r="A3" s="273"/>
      <c r="F3" s="658" t="s">
        <v>4458</v>
      </c>
      <c r="G3" s="659"/>
      <c r="H3" s="660" t="s">
        <v>4459</v>
      </c>
      <c r="I3" s="660"/>
      <c r="J3" s="660"/>
      <c r="K3" s="660"/>
      <c r="L3" s="660"/>
      <c r="M3" s="660"/>
      <c r="N3" s="660"/>
      <c r="O3" s="661"/>
      <c r="P3" s="269"/>
    </row>
    <row r="4" spans="1:16" ht="97.2" thickBot="1">
      <c r="A4" s="273"/>
      <c r="B4" s="45" t="s">
        <v>4132</v>
      </c>
      <c r="C4" s="46" t="s">
        <v>4460</v>
      </c>
      <c r="D4" s="47" t="s">
        <v>4133</v>
      </c>
      <c r="E4" s="48" t="s">
        <v>4461</v>
      </c>
      <c r="F4" s="48" t="s">
        <v>4462</v>
      </c>
      <c r="G4" s="49" t="s">
        <v>4463</v>
      </c>
      <c r="H4" s="50" t="s">
        <v>4464</v>
      </c>
      <c r="I4" s="48" t="s">
        <v>4628</v>
      </c>
      <c r="J4" s="48" t="s">
        <v>4629</v>
      </c>
      <c r="K4" s="48" t="s">
        <v>4630</v>
      </c>
      <c r="L4" s="100" t="s">
        <v>4465</v>
      </c>
      <c r="M4" s="101" t="s">
        <v>4466</v>
      </c>
      <c r="N4" s="217" t="s">
        <v>4467</v>
      </c>
      <c r="O4" s="102" t="s">
        <v>4468</v>
      </c>
      <c r="P4" s="269"/>
    </row>
    <row r="5" spans="1:16" ht="16.8" customHeight="1" thickBot="1">
      <c r="A5" s="273"/>
      <c r="B5" s="646" t="s">
        <v>4469</v>
      </c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3"/>
      <c r="P5" s="269"/>
    </row>
    <row r="6" spans="1:16" ht="41.4">
      <c r="A6" s="273"/>
      <c r="B6" s="118" t="s">
        <v>4489</v>
      </c>
      <c r="C6" s="116" t="s">
        <v>4490</v>
      </c>
      <c r="D6" s="116" t="s">
        <v>4491</v>
      </c>
      <c r="E6" s="188">
        <v>480</v>
      </c>
      <c r="F6" s="188">
        <f t="shared" ref="F6:F36" si="0">E6/24</f>
        <v>20</v>
      </c>
      <c r="G6" s="189" t="s">
        <v>4473</v>
      </c>
      <c r="H6" s="188">
        <v>0</v>
      </c>
      <c r="I6" s="188">
        <v>0</v>
      </c>
      <c r="J6" s="188">
        <f t="shared" ref="J6:J7" si="1">E6-H6-I6*24</f>
        <v>480</v>
      </c>
      <c r="K6" s="190">
        <f t="shared" ref="K6:K36" si="2">J6/E6</f>
        <v>1</v>
      </c>
      <c r="L6" s="116" t="s">
        <v>4474</v>
      </c>
      <c r="M6" s="116" t="s">
        <v>4631</v>
      </c>
      <c r="N6" s="218" t="s">
        <v>4632</v>
      </c>
      <c r="O6" s="191" t="s">
        <v>4633</v>
      </c>
      <c r="P6" s="269"/>
    </row>
    <row r="7" spans="1:16" ht="41.4">
      <c r="A7" s="273"/>
      <c r="B7" s="118" t="s">
        <v>4470</v>
      </c>
      <c r="C7" s="116" t="s">
        <v>4471</v>
      </c>
      <c r="D7" s="116" t="s">
        <v>4472</v>
      </c>
      <c r="E7" s="195">
        <v>240</v>
      </c>
      <c r="F7" s="195">
        <f t="shared" si="0"/>
        <v>10</v>
      </c>
      <c r="G7" s="189" t="s">
        <v>4473</v>
      </c>
      <c r="H7" s="195">
        <v>0</v>
      </c>
      <c r="I7" s="195">
        <v>0</v>
      </c>
      <c r="J7" s="195">
        <f t="shared" si="1"/>
        <v>240</v>
      </c>
      <c r="K7" s="196">
        <f t="shared" si="2"/>
        <v>1</v>
      </c>
      <c r="L7" s="116" t="s">
        <v>4474</v>
      </c>
      <c r="M7" s="116" t="s">
        <v>4634</v>
      </c>
      <c r="N7" s="218" t="s">
        <v>4635</v>
      </c>
      <c r="O7" s="191" t="s">
        <v>4633</v>
      </c>
      <c r="P7" s="269"/>
    </row>
    <row r="8" spans="1:16" ht="28.35" customHeight="1">
      <c r="A8" s="273"/>
      <c r="B8" s="118" t="s">
        <v>4481</v>
      </c>
      <c r="C8" s="116" t="s">
        <v>4482</v>
      </c>
      <c r="D8" s="116" t="s">
        <v>4483</v>
      </c>
      <c r="E8" s="195">
        <v>96</v>
      </c>
      <c r="F8" s="195">
        <v>4</v>
      </c>
      <c r="G8" s="189" t="s">
        <v>4484</v>
      </c>
      <c r="H8" s="195">
        <v>0</v>
      </c>
      <c r="I8" s="195">
        <v>0</v>
      </c>
      <c r="J8" s="195">
        <f t="shared" ref="J8:J36" si="3">E8-H8-I8*24</f>
        <v>96</v>
      </c>
      <c r="K8" s="196"/>
      <c r="L8" s="116" t="s">
        <v>4474</v>
      </c>
      <c r="M8" s="116" t="s">
        <v>4636</v>
      </c>
      <c r="N8" s="218" t="s">
        <v>4637</v>
      </c>
      <c r="O8" s="191" t="s">
        <v>4633</v>
      </c>
      <c r="P8" s="269"/>
    </row>
    <row r="9" spans="1:16" ht="41.4">
      <c r="A9" s="273"/>
      <c r="B9" s="118" t="s">
        <v>4494</v>
      </c>
      <c r="C9" s="116" t="s">
        <v>4638</v>
      </c>
      <c r="D9" s="116" t="s">
        <v>4496</v>
      </c>
      <c r="E9" s="195">
        <v>240</v>
      </c>
      <c r="F9" s="195">
        <f t="shared" si="0"/>
        <v>10</v>
      </c>
      <c r="G9" s="189" t="s">
        <v>4473</v>
      </c>
      <c r="H9" s="195">
        <v>0</v>
      </c>
      <c r="I9" s="195">
        <v>0</v>
      </c>
      <c r="J9" s="195">
        <f t="shared" si="3"/>
        <v>240</v>
      </c>
      <c r="K9" s="196">
        <f t="shared" si="2"/>
        <v>1</v>
      </c>
      <c r="L9" s="116" t="s">
        <v>4474</v>
      </c>
      <c r="M9" s="116" t="s">
        <v>4639</v>
      </c>
      <c r="N9" s="218" t="s">
        <v>4640</v>
      </c>
      <c r="O9" s="191" t="s">
        <v>4633</v>
      </c>
      <c r="P9" s="269"/>
    </row>
    <row r="10" spans="1:16" ht="41.4">
      <c r="A10" s="273"/>
      <c r="B10" s="118" t="s">
        <v>4499</v>
      </c>
      <c r="C10" s="116" t="s">
        <v>4500</v>
      </c>
      <c r="D10" s="116" t="s">
        <v>4501</v>
      </c>
      <c r="E10" s="195">
        <v>96</v>
      </c>
      <c r="F10" s="195">
        <f t="shared" si="0"/>
        <v>4</v>
      </c>
      <c r="G10" s="189" t="s">
        <v>4473</v>
      </c>
      <c r="H10" s="195">
        <v>0</v>
      </c>
      <c r="I10" s="195">
        <v>0</v>
      </c>
      <c r="J10" s="195">
        <f t="shared" si="3"/>
        <v>96</v>
      </c>
      <c r="K10" s="196">
        <f t="shared" si="2"/>
        <v>1</v>
      </c>
      <c r="L10" s="116" t="s">
        <v>4474</v>
      </c>
      <c r="M10" s="116" t="s">
        <v>4641</v>
      </c>
      <c r="N10" s="218" t="s">
        <v>4642</v>
      </c>
      <c r="O10" s="191" t="s">
        <v>4633</v>
      </c>
      <c r="P10" s="269"/>
    </row>
    <row r="11" spans="1:16" ht="27.6">
      <c r="A11" s="305"/>
      <c r="B11" s="140" t="s">
        <v>4586</v>
      </c>
      <c r="C11" s="141" t="s">
        <v>4587</v>
      </c>
      <c r="D11" s="142" t="s">
        <v>4588</v>
      </c>
      <c r="E11" s="134">
        <v>24</v>
      </c>
      <c r="F11" s="134">
        <f t="shared" si="0"/>
        <v>1</v>
      </c>
      <c r="G11" s="189" t="s">
        <v>4551</v>
      </c>
      <c r="H11" s="195">
        <v>0</v>
      </c>
      <c r="I11" s="195">
        <v>1</v>
      </c>
      <c r="J11" s="195">
        <f t="shared" si="3"/>
        <v>0</v>
      </c>
      <c r="K11" s="196">
        <f t="shared" si="2"/>
        <v>0</v>
      </c>
      <c r="L11" s="135" t="s">
        <v>4474</v>
      </c>
      <c r="M11" s="136" t="s">
        <v>4142</v>
      </c>
      <c r="N11" s="222" t="s">
        <v>4142</v>
      </c>
      <c r="O11" s="191" t="s">
        <v>4633</v>
      </c>
      <c r="P11" s="269"/>
    </row>
    <row r="12" spans="1:16" ht="27.6">
      <c r="A12" s="305"/>
      <c r="B12" s="118" t="s">
        <v>4589</v>
      </c>
      <c r="C12" s="117" t="s">
        <v>4590</v>
      </c>
      <c r="D12" s="116" t="s">
        <v>4591</v>
      </c>
      <c r="E12" s="132">
        <v>36</v>
      </c>
      <c r="F12" s="132">
        <f t="shared" si="0"/>
        <v>1.5</v>
      </c>
      <c r="G12" s="189" t="s">
        <v>4551</v>
      </c>
      <c r="H12" s="195">
        <v>0</v>
      </c>
      <c r="I12" s="195">
        <v>1.5</v>
      </c>
      <c r="J12" s="195">
        <f t="shared" si="3"/>
        <v>0</v>
      </c>
      <c r="K12" s="196">
        <f t="shared" si="2"/>
        <v>0</v>
      </c>
      <c r="L12" s="133" t="s">
        <v>4474</v>
      </c>
      <c r="M12" s="137" t="s">
        <v>4142</v>
      </c>
      <c r="N12" s="223" t="s">
        <v>4142</v>
      </c>
      <c r="O12" s="191" t="s">
        <v>4633</v>
      </c>
      <c r="P12" s="269"/>
    </row>
    <row r="13" spans="1:16" ht="27.6">
      <c r="A13" s="224"/>
      <c r="B13" s="118" t="s">
        <v>4508</v>
      </c>
      <c r="C13" s="116" t="s">
        <v>4505</v>
      </c>
      <c r="D13" s="116" t="s">
        <v>4506</v>
      </c>
      <c r="E13" s="195">
        <v>72</v>
      </c>
      <c r="F13" s="195">
        <f t="shared" si="0"/>
        <v>3</v>
      </c>
      <c r="G13" s="189" t="s">
        <v>4473</v>
      </c>
      <c r="H13" s="195">
        <v>0</v>
      </c>
      <c r="I13" s="195">
        <v>3</v>
      </c>
      <c r="J13" s="195">
        <f t="shared" si="3"/>
        <v>0</v>
      </c>
      <c r="K13" s="196">
        <f t="shared" si="2"/>
        <v>0</v>
      </c>
      <c r="L13" s="116" t="s">
        <v>4474</v>
      </c>
      <c r="M13" s="116" t="s">
        <v>4142</v>
      </c>
      <c r="N13" s="218" t="s">
        <v>4142</v>
      </c>
      <c r="O13" s="191" t="s">
        <v>4643</v>
      </c>
      <c r="P13" s="269"/>
    </row>
    <row r="14" spans="1:16" ht="41.4">
      <c r="A14" s="224"/>
      <c r="B14" s="118" t="s">
        <v>4508</v>
      </c>
      <c r="C14" s="116" t="s">
        <v>4505</v>
      </c>
      <c r="D14" s="116" t="s">
        <v>4506</v>
      </c>
      <c r="E14" s="195">
        <v>72</v>
      </c>
      <c r="F14" s="195">
        <f t="shared" si="0"/>
        <v>3</v>
      </c>
      <c r="G14" s="189" t="s">
        <v>4473</v>
      </c>
      <c r="H14" s="195">
        <v>0</v>
      </c>
      <c r="I14" s="195">
        <v>0</v>
      </c>
      <c r="J14" s="195">
        <f t="shared" si="3"/>
        <v>72</v>
      </c>
      <c r="K14" s="196">
        <f t="shared" si="2"/>
        <v>1</v>
      </c>
      <c r="L14" s="116" t="s">
        <v>4474</v>
      </c>
      <c r="M14" s="116" t="s">
        <v>4644</v>
      </c>
      <c r="N14" s="218" t="s">
        <v>4645</v>
      </c>
      <c r="O14" s="191" t="s">
        <v>4643</v>
      </c>
      <c r="P14" s="269"/>
    </row>
    <row r="15" spans="1:16" ht="27.6">
      <c r="A15" s="224"/>
      <c r="B15" s="118" t="s">
        <v>4510</v>
      </c>
      <c r="C15" s="116" t="s">
        <v>4511</v>
      </c>
      <c r="D15" s="116" t="s">
        <v>4512</v>
      </c>
      <c r="E15" s="195">
        <v>72</v>
      </c>
      <c r="F15" s="195">
        <f t="shared" si="0"/>
        <v>3</v>
      </c>
      <c r="G15" s="189" t="s">
        <v>4473</v>
      </c>
      <c r="H15" s="195">
        <v>0</v>
      </c>
      <c r="I15" s="195">
        <v>3</v>
      </c>
      <c r="J15" s="195">
        <f t="shared" si="3"/>
        <v>0</v>
      </c>
      <c r="K15" s="196">
        <f t="shared" si="2"/>
        <v>0</v>
      </c>
      <c r="L15" s="116" t="s">
        <v>4474</v>
      </c>
      <c r="M15" s="116" t="s">
        <v>4142</v>
      </c>
      <c r="N15" s="218" t="s">
        <v>4142</v>
      </c>
      <c r="O15" s="191" t="s">
        <v>4643</v>
      </c>
      <c r="P15" s="269"/>
    </row>
    <row r="16" spans="1:16" ht="41.4">
      <c r="A16" s="224"/>
      <c r="B16" s="118" t="s">
        <v>4510</v>
      </c>
      <c r="C16" s="116" t="s">
        <v>4511</v>
      </c>
      <c r="D16" s="116" t="s">
        <v>4512</v>
      </c>
      <c r="E16" s="195">
        <v>72</v>
      </c>
      <c r="F16" s="195">
        <f t="shared" si="0"/>
        <v>3</v>
      </c>
      <c r="G16" s="189" t="s">
        <v>4473</v>
      </c>
      <c r="H16" s="195">
        <v>0</v>
      </c>
      <c r="I16" s="195">
        <v>0</v>
      </c>
      <c r="J16" s="195">
        <f t="shared" si="3"/>
        <v>72</v>
      </c>
      <c r="K16" s="196">
        <f t="shared" si="2"/>
        <v>1</v>
      </c>
      <c r="L16" s="116" t="s">
        <v>4474</v>
      </c>
      <c r="M16" s="116" t="s">
        <v>4646</v>
      </c>
      <c r="N16" s="218" t="s">
        <v>4647</v>
      </c>
      <c r="O16" s="191" t="s">
        <v>4643</v>
      </c>
      <c r="P16" s="269"/>
    </row>
    <row r="17" spans="1:16" ht="41.4">
      <c r="A17" s="273"/>
      <c r="B17" s="118" t="s">
        <v>4515</v>
      </c>
      <c r="C17" s="116" t="s">
        <v>4516</v>
      </c>
      <c r="D17" s="116" t="s">
        <v>4517</v>
      </c>
      <c r="E17" s="188">
        <v>84</v>
      </c>
      <c r="F17" s="188">
        <f t="shared" si="0"/>
        <v>3.5</v>
      </c>
      <c r="G17" s="189" t="s">
        <v>4518</v>
      </c>
      <c r="H17" s="188">
        <v>0</v>
      </c>
      <c r="I17" s="188">
        <v>1</v>
      </c>
      <c r="J17" s="188">
        <f t="shared" si="3"/>
        <v>60</v>
      </c>
      <c r="K17" s="190">
        <f t="shared" si="2"/>
        <v>0.7142857142857143</v>
      </c>
      <c r="L17" s="116" t="s">
        <v>4474</v>
      </c>
      <c r="M17" s="116" t="s">
        <v>4648</v>
      </c>
      <c r="N17" s="218" t="s">
        <v>4649</v>
      </c>
      <c r="O17" s="191" t="s">
        <v>4643</v>
      </c>
      <c r="P17" s="269"/>
    </row>
    <row r="18" spans="1:16" ht="27.6">
      <c r="A18" s="273"/>
      <c r="B18" s="118" t="s">
        <v>4520</v>
      </c>
      <c r="C18" s="116" t="s">
        <v>4521</v>
      </c>
      <c r="D18" s="116" t="s">
        <v>4522</v>
      </c>
      <c r="E18" s="188">
        <v>36</v>
      </c>
      <c r="F18" s="188">
        <f t="shared" si="0"/>
        <v>1.5</v>
      </c>
      <c r="G18" s="189" t="s">
        <v>4473</v>
      </c>
      <c r="H18" s="188">
        <v>0</v>
      </c>
      <c r="I18" s="188">
        <v>1.5</v>
      </c>
      <c r="J18" s="188">
        <f t="shared" si="3"/>
        <v>0</v>
      </c>
      <c r="K18" s="190">
        <f t="shared" si="2"/>
        <v>0</v>
      </c>
      <c r="L18" s="116" t="s">
        <v>4474</v>
      </c>
      <c r="M18" s="116" t="s">
        <v>4142</v>
      </c>
      <c r="N18" s="218" t="s">
        <v>4142</v>
      </c>
      <c r="O18" s="191" t="s">
        <v>4643</v>
      </c>
      <c r="P18" s="269"/>
    </row>
    <row r="19" spans="1:16" ht="41.4">
      <c r="A19" s="273"/>
      <c r="B19" s="118" t="s">
        <v>4520</v>
      </c>
      <c r="C19" s="116" t="s">
        <v>4521</v>
      </c>
      <c r="D19" s="116" t="s">
        <v>4522</v>
      </c>
      <c r="E19" s="188">
        <v>36</v>
      </c>
      <c r="F19" s="188">
        <f t="shared" si="0"/>
        <v>1.5</v>
      </c>
      <c r="G19" s="189" t="s">
        <v>4473</v>
      </c>
      <c r="H19" s="188">
        <v>0</v>
      </c>
      <c r="I19" s="188">
        <v>0</v>
      </c>
      <c r="J19" s="188">
        <f t="shared" si="3"/>
        <v>36</v>
      </c>
      <c r="K19" s="190">
        <f t="shared" si="2"/>
        <v>1</v>
      </c>
      <c r="L19" s="116" t="s">
        <v>4474</v>
      </c>
      <c r="M19" s="116" t="s">
        <v>4650</v>
      </c>
      <c r="N19" s="218" t="s">
        <v>4651</v>
      </c>
      <c r="O19" s="191" t="s">
        <v>4643</v>
      </c>
      <c r="P19" s="269"/>
    </row>
    <row r="20" spans="1:16" ht="41.4">
      <c r="A20" s="306"/>
      <c r="B20" s="118" t="s">
        <v>4536</v>
      </c>
      <c r="C20" s="116" t="s">
        <v>4526</v>
      </c>
      <c r="D20" s="116" t="s">
        <v>4537</v>
      </c>
      <c r="E20" s="195">
        <v>48</v>
      </c>
      <c r="F20" s="195">
        <f t="shared" si="0"/>
        <v>2</v>
      </c>
      <c r="G20" s="189" t="s">
        <v>4473</v>
      </c>
      <c r="H20" s="195">
        <v>0</v>
      </c>
      <c r="I20" s="195">
        <v>1</v>
      </c>
      <c r="J20" s="195">
        <f t="shared" si="3"/>
        <v>24</v>
      </c>
      <c r="K20" s="196">
        <f t="shared" si="2"/>
        <v>0.5</v>
      </c>
      <c r="L20" s="116" t="s">
        <v>4474</v>
      </c>
      <c r="M20" s="116" t="s">
        <v>4652</v>
      </c>
      <c r="N20" s="218" t="s">
        <v>4653</v>
      </c>
      <c r="O20" s="191" t="s">
        <v>4654</v>
      </c>
      <c r="P20" s="269"/>
    </row>
    <row r="21" spans="1:16" ht="41.4">
      <c r="A21" s="273"/>
      <c r="B21" s="118" t="s">
        <v>4525</v>
      </c>
      <c r="C21" s="116" t="s">
        <v>4526</v>
      </c>
      <c r="D21" s="116" t="s">
        <v>4527</v>
      </c>
      <c r="E21" s="195">
        <v>60</v>
      </c>
      <c r="F21" s="195">
        <f t="shared" si="0"/>
        <v>2.5</v>
      </c>
      <c r="G21" s="189" t="s">
        <v>4473</v>
      </c>
      <c r="H21" s="195">
        <v>0</v>
      </c>
      <c r="I21" s="195">
        <v>1</v>
      </c>
      <c r="J21" s="195">
        <f t="shared" si="3"/>
        <v>36</v>
      </c>
      <c r="K21" s="196">
        <f>J21/E21</f>
        <v>0.6</v>
      </c>
      <c r="L21" s="116" t="s">
        <v>4474</v>
      </c>
      <c r="M21" s="116" t="s">
        <v>4655</v>
      </c>
      <c r="N21" s="218" t="s">
        <v>4656</v>
      </c>
      <c r="O21" s="191" t="s">
        <v>4654</v>
      </c>
      <c r="P21" s="269"/>
    </row>
    <row r="22" spans="1:16" ht="41.4">
      <c r="A22" s="273"/>
      <c r="B22" s="118" t="s">
        <v>4532</v>
      </c>
      <c r="C22" s="116" t="s">
        <v>4526</v>
      </c>
      <c r="D22" s="116" t="s">
        <v>4533</v>
      </c>
      <c r="E22" s="195">
        <v>120</v>
      </c>
      <c r="F22" s="195">
        <f t="shared" si="0"/>
        <v>5</v>
      </c>
      <c r="G22" s="189" t="s">
        <v>4473</v>
      </c>
      <c r="H22" s="195">
        <v>0</v>
      </c>
      <c r="I22" s="195">
        <v>3</v>
      </c>
      <c r="J22" s="195">
        <f t="shared" si="3"/>
        <v>48</v>
      </c>
      <c r="K22" s="196">
        <f t="shared" si="2"/>
        <v>0.4</v>
      </c>
      <c r="L22" s="116" t="s">
        <v>4474</v>
      </c>
      <c r="M22" s="116" t="s">
        <v>4657</v>
      </c>
      <c r="N22" s="218" t="s">
        <v>4658</v>
      </c>
      <c r="O22" s="191" t="s">
        <v>4654</v>
      </c>
      <c r="P22" s="269"/>
    </row>
    <row r="23" spans="1:16" ht="27.6">
      <c r="A23" s="273"/>
      <c r="B23" s="118" t="s">
        <v>4546</v>
      </c>
      <c r="C23" s="116" t="s">
        <v>4546</v>
      </c>
      <c r="D23" s="116" t="s">
        <v>4547</v>
      </c>
      <c r="E23" s="195">
        <v>12</v>
      </c>
      <c r="F23" s="195">
        <f t="shared" si="0"/>
        <v>0.5</v>
      </c>
      <c r="G23" s="189" t="s">
        <v>4473</v>
      </c>
      <c r="H23" s="195">
        <v>0</v>
      </c>
      <c r="I23" s="195">
        <v>0.5</v>
      </c>
      <c r="J23" s="195">
        <f t="shared" si="3"/>
        <v>0</v>
      </c>
      <c r="K23" s="196">
        <f t="shared" si="2"/>
        <v>0</v>
      </c>
      <c r="L23" s="116" t="s">
        <v>4474</v>
      </c>
      <c r="M23" s="116" t="s">
        <v>4142</v>
      </c>
      <c r="N23" s="218" t="s">
        <v>4142</v>
      </c>
      <c r="O23" s="191" t="s">
        <v>4633</v>
      </c>
      <c r="P23" s="269"/>
    </row>
    <row r="24" spans="1:16" ht="27.6">
      <c r="A24" s="273"/>
      <c r="B24" s="118" t="s">
        <v>4540</v>
      </c>
      <c r="C24" s="116" t="s">
        <v>4541</v>
      </c>
      <c r="D24" s="116" t="s">
        <v>4542</v>
      </c>
      <c r="E24" s="195">
        <v>12</v>
      </c>
      <c r="F24" s="195">
        <f t="shared" si="0"/>
        <v>0.5</v>
      </c>
      <c r="G24" s="189" t="s">
        <v>4473</v>
      </c>
      <c r="H24" s="195">
        <v>0</v>
      </c>
      <c r="I24" s="195">
        <v>0.5</v>
      </c>
      <c r="J24" s="195">
        <f t="shared" si="3"/>
        <v>0</v>
      </c>
      <c r="K24" s="196">
        <f t="shared" si="2"/>
        <v>0</v>
      </c>
      <c r="L24" s="116" t="s">
        <v>4474</v>
      </c>
      <c r="M24" s="116" t="s">
        <v>4142</v>
      </c>
      <c r="N24" s="218" t="s">
        <v>4142</v>
      </c>
      <c r="O24" s="191" t="s">
        <v>4633</v>
      </c>
      <c r="P24" s="269"/>
    </row>
    <row r="25" spans="1:16" ht="27.6">
      <c r="A25" s="273"/>
      <c r="B25" s="118" t="s">
        <v>4543</v>
      </c>
      <c r="C25" s="116" t="s">
        <v>4544</v>
      </c>
      <c r="D25" s="116" t="s">
        <v>4545</v>
      </c>
      <c r="E25" s="195">
        <v>12</v>
      </c>
      <c r="F25" s="195">
        <f t="shared" si="0"/>
        <v>0.5</v>
      </c>
      <c r="G25" s="189" t="s">
        <v>4473</v>
      </c>
      <c r="H25" s="195">
        <v>0</v>
      </c>
      <c r="I25" s="195">
        <v>0.5</v>
      </c>
      <c r="J25" s="195">
        <f t="shared" si="3"/>
        <v>0</v>
      </c>
      <c r="K25" s="196">
        <f t="shared" si="2"/>
        <v>0</v>
      </c>
      <c r="L25" s="116" t="s">
        <v>4474</v>
      </c>
      <c r="M25" s="116" t="s">
        <v>4142</v>
      </c>
      <c r="N25" s="218" t="s">
        <v>4142</v>
      </c>
      <c r="O25" s="191" t="s">
        <v>4633</v>
      </c>
      <c r="P25" s="269"/>
    </row>
    <row r="26" spans="1:16" ht="27.6">
      <c r="A26" s="273"/>
      <c r="B26" s="118" t="s">
        <v>4557</v>
      </c>
      <c r="C26" s="116" t="s">
        <v>4558</v>
      </c>
      <c r="D26" s="116" t="s">
        <v>4559</v>
      </c>
      <c r="E26" s="188">
        <v>300</v>
      </c>
      <c r="F26" s="188">
        <f t="shared" si="0"/>
        <v>12.5</v>
      </c>
      <c r="G26" s="189" t="s">
        <v>4551</v>
      </c>
      <c r="H26" s="188">
        <v>0</v>
      </c>
      <c r="I26" s="188">
        <v>12.5</v>
      </c>
      <c r="J26" s="188">
        <f t="shared" si="3"/>
        <v>0</v>
      </c>
      <c r="K26" s="190">
        <f t="shared" si="2"/>
        <v>0</v>
      </c>
      <c r="L26" s="116" t="s">
        <v>4474</v>
      </c>
      <c r="M26" s="116" t="s">
        <v>4142</v>
      </c>
      <c r="N26" s="218" t="s">
        <v>4142</v>
      </c>
      <c r="O26" s="191" t="s">
        <v>4654</v>
      </c>
      <c r="P26" s="269"/>
    </row>
    <row r="27" spans="1:16" ht="27.6">
      <c r="A27" s="273"/>
      <c r="B27" s="118" t="s">
        <v>4563</v>
      </c>
      <c r="C27" s="116" t="s">
        <v>4564</v>
      </c>
      <c r="D27" s="116" t="s">
        <v>4565</v>
      </c>
      <c r="E27" s="188">
        <v>120</v>
      </c>
      <c r="F27" s="188">
        <f t="shared" si="0"/>
        <v>5</v>
      </c>
      <c r="G27" s="189" t="s">
        <v>4551</v>
      </c>
      <c r="H27" s="188">
        <v>0</v>
      </c>
      <c r="I27" s="188">
        <v>3</v>
      </c>
      <c r="J27" s="188">
        <f t="shared" si="3"/>
        <v>48</v>
      </c>
      <c r="K27" s="190">
        <f t="shared" si="2"/>
        <v>0.4</v>
      </c>
      <c r="L27" s="116" t="s">
        <v>4474</v>
      </c>
      <c r="M27" s="116" t="s">
        <v>4659</v>
      </c>
      <c r="N27" s="218" t="s">
        <v>4660</v>
      </c>
      <c r="O27" s="191" t="s">
        <v>4661</v>
      </c>
      <c r="P27" s="269"/>
    </row>
    <row r="28" spans="1:16" ht="27.6">
      <c r="A28" s="307" t="s">
        <v>4687</v>
      </c>
      <c r="B28" s="300" t="s">
        <v>4568</v>
      </c>
      <c r="C28" s="294" t="s">
        <v>4569</v>
      </c>
      <c r="D28" s="294" t="s">
        <v>4570</v>
      </c>
      <c r="E28" s="295">
        <v>120</v>
      </c>
      <c r="F28" s="295">
        <f>E28/24</f>
        <v>5</v>
      </c>
      <c r="G28" s="296" t="s">
        <v>4551</v>
      </c>
      <c r="H28" s="295">
        <v>0</v>
      </c>
      <c r="I28" s="295">
        <v>3</v>
      </c>
      <c r="J28" s="295">
        <f t="shared" si="3"/>
        <v>48</v>
      </c>
      <c r="K28" s="297">
        <f t="shared" si="2"/>
        <v>0.4</v>
      </c>
      <c r="L28" s="294" t="s">
        <v>4474</v>
      </c>
      <c r="M28" s="535" t="s">
        <v>4699</v>
      </c>
      <c r="N28" s="298" t="s">
        <v>4701</v>
      </c>
      <c r="O28" s="299" t="s">
        <v>4654</v>
      </c>
      <c r="P28" s="269"/>
    </row>
    <row r="29" spans="1:16" ht="28.8">
      <c r="A29" s="308" t="s">
        <v>4694</v>
      </c>
      <c r="B29" s="301" t="s">
        <v>4568</v>
      </c>
      <c r="C29" s="288" t="s">
        <v>4569</v>
      </c>
      <c r="D29" s="288" t="s">
        <v>4570</v>
      </c>
      <c r="E29" s="289">
        <v>120</v>
      </c>
      <c r="F29" s="289">
        <f>E29/24</f>
        <v>5</v>
      </c>
      <c r="G29" s="290" t="s">
        <v>4551</v>
      </c>
      <c r="H29" s="289">
        <v>0</v>
      </c>
      <c r="I29" s="289">
        <v>2.5</v>
      </c>
      <c r="J29" s="289">
        <f t="shared" si="3"/>
        <v>60</v>
      </c>
      <c r="K29" s="291">
        <f t="shared" si="2"/>
        <v>0.5</v>
      </c>
      <c r="L29" s="288" t="s">
        <v>4474</v>
      </c>
      <c r="M29" s="288" t="s">
        <v>4662</v>
      </c>
      <c r="N29" s="292" t="s">
        <v>4663</v>
      </c>
      <c r="O29" s="293" t="s">
        <v>4654</v>
      </c>
      <c r="P29" s="269"/>
    </row>
    <row r="30" spans="1:16" ht="27.6">
      <c r="A30" s="308" t="s">
        <v>4692</v>
      </c>
      <c r="B30" s="301" t="s">
        <v>4560</v>
      </c>
      <c r="C30" s="288" t="s">
        <v>4561</v>
      </c>
      <c r="D30" s="288" t="s">
        <v>4562</v>
      </c>
      <c r="E30" s="289">
        <v>156</v>
      </c>
      <c r="F30" s="289">
        <f t="shared" si="0"/>
        <v>6.5</v>
      </c>
      <c r="G30" s="290" t="s">
        <v>4551</v>
      </c>
      <c r="H30" s="289">
        <v>0</v>
      </c>
      <c r="I30" s="289">
        <v>6.5</v>
      </c>
      <c r="J30" s="289">
        <f t="shared" si="3"/>
        <v>0</v>
      </c>
      <c r="K30" s="291">
        <f t="shared" si="2"/>
        <v>0</v>
      </c>
      <c r="L30" s="288" t="s">
        <v>4474</v>
      </c>
      <c r="M30" s="288" t="s">
        <v>4142</v>
      </c>
      <c r="N30" s="292" t="s">
        <v>4142</v>
      </c>
      <c r="O30" s="293" t="s">
        <v>4654</v>
      </c>
      <c r="P30" s="269"/>
    </row>
    <row r="31" spans="1:16" ht="29.4" thickBot="1">
      <c r="A31" s="308" t="s">
        <v>4689</v>
      </c>
      <c r="B31" s="301" t="s">
        <v>4552</v>
      </c>
      <c r="C31" s="288" t="s">
        <v>4553</v>
      </c>
      <c r="D31" s="288" t="s">
        <v>4554</v>
      </c>
      <c r="E31" s="289">
        <v>144</v>
      </c>
      <c r="F31" s="289">
        <f t="shared" si="0"/>
        <v>6</v>
      </c>
      <c r="G31" s="290" t="s">
        <v>4551</v>
      </c>
      <c r="H31" s="289">
        <v>0</v>
      </c>
      <c r="I31" s="289">
        <v>3</v>
      </c>
      <c r="J31" s="289">
        <f t="shared" si="3"/>
        <v>72</v>
      </c>
      <c r="K31" s="291">
        <f t="shared" si="2"/>
        <v>0.5</v>
      </c>
      <c r="L31" s="288" t="s">
        <v>4474</v>
      </c>
      <c r="M31" s="288" t="s">
        <v>4664</v>
      </c>
      <c r="N31" s="292" t="s">
        <v>4665</v>
      </c>
      <c r="O31" s="293" t="s">
        <v>4661</v>
      </c>
      <c r="P31" s="269"/>
    </row>
    <row r="32" spans="1:16" ht="27.6">
      <c r="A32" s="302" t="s">
        <v>4687</v>
      </c>
      <c r="B32" s="300" t="s">
        <v>4573</v>
      </c>
      <c r="C32" s="294" t="s">
        <v>4574</v>
      </c>
      <c r="D32" s="294" t="s">
        <v>4575</v>
      </c>
      <c r="E32" s="536">
        <v>108</v>
      </c>
      <c r="F32" s="536">
        <f t="shared" ref="F32" si="4">E32/24</f>
        <v>4.5</v>
      </c>
      <c r="G32" s="537" t="s">
        <v>4551</v>
      </c>
      <c r="H32" s="536">
        <v>0</v>
      </c>
      <c r="I32" s="536">
        <v>4</v>
      </c>
      <c r="J32" s="536">
        <f t="shared" ref="J32" si="5">E32-H32-I32*24</f>
        <v>12</v>
      </c>
      <c r="K32" s="538">
        <f t="shared" ref="K32" si="6">J32/E32</f>
        <v>0.1111111111111111</v>
      </c>
      <c r="L32" s="294" t="s">
        <v>4474</v>
      </c>
      <c r="M32" s="535" t="s">
        <v>4766</v>
      </c>
      <c r="N32" s="588" t="s">
        <v>4858</v>
      </c>
      <c r="O32" s="299" t="s">
        <v>4654</v>
      </c>
      <c r="P32" s="269"/>
    </row>
    <row r="33" spans="1:16" ht="27.6" customHeight="1" thickBot="1">
      <c r="A33" s="302" t="s">
        <v>4700</v>
      </c>
      <c r="B33" s="300" t="s">
        <v>4573</v>
      </c>
      <c r="C33" s="294" t="s">
        <v>4574</v>
      </c>
      <c r="D33" s="294" t="s">
        <v>4575</v>
      </c>
      <c r="E33" s="295">
        <v>108</v>
      </c>
      <c r="F33" s="295">
        <f>E33/24</f>
        <v>4.5</v>
      </c>
      <c r="G33" s="296" t="s">
        <v>4551</v>
      </c>
      <c r="H33" s="295">
        <v>0</v>
      </c>
      <c r="I33" s="295">
        <v>4.5</v>
      </c>
      <c r="J33" s="295">
        <f>E33-H33-I33*24</f>
        <v>0</v>
      </c>
      <c r="K33" s="297">
        <f>J33/E33</f>
        <v>0</v>
      </c>
      <c r="L33" s="294" t="s">
        <v>4474</v>
      </c>
      <c r="M33" s="294" t="s">
        <v>4142</v>
      </c>
      <c r="N33" s="298" t="s">
        <v>4142</v>
      </c>
      <c r="O33" s="299" t="s">
        <v>4654</v>
      </c>
      <c r="P33" s="269"/>
    </row>
    <row r="34" spans="1:16" ht="73.5" customHeight="1">
      <c r="A34" s="302" t="s">
        <v>4700</v>
      </c>
      <c r="B34" s="300" t="s">
        <v>4576</v>
      </c>
      <c r="C34" s="294" t="s">
        <v>4577</v>
      </c>
      <c r="D34" s="294" t="s">
        <v>4578</v>
      </c>
      <c r="E34" s="295">
        <v>156</v>
      </c>
      <c r="F34" s="295">
        <f t="shared" si="0"/>
        <v>6.5</v>
      </c>
      <c r="G34" s="296" t="s">
        <v>4551</v>
      </c>
      <c r="H34" s="295">
        <v>0</v>
      </c>
      <c r="I34" s="295">
        <v>6</v>
      </c>
      <c r="J34" s="295">
        <f t="shared" si="3"/>
        <v>12</v>
      </c>
      <c r="K34" s="297">
        <f t="shared" si="2"/>
        <v>7.6923076923076927E-2</v>
      </c>
      <c r="L34" s="294" t="s">
        <v>4474</v>
      </c>
      <c r="M34" s="535" t="s">
        <v>4767</v>
      </c>
      <c r="N34" s="588" t="s">
        <v>4859</v>
      </c>
      <c r="O34" s="299" t="s">
        <v>4654</v>
      </c>
      <c r="P34" s="269"/>
    </row>
    <row r="35" spans="1:16" ht="27.6">
      <c r="A35" s="273"/>
      <c r="B35" s="118" t="s">
        <v>4579</v>
      </c>
      <c r="C35" s="116" t="s">
        <v>4580</v>
      </c>
      <c r="D35" s="116" t="s">
        <v>4581</v>
      </c>
      <c r="E35" s="188">
        <v>72</v>
      </c>
      <c r="F35" s="188">
        <f t="shared" si="0"/>
        <v>3</v>
      </c>
      <c r="G35" s="189" t="s">
        <v>4551</v>
      </c>
      <c r="H35" s="188">
        <v>0</v>
      </c>
      <c r="I35" s="188">
        <v>3</v>
      </c>
      <c r="J35" s="188">
        <f t="shared" si="3"/>
        <v>0</v>
      </c>
      <c r="K35" s="190">
        <f t="shared" si="2"/>
        <v>0</v>
      </c>
      <c r="L35" s="116" t="s">
        <v>4474</v>
      </c>
      <c r="M35" s="116" t="s">
        <v>4142</v>
      </c>
      <c r="N35" s="218" t="s">
        <v>4142</v>
      </c>
      <c r="O35" s="191" t="s">
        <v>4633</v>
      </c>
      <c r="P35" s="269"/>
    </row>
    <row r="36" spans="1:16" ht="28.2" thickBot="1">
      <c r="A36" s="273"/>
      <c r="B36" s="138" t="s">
        <v>4585</v>
      </c>
      <c r="C36" s="139" t="s">
        <v>4583</v>
      </c>
      <c r="D36" s="139" t="s">
        <v>4584</v>
      </c>
      <c r="E36" s="192">
        <v>12</v>
      </c>
      <c r="F36" s="192">
        <f t="shared" si="0"/>
        <v>0.5</v>
      </c>
      <c r="G36" s="193" t="s">
        <v>4551</v>
      </c>
      <c r="H36" s="192">
        <v>0</v>
      </c>
      <c r="I36" s="192">
        <v>0.5</v>
      </c>
      <c r="J36" s="192">
        <f t="shared" si="3"/>
        <v>0</v>
      </c>
      <c r="K36" s="197">
        <f t="shared" si="2"/>
        <v>0</v>
      </c>
      <c r="L36" s="139" t="s">
        <v>4474</v>
      </c>
      <c r="M36" s="139" t="s">
        <v>4142</v>
      </c>
      <c r="N36" s="219" t="s">
        <v>4142</v>
      </c>
      <c r="O36" s="194" t="s">
        <v>4633</v>
      </c>
      <c r="P36" s="269"/>
    </row>
    <row r="37" spans="1:16">
      <c r="A37" s="273"/>
      <c r="B37" s="654" t="s">
        <v>4605</v>
      </c>
      <c r="C37" s="655"/>
      <c r="D37" s="655"/>
      <c r="E37" s="655"/>
      <c r="F37" s="655"/>
      <c r="G37" s="655"/>
      <c r="H37" s="655"/>
      <c r="I37" s="655"/>
      <c r="P37" s="269"/>
    </row>
    <row r="38" spans="1:16">
      <c r="A38" s="309"/>
      <c r="B38" s="656" t="s">
        <v>4606</v>
      </c>
      <c r="C38" s="657"/>
      <c r="D38" s="657"/>
      <c r="E38" s="657"/>
      <c r="F38" s="657"/>
      <c r="G38" s="657"/>
      <c r="H38" s="657"/>
      <c r="I38" s="657"/>
      <c r="J38" s="199"/>
      <c r="K38" s="199"/>
      <c r="L38" s="199"/>
      <c r="M38" s="199"/>
      <c r="N38" s="220"/>
      <c r="O38" s="199"/>
      <c r="P38" s="311"/>
    </row>
    <row r="43" spans="1:16" ht="15.6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5"/>
      <c r="M43" s="105"/>
      <c r="N43" s="221"/>
      <c r="O43" s="105"/>
      <c r="P43" s="99"/>
    </row>
  </sheetData>
  <mergeCells count="5">
    <mergeCell ref="B37:I37"/>
    <mergeCell ref="B38:I38"/>
    <mergeCell ref="F3:G3"/>
    <mergeCell ref="H3:O3"/>
    <mergeCell ref="B5:O5"/>
  </mergeCells>
  <phoneticPr fontId="35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740975CF25A64CB57362810823902C" ma:contentTypeVersion="17" ma:contentTypeDescription="Create a new document." ma:contentTypeScope="" ma:versionID="e282e357f20eb26ee9922bbaf56dfa19">
  <xsd:schema xmlns:xsd="http://www.w3.org/2001/XMLSchema" xmlns:xs="http://www.w3.org/2001/XMLSchema" xmlns:p="http://schemas.microsoft.com/office/2006/metadata/properties" xmlns:ns2="c196d2f4-e6f4-47c0-95fe-5d5f59761be9" xmlns:ns3="30be0e56-06b2-4080-ad11-2e11dce05c53" targetNamespace="http://schemas.microsoft.com/office/2006/metadata/properties" ma:root="true" ma:fieldsID="4d96027facec5fb2c7522bc9d134016e" ns2:_="" ns3:_="">
    <xsd:import namespace="c196d2f4-e6f4-47c0-95fe-5d5f59761be9"/>
    <xsd:import namespace="30be0e56-06b2-4080-ad11-2e11dce05c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96d2f4-e6f4-47c0-95fe-5d5f59761b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c735e1d-b6b1-4e62-b072-07b019ae0c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e0e56-06b2-4080-ad11-2e11dce05c5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fa66985-1d71-4c27-9e77-a7c218bfb8ba}" ma:internalName="TaxCatchAll" ma:showField="CatchAllData" ma:web="30be0e56-06b2-4080-ad11-2e11dce05c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96d2f4-e6f4-47c0-95fe-5d5f59761be9">
      <Terms xmlns="http://schemas.microsoft.com/office/infopath/2007/PartnerControls"/>
    </lcf76f155ced4ddcb4097134ff3c332f>
    <TaxCatchAll xmlns="30be0e56-06b2-4080-ad11-2e11dce05c53" xsi:nil="true"/>
  </documentManagement>
</p:properties>
</file>

<file path=customXml/itemProps1.xml><?xml version="1.0" encoding="utf-8"?>
<ds:datastoreItem xmlns:ds="http://schemas.openxmlformats.org/officeDocument/2006/customXml" ds:itemID="{C1A2AA8A-9D73-4557-A9D8-5E4A1BC12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96d2f4-e6f4-47c0-95fe-5d5f59761be9"/>
    <ds:schemaRef ds:uri="30be0e56-06b2-4080-ad11-2e11dce05c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26BD97-71D1-47B9-9534-22F2186B94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179298-0FD9-461F-80DD-1B5A531372DD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30be0e56-06b2-4080-ad11-2e11dce05c53"/>
    <ds:schemaRef ds:uri="c196d2f4-e6f4-47c0-95fe-5d5f59761be9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5d610d34-da70-4fde-8896-8a8eb0cb2f3b}" enabled="1" method="Standard" siteId="{86fb8e1f-02bd-4434-96ae-aa3ef467ada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11</vt:i4>
      </vt:variant>
      <vt:variant>
        <vt:lpstr>Intervalli denominati</vt:lpstr>
      </vt:variant>
      <vt:variant>
        <vt:i4>1</vt:i4>
      </vt:variant>
    </vt:vector>
  </HeadingPairs>
  <TitlesOfParts>
    <vt:vector size="12" baseType="lpstr">
      <vt:lpstr>PromoClonate</vt:lpstr>
      <vt:lpstr>PromoClonate_GSI_NEW</vt:lpstr>
      <vt:lpstr>Smartphone &amp; Tab RATA STAND new</vt:lpstr>
      <vt:lpstr>UnlimitedPRO|MONDO|200</vt:lpstr>
      <vt:lpstr>SUPER GIGA</vt:lpstr>
      <vt:lpstr>SUPER FLEX</vt:lpstr>
      <vt:lpstr>GIGABOOST</vt:lpstr>
      <vt:lpstr>WORK &amp; LIFE</vt:lpstr>
      <vt:lpstr>PROMO FISSO-NO ONE STEP</vt:lpstr>
      <vt:lpstr>MODIFICHE ATE</vt:lpstr>
      <vt:lpstr>PROMO FISSO-ONE STEP  </vt:lpstr>
      <vt:lpstr>'WORK &amp; LIFE'!Area_stampa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Costagliola Di Polidoro Andrea</dc:creator>
  <cp:keywords/>
  <dc:description/>
  <cp:lastModifiedBy>Cuomo Raffaella</cp:lastModifiedBy>
  <cp:revision/>
  <dcterms:created xsi:type="dcterms:W3CDTF">2019-03-23T15:22:48Z</dcterms:created>
  <dcterms:modified xsi:type="dcterms:W3CDTF">2026-10-01T09:05:18Z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0x010100C2740975CF25A64CB57362810823902C</vt:lpwstr>
  </property>
  <property fmtid="{D5CDD505-2E9C-101B-9397-08002B2CF9AE}" pid="3" name="MSIP_Label_5d610d34-da70-4fde-8896-8a8eb0cb2f3b_Enabled">
    <vt:lpwstr>true</vt:lpwstr>
  </property>
  <property fmtid="{D5CDD505-2E9C-101B-9397-08002B2CF9AE}" pid="4" name="MSIP_Label_5d610d34-da70-4fde-8896-8a8eb0cb2f3b_SetDate">
    <vt:lpwstr>2022-07-20T12:43:03Z</vt:lpwstr>
  </property>
  <property fmtid="{D5CDD505-2E9C-101B-9397-08002B2CF9AE}" pid="5" name="MSIP_Label_5d610d34-da70-4fde-8896-8a8eb0cb2f3b_Method">
    <vt:lpwstr>Standard</vt:lpwstr>
  </property>
  <property fmtid="{D5CDD505-2E9C-101B-9397-08002B2CF9AE}" pid="6" name="MSIP_Label_5d610d34-da70-4fde-8896-8a8eb0cb2f3b_Name">
    <vt:lpwstr>No Encryption</vt:lpwstr>
  </property>
  <property fmtid="{D5CDD505-2E9C-101B-9397-08002B2CF9AE}" pid="7" name="MSIP_Label_5d610d34-da70-4fde-8896-8a8eb0cb2f3b_SiteId">
    <vt:lpwstr>86fb8e1f-02bd-4434-96ae-aa3ef467ada8</vt:lpwstr>
  </property>
  <property fmtid="{D5CDD505-2E9C-101B-9397-08002B2CF9AE}" pid="8" name="MSIP_Label_5d610d34-da70-4fde-8896-8a8eb0cb2f3b_ActionId">
    <vt:lpwstr>ec5ae331-fe01-48b6-a87c-e00733d24c33</vt:lpwstr>
  </property>
  <property fmtid="{D5CDD505-2E9C-101B-9397-08002B2CF9AE}" pid="9" name="MSIP_Label_5d610d34-da70-4fde-8896-8a8eb0cb2f3b_ContentBits">
    <vt:lpwstr>0</vt:lpwstr>
  </property>
  <property fmtid="{D5CDD505-2E9C-101B-9397-08002B2CF9AE}" pid="10" name="MediaServiceImageTags">
    <vt:lpwstr/>
  </property>
</Properties>
</file>