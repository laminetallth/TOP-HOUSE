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https://intranet3-my.sharepoint.com/personal/francesco_marasco_windtre_it/Documents/Desktop/"/>
    </mc:Choice>
  </mc:AlternateContent>
  <xr:revisionPtr revIDLastSave="0" documentId="8_{AA6EC4CE-0CCA-4DF2-A7AB-B961CF7CBF16}" xr6:coauthVersionLast="47" xr6:coauthVersionMax="47" xr10:uidLastSave="{00000000-0000-0000-0000-000000000000}"/>
  <workbookProtection workbookAlgorithmName="SHA-512" workbookHashValue="ne3L1a6w4lQJtC4hQzB1DhMUVzze0XBKPTbvXwOByBJms+aORYnLGFrz4x6n9KZm3OePIYT4S6GMC/XiKwbe0A==" workbookSaltValue="FLnXR8aUvnn2iqsM366RVw==" workbookSpinCount="100000" lockStructure="1"/>
  <bookViews>
    <workbookView xWindow="-110" yWindow="-110" windowWidth="19420" windowHeight="11500" xr2:uid="{6FB6C676-AD54-484A-8ADC-804CFF1F4053}"/>
  </bookViews>
  <sheets>
    <sheet name="DATI CLIENTE" sheetId="8" r:id="rId1"/>
    <sheet name="OFFERTA" sheetId="1" r:id="rId2"/>
    <sheet name="Foglio1" sheetId="5" state="hidden" r:id="rId3"/>
    <sheet name="PROMO MV SVO PER FS" sheetId="6" state="hidden" r:id="rId4"/>
  </sheets>
  <definedNames>
    <definedName name="_xlnm._FilterDatabase" localSheetId="3" hidden="1">'PROMO MV SVO PER FS'!$A$1:$Q$181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0" i="6" l="1"/>
  <c r="E77" i="6"/>
  <c r="E79" i="6"/>
  <c r="E78" i="6"/>
  <c r="G5" i="8"/>
  <c r="E5" i="1"/>
  <c r="E25" i="1"/>
  <c r="E24" i="1"/>
  <c r="E23" i="1"/>
  <c r="E22" i="1"/>
  <c r="E21" i="1"/>
  <c r="E19" i="1"/>
  <c r="E18" i="1"/>
  <c r="E17" i="1"/>
  <c r="E20" i="1"/>
  <c r="X20" i="1"/>
  <c r="X6" i="1"/>
  <c r="K20" i="1"/>
  <c r="K25" i="1"/>
  <c r="J25" i="1"/>
  <c r="K24" i="1"/>
  <c r="J24" i="1"/>
  <c r="K23" i="1"/>
  <c r="J23" i="1"/>
  <c r="K22" i="1"/>
  <c r="J22" i="1"/>
  <c r="K21" i="1"/>
  <c r="J21" i="1"/>
  <c r="V13" i="1"/>
  <c r="U13" i="1"/>
  <c r="U12" i="1"/>
  <c r="V12" i="1" s="1"/>
  <c r="U11" i="1"/>
  <c r="V11" i="1" s="1"/>
  <c r="U10" i="1"/>
  <c r="V10" i="1" s="1"/>
  <c r="U9" i="1"/>
  <c r="V9" i="1" s="1"/>
  <c r="U8" i="1"/>
  <c r="V8" i="1" s="1"/>
  <c r="U7" i="1"/>
  <c r="V7" i="1" s="1"/>
  <c r="U6" i="1"/>
  <c r="V6" i="1" s="1"/>
  <c r="U5" i="1"/>
  <c r="V5" i="1" s="1"/>
  <c r="G13" i="8"/>
  <c r="G11" i="8"/>
  <c r="E9" i="1"/>
  <c r="E13" i="1"/>
  <c r="E12" i="1"/>
  <c r="E11" i="1"/>
  <c r="E10" i="1"/>
  <c r="E8" i="1"/>
  <c r="E7" i="1"/>
  <c r="E6" i="1"/>
  <c r="E166" i="6"/>
  <c r="E76" i="6"/>
  <c r="E59" i="6"/>
  <c r="E65" i="6"/>
  <c r="E64" i="6"/>
  <c r="E63" i="6"/>
  <c r="E62" i="6"/>
  <c r="E61" i="6"/>
  <c r="E60" i="6"/>
  <c r="E45" i="6"/>
  <c r="E44" i="6"/>
  <c r="E43" i="6"/>
  <c r="E42" i="6"/>
  <c r="E41" i="6"/>
  <c r="E40" i="6"/>
  <c r="E39" i="6"/>
  <c r="E38" i="6"/>
  <c r="E37" i="6"/>
  <c r="E36" i="6"/>
  <c r="E18" i="6"/>
  <c r="E17" i="6"/>
  <c r="E16" i="6"/>
  <c r="E15" i="6"/>
  <c r="E14" i="6"/>
  <c r="E13" i="6"/>
  <c r="E176" i="6"/>
  <c r="E175" i="6"/>
  <c r="E174" i="6"/>
  <c r="E173" i="6"/>
  <c r="U25" i="1"/>
  <c r="U24" i="1"/>
  <c r="U23" i="1"/>
  <c r="U22" i="1"/>
  <c r="U21" i="1"/>
  <c r="U20" i="1"/>
  <c r="U19" i="1"/>
  <c r="U18" i="1"/>
  <c r="U17" i="1"/>
  <c r="V17" i="1" s="1"/>
  <c r="X18" i="1"/>
  <c r="K18" i="1" s="1"/>
  <c r="X19" i="1"/>
  <c r="K19" i="1" s="1"/>
  <c r="X21" i="1"/>
  <c r="X22" i="1"/>
  <c r="X23" i="1"/>
  <c r="X24" i="1"/>
  <c r="X25" i="1"/>
  <c r="K13" i="1"/>
  <c r="X9" i="1"/>
  <c r="J9" i="1" s="1"/>
  <c r="X10" i="1"/>
  <c r="K10" i="1" s="1"/>
  <c r="X8" i="1"/>
  <c r="X13" i="1"/>
  <c r="J19" i="1" l="1"/>
  <c r="J20" i="1"/>
  <c r="J18" i="1"/>
  <c r="K9" i="1"/>
  <c r="J10" i="1"/>
  <c r="J13" i="1"/>
  <c r="E162" i="6"/>
  <c r="E153" i="6"/>
  <c r="E148" i="6"/>
  <c r="E142" i="6"/>
  <c r="E136" i="6"/>
  <c r="E100" i="6"/>
  <c r="X5" i="1"/>
  <c r="K5" i="1" s="1"/>
  <c r="E93" i="6"/>
  <c r="V18" i="1"/>
  <c r="V25" i="1"/>
  <c r="V24" i="1"/>
  <c r="V23" i="1"/>
  <c r="V22" i="1"/>
  <c r="V21" i="1"/>
  <c r="V20" i="1"/>
  <c r="V19" i="1"/>
  <c r="E114" i="6"/>
  <c r="E110" i="6"/>
  <c r="E99" i="6"/>
  <c r="E98" i="6"/>
  <c r="E49" i="6"/>
  <c r="X7" i="1"/>
  <c r="X11" i="1"/>
  <c r="K11" i="1" s="1"/>
  <c r="X12" i="1"/>
  <c r="K12" i="1" s="1"/>
  <c r="X17" i="1"/>
  <c r="K17" i="1" s="1"/>
  <c r="J17" i="1" l="1"/>
  <c r="J12" i="1"/>
  <c r="E161" i="6" l="1"/>
  <c r="E152" i="6"/>
  <c r="E157" i="6"/>
  <c r="E147" i="6"/>
  <c r="E146" i="6"/>
  <c r="E141" i="6"/>
  <c r="E140" i="6"/>
  <c r="E135" i="6"/>
  <c r="E134" i="6"/>
  <c r="E6" i="6"/>
  <c r="E5" i="6"/>
  <c r="E4" i="6"/>
  <c r="E30" i="6" l="1"/>
  <c r="E29" i="6"/>
  <c r="E52" i="6"/>
  <c r="E50" i="6"/>
  <c r="E51" i="6"/>
  <c r="E130" i="6"/>
  <c r="E129" i="6"/>
  <c r="E128" i="6"/>
  <c r="E127" i="6"/>
  <c r="E126" i="6"/>
  <c r="E122" i="6"/>
  <c r="E121" i="6"/>
  <c r="E120" i="6"/>
  <c r="E119" i="6"/>
  <c r="E118" i="6"/>
  <c r="E105" i="6"/>
  <c r="E104" i="6"/>
  <c r="E27" i="6"/>
  <c r="E26" i="6"/>
  <c r="E24" i="6"/>
  <c r="E23" i="6"/>
  <c r="E22" i="6"/>
  <c r="E106" i="6"/>
  <c r="E28" i="6"/>
  <c r="E8" i="6"/>
  <c r="E180" i="6"/>
  <c r="E170" i="6"/>
  <c r="E171" i="6"/>
  <c r="E172" i="6"/>
  <c r="E177" i="6"/>
  <c r="E178" i="6"/>
  <c r="E179" i="6"/>
  <c r="E169" i="6"/>
  <c r="E55" i="6"/>
  <c r="E32" i="6"/>
  <c r="E72" i="6"/>
  <c r="E71" i="6"/>
  <c r="E70" i="6"/>
  <c r="E69" i="6"/>
  <c r="E54" i="6"/>
  <c r="E53" i="6"/>
  <c r="E94" i="6" l="1"/>
  <c r="E92" i="6"/>
  <c r="E91" i="6"/>
  <c r="E90" i="6"/>
  <c r="E86" i="6"/>
  <c r="E85" i="6"/>
  <c r="E84" i="6"/>
  <c r="E31" i="6"/>
  <c r="E25" i="6"/>
  <c r="E9" i="6"/>
  <c r="E7" i="6"/>
  <c r="J8" i="1" l="1"/>
  <c r="K6" i="1"/>
  <c r="K8" i="1"/>
  <c r="J7" i="1"/>
  <c r="K7" i="1"/>
  <c r="J5" i="1"/>
  <c r="J11" i="1"/>
  <c r="J6" i="1"/>
</calcChain>
</file>

<file path=xl/sharedStrings.xml><?xml version="1.0" encoding="utf-8"?>
<sst xmlns="http://schemas.openxmlformats.org/spreadsheetml/2006/main" count="1032" uniqueCount="497">
  <si>
    <t>Offerta</t>
  </si>
  <si>
    <t>N° terminali</t>
  </si>
  <si>
    <t>P.IVA</t>
  </si>
  <si>
    <t>Promo</t>
  </si>
  <si>
    <t>Ragione Sociale</t>
  </si>
  <si>
    <t>MNP</t>
  </si>
  <si>
    <t>Operatore</t>
  </si>
  <si>
    <t>Terminali</t>
  </si>
  <si>
    <t>Tipo Richiesta</t>
  </si>
  <si>
    <t>TIM</t>
  </si>
  <si>
    <t>VODAFONE</t>
  </si>
  <si>
    <t>FASTWEB</t>
  </si>
  <si>
    <t>MVNO</t>
  </si>
  <si>
    <t>NATIVA</t>
  </si>
  <si>
    <t>SMART SHARE 500</t>
  </si>
  <si>
    <t>VOICE UNLIMITED 15GB</t>
  </si>
  <si>
    <t>VOICE UNLIMITED 30GB</t>
  </si>
  <si>
    <t>MY UNLIMITED 15GB</t>
  </si>
  <si>
    <t>MY UNLIMITED 30GB</t>
  </si>
  <si>
    <t>SUPER GIGA UNLIMITED</t>
  </si>
  <si>
    <t>SUPER GIGA 30</t>
  </si>
  <si>
    <t>INTERNET 10GB</t>
  </si>
  <si>
    <t>INTERNET 30GB</t>
  </si>
  <si>
    <t>SUPER INTERNATIONAL</t>
  </si>
  <si>
    <t>LISTINO</t>
  </si>
  <si>
    <t>PROMO AD HOC</t>
  </si>
  <si>
    <t>Canale Vendita</t>
  </si>
  <si>
    <t>Agenzia Nazionale</t>
  </si>
  <si>
    <t>Agenzia Territoriale</t>
  </si>
  <si>
    <t>Rewind</t>
  </si>
  <si>
    <t>Agenti</t>
  </si>
  <si>
    <t>Nome Agenzie/Agente</t>
  </si>
  <si>
    <t>ALL INCLUSIVE COMPANY</t>
  </si>
  <si>
    <t>SUPER FLEX</t>
  </si>
  <si>
    <t>SUPER GIGA 70</t>
  </si>
  <si>
    <t>MY SHARE 15GB</t>
  </si>
  <si>
    <t>MY SHARE 30GB</t>
  </si>
  <si>
    <t>MY SHARE 60GB</t>
  </si>
  <si>
    <t>GIGA MONDO</t>
  </si>
  <si>
    <t>GIGA MONDO +</t>
  </si>
  <si>
    <t>M2M Full</t>
  </si>
  <si>
    <t>BUSINESS EVERYWHERE</t>
  </si>
  <si>
    <t>INTERNATIONAL AZIENDE</t>
  </si>
  <si>
    <t>ROAMING PASS</t>
  </si>
  <si>
    <t>Teleseller OUT</t>
  </si>
  <si>
    <t>CTR Agenzia</t>
  </si>
  <si>
    <t>CTR Fornitura</t>
  </si>
  <si>
    <t>Dettaglio TLS</t>
  </si>
  <si>
    <t>Contratto Vendita Teleseller</t>
  </si>
  <si>
    <t>Energica</t>
  </si>
  <si>
    <t>VOICE UNLIMITED 60GB</t>
  </si>
  <si>
    <t>Basket 2GB</t>
  </si>
  <si>
    <t>Basket 10GB</t>
  </si>
  <si>
    <t>Basket 50GB</t>
  </si>
  <si>
    <t>Basket 100GB</t>
  </si>
  <si>
    <t>Basket 20GB</t>
  </si>
  <si>
    <t>Basket 1000GB</t>
  </si>
  <si>
    <t>Le Offerte Super Unlimited, Super Unlimited Plus, Super Smart 100 e Super Flex, Super GIGA 70, Super GIGA Unlimited prevedono l’opzione Secure Web Mobile sempre abilitata al costo aggiuntivo di 1 €/mese.</t>
  </si>
  <si>
    <t>SMART SHARE UNLIMITED</t>
  </si>
  <si>
    <t>PROMO MV SVO SUPER UNLIMITED PLUS - solo per ordini FS</t>
  </si>
  <si>
    <t>OFFERTA</t>
  </si>
  <si>
    <t>PHX listino</t>
  </si>
  <si>
    <t>PREZZO SCONTATO</t>
  </si>
  <si>
    <t>Descrizione Sconto</t>
  </si>
  <si>
    <t>CONDIZIONI VALIDITA' SCONTO</t>
  </si>
  <si>
    <t>NOME PROMO</t>
  </si>
  <si>
    <t>ID PROMO</t>
  </si>
  <si>
    <t>SUPER Unlimited Plus</t>
  </si>
  <si>
    <t>PHX70281</t>
  </si>
  <si>
    <t>Promozione 43% SUPER Unlimited Plus</t>
  </si>
  <si>
    <t>PROMO SVO (visibile con con flag FS)</t>
  </si>
  <si>
    <t>SVO - SUPER Unlimited Plus SCONTO 15€ - PROMOaVOLUME</t>
  </si>
  <si>
    <t>9991737104817346</t>
  </si>
  <si>
    <t>Promozione 11% SUPER Unlimited Plus +Promozione 34% SUPER Unlimited Plus</t>
  </si>
  <si>
    <t>SVO - SUPER Unlimited Plus SCONTO 16€ - PROMOaVOLUME</t>
  </si>
  <si>
    <t>9991737105195779</t>
  </si>
  <si>
    <t>PROMO MV SUPER UNLIMITED - solo per ordini FS</t>
  </si>
  <si>
    <t>SUPER Unlimited</t>
  </si>
  <si>
    <t xml:space="preserve">PHX70087 </t>
  </si>
  <si>
    <t>Promozione 48% SUPER Unlimited + Promozione 4% SUPER Unlimited</t>
  </si>
  <si>
    <t>SVO - SUPER Unlimited SCONTO 12,99€ - GRANDI AZIENDE</t>
  </si>
  <si>
    <t>9991737105503895</t>
  </si>
  <si>
    <t>Promozione 4% SUPER Unlimited+ Promozione 12% SUPER Unlimited +Promozione 40% SUPER Unlimited</t>
  </si>
  <si>
    <t>SVO - SUPER Unlimited SCONTO 13,99€  - PROMOaVOLUME</t>
  </si>
  <si>
    <t>9991737105764288</t>
  </si>
  <si>
    <t>Promozione 12% SUPER Unlimited+ Promozione 20% SUPER Unlimited +Promozione 28% SUPER Unlimited</t>
  </si>
  <si>
    <t>SVO - SUPER Unlimited SCONTO 14,99€  - PROMOaVOLUME</t>
  </si>
  <si>
    <t>9991737106438774</t>
  </si>
  <si>
    <t>Promozione 40% SUPER Unlimited + Promozione 20% SUPER Unlimited + Promozione 4% SUPER Unlimited</t>
  </si>
  <si>
    <t>SVO - SUPER Unlimited SCONTO 15,99€  - PROMOaVOLUME</t>
  </si>
  <si>
    <t>9991737106556342</t>
  </si>
  <si>
    <t>PROMO MV SUPER SMART 100 - solo per ordini FS</t>
  </si>
  <si>
    <t>SUPER Smart 100</t>
  </si>
  <si>
    <t>PHX80123</t>
  </si>
  <si>
    <t>Promozione 61% Super Smart 100</t>
  </si>
  <si>
    <t>SVO - SUPER Smart 100 SCONTO 14€ - PROMOaVOLUME</t>
  </si>
  <si>
    <t>9991737106694984</t>
  </si>
  <si>
    <t>Promozione 4% Super Smart 100+ Promozione 61% Super Smart 100</t>
  </si>
  <si>
    <t>SVO - SUPER Smart 100 SCONTO 15€ - PROMOaVOLUME</t>
  </si>
  <si>
    <t>9991737106830020</t>
  </si>
  <si>
    <t>Promozione 61% Super Smart 100 + Promozione 9% Super Smart 100</t>
  </si>
  <si>
    <t>SVO - SUPER Smart 100 SCONTO 16€ - PROMOaVOLUME</t>
  </si>
  <si>
    <t>9991737106930108</t>
  </si>
  <si>
    <t>PROMO MV SUPER SMART 5 - solo per ordini FS</t>
  </si>
  <si>
    <t>SUPER Smart</t>
  </si>
  <si>
    <t xml:space="preserve">PHX70080  </t>
  </si>
  <si>
    <t>Promozione 60% SUPER Smart</t>
  </si>
  <si>
    <t>SVO - SUPER Smart SCONTO 11,99€  - PROMOaVOLUME</t>
  </si>
  <si>
    <t>9991737107053247</t>
  </si>
  <si>
    <t>Promozione 5% SUPER Smart + Promozione 60% SUPER Smart</t>
  </si>
  <si>
    <t>SVO - SUPER Smart SCONTO 12,99€  - PROMOaVOLUME</t>
  </si>
  <si>
    <t>9991737107144986</t>
  </si>
  <si>
    <t>Promozione 5% SUPER Smart + Promozione 15% SUPER Smart + Promozione 50% SUPER Smart</t>
  </si>
  <si>
    <t>SVO - SUPER Smart SCONTO 13,99€  - PROMOaVOLUME</t>
  </si>
  <si>
    <t>9991737107281642</t>
  </si>
  <si>
    <t>Promozione 25% SUPER Smart + Promozione 50% SUPER Smart</t>
  </si>
  <si>
    <t>SVO - SUPER Smart SCONTO 14,99€  - PROMOaVOLUME</t>
  </si>
  <si>
    <t>9991737107398691</t>
  </si>
  <si>
    <t>PROMO MV SUPER GIGA 30 - solo per ordini FS</t>
  </si>
  <si>
    <t xml:space="preserve">PHX70102   </t>
  </si>
  <si>
    <t>Promozione 20% SUPER Giga 30 +Promozione 33% SUPER Giga 30</t>
  </si>
  <si>
    <t>SVO - SUPER GIGA 30 SCONTO 8€  - PROMOaVOLUME</t>
  </si>
  <si>
    <t>9991737108322178</t>
  </si>
  <si>
    <t>Promozione 26% SUPER Giga 30 +Promozione 33% SUPER Giga 30</t>
  </si>
  <si>
    <t>SVO - SUPER GIGA 30 SCONTO 9€  - PROMOaVOLUME</t>
  </si>
  <si>
    <t>9991737108446176</t>
  </si>
  <si>
    <t>Promozione 13% SUPER Giga 30 +Promozione 20% SUPER Giga 30 +Promozione 33% SUPER Giga 30</t>
  </si>
  <si>
    <t>SVO - SUPER GIGA 30 SCONTO 10€  - PROMOaVOLUME</t>
  </si>
  <si>
    <t>9991737108572978</t>
  </si>
  <si>
    <t>PROMO MV SUPER GIGA 70 - solo per ordini FS</t>
  </si>
  <si>
    <t xml:space="preserve">PHX70103 </t>
  </si>
  <si>
    <t>Promozione 10% SUPER Giga 70+Promozione 15% SUPER Giga 70+Promozione 25% SUPER Giga 70</t>
  </si>
  <si>
    <t>SVO - SUPER GIGA 70 SCONTO 10€  - PROMOaVOLUME</t>
  </si>
  <si>
    <t>9991737108709515</t>
  </si>
  <si>
    <t>Promozione 10% SUPER Giga 70+Promozione 20% SUPER Giga 70+Promozione 25% SUPER Giga 70</t>
  </si>
  <si>
    <t>SVO - SUPER GIGA 70 SCONTO 11€  - PROMOaVOLUME</t>
  </si>
  <si>
    <t>9991737108821802</t>
  </si>
  <si>
    <t>Promozione 15% SUPER Giga 70+Promozione 20% SUPER Giga 70+Promozione 25% SUPER Giga 70</t>
  </si>
  <si>
    <t>SVO - SUPER GIGA 70 SCONTO 12€  - PROMOaVOLUME</t>
  </si>
  <si>
    <t>9991737108928321</t>
  </si>
  <si>
    <t>Promozione 10% SUPER Giga 70+Promozione 15% SUPER Giga 70+Promozione 20% SUPER Giga 70+Promozione 25% SUPER Giga 70</t>
  </si>
  <si>
    <t>SVO - SUPER GIGA 70 SCONTO 14€  - PROMOaVOLUME</t>
  </si>
  <si>
    <t>9991737109029254</t>
  </si>
  <si>
    <t>Promo SVO Fuori Standard</t>
  </si>
  <si>
    <t>Super Smart 100</t>
  </si>
  <si>
    <t>SUPER Giga Unlimited</t>
  </si>
  <si>
    <t>TOP MONDO</t>
  </si>
  <si>
    <t>MONDO</t>
  </si>
  <si>
    <t>N° SIM</t>
  </si>
  <si>
    <t>OPZIONI</t>
  </si>
  <si>
    <t>*** Prezzo al netto della Secure web mobile</t>
  </si>
  <si>
    <t xml:space="preserve">N° </t>
  </si>
  <si>
    <t>Opzioni</t>
  </si>
  <si>
    <t>MY SHARE 5GB</t>
  </si>
  <si>
    <t>VOICE UNLIMITED 5GB</t>
  </si>
  <si>
    <t>Business Travel Dati S</t>
  </si>
  <si>
    <t>Business Travel Dati M</t>
  </si>
  <si>
    <t>Business Travel Dati L</t>
  </si>
  <si>
    <t>Business Travel Dati Mondo</t>
  </si>
  <si>
    <t>Business Travel  S</t>
  </si>
  <si>
    <t>Business Travel  M</t>
  </si>
  <si>
    <t>Business Travel  L</t>
  </si>
  <si>
    <t>Business Travel  Mondo</t>
  </si>
  <si>
    <t>Teleseller IN</t>
  </si>
  <si>
    <t>Promozione 28% SUPER Unlimited+ Promozione 40% SUPER Unlimited</t>
  </si>
  <si>
    <t>SUPER Unlimited SCONTO 16,99€   - PROMOaVOLUME</t>
  </si>
  <si>
    <t>9991744366366368</t>
  </si>
  <si>
    <t>Promozione 61% Super Smart 100 + Promozione 9% Super Smart 100+Promozione 4% Super Smart 100</t>
  </si>
  <si>
    <t>SUPER Smart 100 SCONTO 17€ - PROMOaVOLUME</t>
  </si>
  <si>
    <t>9991744366549159</t>
  </si>
  <si>
    <t xml:space="preserve">LISTINO </t>
  </si>
  <si>
    <t>PHX</t>
  </si>
  <si>
    <t>Condizione Validità sconto</t>
  </si>
  <si>
    <t xml:space="preserve">PHX70080 </t>
  </si>
  <si>
    <t xml:space="preserve">PHX70101  </t>
  </si>
  <si>
    <t>SUPER Giga 70</t>
  </si>
  <si>
    <t>SUPER Giga 30</t>
  </si>
  <si>
    <t>Promozione 100% Una Tantum</t>
  </si>
  <si>
    <t>Promo SVO MV su contributo UT (visibile con con flag FS)</t>
  </si>
  <si>
    <t>SVO - SCONTO 100% UNA TANTUM PRE - PROMOaVOLUME</t>
  </si>
  <si>
    <t>9991744383305294</t>
  </si>
  <si>
    <t>9991744383690315</t>
  </si>
  <si>
    <t>Nome Teleseller</t>
  </si>
  <si>
    <t>SVO - SCONTO 100% UNA TANTUM POST - PROMOaVOLUME</t>
  </si>
  <si>
    <t>PHX70495</t>
  </si>
  <si>
    <t>SVO - SCONTO 100% UNA TANTUM M2M Full - PROMOaVOLUME</t>
  </si>
  <si>
    <t>9991761657929872</t>
  </si>
  <si>
    <t>Promozione 29% SUPER Unlimited Plus + Promozione 11% SUPER Unlimited Plus</t>
  </si>
  <si>
    <t>SVO - SUPER Unlimited Plus SCONTO 14€ - PROMOaVOLUME</t>
  </si>
  <si>
    <t>9991761658420627</t>
  </si>
  <si>
    <t xml:space="preserve">Promozione 40% SUPER Unlimited </t>
  </si>
  <si>
    <t>SVO - SUPER Unlimited SCONTO 10€ - GRANDI AZIENDE</t>
  </si>
  <si>
    <t>9991761658121657</t>
  </si>
  <si>
    <t>PROMO MV M2M - solo per ordini FS</t>
  </si>
  <si>
    <t>Promozione 30% M2M Full + Promozione 50% M2M Full</t>
  </si>
  <si>
    <t>SVO - M2M Full SCONTO 4€  - PROMOaVOLUME</t>
  </si>
  <si>
    <t>9991761658820972</t>
  </si>
  <si>
    <t>Nuova richiesta / Ampliamento</t>
  </si>
  <si>
    <t>Prezzo richiesto (€/mese/cad.)</t>
  </si>
  <si>
    <t>Canale di Vendita Teleseller</t>
  </si>
  <si>
    <t>PROMO MAXI RATA</t>
  </si>
  <si>
    <t>CLIENTE</t>
  </si>
  <si>
    <t>NUOVO CLIENTE</t>
  </si>
  <si>
    <t xml:space="preserve">Promozione 28% SUPER Unlimited </t>
  </si>
  <si>
    <t xml:space="preserve">Promozione 12% SUPER Unlimited + Promozione 20% SUPER Unlimited  </t>
  </si>
  <si>
    <t>Promozione 4% SUPER Unlimited 
Promozione 12% SUPER Unlimited
Promozione 20% SUPER Unlimited</t>
  </si>
  <si>
    <t>SVO - SUPER Unlimited SCONTO 7€  - PROMOaVOLUME</t>
  </si>
  <si>
    <t>9991763715971927</t>
  </si>
  <si>
    <t>SVO - SUPER Unlimited SCONTO 8€  - PROMOaVOLUME</t>
  </si>
  <si>
    <t>9991763718825644</t>
  </si>
  <si>
    <t>SVO - SUPER Unlimited SCONTO 9€  - PROMOaVOLUME</t>
  </si>
  <si>
    <t>9991763719721210</t>
  </si>
  <si>
    <t>Promozione 40% SUPER Unlimited + Promozione 4% SUPER Unlimited</t>
  </si>
  <si>
    <t>SVO - SUPER Unlimited SCONTO 11€  - PROMOaVOLUME</t>
  </si>
  <si>
    <t>9991763719872655</t>
  </si>
  <si>
    <t>Promozione 48% SUPER Unlimited</t>
  </si>
  <si>
    <t>SVO - SUPER Unlimited SCONTO 12€  - PROMOaVOLUME</t>
  </si>
  <si>
    <t>9991763719964172</t>
  </si>
  <si>
    <t>Promozione 26% Super Smart 100 + Promozione 17% Super Smart 100 + Promozione 9% Super Smart 100</t>
  </si>
  <si>
    <t>SVO - SUPER Smart 100 SCONTO 12€ - PROMOaVOLUME</t>
  </si>
  <si>
    <t>9991763720338335</t>
  </si>
  <si>
    <t>Promozione 26% Super Smart 100 + Promozione 17% Super Smart 100 + Promozione 9% Super Smart 100+ Promozione 4% Super Smart 100</t>
  </si>
  <si>
    <t>SVO - SUPER Smart 100 SCONTO 13€ - PROMOaVOLUME</t>
  </si>
  <si>
    <t>9991763720539470</t>
  </si>
  <si>
    <t>Promozione 50% M2M Full</t>
  </si>
  <si>
    <t>SVO - M2M Full SCONTO 2,50€  - PROMOaVOLUME</t>
  </si>
  <si>
    <t>9991763721405185</t>
  </si>
  <si>
    <t>Promozione 30% M2M Full + Promozione 40% M2M Full</t>
  </si>
  <si>
    <t>SVO - M2M Full SCONTO 3,50€  - PROMOaVOLUME</t>
  </si>
  <si>
    <t>9991763721484130</t>
  </si>
  <si>
    <t>PROMO MV SMART SHARE UNLIMITED - solo per ordini FS</t>
  </si>
  <si>
    <t>PHX00171</t>
  </si>
  <si>
    <t xml:space="preserve">  Promozione 20% Smart Share Unlimited</t>
  </si>
  <si>
    <t>SVO - Smart Share Unlimited SCONTO 4€  - PROMOaVOLUME</t>
  </si>
  <si>
    <t>9991763721560100</t>
  </si>
  <si>
    <t>Promozione 30% Smart Share Unlimited</t>
  </si>
  <si>
    <t>SVO - Smart Share Unlimited SCONTO 6€  - PROMOaVOLUME</t>
  </si>
  <si>
    <t>9991763721787270</t>
  </si>
  <si>
    <t xml:space="preserve"> Promozione 40% Smart Share Unlimited</t>
  </si>
  <si>
    <t>SVO - Smart Share Unlimited SCONTO 8€  - PROMOaVOLUME</t>
  </si>
  <si>
    <t>9991763721900784</t>
  </si>
  <si>
    <t>Promozione 50% Smart Share Unlimited</t>
  </si>
  <si>
    <t>SVO - Smart Share Unlimited SCONTO 10€  - PROMOaVOLUME</t>
  </si>
  <si>
    <t>9991763721992022</t>
  </si>
  <si>
    <t>SVO - Smart Share Unlimited SCONTO 12€  - PROMOaVOLUME</t>
  </si>
  <si>
    <t>9991763722064173</t>
  </si>
  <si>
    <t>PROMO MV SMART SHARE 500 - solo per ordini FS</t>
  </si>
  <si>
    <t>PHX00170</t>
  </si>
  <si>
    <t>Promozione 20% Smart Share 500</t>
  </si>
  <si>
    <t>SVO - Smart Share 500 SCONTO 2€  - PROMOaVOLUME</t>
  </si>
  <si>
    <t>9991763722450241</t>
  </si>
  <si>
    <t>Promozione 30% Smart Share 500</t>
  </si>
  <si>
    <t>SVO - Smart Share 500 SCONTO 3€  - PROMOaVOLUME</t>
  </si>
  <si>
    <t>9991763722508096</t>
  </si>
  <si>
    <t>Promozione 40% Smart Share 500</t>
  </si>
  <si>
    <t>SVO - Smart Share 500 SCONTO 4€  - PROMOaVOLUME</t>
  </si>
  <si>
    <t>9991763722564301</t>
  </si>
  <si>
    <t>Promozione 50% Smart Share 500</t>
  </si>
  <si>
    <t>SVO - Smart Share 500 SCONTO 5€  - PROMOaVOLUME</t>
  </si>
  <si>
    <t>9991763722612878</t>
  </si>
  <si>
    <t>SVO - Smart Share 500 SCONTO 6€  - PROMOaVOLUME</t>
  </si>
  <si>
    <t>9991763722669062</t>
  </si>
  <si>
    <t>ONLY GIGA</t>
  </si>
  <si>
    <t>Leonardo Mega 6000</t>
  </si>
  <si>
    <t>PHX10083</t>
  </si>
  <si>
    <t>Offerta Commerciale</t>
  </si>
  <si>
    <t>Canale di Vendita SME</t>
  </si>
  <si>
    <t>Canale di Vendita TELESELLER</t>
  </si>
  <si>
    <t>Promozione 29% SUPER Unlimited Plus</t>
  </si>
  <si>
    <t>SVO - SUPER Unlimited Plus SCONTO 10€ - PROMOaVOLUME</t>
  </si>
  <si>
    <t>Promozione 11% SUPER Unlimited Plus + Promozione 20% SUPER Unlimited Plus</t>
  </si>
  <si>
    <t>SVO - SUPER Unlimited Plus SCONTO 11€ - PROMOaVOLUME</t>
  </si>
  <si>
    <t>Promozione 34% SUPER Unlimited Plus</t>
  </si>
  <si>
    <t>SVO - SUPER Unlimited Plus SCONTO 12€ - PROMOaVOLUME</t>
  </si>
  <si>
    <t>PROMO MV SUPER GIGA UNLIMITED - solo per ordini FS</t>
  </si>
  <si>
    <t>PHX70101</t>
  </si>
  <si>
    <t>Promo 50% SUPER Giga Unlimited</t>
  </si>
  <si>
    <t>9991770107648797</t>
  </si>
  <si>
    <t>9991770108116488</t>
  </si>
  <si>
    <t>9991770108274108</t>
  </si>
  <si>
    <t>AMPLIAMENTO</t>
  </si>
  <si>
    <t>AMPLIAMENTO MEDESIME CONDIZIONI</t>
  </si>
  <si>
    <t>Trattativa Convergente Fisso/Mobile</t>
  </si>
  <si>
    <t>Promozione 20% Smart Share 500 +  Promozione 40% Smart Share 500</t>
  </si>
  <si>
    <t>M2M 1GB</t>
  </si>
  <si>
    <t>M2M 5GB</t>
  </si>
  <si>
    <t>M2M 10GB</t>
  </si>
  <si>
    <t>M2M 100GB</t>
  </si>
  <si>
    <t>M2M 300GB</t>
  </si>
  <si>
    <t>M2M 500GB</t>
  </si>
  <si>
    <t>PROMO MV M2M 1GB</t>
  </si>
  <si>
    <t>CPQ10953</t>
  </si>
  <si>
    <t>Promo 25% M2M 1GB</t>
  </si>
  <si>
    <t xml:space="preserve"> Promo 10% M2M 1GB</t>
  </si>
  <si>
    <t>PROMO MV M2M 5GB</t>
  </si>
  <si>
    <t>CPQ10964</t>
  </si>
  <si>
    <t>Promo 25% M2M 5GB</t>
  </si>
  <si>
    <t xml:space="preserve">SVO - M2M 5GB SCONTO 1€ - PROMOaVOLUME </t>
  </si>
  <si>
    <t>9991772720471507</t>
  </si>
  <si>
    <t>Promo 12,5% M2M 5GB</t>
  </si>
  <si>
    <t xml:space="preserve">SVO - M2M 5GB SCONTO 0,50€ - PROMOaVOLUME </t>
  </si>
  <si>
    <t>9991772720823936</t>
  </si>
  <si>
    <t>PROMO MV M2M 10GB</t>
  </si>
  <si>
    <t>CPQ10965</t>
  </si>
  <si>
    <t xml:space="preserve"> Promo 8,5% M2M 10GB</t>
  </si>
  <si>
    <t>SVO - M2M 10GB SCONTO 0,50€  - PROMOaVOLUME</t>
  </si>
  <si>
    <t>9991772720244343</t>
  </si>
  <si>
    <t>Promo 25% M2M 10GB</t>
  </si>
  <si>
    <t>SVO - M2M 10GB SCONTO 1,50€  - PROMOaVOLUME</t>
  </si>
  <si>
    <t>9991772720326811</t>
  </si>
  <si>
    <t>PROMO MV M2M 300GB</t>
  </si>
  <si>
    <t>CPQ10967</t>
  </si>
  <si>
    <t>Promo 10% M2M 300GB</t>
  </si>
  <si>
    <t xml:space="preserve">SVO - M2M 300GB SCONTO 1,50€ - PROMOaVOLUME </t>
  </si>
  <si>
    <t>9991772720035390</t>
  </si>
  <si>
    <t>PROMO MV M2M 100GB</t>
  </si>
  <si>
    <t>CPQ10966</t>
  </si>
  <si>
    <t>Promo 12,5% M2M 100GB</t>
  </si>
  <si>
    <t>SVO - M2M 100GB SCONTO 1,50€ - PROMOaVOLUME</t>
  </si>
  <si>
    <t>9991772720099934</t>
  </si>
  <si>
    <t>PROMO MV M2M 500GB</t>
  </si>
  <si>
    <t>CPQ10968</t>
  </si>
  <si>
    <t xml:space="preserve"> Promo 11% M2M 500GB</t>
  </si>
  <si>
    <t xml:space="preserve">SVO - M2M 500GB SCONTO 2€ - PROMOaVOLUME </t>
  </si>
  <si>
    <t>9991772719848885</t>
  </si>
  <si>
    <t>SVO - SUPER GigA Unlimited SCONTO 10€  - PROMOaVOLUME</t>
  </si>
  <si>
    <t>Canone mensile (€/mese/cad.) ***</t>
  </si>
  <si>
    <t>Promo Rimborso penali</t>
  </si>
  <si>
    <t xml:space="preserve">Secure Web Mobile </t>
  </si>
  <si>
    <t xml:space="preserve">Rata Mensile </t>
  </si>
  <si>
    <t>Rata Iniziale</t>
  </si>
  <si>
    <t>Rata Finale</t>
  </si>
  <si>
    <t>Modello Device</t>
  </si>
  <si>
    <t>UT Attivazione</t>
  </si>
  <si>
    <t>Promozione 26% Super Smart 100 + Promozione 17% Super Smart 100</t>
  </si>
  <si>
    <t>SVO - SUPER Smart 100 SCONTO 10€ - PROMOaVOLUME</t>
  </si>
  <si>
    <t>9991776934555829</t>
  </si>
  <si>
    <t>Promo 25% SUPER Giga Unlimited</t>
  </si>
  <si>
    <t>SVO - SUPER GigA Unlimited SCONTO 5€  - PROMOaVOLUME</t>
  </si>
  <si>
    <t>9991776865925597</t>
  </si>
  <si>
    <t>Promo 10% SUPER Giga Unlimited  +  Promo 25% SUPER Giga Unlimited</t>
  </si>
  <si>
    <t>SVO - SUPER GigA Unlimited SCONTO 7€  - PROMOaVOLUME</t>
  </si>
  <si>
    <t>9991776865834309</t>
  </si>
  <si>
    <t>PROMO MV ONLY GIGA - solo per ordini FS</t>
  </si>
  <si>
    <t>Only Giga</t>
  </si>
  <si>
    <t>PHX00151</t>
  </si>
  <si>
    <t>Promozione 50% Only Giga</t>
  </si>
  <si>
    <t>SVO - Only Giga  2€  - PROMOaVOLUME</t>
  </si>
  <si>
    <t>9991776934406966</t>
  </si>
  <si>
    <t>Leonardo Mega 6000 - solo per ordini FS</t>
  </si>
  <si>
    <t>Promo 40% Leonardo Mega 6000</t>
  </si>
  <si>
    <t>SVO - Leonardo Mega 6000 SCONTO 2€  - PROMOaVOLUME</t>
  </si>
  <si>
    <t>9991776934299976</t>
  </si>
  <si>
    <t>Promo 65% Super Giga 70</t>
  </si>
  <si>
    <t>SVO - SUPER GIGA 70 SCONTO 13€  - PROMOaVOLUME</t>
  </si>
  <si>
    <t>9991781248746522</t>
  </si>
  <si>
    <t>Promozione 20% Smart Share Unlimited +  Promozione 40% Smart Share Unlimited</t>
  </si>
  <si>
    <t>9991781677199158</t>
  </si>
  <si>
    <t>Business Travel  weekly</t>
  </si>
  <si>
    <t>Business Travel  weekly dati</t>
  </si>
  <si>
    <t xml:space="preserve">W3 </t>
  </si>
  <si>
    <t xml:space="preserve"> Promo 50% M2M 1GB</t>
  </si>
  <si>
    <t xml:space="preserve">SVO - M2M 1GB SCONTO 1€  - PROMOaVOLUME </t>
  </si>
  <si>
    <t>9991782289301698</t>
  </si>
  <si>
    <t>NEW</t>
  </si>
  <si>
    <t xml:space="preserve">SVO - M2M 1GB SCONTO 0,50€  - PROMOaVOLUME </t>
  </si>
  <si>
    <t>9991782289069453</t>
  </si>
  <si>
    <t xml:space="preserve">SVO - M2M 1GB SCONTO 0,20€  - PROMOaVOLUME </t>
  </si>
  <si>
    <t>9991782289145788</t>
  </si>
  <si>
    <t>Promo 75% M2M 5GB</t>
  </si>
  <si>
    <t xml:space="preserve">SVO - M2M 5GB SCONTO 3€ - PROMOaVOLUME </t>
  </si>
  <si>
    <t>9991782287364062</t>
  </si>
  <si>
    <t>Promo 50% M2M 10GB</t>
  </si>
  <si>
    <t>SVO - M2M 10GB SCONTO 3€  - PROMOaVOLUME</t>
  </si>
  <si>
    <t>9991782286968306</t>
  </si>
  <si>
    <t>Promo 33% M2M 100GB</t>
  </si>
  <si>
    <t>SVO - M2M 100GB SCONTO 4€ - PROMOaVOLUME</t>
  </si>
  <si>
    <t>9991782286826255</t>
  </si>
  <si>
    <t>Promo 22% M2M 500GB</t>
  </si>
  <si>
    <t xml:space="preserve">SVO - M2M 500GB SCONTO 4€ - PROMOaVOLUME </t>
  </si>
  <si>
    <t>9991782286602814</t>
  </si>
  <si>
    <t>Pubblica Amministrazione</t>
  </si>
  <si>
    <t>SUPER Unlimited PRO</t>
  </si>
  <si>
    <t>SUPER Smart 200</t>
  </si>
  <si>
    <t>SUPER Smart 20</t>
  </si>
  <si>
    <t>SUPER Unlimited MONDO</t>
  </si>
  <si>
    <t>PHASE OUT</t>
  </si>
  <si>
    <t>Leonardo Mega 1000</t>
  </si>
  <si>
    <t>LISTINI PHASE OUT</t>
  </si>
  <si>
    <t>SUPER Unlimited Mondo</t>
  </si>
  <si>
    <t>CPQ11586</t>
  </si>
  <si>
    <t xml:space="preserve">Promo 28% SUPER Unlimited MONDO </t>
  </si>
  <si>
    <t xml:space="preserve">Promo 31% SUPER Unlimited MONDO </t>
  </si>
  <si>
    <t xml:space="preserve">Promo 33% SUPER Unlimited MONDO </t>
  </si>
  <si>
    <t xml:space="preserve">Promo 39% SUPER Unlimited MONDO </t>
  </si>
  <si>
    <t xml:space="preserve">Promo 42% SUPER Unlimited MONDO </t>
  </si>
  <si>
    <t xml:space="preserve">Promo 44% SUPER Unlimited MONDO </t>
  </si>
  <si>
    <t>SVO - SUPER Unlimited MONDO SCONTO 10€ - PROMOaVOLUME</t>
  </si>
  <si>
    <t>SVO - SUPER Unlimited MONDO SCONTO 11€ - PROMOaVOLUME</t>
  </si>
  <si>
    <t>SVO - SUPER Unlimited MONDO SCONTO 12€ - PROMOaVOLUME</t>
  </si>
  <si>
    <t>SVO - SUPER Unlimited MONDO SCONTO 14€ - PROMOaVOLUME</t>
  </si>
  <si>
    <t>SVO - SUPER Unlimited MONDO SCONTO 15€ - PROMOaVOLUME</t>
  </si>
  <si>
    <t>SVO - SUPER Unlimited MONDO SCONTO 16€ - PROMOaVOLUME</t>
  </si>
  <si>
    <t>CPQ11583</t>
  </si>
  <si>
    <t>Promo 31% SUPER Unlimited PRO</t>
  </si>
  <si>
    <t>Promo 35% SUPER Unlimited PRO</t>
  </si>
  <si>
    <t>Promo 38% SUPER Unlimited PRO</t>
  </si>
  <si>
    <t>Promo 42% SUPER Unlimited PRO</t>
  </si>
  <si>
    <t>Promo 46% SUPER Unlimited PRO</t>
  </si>
  <si>
    <t>Promo 54% SUPER Unlimited PRO</t>
  </si>
  <si>
    <t>Promo 58% SUPER Unlimited PRO</t>
  </si>
  <si>
    <t>Promo 62% SUPER Unlimited PRO</t>
  </si>
  <si>
    <t>Promo 65% SUPER Unlimited PRO</t>
  </si>
  <si>
    <t>PROMO MV SUPER UNLIMITED PRO - solo per ordini FS</t>
  </si>
  <si>
    <t>PROMO MV SUPER SMART 200 - solo per ordini FS</t>
  </si>
  <si>
    <t>CPQ11607</t>
  </si>
  <si>
    <t>Promo 46% SUPER Smart 200</t>
  </si>
  <si>
    <t>SVO - SUPER Smart 200 SCONTO 11€ - PROMOaVOLUME</t>
  </si>
  <si>
    <t>Promo 50% SUPER Smart 200</t>
  </si>
  <si>
    <t>SVO - SUPER Smart 200 SCONTO 12€ - PROMOaVOLUME</t>
  </si>
  <si>
    <t>Promo 54% SUPER Smart 200</t>
  </si>
  <si>
    <t>SVO - SUPER Smart 200 SCONTO 13€ - PROMOaVOLUME</t>
  </si>
  <si>
    <t>Promo 58% SUPER Smart 200</t>
  </si>
  <si>
    <t>SVO - SUPER Smart 200 SCONTO 14€ - PROMOaVOLUME</t>
  </si>
  <si>
    <t>Promo 63% SUPER Smart 200</t>
  </si>
  <si>
    <t>SVO - SUPER Smart 200 SCONTO 15€ - PROMOaVOLUME</t>
  </si>
  <si>
    <t>Promo 67% SUPER Smart 200</t>
  </si>
  <si>
    <t>SVO - SUPER Smart 200 SCONTO 16€ - PROMOaVOLUME</t>
  </si>
  <si>
    <t>Promo 71% SUPER Smart 200</t>
  </si>
  <si>
    <t>PROMO MV SUPER SMART 20 - solo per ordini FS</t>
  </si>
  <si>
    <t>CPQ11655</t>
  </si>
  <si>
    <t>Promo 74% SUPER Smart 20</t>
  </si>
  <si>
    <t>Inconmpatibile con lo sconto PHX70105.</t>
  </si>
  <si>
    <t>9991790761098504</t>
  </si>
  <si>
    <t>9991790761629179</t>
  </si>
  <si>
    <t>9991790761718407</t>
  </si>
  <si>
    <t>9991790762270425</t>
  </si>
  <si>
    <t>9991790762357313</t>
  </si>
  <si>
    <t>9991790762424736</t>
  </si>
  <si>
    <t>SVO - SUPER Unlimited PRO SCONTO 8€  - PROMOaVOLUME</t>
  </si>
  <si>
    <t>9991790762945854</t>
  </si>
  <si>
    <t>SVO - SUPER Unlimited PRO SCONTO 9€  - PROMOaVOLUME</t>
  </si>
  <si>
    <t>9991790766512145</t>
  </si>
  <si>
    <t>SVO - SUPER Unlimited PRO SCONTO 10€  - PROMOaVOLUME</t>
  </si>
  <si>
    <t>9991790766577810</t>
  </si>
  <si>
    <t>SVO - SUPER Unlimited PRO SCONTO 11€ - GRANDI AZIENDE</t>
  </si>
  <si>
    <t>9991790766667012</t>
  </si>
  <si>
    <t>SVO - SUPER Unlimited PRO SCONTO 12€  - PROMOaVOLUME</t>
  </si>
  <si>
    <t>9991790766749336</t>
  </si>
  <si>
    <t>SVO - SUPER Unlimited PRO SCONTO 13€  - PROMOaVOLUME</t>
  </si>
  <si>
    <t>SVO - SUPER Unlimited PRO SCONTO 14€ - GRANDI AZIENDE</t>
  </si>
  <si>
    <t>9991790766871313</t>
  </si>
  <si>
    <t>SVO - SUPER Unlimited PRO SCONTO 15€  - PROMOaVOLUME</t>
  </si>
  <si>
    <t>9991790766931962</t>
  </si>
  <si>
    <t>SVO - SUPER Unlimited PRO SCONTO 16€  - PROMOaVOLUME</t>
  </si>
  <si>
    <t>9991790766986983</t>
  </si>
  <si>
    <t>SVO - SUPER Unlimited PRO SCONTO 17€  - PROMOaVOLUME</t>
  </si>
  <si>
    <t>9991790767042045</t>
  </si>
  <si>
    <t>9991790767125629</t>
  </si>
  <si>
    <t>9991790767216853</t>
  </si>
  <si>
    <t>9991790767355058</t>
  </si>
  <si>
    <t>9991790767441901</t>
  </si>
  <si>
    <t>9991790767507466</t>
  </si>
  <si>
    <t>9991790768754361</t>
  </si>
  <si>
    <t>SVO - SUPER Smart 200 SCONTO 17€ - PROMOaVOLUME</t>
  </si>
  <si>
    <t>9991790768819080</t>
  </si>
  <si>
    <t>SUPER Smart 200GB</t>
  </si>
  <si>
    <t>SUPER Smart 20GB</t>
  </si>
  <si>
    <t>SVO - SUPER Smart 20 SCONTO 14€  - PROMOaVOLUME</t>
  </si>
  <si>
    <t>9991790768883071</t>
  </si>
  <si>
    <t>PROMO MV Leonardo Mega 6000</t>
  </si>
  <si>
    <t xml:space="preserve">Leonardo Mega 6000 </t>
  </si>
  <si>
    <t>SI</t>
  </si>
  <si>
    <t>NO</t>
  </si>
  <si>
    <t>CPQ11711 | Sconto 100% Una Tantum SUPER</t>
  </si>
  <si>
    <t>SVO - Sconto 100% Una Tantum SUPER   - PROMOaVOLUME</t>
  </si>
  <si>
    <t>9991790945508228</t>
  </si>
  <si>
    <t>Super Smart 100GB</t>
  </si>
  <si>
    <t>Super Smart 5GB</t>
  </si>
  <si>
    <t>Promo 50% SUPER Unlimited PRO</t>
  </si>
  <si>
    <t>9991791214287880</t>
  </si>
  <si>
    <t>PHASE OUT non visibili</t>
  </si>
  <si>
    <t>Promo 63% SUPER Smart 20</t>
  </si>
  <si>
    <t>SVO - SUPER Smart 20 SCONTO 12€  - PROMOaVOLUME</t>
  </si>
  <si>
    <t>9991792049616258</t>
  </si>
  <si>
    <t>Promo 58% SUPER Smart 20</t>
  </si>
  <si>
    <t>SVO - SUPER Smart 20 SCONTO 11€  - PROMOaVOLUME</t>
  </si>
  <si>
    <t>9991792157069084</t>
  </si>
  <si>
    <t>2026_Ottobre_21</t>
  </si>
  <si>
    <t>Promo 68% SUPER Smart 20</t>
  </si>
  <si>
    <t>SVO - SUPER Smart 20 SCONTO 13€  - PROMOaVOLUME</t>
  </si>
  <si>
    <t>9991792501640828</t>
  </si>
  <si>
    <t>Promo 53% SUPER Smart 20</t>
  </si>
  <si>
    <t>SVO - SUPER Smart 20 SCONTO 10€  - PROMOaVOLUME</t>
  </si>
  <si>
    <t>9991792501781049</t>
  </si>
  <si>
    <t>Promo UT Attivazione</t>
  </si>
  <si>
    <t>ID Promo UT Attivazione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</si>
</sst>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#,##0\ &quot;€&quot;"/>
    <numFmt numFmtId="165" formatCode="_-* #,##0.00\ [$€-410]_-;\-* #,##0.00\ [$€-410]_-;_-* &quot;-&quot;??\ [$€-410]_-;_-@_-"/>
    <numFmt numFmtId="166" formatCode="[$-410]mmmm\-yyyy;@"/>
  </numFmts>
  <fonts count="2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Montserrat"/>
    </font>
    <font>
      <b/>
      <sz val="11"/>
      <name val="Calibri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name val="Aptos"/>
      <family val="2"/>
    </font>
    <font>
      <sz val="11"/>
      <color theme="0"/>
      <name val="Aptos"/>
      <family val="2"/>
    </font>
    <font>
      <b/>
      <sz val="11"/>
      <color theme="0"/>
      <name val="Aptos"/>
      <family val="2"/>
    </font>
    <font>
      <b/>
      <sz val="11"/>
      <color rgb="FFFF0000"/>
      <name val="Calibri"/>
      <family val="2"/>
      <scheme val="minor"/>
    </font>
    <font>
      <b/>
      <sz val="10"/>
      <color rgb="FFFF0000"/>
      <name val="Aptos"/>
      <family val="2"/>
    </font>
    <font>
      <sz val="11"/>
      <color rgb="FFFF0000"/>
      <name val="Aptos"/>
      <family val="2"/>
    </font>
    <font>
      <b/>
      <sz val="11"/>
      <color theme="4"/>
      <name val="Calibri"/>
      <family val="2"/>
      <scheme val="minor"/>
    </font>
    <font>
      <b/>
      <sz val="11"/>
      <color rgb="FFC00000"/>
      <name val="Aptos"/>
      <family val="2"/>
    </font>
    <font>
      <b/>
      <sz val="11"/>
      <color theme="0"/>
      <name val="Calibri"/>
      <family val="2"/>
      <scheme val="minor"/>
    </font>
    <font>
      <b/>
      <sz val="11"/>
      <color rgb="FF002060"/>
      <name val="Aptos"/>
      <family val="2"/>
    </font>
    <font>
      <b/>
      <sz val="10"/>
      <color rgb="FFC00000"/>
      <name val="Aptos"/>
      <family val="2"/>
    </font>
    <font>
      <b/>
      <sz val="11"/>
      <color rgb="FFC00000"/>
      <name val="Calibri"/>
      <family val="2"/>
      <scheme val="minor"/>
    </font>
    <font>
      <sz val="11"/>
      <name val="Aptos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8FFF8F"/>
        <bgColor indexed="64"/>
      </patternFill>
    </fill>
    <fill>
      <patternFill patternType="solid">
        <fgColor rgb="FFDBEBD1"/>
        <bgColor indexed="64"/>
      </patternFill>
    </fill>
    <fill>
      <patternFill patternType="solid">
        <fgColor rgb="FF2FFF8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A7FF"/>
        <bgColor indexed="64"/>
      </patternFill>
    </fill>
    <fill>
      <patternFill patternType="solid">
        <fgColor rgb="FFFFFF65"/>
        <bgColor indexed="64"/>
      </patternFill>
    </fill>
  </fills>
  <borders count="36">
    <border>
      <left/>
      <right/>
      <top/>
      <bottom/>
      <diagonal/>
    </border>
    <border>
      <left style="medium">
        <color rgb="FF171917"/>
      </left>
      <right style="medium">
        <color rgb="FF171917"/>
      </right>
      <top style="medium">
        <color rgb="FF171917"/>
      </top>
      <bottom style="medium">
        <color rgb="FF171917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499984740745262"/>
      </left>
      <right style="thin">
        <color theme="0" tint="-0.34998626667073579"/>
      </right>
      <top style="double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theme="0" tint="-0.499984740745262"/>
      </right>
      <top style="double">
        <color theme="0" tint="-0.499984740745262"/>
      </top>
      <bottom style="thin">
        <color theme="0" tint="-0.34998626667073579"/>
      </bottom>
      <diagonal/>
    </border>
    <border>
      <left style="double">
        <color theme="0" tint="-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499984740745262"/>
      </left>
      <right style="thin">
        <color theme="0" tint="-0.34998626667073579"/>
      </right>
      <top style="thin">
        <color theme="0" tint="-0.34998626667073579"/>
      </top>
      <bottom style="double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theme="0" tint="-0.499984740745262"/>
      </bottom>
      <diagonal/>
    </border>
    <border>
      <left style="thin">
        <color theme="0" tint="-0.34998626667073579"/>
      </left>
      <right style="double">
        <color theme="0" tint="-0.499984740745262"/>
      </right>
      <top style="thin">
        <color theme="0" tint="-0.34998626667073579"/>
      </top>
      <bottom style="double">
        <color theme="0" tint="-0.499984740745262"/>
      </bottom>
      <diagonal/>
    </border>
    <border>
      <left style="double">
        <color theme="0" tint="-0.499984740745262"/>
      </left>
      <right style="thin">
        <color theme="0" tint="-0.34998626667073579"/>
      </right>
      <top style="double">
        <color theme="0" tint="-0.499984740745262"/>
      </top>
      <bottom style="double">
        <color theme="0" tint="-0.499984740745262"/>
      </bottom>
      <diagonal/>
    </border>
    <border>
      <left style="thin">
        <color theme="0" tint="-0.34998626667073579"/>
      </left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double">
        <color theme="0" tint="-0.499984740745262"/>
      </left>
      <right/>
      <top style="double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double">
        <color theme="0" tint="-0.499984740745262"/>
      </top>
      <bottom/>
      <diagonal/>
    </border>
    <border>
      <left style="medium">
        <color indexed="64"/>
      </left>
      <right style="medium">
        <color rgb="FF171917"/>
      </right>
      <top style="medium">
        <color indexed="64"/>
      </top>
      <bottom style="medium">
        <color indexed="64"/>
      </bottom>
      <diagonal/>
    </border>
    <border>
      <left style="medium">
        <color rgb="FF171917"/>
      </left>
      <right style="medium">
        <color rgb="FF171917"/>
      </right>
      <top style="medium">
        <color indexed="64"/>
      </top>
      <bottom style="medium">
        <color indexed="64"/>
      </bottom>
      <diagonal/>
    </border>
    <border>
      <left style="medium">
        <color rgb="FF171917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/>
      <right/>
      <top style="double">
        <color theme="0" tint="-0.499984740745262"/>
      </top>
      <bottom style="double">
        <color theme="0" tint="-0.499984740745262"/>
      </bottom>
      <diagonal/>
    </border>
    <border>
      <left/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double">
        <color theme="0" tint="-0.499984740745262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double">
        <color theme="0" tint="-0.499984740745262"/>
      </right>
      <top style="thin">
        <color theme="0" tint="-0.34998626667073579"/>
      </top>
      <bottom/>
      <diagonal/>
    </border>
    <border>
      <left/>
      <right/>
      <top style="double">
        <color theme="0" tint="-0.499984740745262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double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499984740745262"/>
      </top>
      <bottom/>
      <diagonal/>
    </border>
    <border>
      <left style="thin">
        <color theme="0" tint="-0.34998626667073579"/>
      </left>
      <right style="double">
        <color theme="0" tint="-0.499984740745262"/>
      </right>
      <top style="double">
        <color theme="0" tint="-0.499984740745262"/>
      </top>
      <bottom/>
      <diagonal/>
    </border>
    <border>
      <left style="double">
        <color theme="0" tint="-0.499984740745262"/>
      </left>
      <right style="thin">
        <color theme="0" tint="-0.34998626667073579"/>
      </right>
      <top style="double">
        <color theme="0" tint="-0.499984740745262"/>
      </top>
      <bottom/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499984740745262"/>
      </top>
      <bottom style="double">
        <color theme="0" tint="-0.499984740745262"/>
      </bottom>
      <diagonal/>
    </border>
  </borders>
  <cellStyleXfs count="2">
    <xf numFmtId="0" fontId="0" fillId="0" borderId="0"/>
    <xf numFmtId="0" fontId="2" fillId="0" borderId="0"/>
  </cellStyleXfs>
  <cellXfs count="210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wrapText="1"/>
    </xf>
    <xf numFmtId="49" fontId="8" fillId="0" borderId="0" xfId="0" applyNumberFormat="1" applyFont="1"/>
    <xf numFmtId="0" fontId="8" fillId="2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7" fillId="2" borderId="0" xfId="0" applyFont="1" applyFill="1"/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5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8" fillId="0" borderId="0" xfId="0" applyFont="1" applyAlignment="1">
      <alignment horizontal="center" wrapText="1"/>
    </xf>
    <xf numFmtId="15" fontId="8" fillId="2" borderId="0" xfId="0" applyNumberFormat="1" applyFont="1" applyFill="1" applyAlignment="1">
      <alignment horizontal="center"/>
    </xf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vertical="center" wrapText="1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9" fillId="7" borderId="1" xfId="0" applyFont="1" applyFill="1" applyBorder="1" applyAlignment="1">
      <alignment horizontal="center" vertical="center" wrapText="1" readingOrder="1"/>
    </xf>
    <xf numFmtId="0" fontId="9" fillId="7" borderId="1" xfId="0" applyFont="1" applyFill="1" applyBorder="1" applyAlignment="1">
      <alignment horizontal="left" vertical="center" wrapText="1" readingOrder="1"/>
    </xf>
    <xf numFmtId="0" fontId="5" fillId="0" borderId="0" xfId="0" applyFont="1" applyAlignment="1">
      <alignment vertical="center"/>
    </xf>
    <xf numFmtId="0" fontId="5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9" fillId="7" borderId="17" xfId="0" applyFont="1" applyFill="1" applyBorder="1" applyAlignment="1">
      <alignment horizontal="center" vertical="center" wrapText="1" readingOrder="1"/>
    </xf>
    <xf numFmtId="0" fontId="9" fillId="7" borderId="18" xfId="0" applyFont="1" applyFill="1" applyBorder="1" applyAlignment="1">
      <alignment horizontal="center" vertical="center" wrapText="1" readingOrder="1"/>
    </xf>
    <xf numFmtId="0" fontId="9" fillId="7" borderId="18" xfId="0" applyFont="1" applyFill="1" applyBorder="1" applyAlignment="1">
      <alignment horizontal="left" vertical="center" wrapText="1" readingOrder="1"/>
    </xf>
    <xf numFmtId="0" fontId="9" fillId="7" borderId="19" xfId="0" applyFont="1" applyFill="1" applyBorder="1" applyAlignment="1">
      <alignment horizontal="center" vertical="center" wrapText="1" readingOrder="1"/>
    </xf>
    <xf numFmtId="0" fontId="8" fillId="0" borderId="0" xfId="0" applyFont="1"/>
    <xf numFmtId="8" fontId="8" fillId="0" borderId="15" xfId="0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0" fontId="15" fillId="4" borderId="0" xfId="0" applyFont="1" applyFill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16" xfId="0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6" fillId="2" borderId="0" xfId="0" applyFont="1" applyFill="1"/>
    <xf numFmtId="0" fontId="8" fillId="2" borderId="15" xfId="0" applyFont="1" applyFill="1" applyBorder="1" applyAlignment="1">
      <alignment horizontal="center" vertical="center"/>
    </xf>
    <xf numFmtId="8" fontId="8" fillId="2" borderId="15" xfId="0" applyNumberFormat="1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left" vertical="center"/>
    </xf>
    <xf numFmtId="0" fontId="8" fillId="0" borderId="15" xfId="0" applyFont="1" applyBorder="1" applyAlignment="1">
      <alignment horizontal="center" vertical="center" wrapText="1"/>
    </xf>
    <xf numFmtId="49" fontId="7" fillId="0" borderId="15" xfId="0" applyNumberFormat="1" applyFont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8" fontId="8" fillId="2" borderId="24" xfId="0" applyNumberFormat="1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left" vertical="center"/>
    </xf>
    <xf numFmtId="0" fontId="8" fillId="0" borderId="24" xfId="0" applyFont="1" applyBorder="1" applyAlignment="1">
      <alignment horizontal="center" vertical="center" wrapText="1"/>
    </xf>
    <xf numFmtId="49" fontId="7" fillId="0" borderId="24" xfId="0" applyNumberFormat="1" applyFont="1" applyBorder="1" applyAlignment="1">
      <alignment horizontal="center" vertical="center"/>
    </xf>
    <xf numFmtId="15" fontId="8" fillId="2" borderId="15" xfId="0" applyNumberFormat="1" applyFont="1" applyFill="1" applyBorder="1" applyAlignment="1">
      <alignment horizontal="center" vertical="center"/>
    </xf>
    <xf numFmtId="15" fontId="8" fillId="2" borderId="24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0" fontId="12" fillId="0" borderId="0" xfId="0" applyFont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2" fillId="3" borderId="2" xfId="0" applyFont="1" applyFill="1" applyBorder="1" applyAlignment="1" applyProtection="1">
      <alignment horizontal="left" vertical="center"/>
      <protection locked="0"/>
    </xf>
    <xf numFmtId="0" fontId="15" fillId="4" borderId="21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vertical="center" wrapText="1"/>
    </xf>
    <xf numFmtId="0" fontId="15" fillId="4" borderId="22" xfId="0" applyFont="1" applyFill="1" applyBorder="1" applyAlignment="1">
      <alignment vertical="center" wrapText="1"/>
    </xf>
    <xf numFmtId="0" fontId="11" fillId="0" borderId="7" xfId="0" applyFont="1" applyBorder="1" applyAlignment="1" applyProtection="1">
      <alignment horizontal="left" vertical="center"/>
      <protection locked="0"/>
    </xf>
    <xf numFmtId="165" fontId="11" fillId="0" borderId="2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165" fontId="11" fillId="0" borderId="8" xfId="0" applyNumberFormat="1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165" fontId="11" fillId="0" borderId="10" xfId="0" applyNumberFormat="1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165" fontId="11" fillId="0" borderId="11" xfId="0" applyNumberFormat="1" applyFont="1" applyBorder="1" applyAlignment="1" applyProtection="1">
      <alignment horizontal="center" vertical="center"/>
      <protection locked="0"/>
    </xf>
    <xf numFmtId="165" fontId="11" fillId="0" borderId="0" xfId="0" applyNumberFormat="1" applyFont="1" applyAlignment="1" applyProtection="1">
      <alignment horizontal="center" vertical="center"/>
      <protection locked="0"/>
    </xf>
    <xf numFmtId="0" fontId="19" fillId="2" borderId="0" xfId="0" applyFont="1" applyFill="1" applyAlignment="1">
      <alignment vertical="center"/>
    </xf>
    <xf numFmtId="0" fontId="20" fillId="0" borderId="0" xfId="0" applyFont="1" applyAlignment="1" applyProtection="1">
      <alignment vertical="center"/>
      <protection locked="0"/>
    </xf>
    <xf numFmtId="0" fontId="11" fillId="0" borderId="2" xfId="0" applyFont="1" applyBorder="1" applyAlignment="1" applyProtection="1">
      <alignment vertical="center"/>
      <protection locked="0"/>
    </xf>
    <xf numFmtId="0" fontId="17" fillId="0" borderId="20" xfId="0" applyFont="1" applyBorder="1" applyAlignment="1" applyProtection="1">
      <alignment vertical="center" wrapText="1"/>
      <protection locked="0"/>
    </xf>
    <xf numFmtId="0" fontId="17" fillId="0" borderId="0" xfId="0" applyFont="1" applyAlignment="1" applyProtection="1">
      <alignment vertical="center" wrapText="1"/>
      <protection locked="0"/>
    </xf>
    <xf numFmtId="0" fontId="11" fillId="0" borderId="25" xfId="0" applyFont="1" applyBorder="1" applyAlignment="1" applyProtection="1">
      <alignment horizontal="center" vertical="center"/>
      <protection locked="0"/>
    </xf>
    <xf numFmtId="165" fontId="11" fillId="0" borderId="25" xfId="0" applyNumberFormat="1" applyFont="1" applyBorder="1" applyAlignment="1" applyProtection="1">
      <alignment horizontal="center" vertical="center"/>
      <protection locked="0"/>
    </xf>
    <xf numFmtId="0" fontId="11" fillId="0" borderId="26" xfId="0" applyFont="1" applyBorder="1" applyAlignment="1" applyProtection="1">
      <alignment horizontal="center" vertical="center"/>
      <protection locked="0"/>
    </xf>
    <xf numFmtId="165" fontId="11" fillId="0" borderId="27" xfId="0" applyNumberFormat="1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center" indent="1"/>
      <protection locked="0"/>
    </xf>
    <xf numFmtId="0" fontId="11" fillId="0" borderId="9" xfId="0" applyFont="1" applyBorder="1" applyAlignment="1" applyProtection="1">
      <alignment horizontal="left" vertical="center" indent="1"/>
      <protection locked="0"/>
    </xf>
    <xf numFmtId="0" fontId="11" fillId="0" borderId="7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26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9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3" borderId="7" xfId="0" applyFont="1" applyFill="1" applyBorder="1" applyAlignment="1" applyProtection="1">
      <alignment horizontal="center" vertical="center"/>
      <protection hidden="1"/>
    </xf>
    <xf numFmtId="0" fontId="11" fillId="3" borderId="8" xfId="0" applyFont="1" applyFill="1" applyBorder="1" applyAlignment="1" applyProtection="1">
      <alignment horizontal="left" vertical="center"/>
      <protection hidden="1"/>
    </xf>
    <xf numFmtId="0" fontId="11" fillId="3" borderId="26" xfId="0" applyFont="1" applyFill="1" applyBorder="1" applyAlignment="1" applyProtection="1">
      <alignment horizontal="center" vertical="center"/>
      <protection hidden="1"/>
    </xf>
    <xf numFmtId="0" fontId="11" fillId="3" borderId="27" xfId="0" applyFont="1" applyFill="1" applyBorder="1" applyAlignment="1" applyProtection="1">
      <alignment horizontal="left" vertical="center"/>
      <protection hidden="1"/>
    </xf>
    <xf numFmtId="0" fontId="11" fillId="3" borderId="9" xfId="0" applyFont="1" applyFill="1" applyBorder="1" applyAlignment="1" applyProtection="1">
      <alignment horizontal="center" vertical="center"/>
      <protection hidden="1"/>
    </xf>
    <xf numFmtId="0" fontId="11" fillId="3" borderId="11" xfId="0" applyFont="1" applyFill="1" applyBorder="1" applyAlignment="1" applyProtection="1">
      <alignment horizontal="left" vertical="center"/>
      <protection hidden="1"/>
    </xf>
    <xf numFmtId="0" fontId="11" fillId="3" borderId="3" xfId="0" applyFont="1" applyFill="1" applyBorder="1" applyAlignment="1" applyProtection="1">
      <alignment horizontal="center" vertical="center"/>
      <protection hidden="1"/>
    </xf>
    <xf numFmtId="0" fontId="11" fillId="3" borderId="8" xfId="0" applyFont="1" applyFill="1" applyBorder="1" applyAlignment="1" applyProtection="1">
      <alignment horizontal="center" vertical="center"/>
      <protection hidden="1"/>
    </xf>
    <xf numFmtId="0" fontId="11" fillId="3" borderId="23" xfId="0" applyFont="1" applyFill="1" applyBorder="1" applyAlignment="1" applyProtection="1">
      <alignment horizontal="center" vertical="center"/>
      <protection hidden="1"/>
    </xf>
    <xf numFmtId="0" fontId="11" fillId="3" borderId="27" xfId="0" applyFont="1" applyFill="1" applyBorder="1" applyAlignment="1" applyProtection="1">
      <alignment horizontal="center" vertical="center"/>
      <protection hidden="1"/>
    </xf>
    <xf numFmtId="0" fontId="11" fillId="3" borderId="29" xfId="0" applyFont="1" applyFill="1" applyBorder="1" applyAlignment="1" applyProtection="1">
      <alignment horizontal="center" vertical="center"/>
      <protection hidden="1"/>
    </xf>
    <xf numFmtId="0" fontId="11" fillId="3" borderId="11" xfId="0" applyFont="1" applyFill="1" applyBorder="1" applyAlignment="1" applyProtection="1">
      <alignment horizontal="center" vertical="center"/>
      <protection hidden="1"/>
    </xf>
    <xf numFmtId="165" fontId="11" fillId="3" borderId="2" xfId="0" applyNumberFormat="1" applyFont="1" applyFill="1" applyBorder="1" applyAlignment="1" applyProtection="1">
      <alignment horizontal="center" vertical="center"/>
      <protection hidden="1"/>
    </xf>
    <xf numFmtId="165" fontId="11" fillId="3" borderId="10" xfId="0" applyNumberFormat="1" applyFont="1" applyFill="1" applyBorder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center" vertical="center"/>
      <protection hidden="1"/>
    </xf>
    <xf numFmtId="0" fontId="15" fillId="11" borderId="2" xfId="0" applyFont="1" applyFill="1" applyBorder="1" applyAlignment="1" applyProtection="1">
      <alignment horizontal="left" vertical="center"/>
      <protection locked="0"/>
    </xf>
    <xf numFmtId="0" fontId="15" fillId="11" borderId="25" xfId="0" applyFont="1" applyFill="1" applyBorder="1" applyAlignment="1" applyProtection="1">
      <alignment horizontal="left" vertical="center"/>
      <protection locked="0"/>
    </xf>
    <xf numFmtId="166" fontId="22" fillId="0" borderId="0" xfId="0" applyNumberFormat="1" applyFont="1" applyAlignment="1">
      <alignment horizontal="center" vertical="center"/>
    </xf>
    <xf numFmtId="0" fontId="23" fillId="0" borderId="0" xfId="0" applyFont="1" applyAlignment="1" applyProtection="1">
      <alignment vertical="center"/>
      <protection locked="0"/>
    </xf>
    <xf numFmtId="0" fontId="8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/>
    <xf numFmtId="0" fontId="8" fillId="0" borderId="30" xfId="0" applyFont="1" applyBorder="1" applyAlignment="1">
      <alignment horizontal="center" vertical="center" wrapText="1"/>
    </xf>
    <xf numFmtId="15" fontId="8" fillId="0" borderId="30" xfId="0" applyNumberFormat="1" applyFont="1" applyBorder="1" applyAlignment="1">
      <alignment horizontal="center" vertical="center"/>
    </xf>
    <xf numFmtId="49" fontId="7" fillId="0" borderId="30" xfId="0" applyNumberFormat="1" applyFont="1" applyBorder="1" applyAlignment="1">
      <alignment horizontal="center" vertical="center"/>
    </xf>
    <xf numFmtId="0" fontId="21" fillId="4" borderId="0" xfId="0" applyFont="1" applyFill="1" applyAlignment="1">
      <alignment vertical="center"/>
    </xf>
    <xf numFmtId="0" fontId="8" fillId="0" borderId="15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5" fontId="0" fillId="10" borderId="15" xfId="0" applyNumberForma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12" fillId="7" borderId="2" xfId="0" applyFont="1" applyFill="1" applyBorder="1" applyAlignment="1" applyProtection="1">
      <alignment horizontal="left" vertical="center"/>
      <protection locked="0"/>
    </xf>
    <xf numFmtId="0" fontId="12" fillId="13" borderId="2" xfId="0" applyFont="1" applyFill="1" applyBorder="1" applyAlignment="1" applyProtection="1">
      <alignment horizontal="left" vertical="center"/>
      <protection locked="0"/>
    </xf>
    <xf numFmtId="49" fontId="11" fillId="0" borderId="2" xfId="0" applyNumberFormat="1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left" vertical="center"/>
      <protection locked="0"/>
    </xf>
    <xf numFmtId="0" fontId="25" fillId="0" borderId="15" xfId="0" applyFont="1" applyBorder="1" applyAlignment="1">
      <alignment horizontal="left" vertical="center"/>
    </xf>
    <xf numFmtId="165" fontId="25" fillId="14" borderId="15" xfId="0" applyNumberFormat="1" applyFont="1" applyFill="1" applyBorder="1" applyAlignment="1">
      <alignment horizontal="left" vertical="center"/>
    </xf>
    <xf numFmtId="165" fontId="25" fillId="5" borderId="15" xfId="0" applyNumberFormat="1" applyFont="1" applyFill="1" applyBorder="1" applyAlignment="1">
      <alignment horizontal="left" vertical="center"/>
    </xf>
    <xf numFmtId="0" fontId="25" fillId="6" borderId="15" xfId="0" applyFont="1" applyFill="1" applyBorder="1" applyAlignment="1">
      <alignment horizontal="left" vertical="center"/>
    </xf>
    <xf numFmtId="0" fontId="25" fillId="3" borderId="15" xfId="0" applyFont="1" applyFill="1" applyBorder="1" applyAlignment="1">
      <alignment horizontal="left" vertical="center"/>
    </xf>
    <xf numFmtId="0" fontId="25" fillId="8" borderId="15" xfId="0" applyFont="1" applyFill="1" applyBorder="1" applyAlignment="1">
      <alignment horizontal="left" vertical="center"/>
    </xf>
    <xf numFmtId="0" fontId="25" fillId="9" borderId="15" xfId="0" applyFont="1" applyFill="1" applyBorder="1" applyAlignment="1">
      <alignment horizontal="left" vertical="center"/>
    </xf>
    <xf numFmtId="0" fontId="25" fillId="15" borderId="15" xfId="0" applyFont="1" applyFill="1" applyBorder="1" applyAlignment="1">
      <alignment horizontal="left" vertical="center"/>
    </xf>
    <xf numFmtId="0" fontId="25" fillId="16" borderId="15" xfId="0" applyFont="1" applyFill="1" applyBorder="1" applyAlignment="1">
      <alignment horizontal="left" vertical="center"/>
    </xf>
    <xf numFmtId="0" fontId="11" fillId="0" borderId="4" xfId="0" applyFont="1" applyBorder="1" applyAlignment="1" applyProtection="1">
      <alignment horizontal="left" vertical="center" indent="1"/>
      <protection locked="0"/>
    </xf>
    <xf numFmtId="0" fontId="11" fillId="0" borderId="31" xfId="0" applyFont="1" applyBorder="1" applyAlignment="1" applyProtection="1">
      <alignment horizontal="center" vertical="center"/>
      <protection locked="0"/>
    </xf>
    <xf numFmtId="165" fontId="11" fillId="0" borderId="31" xfId="0" applyNumberFormat="1" applyFont="1" applyBorder="1" applyAlignment="1" applyProtection="1">
      <alignment horizontal="center" vertical="center"/>
      <protection locked="0"/>
    </xf>
    <xf numFmtId="165" fontId="11" fillId="3" borderId="5" xfId="0" applyNumberFormat="1" applyFont="1" applyFill="1" applyBorder="1" applyAlignment="1" applyProtection="1">
      <alignment horizontal="center" vertical="center"/>
      <protection hidden="1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3" borderId="33" xfId="0" applyFont="1" applyFill="1" applyBorder="1" applyAlignment="1" applyProtection="1">
      <alignment horizontal="center" vertical="center"/>
      <protection hidden="1"/>
    </xf>
    <xf numFmtId="0" fontId="11" fillId="0" borderId="33" xfId="0" applyFont="1" applyBorder="1" applyAlignment="1" applyProtection="1">
      <alignment horizontal="center" vertical="center"/>
      <protection locked="0"/>
    </xf>
    <xf numFmtId="165" fontId="11" fillId="0" borderId="32" xfId="0" applyNumberFormat="1" applyFont="1" applyBorder="1" applyAlignment="1" applyProtection="1">
      <alignment horizontal="center" vertical="center"/>
      <protection locked="0"/>
    </xf>
    <xf numFmtId="0" fontId="12" fillId="12" borderId="2" xfId="0" applyFont="1" applyFill="1" applyBorder="1" applyAlignment="1" applyProtection="1">
      <alignment horizontal="left" vertical="center"/>
      <protection locked="0"/>
    </xf>
    <xf numFmtId="0" fontId="15" fillId="18" borderId="0" xfId="0" applyFont="1" applyFill="1" applyAlignment="1" applyProtection="1">
      <alignment horizontal="center" vertical="center"/>
      <protection locked="0"/>
    </xf>
    <xf numFmtId="0" fontId="11" fillId="0" borderId="33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3" borderId="16" xfId="0" applyFont="1" applyFill="1" applyBorder="1" applyAlignment="1" applyProtection="1">
      <alignment horizontal="center" vertical="center"/>
      <protection hidden="1"/>
    </xf>
    <xf numFmtId="0" fontId="11" fillId="3" borderId="32" xfId="0" applyFont="1" applyFill="1" applyBorder="1" applyAlignment="1" applyProtection="1">
      <alignment horizontal="center" vertical="center"/>
      <protection hidden="1"/>
    </xf>
    <xf numFmtId="0" fontId="8" fillId="17" borderId="15" xfId="0" applyFont="1" applyFill="1" applyBorder="1" applyAlignment="1">
      <alignment horizontal="center" vertical="center"/>
    </xf>
    <xf numFmtId="8" fontId="8" fillId="17" borderId="15" xfId="0" applyNumberFormat="1" applyFont="1" applyFill="1" applyBorder="1" applyAlignment="1">
      <alignment horizontal="center" vertical="center"/>
    </xf>
    <xf numFmtId="0" fontId="8" fillId="17" borderId="15" xfId="0" applyFont="1" applyFill="1" applyBorder="1" applyAlignment="1">
      <alignment horizontal="left" vertical="center"/>
    </xf>
    <xf numFmtId="0" fontId="8" fillId="17" borderId="15" xfId="0" applyFont="1" applyFill="1" applyBorder="1" applyAlignment="1">
      <alignment horizontal="center" vertical="center" wrapText="1"/>
    </xf>
    <xf numFmtId="49" fontId="7" fillId="17" borderId="15" xfId="0" applyNumberFormat="1" applyFont="1" applyFill="1" applyBorder="1" applyAlignment="1">
      <alignment horizontal="center" vertical="center"/>
    </xf>
    <xf numFmtId="0" fontId="8" fillId="17" borderId="24" xfId="0" applyFont="1" applyFill="1" applyBorder="1" applyAlignment="1">
      <alignment horizontal="center" vertical="center"/>
    </xf>
    <xf numFmtId="8" fontId="8" fillId="17" borderId="24" xfId="0" applyNumberFormat="1" applyFont="1" applyFill="1" applyBorder="1" applyAlignment="1">
      <alignment horizontal="center" vertical="center"/>
    </xf>
    <xf numFmtId="0" fontId="8" fillId="17" borderId="24" xfId="0" applyFont="1" applyFill="1" applyBorder="1" applyAlignment="1">
      <alignment horizontal="left" vertical="center"/>
    </xf>
    <xf numFmtId="0" fontId="8" fillId="17" borderId="24" xfId="0" applyFont="1" applyFill="1" applyBorder="1" applyAlignment="1">
      <alignment horizontal="center" vertical="center" wrapText="1"/>
    </xf>
    <xf numFmtId="15" fontId="8" fillId="17" borderId="24" xfId="0" applyNumberFormat="1" applyFont="1" applyFill="1" applyBorder="1" applyAlignment="1">
      <alignment horizontal="center" vertical="center"/>
    </xf>
    <xf numFmtId="49" fontId="7" fillId="17" borderId="24" xfId="0" applyNumberFormat="1" applyFont="1" applyFill="1" applyBorder="1" applyAlignment="1">
      <alignment horizontal="center" vertical="center"/>
    </xf>
    <xf numFmtId="15" fontId="8" fillId="17" borderId="15" xfId="0" applyNumberFormat="1" applyFont="1" applyFill="1" applyBorder="1" applyAlignment="1">
      <alignment horizontal="center" vertical="center"/>
    </xf>
    <xf numFmtId="0" fontId="8" fillId="17" borderId="15" xfId="0" applyFont="1" applyFill="1" applyBorder="1" applyAlignment="1">
      <alignment horizontal="left" vertical="center" wrapText="1"/>
    </xf>
    <xf numFmtId="49" fontId="6" fillId="17" borderId="15" xfId="0" applyNumberFormat="1" applyFont="1" applyFill="1" applyBorder="1" applyAlignment="1">
      <alignment horizontal="center" vertical="center"/>
    </xf>
    <xf numFmtId="0" fontId="11" fillId="0" borderId="6" xfId="0" applyFont="1" applyBorder="1" applyAlignment="1" applyProtection="1">
      <alignment horizontal="center" vertical="center"/>
      <protection locked="0"/>
    </xf>
    <xf numFmtId="0" fontId="15" fillId="18" borderId="0" xfId="0" applyFont="1" applyFill="1" applyAlignment="1" applyProtection="1">
      <alignment vertical="center"/>
      <protection locked="0"/>
    </xf>
    <xf numFmtId="0" fontId="8" fillId="7" borderId="15" xfId="0" applyFont="1" applyFill="1" applyBorder="1" applyAlignment="1">
      <alignment horizontal="center" vertical="center"/>
    </xf>
    <xf numFmtId="8" fontId="8" fillId="7" borderId="15" xfId="0" applyNumberFormat="1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left" vertical="center"/>
    </xf>
    <xf numFmtId="0" fontId="8" fillId="7" borderId="15" xfId="0" applyFont="1" applyFill="1" applyBorder="1" applyAlignment="1">
      <alignment horizontal="center" vertical="center" wrapText="1"/>
    </xf>
    <xf numFmtId="15" fontId="8" fillId="7" borderId="15" xfId="0" applyNumberFormat="1" applyFont="1" applyFill="1" applyBorder="1" applyAlignment="1">
      <alignment horizontal="center" vertical="center"/>
    </xf>
    <xf numFmtId="49" fontId="7" fillId="7" borderId="15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5" fillId="5" borderId="15" xfId="0" applyFont="1" applyFill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8" fillId="19" borderId="15" xfId="0" applyFont="1" applyFill="1" applyBorder="1" applyAlignment="1">
      <alignment horizontal="center" vertical="center"/>
    </xf>
    <xf numFmtId="8" fontId="8" fillId="19" borderId="15" xfId="0" applyNumberFormat="1" applyFont="1" applyFill="1" applyBorder="1" applyAlignment="1">
      <alignment horizontal="center" vertical="center"/>
    </xf>
    <xf numFmtId="0" fontId="8" fillId="19" borderId="15" xfId="0" applyFont="1" applyFill="1" applyBorder="1" applyAlignment="1">
      <alignment horizontal="left" vertical="center"/>
    </xf>
    <xf numFmtId="0" fontId="8" fillId="19" borderId="15" xfId="0" applyFont="1" applyFill="1" applyBorder="1" applyAlignment="1">
      <alignment horizontal="center" vertical="center" wrapText="1"/>
    </xf>
    <xf numFmtId="15" fontId="8" fillId="19" borderId="15" xfId="0" applyNumberFormat="1" applyFont="1" applyFill="1" applyBorder="1" applyAlignment="1">
      <alignment horizontal="center" vertical="center"/>
    </xf>
    <xf numFmtId="49" fontId="7" fillId="19" borderId="15" xfId="0" applyNumberFormat="1" applyFont="1" applyFill="1" applyBorder="1" applyAlignment="1">
      <alignment horizontal="center" vertical="center"/>
    </xf>
    <xf numFmtId="0" fontId="12" fillId="20" borderId="4" xfId="0" applyFont="1" applyFill="1" applyBorder="1" applyAlignment="1">
      <alignment horizontal="center" vertical="center" wrapText="1"/>
    </xf>
    <xf numFmtId="0" fontId="12" fillId="20" borderId="5" xfId="0" applyFont="1" applyFill="1" applyBorder="1" applyAlignment="1">
      <alignment horizontal="center" vertical="center" wrapText="1"/>
    </xf>
    <xf numFmtId="0" fontId="12" fillId="20" borderId="6" xfId="0" applyFont="1" applyFill="1" applyBorder="1" applyAlignment="1">
      <alignment horizontal="center" vertical="center" wrapText="1"/>
    </xf>
    <xf numFmtId="0" fontId="12" fillId="20" borderId="28" xfId="0" applyFont="1" applyFill="1" applyBorder="1" applyAlignment="1">
      <alignment horizontal="center" vertical="center" wrapText="1"/>
    </xf>
    <xf numFmtId="0" fontId="15" fillId="4" borderId="34" xfId="0" applyFont="1" applyFill="1" applyBorder="1" applyAlignment="1">
      <alignment vertical="center" wrapText="1"/>
    </xf>
    <xf numFmtId="0" fontId="12" fillId="20" borderId="4" xfId="0" applyFont="1" applyFill="1" applyBorder="1" applyAlignment="1" applyProtection="1">
      <alignment horizontal="center" vertical="center" wrapText="1"/>
      <protection locked="0"/>
    </xf>
    <xf numFmtId="0" fontId="12" fillId="20" borderId="5" xfId="0" applyFont="1" applyFill="1" applyBorder="1" applyAlignment="1" applyProtection="1">
      <alignment horizontal="center" vertical="center" wrapText="1"/>
      <protection locked="0"/>
    </xf>
    <xf numFmtId="0" fontId="12" fillId="20" borderId="6" xfId="0" applyFont="1" applyFill="1" applyBorder="1" applyAlignment="1" applyProtection="1">
      <alignment horizontal="center" vertical="center" wrapText="1"/>
      <protection locked="0"/>
    </xf>
    <xf numFmtId="0" fontId="15" fillId="4" borderId="14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0" fontId="15" fillId="4" borderId="22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15" fillId="4" borderId="35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5" fillId="4" borderId="13" xfId="0" applyFont="1" applyFill="1" applyBorder="1" applyAlignment="1">
      <alignment horizontal="center" vertical="center" wrapText="1"/>
    </xf>
  </cellXfs>
  <cellStyles count="2">
    <cellStyle name="Normale" xfId="0" builtinId="0"/>
    <cellStyle name="Normale 2" xfId="1" xr:uid="{BD707AB2-277D-41C8-8FC6-2F79E2A39DE5}"/>
  </cellStyles>
  <dxfs count="3"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2FFF8D"/>
      <color rgb="FFFFFF65"/>
      <color rgb="FFFFFF37"/>
      <color rgb="FF009999"/>
      <color rgb="FFFF99FF"/>
      <color rgb="FFFFCCFF"/>
      <color rgb="FF7496D2"/>
      <color rgb="FF8FFF8F"/>
      <color rgb="FFFFFFB7"/>
      <color rgb="FFDBEB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34C0-F5DC-4C9D-8E53-F4B95BFB8410}">
  <dimension ref="C2:H26"/>
  <sheetViews>
    <sheetView showGridLines="0" tabSelected="1" zoomScale="80" zoomScaleNormal="80" workbookViewId="0">
      <selection activeCell="E13" sqref="E13"/>
    </sheetView>
  </sheetViews>
  <sheetFormatPr defaultColWidth="9.26953125" defaultRowHeight="14.5" x14ac:dyDescent="0.35"/>
  <cols>
    <col min="1" max="2" width="3.1796875" style="38" customWidth="1"/>
    <col min="3" max="3" width="37.26953125" style="38" customWidth="1"/>
    <col min="4" max="4" width="10.7265625" style="38" customWidth="1"/>
    <col min="5" max="5" width="46.453125" style="38" customWidth="1"/>
    <col min="6" max="6" width="7.7265625" style="38" customWidth="1"/>
    <col min="7" max="7" width="15.7265625" style="38" customWidth="1"/>
    <col min="8" max="8" width="12.54296875" style="38" customWidth="1"/>
    <col min="9" max="9" width="21.26953125" style="38" customWidth="1"/>
    <col min="10" max="10" width="113.453125" style="38" customWidth="1"/>
    <col min="11" max="12" width="14.453125" style="38" customWidth="1"/>
    <col min="13" max="13" width="5.26953125" style="38" customWidth="1"/>
    <col min="14" max="14" width="19.26953125" style="38" customWidth="1"/>
    <col min="15" max="15" width="14.453125" style="38" customWidth="1"/>
    <col min="16" max="18" width="8.7265625" style="38" customWidth="1"/>
    <col min="19" max="16384" width="9.26953125" style="38"/>
  </cols>
  <sheetData>
    <row r="2" spans="3:8" ht="18" customHeight="1" x14ac:dyDescent="0.35">
      <c r="C2" s="121" t="s">
        <v>488</v>
      </c>
    </row>
    <row r="3" spans="3:8" s="39" customFormat="1" ht="7" customHeight="1" x14ac:dyDescent="0.35">
      <c r="C3" s="49"/>
      <c r="D3" s="49"/>
      <c r="E3" s="49"/>
      <c r="F3" s="38"/>
      <c r="G3" s="38"/>
      <c r="H3" s="49"/>
    </row>
    <row r="4" spans="3:8" s="39" customFormat="1" ht="9" customHeight="1" x14ac:dyDescent="0.35">
      <c r="C4" s="49"/>
      <c r="D4" s="49"/>
      <c r="E4" s="49"/>
      <c r="F4" s="38"/>
      <c r="G4" s="38"/>
      <c r="H4" s="49"/>
    </row>
    <row r="5" spans="3:8" s="39" customFormat="1" ht="21" customHeight="1" x14ac:dyDescent="0.35">
      <c r="C5" s="155" t="s">
        <v>197</v>
      </c>
      <c r="D5" s="69"/>
      <c r="E5" s="92"/>
      <c r="F5" s="38"/>
      <c r="G5" s="186" t="str">
        <f>IF(E5="NUOVO CLIENTE","Da valorizzare se si richiedono prodotti per clienti di nuova acquisizione",IF(E5="AMPLIAMENTO","Da valorizzare se si richiede ampliamento listino non presente in CB o listino in CB con pricing differente",IF(E5="AMPLIAMENTO MEDESIME CONDIZIONI","Da valorizzare se si richiede ampliamento listino presente in CB con medesimo pricing","")))</f>
        <v/>
      </c>
      <c r="H5" s="49"/>
    </row>
    <row r="6" spans="3:8" s="39" customFormat="1" ht="21" customHeight="1" x14ac:dyDescent="0.35">
      <c r="C6" s="134" t="s">
        <v>381</v>
      </c>
      <c r="D6" s="49"/>
      <c r="E6" s="71"/>
      <c r="F6" s="93"/>
      <c r="H6" s="94"/>
    </row>
    <row r="7" spans="3:8" s="39" customFormat="1" ht="19" customHeight="1" x14ac:dyDescent="0.35">
      <c r="C7" s="70"/>
      <c r="D7" s="70"/>
      <c r="E7" s="70"/>
      <c r="F7" s="70"/>
      <c r="G7" s="70"/>
      <c r="H7" s="49"/>
    </row>
    <row r="8" spans="3:8" s="39" customFormat="1" ht="19" customHeight="1" x14ac:dyDescent="0.35">
      <c r="C8" s="70"/>
      <c r="D8" s="70"/>
      <c r="E8" s="70"/>
      <c r="F8" s="70"/>
      <c r="G8" s="70"/>
      <c r="H8" s="49"/>
    </row>
    <row r="9" spans="3:8" s="39" customFormat="1" ht="21" customHeight="1" x14ac:dyDescent="0.35">
      <c r="C9" s="48" t="s">
        <v>201</v>
      </c>
      <c r="D9" s="70"/>
      <c r="E9" s="70"/>
      <c r="F9" s="70"/>
      <c r="G9" s="70"/>
      <c r="H9" s="49"/>
    </row>
    <row r="10" spans="3:8" s="39" customFormat="1" ht="9.65" customHeight="1" x14ac:dyDescent="0.35">
      <c r="C10" s="70"/>
      <c r="D10" s="70"/>
      <c r="E10" s="70"/>
      <c r="F10" s="70"/>
      <c r="G10" s="70"/>
      <c r="H10" s="49"/>
    </row>
    <row r="11" spans="3:8" s="39" customFormat="1" ht="21" customHeight="1" x14ac:dyDescent="0.35">
      <c r="C11" s="135" t="s">
        <v>2</v>
      </c>
      <c r="D11" s="51"/>
      <c r="E11" s="136"/>
      <c r="F11" s="70"/>
      <c r="G11" s="70" t="str">
        <f>IF(E11="","",IF(LEN(E11)=11,"PIVA corretta","PIVA errata"))</f>
        <v/>
      </c>
      <c r="H11" s="49"/>
    </row>
    <row r="12" spans="3:8" s="39" customFormat="1" ht="21" customHeight="1" x14ac:dyDescent="0.35">
      <c r="C12" s="135" t="s">
        <v>4</v>
      </c>
      <c r="D12" s="51"/>
      <c r="E12" s="137"/>
      <c r="F12" s="49"/>
      <c r="G12" s="49"/>
      <c r="H12" s="49"/>
    </row>
    <row r="13" spans="3:8" s="39" customFormat="1" ht="21" customHeight="1" x14ac:dyDescent="0.35">
      <c r="C13" s="135" t="s">
        <v>282</v>
      </c>
      <c r="D13" s="49"/>
      <c r="E13" s="71"/>
      <c r="F13" s="93"/>
      <c r="G13" s="122" t="str">
        <f>IF(E13="SI","Valorizzare SI solo se trattativa convergente","")</f>
        <v/>
      </c>
      <c r="H13" s="94"/>
    </row>
    <row r="14" spans="3:8" s="39" customFormat="1" x14ac:dyDescent="0.35">
      <c r="C14" s="72"/>
      <c r="D14" s="49"/>
      <c r="E14" s="49"/>
      <c r="F14" s="72"/>
      <c r="G14" s="49"/>
      <c r="H14" s="49"/>
    </row>
    <row r="15" spans="3:8" ht="19" customHeight="1" x14ac:dyDescent="0.35">
      <c r="C15" s="48" t="s">
        <v>266</v>
      </c>
      <c r="D15" s="49"/>
      <c r="E15" s="49"/>
      <c r="F15" s="49"/>
      <c r="G15" s="49"/>
      <c r="H15" s="49"/>
    </row>
    <row r="16" spans="3:8" ht="6.65" customHeight="1" x14ac:dyDescent="0.35">
      <c r="C16" s="91"/>
      <c r="D16" s="49"/>
      <c r="E16" s="49"/>
      <c r="F16" s="49"/>
      <c r="G16" s="49"/>
      <c r="H16" s="49"/>
    </row>
    <row r="17" spans="3:8" s="39" customFormat="1" ht="21" customHeight="1" x14ac:dyDescent="0.35">
      <c r="C17" s="119" t="s">
        <v>266</v>
      </c>
      <c r="D17" s="73"/>
      <c r="E17" s="71"/>
      <c r="F17" s="49"/>
      <c r="H17" s="49"/>
    </row>
    <row r="18" spans="3:8" s="39" customFormat="1" ht="21" customHeight="1" x14ac:dyDescent="0.35">
      <c r="C18" s="120" t="s">
        <v>31</v>
      </c>
      <c r="D18" s="73"/>
      <c r="E18" s="71"/>
      <c r="F18" s="49"/>
      <c r="G18" s="49"/>
      <c r="H18" s="49"/>
    </row>
    <row r="22" spans="3:8" ht="19" customHeight="1" x14ac:dyDescent="0.35">
      <c r="C22" s="156" t="s">
        <v>267</v>
      </c>
    </row>
    <row r="23" spans="3:8" ht="6.65" customHeight="1" x14ac:dyDescent="0.35">
      <c r="C23" s="91"/>
    </row>
    <row r="24" spans="3:8" ht="21" customHeight="1" x14ac:dyDescent="0.35">
      <c r="C24" s="74" t="s">
        <v>199</v>
      </c>
      <c r="E24" s="71"/>
    </row>
    <row r="25" spans="3:8" ht="21" customHeight="1" x14ac:dyDescent="0.35">
      <c r="C25" s="74" t="s">
        <v>48</v>
      </c>
      <c r="E25" s="71"/>
    </row>
    <row r="26" spans="3:8" ht="21" customHeight="1" x14ac:dyDescent="0.35">
      <c r="C26" s="74" t="s">
        <v>182</v>
      </c>
      <c r="E26" s="71"/>
    </row>
  </sheetData>
  <sheetProtection algorithmName="SHA-512" hashValue="H4nq1a6B+ZtY1Q5TiObOjmulS5VkeNvHmMXXwZcgfU9szuGOZOUb3dzlffDEglvwRuBi8w5+0IBeNVB4jZeldw==" saltValue="Jt0qeeVIwP+UZsEU2+40Dw==" spinCount="100000" sheet="1" objects="1" scenarios="1"/>
  <conditionalFormatting sqref="G11">
    <cfRule type="cellIs" dxfId="2" priority="1" operator="equal">
      <formula>"PIVA errata"</formula>
    </cfRule>
    <cfRule type="cellIs" dxfId="1" priority="2" operator="equal">
      <formula>"PIVA corretta"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E5BBB28-E047-4C1A-A474-C1E7305C41E7}">
          <x14:formula1>
            <xm:f>Foglio1!$J$4:$J$5</xm:f>
          </x14:formula1>
          <xm:sqref>E6 E13</xm:sqref>
        </x14:dataValidation>
        <x14:dataValidation type="list" allowBlank="1" showInputMessage="1" showErrorMessage="1" xr:uid="{49B277CB-D8D0-447E-8A0C-6DCA0CB4C18A}">
          <x14:formula1>
            <xm:f>Foglio1!$I$4:$I$5</xm:f>
          </x14:formula1>
          <xm:sqref>F25:F26 E25</xm:sqref>
        </x14:dataValidation>
        <x14:dataValidation type="list" allowBlank="1" showInputMessage="1" showErrorMessage="1" xr:uid="{D488D096-A4D4-4F9C-AFFF-B9E7B3C31576}">
          <x14:formula1>
            <xm:f>Foglio1!$H$4:$H$8</xm:f>
          </x14:formula1>
          <xm:sqref>E17</xm:sqref>
        </x14:dataValidation>
        <x14:dataValidation type="list" allowBlank="1" showInputMessage="1" showErrorMessage="1" xr:uid="{45D3B5C2-5182-47FF-8113-7A6DA4111800}">
          <x14:formula1>
            <xm:f>Foglio1!$H$9:$H$10</xm:f>
          </x14:formula1>
          <xm:sqref>E24</xm:sqref>
        </x14:dataValidation>
        <x14:dataValidation type="list" allowBlank="1" showInputMessage="1" showErrorMessage="1" xr:uid="{244CEFDA-A5AB-4872-A8F5-C9D75037470C}">
          <x14:formula1>
            <xm:f>Foglio1!$F$4:$F$6</xm:f>
          </x14:formula1>
          <xm:sqref>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D0B30-E19E-4D62-8663-547906B01AAC}">
  <sheetPr codeName="Foglio1">
    <tabColor rgb="FF002060"/>
  </sheetPr>
  <dimension ref="B1:X47"/>
  <sheetViews>
    <sheetView showGridLines="0" zoomScale="80" zoomScaleNormal="80" workbookViewId="0">
      <pane ySplit="4" topLeftCell="A5" activePane="bottomLeft" state="frozen"/>
      <selection activeCell="G9" sqref="G9"/>
      <selection pane="bottomLeft" activeCell="E5" sqref="E5"/>
    </sheetView>
  </sheetViews>
  <sheetFormatPr defaultColWidth="9.26953125" defaultRowHeight="14.5" x14ac:dyDescent="0.35"/>
  <cols>
    <col min="1" max="1" width="1.26953125" style="38" customWidth="1"/>
    <col min="2" max="2" width="30.7265625" style="38" customWidth="1"/>
    <col min="3" max="3" width="10.7265625" style="38" customWidth="1"/>
    <col min="4" max="4" width="21" style="38" customWidth="1"/>
    <col min="5" max="5" width="16" style="38" customWidth="1"/>
    <col min="6" max="6" width="11.453125" style="38" customWidth="1"/>
    <col min="7" max="7" width="12.7265625" style="38" customWidth="1"/>
    <col min="8" max="8" width="14.453125" style="38" customWidth="1"/>
    <col min="9" max="9" width="1.54296875" style="38" customWidth="1"/>
    <col min="10" max="10" width="22.81640625" style="38" customWidth="1"/>
    <col min="11" max="11" width="62.1796875" style="38" customWidth="1"/>
    <col min="12" max="12" width="1.7265625" style="38" customWidth="1"/>
    <col min="13" max="13" width="11" style="38" customWidth="1"/>
    <col min="14" max="14" width="25.453125" style="38" customWidth="1"/>
    <col min="15" max="15" width="20.453125" style="38" customWidth="1"/>
    <col min="16" max="17" width="12.453125" style="38" customWidth="1"/>
    <col min="18" max="18" width="13.81640625" style="38" customWidth="1"/>
    <col min="19" max="19" width="1.453125" style="39" customWidth="1"/>
    <col min="20" max="20" width="6.81640625" style="38" customWidth="1"/>
    <col min="21" max="21" width="22.54296875" style="38" customWidth="1"/>
    <col min="22" max="22" width="61.26953125" style="38" customWidth="1"/>
    <col min="23" max="23" width="5.26953125" style="38" customWidth="1"/>
    <col min="24" max="24" width="28.26953125" style="38" hidden="1" customWidth="1"/>
    <col min="25" max="25" width="14.453125" style="38" customWidth="1"/>
    <col min="26" max="28" width="8.7265625" style="38" customWidth="1"/>
    <col min="29" max="16384" width="9.26953125" style="38"/>
  </cols>
  <sheetData>
    <row r="1" spans="2:24" ht="8.15" customHeight="1" thickTop="1" thickBot="1" x14ac:dyDescent="0.4">
      <c r="B1" s="40"/>
      <c r="C1" s="40"/>
      <c r="D1" s="40"/>
      <c r="E1" s="40"/>
      <c r="F1" s="40"/>
      <c r="G1" s="50"/>
      <c r="H1" s="50"/>
      <c r="I1" s="40"/>
      <c r="J1" s="40"/>
      <c r="K1" s="40"/>
      <c r="L1" s="40"/>
      <c r="M1" s="40"/>
      <c r="N1" s="40"/>
      <c r="O1" s="40"/>
      <c r="P1" s="40"/>
      <c r="Q1" s="40"/>
      <c r="R1" s="40"/>
      <c r="T1" s="40"/>
    </row>
    <row r="2" spans="2:24" ht="21" customHeight="1" thickTop="1" thickBot="1" x14ac:dyDescent="0.4">
      <c r="B2" s="204" t="s">
        <v>265</v>
      </c>
      <c r="C2" s="205"/>
      <c r="D2" s="205"/>
      <c r="E2" s="205"/>
      <c r="F2" s="205"/>
      <c r="G2" s="205"/>
      <c r="H2" s="206"/>
      <c r="J2" s="204" t="s">
        <v>143</v>
      </c>
      <c r="K2" s="209"/>
      <c r="M2" s="197"/>
      <c r="N2" s="75" t="s">
        <v>7</v>
      </c>
      <c r="O2" s="76"/>
      <c r="P2" s="76"/>
      <c r="Q2" s="76"/>
      <c r="R2" s="77"/>
      <c r="T2" s="201" t="s">
        <v>333</v>
      </c>
      <c r="U2" s="202"/>
      <c r="V2" s="203"/>
    </row>
    <row r="3" spans="2:24" ht="9" customHeight="1" thickTop="1" thickBot="1" x14ac:dyDescent="0.4">
      <c r="S3" s="38"/>
    </row>
    <row r="4" spans="2:24" ht="59.5" customHeight="1" thickTop="1" x14ac:dyDescent="0.35">
      <c r="B4" s="193" t="s">
        <v>24</v>
      </c>
      <c r="C4" s="194" t="s">
        <v>148</v>
      </c>
      <c r="D4" s="194" t="s">
        <v>326</v>
      </c>
      <c r="E4" s="194" t="s">
        <v>328</v>
      </c>
      <c r="F4" s="194" t="s">
        <v>5</v>
      </c>
      <c r="G4" s="194" t="s">
        <v>6</v>
      </c>
      <c r="H4" s="195" t="s">
        <v>327</v>
      </c>
      <c r="I4" s="39"/>
      <c r="J4" s="193" t="s">
        <v>66</v>
      </c>
      <c r="K4" s="195" t="s">
        <v>65</v>
      </c>
      <c r="L4" s="39"/>
      <c r="M4" s="193" t="s">
        <v>1</v>
      </c>
      <c r="N4" s="194" t="s">
        <v>332</v>
      </c>
      <c r="O4" s="194" t="s">
        <v>3</v>
      </c>
      <c r="P4" s="194" t="s">
        <v>330</v>
      </c>
      <c r="Q4" s="194" t="s">
        <v>329</v>
      </c>
      <c r="R4" s="195" t="s">
        <v>331</v>
      </c>
      <c r="S4" s="38"/>
      <c r="T4" s="193"/>
      <c r="U4" s="196" t="s">
        <v>496</v>
      </c>
      <c r="V4" s="195" t="s">
        <v>495</v>
      </c>
    </row>
    <row r="5" spans="2:24" ht="21" customHeight="1" x14ac:dyDescent="0.35">
      <c r="B5" s="99"/>
      <c r="C5" s="71"/>
      <c r="D5" s="79"/>
      <c r="E5" s="116">
        <f>IF($B5="Super Unlimited",1,IF($B5="Super Unlimited Plus",1,IF($B5="Super Smart 100GB",1,IF($B5="SUPER FLEX",1,IF($B5="SUPER GIGA 70",1,IF($B5="SUPER GIGA UNLIMITED",1,IF($B5="Super Unlimited MONDO",1,IF($B5="Super Unlimited PRO",1,IF($B5="Super Smart 200GB",1,IF($B5="Super Smart 20GB",1,0))))))))))</f>
        <v>0</v>
      </c>
      <c r="F5" s="71"/>
      <c r="G5" s="71"/>
      <c r="H5" s="80"/>
      <c r="I5" s="39"/>
      <c r="J5" s="104" t="str">
        <f>IF(ISERROR(IF(B5="","",VLOOKUP($X5,'PROMO MV SVO PER FS'!$E:$I,5,0))),"",IF(B5="","",VLOOKUP($X5,'PROMO MV SVO PER FS'!$E:$I,5,0)))</f>
        <v/>
      </c>
      <c r="K5" s="105" t="str">
        <f>IF(ISERROR(IF(B5="","",VLOOKUP($X5,'PROMO MV SVO PER FS'!$E:$I,4,0))),"Gestita con procedura FS da CO",IF(B5="","",VLOOKUP($X5,'PROMO MV SVO PER FS'!$E:$I,4,0)))</f>
        <v/>
      </c>
      <c r="L5" s="70"/>
      <c r="M5" s="81">
        <v>0</v>
      </c>
      <c r="N5" s="71"/>
      <c r="O5" s="71"/>
      <c r="P5" s="79"/>
      <c r="Q5" s="79"/>
      <c r="R5" s="82"/>
      <c r="T5" s="101" t="b">
        <v>0</v>
      </c>
      <c r="U5" s="110" t="str">
        <f>IF($T5=TRUE,IF(B5="SUPER Unlimited MONDO","9991790945508228",IF(B5="SUPER Unlimited PRO","9991790945508228",IF(B5="SUPER Smart 200GB","9991790945508228",IF(B5="Super Smart 20GB","9991790945508228",IF($B5="SUPER GIGA UNLIMITED","9991744383690315",IF($B5="SUPER GIGA 70","9991744383690315",IF($B5="SUPER GIGA 30","9991744383690315",IF($B5="M2M Full","9991761657929872")))))))),"")</f>
        <v/>
      </c>
      <c r="V5" s="111" t="str">
        <f>IF(U5="","",IF(U5="9991790945508228","SVO - Sconto 100% Una Tantum SUPER   - PROMOaVOLUME",IF(U5="9991744383305294","SVO - SCONTO 100% UNA TANTUM PRE - PROMOaVOLUME",IF(U5="9991744383690315","SVO - SCONTO 100% UNA TANTUM POST - PROMOaVOLUME",IF(U5="9991761657929872","SVO - SCONTO 100% UNA TANTUM M2M Full - PROMOaVOLUMEE")))))</f>
        <v/>
      </c>
      <c r="X5" s="118" t="str">
        <f>B5&amp;"-"&amp;D5</f>
        <v>-</v>
      </c>
    </row>
    <row r="6" spans="2:24" ht="21" customHeight="1" x14ac:dyDescent="0.35">
      <c r="B6" s="99"/>
      <c r="C6" s="71"/>
      <c r="D6" s="79"/>
      <c r="E6" s="116">
        <f>IF($B6="Super Unlimited",1,IF($B6="Super Unlimited Plus",1,IF($B6="Super Smart 100GB",1,IF($B6="SUPER FLEX",1,IF($B6="SUPER GIGA 70",1,IF($B6="SUPER GIGA UNLIMITED",1,IF($B6="Super Unlimited MONDO",1,IF($B6="Super Unlimited PRO",1,IF($B6="Super Smart 200GB",1,IF($B6="Super Smart 20GB",1,0))))))))))</f>
        <v>0</v>
      </c>
      <c r="F6" s="71"/>
      <c r="G6" s="71"/>
      <c r="H6" s="80"/>
      <c r="I6" s="39"/>
      <c r="J6" s="104" t="str">
        <f>IF(ISERROR(IF(B6="","",VLOOKUP($X6,'PROMO MV SVO PER FS'!$E:$I,5,0))),"",IF(B6="","",VLOOKUP($X6,'PROMO MV SVO PER FS'!$E:$I,5,0)))</f>
        <v/>
      </c>
      <c r="K6" s="105" t="str">
        <f>IF(ISERROR(IF(B6="","",VLOOKUP($X6,'PROMO MV SVO PER FS'!$E:$I,4,0))),"Gestita con procedura FS da CO",IF(B6="","",VLOOKUP($X6,'PROMO MV SVO PER FS'!$E:$I,4,0)))</f>
        <v/>
      </c>
      <c r="L6" s="70"/>
      <c r="M6" s="81"/>
      <c r="N6" s="71"/>
      <c r="O6" s="71"/>
      <c r="P6" s="79"/>
      <c r="Q6" s="79"/>
      <c r="R6" s="82"/>
      <c r="T6" s="101" t="b">
        <v>0</v>
      </c>
      <c r="U6" s="110" t="str">
        <f t="shared" ref="U6:U13" si="0">IF($T6=TRUE,IF(B6="SUPER Unlimited MONDO","9991790945508228",IF(B6="SUPER Unlimited PRO","9991790945508228",IF(B6="SUPER Smart 200GB","9991790945508228",IF(B6="Super Smart 20GB","9991790945508228",IF($B6="SUPER GIGA UNLIMITED","9991744383690315",IF($B6="SUPER GIGA 70","9991744383690315",IF($B6="SUPER GIGA 30","9991744383690315",IF($B6="M2M Full","9991761657929872")))))))),"")</f>
        <v/>
      </c>
      <c r="V6" s="111" t="str">
        <f t="shared" ref="V6:V13" si="1">IF(U6="","",IF(U6="9991790945508228","SVO - Sconto 100% Una Tantum SUPER   - PROMOaVOLUME",IF(U6="9991744383305294","SVO - SCONTO 100% UNA TANTUM PRE - PROMOaVOLUME",IF(U6="9991744383690315","SVO - SCONTO 100% UNA TANTUM POST - PROMOaVOLUME",IF(U6="9991761657929872","SVO - SCONTO 100% UNA TANTUM M2M Full - PROMOaVOLUMEE")))))</f>
        <v/>
      </c>
      <c r="X6" s="118" t="str">
        <f>B6&amp;"-"&amp;D6</f>
        <v>-</v>
      </c>
    </row>
    <row r="7" spans="2:24" ht="21" customHeight="1" x14ac:dyDescent="0.35">
      <c r="B7" s="99"/>
      <c r="C7" s="71"/>
      <c r="D7" s="79"/>
      <c r="E7" s="116">
        <f>IF($B7="Super Unlimited",1,IF($B7="Super Unlimited Plus",1,IF($B7="Super Smart 100GB",1,IF($B7="SUPER FLEX",1,IF($B7="SUPER GIGA 70",1,IF($B7="SUPER GIGA UNLIMITED",1,IF($B7="Super Unlimited MONDO",1,IF($B7="Super Unlimited PRO",1,IF($B7="Super Smart 200GB",1,IF($B7="Super Smart 20GB",1,0))))))))))</f>
        <v>0</v>
      </c>
      <c r="F7" s="71"/>
      <c r="G7" s="71"/>
      <c r="H7" s="80"/>
      <c r="I7" s="39"/>
      <c r="J7" s="104" t="str">
        <f>IF(ISERROR(IF(B7="","",VLOOKUP($X7,'PROMO MV SVO PER FS'!$E:$I,5,0))),"",IF(B7="","",VLOOKUP($X7,'PROMO MV SVO PER FS'!$E:$I,5,0)))</f>
        <v/>
      </c>
      <c r="K7" s="105" t="str">
        <f>IF(ISERROR(IF(B7="","",VLOOKUP($X7,'PROMO MV SVO PER FS'!$E:$I,4,0))),"Gestita con procedura FS da CO",IF(B7="","",VLOOKUP($X7,'PROMO MV SVO PER FS'!$E:$I,4,0)))</f>
        <v/>
      </c>
      <c r="L7" s="70"/>
      <c r="M7" s="81"/>
      <c r="N7" s="71"/>
      <c r="O7" s="71"/>
      <c r="P7" s="79"/>
      <c r="Q7" s="79"/>
      <c r="R7" s="82"/>
      <c r="T7" s="101" t="b">
        <v>0</v>
      </c>
      <c r="U7" s="110" t="str">
        <f t="shared" si="0"/>
        <v/>
      </c>
      <c r="V7" s="111" t="str">
        <f t="shared" si="1"/>
        <v/>
      </c>
      <c r="X7" s="118" t="str">
        <f t="shared" ref="X7:X25" si="2">B7&amp;"-"&amp;D7</f>
        <v>-</v>
      </c>
    </row>
    <row r="8" spans="2:24" ht="21" customHeight="1" x14ac:dyDescent="0.35">
      <c r="B8" s="99"/>
      <c r="C8" s="71"/>
      <c r="D8" s="79"/>
      <c r="E8" s="116">
        <f>IF($B8="Super Unlimited",1,IF($B8="Super Unlimited Plus",1,IF($B8="Super Smart 100GB",1,IF($B8="SUPER FLEX",1,IF($B8="SUPER GIGA 70",1,IF($B8="SUPER GIGA UNLIMITED",1,IF($B8="Super Unlimited MONDO",1,IF($B8="Super Unlimited PRO",1,IF($B8="Super Smart 200GB",1,IF($B8="Super Smart 20GB",1,0))))))))))</f>
        <v>0</v>
      </c>
      <c r="F8" s="71"/>
      <c r="G8" s="71"/>
      <c r="H8" s="80"/>
      <c r="I8" s="39"/>
      <c r="J8" s="104" t="str">
        <f>IF(ISERROR(IF(B8="","",VLOOKUP($X8,'PROMO MV SVO PER FS'!$E:$I,5,0))),"",IF(B8="","",VLOOKUP($X8,'PROMO MV SVO PER FS'!$E:$I,5,0)))</f>
        <v/>
      </c>
      <c r="K8" s="105" t="str">
        <f>IF(ISERROR(IF(B8="","",VLOOKUP($X8,'PROMO MV SVO PER FS'!$E:$I,4,0))),"Gestita con procedura FS da CO",IF(B8="","",VLOOKUP($X8,'PROMO MV SVO PER FS'!$E:$I,4,0)))</f>
        <v/>
      </c>
      <c r="L8" s="70"/>
      <c r="M8" s="81"/>
      <c r="N8" s="71"/>
      <c r="O8" s="71"/>
      <c r="P8" s="79"/>
      <c r="Q8" s="79"/>
      <c r="R8" s="82"/>
      <c r="T8" s="101" t="b">
        <v>0</v>
      </c>
      <c r="U8" s="110" t="str">
        <f t="shared" si="0"/>
        <v/>
      </c>
      <c r="V8" s="111" t="str">
        <f t="shared" si="1"/>
        <v/>
      </c>
      <c r="X8" s="118" t="str">
        <f t="shared" ref="X8:X10" si="3">B8&amp;"-"&amp;D8</f>
        <v>-</v>
      </c>
    </row>
    <row r="9" spans="2:24" ht="21" customHeight="1" x14ac:dyDescent="0.35">
      <c r="B9" s="99"/>
      <c r="C9" s="71"/>
      <c r="D9" s="79"/>
      <c r="E9" s="116">
        <f>IF($B9="Super Unlimited",1,IF($B9="Super Unlimited Plus",1,IF($B9="Super Smart 100",1,IF($B9="SUPER FLEX",1,IF($B9="SUPER GIGA 70",1,IF($B9="SUPER GIGA UNLIMITED",1,IF($B9="Super Unlimited MONDO",1,IF($B9="Super Unlimited PRO",1,IF($B9="Super Smart 200GB",1,IF($B9="Super Smart 20GB",1,0))))))))))</f>
        <v>0</v>
      </c>
      <c r="F9" s="71"/>
      <c r="G9" s="71"/>
      <c r="H9" s="80"/>
      <c r="I9" s="39"/>
      <c r="J9" s="104" t="str">
        <f>IF(ISERROR(IF(B9="","",VLOOKUP($X9,'PROMO MV SVO PER FS'!$E:$I,5,0))),"",IF(B9="","",VLOOKUP($X9,'PROMO MV SVO PER FS'!$E:$I,5,0)))</f>
        <v/>
      </c>
      <c r="K9" s="105" t="str">
        <f>IF(ISERROR(IF(B9="","",VLOOKUP($X9,'PROMO MV SVO PER FS'!$E:$I,4,0))),"Gestita con procedura FS da CO",IF(B9="","",VLOOKUP($X9,'PROMO MV SVO PER FS'!$E:$I,4,0)))</f>
        <v/>
      </c>
      <c r="L9" s="70"/>
      <c r="M9" s="81"/>
      <c r="N9" s="71"/>
      <c r="O9" s="71"/>
      <c r="P9" s="79"/>
      <c r="Q9" s="79"/>
      <c r="R9" s="82"/>
      <c r="T9" s="101" t="b">
        <v>0</v>
      </c>
      <c r="U9" s="110" t="str">
        <f t="shared" si="0"/>
        <v/>
      </c>
      <c r="V9" s="111" t="str">
        <f t="shared" si="1"/>
        <v/>
      </c>
      <c r="X9" s="118" t="str">
        <f t="shared" ref="X9" si="4">B9&amp;"-"&amp;D9</f>
        <v>-</v>
      </c>
    </row>
    <row r="10" spans="2:24" ht="21" customHeight="1" x14ac:dyDescent="0.35">
      <c r="B10" s="99"/>
      <c r="C10" s="71"/>
      <c r="D10" s="79"/>
      <c r="E10" s="116">
        <f t="shared" ref="E10:E13" si="5">IF($B10="Super Unlimited",1,IF($B10="Super Unlimited Plus",1,IF($B10="Super Smart 100GB",1,IF($B10="SUPER FLEX",1,IF($B10="SUPER GIGA 70",1,IF($B10="SUPER GIGA UNLIMITED",1,IF($B10="Super Unlimited MONDO",1,IF($B10="Super Unlimited PRO",1,IF($B10="Super Smart 200GB",1,IF($B10="Super Smart 20GB",1,0))))))))))</f>
        <v>0</v>
      </c>
      <c r="F10" s="71"/>
      <c r="G10" s="71"/>
      <c r="H10" s="80"/>
      <c r="I10" s="39"/>
      <c r="J10" s="104" t="str">
        <f>IF(ISERROR(IF(B10="","",VLOOKUP($X10,'PROMO MV SVO PER FS'!$E:$I,5,0))),"",IF(B10="","",VLOOKUP($X10,'PROMO MV SVO PER FS'!$E:$I,5,0)))</f>
        <v/>
      </c>
      <c r="K10" s="105" t="str">
        <f>IF(ISERROR(IF(B10="","",VLOOKUP($X10,'PROMO MV SVO PER FS'!$E:$I,4,0))),"Gestita con procedura FS da CO",IF(B10="","",VLOOKUP($X10,'PROMO MV SVO PER FS'!$E:$I,4,0)))</f>
        <v/>
      </c>
      <c r="L10" s="70"/>
      <c r="M10" s="81"/>
      <c r="N10" s="71"/>
      <c r="O10" s="71"/>
      <c r="P10" s="79"/>
      <c r="Q10" s="79"/>
      <c r="R10" s="82"/>
      <c r="T10" s="101" t="b">
        <v>0</v>
      </c>
      <c r="U10" s="110" t="str">
        <f t="shared" si="0"/>
        <v/>
      </c>
      <c r="V10" s="111" t="str">
        <f t="shared" si="1"/>
        <v/>
      </c>
      <c r="X10" s="118" t="str">
        <f t="shared" si="3"/>
        <v>-</v>
      </c>
    </row>
    <row r="11" spans="2:24" ht="21" customHeight="1" x14ac:dyDescent="0.35">
      <c r="B11" s="99"/>
      <c r="C11" s="71"/>
      <c r="D11" s="79"/>
      <c r="E11" s="116">
        <f t="shared" si="5"/>
        <v>0</v>
      </c>
      <c r="F11" s="71"/>
      <c r="G11" s="71"/>
      <c r="H11" s="80"/>
      <c r="I11" s="39"/>
      <c r="J11" s="104" t="str">
        <f>IF(ISERROR(IF(B11="","",VLOOKUP($X11,'PROMO MV SVO PER FS'!$E:$I,5,0))),"",IF(B11="","",VLOOKUP($X11,'PROMO MV SVO PER FS'!$E:$I,5,0)))</f>
        <v/>
      </c>
      <c r="K11" s="105" t="str">
        <f>IF(ISERROR(IF(B11="","",VLOOKUP($X11,'PROMO MV SVO PER FS'!$E:$I,4,0))),"Gestita con procedura FS da CO",IF(B11="","",VLOOKUP($X11,'PROMO MV SVO PER FS'!$E:$I,4,0)))</f>
        <v/>
      </c>
      <c r="L11" s="70"/>
      <c r="M11" s="81"/>
      <c r="N11" s="71"/>
      <c r="O11" s="71"/>
      <c r="P11" s="79"/>
      <c r="Q11" s="79"/>
      <c r="R11" s="82"/>
      <c r="T11" s="101" t="b">
        <v>0</v>
      </c>
      <c r="U11" s="110" t="str">
        <f t="shared" si="0"/>
        <v/>
      </c>
      <c r="V11" s="111" t="str">
        <f t="shared" si="1"/>
        <v/>
      </c>
      <c r="X11" s="118" t="str">
        <f t="shared" si="2"/>
        <v>-</v>
      </c>
    </row>
    <row r="12" spans="2:24" ht="21" customHeight="1" x14ac:dyDescent="0.35">
      <c r="B12" s="99"/>
      <c r="C12" s="71"/>
      <c r="D12" s="79"/>
      <c r="E12" s="116">
        <f t="shared" si="5"/>
        <v>0</v>
      </c>
      <c r="F12" s="71"/>
      <c r="G12" s="71"/>
      <c r="H12" s="80"/>
      <c r="I12" s="39"/>
      <c r="J12" s="104" t="str">
        <f>IF(ISERROR(IF(B12="","",VLOOKUP($X12,'PROMO MV SVO PER FS'!$E:$I,5,0))),"",IF(B12="","",VLOOKUP($X12,'PROMO MV SVO PER FS'!$E:$I,5,0)))</f>
        <v/>
      </c>
      <c r="K12" s="105" t="str">
        <f>IF(ISERROR(IF(B12="","",VLOOKUP($X12,'PROMO MV SVO PER FS'!$E:$I,4,0))),"Gestita con procedura FS da CO",IF(B12="","",VLOOKUP($X12,'PROMO MV SVO PER FS'!$E:$I,4,0)))</f>
        <v/>
      </c>
      <c r="L12" s="70"/>
      <c r="M12" s="81"/>
      <c r="N12" s="71"/>
      <c r="O12" s="71"/>
      <c r="P12" s="79"/>
      <c r="Q12" s="79"/>
      <c r="R12" s="82"/>
      <c r="T12" s="101" t="b">
        <v>0</v>
      </c>
      <c r="U12" s="110" t="str">
        <f t="shared" si="0"/>
        <v/>
      </c>
      <c r="V12" s="111" t="str">
        <f t="shared" si="1"/>
        <v/>
      </c>
      <c r="X12" s="118" t="str">
        <f t="shared" si="2"/>
        <v>-</v>
      </c>
    </row>
    <row r="13" spans="2:24" ht="21" customHeight="1" thickBot="1" x14ac:dyDescent="0.4">
      <c r="B13" s="100"/>
      <c r="C13" s="84"/>
      <c r="D13" s="85"/>
      <c r="E13" s="117">
        <f t="shared" si="5"/>
        <v>0</v>
      </c>
      <c r="F13" s="84"/>
      <c r="G13" s="84"/>
      <c r="H13" s="86"/>
      <c r="I13" s="39"/>
      <c r="J13" s="108" t="str">
        <f>IF(ISERROR(IF(B13="","",VLOOKUP($X13,'PROMO MV SVO PER FS'!$E:$I,5,0))),"",IF(B13="","",VLOOKUP($X13,'PROMO MV SVO PER FS'!$E:$I,5,0)))</f>
        <v/>
      </c>
      <c r="K13" s="109" t="str">
        <f>IF(ISERROR(IF(B13="","",VLOOKUP($X13,'PROMO MV SVO PER FS'!$E:$I,4,0))),"Gestita con procedura FS da CO",IF(B13="","",VLOOKUP($X13,'PROMO MV SVO PER FS'!$E:$I,4,0)))</f>
        <v/>
      </c>
      <c r="L13" s="70"/>
      <c r="M13" s="87"/>
      <c r="N13" s="84"/>
      <c r="O13" s="84"/>
      <c r="P13" s="85"/>
      <c r="Q13" s="85"/>
      <c r="R13" s="88"/>
      <c r="T13" s="103" t="b">
        <v>0</v>
      </c>
      <c r="U13" s="114" t="str">
        <f t="shared" si="0"/>
        <v/>
      </c>
      <c r="V13" s="115" t="str">
        <f t="shared" si="1"/>
        <v/>
      </c>
      <c r="X13" s="118" t="str">
        <f t="shared" ref="X13" si="6">B13&amp;"-"&amp;D13</f>
        <v>-</v>
      </c>
    </row>
    <row r="14" spans="2:24" ht="12.65" customHeight="1" thickTop="1" x14ac:dyDescent="0.35">
      <c r="B14" s="49"/>
      <c r="C14" s="49"/>
      <c r="D14" s="49"/>
      <c r="E14" s="49"/>
      <c r="F14" s="49"/>
      <c r="G14" s="49"/>
      <c r="H14" s="49"/>
    </row>
    <row r="15" spans="2:24" ht="12.65" customHeight="1" x14ac:dyDescent="0.35">
      <c r="B15" s="49"/>
      <c r="C15" s="49"/>
      <c r="D15" s="49"/>
      <c r="E15" s="49"/>
      <c r="F15" s="49"/>
      <c r="G15" s="49"/>
      <c r="H15" s="49"/>
    </row>
    <row r="16" spans="2:24" ht="21" customHeight="1" thickBot="1" x14ac:dyDescent="0.4">
      <c r="B16" s="175" t="s">
        <v>388</v>
      </c>
      <c r="C16" s="49"/>
      <c r="D16" s="49"/>
      <c r="E16" s="49"/>
      <c r="F16" s="49"/>
      <c r="G16" s="49"/>
      <c r="H16" s="49"/>
    </row>
    <row r="17" spans="2:24" ht="21" customHeight="1" thickTop="1" x14ac:dyDescent="0.35">
      <c r="B17" s="147"/>
      <c r="C17" s="148"/>
      <c r="D17" s="149"/>
      <c r="E17" s="150">
        <f t="shared" ref="E17:E19" si="7">IF($B17="Super Unlimited",1,IF($B17="Super Unlimited Plus",1,IF($B17="Super Smart 100GB",1,IF($B17="SUPER FLEX",1,IF($B17="SUPER GIGA 70",1,IF($B17="SUPER GIGA UNLIMITED",1,IF($B17="Super Unlimited MONDO",1,IF($B17="Super Unlimited PRO",1,IF($B17="Super Smart 200GB",1,IF($B17="Super Smart 20GB",1,0))))))))))</f>
        <v>0</v>
      </c>
      <c r="F17" s="151"/>
      <c r="G17" s="151"/>
      <c r="H17" s="174"/>
      <c r="I17" s="39"/>
      <c r="J17" s="152" t="str">
        <f>IF(ISERROR(IF(B17="","",VLOOKUP($X17,'PROMO MV SVO PER FS'!$E:$I,5,0))),"",IF(B17="","",VLOOKUP($X17,'PROMO MV SVO PER FS'!$E:$I,5,0)))</f>
        <v/>
      </c>
      <c r="K17" s="105" t="str">
        <f>IF(ISERROR(IF(B17="","",VLOOKUP($X17,'PROMO MV SVO PER FS'!$E:$I,4,0))),"Gestita con procedura FS da CO",IF(B17="","",VLOOKUP($X17,'PROMO MV SVO PER FS'!$E:$I,4,0)))</f>
        <v/>
      </c>
      <c r="L17" s="70"/>
      <c r="M17" s="153"/>
      <c r="N17" s="148"/>
      <c r="O17" s="148"/>
      <c r="P17" s="149"/>
      <c r="Q17" s="149"/>
      <c r="R17" s="154"/>
      <c r="T17" s="157" t="b">
        <v>0</v>
      </c>
      <c r="U17" s="158" t="str">
        <f>IF($T17=TRUE,IF(B17="Super Unlimited","9991744383305294",IF(B17="Super Unlimited Plus","9991744383305294",IF(B17="SUPER SMART 100","9991744383305294",IF(B17="Super Smart 5","9991744383305294")))),"")</f>
        <v/>
      </c>
      <c r="V17" s="159" t="str">
        <f>IF(U17="","",IF(U17="9991744383305294","SVO - SCONTO 100% UNA TANTUM PRE - PROMOaVOLUME",IF(U17="9991744383690315","SVO - SCONTO 100% UNA TANTUM POST - PROMOaVOLUME",IF(U17="9991761657929872","SVO - SCONTO 100% UNA TANTUM M2M Full - PROMOaVOLUMEE"))))</f>
        <v/>
      </c>
      <c r="X17" s="118" t="str">
        <f t="shared" si="2"/>
        <v>-</v>
      </c>
    </row>
    <row r="18" spans="2:24" ht="21" customHeight="1" x14ac:dyDescent="0.35">
      <c r="B18" s="99"/>
      <c r="C18" s="95"/>
      <c r="D18" s="96"/>
      <c r="E18" s="116">
        <f t="shared" si="7"/>
        <v>0</v>
      </c>
      <c r="F18" s="71"/>
      <c r="G18" s="71"/>
      <c r="H18" s="80"/>
      <c r="I18" s="39"/>
      <c r="J18" s="106" t="str">
        <f>IF(ISERROR(IF(B18="","",VLOOKUP($X18,'PROMO MV SVO PER FS'!$E:$I,5,0))),"",IF(B18="","",VLOOKUP($X18,'PROMO MV SVO PER FS'!$E:$I,5,0)))</f>
        <v/>
      </c>
      <c r="K18" s="107" t="str">
        <f>IF(ISERROR(IF(B18="","",VLOOKUP($X18,'PROMO MV SVO PER FS'!$E:$I,4,0))),"Gestita con procedura FS da CO",IF(B18="","",VLOOKUP($X18,'PROMO MV SVO PER FS'!$E:$I,4,0)))</f>
        <v/>
      </c>
      <c r="L18" s="70"/>
      <c r="M18" s="97"/>
      <c r="N18" s="95"/>
      <c r="O18" s="95"/>
      <c r="P18" s="96"/>
      <c r="Q18" s="96"/>
      <c r="R18" s="98"/>
      <c r="T18" s="102" t="b">
        <v>0</v>
      </c>
      <c r="U18" s="112" t="str">
        <f t="shared" ref="U18:U25" si="8">IF($T18=TRUE,IF(B18="Super Unlimited","9991744383305294",IF(B18="Super Unlimited Plus","9991744383305294",IF(B18="SUPER SMART 100","9991744383305294",IF(B18="Super Smart 5","9991744383305294")))),"")</f>
        <v/>
      </c>
      <c r="V18" s="113" t="str">
        <f t="shared" ref="V18:V25" si="9">IF(U18="","",IF(U18="9991744383305294","SVO - SCONTO 100% UNA TANTUM PRE - PROMOaVOLUME",IF(U18="9991744383690315","SVO - SCONTO 100% UNA TANTUM POST - PROMOaVOLUME",IF(U18="9991761657929872","SVO - SCONTO 100% UNA TANTUM M2M Full - PROMOaVOLUMEE"))))</f>
        <v/>
      </c>
      <c r="X18" s="118" t="str">
        <f t="shared" si="2"/>
        <v>-</v>
      </c>
    </row>
    <row r="19" spans="2:24" ht="21" customHeight="1" x14ac:dyDescent="0.35">
      <c r="B19" s="99"/>
      <c r="C19" s="95"/>
      <c r="D19" s="96"/>
      <c r="E19" s="116">
        <f t="shared" si="7"/>
        <v>0</v>
      </c>
      <c r="F19" s="71"/>
      <c r="G19" s="71"/>
      <c r="H19" s="80"/>
      <c r="I19" s="39"/>
      <c r="J19" s="106" t="str">
        <f>IF(ISERROR(IF(B19="","",VLOOKUP($X19,'PROMO MV SVO PER FS'!$E:$I,5,0))),"",IF(B19="","",VLOOKUP($X19,'PROMO MV SVO PER FS'!$E:$I,5,0)))</f>
        <v/>
      </c>
      <c r="K19" s="107" t="str">
        <f>IF(ISERROR(IF(B19="","",VLOOKUP($X19,'PROMO MV SVO PER FS'!$E:$I,4,0))),"Gestita con procedura FS da CO",IF(B19="","",VLOOKUP($X19,'PROMO MV SVO PER FS'!$E:$I,4,0)))</f>
        <v/>
      </c>
      <c r="L19" s="70"/>
      <c r="M19" s="97"/>
      <c r="N19" s="95"/>
      <c r="O19" s="95"/>
      <c r="P19" s="96"/>
      <c r="Q19" s="96"/>
      <c r="R19" s="98"/>
      <c r="T19" s="102" t="b">
        <v>0</v>
      </c>
      <c r="U19" s="112" t="str">
        <f t="shared" si="8"/>
        <v/>
      </c>
      <c r="V19" s="113" t="str">
        <f t="shared" si="9"/>
        <v/>
      </c>
      <c r="X19" s="118" t="str">
        <f t="shared" si="2"/>
        <v>-</v>
      </c>
    </row>
    <row r="20" spans="2:24" ht="21" customHeight="1" x14ac:dyDescent="0.35">
      <c r="B20" s="99"/>
      <c r="C20" s="95"/>
      <c r="D20" s="96"/>
      <c r="E20" s="116">
        <f>IF($B20="Super Unlimited",1,IF($B20="Super Unlimited Plus",1,IF($B20="Super Smart 100GB",1,IF($B20="SUPER FLEX",1,IF($B20="SUPER GIGA 70",1,IF($B20="SUPER GIGA UNLIMITED",1,IF($B20="Super Unlimited MONDO",1,IF($B20="Super Unlimited PRO",1,IF($B20="Super Smart 200GB",1,IF($B20="Super Smart 20GB",1,0))))))))))</f>
        <v>0</v>
      </c>
      <c r="F20" s="71"/>
      <c r="G20" s="71"/>
      <c r="H20" s="80"/>
      <c r="I20" s="39"/>
      <c r="J20" s="106" t="str">
        <f>IF(ISERROR(IF(B20="","",VLOOKUP($X20,'PROMO MV SVO PER FS'!$E:$I,5,0))),"",IF(B20="","",VLOOKUP($X20,'PROMO MV SVO PER FS'!$E:$I,5,0)))</f>
        <v/>
      </c>
      <c r="K20" s="107" t="str">
        <f>IF(ISERROR(IF(B20="","",VLOOKUP($X20,'PROMO MV SVO PER FS'!$E:$I,4,0))),"Gestita con procedura FS da CO",IF(B20="","",VLOOKUP($X20,'PROMO MV SVO PER FS'!$E:$I,4,0)))</f>
        <v/>
      </c>
      <c r="L20" s="70"/>
      <c r="M20" s="97"/>
      <c r="N20" s="95"/>
      <c r="O20" s="95"/>
      <c r="P20" s="96"/>
      <c r="Q20" s="96"/>
      <c r="R20" s="98"/>
      <c r="T20" s="102" t="b">
        <v>0</v>
      </c>
      <c r="U20" s="112" t="str">
        <f t="shared" si="8"/>
        <v/>
      </c>
      <c r="V20" s="113" t="str">
        <f t="shared" si="9"/>
        <v/>
      </c>
      <c r="X20" s="118" t="str">
        <f>B20&amp;"-"&amp;D20</f>
        <v>-</v>
      </c>
    </row>
    <row r="21" spans="2:24" ht="21" customHeight="1" x14ac:dyDescent="0.35">
      <c r="B21" s="99"/>
      <c r="C21" s="95"/>
      <c r="D21" s="96"/>
      <c r="E21" s="116">
        <f t="shared" ref="E21:E25" si="10">IF($B21="Super Unlimited",1,IF($B21="Super Unlimited Plus",1,IF($B21="Super Smart 100GB",1,IF($B21="SUPER FLEX",1,IF($B21="SUPER GIGA 70",1,IF($B21="SUPER GIGA UNLIMITED",1,IF($B21="Super Unlimited MONDO",1,IF($B21="Super Unlimited PRO",1,IF($B21="Super Smart 200GB",1,IF($B21="Super Smart 20GB",1,0))))))))))</f>
        <v>0</v>
      </c>
      <c r="F21" s="71"/>
      <c r="G21" s="71"/>
      <c r="H21" s="80"/>
      <c r="I21" s="39"/>
      <c r="J21" s="106" t="str">
        <f>IF(ISERROR(IF(B21="","",VLOOKUP($X21,'PROMO MV SVO PER FS'!$E:$I,5,0))),"",IF(B21="","",VLOOKUP($X21,'PROMO MV SVO PER FS'!$E:$I,5,0)))</f>
        <v/>
      </c>
      <c r="K21" s="107" t="str">
        <f>IF(ISERROR(IF(B21="","",VLOOKUP($X21,'PROMO MV SVO PER FS'!$E:$I,4,0))),"Gestita con procedura FS da CO",IF(B21="","",VLOOKUP($X21,'PROMO MV SVO PER FS'!$E:$I,4,0)))</f>
        <v/>
      </c>
      <c r="L21" s="70"/>
      <c r="M21" s="97"/>
      <c r="N21" s="95"/>
      <c r="O21" s="95"/>
      <c r="P21" s="96"/>
      <c r="Q21" s="96"/>
      <c r="R21" s="98"/>
      <c r="T21" s="102" t="b">
        <v>0</v>
      </c>
      <c r="U21" s="112" t="str">
        <f t="shared" si="8"/>
        <v/>
      </c>
      <c r="V21" s="113" t="str">
        <f t="shared" si="9"/>
        <v/>
      </c>
      <c r="X21" s="118" t="str">
        <f t="shared" si="2"/>
        <v>-</v>
      </c>
    </row>
    <row r="22" spans="2:24" ht="21" customHeight="1" x14ac:dyDescent="0.35">
      <c r="B22" s="99"/>
      <c r="C22" s="95"/>
      <c r="D22" s="96"/>
      <c r="E22" s="116">
        <f t="shared" si="10"/>
        <v>0</v>
      </c>
      <c r="F22" s="71"/>
      <c r="G22" s="71"/>
      <c r="H22" s="80"/>
      <c r="I22" s="39"/>
      <c r="J22" s="106" t="str">
        <f>IF(ISERROR(IF(B22="","",VLOOKUP($X22,'PROMO MV SVO PER FS'!$E:$I,5,0))),"",IF(B22="","",VLOOKUP($X22,'PROMO MV SVO PER FS'!$E:$I,5,0)))</f>
        <v/>
      </c>
      <c r="K22" s="107" t="str">
        <f>IF(ISERROR(IF(B22="","",VLOOKUP($X22,'PROMO MV SVO PER FS'!$E:$I,4,0))),"Gestita con procedura FS da CO",IF(B22="","",VLOOKUP($X22,'PROMO MV SVO PER FS'!$E:$I,4,0)))</f>
        <v/>
      </c>
      <c r="L22" s="70"/>
      <c r="M22" s="97"/>
      <c r="N22" s="95"/>
      <c r="O22" s="95"/>
      <c r="P22" s="96"/>
      <c r="Q22" s="96"/>
      <c r="R22" s="98"/>
      <c r="T22" s="102" t="b">
        <v>0</v>
      </c>
      <c r="U22" s="112" t="str">
        <f t="shared" si="8"/>
        <v/>
      </c>
      <c r="V22" s="113" t="str">
        <f t="shared" si="9"/>
        <v/>
      </c>
      <c r="X22" s="118" t="str">
        <f t="shared" si="2"/>
        <v>-</v>
      </c>
    </row>
    <row r="23" spans="2:24" ht="21" customHeight="1" x14ac:dyDescent="0.35">
      <c r="B23" s="99"/>
      <c r="C23" s="95"/>
      <c r="D23" s="96"/>
      <c r="E23" s="116">
        <f t="shared" si="10"/>
        <v>0</v>
      </c>
      <c r="F23" s="71"/>
      <c r="G23" s="71"/>
      <c r="H23" s="80"/>
      <c r="I23" s="39"/>
      <c r="J23" s="106" t="str">
        <f>IF(ISERROR(IF(B23="","",VLOOKUP($X23,'PROMO MV SVO PER FS'!$E:$I,5,0))),"",IF(B23="","",VLOOKUP($X23,'PROMO MV SVO PER FS'!$E:$I,5,0)))</f>
        <v/>
      </c>
      <c r="K23" s="107" t="str">
        <f>IF(ISERROR(IF(B23="","",VLOOKUP($X23,'PROMO MV SVO PER FS'!$E:$I,4,0))),"Gestita con procedura FS da CO",IF(B23="","",VLOOKUP($X23,'PROMO MV SVO PER FS'!$E:$I,4,0)))</f>
        <v/>
      </c>
      <c r="L23" s="70"/>
      <c r="M23" s="97"/>
      <c r="N23" s="95"/>
      <c r="O23" s="95"/>
      <c r="P23" s="96"/>
      <c r="Q23" s="96"/>
      <c r="R23" s="98"/>
      <c r="T23" s="102" t="b">
        <v>0</v>
      </c>
      <c r="U23" s="112" t="str">
        <f t="shared" si="8"/>
        <v/>
      </c>
      <c r="V23" s="113" t="str">
        <f t="shared" si="9"/>
        <v/>
      </c>
      <c r="X23" s="118" t="str">
        <f t="shared" si="2"/>
        <v>-</v>
      </c>
    </row>
    <row r="24" spans="2:24" ht="21" customHeight="1" x14ac:dyDescent="0.35">
      <c r="B24" s="99"/>
      <c r="C24" s="95"/>
      <c r="D24" s="96"/>
      <c r="E24" s="116">
        <f t="shared" si="10"/>
        <v>0</v>
      </c>
      <c r="F24" s="71"/>
      <c r="G24" s="71"/>
      <c r="H24" s="80"/>
      <c r="I24" s="39"/>
      <c r="J24" s="106" t="str">
        <f>IF(ISERROR(IF(B24="","",VLOOKUP($X24,'PROMO MV SVO PER FS'!$E:$I,5,0))),"",IF(B24="","",VLOOKUP($X24,'PROMO MV SVO PER FS'!$E:$I,5,0)))</f>
        <v/>
      </c>
      <c r="K24" s="107" t="str">
        <f>IF(ISERROR(IF(B24="","",VLOOKUP($X24,'PROMO MV SVO PER FS'!$E:$I,4,0))),"Gestita con procedura FS da CO",IF(B24="","",VLOOKUP($X24,'PROMO MV SVO PER FS'!$E:$I,4,0)))</f>
        <v/>
      </c>
      <c r="L24" s="70"/>
      <c r="M24" s="97"/>
      <c r="N24" s="95"/>
      <c r="O24" s="95"/>
      <c r="P24" s="96"/>
      <c r="Q24" s="96"/>
      <c r="R24" s="98"/>
      <c r="T24" s="102" t="b">
        <v>0</v>
      </c>
      <c r="U24" s="112" t="str">
        <f t="shared" si="8"/>
        <v/>
      </c>
      <c r="V24" s="113" t="str">
        <f t="shared" si="9"/>
        <v/>
      </c>
      <c r="X24" s="118" t="str">
        <f t="shared" si="2"/>
        <v>-</v>
      </c>
    </row>
    <row r="25" spans="2:24" ht="21" customHeight="1" thickBot="1" x14ac:dyDescent="0.4">
      <c r="B25" s="100"/>
      <c r="C25" s="84"/>
      <c r="D25" s="85"/>
      <c r="E25" s="117">
        <f t="shared" si="10"/>
        <v>0</v>
      </c>
      <c r="F25" s="84"/>
      <c r="G25" s="84"/>
      <c r="H25" s="86"/>
      <c r="I25" s="39"/>
      <c r="J25" s="108" t="str">
        <f>IF(ISERROR(IF(B25="","",VLOOKUP($X25,'PROMO MV SVO PER FS'!$E:$I,5,0))),"",IF(B25="","",VLOOKUP($X25,'PROMO MV SVO PER FS'!$E:$I,5,0)))</f>
        <v/>
      </c>
      <c r="K25" s="109" t="str">
        <f>IF(ISERROR(IF(B25="","",VLOOKUP($X25,'PROMO MV SVO PER FS'!$E:$I,4,0))),"Gestita con procedura FS da CO",IF(B25="","",VLOOKUP($X25,'PROMO MV SVO PER FS'!$E:$I,4,0)))</f>
        <v/>
      </c>
      <c r="L25" s="70"/>
      <c r="M25" s="87"/>
      <c r="N25" s="84"/>
      <c r="O25" s="84"/>
      <c r="P25" s="85"/>
      <c r="Q25" s="85"/>
      <c r="R25" s="88"/>
      <c r="T25" s="103" t="b">
        <v>0</v>
      </c>
      <c r="U25" s="114" t="str">
        <f t="shared" si="8"/>
        <v/>
      </c>
      <c r="V25" s="115" t="str">
        <f t="shared" si="9"/>
        <v/>
      </c>
      <c r="X25" s="118" t="str">
        <f t="shared" si="2"/>
        <v>-</v>
      </c>
    </row>
    <row r="26" spans="2:24" ht="12.65" customHeight="1" thickTop="1" x14ac:dyDescent="0.35">
      <c r="B26" s="49"/>
      <c r="C26" s="49"/>
      <c r="D26" s="49"/>
      <c r="E26" s="49"/>
      <c r="F26" s="49"/>
      <c r="G26" s="49"/>
      <c r="H26" s="49"/>
    </row>
    <row r="27" spans="2:24" ht="15" customHeight="1" thickBot="1" x14ac:dyDescent="0.4">
      <c r="B27" s="49"/>
      <c r="C27" s="49"/>
      <c r="D27" s="49"/>
      <c r="E27" s="49"/>
      <c r="F27" s="49"/>
      <c r="G27" s="49"/>
      <c r="H27" s="49"/>
    </row>
    <row r="28" spans="2:24" ht="33" customHeight="1" thickTop="1" x14ac:dyDescent="0.35">
      <c r="B28" s="198" t="s">
        <v>149</v>
      </c>
      <c r="C28" s="199" t="s">
        <v>151</v>
      </c>
      <c r="D28" s="200" t="s">
        <v>198</v>
      </c>
      <c r="E28" s="49"/>
      <c r="F28" s="49"/>
      <c r="G28" s="49"/>
      <c r="H28" s="49"/>
    </row>
    <row r="29" spans="2:24" ht="21" customHeight="1" x14ac:dyDescent="0.35">
      <c r="B29" s="78"/>
      <c r="C29" s="71"/>
      <c r="D29" s="82"/>
      <c r="E29" s="49"/>
      <c r="F29" s="49"/>
      <c r="G29" s="49"/>
      <c r="H29" s="49"/>
    </row>
    <row r="30" spans="2:24" ht="21" customHeight="1" x14ac:dyDescent="0.35">
      <c r="B30" s="78"/>
      <c r="C30" s="71"/>
      <c r="D30" s="82"/>
      <c r="E30" s="49"/>
      <c r="F30" s="49"/>
      <c r="G30" s="49"/>
      <c r="H30" s="49"/>
    </row>
    <row r="31" spans="2:24" ht="21" customHeight="1" x14ac:dyDescent="0.35">
      <c r="B31" s="78"/>
      <c r="C31" s="71"/>
      <c r="D31" s="82"/>
      <c r="E31" s="49"/>
      <c r="F31" s="49"/>
      <c r="G31" s="49"/>
      <c r="H31" s="49"/>
    </row>
    <row r="32" spans="2:24" ht="21" customHeight="1" x14ac:dyDescent="0.35">
      <c r="B32" s="78"/>
      <c r="C32" s="71"/>
      <c r="D32" s="82"/>
      <c r="E32" s="49"/>
      <c r="F32" s="49"/>
      <c r="G32" s="49"/>
      <c r="H32" s="49"/>
    </row>
    <row r="33" spans="2:21" ht="21" customHeight="1" thickBot="1" x14ac:dyDescent="0.4">
      <c r="B33" s="83"/>
      <c r="C33" s="84"/>
      <c r="D33" s="88"/>
      <c r="E33" s="49"/>
      <c r="F33" s="49"/>
      <c r="G33" s="49"/>
      <c r="H33" s="49"/>
    </row>
    <row r="34" spans="2:21" ht="15" thickTop="1" x14ac:dyDescent="0.35">
      <c r="M34" s="70"/>
      <c r="N34" s="70"/>
      <c r="P34" s="89"/>
      <c r="Q34" s="89"/>
      <c r="R34" s="89"/>
      <c r="T34" s="70"/>
      <c r="U34" s="70"/>
    </row>
    <row r="35" spans="2:21" x14ac:dyDescent="0.35">
      <c r="L35" s="39"/>
    </row>
    <row r="36" spans="2:21" x14ac:dyDescent="0.35">
      <c r="F36" s="66"/>
    </row>
    <row r="37" spans="2:21" x14ac:dyDescent="0.35">
      <c r="B37" s="65" t="s">
        <v>150</v>
      </c>
    </row>
    <row r="38" spans="2:21" x14ac:dyDescent="0.35">
      <c r="B38" s="207" t="s">
        <v>57</v>
      </c>
      <c r="C38" s="208"/>
      <c r="D38" s="208"/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</row>
    <row r="41" spans="2:21" x14ac:dyDescent="0.35">
      <c r="C41" s="39"/>
    </row>
    <row r="42" spans="2:21" x14ac:dyDescent="0.35">
      <c r="C42" s="39"/>
    </row>
    <row r="43" spans="2:21" x14ac:dyDescent="0.35">
      <c r="C43" s="39"/>
      <c r="D43" s="67"/>
      <c r="E43" s="67"/>
      <c r="F43" s="68"/>
    </row>
    <row r="44" spans="2:21" x14ac:dyDescent="0.35">
      <c r="C44" s="39"/>
      <c r="F44" s="68"/>
    </row>
    <row r="45" spans="2:21" x14ac:dyDescent="0.35">
      <c r="C45" s="39"/>
      <c r="F45" s="68"/>
    </row>
    <row r="46" spans="2:21" x14ac:dyDescent="0.35">
      <c r="F46" s="68"/>
    </row>
    <row r="47" spans="2:21" x14ac:dyDescent="0.35">
      <c r="F47" s="68"/>
    </row>
  </sheetData>
  <sheetProtection algorithmName="SHA-512" hashValue="a8NNcpnJDA8EXjV2nh49DcD9zuFg4Oy4SNdC4F0skeMFGY7OhSkAsQ6U5BPnlH0lczn3OuMsZopT6jlK30yVvw==" saltValue="c7p6U8wtwjUbujwR3/1YgQ==" spinCount="100000" sheet="1" objects="1" scenarios="1"/>
  <mergeCells count="4">
    <mergeCell ref="T2:V2"/>
    <mergeCell ref="B2:H2"/>
    <mergeCell ref="B38:P38"/>
    <mergeCell ref="J2:K2"/>
  </mergeCells>
  <conditionalFormatting sqref="K5:K13 K17:K25">
    <cfRule type="cellIs" dxfId="0" priority="4" operator="equal">
      <formula>"Gestita con procedura FS da CO"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A3007D0-FA14-4DE7-A50F-F2824803A215}">
          <x14:formula1>
            <xm:f>Foglio1!$G$4:$G$6</xm:f>
          </x14:formula1>
          <xm:sqref>O17:O25 O5:O13</xm:sqref>
        </x14:dataValidation>
        <x14:dataValidation type="list" allowBlank="1" showInputMessage="1" showErrorMessage="1" xr:uid="{00B4B76F-91BE-4C9F-BF84-19BBAC6C9EBA}">
          <x14:formula1>
            <xm:f>Foglio1!$D$4:$D$21</xm:f>
          </x14:formula1>
          <xm:sqref>B29:B33</xm:sqref>
        </x14:dataValidation>
        <x14:dataValidation type="list" allowBlank="1" showInputMessage="1" showErrorMessage="1" xr:uid="{7C686521-23CA-46AD-B481-2CA0BFE58A2E}">
          <x14:formula1>
            <xm:f>Foglio1!$E$4:$E$9</xm:f>
          </x14:formula1>
          <xm:sqref>G17:G25 G5:G13</xm:sqref>
        </x14:dataValidation>
        <x14:dataValidation type="list" allowBlank="1" showInputMessage="1" showErrorMessage="1" xr:uid="{CF5D1E29-2D00-4F39-AF7B-9498B03B8D42}">
          <x14:formula1>
            <xm:f>Foglio1!$J$4:$J$5</xm:f>
          </x14:formula1>
          <xm:sqref>H5:H13 F17:F25 H17:H25 F5:F13</xm:sqref>
        </x14:dataValidation>
        <x14:dataValidation type="list" allowBlank="1" showInputMessage="1" showErrorMessage="1" xr:uid="{167A5DB7-8713-4E36-9FAA-BB0DAEFD3CD3}">
          <x14:formula1>
            <xm:f>Foglio1!$C$22:$C$41</xm:f>
          </x14:formula1>
          <xm:sqref>B17:B25</xm:sqref>
        </x14:dataValidation>
        <x14:dataValidation type="list" allowBlank="1" showInputMessage="1" showErrorMessage="1" xr:uid="{146195EB-7220-45D1-9354-F6C19DEE4A07}">
          <x14:formula1>
            <xm:f>Foglio1!$C$4:$C$19</xm:f>
          </x14:formula1>
          <xm:sqref>B5:B13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E8B4-18DD-44BB-BDC8-2579B8BAF277}">
  <sheetPr codeName="Foglio4"/>
  <dimension ref="B3:J51"/>
  <sheetViews>
    <sheetView showGridLines="0" topLeftCell="A5" workbookViewId="0">
      <selection activeCell="D9" sqref="D9"/>
    </sheetView>
  </sheetViews>
  <sheetFormatPr defaultColWidth="8.7265625" defaultRowHeight="12.5" x14ac:dyDescent="0.25"/>
  <cols>
    <col min="1" max="1" width="4.26953125" style="1" customWidth="1"/>
    <col min="2" max="2" width="19.6328125" style="5" bestFit="1" customWidth="1"/>
    <col min="3" max="3" width="34.26953125" style="1" bestFit="1" customWidth="1"/>
    <col min="4" max="4" width="34.26953125" style="1" customWidth="1"/>
    <col min="5" max="5" width="12.453125" style="1" customWidth="1"/>
    <col min="6" max="6" width="40.54296875" style="1" customWidth="1"/>
    <col min="7" max="7" width="19.453125" style="1" customWidth="1"/>
    <col min="8" max="8" width="20.453125" style="1" customWidth="1"/>
    <col min="9" max="9" width="16.1796875" style="1" customWidth="1"/>
    <col min="10" max="10" width="12.54296875" style="1" bestFit="1" customWidth="1"/>
    <col min="11" max="11" width="20" style="1" bestFit="1" customWidth="1"/>
    <col min="12" max="16384" width="8.7265625" style="1"/>
  </cols>
  <sheetData>
    <row r="3" spans="2:10" ht="13" x14ac:dyDescent="0.3">
      <c r="B3" s="4"/>
      <c r="C3" s="3" t="s">
        <v>0</v>
      </c>
      <c r="D3" s="3" t="s">
        <v>152</v>
      </c>
      <c r="E3" s="3" t="s">
        <v>5</v>
      </c>
      <c r="F3" s="3" t="s">
        <v>8</v>
      </c>
      <c r="G3" s="3" t="s">
        <v>7</v>
      </c>
      <c r="H3" s="3" t="s">
        <v>26</v>
      </c>
      <c r="I3" s="3" t="s">
        <v>47</v>
      </c>
      <c r="J3" s="3"/>
    </row>
    <row r="4" spans="2:10" ht="14.5" x14ac:dyDescent="0.25">
      <c r="C4" s="138" t="s">
        <v>385</v>
      </c>
      <c r="D4" s="144" t="s">
        <v>155</v>
      </c>
      <c r="E4" s="138" t="s">
        <v>13</v>
      </c>
      <c r="F4" s="138" t="s">
        <v>202</v>
      </c>
      <c r="G4" s="138" t="s">
        <v>24</v>
      </c>
      <c r="H4" s="138" t="s">
        <v>30</v>
      </c>
      <c r="I4" s="138" t="s">
        <v>45</v>
      </c>
      <c r="J4" s="138" t="s">
        <v>472</v>
      </c>
    </row>
    <row r="5" spans="2:10" ht="14.5" x14ac:dyDescent="0.25">
      <c r="C5" s="138" t="s">
        <v>382</v>
      </c>
      <c r="D5" s="144" t="s">
        <v>156</v>
      </c>
      <c r="E5" s="138" t="s">
        <v>10</v>
      </c>
      <c r="F5" s="138" t="s">
        <v>280</v>
      </c>
      <c r="G5" s="138" t="s">
        <v>200</v>
      </c>
      <c r="H5" s="138" t="s">
        <v>27</v>
      </c>
      <c r="I5" s="138" t="s">
        <v>46</v>
      </c>
      <c r="J5" s="138" t="s">
        <v>473</v>
      </c>
    </row>
    <row r="6" spans="2:10" ht="14.5" x14ac:dyDescent="0.25">
      <c r="C6" s="138" t="s">
        <v>466</v>
      </c>
      <c r="D6" s="144" t="s">
        <v>157</v>
      </c>
      <c r="E6" s="138" t="s">
        <v>9</v>
      </c>
      <c r="F6" s="138" t="s">
        <v>281</v>
      </c>
      <c r="G6" s="138" t="s">
        <v>25</v>
      </c>
      <c r="H6" s="138" t="s">
        <v>28</v>
      </c>
    </row>
    <row r="7" spans="2:10" ht="14.5" x14ac:dyDescent="0.25">
      <c r="C7" s="138" t="s">
        <v>467</v>
      </c>
      <c r="D7" s="144" t="s">
        <v>158</v>
      </c>
      <c r="E7" s="138" t="s">
        <v>12</v>
      </c>
      <c r="F7" s="2"/>
      <c r="H7" s="138" t="s">
        <v>29</v>
      </c>
    </row>
    <row r="8" spans="2:10" ht="14.5" x14ac:dyDescent="0.25">
      <c r="C8" s="138" t="s">
        <v>33</v>
      </c>
      <c r="D8" s="144" t="s">
        <v>159</v>
      </c>
      <c r="E8" s="138" t="s">
        <v>11</v>
      </c>
      <c r="H8" s="138" t="s">
        <v>49</v>
      </c>
    </row>
    <row r="9" spans="2:10" ht="14.5" x14ac:dyDescent="0.25">
      <c r="C9" s="139" t="s">
        <v>19</v>
      </c>
      <c r="D9" s="144" t="s">
        <v>160</v>
      </c>
      <c r="E9" s="138" t="s">
        <v>360</v>
      </c>
      <c r="H9" s="138" t="s">
        <v>44</v>
      </c>
    </row>
    <row r="10" spans="2:10" ht="14.5" x14ac:dyDescent="0.25">
      <c r="C10" s="139" t="s">
        <v>20</v>
      </c>
      <c r="D10" s="144" t="s">
        <v>161</v>
      </c>
      <c r="F10" s="2"/>
      <c r="H10" s="138" t="s">
        <v>163</v>
      </c>
    </row>
    <row r="11" spans="2:10" ht="14.5" x14ac:dyDescent="0.25">
      <c r="C11" s="139" t="s">
        <v>34</v>
      </c>
      <c r="D11" s="144" t="s">
        <v>162</v>
      </c>
      <c r="F11" s="2"/>
    </row>
    <row r="12" spans="2:10" ht="14.5" x14ac:dyDescent="0.25">
      <c r="C12" s="141" t="s">
        <v>284</v>
      </c>
      <c r="D12" s="144" t="s">
        <v>358</v>
      </c>
      <c r="F12" s="36"/>
    </row>
    <row r="13" spans="2:10" ht="14.5" x14ac:dyDescent="0.25">
      <c r="C13" s="141" t="s">
        <v>285</v>
      </c>
      <c r="D13" s="144" t="s">
        <v>359</v>
      </c>
      <c r="F13" s="36"/>
    </row>
    <row r="14" spans="2:10" ht="14.5" x14ac:dyDescent="0.25">
      <c r="C14" s="141" t="s">
        <v>286</v>
      </c>
      <c r="D14" s="145" t="s">
        <v>38</v>
      </c>
      <c r="F14" s="2"/>
    </row>
    <row r="15" spans="2:10" ht="14.5" x14ac:dyDescent="0.25">
      <c r="C15" s="141" t="s">
        <v>287</v>
      </c>
      <c r="D15" s="145" t="s">
        <v>39</v>
      </c>
      <c r="F15" s="2"/>
    </row>
    <row r="16" spans="2:10" ht="14.5" x14ac:dyDescent="0.25">
      <c r="C16" s="141" t="s">
        <v>288</v>
      </c>
      <c r="D16" s="145" t="s">
        <v>146</v>
      </c>
      <c r="F16" s="2"/>
    </row>
    <row r="17" spans="2:6" ht="14.5" x14ac:dyDescent="0.25">
      <c r="C17" s="141" t="s">
        <v>289</v>
      </c>
      <c r="D17" s="145" t="s">
        <v>147</v>
      </c>
      <c r="F17" s="2"/>
    </row>
    <row r="18" spans="2:6" ht="14.5" x14ac:dyDescent="0.25">
      <c r="C18" s="141" t="s">
        <v>40</v>
      </c>
      <c r="D18" s="145" t="s">
        <v>41</v>
      </c>
      <c r="F18" s="2"/>
    </row>
    <row r="19" spans="2:6" ht="14.5" x14ac:dyDescent="0.25">
      <c r="C19" s="143" t="s">
        <v>32</v>
      </c>
      <c r="D19" s="145" t="s">
        <v>23</v>
      </c>
      <c r="F19" s="2"/>
    </row>
    <row r="20" spans="2:6" ht="14.5" x14ac:dyDescent="0.25">
      <c r="D20" s="145" t="s">
        <v>42</v>
      </c>
      <c r="F20" s="2"/>
    </row>
    <row r="21" spans="2:6" ht="14.5" x14ac:dyDescent="0.25">
      <c r="B21" s="1"/>
      <c r="D21" s="146" t="s">
        <v>43</v>
      </c>
      <c r="F21" s="2"/>
    </row>
    <row r="22" spans="2:6" ht="14.5" x14ac:dyDescent="0.25">
      <c r="C22" s="140" t="s">
        <v>21</v>
      </c>
      <c r="D22" s="36"/>
      <c r="F22" s="2"/>
    </row>
    <row r="23" spans="2:6" ht="14.5" x14ac:dyDescent="0.25">
      <c r="C23" s="140" t="s">
        <v>22</v>
      </c>
      <c r="D23" s="36"/>
      <c r="F23" s="2"/>
    </row>
    <row r="24" spans="2:6" ht="14.5" x14ac:dyDescent="0.25">
      <c r="B24" s="5" t="s">
        <v>386</v>
      </c>
      <c r="C24" s="142" t="s">
        <v>14</v>
      </c>
      <c r="D24" s="36"/>
      <c r="F24" s="2"/>
    </row>
    <row r="25" spans="2:6" ht="14.5" x14ac:dyDescent="0.25">
      <c r="B25" s="5" t="s">
        <v>386</v>
      </c>
      <c r="C25" s="142" t="s">
        <v>58</v>
      </c>
      <c r="D25" s="36"/>
      <c r="F25" s="2"/>
    </row>
    <row r="26" spans="2:6" ht="14.5" x14ac:dyDescent="0.25">
      <c r="B26" s="5" t="s">
        <v>386</v>
      </c>
      <c r="C26" s="142" t="s">
        <v>51</v>
      </c>
      <c r="D26" s="36"/>
      <c r="F26" s="2"/>
    </row>
    <row r="27" spans="2:6" ht="14.5" x14ac:dyDescent="0.25">
      <c r="B27" s="5" t="s">
        <v>386</v>
      </c>
      <c r="C27" s="142" t="s">
        <v>52</v>
      </c>
      <c r="F27" s="2"/>
    </row>
    <row r="28" spans="2:6" ht="14.5" x14ac:dyDescent="0.25">
      <c r="B28" s="5" t="s">
        <v>386</v>
      </c>
      <c r="C28" s="142" t="s">
        <v>55</v>
      </c>
      <c r="F28" s="2"/>
    </row>
    <row r="29" spans="2:6" ht="14.5" x14ac:dyDescent="0.25">
      <c r="B29" s="5" t="s">
        <v>386</v>
      </c>
      <c r="C29" s="142" t="s">
        <v>53</v>
      </c>
      <c r="F29" s="2"/>
    </row>
    <row r="30" spans="2:6" ht="14.5" x14ac:dyDescent="0.25">
      <c r="B30" s="5" t="s">
        <v>386</v>
      </c>
      <c r="C30" s="142" t="s">
        <v>54</v>
      </c>
      <c r="F30" s="2"/>
    </row>
    <row r="31" spans="2:6" ht="14.5" x14ac:dyDescent="0.25">
      <c r="B31" s="5" t="s">
        <v>386</v>
      </c>
      <c r="C31" s="142" t="s">
        <v>56</v>
      </c>
    </row>
    <row r="32" spans="2:6" ht="14.5" x14ac:dyDescent="0.25">
      <c r="B32" s="5" t="s">
        <v>386</v>
      </c>
      <c r="C32" s="142" t="s">
        <v>153</v>
      </c>
    </row>
    <row r="33" spans="2:6" ht="14.5" x14ac:dyDescent="0.25">
      <c r="B33" s="5" t="s">
        <v>386</v>
      </c>
      <c r="C33" s="142" t="s">
        <v>35</v>
      </c>
      <c r="F33" s="2"/>
    </row>
    <row r="34" spans="2:6" ht="14.5" x14ac:dyDescent="0.25">
      <c r="B34" s="5" t="s">
        <v>386</v>
      </c>
      <c r="C34" s="142" t="s">
        <v>36</v>
      </c>
      <c r="D34" s="36"/>
      <c r="F34" s="2"/>
    </row>
    <row r="35" spans="2:6" ht="14.5" x14ac:dyDescent="0.25">
      <c r="B35" s="5" t="s">
        <v>386</v>
      </c>
      <c r="C35" s="142" t="s">
        <v>37</v>
      </c>
      <c r="D35" s="36"/>
      <c r="F35" s="2"/>
    </row>
    <row r="36" spans="2:6" ht="14.5" x14ac:dyDescent="0.25">
      <c r="B36" s="5" t="s">
        <v>386</v>
      </c>
      <c r="C36" s="142" t="s">
        <v>154</v>
      </c>
      <c r="D36" s="36"/>
      <c r="F36" s="2"/>
    </row>
    <row r="37" spans="2:6" ht="14.5" x14ac:dyDescent="0.25">
      <c r="B37" s="5" t="s">
        <v>386</v>
      </c>
      <c r="C37" s="142" t="s">
        <v>15</v>
      </c>
      <c r="D37" s="36"/>
      <c r="F37" s="2"/>
    </row>
    <row r="38" spans="2:6" ht="14.5" x14ac:dyDescent="0.25">
      <c r="B38" s="5" t="s">
        <v>386</v>
      </c>
      <c r="C38" s="142" t="s">
        <v>16</v>
      </c>
      <c r="D38" s="36"/>
      <c r="F38" s="2"/>
    </row>
    <row r="39" spans="2:6" ht="14.5" x14ac:dyDescent="0.25">
      <c r="B39" s="5" t="s">
        <v>386</v>
      </c>
      <c r="C39" s="142" t="s">
        <v>50</v>
      </c>
      <c r="D39" s="36"/>
      <c r="F39" s="2"/>
    </row>
    <row r="40" spans="2:6" ht="14.5" x14ac:dyDescent="0.25">
      <c r="B40" s="5" t="s">
        <v>386</v>
      </c>
      <c r="C40" s="142" t="s">
        <v>17</v>
      </c>
      <c r="D40" s="37"/>
      <c r="F40" s="2"/>
    </row>
    <row r="41" spans="2:6" ht="14.5" x14ac:dyDescent="0.25">
      <c r="B41" s="5" t="s">
        <v>386</v>
      </c>
      <c r="C41" s="142" t="s">
        <v>18</v>
      </c>
      <c r="D41" s="36"/>
      <c r="F41" s="2"/>
    </row>
    <row r="42" spans="2:6" x14ac:dyDescent="0.25">
      <c r="D42" s="36"/>
      <c r="F42" s="2"/>
    </row>
    <row r="43" spans="2:6" x14ac:dyDescent="0.25">
      <c r="D43" s="36"/>
      <c r="F43" s="2"/>
    </row>
    <row r="44" spans="2:6" x14ac:dyDescent="0.25">
      <c r="D44" s="36"/>
      <c r="F44" s="2"/>
    </row>
    <row r="45" spans="2:6" ht="14.5" x14ac:dyDescent="0.25">
      <c r="B45" s="5" t="s">
        <v>481</v>
      </c>
      <c r="C45" s="185" t="s">
        <v>262</v>
      </c>
      <c r="D45" s="36"/>
      <c r="F45" s="2"/>
    </row>
    <row r="46" spans="2:6" ht="14.5" x14ac:dyDescent="0.25">
      <c r="B46" s="5" t="s">
        <v>481</v>
      </c>
      <c r="C46" s="185" t="s">
        <v>67</v>
      </c>
      <c r="D46" s="36"/>
      <c r="F46" s="2"/>
    </row>
    <row r="47" spans="2:6" ht="14.5" x14ac:dyDescent="0.25">
      <c r="B47" s="5" t="s">
        <v>481</v>
      </c>
      <c r="C47" s="185" t="s">
        <v>77</v>
      </c>
    </row>
    <row r="48" spans="2:6" ht="14.5" x14ac:dyDescent="0.25">
      <c r="B48" s="5" t="s">
        <v>481</v>
      </c>
      <c r="C48" s="185" t="s">
        <v>477</v>
      </c>
    </row>
    <row r="49" spans="2:3" ht="14.5" x14ac:dyDescent="0.25">
      <c r="B49" s="5" t="s">
        <v>481</v>
      </c>
      <c r="C49" s="185" t="s">
        <v>478</v>
      </c>
    </row>
    <row r="50" spans="2:3" ht="14.5" x14ac:dyDescent="0.25">
      <c r="B50" s="5" t="s">
        <v>481</v>
      </c>
      <c r="C50" s="185" t="s">
        <v>387</v>
      </c>
    </row>
    <row r="51" spans="2:3" ht="14.5" x14ac:dyDescent="0.25">
      <c r="B51" s="5" t="s">
        <v>481</v>
      </c>
      <c r="C51" s="185" t="s">
        <v>263</v>
      </c>
    </row>
  </sheetData>
  <sortState xmlns:xlrd2="http://schemas.microsoft.com/office/spreadsheetml/2017/richdata2" ref="E4:E8">
    <sortCondition ref="E4:E8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8CD9B-AC7A-4792-BF13-3D3020E8FEA0}">
  <sheetPr codeName="Foglio3"/>
  <dimension ref="B2:J180"/>
  <sheetViews>
    <sheetView topLeftCell="B94" zoomScale="80" zoomScaleNormal="80" workbookViewId="0">
      <selection activeCell="D77" sqref="D77"/>
    </sheetView>
  </sheetViews>
  <sheetFormatPr defaultColWidth="9.453125" defaultRowHeight="14.5" x14ac:dyDescent="0.35"/>
  <cols>
    <col min="1" max="1" width="1.453125" style="6" customWidth="1"/>
    <col min="2" max="2" width="31" style="6" customWidth="1"/>
    <col min="3" max="3" width="14.453125" style="6" customWidth="1"/>
    <col min="4" max="4" width="17.7265625" style="6" customWidth="1"/>
    <col min="5" max="5" width="37.453125" style="6" customWidth="1"/>
    <col min="6" max="6" width="79.54296875" style="28" customWidth="1"/>
    <col min="7" max="7" width="42.1796875" style="7" customWidth="1"/>
    <col min="8" max="8" width="62.7265625" style="6" bestFit="1" customWidth="1"/>
    <col min="9" max="9" width="22.1796875" style="8" customWidth="1"/>
    <col min="10" max="10" width="19.453125" style="9" bestFit="1" customWidth="1"/>
    <col min="11" max="11" width="8.453125" style="6" customWidth="1"/>
    <col min="12" max="12" width="33.81640625" style="6" customWidth="1"/>
    <col min="13" max="13" width="55.1796875" style="6" customWidth="1"/>
    <col min="14" max="14" width="58.1796875" style="6" bestFit="1" customWidth="1"/>
    <col min="15" max="15" width="88.81640625" style="6" customWidth="1"/>
    <col min="16" max="16384" width="9.453125" style="6"/>
  </cols>
  <sheetData>
    <row r="2" spans="2:10" ht="31.5" customHeight="1" thickBot="1" x14ac:dyDescent="0.4">
      <c r="B2" s="129" t="s">
        <v>59</v>
      </c>
      <c r="C2" s="10"/>
      <c r="D2" s="129"/>
      <c r="E2" s="129"/>
      <c r="F2" s="29"/>
      <c r="G2" s="12"/>
      <c r="H2" s="11"/>
    </row>
    <row r="3" spans="2:10" ht="35.25" customHeight="1" thickBot="1" x14ac:dyDescent="0.4">
      <c r="B3" s="41" t="s">
        <v>60</v>
      </c>
      <c r="C3" s="42" t="s">
        <v>61</v>
      </c>
      <c r="D3" s="42" t="s">
        <v>62</v>
      </c>
      <c r="E3" s="42"/>
      <c r="F3" s="43" t="s">
        <v>63</v>
      </c>
      <c r="G3" s="42" t="s">
        <v>64</v>
      </c>
      <c r="H3" s="42" t="s">
        <v>65</v>
      </c>
      <c r="I3" s="44" t="s">
        <v>66</v>
      </c>
    </row>
    <row r="4" spans="2:10" s="52" customFormat="1" ht="35.25" customHeight="1" x14ac:dyDescent="0.35">
      <c r="B4" s="58" t="s">
        <v>67</v>
      </c>
      <c r="C4" s="58" t="s">
        <v>68</v>
      </c>
      <c r="D4" s="59">
        <v>24.99</v>
      </c>
      <c r="E4" s="59" t="str">
        <f t="shared" ref="E4:E6" si="0">B4&amp;"-"&amp;D4</f>
        <v>SUPER Unlimited Plus-24,99</v>
      </c>
      <c r="F4" s="60" t="s">
        <v>268</v>
      </c>
      <c r="G4" s="61" t="s">
        <v>70</v>
      </c>
      <c r="H4" s="64" t="s">
        <v>269</v>
      </c>
      <c r="I4" s="62" t="s">
        <v>277</v>
      </c>
      <c r="J4" s="182"/>
    </row>
    <row r="5" spans="2:10" s="52" customFormat="1" ht="35.25" customHeight="1" x14ac:dyDescent="0.35">
      <c r="B5" s="53" t="s">
        <v>67</v>
      </c>
      <c r="C5" s="53" t="s">
        <v>68</v>
      </c>
      <c r="D5" s="54">
        <v>23.99</v>
      </c>
      <c r="E5" s="54" t="str">
        <f t="shared" si="0"/>
        <v>SUPER Unlimited Plus-23,99</v>
      </c>
      <c r="F5" s="55" t="s">
        <v>270</v>
      </c>
      <c r="G5" s="56" t="s">
        <v>70</v>
      </c>
      <c r="H5" s="63" t="s">
        <v>271</v>
      </c>
      <c r="I5" s="57" t="s">
        <v>278</v>
      </c>
      <c r="J5" s="182"/>
    </row>
    <row r="6" spans="2:10" s="52" customFormat="1" ht="35.25" customHeight="1" x14ac:dyDescent="0.35">
      <c r="B6" s="53" t="s">
        <v>67</v>
      </c>
      <c r="C6" s="53" t="s">
        <v>68</v>
      </c>
      <c r="D6" s="54">
        <v>22.99</v>
      </c>
      <c r="E6" s="54" t="str">
        <f t="shared" si="0"/>
        <v>SUPER Unlimited Plus-22,99</v>
      </c>
      <c r="F6" s="55" t="s">
        <v>272</v>
      </c>
      <c r="G6" s="56" t="s">
        <v>70</v>
      </c>
      <c r="H6" s="63" t="s">
        <v>273</v>
      </c>
      <c r="I6" s="57" t="s">
        <v>279</v>
      </c>
      <c r="J6" s="182"/>
    </row>
    <row r="7" spans="2:10" s="13" customFormat="1" ht="35.25" customHeight="1" x14ac:dyDescent="0.35">
      <c r="B7" s="53" t="s">
        <v>67</v>
      </c>
      <c r="C7" s="53" t="s">
        <v>68</v>
      </c>
      <c r="D7" s="54">
        <v>20.99</v>
      </c>
      <c r="E7" s="54" t="str">
        <f>B7&amp;"-"&amp;D7</f>
        <v>SUPER Unlimited Plus-20,99</v>
      </c>
      <c r="F7" s="55" t="s">
        <v>187</v>
      </c>
      <c r="G7" s="56" t="s">
        <v>70</v>
      </c>
      <c r="H7" s="63" t="s">
        <v>188</v>
      </c>
      <c r="I7" s="57" t="s">
        <v>189</v>
      </c>
      <c r="J7" s="183"/>
    </row>
    <row r="8" spans="2:10" s="13" customFormat="1" ht="35.25" customHeight="1" x14ac:dyDescent="0.35">
      <c r="B8" s="53" t="s">
        <v>67</v>
      </c>
      <c r="C8" s="53" t="s">
        <v>68</v>
      </c>
      <c r="D8" s="54">
        <v>19.989999999999998</v>
      </c>
      <c r="E8" s="54" t="str">
        <f>B8&amp;"-"&amp;D8</f>
        <v>SUPER Unlimited Plus-19,99</v>
      </c>
      <c r="F8" s="55" t="s">
        <v>69</v>
      </c>
      <c r="G8" s="56" t="s">
        <v>70</v>
      </c>
      <c r="H8" s="63" t="s">
        <v>71</v>
      </c>
      <c r="I8" s="57" t="s">
        <v>72</v>
      </c>
      <c r="J8" s="183"/>
    </row>
    <row r="9" spans="2:10" s="13" customFormat="1" ht="35.25" customHeight="1" x14ac:dyDescent="0.35">
      <c r="B9" s="53" t="s">
        <v>67</v>
      </c>
      <c r="C9" s="53" t="s">
        <v>68</v>
      </c>
      <c r="D9" s="54">
        <v>18.990000000000002</v>
      </c>
      <c r="E9" s="54" t="str">
        <f>B9&amp;"-"&amp;D9</f>
        <v>SUPER Unlimited Plus-18,99</v>
      </c>
      <c r="F9" s="55" t="s">
        <v>73</v>
      </c>
      <c r="G9" s="56" t="s">
        <v>70</v>
      </c>
      <c r="H9" s="63" t="s">
        <v>74</v>
      </c>
      <c r="I9" s="57" t="s">
        <v>75</v>
      </c>
      <c r="J9" s="183"/>
    </row>
    <row r="10" spans="2:10" ht="19.5" customHeight="1" x14ac:dyDescent="0.35">
      <c r="F10" s="6"/>
      <c r="G10" s="6"/>
      <c r="I10" s="6"/>
    </row>
    <row r="11" spans="2:10" ht="31.5" customHeight="1" thickBot="1" x14ac:dyDescent="0.4">
      <c r="B11" s="129" t="s">
        <v>59</v>
      </c>
      <c r="C11" s="10"/>
      <c r="D11" s="129"/>
      <c r="E11" s="129"/>
      <c r="F11" s="29"/>
      <c r="G11" s="12"/>
      <c r="H11" s="11"/>
    </row>
    <row r="12" spans="2:10" ht="35.25" customHeight="1" thickBot="1" x14ac:dyDescent="0.4">
      <c r="B12" s="41" t="s">
        <v>60</v>
      </c>
      <c r="C12" s="42" t="s">
        <v>61</v>
      </c>
      <c r="D12" s="42" t="s">
        <v>62</v>
      </c>
      <c r="E12" s="42"/>
      <c r="F12" s="43" t="s">
        <v>63</v>
      </c>
      <c r="G12" s="42" t="s">
        <v>64</v>
      </c>
      <c r="H12" s="42" t="s">
        <v>65</v>
      </c>
      <c r="I12" s="44" t="s">
        <v>66</v>
      </c>
    </row>
    <row r="13" spans="2:10" s="52" customFormat="1" ht="35.25" customHeight="1" x14ac:dyDescent="0.35">
      <c r="B13" s="165" t="s">
        <v>389</v>
      </c>
      <c r="C13" s="165" t="s">
        <v>390</v>
      </c>
      <c r="D13" s="166">
        <v>26</v>
      </c>
      <c r="E13" s="166" t="str">
        <f t="shared" ref="E13:E15" si="1">B13&amp;"-"&amp;D13</f>
        <v>SUPER Unlimited Mondo-26</v>
      </c>
      <c r="F13" s="167" t="s">
        <v>391</v>
      </c>
      <c r="G13" s="168" t="s">
        <v>70</v>
      </c>
      <c r="H13" s="169" t="s">
        <v>397</v>
      </c>
      <c r="I13" s="170" t="s">
        <v>433</v>
      </c>
      <c r="J13" s="182" t="s">
        <v>364</v>
      </c>
    </row>
    <row r="14" spans="2:10" s="52" customFormat="1" ht="35.25" customHeight="1" x14ac:dyDescent="0.35">
      <c r="B14" s="160" t="s">
        <v>389</v>
      </c>
      <c r="C14" s="160" t="s">
        <v>390</v>
      </c>
      <c r="D14" s="161">
        <v>25</v>
      </c>
      <c r="E14" s="161" t="str">
        <f t="shared" si="1"/>
        <v>SUPER Unlimited Mondo-25</v>
      </c>
      <c r="F14" s="162" t="s">
        <v>392</v>
      </c>
      <c r="G14" s="163" t="s">
        <v>70</v>
      </c>
      <c r="H14" s="171" t="s">
        <v>398</v>
      </c>
      <c r="I14" s="164" t="s">
        <v>434</v>
      </c>
      <c r="J14" s="182" t="s">
        <v>364</v>
      </c>
    </row>
    <row r="15" spans="2:10" s="52" customFormat="1" ht="35.25" customHeight="1" x14ac:dyDescent="0.35">
      <c r="B15" s="160" t="s">
        <v>389</v>
      </c>
      <c r="C15" s="160" t="s">
        <v>390</v>
      </c>
      <c r="D15" s="161">
        <v>24</v>
      </c>
      <c r="E15" s="161" t="str">
        <f t="shared" si="1"/>
        <v>SUPER Unlimited Mondo-24</v>
      </c>
      <c r="F15" s="162" t="s">
        <v>393</v>
      </c>
      <c r="G15" s="163" t="s">
        <v>70</v>
      </c>
      <c r="H15" s="171" t="s">
        <v>399</v>
      </c>
      <c r="I15" s="164" t="s">
        <v>435</v>
      </c>
      <c r="J15" s="182" t="s">
        <v>364</v>
      </c>
    </row>
    <row r="16" spans="2:10" s="13" customFormat="1" ht="35.25" customHeight="1" x14ac:dyDescent="0.35">
      <c r="B16" s="160" t="s">
        <v>389</v>
      </c>
      <c r="C16" s="160" t="s">
        <v>390</v>
      </c>
      <c r="D16" s="161">
        <v>22</v>
      </c>
      <c r="E16" s="161" t="str">
        <f>B16&amp;"-"&amp;D16</f>
        <v>SUPER Unlimited Mondo-22</v>
      </c>
      <c r="F16" s="162" t="s">
        <v>394</v>
      </c>
      <c r="G16" s="163" t="s">
        <v>70</v>
      </c>
      <c r="H16" s="171" t="s">
        <v>400</v>
      </c>
      <c r="I16" s="164" t="s">
        <v>436</v>
      </c>
      <c r="J16" s="182" t="s">
        <v>364</v>
      </c>
    </row>
    <row r="17" spans="2:10" s="13" customFormat="1" ht="35.25" customHeight="1" x14ac:dyDescent="0.35">
      <c r="B17" s="160" t="s">
        <v>389</v>
      </c>
      <c r="C17" s="160" t="s">
        <v>390</v>
      </c>
      <c r="D17" s="161">
        <v>21</v>
      </c>
      <c r="E17" s="161" t="str">
        <f>B17&amp;"-"&amp;D17</f>
        <v>SUPER Unlimited Mondo-21</v>
      </c>
      <c r="F17" s="162" t="s">
        <v>395</v>
      </c>
      <c r="G17" s="163" t="s">
        <v>70</v>
      </c>
      <c r="H17" s="171" t="s">
        <v>401</v>
      </c>
      <c r="I17" s="164" t="s">
        <v>437</v>
      </c>
      <c r="J17" s="182" t="s">
        <v>364</v>
      </c>
    </row>
    <row r="18" spans="2:10" s="13" customFormat="1" ht="35.25" customHeight="1" x14ac:dyDescent="0.35">
      <c r="B18" s="160" t="s">
        <v>389</v>
      </c>
      <c r="C18" s="160" t="s">
        <v>390</v>
      </c>
      <c r="D18" s="161">
        <v>20</v>
      </c>
      <c r="E18" s="161" t="str">
        <f>B18&amp;"-"&amp;D18</f>
        <v>SUPER Unlimited Mondo-20</v>
      </c>
      <c r="F18" s="162" t="s">
        <v>396</v>
      </c>
      <c r="G18" s="163" t="s">
        <v>70</v>
      </c>
      <c r="H18" s="171" t="s">
        <v>402</v>
      </c>
      <c r="I18" s="164" t="s">
        <v>438</v>
      </c>
      <c r="J18" s="182" t="s">
        <v>364</v>
      </c>
    </row>
    <row r="19" spans="2:10" ht="19.5" customHeight="1" x14ac:dyDescent="0.35">
      <c r="F19" s="6"/>
      <c r="G19" s="6"/>
      <c r="I19" s="6"/>
    </row>
    <row r="20" spans="2:10" ht="31.5" customHeight="1" thickBot="1" x14ac:dyDescent="0.4">
      <c r="B20" s="129" t="s">
        <v>76</v>
      </c>
      <c r="C20" s="33"/>
      <c r="D20" s="129"/>
      <c r="E20" s="129"/>
      <c r="F20" s="29"/>
      <c r="G20" s="12"/>
      <c r="H20" s="11"/>
    </row>
    <row r="21" spans="2:10" ht="35.25" customHeight="1" thickBot="1" x14ac:dyDescent="0.4">
      <c r="B21" s="34" t="s">
        <v>60</v>
      </c>
      <c r="C21" s="34" t="s">
        <v>61</v>
      </c>
      <c r="D21" s="34" t="s">
        <v>62</v>
      </c>
      <c r="E21" s="34"/>
      <c r="F21" s="35" t="s">
        <v>63</v>
      </c>
      <c r="G21" s="34" t="s">
        <v>64</v>
      </c>
      <c r="H21" s="34" t="s">
        <v>65</v>
      </c>
      <c r="I21" s="34" t="s">
        <v>66</v>
      </c>
    </row>
    <row r="22" spans="2:10" s="13" customFormat="1" ht="35.25" customHeight="1" x14ac:dyDescent="0.35">
      <c r="B22" s="53" t="s">
        <v>77</v>
      </c>
      <c r="C22" s="53" t="s">
        <v>78</v>
      </c>
      <c r="D22" s="54">
        <v>17.989999999999998</v>
      </c>
      <c r="E22" s="54" t="str">
        <f t="shared" ref="E22:E27" si="2">B22&amp;"-"&amp;D22</f>
        <v>SUPER Unlimited-17,99</v>
      </c>
      <c r="F22" s="55" t="s">
        <v>203</v>
      </c>
      <c r="G22" s="56" t="s">
        <v>70</v>
      </c>
      <c r="H22" s="63" t="s">
        <v>206</v>
      </c>
      <c r="I22" s="57" t="s">
        <v>207</v>
      </c>
      <c r="J22" s="183"/>
    </row>
    <row r="23" spans="2:10" s="13" customFormat="1" ht="35.25" customHeight="1" x14ac:dyDescent="0.35">
      <c r="B23" s="53" t="s">
        <v>77</v>
      </c>
      <c r="C23" s="53" t="s">
        <v>78</v>
      </c>
      <c r="D23" s="54">
        <v>16.989999999999998</v>
      </c>
      <c r="E23" s="54" t="str">
        <f t="shared" si="2"/>
        <v>SUPER Unlimited-16,99</v>
      </c>
      <c r="F23" s="55" t="s">
        <v>204</v>
      </c>
      <c r="G23" s="56" t="s">
        <v>70</v>
      </c>
      <c r="H23" s="63" t="s">
        <v>208</v>
      </c>
      <c r="I23" s="57" t="s">
        <v>209</v>
      </c>
      <c r="J23" s="183"/>
    </row>
    <row r="24" spans="2:10" s="13" customFormat="1" ht="35.25" customHeight="1" x14ac:dyDescent="0.35">
      <c r="B24" s="53" t="s">
        <v>77</v>
      </c>
      <c r="C24" s="53" t="s">
        <v>78</v>
      </c>
      <c r="D24" s="54">
        <v>15.99</v>
      </c>
      <c r="E24" s="54" t="str">
        <f t="shared" si="2"/>
        <v>SUPER Unlimited-15,99</v>
      </c>
      <c r="F24" s="55" t="s">
        <v>205</v>
      </c>
      <c r="G24" s="56" t="s">
        <v>70</v>
      </c>
      <c r="H24" s="63" t="s">
        <v>210</v>
      </c>
      <c r="I24" s="57" t="s">
        <v>211</v>
      </c>
      <c r="J24" s="183"/>
    </row>
    <row r="25" spans="2:10" s="13" customFormat="1" ht="35.25" customHeight="1" x14ac:dyDescent="0.35">
      <c r="B25" s="53" t="s">
        <v>77</v>
      </c>
      <c r="C25" s="53" t="s">
        <v>78</v>
      </c>
      <c r="D25" s="54">
        <v>14.99</v>
      </c>
      <c r="E25" s="54" t="str">
        <f t="shared" ref="E25:E32" si="3">B25&amp;"-"&amp;D25</f>
        <v>SUPER Unlimited-14,99</v>
      </c>
      <c r="F25" s="55" t="s">
        <v>190</v>
      </c>
      <c r="G25" s="56" t="s">
        <v>70</v>
      </c>
      <c r="H25" s="63" t="s">
        <v>191</v>
      </c>
      <c r="I25" s="57" t="s">
        <v>192</v>
      </c>
      <c r="J25" s="183"/>
    </row>
    <row r="26" spans="2:10" s="13" customFormat="1" ht="35.25" customHeight="1" x14ac:dyDescent="0.35">
      <c r="B26" s="53" t="s">
        <v>77</v>
      </c>
      <c r="C26" s="53" t="s">
        <v>78</v>
      </c>
      <c r="D26" s="54">
        <v>13.99</v>
      </c>
      <c r="E26" s="54" t="str">
        <f t="shared" si="2"/>
        <v>SUPER Unlimited-13,99</v>
      </c>
      <c r="F26" s="55" t="s">
        <v>212</v>
      </c>
      <c r="G26" s="56" t="s">
        <v>70</v>
      </c>
      <c r="H26" s="63" t="s">
        <v>213</v>
      </c>
      <c r="I26" s="57" t="s">
        <v>214</v>
      </c>
      <c r="J26" s="183"/>
    </row>
    <row r="27" spans="2:10" s="13" customFormat="1" ht="35.25" customHeight="1" x14ac:dyDescent="0.35">
      <c r="B27" s="53" t="s">
        <v>77</v>
      </c>
      <c r="C27" s="53" t="s">
        <v>78</v>
      </c>
      <c r="D27" s="54">
        <v>12.99</v>
      </c>
      <c r="E27" s="54" t="str">
        <f t="shared" si="2"/>
        <v>SUPER Unlimited-12,99</v>
      </c>
      <c r="F27" s="55" t="s">
        <v>215</v>
      </c>
      <c r="G27" s="56" t="s">
        <v>70</v>
      </c>
      <c r="H27" s="63" t="s">
        <v>216</v>
      </c>
      <c r="I27" s="57" t="s">
        <v>217</v>
      </c>
      <c r="J27" s="183"/>
    </row>
    <row r="28" spans="2:10" s="13" customFormat="1" ht="35.25" customHeight="1" x14ac:dyDescent="0.35">
      <c r="B28" s="53" t="s">
        <v>77</v>
      </c>
      <c r="C28" s="53" t="s">
        <v>78</v>
      </c>
      <c r="D28" s="54">
        <v>12</v>
      </c>
      <c r="E28" s="54" t="str">
        <f t="shared" si="3"/>
        <v>SUPER Unlimited-12</v>
      </c>
      <c r="F28" s="55" t="s">
        <v>79</v>
      </c>
      <c r="G28" s="56" t="s">
        <v>70</v>
      </c>
      <c r="H28" s="63" t="s">
        <v>80</v>
      </c>
      <c r="I28" s="57" t="s">
        <v>81</v>
      </c>
      <c r="J28" s="183"/>
    </row>
    <row r="29" spans="2:10" s="13" customFormat="1" ht="35.25" customHeight="1" x14ac:dyDescent="0.35">
      <c r="B29" s="53" t="s">
        <v>77</v>
      </c>
      <c r="C29" s="53" t="s">
        <v>78</v>
      </c>
      <c r="D29" s="54">
        <v>11</v>
      </c>
      <c r="E29" s="54" t="str">
        <f t="shared" si="3"/>
        <v>SUPER Unlimited-11</v>
      </c>
      <c r="F29" s="55" t="s">
        <v>82</v>
      </c>
      <c r="G29" s="56" t="s">
        <v>70</v>
      </c>
      <c r="H29" s="63" t="s">
        <v>83</v>
      </c>
      <c r="I29" s="57" t="s">
        <v>84</v>
      </c>
      <c r="J29" s="183"/>
    </row>
    <row r="30" spans="2:10" s="13" customFormat="1" ht="35.25" customHeight="1" x14ac:dyDescent="0.35">
      <c r="B30" s="53" t="s">
        <v>77</v>
      </c>
      <c r="C30" s="53" t="s">
        <v>78</v>
      </c>
      <c r="D30" s="54">
        <v>10</v>
      </c>
      <c r="E30" s="54" t="str">
        <f t="shared" si="3"/>
        <v>SUPER Unlimited-10</v>
      </c>
      <c r="F30" s="55" t="s">
        <v>85</v>
      </c>
      <c r="G30" s="56" t="s">
        <v>70</v>
      </c>
      <c r="H30" s="63" t="s">
        <v>86</v>
      </c>
      <c r="I30" s="57" t="s">
        <v>87</v>
      </c>
      <c r="J30" s="183"/>
    </row>
    <row r="31" spans="2:10" s="13" customFormat="1" ht="35.25" customHeight="1" x14ac:dyDescent="0.35">
      <c r="B31" s="53" t="s">
        <v>77</v>
      </c>
      <c r="C31" s="53" t="s">
        <v>78</v>
      </c>
      <c r="D31" s="54">
        <v>8.9999999999999982</v>
      </c>
      <c r="E31" s="54" t="str">
        <f>B31&amp;"-"&amp;D31</f>
        <v>SUPER Unlimited-9</v>
      </c>
      <c r="F31" s="55" t="s">
        <v>88</v>
      </c>
      <c r="G31" s="56" t="s">
        <v>70</v>
      </c>
      <c r="H31" s="63" t="s">
        <v>89</v>
      </c>
      <c r="I31" s="57" t="s">
        <v>90</v>
      </c>
      <c r="J31" s="183"/>
    </row>
    <row r="32" spans="2:10" s="13" customFormat="1" ht="35.25" customHeight="1" x14ac:dyDescent="0.35">
      <c r="B32" s="53" t="s">
        <v>77</v>
      </c>
      <c r="C32" s="53" t="s">
        <v>78</v>
      </c>
      <c r="D32" s="54">
        <v>8</v>
      </c>
      <c r="E32" s="54" t="str">
        <f t="shared" si="3"/>
        <v>SUPER Unlimited-8</v>
      </c>
      <c r="F32" s="55" t="s">
        <v>164</v>
      </c>
      <c r="G32" s="56" t="s">
        <v>70</v>
      </c>
      <c r="H32" s="63" t="s">
        <v>165</v>
      </c>
      <c r="I32" s="57" t="s">
        <v>166</v>
      </c>
      <c r="J32" s="183"/>
    </row>
    <row r="33" spans="2:10" ht="32.25" customHeight="1" x14ac:dyDescent="0.35">
      <c r="B33" s="18"/>
      <c r="C33" s="18"/>
      <c r="D33" s="18"/>
      <c r="E33" s="18"/>
      <c r="F33" s="31"/>
      <c r="G33" s="18"/>
      <c r="H33" s="16"/>
      <c r="I33" s="19"/>
    </row>
    <row r="34" spans="2:10" ht="31.5" customHeight="1" thickBot="1" x14ac:dyDescent="0.4">
      <c r="B34" s="129" t="s">
        <v>413</v>
      </c>
      <c r="C34" s="33"/>
      <c r="D34" s="129"/>
      <c r="E34" s="129"/>
      <c r="F34" s="29"/>
      <c r="G34" s="12"/>
      <c r="H34" s="11"/>
    </row>
    <row r="35" spans="2:10" ht="35.25" customHeight="1" thickBot="1" x14ac:dyDescent="0.4">
      <c r="B35" s="34" t="s">
        <v>60</v>
      </c>
      <c r="C35" s="34" t="s">
        <v>61</v>
      </c>
      <c r="D35" s="34" t="s">
        <v>62</v>
      </c>
      <c r="E35" s="34"/>
      <c r="F35" s="35" t="s">
        <v>63</v>
      </c>
      <c r="G35" s="34" t="s">
        <v>64</v>
      </c>
      <c r="H35" s="34" t="s">
        <v>65</v>
      </c>
      <c r="I35" s="34" t="s">
        <v>66</v>
      </c>
    </row>
    <row r="36" spans="2:10" s="13" customFormat="1" ht="35.25" customHeight="1" x14ac:dyDescent="0.35">
      <c r="B36" s="160" t="s">
        <v>382</v>
      </c>
      <c r="C36" s="160" t="s">
        <v>403</v>
      </c>
      <c r="D36" s="161">
        <v>18</v>
      </c>
      <c r="E36" s="161" t="str">
        <f t="shared" ref="E36:E44" si="4">B36&amp;"-"&amp;D36</f>
        <v>SUPER Unlimited PRO-18</v>
      </c>
      <c r="F36" s="162" t="s">
        <v>404</v>
      </c>
      <c r="G36" s="163" t="s">
        <v>70</v>
      </c>
      <c r="H36" s="171" t="s">
        <v>439</v>
      </c>
      <c r="I36" s="164" t="s">
        <v>440</v>
      </c>
      <c r="J36" s="182" t="s">
        <v>364</v>
      </c>
    </row>
    <row r="37" spans="2:10" s="13" customFormat="1" ht="35.25" customHeight="1" x14ac:dyDescent="0.35">
      <c r="B37" s="160" t="s">
        <v>382</v>
      </c>
      <c r="C37" s="160" t="s">
        <v>403</v>
      </c>
      <c r="D37" s="161">
        <v>17</v>
      </c>
      <c r="E37" s="161" t="str">
        <f t="shared" si="4"/>
        <v>SUPER Unlimited PRO-17</v>
      </c>
      <c r="F37" s="162" t="s">
        <v>405</v>
      </c>
      <c r="G37" s="163" t="s">
        <v>70</v>
      </c>
      <c r="H37" s="171" t="s">
        <v>441</v>
      </c>
      <c r="I37" s="164" t="s">
        <v>442</v>
      </c>
      <c r="J37" s="182" t="s">
        <v>364</v>
      </c>
    </row>
    <row r="38" spans="2:10" s="13" customFormat="1" ht="35.25" customHeight="1" x14ac:dyDescent="0.35">
      <c r="B38" s="160" t="s">
        <v>382</v>
      </c>
      <c r="C38" s="160" t="s">
        <v>403</v>
      </c>
      <c r="D38" s="161">
        <v>16</v>
      </c>
      <c r="E38" s="161" t="str">
        <f t="shared" si="4"/>
        <v>SUPER Unlimited PRO-16</v>
      </c>
      <c r="F38" s="162" t="s">
        <v>406</v>
      </c>
      <c r="G38" s="163" t="s">
        <v>70</v>
      </c>
      <c r="H38" s="171" t="s">
        <v>443</v>
      </c>
      <c r="I38" s="164" t="s">
        <v>444</v>
      </c>
      <c r="J38" s="182" t="s">
        <v>364</v>
      </c>
    </row>
    <row r="39" spans="2:10" s="13" customFormat="1" ht="35.25" customHeight="1" x14ac:dyDescent="0.35">
      <c r="B39" s="160" t="s">
        <v>382</v>
      </c>
      <c r="C39" s="160" t="s">
        <v>403</v>
      </c>
      <c r="D39" s="161">
        <v>15</v>
      </c>
      <c r="E39" s="161" t="str">
        <f t="shared" si="4"/>
        <v>SUPER Unlimited PRO-15</v>
      </c>
      <c r="F39" s="162" t="s">
        <v>407</v>
      </c>
      <c r="G39" s="163" t="s">
        <v>70</v>
      </c>
      <c r="H39" s="171" t="s">
        <v>445</v>
      </c>
      <c r="I39" s="164" t="s">
        <v>446</v>
      </c>
      <c r="J39" s="182" t="s">
        <v>364</v>
      </c>
    </row>
    <row r="40" spans="2:10" s="13" customFormat="1" ht="35.25" customHeight="1" x14ac:dyDescent="0.35">
      <c r="B40" s="160" t="s">
        <v>382</v>
      </c>
      <c r="C40" s="160" t="s">
        <v>403</v>
      </c>
      <c r="D40" s="161">
        <v>14</v>
      </c>
      <c r="E40" s="161" t="str">
        <f t="shared" si="4"/>
        <v>SUPER Unlimited PRO-14</v>
      </c>
      <c r="F40" s="162" t="s">
        <v>408</v>
      </c>
      <c r="G40" s="163" t="s">
        <v>70</v>
      </c>
      <c r="H40" s="171" t="s">
        <v>447</v>
      </c>
      <c r="I40" s="164" t="s">
        <v>448</v>
      </c>
      <c r="J40" s="182" t="s">
        <v>364</v>
      </c>
    </row>
    <row r="41" spans="2:10" s="13" customFormat="1" ht="35.25" customHeight="1" x14ac:dyDescent="0.35">
      <c r="B41" s="176" t="s">
        <v>382</v>
      </c>
      <c r="C41" s="176" t="s">
        <v>403</v>
      </c>
      <c r="D41" s="177">
        <v>13</v>
      </c>
      <c r="E41" s="177" t="str">
        <f t="shared" si="4"/>
        <v>SUPER Unlimited PRO-13</v>
      </c>
      <c r="F41" s="178" t="s">
        <v>479</v>
      </c>
      <c r="G41" s="179" t="s">
        <v>70</v>
      </c>
      <c r="H41" s="180" t="s">
        <v>449</v>
      </c>
      <c r="I41" s="181" t="s">
        <v>480</v>
      </c>
      <c r="J41" s="182" t="s">
        <v>364</v>
      </c>
    </row>
    <row r="42" spans="2:10" s="13" customFormat="1" ht="35.25" customHeight="1" x14ac:dyDescent="0.35">
      <c r="B42" s="160" t="s">
        <v>382</v>
      </c>
      <c r="C42" s="160" t="s">
        <v>403</v>
      </c>
      <c r="D42" s="161">
        <v>12</v>
      </c>
      <c r="E42" s="161" t="str">
        <f t="shared" si="4"/>
        <v>SUPER Unlimited PRO-12</v>
      </c>
      <c r="F42" s="162" t="s">
        <v>409</v>
      </c>
      <c r="G42" s="163" t="s">
        <v>70</v>
      </c>
      <c r="H42" s="171" t="s">
        <v>450</v>
      </c>
      <c r="I42" s="164" t="s">
        <v>451</v>
      </c>
      <c r="J42" s="182" t="s">
        <v>364</v>
      </c>
    </row>
    <row r="43" spans="2:10" s="13" customFormat="1" ht="35.25" customHeight="1" x14ac:dyDescent="0.35">
      <c r="B43" s="160" t="s">
        <v>382</v>
      </c>
      <c r="C43" s="160" t="s">
        <v>403</v>
      </c>
      <c r="D43" s="161">
        <v>11</v>
      </c>
      <c r="E43" s="161" t="str">
        <f t="shared" si="4"/>
        <v>SUPER Unlimited PRO-11</v>
      </c>
      <c r="F43" s="162" t="s">
        <v>410</v>
      </c>
      <c r="G43" s="163" t="s">
        <v>70</v>
      </c>
      <c r="H43" s="171" t="s">
        <v>452</v>
      </c>
      <c r="I43" s="164" t="s">
        <v>453</v>
      </c>
      <c r="J43" s="182" t="s">
        <v>364</v>
      </c>
    </row>
    <row r="44" spans="2:10" s="13" customFormat="1" ht="35.25" customHeight="1" x14ac:dyDescent="0.35">
      <c r="B44" s="160" t="s">
        <v>382</v>
      </c>
      <c r="C44" s="160" t="s">
        <v>403</v>
      </c>
      <c r="D44" s="161">
        <v>10</v>
      </c>
      <c r="E44" s="161" t="str">
        <f t="shared" si="4"/>
        <v>SUPER Unlimited PRO-10</v>
      </c>
      <c r="F44" s="162" t="s">
        <v>411</v>
      </c>
      <c r="G44" s="163" t="s">
        <v>70</v>
      </c>
      <c r="H44" s="171" t="s">
        <v>454</v>
      </c>
      <c r="I44" s="164" t="s">
        <v>455</v>
      </c>
      <c r="J44" s="182" t="s">
        <v>364</v>
      </c>
    </row>
    <row r="45" spans="2:10" s="13" customFormat="1" ht="35.25" customHeight="1" x14ac:dyDescent="0.35">
      <c r="B45" s="160" t="s">
        <v>382</v>
      </c>
      <c r="C45" s="160" t="s">
        <v>403</v>
      </c>
      <c r="D45" s="161">
        <v>8.9999999999999982</v>
      </c>
      <c r="E45" s="161" t="str">
        <f>B45&amp;"-"&amp;D45</f>
        <v>SUPER Unlimited PRO-9</v>
      </c>
      <c r="F45" s="162" t="s">
        <v>412</v>
      </c>
      <c r="G45" s="163" t="s">
        <v>70</v>
      </c>
      <c r="H45" s="171" t="s">
        <v>456</v>
      </c>
      <c r="I45" s="164" t="s">
        <v>457</v>
      </c>
      <c r="J45" s="182" t="s">
        <v>364</v>
      </c>
    </row>
    <row r="46" spans="2:10" ht="32.25" customHeight="1" x14ac:dyDescent="0.35">
      <c r="B46" s="18"/>
      <c r="C46" s="18"/>
      <c r="D46" s="18"/>
      <c r="E46" s="18"/>
      <c r="F46" s="31"/>
      <c r="G46" s="18"/>
      <c r="H46" s="16"/>
      <c r="I46" s="19"/>
    </row>
    <row r="47" spans="2:10" ht="31.5" customHeight="1" thickBot="1" x14ac:dyDescent="0.4">
      <c r="B47" s="129" t="s">
        <v>91</v>
      </c>
      <c r="C47" s="10"/>
      <c r="D47" s="129"/>
      <c r="E47" s="129"/>
      <c r="F47" s="29"/>
      <c r="G47" s="12"/>
      <c r="H47" s="11"/>
    </row>
    <row r="48" spans="2:10" ht="35.25" customHeight="1" thickBot="1" x14ac:dyDescent="0.4">
      <c r="B48" s="34" t="s">
        <v>60</v>
      </c>
      <c r="C48" s="34" t="s">
        <v>61</v>
      </c>
      <c r="D48" s="34" t="s">
        <v>62</v>
      </c>
      <c r="E48" s="34"/>
      <c r="F48" s="35" t="s">
        <v>63</v>
      </c>
      <c r="G48" s="34" t="s">
        <v>64</v>
      </c>
      <c r="H48" s="34" t="s">
        <v>65</v>
      </c>
      <c r="I48" s="34" t="s">
        <v>66</v>
      </c>
    </row>
    <row r="49" spans="2:10" s="125" customFormat="1" ht="35.25" customHeight="1" x14ac:dyDescent="0.35">
      <c r="B49" s="123" t="s">
        <v>92</v>
      </c>
      <c r="C49" s="123" t="s">
        <v>93</v>
      </c>
      <c r="D49" s="46">
        <v>12.99</v>
      </c>
      <c r="E49" s="46" t="str">
        <f t="shared" ref="E49:E55" si="5">B49&amp;"GB"&amp;"-"&amp;D49</f>
        <v>SUPER Smart 100GB-12,99</v>
      </c>
      <c r="F49" s="130" t="s">
        <v>334</v>
      </c>
      <c r="G49" s="56" t="s">
        <v>70</v>
      </c>
      <c r="H49" s="56" t="s">
        <v>335</v>
      </c>
      <c r="I49" s="47" t="s">
        <v>336</v>
      </c>
      <c r="J49" s="184"/>
    </row>
    <row r="50" spans="2:10" s="13" customFormat="1" ht="35.25" customHeight="1" x14ac:dyDescent="0.35">
      <c r="B50" s="53" t="s">
        <v>92</v>
      </c>
      <c r="C50" s="53" t="s">
        <v>93</v>
      </c>
      <c r="D50" s="54">
        <v>10.99</v>
      </c>
      <c r="E50" s="54" t="str">
        <f t="shared" si="5"/>
        <v>SUPER Smart 100GB-10,99</v>
      </c>
      <c r="F50" s="55" t="s">
        <v>218</v>
      </c>
      <c r="G50" s="56" t="s">
        <v>70</v>
      </c>
      <c r="H50" s="63" t="s">
        <v>219</v>
      </c>
      <c r="I50" s="57" t="s">
        <v>220</v>
      </c>
      <c r="J50" s="183"/>
    </row>
    <row r="51" spans="2:10" s="13" customFormat="1" ht="35.25" customHeight="1" x14ac:dyDescent="0.35">
      <c r="B51" s="53" t="s">
        <v>92</v>
      </c>
      <c r="C51" s="53" t="s">
        <v>93</v>
      </c>
      <c r="D51" s="54">
        <v>9.99</v>
      </c>
      <c r="E51" s="54" t="str">
        <f t="shared" si="5"/>
        <v>SUPER Smart 100GB-9,99</v>
      </c>
      <c r="F51" s="55" t="s">
        <v>221</v>
      </c>
      <c r="G51" s="56" t="s">
        <v>70</v>
      </c>
      <c r="H51" s="63" t="s">
        <v>222</v>
      </c>
      <c r="I51" s="57" t="s">
        <v>223</v>
      </c>
      <c r="J51" s="183"/>
    </row>
    <row r="52" spans="2:10" s="13" customFormat="1" ht="35.25" customHeight="1" x14ac:dyDescent="0.35">
      <c r="B52" s="53" t="s">
        <v>92</v>
      </c>
      <c r="C52" s="53" t="s">
        <v>93</v>
      </c>
      <c r="D52" s="54">
        <v>8.99</v>
      </c>
      <c r="E52" s="54" t="str">
        <f t="shared" si="5"/>
        <v>SUPER Smart 100GB-8,99</v>
      </c>
      <c r="F52" s="55" t="s">
        <v>94</v>
      </c>
      <c r="G52" s="56" t="s">
        <v>70</v>
      </c>
      <c r="H52" s="63" t="s">
        <v>95</v>
      </c>
      <c r="I52" s="57" t="s">
        <v>96</v>
      </c>
      <c r="J52" s="183"/>
    </row>
    <row r="53" spans="2:10" s="13" customFormat="1" ht="35.25" customHeight="1" x14ac:dyDescent="0.35">
      <c r="B53" s="53" t="s">
        <v>92</v>
      </c>
      <c r="C53" s="53" t="s">
        <v>93</v>
      </c>
      <c r="D53" s="54">
        <v>7.99</v>
      </c>
      <c r="E53" s="54" t="str">
        <f t="shared" si="5"/>
        <v>SUPER Smart 100GB-7,99</v>
      </c>
      <c r="F53" s="55" t="s">
        <v>97</v>
      </c>
      <c r="G53" s="56" t="s">
        <v>70</v>
      </c>
      <c r="H53" s="63" t="s">
        <v>98</v>
      </c>
      <c r="I53" s="57" t="s">
        <v>99</v>
      </c>
      <c r="J53" s="183"/>
    </row>
    <row r="54" spans="2:10" s="13" customFormat="1" ht="35.25" customHeight="1" x14ac:dyDescent="0.35">
      <c r="B54" s="53" t="s">
        <v>92</v>
      </c>
      <c r="C54" s="53" t="s">
        <v>93</v>
      </c>
      <c r="D54" s="54">
        <v>6.99</v>
      </c>
      <c r="E54" s="54" t="str">
        <f t="shared" si="5"/>
        <v>SUPER Smart 100GB-6,99</v>
      </c>
      <c r="F54" s="55" t="s">
        <v>100</v>
      </c>
      <c r="G54" s="56" t="s">
        <v>70</v>
      </c>
      <c r="H54" s="63" t="s">
        <v>101</v>
      </c>
      <c r="I54" s="57" t="s">
        <v>102</v>
      </c>
      <c r="J54" s="183"/>
    </row>
    <row r="55" spans="2:10" s="13" customFormat="1" ht="35.25" customHeight="1" x14ac:dyDescent="0.35">
      <c r="B55" s="53" t="s">
        <v>92</v>
      </c>
      <c r="C55" s="53" t="s">
        <v>93</v>
      </c>
      <c r="D55" s="54">
        <v>5.99</v>
      </c>
      <c r="E55" s="54" t="str">
        <f t="shared" si="5"/>
        <v>SUPER Smart 100GB-5,99</v>
      </c>
      <c r="F55" s="55" t="s">
        <v>167</v>
      </c>
      <c r="G55" s="56" t="s">
        <v>70</v>
      </c>
      <c r="H55" s="63" t="s">
        <v>168</v>
      </c>
      <c r="I55" s="57" t="s">
        <v>169</v>
      </c>
      <c r="J55" s="183"/>
    </row>
    <row r="56" spans="2:10" ht="27" customHeight="1" x14ac:dyDescent="0.35">
      <c r="B56" s="14"/>
      <c r="C56" s="14"/>
      <c r="D56" s="14"/>
      <c r="E56" s="14"/>
      <c r="F56" s="31"/>
      <c r="G56" s="18"/>
      <c r="H56" s="20"/>
      <c r="I56" s="17"/>
    </row>
    <row r="57" spans="2:10" ht="31.5" customHeight="1" thickBot="1" x14ac:dyDescent="0.4">
      <c r="B57" s="129" t="s">
        <v>414</v>
      </c>
      <c r="C57" s="10"/>
      <c r="D57" s="129"/>
      <c r="E57" s="129"/>
      <c r="F57" s="29"/>
      <c r="G57" s="12"/>
      <c r="H57" s="11"/>
    </row>
    <row r="58" spans="2:10" ht="35.25" customHeight="1" thickBot="1" x14ac:dyDescent="0.4">
      <c r="B58" s="34" t="s">
        <v>60</v>
      </c>
      <c r="C58" s="34" t="s">
        <v>61</v>
      </c>
      <c r="D58" s="34" t="s">
        <v>62</v>
      </c>
      <c r="E58" s="34"/>
      <c r="F58" s="35" t="s">
        <v>63</v>
      </c>
      <c r="G58" s="34" t="s">
        <v>64</v>
      </c>
      <c r="H58" s="34" t="s">
        <v>65</v>
      </c>
      <c r="I58" s="34" t="s">
        <v>66</v>
      </c>
    </row>
    <row r="59" spans="2:10" s="125" customFormat="1" ht="35.25" customHeight="1" x14ac:dyDescent="0.35">
      <c r="B59" s="160" t="s">
        <v>383</v>
      </c>
      <c r="C59" s="160" t="s">
        <v>415</v>
      </c>
      <c r="D59" s="161">
        <v>13</v>
      </c>
      <c r="E59" s="161" t="str">
        <f>B59&amp;"GB"&amp;"-"&amp;D59</f>
        <v>SUPER Smart 200GB-13</v>
      </c>
      <c r="F59" s="172" t="s">
        <v>416</v>
      </c>
      <c r="G59" s="163" t="s">
        <v>70</v>
      </c>
      <c r="H59" s="163" t="s">
        <v>417</v>
      </c>
      <c r="I59" s="173" t="s">
        <v>458</v>
      </c>
      <c r="J59" s="182" t="s">
        <v>364</v>
      </c>
    </row>
    <row r="60" spans="2:10" s="13" customFormat="1" ht="35.25" customHeight="1" x14ac:dyDescent="0.35">
      <c r="B60" s="160" t="s">
        <v>383</v>
      </c>
      <c r="C60" s="160" t="s">
        <v>415</v>
      </c>
      <c r="D60" s="161">
        <v>12</v>
      </c>
      <c r="E60" s="161" t="str">
        <f t="shared" ref="E60:E65" si="6">B60&amp;"GB"&amp;"-"&amp;D60</f>
        <v>SUPER Smart 200GB-12</v>
      </c>
      <c r="F60" s="162" t="s">
        <v>418</v>
      </c>
      <c r="G60" s="163" t="s">
        <v>70</v>
      </c>
      <c r="H60" s="171" t="s">
        <v>419</v>
      </c>
      <c r="I60" s="164" t="s">
        <v>459</v>
      </c>
      <c r="J60" s="182" t="s">
        <v>364</v>
      </c>
    </row>
    <row r="61" spans="2:10" s="13" customFormat="1" ht="35.25" customHeight="1" x14ac:dyDescent="0.35">
      <c r="B61" s="160" t="s">
        <v>383</v>
      </c>
      <c r="C61" s="160" t="s">
        <v>415</v>
      </c>
      <c r="D61" s="161">
        <v>11</v>
      </c>
      <c r="E61" s="161" t="str">
        <f t="shared" si="6"/>
        <v>SUPER Smart 200GB-11</v>
      </c>
      <c r="F61" s="162" t="s">
        <v>420</v>
      </c>
      <c r="G61" s="163" t="s">
        <v>70</v>
      </c>
      <c r="H61" s="171" t="s">
        <v>421</v>
      </c>
      <c r="I61" s="164" t="s">
        <v>460</v>
      </c>
      <c r="J61" s="182" t="s">
        <v>364</v>
      </c>
    </row>
    <row r="62" spans="2:10" s="13" customFormat="1" ht="35.25" customHeight="1" x14ac:dyDescent="0.35">
      <c r="B62" s="160" t="s">
        <v>383</v>
      </c>
      <c r="C62" s="160" t="s">
        <v>415</v>
      </c>
      <c r="D62" s="161">
        <v>10</v>
      </c>
      <c r="E62" s="161" t="str">
        <f t="shared" si="6"/>
        <v>SUPER Smart 200GB-10</v>
      </c>
      <c r="F62" s="162" t="s">
        <v>422</v>
      </c>
      <c r="G62" s="163" t="s">
        <v>70</v>
      </c>
      <c r="H62" s="171" t="s">
        <v>423</v>
      </c>
      <c r="I62" s="164" t="s">
        <v>461</v>
      </c>
      <c r="J62" s="182" t="s">
        <v>364</v>
      </c>
    </row>
    <row r="63" spans="2:10" s="13" customFormat="1" ht="35.25" customHeight="1" x14ac:dyDescent="0.35">
      <c r="B63" s="160" t="s">
        <v>383</v>
      </c>
      <c r="C63" s="160" t="s">
        <v>415</v>
      </c>
      <c r="D63" s="161">
        <v>9</v>
      </c>
      <c r="E63" s="161" t="str">
        <f t="shared" si="6"/>
        <v>SUPER Smart 200GB-9</v>
      </c>
      <c r="F63" s="162" t="s">
        <v>424</v>
      </c>
      <c r="G63" s="163" t="s">
        <v>70</v>
      </c>
      <c r="H63" s="171" t="s">
        <v>425</v>
      </c>
      <c r="I63" s="164" t="s">
        <v>462</v>
      </c>
      <c r="J63" s="182" t="s">
        <v>364</v>
      </c>
    </row>
    <row r="64" spans="2:10" s="13" customFormat="1" ht="35.25" customHeight="1" x14ac:dyDescent="0.35">
      <c r="B64" s="160" t="s">
        <v>383</v>
      </c>
      <c r="C64" s="160" t="s">
        <v>415</v>
      </c>
      <c r="D64" s="161">
        <v>8</v>
      </c>
      <c r="E64" s="161" t="str">
        <f t="shared" si="6"/>
        <v>SUPER Smart 200GB-8</v>
      </c>
      <c r="F64" s="162" t="s">
        <v>426</v>
      </c>
      <c r="G64" s="163" t="s">
        <v>70</v>
      </c>
      <c r="H64" s="171" t="s">
        <v>427</v>
      </c>
      <c r="I64" s="164" t="s">
        <v>463</v>
      </c>
      <c r="J64" s="182" t="s">
        <v>364</v>
      </c>
    </row>
    <row r="65" spans="2:10" s="13" customFormat="1" ht="35.25" customHeight="1" x14ac:dyDescent="0.35">
      <c r="B65" s="160" t="s">
        <v>383</v>
      </c>
      <c r="C65" s="160" t="s">
        <v>415</v>
      </c>
      <c r="D65" s="161">
        <v>7</v>
      </c>
      <c r="E65" s="161" t="str">
        <f t="shared" si="6"/>
        <v>SUPER Smart 200GB-7</v>
      </c>
      <c r="F65" s="162" t="s">
        <v>428</v>
      </c>
      <c r="G65" s="163" t="s">
        <v>70</v>
      </c>
      <c r="H65" s="171" t="s">
        <v>464</v>
      </c>
      <c r="I65" s="164" t="s">
        <v>465</v>
      </c>
      <c r="J65" s="182" t="s">
        <v>364</v>
      </c>
    </row>
    <row r="66" spans="2:10" ht="27" customHeight="1" x14ac:dyDescent="0.35">
      <c r="B66" s="14"/>
      <c r="C66" s="14"/>
      <c r="D66" s="14"/>
      <c r="E66" s="14"/>
      <c r="F66" s="31"/>
      <c r="G66" s="18"/>
      <c r="H66" s="20"/>
      <c r="I66" s="17"/>
    </row>
    <row r="67" spans="2:10" ht="31.5" customHeight="1" thickBot="1" x14ac:dyDescent="0.4">
      <c r="B67" s="129" t="s">
        <v>103</v>
      </c>
      <c r="C67" s="10"/>
      <c r="D67" s="129"/>
      <c r="E67" s="129"/>
      <c r="F67" s="29"/>
      <c r="G67" s="12"/>
      <c r="H67" s="11"/>
    </row>
    <row r="68" spans="2:10" ht="35.25" customHeight="1" thickBot="1" x14ac:dyDescent="0.4">
      <c r="B68" s="34" t="s">
        <v>60</v>
      </c>
      <c r="C68" s="34" t="s">
        <v>61</v>
      </c>
      <c r="D68" s="34" t="s">
        <v>62</v>
      </c>
      <c r="E68" s="34"/>
      <c r="F68" s="35" t="s">
        <v>63</v>
      </c>
      <c r="G68" s="34" t="s">
        <v>64</v>
      </c>
      <c r="H68" s="34" t="s">
        <v>65</v>
      </c>
      <c r="I68" s="34" t="s">
        <v>66</v>
      </c>
    </row>
    <row r="69" spans="2:10" s="13" customFormat="1" ht="35.25" customHeight="1" x14ac:dyDescent="0.35">
      <c r="B69" s="53" t="s">
        <v>104</v>
      </c>
      <c r="C69" s="53" t="s">
        <v>105</v>
      </c>
      <c r="D69" s="54">
        <v>8</v>
      </c>
      <c r="E69" s="54" t="str">
        <f>B69&amp;" "&amp;"5GB"&amp;"-"&amp;D69</f>
        <v>SUPER Smart 5GB-8</v>
      </c>
      <c r="F69" s="55" t="s">
        <v>106</v>
      </c>
      <c r="G69" s="56" t="s">
        <v>70</v>
      </c>
      <c r="H69" s="63" t="s">
        <v>107</v>
      </c>
      <c r="I69" s="57" t="s">
        <v>108</v>
      </c>
      <c r="J69" s="183"/>
    </row>
    <row r="70" spans="2:10" s="13" customFormat="1" ht="35.25" customHeight="1" x14ac:dyDescent="0.35">
      <c r="B70" s="53" t="s">
        <v>104</v>
      </c>
      <c r="C70" s="53" t="s">
        <v>105</v>
      </c>
      <c r="D70" s="54">
        <v>7</v>
      </c>
      <c r="E70" s="54" t="str">
        <f>B70&amp;" "&amp;"5GB"&amp;"-"&amp;D70</f>
        <v>SUPER Smart 5GB-7</v>
      </c>
      <c r="F70" s="55" t="s">
        <v>109</v>
      </c>
      <c r="G70" s="56" t="s">
        <v>70</v>
      </c>
      <c r="H70" s="63" t="s">
        <v>110</v>
      </c>
      <c r="I70" s="57" t="s">
        <v>111</v>
      </c>
      <c r="J70" s="183"/>
    </row>
    <row r="71" spans="2:10" s="13" customFormat="1" ht="35.25" customHeight="1" x14ac:dyDescent="0.35">
      <c r="B71" s="53" t="s">
        <v>104</v>
      </c>
      <c r="C71" s="53" t="s">
        <v>105</v>
      </c>
      <c r="D71" s="54">
        <v>6</v>
      </c>
      <c r="E71" s="54" t="str">
        <f>B71&amp;" "&amp;"5GB"&amp;"-"&amp;D71</f>
        <v>SUPER Smart 5GB-6</v>
      </c>
      <c r="F71" s="55" t="s">
        <v>112</v>
      </c>
      <c r="G71" s="56" t="s">
        <v>70</v>
      </c>
      <c r="H71" s="63" t="s">
        <v>113</v>
      </c>
      <c r="I71" s="57" t="s">
        <v>114</v>
      </c>
      <c r="J71" s="183"/>
    </row>
    <row r="72" spans="2:10" s="13" customFormat="1" ht="35.25" customHeight="1" x14ac:dyDescent="0.35">
      <c r="B72" s="53" t="s">
        <v>104</v>
      </c>
      <c r="C72" s="53" t="s">
        <v>105</v>
      </c>
      <c r="D72" s="54">
        <v>5</v>
      </c>
      <c r="E72" s="54" t="str">
        <f>B72&amp;" "&amp;"5GB"&amp;"-"&amp;D72</f>
        <v>SUPER Smart 5GB-5</v>
      </c>
      <c r="F72" s="55" t="s">
        <v>115</v>
      </c>
      <c r="G72" s="56" t="s">
        <v>70</v>
      </c>
      <c r="H72" s="63" t="s">
        <v>116</v>
      </c>
      <c r="I72" s="57" t="s">
        <v>117</v>
      </c>
      <c r="J72" s="183"/>
    </row>
    <row r="73" spans="2:10" ht="27" customHeight="1" x14ac:dyDescent="0.35">
      <c r="B73" s="14"/>
      <c r="C73" s="14"/>
      <c r="D73" s="14"/>
      <c r="E73" s="14"/>
      <c r="F73" s="31"/>
      <c r="G73" s="18"/>
      <c r="H73" s="20"/>
      <c r="I73" s="17"/>
    </row>
    <row r="74" spans="2:10" ht="31.5" customHeight="1" thickBot="1" x14ac:dyDescent="0.4">
      <c r="B74" s="129" t="s">
        <v>429</v>
      </c>
      <c r="C74" s="10"/>
      <c r="D74" s="129"/>
      <c r="E74" s="129"/>
      <c r="F74" s="29"/>
      <c r="G74" s="12"/>
      <c r="H74" s="11"/>
    </row>
    <row r="75" spans="2:10" ht="35.25" customHeight="1" thickBot="1" x14ac:dyDescent="0.4">
      <c r="B75" s="34" t="s">
        <v>60</v>
      </c>
      <c r="C75" s="34" t="s">
        <v>61</v>
      </c>
      <c r="D75" s="34" t="s">
        <v>62</v>
      </c>
      <c r="E75" s="34"/>
      <c r="F75" s="35" t="s">
        <v>63</v>
      </c>
      <c r="G75" s="34" t="s">
        <v>64</v>
      </c>
      <c r="H75" s="34" t="s">
        <v>65</v>
      </c>
      <c r="I75" s="34" t="s">
        <v>66</v>
      </c>
    </row>
    <row r="76" spans="2:10" s="13" customFormat="1" ht="35.25" customHeight="1" x14ac:dyDescent="0.35">
      <c r="B76" s="53" t="s">
        <v>384</v>
      </c>
      <c r="C76" s="53" t="s">
        <v>430</v>
      </c>
      <c r="D76" s="54">
        <v>5</v>
      </c>
      <c r="E76" s="54" t="str">
        <f>B76&amp;""&amp;"GB"&amp;"-"&amp;D76</f>
        <v>SUPER Smart 20GB-5</v>
      </c>
      <c r="F76" s="55" t="s">
        <v>431</v>
      </c>
      <c r="G76" s="56" t="s">
        <v>70</v>
      </c>
      <c r="H76" s="63" t="s">
        <v>468</v>
      </c>
      <c r="I76" s="57" t="s">
        <v>469</v>
      </c>
      <c r="J76" s="183"/>
    </row>
    <row r="77" spans="2:10" s="13" customFormat="1" ht="35.25" customHeight="1" x14ac:dyDescent="0.35">
      <c r="B77" s="187" t="s">
        <v>384</v>
      </c>
      <c r="C77" s="187" t="s">
        <v>430</v>
      </c>
      <c r="D77" s="188">
        <v>6</v>
      </c>
      <c r="E77" s="187" t="str">
        <f>B77&amp;""&amp;"GB"&amp;"-"&amp;D77</f>
        <v>SUPER Smart 20GB-6</v>
      </c>
      <c r="F77" s="189" t="s">
        <v>489</v>
      </c>
      <c r="G77" s="190" t="s">
        <v>70</v>
      </c>
      <c r="H77" s="191" t="s">
        <v>490</v>
      </c>
      <c r="I77" s="192" t="s">
        <v>491</v>
      </c>
      <c r="J77" s="183" t="s">
        <v>364</v>
      </c>
    </row>
    <row r="78" spans="2:10" s="13" customFormat="1" ht="35.25" customHeight="1" x14ac:dyDescent="0.35">
      <c r="B78" s="53" t="s">
        <v>384</v>
      </c>
      <c r="C78" s="53" t="s">
        <v>430</v>
      </c>
      <c r="D78" s="54">
        <v>7</v>
      </c>
      <c r="E78" s="54" t="str">
        <f>B78&amp;""&amp;"GB"&amp;"-"&amp;D78</f>
        <v>SUPER Smart 20GB-7</v>
      </c>
      <c r="F78" s="55" t="s">
        <v>482</v>
      </c>
      <c r="G78" s="56" t="s">
        <v>70</v>
      </c>
      <c r="H78" s="63" t="s">
        <v>483</v>
      </c>
      <c r="I78" s="57" t="s">
        <v>484</v>
      </c>
    </row>
    <row r="79" spans="2:10" s="13" customFormat="1" ht="35.25" customHeight="1" x14ac:dyDescent="0.35">
      <c r="B79" s="53" t="s">
        <v>384</v>
      </c>
      <c r="C79" s="53" t="s">
        <v>430</v>
      </c>
      <c r="D79" s="54">
        <v>8</v>
      </c>
      <c r="E79" s="54" t="str">
        <f>B79&amp;""&amp;"GB"&amp;"-"&amp;D79</f>
        <v>SUPER Smart 20GB-8</v>
      </c>
      <c r="F79" s="55" t="s">
        <v>485</v>
      </c>
      <c r="G79" s="56" t="s">
        <v>70</v>
      </c>
      <c r="H79" s="63" t="s">
        <v>486</v>
      </c>
      <c r="I79" s="57" t="s">
        <v>487</v>
      </c>
    </row>
    <row r="80" spans="2:10" s="13" customFormat="1" ht="35.25" customHeight="1" x14ac:dyDescent="0.35">
      <c r="B80" s="187" t="s">
        <v>384</v>
      </c>
      <c r="C80" s="187" t="s">
        <v>430</v>
      </c>
      <c r="D80" s="188">
        <v>9</v>
      </c>
      <c r="E80" s="187" t="str">
        <f>B80&amp;""&amp;"GB"&amp;"-"&amp;D80</f>
        <v>SUPER Smart 20GB-9</v>
      </c>
      <c r="F80" s="189" t="s">
        <v>492</v>
      </c>
      <c r="G80" s="190" t="s">
        <v>70</v>
      </c>
      <c r="H80" s="191" t="s">
        <v>493</v>
      </c>
      <c r="I80" s="192" t="s">
        <v>494</v>
      </c>
      <c r="J80" s="183" t="s">
        <v>364</v>
      </c>
    </row>
    <row r="81" spans="2:10" x14ac:dyDescent="0.35">
      <c r="B81" s="14"/>
      <c r="C81" s="14"/>
      <c r="D81" s="14"/>
      <c r="E81" s="14"/>
      <c r="F81" s="30"/>
      <c r="G81" s="15"/>
      <c r="H81" s="16"/>
      <c r="I81" s="17"/>
    </row>
    <row r="82" spans="2:10" ht="31.5" customHeight="1" thickBot="1" x14ac:dyDescent="0.4">
      <c r="B82" s="129" t="s">
        <v>118</v>
      </c>
      <c r="C82" s="10"/>
      <c r="D82" s="129"/>
      <c r="E82" s="129"/>
      <c r="F82" s="29"/>
      <c r="G82" s="12"/>
      <c r="H82" s="11"/>
    </row>
    <row r="83" spans="2:10" ht="35.25" customHeight="1" thickBot="1" x14ac:dyDescent="0.4">
      <c r="B83" s="34" t="s">
        <v>60</v>
      </c>
      <c r="C83" s="34" t="s">
        <v>61</v>
      </c>
      <c r="D83" s="34" t="s">
        <v>62</v>
      </c>
      <c r="E83" s="34"/>
      <c r="F83" s="35" t="s">
        <v>63</v>
      </c>
      <c r="G83" s="34" t="s">
        <v>64</v>
      </c>
      <c r="H83" s="34" t="s">
        <v>65</v>
      </c>
      <c r="I83" s="34" t="s">
        <v>66</v>
      </c>
    </row>
    <row r="84" spans="2:10" s="13" customFormat="1" ht="35.25" customHeight="1" x14ac:dyDescent="0.35">
      <c r="B84" s="53" t="s">
        <v>20</v>
      </c>
      <c r="C84" s="53" t="s">
        <v>119</v>
      </c>
      <c r="D84" s="54">
        <v>6.99</v>
      </c>
      <c r="E84" s="54" t="str">
        <f>B84&amp;"-"&amp;D84</f>
        <v>SUPER GIGA 30-6,99</v>
      </c>
      <c r="F84" s="55" t="s">
        <v>120</v>
      </c>
      <c r="G84" s="56" t="s">
        <v>70</v>
      </c>
      <c r="H84" s="63" t="s">
        <v>121</v>
      </c>
      <c r="I84" s="57" t="s">
        <v>122</v>
      </c>
      <c r="J84" s="183"/>
    </row>
    <row r="85" spans="2:10" s="13" customFormat="1" ht="35.25" customHeight="1" x14ac:dyDescent="0.35">
      <c r="B85" s="53" t="s">
        <v>20</v>
      </c>
      <c r="C85" s="53" t="s">
        <v>119</v>
      </c>
      <c r="D85" s="54">
        <v>5.99</v>
      </c>
      <c r="E85" s="54" t="str">
        <f>B85&amp;"-"&amp;D85</f>
        <v>SUPER GIGA 30-5,99</v>
      </c>
      <c r="F85" s="55" t="s">
        <v>123</v>
      </c>
      <c r="G85" s="56" t="s">
        <v>70</v>
      </c>
      <c r="H85" s="63" t="s">
        <v>124</v>
      </c>
      <c r="I85" s="57" t="s">
        <v>125</v>
      </c>
      <c r="J85" s="183"/>
    </row>
    <row r="86" spans="2:10" s="13" customFormat="1" ht="35.25" customHeight="1" x14ac:dyDescent="0.35">
      <c r="B86" s="53" t="s">
        <v>20</v>
      </c>
      <c r="C86" s="53" t="s">
        <v>119</v>
      </c>
      <c r="D86" s="54">
        <v>4.99</v>
      </c>
      <c r="E86" s="54" t="str">
        <f>B86&amp;"-"&amp;D86</f>
        <v>SUPER GIGA 30-4,99</v>
      </c>
      <c r="F86" s="55" t="s">
        <v>126</v>
      </c>
      <c r="G86" s="56" t="s">
        <v>70</v>
      </c>
      <c r="H86" s="63" t="s">
        <v>127</v>
      </c>
      <c r="I86" s="57" t="s">
        <v>128</v>
      </c>
      <c r="J86" s="183"/>
    </row>
    <row r="87" spans="2:10" x14ac:dyDescent="0.35">
      <c r="B87" s="21"/>
      <c r="C87" s="21"/>
      <c r="D87" s="21"/>
      <c r="E87" s="21"/>
      <c r="G87" s="22"/>
      <c r="H87" s="23"/>
      <c r="I87" s="24"/>
    </row>
    <row r="88" spans="2:10" ht="31.5" customHeight="1" thickBot="1" x14ac:dyDescent="0.4">
      <c r="B88" s="129" t="s">
        <v>129</v>
      </c>
      <c r="C88" s="10"/>
      <c r="D88" s="129"/>
      <c r="E88" s="129"/>
      <c r="F88" s="29"/>
      <c r="G88" s="12"/>
      <c r="H88" s="11"/>
    </row>
    <row r="89" spans="2:10" ht="35.25" customHeight="1" thickBot="1" x14ac:dyDescent="0.4">
      <c r="B89" s="34" t="s">
        <v>60</v>
      </c>
      <c r="C89" s="34" t="s">
        <v>61</v>
      </c>
      <c r="D89" s="34" t="s">
        <v>62</v>
      </c>
      <c r="E89" s="34"/>
      <c r="F89" s="35" t="s">
        <v>63</v>
      </c>
      <c r="G89" s="34" t="s">
        <v>64</v>
      </c>
      <c r="H89" s="34" t="s">
        <v>65</v>
      </c>
      <c r="I89" s="34" t="s">
        <v>66</v>
      </c>
    </row>
    <row r="90" spans="2:10" s="13" customFormat="1" ht="35.25" customHeight="1" x14ac:dyDescent="0.35">
      <c r="B90" s="53" t="s">
        <v>34</v>
      </c>
      <c r="C90" s="53" t="s">
        <v>130</v>
      </c>
      <c r="D90" s="54">
        <v>9.9899999999999984</v>
      </c>
      <c r="E90" s="54" t="str">
        <f>B90&amp;"-"&amp;D90</f>
        <v>SUPER GIGA 70-9,99</v>
      </c>
      <c r="F90" s="55" t="s">
        <v>131</v>
      </c>
      <c r="G90" s="56" t="s">
        <v>70</v>
      </c>
      <c r="H90" s="63" t="s">
        <v>132</v>
      </c>
      <c r="I90" s="57" t="s">
        <v>133</v>
      </c>
      <c r="J90" s="9"/>
    </row>
    <row r="91" spans="2:10" s="13" customFormat="1" ht="35.25" customHeight="1" x14ac:dyDescent="0.35">
      <c r="B91" s="53" t="s">
        <v>34</v>
      </c>
      <c r="C91" s="53" t="s">
        <v>130</v>
      </c>
      <c r="D91" s="54">
        <v>8.9899999999999984</v>
      </c>
      <c r="E91" s="54" t="str">
        <f>B91&amp;"-"&amp;D91</f>
        <v>SUPER GIGA 70-8,99</v>
      </c>
      <c r="F91" s="55" t="s">
        <v>134</v>
      </c>
      <c r="G91" s="56" t="s">
        <v>70</v>
      </c>
      <c r="H91" s="63" t="s">
        <v>135</v>
      </c>
      <c r="I91" s="57" t="s">
        <v>136</v>
      </c>
      <c r="J91" s="9"/>
    </row>
    <row r="92" spans="2:10" s="13" customFormat="1" ht="35.25" customHeight="1" x14ac:dyDescent="0.35">
      <c r="B92" s="53" t="s">
        <v>34</v>
      </c>
      <c r="C92" s="53" t="s">
        <v>130</v>
      </c>
      <c r="D92" s="54">
        <v>7.9899999999999984</v>
      </c>
      <c r="E92" s="54" t="str">
        <f>B92&amp;"-"&amp;D92</f>
        <v>SUPER GIGA 70-7,99</v>
      </c>
      <c r="F92" s="55" t="s">
        <v>137</v>
      </c>
      <c r="G92" s="56" t="s">
        <v>70</v>
      </c>
      <c r="H92" s="63" t="s">
        <v>138</v>
      </c>
      <c r="I92" s="57" t="s">
        <v>139</v>
      </c>
      <c r="J92" s="9"/>
    </row>
    <row r="93" spans="2:10" s="125" customFormat="1" ht="35.25" customHeight="1" x14ac:dyDescent="0.35">
      <c r="B93" s="123" t="s">
        <v>34</v>
      </c>
      <c r="C93" s="123" t="s">
        <v>130</v>
      </c>
      <c r="D93" s="46">
        <v>6.99</v>
      </c>
      <c r="E93" s="46" t="str">
        <f>B93&amp;"-"&amp;D93</f>
        <v>SUPER GIGA 70-6,99</v>
      </c>
      <c r="F93" s="131" t="s">
        <v>353</v>
      </c>
      <c r="G93" s="126" t="s">
        <v>70</v>
      </c>
      <c r="H93" s="127" t="s">
        <v>354</v>
      </c>
      <c r="I93" s="128" t="s">
        <v>355</v>
      </c>
      <c r="J93" s="124"/>
    </row>
    <row r="94" spans="2:10" s="13" customFormat="1" ht="35.25" customHeight="1" x14ac:dyDescent="0.35">
      <c r="B94" s="53" t="s">
        <v>34</v>
      </c>
      <c r="C94" s="53" t="s">
        <v>130</v>
      </c>
      <c r="D94" s="54">
        <v>5.9899999999999984</v>
      </c>
      <c r="E94" s="54" t="str">
        <f>B94&amp;"-"&amp;D94</f>
        <v>SUPER GIGA 70-5,99</v>
      </c>
      <c r="F94" s="55" t="s">
        <v>140</v>
      </c>
      <c r="G94" s="56" t="s">
        <v>70</v>
      </c>
      <c r="H94" s="63" t="s">
        <v>141</v>
      </c>
      <c r="I94" s="57" t="s">
        <v>142</v>
      </c>
      <c r="J94" s="9"/>
    </row>
    <row r="95" spans="2:10" x14ac:dyDescent="0.35">
      <c r="B95" s="21"/>
      <c r="C95" s="21"/>
      <c r="D95" s="21"/>
      <c r="E95" s="21"/>
      <c r="G95" s="22"/>
      <c r="H95" s="23"/>
      <c r="I95" s="24"/>
    </row>
    <row r="96" spans="2:10" ht="31.5" customHeight="1" thickBot="1" x14ac:dyDescent="0.4">
      <c r="B96" s="129" t="s">
        <v>274</v>
      </c>
      <c r="C96" s="10"/>
      <c r="D96" s="129"/>
      <c r="E96" s="129"/>
      <c r="F96" s="29"/>
      <c r="G96" s="12"/>
      <c r="H96" s="11"/>
    </row>
    <row r="97" spans="2:10" ht="35.25" customHeight="1" thickBot="1" x14ac:dyDescent="0.4">
      <c r="B97" s="34" t="s">
        <v>60</v>
      </c>
      <c r="C97" s="34" t="s">
        <v>61</v>
      </c>
      <c r="D97" s="34" t="s">
        <v>62</v>
      </c>
      <c r="E97" s="34"/>
      <c r="F97" s="35" t="s">
        <v>63</v>
      </c>
      <c r="G97" s="34" t="s">
        <v>64</v>
      </c>
      <c r="H97" s="34" t="s">
        <v>65</v>
      </c>
      <c r="I97" s="34" t="s">
        <v>66</v>
      </c>
    </row>
    <row r="98" spans="2:10" s="125" customFormat="1" ht="35.25" customHeight="1" x14ac:dyDescent="0.35">
      <c r="B98" s="123" t="s">
        <v>19</v>
      </c>
      <c r="C98" s="123" t="s">
        <v>275</v>
      </c>
      <c r="D98" s="46">
        <v>15</v>
      </c>
      <c r="E98" s="46" t="str">
        <f>B98&amp;"-"&amp;D98</f>
        <v>SUPER GIGA UNLIMITED-15</v>
      </c>
      <c r="F98" s="130" t="s">
        <v>337</v>
      </c>
      <c r="G98" s="56" t="s">
        <v>70</v>
      </c>
      <c r="H98" s="56" t="s">
        <v>338</v>
      </c>
      <c r="I98" s="47" t="s">
        <v>339</v>
      </c>
      <c r="J98" s="9"/>
    </row>
    <row r="99" spans="2:10" s="125" customFormat="1" ht="35.25" customHeight="1" x14ac:dyDescent="0.35">
      <c r="B99" s="123" t="s">
        <v>19</v>
      </c>
      <c r="C99" s="123" t="s">
        <v>275</v>
      </c>
      <c r="D99" s="46">
        <v>13</v>
      </c>
      <c r="E99" s="46" t="str">
        <f>B99&amp;"-"&amp;D99</f>
        <v>SUPER GIGA UNLIMITED-13</v>
      </c>
      <c r="F99" s="130" t="s">
        <v>340</v>
      </c>
      <c r="G99" s="56" t="s">
        <v>70</v>
      </c>
      <c r="H99" s="56" t="s">
        <v>341</v>
      </c>
      <c r="I99" s="47" t="s">
        <v>342</v>
      </c>
      <c r="J99" s="9"/>
    </row>
    <row r="100" spans="2:10" s="125" customFormat="1" ht="35.25" customHeight="1" x14ac:dyDescent="0.35">
      <c r="B100" s="123" t="s">
        <v>19</v>
      </c>
      <c r="C100" s="123" t="s">
        <v>275</v>
      </c>
      <c r="D100" s="46">
        <v>10</v>
      </c>
      <c r="E100" s="46" t="str">
        <f>B100&amp;"-"&amp;D100</f>
        <v>SUPER GIGA UNLIMITED-10</v>
      </c>
      <c r="F100" s="130" t="s">
        <v>276</v>
      </c>
      <c r="G100" s="56" t="s">
        <v>70</v>
      </c>
      <c r="H100" s="56" t="s">
        <v>325</v>
      </c>
      <c r="I100" s="47" t="s">
        <v>357</v>
      </c>
      <c r="J100" s="9" t="s">
        <v>432</v>
      </c>
    </row>
    <row r="101" spans="2:10" x14ac:dyDescent="0.35">
      <c r="B101" s="21"/>
      <c r="C101" s="21"/>
      <c r="D101" s="21"/>
      <c r="E101" s="21"/>
      <c r="G101" s="25"/>
      <c r="I101" s="6"/>
    </row>
    <row r="102" spans="2:10" ht="31.5" customHeight="1" thickBot="1" x14ac:dyDescent="0.4">
      <c r="B102" s="129" t="s">
        <v>193</v>
      </c>
      <c r="C102" s="10"/>
      <c r="D102" s="129"/>
      <c r="E102" s="129"/>
      <c r="F102" s="29"/>
      <c r="G102" s="12"/>
      <c r="H102" s="11"/>
    </row>
    <row r="103" spans="2:10" ht="35.25" customHeight="1" thickBot="1" x14ac:dyDescent="0.4">
      <c r="B103" s="34" t="s">
        <v>60</v>
      </c>
      <c r="C103" s="34" t="s">
        <v>61</v>
      </c>
      <c r="D103" s="34" t="s">
        <v>62</v>
      </c>
      <c r="E103" s="34"/>
      <c r="F103" s="35" t="s">
        <v>63</v>
      </c>
      <c r="G103" s="34" t="s">
        <v>64</v>
      </c>
      <c r="H103" s="34" t="s">
        <v>65</v>
      </c>
      <c r="I103" s="34" t="s">
        <v>66</v>
      </c>
    </row>
    <row r="104" spans="2:10" s="13" customFormat="1" ht="35.25" customHeight="1" x14ac:dyDescent="0.35">
      <c r="B104" s="53" t="s">
        <v>40</v>
      </c>
      <c r="C104" s="53" t="s">
        <v>184</v>
      </c>
      <c r="D104" s="54">
        <v>2.5</v>
      </c>
      <c r="E104" s="54" t="str">
        <f t="shared" ref="E104:E105" si="7">B104&amp;"-"&amp;D104</f>
        <v>M2M Full-2,5</v>
      </c>
      <c r="F104" s="55" t="s">
        <v>224</v>
      </c>
      <c r="G104" s="56" t="s">
        <v>70</v>
      </c>
      <c r="H104" s="63" t="s">
        <v>225</v>
      </c>
      <c r="I104" s="57" t="s">
        <v>226</v>
      </c>
      <c r="J104" s="9"/>
    </row>
    <row r="105" spans="2:10" s="13" customFormat="1" ht="35.25" customHeight="1" x14ac:dyDescent="0.35">
      <c r="B105" s="53" t="s">
        <v>40</v>
      </c>
      <c r="C105" s="53" t="s">
        <v>184</v>
      </c>
      <c r="D105" s="54">
        <v>1.5</v>
      </c>
      <c r="E105" s="54" t="str">
        <f t="shared" si="7"/>
        <v>M2M Full-1,5</v>
      </c>
      <c r="F105" s="55" t="s">
        <v>227</v>
      </c>
      <c r="G105" s="56" t="s">
        <v>70</v>
      </c>
      <c r="H105" s="63" t="s">
        <v>228</v>
      </c>
      <c r="I105" s="57" t="s">
        <v>229</v>
      </c>
      <c r="J105" s="183"/>
    </row>
    <row r="106" spans="2:10" s="13" customFormat="1" ht="35.25" customHeight="1" x14ac:dyDescent="0.35">
      <c r="B106" s="53" t="s">
        <v>40</v>
      </c>
      <c r="C106" s="53" t="s">
        <v>184</v>
      </c>
      <c r="D106" s="54">
        <v>1</v>
      </c>
      <c r="E106" s="54" t="str">
        <f>B106&amp;"-"&amp;D106</f>
        <v>M2M Full-1</v>
      </c>
      <c r="F106" s="55" t="s">
        <v>194</v>
      </c>
      <c r="G106" s="56" t="s">
        <v>70</v>
      </c>
      <c r="H106" s="63" t="s">
        <v>195</v>
      </c>
      <c r="I106" s="57" t="s">
        <v>196</v>
      </c>
      <c r="J106" s="183"/>
    </row>
    <row r="107" spans="2:10" x14ac:dyDescent="0.35">
      <c r="B107" s="21"/>
      <c r="C107" s="21"/>
      <c r="D107" s="21"/>
      <c r="E107" s="21"/>
      <c r="G107" s="25"/>
      <c r="I107" s="6"/>
    </row>
    <row r="108" spans="2:10" ht="31.5" customHeight="1" thickBot="1" x14ac:dyDescent="0.4">
      <c r="B108" s="129" t="s">
        <v>343</v>
      </c>
      <c r="C108" s="10"/>
      <c r="D108" s="129"/>
      <c r="E108" s="129"/>
      <c r="F108" s="29"/>
      <c r="G108" s="12"/>
      <c r="H108" s="11"/>
    </row>
    <row r="109" spans="2:10" ht="35.25" customHeight="1" thickBot="1" x14ac:dyDescent="0.4">
      <c r="B109" s="34" t="s">
        <v>60</v>
      </c>
      <c r="C109" s="34" t="s">
        <v>61</v>
      </c>
      <c r="D109" s="34" t="s">
        <v>62</v>
      </c>
      <c r="E109" s="34"/>
      <c r="F109" s="35" t="s">
        <v>63</v>
      </c>
      <c r="G109" s="34" t="s">
        <v>64</v>
      </c>
      <c r="H109" s="34" t="s">
        <v>65</v>
      </c>
      <c r="I109" s="34" t="s">
        <v>66</v>
      </c>
    </row>
    <row r="110" spans="2:10" s="125" customFormat="1" ht="35.25" customHeight="1" x14ac:dyDescent="0.35">
      <c r="B110" s="123" t="s">
        <v>344</v>
      </c>
      <c r="C110" s="123" t="s">
        <v>345</v>
      </c>
      <c r="D110" s="46">
        <v>2</v>
      </c>
      <c r="E110" s="46" t="str">
        <f>B110&amp;"-"&amp;D110</f>
        <v>Only Giga-2</v>
      </c>
      <c r="F110" s="130" t="s">
        <v>346</v>
      </c>
      <c r="G110" s="56" t="s">
        <v>70</v>
      </c>
      <c r="H110" s="56" t="s">
        <v>347</v>
      </c>
      <c r="I110" s="47" t="s">
        <v>348</v>
      </c>
      <c r="J110" s="184"/>
    </row>
    <row r="111" spans="2:10" x14ac:dyDescent="0.35">
      <c r="B111" s="21"/>
      <c r="C111" s="21"/>
      <c r="D111" s="21"/>
      <c r="E111" s="21"/>
      <c r="G111" s="25"/>
      <c r="I111" s="6"/>
    </row>
    <row r="112" spans="2:10" ht="31.5" customHeight="1" thickBot="1" x14ac:dyDescent="0.4">
      <c r="B112" s="129" t="s">
        <v>349</v>
      </c>
      <c r="C112" s="10"/>
      <c r="D112" s="129"/>
      <c r="E112" s="129"/>
      <c r="F112" s="29"/>
      <c r="G112" s="12"/>
      <c r="H112" s="11"/>
    </row>
    <row r="113" spans="2:10" ht="35.25" customHeight="1" thickBot="1" x14ac:dyDescent="0.4">
      <c r="B113" s="34" t="s">
        <v>60</v>
      </c>
      <c r="C113" s="34" t="s">
        <v>61</v>
      </c>
      <c r="D113" s="34" t="s">
        <v>62</v>
      </c>
      <c r="E113" s="34"/>
      <c r="F113" s="35" t="s">
        <v>63</v>
      </c>
      <c r="G113" s="34" t="s">
        <v>64</v>
      </c>
      <c r="H113" s="34" t="s">
        <v>65</v>
      </c>
      <c r="I113" s="34" t="s">
        <v>66</v>
      </c>
    </row>
    <row r="114" spans="2:10" s="125" customFormat="1" ht="35.25" customHeight="1" x14ac:dyDescent="0.35">
      <c r="B114" s="123" t="s">
        <v>263</v>
      </c>
      <c r="C114" s="123" t="s">
        <v>264</v>
      </c>
      <c r="D114" s="46">
        <v>3</v>
      </c>
      <c r="E114" s="46" t="str">
        <f>B114&amp;"-"&amp;D114</f>
        <v>Leonardo Mega 6000-3</v>
      </c>
      <c r="F114" s="130" t="s">
        <v>350</v>
      </c>
      <c r="G114" s="56" t="s">
        <v>70</v>
      </c>
      <c r="H114" s="56" t="s">
        <v>351</v>
      </c>
      <c r="I114" s="47" t="s">
        <v>352</v>
      </c>
      <c r="J114" s="184"/>
    </row>
    <row r="115" spans="2:10" x14ac:dyDescent="0.35">
      <c r="B115" s="26"/>
      <c r="C115" s="26"/>
      <c r="D115" s="26"/>
      <c r="E115" s="26"/>
      <c r="F115" s="32"/>
      <c r="G115" s="27"/>
      <c r="I115" s="6"/>
    </row>
    <row r="116" spans="2:10" ht="31.5" customHeight="1" thickBot="1" x14ac:dyDescent="0.4">
      <c r="B116" s="129" t="s">
        <v>230</v>
      </c>
      <c r="C116" s="10"/>
      <c r="D116" s="129"/>
      <c r="E116" s="129"/>
      <c r="F116" s="29"/>
      <c r="G116" s="12"/>
      <c r="H116" s="11"/>
    </row>
    <row r="117" spans="2:10" ht="35.25" customHeight="1" thickBot="1" x14ac:dyDescent="0.4">
      <c r="B117" s="34" t="s">
        <v>60</v>
      </c>
      <c r="C117" s="34" t="s">
        <v>61</v>
      </c>
      <c r="D117" s="34" t="s">
        <v>62</v>
      </c>
      <c r="E117" s="34"/>
      <c r="F117" s="35" t="s">
        <v>63</v>
      </c>
      <c r="G117" s="34" t="s">
        <v>64</v>
      </c>
      <c r="H117" s="34" t="s">
        <v>65</v>
      </c>
      <c r="I117" s="34" t="s">
        <v>66</v>
      </c>
    </row>
    <row r="118" spans="2:10" s="13" customFormat="1" ht="35.25" customHeight="1" x14ac:dyDescent="0.35">
      <c r="B118" s="53" t="s">
        <v>58</v>
      </c>
      <c r="C118" s="53" t="s">
        <v>231</v>
      </c>
      <c r="D118" s="54">
        <v>16</v>
      </c>
      <c r="E118" s="54" t="str">
        <f t="shared" ref="E118:E122" si="8">B118&amp;"-"&amp;D118</f>
        <v>SMART SHARE UNLIMITED-16</v>
      </c>
      <c r="F118" s="55" t="s">
        <v>232</v>
      </c>
      <c r="G118" s="56" t="s">
        <v>70</v>
      </c>
      <c r="H118" s="63" t="s">
        <v>233</v>
      </c>
      <c r="I118" s="57" t="s">
        <v>234</v>
      </c>
      <c r="J118" s="183"/>
    </row>
    <row r="119" spans="2:10" s="13" customFormat="1" ht="35.25" customHeight="1" x14ac:dyDescent="0.35">
      <c r="B119" s="53" t="s">
        <v>58</v>
      </c>
      <c r="C119" s="53" t="s">
        <v>231</v>
      </c>
      <c r="D119" s="54">
        <v>14</v>
      </c>
      <c r="E119" s="54" t="str">
        <f t="shared" si="8"/>
        <v>SMART SHARE UNLIMITED-14</v>
      </c>
      <c r="F119" s="55" t="s">
        <v>235</v>
      </c>
      <c r="G119" s="56" t="s">
        <v>70</v>
      </c>
      <c r="H119" s="63" t="s">
        <v>236</v>
      </c>
      <c r="I119" s="57" t="s">
        <v>237</v>
      </c>
      <c r="J119" s="183"/>
    </row>
    <row r="120" spans="2:10" s="13" customFormat="1" ht="35.25" customHeight="1" x14ac:dyDescent="0.35">
      <c r="B120" s="53" t="s">
        <v>58</v>
      </c>
      <c r="C120" s="53" t="s">
        <v>231</v>
      </c>
      <c r="D120" s="54">
        <v>12</v>
      </c>
      <c r="E120" s="54" t="str">
        <f t="shared" si="8"/>
        <v>SMART SHARE UNLIMITED-12</v>
      </c>
      <c r="F120" s="55" t="s">
        <v>238</v>
      </c>
      <c r="G120" s="56" t="s">
        <v>70</v>
      </c>
      <c r="H120" s="63" t="s">
        <v>239</v>
      </c>
      <c r="I120" s="57" t="s">
        <v>240</v>
      </c>
      <c r="J120" s="183"/>
    </row>
    <row r="121" spans="2:10" s="13" customFormat="1" ht="35.25" customHeight="1" x14ac:dyDescent="0.35">
      <c r="B121" s="53" t="s">
        <v>58</v>
      </c>
      <c r="C121" s="53" t="s">
        <v>231</v>
      </c>
      <c r="D121" s="54">
        <v>10</v>
      </c>
      <c r="E121" s="54" t="str">
        <f t="shared" si="8"/>
        <v>SMART SHARE UNLIMITED-10</v>
      </c>
      <c r="F121" s="55" t="s">
        <v>241</v>
      </c>
      <c r="G121" s="56" t="s">
        <v>70</v>
      </c>
      <c r="H121" s="63" t="s">
        <v>242</v>
      </c>
      <c r="I121" s="57" t="s">
        <v>243</v>
      </c>
      <c r="J121" s="9"/>
    </row>
    <row r="122" spans="2:10" s="13" customFormat="1" ht="35.25" customHeight="1" x14ac:dyDescent="0.35">
      <c r="B122" s="53" t="s">
        <v>58</v>
      </c>
      <c r="C122" s="53" t="s">
        <v>231</v>
      </c>
      <c r="D122" s="54">
        <v>8</v>
      </c>
      <c r="E122" s="54" t="str">
        <f t="shared" si="8"/>
        <v>SMART SHARE UNLIMITED-8</v>
      </c>
      <c r="F122" s="55" t="s">
        <v>356</v>
      </c>
      <c r="G122" s="56" t="s">
        <v>70</v>
      </c>
      <c r="H122" s="63" t="s">
        <v>244</v>
      </c>
      <c r="I122" s="57" t="s">
        <v>245</v>
      </c>
      <c r="J122" s="9"/>
    </row>
    <row r="123" spans="2:10" x14ac:dyDescent="0.35">
      <c r="B123" s="26"/>
      <c r="C123" s="26"/>
      <c r="D123" s="26"/>
      <c r="E123" s="26"/>
      <c r="F123" s="32"/>
      <c r="G123" s="27"/>
      <c r="I123" s="6"/>
    </row>
    <row r="124" spans="2:10" ht="31.5" customHeight="1" thickBot="1" x14ac:dyDescent="0.4">
      <c r="B124" s="129" t="s">
        <v>246</v>
      </c>
      <c r="C124" s="10"/>
      <c r="D124" s="129"/>
      <c r="E124" s="129"/>
      <c r="F124" s="29"/>
      <c r="G124" s="12"/>
      <c r="H124" s="11"/>
    </row>
    <row r="125" spans="2:10" ht="35.25" customHeight="1" thickBot="1" x14ac:dyDescent="0.4">
      <c r="B125" s="34" t="s">
        <v>60</v>
      </c>
      <c r="C125" s="34" t="s">
        <v>61</v>
      </c>
      <c r="D125" s="34" t="s">
        <v>62</v>
      </c>
      <c r="E125" s="34"/>
      <c r="F125" s="35" t="s">
        <v>63</v>
      </c>
      <c r="G125" s="34" t="s">
        <v>64</v>
      </c>
      <c r="H125" s="34" t="s">
        <v>65</v>
      </c>
      <c r="I125" s="34" t="s">
        <v>66</v>
      </c>
    </row>
    <row r="126" spans="2:10" s="13" customFormat="1" ht="35.25" customHeight="1" x14ac:dyDescent="0.35">
      <c r="B126" s="53" t="s">
        <v>14</v>
      </c>
      <c r="C126" s="53" t="s">
        <v>247</v>
      </c>
      <c r="D126" s="54">
        <v>8</v>
      </c>
      <c r="E126" s="54" t="str">
        <f t="shared" ref="E126:E130" si="9">B126&amp;"-"&amp;D126</f>
        <v>SMART SHARE 500-8</v>
      </c>
      <c r="F126" s="55" t="s">
        <v>248</v>
      </c>
      <c r="G126" s="56" t="s">
        <v>70</v>
      </c>
      <c r="H126" s="63" t="s">
        <v>249</v>
      </c>
      <c r="I126" s="57" t="s">
        <v>250</v>
      </c>
      <c r="J126" s="9"/>
    </row>
    <row r="127" spans="2:10" s="13" customFormat="1" ht="35.25" customHeight="1" x14ac:dyDescent="0.35">
      <c r="B127" s="53" t="s">
        <v>14</v>
      </c>
      <c r="C127" s="53" t="s">
        <v>247</v>
      </c>
      <c r="D127" s="54">
        <v>7</v>
      </c>
      <c r="E127" s="54" t="str">
        <f t="shared" si="9"/>
        <v>SMART SHARE 500-7</v>
      </c>
      <c r="F127" s="55" t="s">
        <v>251</v>
      </c>
      <c r="G127" s="56" t="s">
        <v>70</v>
      </c>
      <c r="H127" s="63" t="s">
        <v>252</v>
      </c>
      <c r="I127" s="57" t="s">
        <v>253</v>
      </c>
      <c r="J127" s="9"/>
    </row>
    <row r="128" spans="2:10" s="13" customFormat="1" ht="35.25" customHeight="1" x14ac:dyDescent="0.35">
      <c r="B128" s="53" t="s">
        <v>14</v>
      </c>
      <c r="C128" s="53" t="s">
        <v>247</v>
      </c>
      <c r="D128" s="54">
        <v>6</v>
      </c>
      <c r="E128" s="54" t="str">
        <f t="shared" si="9"/>
        <v>SMART SHARE 500-6</v>
      </c>
      <c r="F128" s="55" t="s">
        <v>254</v>
      </c>
      <c r="G128" s="56" t="s">
        <v>70</v>
      </c>
      <c r="H128" s="63" t="s">
        <v>255</v>
      </c>
      <c r="I128" s="57" t="s">
        <v>256</v>
      </c>
      <c r="J128" s="9"/>
    </row>
    <row r="129" spans="2:10" s="13" customFormat="1" ht="35.25" customHeight="1" x14ac:dyDescent="0.35">
      <c r="B129" s="53" t="s">
        <v>14</v>
      </c>
      <c r="C129" s="53" t="s">
        <v>247</v>
      </c>
      <c r="D129" s="54">
        <v>5</v>
      </c>
      <c r="E129" s="54" t="str">
        <f t="shared" si="9"/>
        <v>SMART SHARE 500-5</v>
      </c>
      <c r="F129" s="55" t="s">
        <v>257</v>
      </c>
      <c r="G129" s="56" t="s">
        <v>70</v>
      </c>
      <c r="H129" s="63" t="s">
        <v>258</v>
      </c>
      <c r="I129" s="57" t="s">
        <v>259</v>
      </c>
      <c r="J129" s="9"/>
    </row>
    <row r="130" spans="2:10" s="13" customFormat="1" ht="35.25" customHeight="1" x14ac:dyDescent="0.35">
      <c r="B130" s="53" t="s">
        <v>14</v>
      </c>
      <c r="C130" s="53" t="s">
        <v>247</v>
      </c>
      <c r="D130" s="54">
        <v>4</v>
      </c>
      <c r="E130" s="54" t="str">
        <f t="shared" si="9"/>
        <v>SMART SHARE 500-4</v>
      </c>
      <c r="F130" s="55" t="s">
        <v>283</v>
      </c>
      <c r="G130" s="56" t="s">
        <v>70</v>
      </c>
      <c r="H130" s="63" t="s">
        <v>260</v>
      </c>
      <c r="I130" s="57" t="s">
        <v>261</v>
      </c>
      <c r="J130" s="9"/>
    </row>
    <row r="131" spans="2:10" x14ac:dyDescent="0.35">
      <c r="B131" s="26"/>
      <c r="C131" s="26"/>
      <c r="D131" s="26"/>
      <c r="E131" s="26"/>
      <c r="F131" s="32"/>
      <c r="G131" s="27"/>
      <c r="I131" s="6"/>
    </row>
    <row r="132" spans="2:10" ht="31.5" customHeight="1" thickBot="1" x14ac:dyDescent="0.4">
      <c r="B132" s="129" t="s">
        <v>290</v>
      </c>
      <c r="C132" s="10"/>
      <c r="D132" s="129"/>
      <c r="E132" s="129"/>
      <c r="F132" s="29"/>
      <c r="G132" s="12"/>
      <c r="H132" s="11"/>
    </row>
    <row r="133" spans="2:10" ht="35.25" customHeight="1" thickBot="1" x14ac:dyDescent="0.4">
      <c r="B133" s="34" t="s">
        <v>60</v>
      </c>
      <c r="C133" s="34" t="s">
        <v>61</v>
      </c>
      <c r="D133" s="34" t="s">
        <v>62</v>
      </c>
      <c r="E133" s="34"/>
      <c r="F133" s="35" t="s">
        <v>63</v>
      </c>
      <c r="G133" s="34" t="s">
        <v>64</v>
      </c>
      <c r="H133" s="34" t="s">
        <v>65</v>
      </c>
      <c r="I133" s="34" t="s">
        <v>66</v>
      </c>
    </row>
    <row r="134" spans="2:10" s="13" customFormat="1" ht="35.25" customHeight="1" x14ac:dyDescent="0.35">
      <c r="B134" s="53" t="s">
        <v>284</v>
      </c>
      <c r="C134" s="53" t="s">
        <v>291</v>
      </c>
      <c r="D134" s="54">
        <v>1.5</v>
      </c>
      <c r="E134" s="54" t="str">
        <f t="shared" ref="E134" si="10">B134&amp;"-"&amp;D134</f>
        <v>M2M 1GB-1,5</v>
      </c>
      <c r="F134" s="55" t="s">
        <v>292</v>
      </c>
      <c r="G134" s="56" t="s">
        <v>70</v>
      </c>
      <c r="H134" s="63" t="s">
        <v>365</v>
      </c>
      <c r="I134" s="57" t="s">
        <v>366</v>
      </c>
      <c r="J134" s="9"/>
    </row>
    <row r="135" spans="2:10" s="13" customFormat="1" ht="35.25" customHeight="1" x14ac:dyDescent="0.35">
      <c r="B135" s="53" t="s">
        <v>284</v>
      </c>
      <c r="C135" s="53" t="s">
        <v>291</v>
      </c>
      <c r="D135" s="54">
        <v>1.8</v>
      </c>
      <c r="E135" s="54" t="str">
        <f t="shared" ref="E135" si="11">B135&amp;"-"&amp;D135</f>
        <v>M2M 1GB-1,8</v>
      </c>
      <c r="F135" s="55" t="s">
        <v>293</v>
      </c>
      <c r="G135" s="56" t="s">
        <v>70</v>
      </c>
      <c r="H135" s="63" t="s">
        <v>367</v>
      </c>
      <c r="I135" s="57" t="s">
        <v>368</v>
      </c>
      <c r="J135" s="9"/>
    </row>
    <row r="136" spans="2:10" s="13" customFormat="1" ht="35.25" customHeight="1" x14ac:dyDescent="0.35">
      <c r="B136" s="53" t="s">
        <v>284</v>
      </c>
      <c r="C136" s="53" t="s">
        <v>291</v>
      </c>
      <c r="D136" s="54">
        <v>1</v>
      </c>
      <c r="E136" s="54" t="str">
        <f t="shared" ref="E136" si="12">B136&amp;"-"&amp;D136</f>
        <v>M2M 1GB-1</v>
      </c>
      <c r="F136" s="55" t="s">
        <v>361</v>
      </c>
      <c r="G136" s="56" t="s">
        <v>70</v>
      </c>
      <c r="H136" s="63" t="s">
        <v>362</v>
      </c>
      <c r="I136" s="57" t="s">
        <v>363</v>
      </c>
      <c r="J136" s="9"/>
    </row>
    <row r="138" spans="2:10" ht="31.5" customHeight="1" thickBot="1" x14ac:dyDescent="0.4">
      <c r="B138" s="129" t="s">
        <v>294</v>
      </c>
      <c r="C138" s="10"/>
      <c r="D138" s="129"/>
      <c r="E138" s="129"/>
      <c r="F138" s="29"/>
      <c r="G138" s="12"/>
      <c r="H138" s="11"/>
    </row>
    <row r="139" spans="2:10" ht="35.25" customHeight="1" thickBot="1" x14ac:dyDescent="0.4">
      <c r="B139" s="34" t="s">
        <v>60</v>
      </c>
      <c r="C139" s="34" t="s">
        <v>61</v>
      </c>
      <c r="D139" s="34" t="s">
        <v>62</v>
      </c>
      <c r="E139" s="34"/>
      <c r="F139" s="35" t="s">
        <v>63</v>
      </c>
      <c r="G139" s="34" t="s">
        <v>64</v>
      </c>
      <c r="H139" s="34" t="s">
        <v>65</v>
      </c>
      <c r="I139" s="34" t="s">
        <v>66</v>
      </c>
    </row>
    <row r="140" spans="2:10" s="13" customFormat="1" ht="35.25" customHeight="1" x14ac:dyDescent="0.35">
      <c r="B140" s="53" t="s">
        <v>285</v>
      </c>
      <c r="C140" s="53" t="s">
        <v>295</v>
      </c>
      <c r="D140" s="54">
        <v>3</v>
      </c>
      <c r="E140" s="54" t="str">
        <f t="shared" ref="E140:E141" si="13">B140&amp;"-"&amp;D140</f>
        <v>M2M 5GB-3</v>
      </c>
      <c r="F140" s="55" t="s">
        <v>296</v>
      </c>
      <c r="G140" s="56" t="s">
        <v>70</v>
      </c>
      <c r="H140" s="63" t="s">
        <v>297</v>
      </c>
      <c r="I140" s="57" t="s">
        <v>298</v>
      </c>
      <c r="J140" s="90"/>
    </row>
    <row r="141" spans="2:10" s="13" customFormat="1" ht="35.25" customHeight="1" x14ac:dyDescent="0.35">
      <c r="B141" s="53" t="s">
        <v>285</v>
      </c>
      <c r="C141" s="53" t="s">
        <v>295</v>
      </c>
      <c r="D141" s="54">
        <v>3.5</v>
      </c>
      <c r="E141" s="54" t="str">
        <f t="shared" si="13"/>
        <v>M2M 5GB-3,5</v>
      </c>
      <c r="F141" s="55" t="s">
        <v>299</v>
      </c>
      <c r="G141" s="56" t="s">
        <v>70</v>
      </c>
      <c r="H141" s="63" t="s">
        <v>300</v>
      </c>
      <c r="I141" s="57" t="s">
        <v>301</v>
      </c>
      <c r="J141" s="90"/>
    </row>
    <row r="142" spans="2:10" s="13" customFormat="1" ht="35.25" customHeight="1" x14ac:dyDescent="0.35">
      <c r="B142" s="53" t="s">
        <v>285</v>
      </c>
      <c r="C142" s="53" t="s">
        <v>295</v>
      </c>
      <c r="D142" s="54">
        <v>1</v>
      </c>
      <c r="E142" s="54" t="str">
        <f t="shared" ref="E142" si="14">B142&amp;"-"&amp;D142</f>
        <v>M2M 5GB-1</v>
      </c>
      <c r="F142" s="55" t="s">
        <v>369</v>
      </c>
      <c r="G142" s="56" t="s">
        <v>70</v>
      </c>
      <c r="H142" s="63" t="s">
        <v>370</v>
      </c>
      <c r="I142" s="57" t="s">
        <v>371</v>
      </c>
      <c r="J142" s="90"/>
    </row>
    <row r="143" spans="2:10" x14ac:dyDescent="0.35">
      <c r="B143" s="26"/>
      <c r="C143" s="26"/>
      <c r="D143" s="26"/>
      <c r="E143" s="26"/>
      <c r="F143" s="32"/>
      <c r="G143" s="27"/>
      <c r="I143" s="6"/>
    </row>
    <row r="144" spans="2:10" ht="31.5" customHeight="1" thickBot="1" x14ac:dyDescent="0.4">
      <c r="B144" s="129" t="s">
        <v>302</v>
      </c>
      <c r="C144" s="10"/>
      <c r="D144" s="129"/>
      <c r="E144" s="129"/>
      <c r="F144" s="29"/>
      <c r="G144" s="12"/>
      <c r="H144" s="11"/>
    </row>
    <row r="145" spans="2:10" ht="35.25" customHeight="1" thickBot="1" x14ac:dyDescent="0.4">
      <c r="B145" s="34" t="s">
        <v>60</v>
      </c>
      <c r="C145" s="34" t="s">
        <v>61</v>
      </c>
      <c r="D145" s="34" t="s">
        <v>62</v>
      </c>
      <c r="E145" s="34"/>
      <c r="F145" s="35" t="s">
        <v>63</v>
      </c>
      <c r="G145" s="34" t="s">
        <v>64</v>
      </c>
      <c r="H145" s="34" t="s">
        <v>65</v>
      </c>
      <c r="I145" s="34" t="s">
        <v>66</v>
      </c>
    </row>
    <row r="146" spans="2:10" s="13" customFormat="1" ht="35.25" customHeight="1" x14ac:dyDescent="0.35">
      <c r="B146" s="53" t="s">
        <v>286</v>
      </c>
      <c r="C146" s="53" t="s">
        <v>303</v>
      </c>
      <c r="D146" s="54">
        <v>5.5</v>
      </c>
      <c r="E146" s="54" t="str">
        <f t="shared" ref="E146:E148" si="15">B146&amp;"-"&amp;D146</f>
        <v>M2M 10GB-5,5</v>
      </c>
      <c r="F146" s="55" t="s">
        <v>304</v>
      </c>
      <c r="G146" s="56" t="s">
        <v>70</v>
      </c>
      <c r="H146" s="63" t="s">
        <v>305</v>
      </c>
      <c r="I146" s="57" t="s">
        <v>306</v>
      </c>
      <c r="J146" s="90"/>
    </row>
    <row r="147" spans="2:10" s="13" customFormat="1" ht="35.25" customHeight="1" x14ac:dyDescent="0.35">
      <c r="B147" s="53" t="s">
        <v>286</v>
      </c>
      <c r="C147" s="53" t="s">
        <v>303</v>
      </c>
      <c r="D147" s="54">
        <v>4.5</v>
      </c>
      <c r="E147" s="54" t="str">
        <f t="shared" si="15"/>
        <v>M2M 10GB-4,5</v>
      </c>
      <c r="F147" s="55" t="s">
        <v>307</v>
      </c>
      <c r="G147" s="56" t="s">
        <v>70</v>
      </c>
      <c r="H147" s="63" t="s">
        <v>308</v>
      </c>
      <c r="I147" s="57" t="s">
        <v>309</v>
      </c>
      <c r="J147" s="90"/>
    </row>
    <row r="148" spans="2:10" s="13" customFormat="1" ht="35.25" customHeight="1" x14ac:dyDescent="0.35">
      <c r="B148" s="53" t="s">
        <v>286</v>
      </c>
      <c r="C148" s="53" t="s">
        <v>303</v>
      </c>
      <c r="D148" s="54">
        <v>3</v>
      </c>
      <c r="E148" s="54" t="str">
        <f t="shared" si="15"/>
        <v>M2M 10GB-3</v>
      </c>
      <c r="F148" s="55" t="s">
        <v>372</v>
      </c>
      <c r="G148" s="56" t="s">
        <v>70</v>
      </c>
      <c r="H148" s="63" t="s">
        <v>373</v>
      </c>
      <c r="I148" s="57" t="s">
        <v>374</v>
      </c>
      <c r="J148" s="90"/>
    </row>
    <row r="149" spans="2:10" x14ac:dyDescent="0.35">
      <c r="B149" s="26"/>
      <c r="C149" s="26"/>
      <c r="D149" s="26"/>
      <c r="E149" s="26"/>
      <c r="F149" s="32"/>
      <c r="G149" s="27"/>
      <c r="I149" s="6"/>
    </row>
    <row r="150" spans="2:10" ht="31.5" customHeight="1" thickBot="1" x14ac:dyDescent="0.4">
      <c r="B150" s="129" t="s">
        <v>315</v>
      </c>
      <c r="C150" s="10"/>
      <c r="D150" s="129"/>
      <c r="E150" s="129"/>
      <c r="F150" s="29"/>
      <c r="G150" s="12"/>
      <c r="H150" s="11"/>
    </row>
    <row r="151" spans="2:10" ht="35.25" customHeight="1" thickBot="1" x14ac:dyDescent="0.4">
      <c r="B151" s="34" t="s">
        <v>60</v>
      </c>
      <c r="C151" s="34" t="s">
        <v>61</v>
      </c>
      <c r="D151" s="34" t="s">
        <v>62</v>
      </c>
      <c r="E151" s="34"/>
      <c r="F151" s="35" t="s">
        <v>63</v>
      </c>
      <c r="G151" s="34" t="s">
        <v>64</v>
      </c>
      <c r="H151" s="34" t="s">
        <v>65</v>
      </c>
      <c r="I151" s="34" t="s">
        <v>66</v>
      </c>
    </row>
    <row r="152" spans="2:10" s="13" customFormat="1" ht="35.25" customHeight="1" x14ac:dyDescent="0.35">
      <c r="B152" s="53" t="s">
        <v>287</v>
      </c>
      <c r="C152" s="53" t="s">
        <v>316</v>
      </c>
      <c r="D152" s="54">
        <v>10.5</v>
      </c>
      <c r="E152" s="54" t="str">
        <f t="shared" ref="E152:E153" si="16">B152&amp;"-"&amp;D152</f>
        <v>M2M 100GB-10,5</v>
      </c>
      <c r="F152" s="55" t="s">
        <v>317</v>
      </c>
      <c r="G152" s="56" t="s">
        <v>70</v>
      </c>
      <c r="H152" s="63" t="s">
        <v>318</v>
      </c>
      <c r="I152" s="57" t="s">
        <v>319</v>
      </c>
      <c r="J152" s="90"/>
    </row>
    <row r="153" spans="2:10" s="13" customFormat="1" ht="35.25" customHeight="1" x14ac:dyDescent="0.35">
      <c r="B153" s="53" t="s">
        <v>287</v>
      </c>
      <c r="C153" s="53" t="s">
        <v>316</v>
      </c>
      <c r="D153" s="54">
        <v>8</v>
      </c>
      <c r="E153" s="54" t="str">
        <f t="shared" si="16"/>
        <v>M2M 100GB-8</v>
      </c>
      <c r="F153" s="55" t="s">
        <v>375</v>
      </c>
      <c r="G153" s="56" t="s">
        <v>70</v>
      </c>
      <c r="H153" s="63" t="s">
        <v>376</v>
      </c>
      <c r="I153" s="57" t="s">
        <v>377</v>
      </c>
      <c r="J153" s="90"/>
    </row>
    <row r="154" spans="2:10" x14ac:dyDescent="0.35">
      <c r="B154" s="26"/>
      <c r="C154" s="26"/>
      <c r="D154" s="26"/>
      <c r="E154" s="26"/>
      <c r="F154" s="32"/>
      <c r="G154" s="27"/>
      <c r="I154" s="6"/>
    </row>
    <row r="155" spans="2:10" ht="31.5" customHeight="1" thickBot="1" x14ac:dyDescent="0.4">
      <c r="B155" s="129" t="s">
        <v>310</v>
      </c>
      <c r="C155" s="10"/>
      <c r="D155" s="129"/>
      <c r="E155" s="129"/>
      <c r="F155" s="29"/>
      <c r="G155" s="12"/>
      <c r="H155" s="11"/>
    </row>
    <row r="156" spans="2:10" ht="35.25" customHeight="1" thickBot="1" x14ac:dyDescent="0.4">
      <c r="B156" s="34" t="s">
        <v>60</v>
      </c>
      <c r="C156" s="34" t="s">
        <v>61</v>
      </c>
      <c r="D156" s="34" t="s">
        <v>62</v>
      </c>
      <c r="E156" s="34"/>
      <c r="F156" s="35" t="s">
        <v>63</v>
      </c>
      <c r="G156" s="34" t="s">
        <v>64</v>
      </c>
      <c r="H156" s="34" t="s">
        <v>65</v>
      </c>
      <c r="I156" s="34" t="s">
        <v>66</v>
      </c>
    </row>
    <row r="157" spans="2:10" s="13" customFormat="1" ht="35.25" customHeight="1" x14ac:dyDescent="0.35">
      <c r="B157" s="53" t="s">
        <v>288</v>
      </c>
      <c r="C157" s="53" t="s">
        <v>311</v>
      </c>
      <c r="D157" s="54">
        <v>13.5</v>
      </c>
      <c r="E157" s="54" t="str">
        <f t="shared" ref="E157" si="17">B157&amp;"-"&amp;D157</f>
        <v>M2M 300GB-13,5</v>
      </c>
      <c r="F157" s="55" t="s">
        <v>312</v>
      </c>
      <c r="G157" s="56" t="s">
        <v>70</v>
      </c>
      <c r="H157" s="63" t="s">
        <v>313</v>
      </c>
      <c r="I157" s="57" t="s">
        <v>314</v>
      </c>
      <c r="J157" s="90"/>
    </row>
    <row r="158" spans="2:10" x14ac:dyDescent="0.35">
      <c r="B158" s="26"/>
      <c r="C158" s="26"/>
      <c r="D158" s="26"/>
      <c r="E158" s="26"/>
      <c r="F158" s="32"/>
      <c r="G158" s="27"/>
      <c r="I158" s="6"/>
    </row>
    <row r="159" spans="2:10" ht="31.5" customHeight="1" thickBot="1" x14ac:dyDescent="0.4">
      <c r="B159" s="129" t="s">
        <v>320</v>
      </c>
      <c r="C159" s="10"/>
      <c r="D159" s="129"/>
      <c r="E159" s="129"/>
      <c r="F159" s="29"/>
      <c r="G159" s="12"/>
      <c r="H159" s="11"/>
    </row>
    <row r="160" spans="2:10" ht="35.25" customHeight="1" thickBot="1" x14ac:dyDescent="0.4">
      <c r="B160" s="34" t="s">
        <v>60</v>
      </c>
      <c r="C160" s="34" t="s">
        <v>61</v>
      </c>
      <c r="D160" s="34" t="s">
        <v>62</v>
      </c>
      <c r="E160" s="34"/>
      <c r="F160" s="35" t="s">
        <v>63</v>
      </c>
      <c r="G160" s="34" t="s">
        <v>64</v>
      </c>
      <c r="H160" s="34" t="s">
        <v>65</v>
      </c>
      <c r="I160" s="34" t="s">
        <v>66</v>
      </c>
    </row>
    <row r="161" spans="2:10" s="13" customFormat="1" ht="35.25" customHeight="1" x14ac:dyDescent="0.35">
      <c r="B161" s="53" t="s">
        <v>289</v>
      </c>
      <c r="C161" s="53" t="s">
        <v>321</v>
      </c>
      <c r="D161" s="54">
        <v>16</v>
      </c>
      <c r="E161" s="54" t="str">
        <f t="shared" ref="E161" si="18">B161&amp;"-"&amp;D161</f>
        <v>M2M 500GB-16</v>
      </c>
      <c r="F161" s="55" t="s">
        <v>322</v>
      </c>
      <c r="G161" s="56" t="s">
        <v>70</v>
      </c>
      <c r="H161" s="63" t="s">
        <v>323</v>
      </c>
      <c r="I161" s="57" t="s">
        <v>324</v>
      </c>
      <c r="J161" s="90"/>
    </row>
    <row r="162" spans="2:10" s="13" customFormat="1" ht="35.25" customHeight="1" x14ac:dyDescent="0.35">
      <c r="B162" s="53" t="s">
        <v>289</v>
      </c>
      <c r="C162" s="53" t="s">
        <v>321</v>
      </c>
      <c r="D162" s="54">
        <v>14</v>
      </c>
      <c r="E162" s="54" t="str">
        <f t="shared" ref="E162" si="19">B162&amp;"-"&amp;D162</f>
        <v>M2M 500GB-14</v>
      </c>
      <c r="F162" s="55" t="s">
        <v>378</v>
      </c>
      <c r="G162" s="56" t="s">
        <v>70</v>
      </c>
      <c r="H162" s="63" t="s">
        <v>379</v>
      </c>
      <c r="I162" s="57" t="s">
        <v>380</v>
      </c>
      <c r="J162" s="90"/>
    </row>
    <row r="163" spans="2:10" x14ac:dyDescent="0.35">
      <c r="B163" s="26"/>
      <c r="C163" s="26"/>
      <c r="D163" s="26"/>
      <c r="E163" s="26"/>
      <c r="F163" s="32"/>
      <c r="G163" s="27"/>
      <c r="I163" s="6"/>
    </row>
    <row r="164" spans="2:10" ht="31.5" customHeight="1" thickBot="1" x14ac:dyDescent="0.4">
      <c r="B164" s="129" t="s">
        <v>470</v>
      </c>
      <c r="C164" s="10"/>
      <c r="D164" s="129"/>
      <c r="E164" s="129"/>
      <c r="F164" s="29"/>
      <c r="G164" s="12"/>
      <c r="H164" s="11"/>
    </row>
    <row r="165" spans="2:10" ht="35.25" customHeight="1" thickBot="1" x14ac:dyDescent="0.4">
      <c r="B165" s="34" t="s">
        <v>60</v>
      </c>
      <c r="C165" s="34" t="s">
        <v>61</v>
      </c>
      <c r="D165" s="34" t="s">
        <v>62</v>
      </c>
      <c r="E165" s="34"/>
      <c r="F165" s="35" t="s">
        <v>63</v>
      </c>
      <c r="G165" s="34" t="s">
        <v>64</v>
      </c>
      <c r="H165" s="34" t="s">
        <v>65</v>
      </c>
      <c r="I165" s="34" t="s">
        <v>66</v>
      </c>
    </row>
    <row r="166" spans="2:10" s="13" customFormat="1" ht="35.25" customHeight="1" x14ac:dyDescent="0.35">
      <c r="B166" s="53" t="s">
        <v>471</v>
      </c>
      <c r="C166" s="53" t="s">
        <v>264</v>
      </c>
      <c r="D166" s="54">
        <v>3</v>
      </c>
      <c r="E166" s="54" t="str">
        <f t="shared" ref="E166" si="20">B166&amp;"-"&amp;D166</f>
        <v>Leonardo Mega 6000 -3</v>
      </c>
      <c r="F166" s="55" t="s">
        <v>350</v>
      </c>
      <c r="G166" s="56" t="s">
        <v>70</v>
      </c>
      <c r="H166" s="63" t="s">
        <v>351</v>
      </c>
      <c r="I166" s="57" t="s">
        <v>352</v>
      </c>
      <c r="J166" s="90"/>
    </row>
    <row r="167" spans="2:10" ht="15" thickBot="1" x14ac:dyDescent="0.4">
      <c r="B167" s="26"/>
      <c r="C167" s="26"/>
      <c r="D167" s="26"/>
      <c r="E167" s="26"/>
      <c r="F167" s="32"/>
      <c r="G167" s="27"/>
      <c r="I167" s="6"/>
    </row>
    <row r="168" spans="2:10" customFormat="1" ht="33.5" thickBot="1" x14ac:dyDescent="0.4">
      <c r="B168" s="41" t="s">
        <v>170</v>
      </c>
      <c r="C168" s="42" t="s">
        <v>171</v>
      </c>
      <c r="D168" s="42" t="s">
        <v>62</v>
      </c>
      <c r="E168" s="42"/>
      <c r="F168" s="42" t="s">
        <v>63</v>
      </c>
      <c r="G168" s="43" t="s">
        <v>172</v>
      </c>
      <c r="H168" s="42" t="s">
        <v>65</v>
      </c>
      <c r="I168" s="44" t="s">
        <v>66</v>
      </c>
      <c r="J168" s="9"/>
    </row>
    <row r="169" spans="2:10" s="13" customFormat="1" ht="35.25" customHeight="1" x14ac:dyDescent="0.35">
      <c r="B169" s="58" t="s">
        <v>67</v>
      </c>
      <c r="C169" s="58" t="s">
        <v>68</v>
      </c>
      <c r="D169" s="59">
        <v>0</v>
      </c>
      <c r="E169" s="59" t="str">
        <f>B169&amp;"-"&amp;D169</f>
        <v>SUPER Unlimited Plus-0</v>
      </c>
      <c r="F169" s="60" t="s">
        <v>177</v>
      </c>
      <c r="G169" s="61" t="s">
        <v>178</v>
      </c>
      <c r="H169" s="61" t="s">
        <v>179</v>
      </c>
      <c r="I169" s="62" t="s">
        <v>180</v>
      </c>
      <c r="J169" s="9"/>
    </row>
    <row r="170" spans="2:10" s="13" customFormat="1" ht="35.25" customHeight="1" x14ac:dyDescent="0.35">
      <c r="B170" s="53" t="s">
        <v>77</v>
      </c>
      <c r="C170" s="53" t="s">
        <v>78</v>
      </c>
      <c r="D170" s="54">
        <v>0</v>
      </c>
      <c r="E170" s="54" t="str">
        <f t="shared" ref="E170:E180" si="21">B170&amp;"-"&amp;D170</f>
        <v>SUPER Unlimited-0</v>
      </c>
      <c r="F170" s="55" t="s">
        <v>177</v>
      </c>
      <c r="G170" s="56" t="s">
        <v>178</v>
      </c>
      <c r="H170" s="56" t="s">
        <v>179</v>
      </c>
      <c r="I170" s="57" t="s">
        <v>180</v>
      </c>
      <c r="J170" s="9"/>
    </row>
    <row r="171" spans="2:10" s="13" customFormat="1" ht="35.25" customHeight="1" x14ac:dyDescent="0.35">
      <c r="B171" s="53" t="s">
        <v>144</v>
      </c>
      <c r="C171" s="53" t="s">
        <v>93</v>
      </c>
      <c r="D171" s="54">
        <v>0</v>
      </c>
      <c r="E171" s="54" t="str">
        <f t="shared" si="21"/>
        <v>Super Smart 100-0</v>
      </c>
      <c r="F171" s="55" t="s">
        <v>177</v>
      </c>
      <c r="G171" s="56" t="s">
        <v>178</v>
      </c>
      <c r="H171" s="56" t="s">
        <v>179</v>
      </c>
      <c r="I171" s="57" t="s">
        <v>180</v>
      </c>
      <c r="J171" s="9"/>
    </row>
    <row r="172" spans="2:10" s="13" customFormat="1" ht="35.25" customHeight="1" x14ac:dyDescent="0.35">
      <c r="B172" s="53" t="s">
        <v>104</v>
      </c>
      <c r="C172" s="53" t="s">
        <v>173</v>
      </c>
      <c r="D172" s="54">
        <v>0</v>
      </c>
      <c r="E172" s="54" t="str">
        <f t="shared" si="21"/>
        <v>SUPER Smart-0</v>
      </c>
      <c r="F172" s="55" t="s">
        <v>177</v>
      </c>
      <c r="G172" s="56" t="s">
        <v>178</v>
      </c>
      <c r="H172" s="56" t="s">
        <v>179</v>
      </c>
      <c r="I172" s="57" t="s">
        <v>180</v>
      </c>
      <c r="J172" s="9"/>
    </row>
    <row r="173" spans="2:10" s="13" customFormat="1" ht="35.25" customHeight="1" x14ac:dyDescent="0.35">
      <c r="B173" s="160" t="s">
        <v>385</v>
      </c>
      <c r="C173" s="160" t="s">
        <v>68</v>
      </c>
      <c r="D173" s="161">
        <v>0</v>
      </c>
      <c r="E173" s="161" t="str">
        <f t="shared" si="21"/>
        <v>SUPER Unlimited MONDO-0</v>
      </c>
      <c r="F173" s="162" t="s">
        <v>474</v>
      </c>
      <c r="G173" s="163" t="s">
        <v>178</v>
      </c>
      <c r="H173" s="163" t="s">
        <v>475</v>
      </c>
      <c r="I173" s="164" t="s">
        <v>476</v>
      </c>
      <c r="J173" s="133" t="s">
        <v>364</v>
      </c>
    </row>
    <row r="174" spans="2:10" s="13" customFormat="1" ht="35.25" customHeight="1" x14ac:dyDescent="0.35">
      <c r="B174" s="160" t="s">
        <v>382</v>
      </c>
      <c r="C174" s="160" t="s">
        <v>78</v>
      </c>
      <c r="D174" s="161">
        <v>0</v>
      </c>
      <c r="E174" s="161" t="str">
        <f t="shared" si="21"/>
        <v>SUPER Unlimited PRO-0</v>
      </c>
      <c r="F174" s="162" t="s">
        <v>474</v>
      </c>
      <c r="G174" s="163" t="s">
        <v>178</v>
      </c>
      <c r="H174" s="163" t="s">
        <v>475</v>
      </c>
      <c r="I174" s="164" t="s">
        <v>476</v>
      </c>
      <c r="J174" s="133" t="s">
        <v>364</v>
      </c>
    </row>
    <row r="175" spans="2:10" s="13" customFormat="1" ht="35.25" customHeight="1" x14ac:dyDescent="0.35">
      <c r="B175" s="160" t="s">
        <v>383</v>
      </c>
      <c r="C175" s="160" t="s">
        <v>93</v>
      </c>
      <c r="D175" s="161">
        <v>0</v>
      </c>
      <c r="E175" s="161" t="str">
        <f t="shared" si="21"/>
        <v>SUPER Smart 200-0</v>
      </c>
      <c r="F175" s="162" t="s">
        <v>474</v>
      </c>
      <c r="G175" s="163" t="s">
        <v>178</v>
      </c>
      <c r="H175" s="163" t="s">
        <v>475</v>
      </c>
      <c r="I175" s="164" t="s">
        <v>476</v>
      </c>
      <c r="J175" s="133" t="s">
        <v>364</v>
      </c>
    </row>
    <row r="176" spans="2:10" s="13" customFormat="1" ht="35.25" customHeight="1" x14ac:dyDescent="0.35">
      <c r="B176" s="160" t="s">
        <v>384</v>
      </c>
      <c r="C176" s="160" t="s">
        <v>173</v>
      </c>
      <c r="D176" s="161">
        <v>0</v>
      </c>
      <c r="E176" s="161" t="str">
        <f t="shared" si="21"/>
        <v>SUPER Smart 20-0</v>
      </c>
      <c r="F176" s="162" t="s">
        <v>474</v>
      </c>
      <c r="G176" s="163" t="s">
        <v>178</v>
      </c>
      <c r="H176" s="163" t="s">
        <v>475</v>
      </c>
      <c r="I176" s="164" t="s">
        <v>476</v>
      </c>
      <c r="J176" s="133" t="s">
        <v>364</v>
      </c>
    </row>
    <row r="177" spans="2:10" s="13" customFormat="1" ht="35.25" customHeight="1" x14ac:dyDescent="0.35">
      <c r="B177" s="53" t="s">
        <v>145</v>
      </c>
      <c r="C177" s="53" t="s">
        <v>174</v>
      </c>
      <c r="D177" s="54">
        <v>0</v>
      </c>
      <c r="E177" s="54" t="str">
        <f t="shared" si="21"/>
        <v>SUPER Giga Unlimited-0</v>
      </c>
      <c r="F177" s="55" t="s">
        <v>177</v>
      </c>
      <c r="G177" s="56" t="s">
        <v>178</v>
      </c>
      <c r="H177" s="132" t="s">
        <v>183</v>
      </c>
      <c r="I177" s="57" t="s">
        <v>181</v>
      </c>
      <c r="J177" s="183"/>
    </row>
    <row r="178" spans="2:10" s="13" customFormat="1" ht="35.25" customHeight="1" x14ac:dyDescent="0.35">
      <c r="B178" s="53" t="s">
        <v>175</v>
      </c>
      <c r="C178" s="53" t="s">
        <v>130</v>
      </c>
      <c r="D178" s="54">
        <v>0</v>
      </c>
      <c r="E178" s="54" t="str">
        <f t="shared" si="21"/>
        <v>SUPER Giga 70-0</v>
      </c>
      <c r="F178" s="55" t="s">
        <v>177</v>
      </c>
      <c r="G178" s="56" t="s">
        <v>178</v>
      </c>
      <c r="H178" s="132" t="s">
        <v>183</v>
      </c>
      <c r="I178" s="57" t="s">
        <v>181</v>
      </c>
      <c r="J178" s="183"/>
    </row>
    <row r="179" spans="2:10" s="13" customFormat="1" ht="35.25" customHeight="1" x14ac:dyDescent="0.35">
      <c r="B179" s="53" t="s">
        <v>176</v>
      </c>
      <c r="C179" s="53" t="s">
        <v>119</v>
      </c>
      <c r="D179" s="54">
        <v>0</v>
      </c>
      <c r="E179" s="54" t="str">
        <f t="shared" si="21"/>
        <v>SUPER Giga 30-0</v>
      </c>
      <c r="F179" s="55" t="s">
        <v>177</v>
      </c>
      <c r="G179" s="56" t="s">
        <v>178</v>
      </c>
      <c r="H179" s="132" t="s">
        <v>183</v>
      </c>
      <c r="I179" s="57" t="s">
        <v>181</v>
      </c>
      <c r="J179" s="183"/>
    </row>
    <row r="180" spans="2:10" s="45" customFormat="1" ht="35.25" customHeight="1" x14ac:dyDescent="0.35">
      <c r="B180" s="123" t="s">
        <v>40</v>
      </c>
      <c r="C180" s="123" t="s">
        <v>184</v>
      </c>
      <c r="D180" s="46">
        <v>0</v>
      </c>
      <c r="E180" s="46" t="str">
        <f t="shared" si="21"/>
        <v>M2M Full-0</v>
      </c>
      <c r="F180" s="130" t="s">
        <v>177</v>
      </c>
      <c r="G180" s="56" t="s">
        <v>178</v>
      </c>
      <c r="H180" s="56" t="s">
        <v>185</v>
      </c>
      <c r="I180" s="47" t="s">
        <v>186</v>
      </c>
      <c r="J180" s="124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aa0d6b1-f494-4add-aede-2941034ff36a}" enabled="1" method="Privileged" siteId="{86fb8e1f-02bd-4434-96ae-aa3ef467ada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DATI CLIENTE</vt:lpstr>
      <vt:lpstr>OFFERTA</vt:lpstr>
      <vt:lpstr>Foglio1</vt:lpstr>
      <vt:lpstr>PROMO MV SVO PER 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S.Carluccio@windtre.it</dc:creator>
  <cp:lastModifiedBy>Marasco Francesco</cp:lastModifiedBy>
  <dcterms:created xsi:type="dcterms:W3CDTF">2020-01-10T09:51:43Z</dcterms:created>
  <dcterms:modified xsi:type="dcterms:W3CDTF">2026-10-21T07:39:49Z</dcterms:modified>
</cp:coreProperties>
</file>