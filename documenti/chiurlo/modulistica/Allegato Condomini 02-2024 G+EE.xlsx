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F:\Agenti GeL\5. Contratto CONDOMINIALE\"/>
    </mc:Choice>
  </mc:AlternateContent>
  <xr:revisionPtr revIDLastSave="0" documentId="13_ncr:1_{242F1619-E1F1-4DB3-A38B-5798728D0ECE}" xr6:coauthVersionLast="47" xr6:coauthVersionMax="47" xr10:uidLastSave="{00000000-0000-0000-0000-000000000000}"/>
  <workbookProtection workbookAlgorithmName="SHA-512" workbookHashValue="m15SjCi7uOQbKLMkW7fXwm1rBb7aW7/oJU3cXCKBLbeHyuX2EwToFjQsR0rGbDGIdR5zsNreOehuRWNu9ZAWpg==" workbookSaltValue="gq672MB8mHC6MZGTXzPD9g==" workbookSpinCount="100000" lockStructure="1"/>
  <bookViews>
    <workbookView xWindow="28800" yWindow="600" windowWidth="29040" windowHeight="15600" xr2:uid="{00000000-000D-0000-FFFF-FFFF00000000}"/>
  </bookViews>
  <sheets>
    <sheet name="ALLEGATO 1 CONDOMINI" sheetId="1" r:id="rId1"/>
    <sheet name="Template G" sheetId="3" state="hidden" r:id="rId2"/>
    <sheet name="Template EE" sheetId="4" state="hidden" r:id="rId3"/>
    <sheet name="Zone Istat" sheetId="5" state="hidden" r:id="rId4"/>
    <sheet name="Venditori" sheetId="6" state="hidden" r:id="rId5"/>
    <sheet name="Menù a tendina" sheetId="7" state="hidden" r:id="rId6"/>
  </sheets>
  <externalReferences>
    <externalReference r:id="rId7"/>
  </externalReferences>
  <definedNames>
    <definedName name="_xlnm.Print_Area" localSheetId="0">'ALLEGATO 1 CONDOMINI'!$A$1:$P$41,'ALLEGATO 1 CONDOMINI'!$A$46:$S$87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J23" i="4" l="1"/>
  <c r="CU23" i="4"/>
  <c r="CT23" i="4"/>
  <c r="CS23" i="4"/>
  <c r="BT23" i="4"/>
  <c r="BS23" i="4"/>
  <c r="BP23" i="4"/>
  <c r="BO23" i="4"/>
  <c r="BN23" i="4"/>
  <c r="AV23" i="4" s="1"/>
  <c r="BK23" i="4"/>
  <c r="BJ23" i="4"/>
  <c r="BI23" i="4"/>
  <c r="AZ23" i="4"/>
  <c r="AL23" i="4"/>
  <c r="V23" i="4"/>
  <c r="U23" i="4"/>
  <c r="T23" i="4"/>
  <c r="S23" i="4"/>
  <c r="BR23" i="4" s="1"/>
  <c r="R23" i="4"/>
  <c r="BQ23" i="4" s="1"/>
  <c r="Q23" i="4"/>
  <c r="P23" i="4"/>
  <c r="L23" i="4"/>
  <c r="F23" i="4"/>
  <c r="D23" i="4"/>
  <c r="EJ23" i="4" s="1"/>
  <c r="EJ22" i="4"/>
  <c r="DJ22" i="4"/>
  <c r="CU22" i="4"/>
  <c r="CT22" i="4"/>
  <c r="CS22" i="4"/>
  <c r="BT22" i="4"/>
  <c r="BS22" i="4"/>
  <c r="BN22" i="4"/>
  <c r="AV22" i="4" s="1"/>
  <c r="BK22" i="4"/>
  <c r="BJ22" i="4"/>
  <c r="BI22" i="4"/>
  <c r="AZ22" i="4"/>
  <c r="AL22" i="4"/>
  <c r="AI22" i="4"/>
  <c r="V22" i="4"/>
  <c r="U22" i="4"/>
  <c r="T22" i="4"/>
  <c r="Q22" i="4"/>
  <c r="P22" i="4" s="1"/>
  <c r="BO22" i="4" s="1"/>
  <c r="L22" i="4"/>
  <c r="F22" i="4"/>
  <c r="D22" i="4"/>
  <c r="EJ21" i="4"/>
  <c r="DJ21" i="4"/>
  <c r="CU21" i="4"/>
  <c r="CT21" i="4"/>
  <c r="CS21" i="4"/>
  <c r="BT21" i="4"/>
  <c r="BS21" i="4"/>
  <c r="BN21" i="4"/>
  <c r="AV21" i="4" s="1"/>
  <c r="BK21" i="4"/>
  <c r="BJ21" i="4"/>
  <c r="BI21" i="4"/>
  <c r="AZ21" i="4"/>
  <c r="AL21" i="4"/>
  <c r="AI21" i="4"/>
  <c r="V21" i="4"/>
  <c r="U21" i="4"/>
  <c r="T21" i="4"/>
  <c r="Q21" i="4"/>
  <c r="BP21" i="4" s="1"/>
  <c r="P21" i="4"/>
  <c r="BO21" i="4" s="1"/>
  <c r="L21" i="4"/>
  <c r="F21" i="4"/>
  <c r="D21" i="4"/>
  <c r="DJ20" i="4"/>
  <c r="CU20" i="4"/>
  <c r="CT20" i="4"/>
  <c r="CS20" i="4"/>
  <c r="BT20" i="4"/>
  <c r="BS20" i="4"/>
  <c r="BR20" i="4"/>
  <c r="BP20" i="4"/>
  <c r="BN20" i="4"/>
  <c r="BK20" i="4"/>
  <c r="BJ20" i="4"/>
  <c r="BI20" i="4"/>
  <c r="AZ20" i="4"/>
  <c r="AV20" i="4"/>
  <c r="AL20" i="4"/>
  <c r="V20" i="4"/>
  <c r="U20" i="4"/>
  <c r="T20" i="4"/>
  <c r="S20" i="4"/>
  <c r="Q20" i="4"/>
  <c r="R20" i="4" s="1"/>
  <c r="BQ20" i="4" s="1"/>
  <c r="P20" i="4"/>
  <c r="BO20" i="4" s="1"/>
  <c r="L20" i="4"/>
  <c r="F20" i="4"/>
  <c r="D20" i="4"/>
  <c r="EJ20" i="4" s="1"/>
  <c r="DJ19" i="4"/>
  <c r="CU19" i="4"/>
  <c r="CT19" i="4"/>
  <c r="CS19" i="4"/>
  <c r="BT19" i="4"/>
  <c r="BS19" i="4"/>
  <c r="BP19" i="4"/>
  <c r="BN19" i="4"/>
  <c r="AV19" i="4" s="1"/>
  <c r="BK19" i="4"/>
  <c r="BJ19" i="4"/>
  <c r="BI19" i="4"/>
  <c r="AZ19" i="4"/>
  <c r="AL19" i="4"/>
  <c r="V19" i="4"/>
  <c r="U19" i="4"/>
  <c r="T19" i="4"/>
  <c r="S19" i="4"/>
  <c r="BR19" i="4" s="1"/>
  <c r="R19" i="4"/>
  <c r="BQ19" i="4" s="1"/>
  <c r="Q19" i="4"/>
  <c r="P19" i="4"/>
  <c r="BO19" i="4" s="1"/>
  <c r="L19" i="4"/>
  <c r="F19" i="4"/>
  <c r="D19" i="4"/>
  <c r="EJ19" i="4" s="1"/>
  <c r="DJ18" i="4"/>
  <c r="CU18" i="4"/>
  <c r="CT18" i="4"/>
  <c r="CS18" i="4"/>
  <c r="BT18" i="4"/>
  <c r="BS18" i="4"/>
  <c r="BN18" i="4"/>
  <c r="BK18" i="4"/>
  <c r="BJ18" i="4"/>
  <c r="BI18" i="4"/>
  <c r="AZ18" i="4"/>
  <c r="AV18" i="4"/>
  <c r="AL18" i="4"/>
  <c r="V18" i="4"/>
  <c r="U18" i="4"/>
  <c r="T18" i="4"/>
  <c r="S18" i="4"/>
  <c r="BR18" i="4" s="1"/>
  <c r="Q18" i="4"/>
  <c r="R18" i="4" s="1"/>
  <c r="BQ18" i="4" s="1"/>
  <c r="L18" i="4"/>
  <c r="F18" i="4"/>
  <c r="D18" i="4"/>
  <c r="EJ18" i="4" s="1"/>
  <c r="DJ17" i="4"/>
  <c r="CU17" i="4"/>
  <c r="CT17" i="4"/>
  <c r="CS17" i="4"/>
  <c r="BT17" i="4"/>
  <c r="BS17" i="4"/>
  <c r="BN17" i="4"/>
  <c r="AV17" i="4" s="1"/>
  <c r="BK17" i="4"/>
  <c r="BJ17" i="4"/>
  <c r="BI17" i="4"/>
  <c r="AZ17" i="4"/>
  <c r="AL17" i="4"/>
  <c r="V17" i="4"/>
  <c r="U17" i="4"/>
  <c r="T17" i="4"/>
  <c r="S17" i="4"/>
  <c r="BR17" i="4" s="1"/>
  <c r="R17" i="4"/>
  <c r="BQ17" i="4" s="1"/>
  <c r="Q17" i="4"/>
  <c r="BP17" i="4" s="1"/>
  <c r="P17" i="4"/>
  <c r="BO17" i="4" s="1"/>
  <c r="L17" i="4"/>
  <c r="F17" i="4"/>
  <c r="D17" i="4"/>
  <c r="EJ17" i="4" s="1"/>
  <c r="EJ16" i="4"/>
  <c r="DJ16" i="4"/>
  <c r="CU16" i="4"/>
  <c r="CT16" i="4"/>
  <c r="CS16" i="4"/>
  <c r="BT16" i="4"/>
  <c r="BS16" i="4"/>
  <c r="BN16" i="4"/>
  <c r="AV16" i="4" s="1"/>
  <c r="BK16" i="4"/>
  <c r="BJ16" i="4"/>
  <c r="BI16" i="4"/>
  <c r="AZ16" i="4"/>
  <c r="AL16" i="4"/>
  <c r="AI16" i="4"/>
  <c r="V16" i="4"/>
  <c r="U16" i="4"/>
  <c r="T16" i="4"/>
  <c r="Q16" i="4"/>
  <c r="P16" i="4" s="1"/>
  <c r="BO16" i="4" s="1"/>
  <c r="L16" i="4"/>
  <c r="F16" i="4"/>
  <c r="D16" i="4"/>
  <c r="EJ15" i="4"/>
  <c r="DJ15" i="4"/>
  <c r="CU15" i="4"/>
  <c r="CT15" i="4"/>
  <c r="CS15" i="4"/>
  <c r="BT15" i="4"/>
  <c r="BS15" i="4"/>
  <c r="BP15" i="4"/>
  <c r="BN15" i="4"/>
  <c r="AV15" i="4" s="1"/>
  <c r="BK15" i="4"/>
  <c r="BJ15" i="4"/>
  <c r="BI15" i="4"/>
  <c r="AZ15" i="4"/>
  <c r="AL15" i="4"/>
  <c r="AI15" i="4"/>
  <c r="V15" i="4"/>
  <c r="U15" i="4"/>
  <c r="T15" i="4"/>
  <c r="Q15" i="4"/>
  <c r="S15" i="4" s="1"/>
  <c r="BR15" i="4" s="1"/>
  <c r="P15" i="4"/>
  <c r="BO15" i="4" s="1"/>
  <c r="L15" i="4"/>
  <c r="F15" i="4"/>
  <c r="D15" i="4"/>
  <c r="DJ14" i="4"/>
  <c r="CU14" i="4"/>
  <c r="CT14" i="4"/>
  <c r="CS14" i="4"/>
  <c r="BT14" i="4"/>
  <c r="BS14" i="4"/>
  <c r="BP14" i="4"/>
  <c r="BN14" i="4"/>
  <c r="BK14" i="4"/>
  <c r="BJ14" i="4"/>
  <c r="BI14" i="4"/>
  <c r="AZ14" i="4"/>
  <c r="AV14" i="4"/>
  <c r="AL14" i="4"/>
  <c r="V14" i="4"/>
  <c r="U14" i="4"/>
  <c r="T14" i="4"/>
  <c r="S14" i="4"/>
  <c r="BR14" i="4" s="1"/>
  <c r="Q14" i="4"/>
  <c r="R14" i="4" s="1"/>
  <c r="BQ14" i="4" s="1"/>
  <c r="P14" i="4"/>
  <c r="BO14" i="4" s="1"/>
  <c r="L14" i="4"/>
  <c r="F14" i="4"/>
  <c r="D14" i="4"/>
  <c r="EJ14" i="4" s="1"/>
  <c r="DJ13" i="4"/>
  <c r="CU13" i="4"/>
  <c r="CT13" i="4"/>
  <c r="CS13" i="4"/>
  <c r="BT13" i="4"/>
  <c r="BS13" i="4"/>
  <c r="BP13" i="4"/>
  <c r="BO13" i="4"/>
  <c r="BN13" i="4"/>
  <c r="AV13" i="4" s="1"/>
  <c r="BK13" i="4"/>
  <c r="BJ13" i="4"/>
  <c r="BI13" i="4"/>
  <c r="AZ13" i="4"/>
  <c r="AL13" i="4"/>
  <c r="V13" i="4"/>
  <c r="U13" i="4"/>
  <c r="T13" i="4"/>
  <c r="S13" i="4"/>
  <c r="BR13" i="4" s="1"/>
  <c r="R13" i="4"/>
  <c r="BQ13" i="4" s="1"/>
  <c r="Q13" i="4"/>
  <c r="P13" i="4"/>
  <c r="L13" i="4"/>
  <c r="F13" i="4"/>
  <c r="D13" i="4"/>
  <c r="EJ13" i="4" s="1"/>
  <c r="DJ12" i="4"/>
  <c r="CU12" i="4"/>
  <c r="CT12" i="4"/>
  <c r="CS12" i="4"/>
  <c r="BT12" i="4"/>
  <c r="BS12" i="4"/>
  <c r="BN12" i="4"/>
  <c r="BK12" i="4"/>
  <c r="BJ12" i="4"/>
  <c r="BI12" i="4"/>
  <c r="AZ12" i="4"/>
  <c r="AV12" i="4"/>
  <c r="AL12" i="4"/>
  <c r="V12" i="4"/>
  <c r="U12" i="4"/>
  <c r="T12" i="4"/>
  <c r="S12" i="4"/>
  <c r="BR12" i="4" s="1"/>
  <c r="Q12" i="4"/>
  <c r="R12" i="4" s="1"/>
  <c r="BQ12" i="4" s="1"/>
  <c r="L12" i="4"/>
  <c r="F12" i="4"/>
  <c r="D12" i="4"/>
  <c r="EJ12" i="4" s="1"/>
  <c r="DJ11" i="4"/>
  <c r="CU11" i="4"/>
  <c r="CT11" i="4"/>
  <c r="CS11" i="4"/>
  <c r="BT11" i="4"/>
  <c r="BS11" i="4"/>
  <c r="BR11" i="4"/>
  <c r="BN11" i="4"/>
  <c r="AV11" i="4" s="1"/>
  <c r="BK11" i="4"/>
  <c r="BJ11" i="4"/>
  <c r="BI11" i="4"/>
  <c r="AZ11" i="4"/>
  <c r="AL11" i="4"/>
  <c r="V11" i="4"/>
  <c r="U11" i="4"/>
  <c r="T11" i="4"/>
  <c r="S11" i="4"/>
  <c r="R11" i="4"/>
  <c r="BQ11" i="4" s="1"/>
  <c r="Q11" i="4"/>
  <c r="BP11" i="4" s="1"/>
  <c r="P11" i="4"/>
  <c r="BO11" i="4" s="1"/>
  <c r="L11" i="4"/>
  <c r="F11" i="4"/>
  <c r="D11" i="4"/>
  <c r="EJ11" i="4" s="1"/>
  <c r="EJ10" i="4"/>
  <c r="DJ10" i="4"/>
  <c r="CU10" i="4"/>
  <c r="CT10" i="4"/>
  <c r="CS10" i="4"/>
  <c r="BT10" i="4"/>
  <c r="BS10" i="4"/>
  <c r="BN10" i="4"/>
  <c r="AV10" i="4" s="1"/>
  <c r="BK10" i="4"/>
  <c r="BJ10" i="4"/>
  <c r="BI10" i="4"/>
  <c r="AZ10" i="4"/>
  <c r="AL10" i="4"/>
  <c r="AI10" i="4"/>
  <c r="V10" i="4"/>
  <c r="U10" i="4"/>
  <c r="T10" i="4"/>
  <c r="Q10" i="4"/>
  <c r="P10" i="4" s="1"/>
  <c r="BO10" i="4" s="1"/>
  <c r="L10" i="4"/>
  <c r="F10" i="4"/>
  <c r="D10" i="4"/>
  <c r="EJ9" i="4"/>
  <c r="DJ9" i="4"/>
  <c r="CU9" i="4"/>
  <c r="CT9" i="4"/>
  <c r="CS9" i="4"/>
  <c r="BT9" i="4"/>
  <c r="BS9" i="4"/>
  <c r="BP9" i="4"/>
  <c r="BN9" i="4"/>
  <c r="AV9" i="4" s="1"/>
  <c r="BK9" i="4"/>
  <c r="BJ9" i="4"/>
  <c r="BI9" i="4"/>
  <c r="AZ9" i="4"/>
  <c r="AL9" i="4"/>
  <c r="AI9" i="4"/>
  <c r="V9" i="4"/>
  <c r="U9" i="4"/>
  <c r="T9" i="4"/>
  <c r="Q9" i="4"/>
  <c r="S9" i="4" s="1"/>
  <c r="BR9" i="4" s="1"/>
  <c r="P9" i="4"/>
  <c r="BO9" i="4" s="1"/>
  <c r="L9" i="4"/>
  <c r="F9" i="4"/>
  <c r="D9" i="4"/>
  <c r="DJ8" i="4"/>
  <c r="CU8" i="4"/>
  <c r="CT8" i="4"/>
  <c r="CS8" i="4"/>
  <c r="BT8" i="4"/>
  <c r="BS8" i="4"/>
  <c r="BP8" i="4"/>
  <c r="BO8" i="4"/>
  <c r="BN8" i="4"/>
  <c r="BK8" i="4"/>
  <c r="BJ8" i="4"/>
  <c r="BI8" i="4"/>
  <c r="AZ8" i="4"/>
  <c r="AV8" i="4"/>
  <c r="AL8" i="4"/>
  <c r="V8" i="4"/>
  <c r="U8" i="4"/>
  <c r="T8" i="4"/>
  <c r="S8" i="4"/>
  <c r="BR8" i="4" s="1"/>
  <c r="Q8" i="4"/>
  <c r="R8" i="4" s="1"/>
  <c r="BQ8" i="4" s="1"/>
  <c r="P8" i="4"/>
  <c r="L8" i="4"/>
  <c r="F8" i="4"/>
  <c r="D8" i="4"/>
  <c r="EJ8" i="4" s="1"/>
  <c r="DJ7" i="4"/>
  <c r="CU7" i="4"/>
  <c r="CT7" i="4"/>
  <c r="CS7" i="4"/>
  <c r="BT7" i="4"/>
  <c r="BS7" i="4"/>
  <c r="BP7" i="4"/>
  <c r="BO7" i="4"/>
  <c r="BN7" i="4"/>
  <c r="AV7" i="4" s="1"/>
  <c r="BK7" i="4"/>
  <c r="BJ7" i="4"/>
  <c r="BI7" i="4"/>
  <c r="AZ7" i="4"/>
  <c r="AL7" i="4"/>
  <c r="V7" i="4"/>
  <c r="U7" i="4"/>
  <c r="T7" i="4"/>
  <c r="S7" i="4"/>
  <c r="BR7" i="4" s="1"/>
  <c r="R7" i="4"/>
  <c r="BQ7" i="4" s="1"/>
  <c r="Q7" i="4"/>
  <c r="P7" i="4"/>
  <c r="L7" i="4"/>
  <c r="F7" i="4"/>
  <c r="D7" i="4"/>
  <c r="EJ7" i="4" s="1"/>
  <c r="DJ6" i="4"/>
  <c r="CU6" i="4"/>
  <c r="CT6" i="4"/>
  <c r="CS6" i="4"/>
  <c r="BT6" i="4"/>
  <c r="BS6" i="4"/>
  <c r="BN6" i="4"/>
  <c r="BK6" i="4"/>
  <c r="BJ6" i="4"/>
  <c r="BI6" i="4"/>
  <c r="AZ6" i="4"/>
  <c r="AV6" i="4"/>
  <c r="AL6" i="4"/>
  <c r="V6" i="4"/>
  <c r="U6" i="4"/>
  <c r="T6" i="4"/>
  <c r="S6" i="4"/>
  <c r="BR6" i="4" s="1"/>
  <c r="Q6" i="4"/>
  <c r="R6" i="4" s="1"/>
  <c r="BQ6" i="4" s="1"/>
  <c r="L6" i="4"/>
  <c r="F6" i="4"/>
  <c r="D6" i="4"/>
  <c r="EJ6" i="4" s="1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9" i="3"/>
  <c r="R10" i="3"/>
  <c r="R11" i="3"/>
  <c r="R12" i="3"/>
  <c r="D14" i="3"/>
  <c r="D15" i="3"/>
  <c r="D16" i="3"/>
  <c r="EO16" i="3" s="1"/>
  <c r="D17" i="3"/>
  <c r="D18" i="3"/>
  <c r="EO18" i="3" s="1"/>
  <c r="D19" i="3"/>
  <c r="D20" i="3"/>
  <c r="D21" i="3"/>
  <c r="D22" i="3"/>
  <c r="AJ22" i="3" s="1"/>
  <c r="D23" i="3"/>
  <c r="D24" i="3"/>
  <c r="EO24" i="3" s="1"/>
  <c r="D25" i="3"/>
  <c r="EO25" i="3" s="1"/>
  <c r="ED24" i="3"/>
  <c r="DI24" i="3"/>
  <c r="DH24" i="3"/>
  <c r="DG24" i="3"/>
  <c r="CB24" i="3"/>
  <c r="BO24" i="3"/>
  <c r="BN24" i="3"/>
  <c r="AY24" i="3" s="1"/>
  <c r="BD24" i="3"/>
  <c r="BC24" i="3" s="1"/>
  <c r="V24" i="3"/>
  <c r="BW24" i="3" s="1"/>
  <c r="U24" i="3"/>
  <c r="BV24" i="3" s="1"/>
  <c r="T24" i="3"/>
  <c r="BU24" i="3" s="1"/>
  <c r="Q24" i="3"/>
  <c r="S24" i="3" s="1"/>
  <c r="F24" i="3"/>
  <c r="ED23" i="3"/>
  <c r="DI23" i="3"/>
  <c r="DH23" i="3"/>
  <c r="DG23" i="3"/>
  <c r="CB23" i="3"/>
  <c r="BW23" i="3"/>
  <c r="BO23" i="3"/>
  <c r="BN23" i="3"/>
  <c r="AY23" i="3" s="1"/>
  <c r="BD23" i="3"/>
  <c r="BC23" i="3" s="1"/>
  <c r="V23" i="3"/>
  <c r="U23" i="3"/>
  <c r="BV23" i="3" s="1"/>
  <c r="T23" i="3"/>
  <c r="BU23" i="3" s="1"/>
  <c r="S23" i="3"/>
  <c r="Q23" i="3"/>
  <c r="P23" i="3"/>
  <c r="F23" i="3"/>
  <c r="AJ23" i="3"/>
  <c r="ED22" i="3"/>
  <c r="DI22" i="3"/>
  <c r="DH22" i="3"/>
  <c r="DG22" i="3"/>
  <c r="CB22" i="3"/>
  <c r="BW22" i="3"/>
  <c r="BV22" i="3"/>
  <c r="BO22" i="3"/>
  <c r="BN22" i="3"/>
  <c r="BD22" i="3"/>
  <c r="BC22" i="3"/>
  <c r="AY22" i="3"/>
  <c r="V22" i="3"/>
  <c r="U22" i="3"/>
  <c r="T22" i="3"/>
  <c r="BU22" i="3" s="1"/>
  <c r="S22" i="3"/>
  <c r="Q22" i="3"/>
  <c r="P22" i="3" s="1"/>
  <c r="F22" i="3"/>
  <c r="ED21" i="3"/>
  <c r="DI21" i="3"/>
  <c r="DH21" i="3"/>
  <c r="DG21" i="3"/>
  <c r="CB21" i="3"/>
  <c r="BW21" i="3"/>
  <c r="BV21" i="3"/>
  <c r="BO21" i="3"/>
  <c r="BN21" i="3"/>
  <c r="BD21" i="3"/>
  <c r="BC21" i="3" s="1"/>
  <c r="AY21" i="3"/>
  <c r="AJ21" i="3"/>
  <c r="V21" i="3"/>
  <c r="U21" i="3"/>
  <c r="T21" i="3"/>
  <c r="BU21" i="3" s="1"/>
  <c r="Q21" i="3"/>
  <c r="S21" i="3" s="1"/>
  <c r="F21" i="3"/>
  <c r="EO21" i="3"/>
  <c r="EO20" i="3"/>
  <c r="ED20" i="3"/>
  <c r="DI20" i="3"/>
  <c r="DH20" i="3"/>
  <c r="DG20" i="3"/>
  <c r="CB20" i="3"/>
  <c r="BW20" i="3"/>
  <c r="BV20" i="3"/>
  <c r="BU20" i="3"/>
  <c r="BO20" i="3"/>
  <c r="BN20" i="3"/>
  <c r="BD20" i="3"/>
  <c r="BC20" i="3"/>
  <c r="AY20" i="3"/>
  <c r="AJ20" i="3"/>
  <c r="V20" i="3"/>
  <c r="U20" i="3"/>
  <c r="T20" i="3"/>
  <c r="S20" i="3"/>
  <c r="Q20" i="3"/>
  <c r="P20" i="3"/>
  <c r="F20" i="3"/>
  <c r="ED19" i="3"/>
  <c r="DI19" i="3"/>
  <c r="DH19" i="3"/>
  <c r="DG19" i="3"/>
  <c r="CB19" i="3"/>
  <c r="BV19" i="3"/>
  <c r="BU19" i="3"/>
  <c r="BO19" i="3"/>
  <c r="BN19" i="3"/>
  <c r="BD19" i="3"/>
  <c r="BC19" i="3"/>
  <c r="AY19" i="3"/>
  <c r="V19" i="3"/>
  <c r="BW19" i="3" s="1"/>
  <c r="U19" i="3"/>
  <c r="T19" i="3"/>
  <c r="Q19" i="3"/>
  <c r="S19" i="3" s="1"/>
  <c r="F19" i="3"/>
  <c r="EO19" i="3"/>
  <c r="ED18" i="3"/>
  <c r="DI18" i="3"/>
  <c r="DH18" i="3"/>
  <c r="DG18" i="3"/>
  <c r="CB18" i="3"/>
  <c r="BU18" i="3"/>
  <c r="BO18" i="3"/>
  <c r="BN18" i="3"/>
  <c r="AY18" i="3" s="1"/>
  <c r="BD18" i="3"/>
  <c r="BC18" i="3" s="1"/>
  <c r="V18" i="3"/>
  <c r="BW18" i="3" s="1"/>
  <c r="U18" i="3"/>
  <c r="BV18" i="3" s="1"/>
  <c r="T18" i="3"/>
  <c r="Q18" i="3"/>
  <c r="S18" i="3" s="1"/>
  <c r="P18" i="3"/>
  <c r="F18" i="3"/>
  <c r="EO17" i="3"/>
  <c r="ED17" i="3"/>
  <c r="DI17" i="3"/>
  <c r="DH17" i="3"/>
  <c r="DG17" i="3"/>
  <c r="CB17" i="3"/>
  <c r="BO17" i="3"/>
  <c r="BN17" i="3"/>
  <c r="AY17" i="3" s="1"/>
  <c r="BD17" i="3"/>
  <c r="BC17" i="3" s="1"/>
  <c r="V17" i="3"/>
  <c r="BW17" i="3" s="1"/>
  <c r="U17" i="3"/>
  <c r="BV17" i="3" s="1"/>
  <c r="T17" i="3"/>
  <c r="BU17" i="3" s="1"/>
  <c r="S17" i="3"/>
  <c r="Q17" i="3"/>
  <c r="P17" i="3"/>
  <c r="F17" i="3"/>
  <c r="AJ17" i="3"/>
  <c r="ED16" i="3"/>
  <c r="DI16" i="3"/>
  <c r="DH16" i="3"/>
  <c r="DG16" i="3"/>
  <c r="CB16" i="3"/>
  <c r="BW16" i="3"/>
  <c r="BO16" i="3"/>
  <c r="BN16" i="3"/>
  <c r="AY16" i="3" s="1"/>
  <c r="BD16" i="3"/>
  <c r="BC16" i="3"/>
  <c r="V16" i="3"/>
  <c r="U16" i="3"/>
  <c r="BV16" i="3" s="1"/>
  <c r="T16" i="3"/>
  <c r="BU16" i="3" s="1"/>
  <c r="S16" i="3"/>
  <c r="Q16" i="3"/>
  <c r="P16" i="3" s="1"/>
  <c r="F16" i="3"/>
  <c r="AJ16" i="3"/>
  <c r="EO15" i="3"/>
  <c r="ED15" i="3"/>
  <c r="DI15" i="3"/>
  <c r="DH15" i="3"/>
  <c r="DG15" i="3"/>
  <c r="CB15" i="3"/>
  <c r="BW15" i="3"/>
  <c r="BV15" i="3"/>
  <c r="BO15" i="3"/>
  <c r="BN15" i="3"/>
  <c r="BD15" i="3"/>
  <c r="BC15" i="3" s="1"/>
  <c r="AY15" i="3"/>
  <c r="AJ15" i="3"/>
  <c r="V15" i="3"/>
  <c r="U15" i="3"/>
  <c r="T15" i="3"/>
  <c r="BU15" i="3" s="1"/>
  <c r="Q15" i="3"/>
  <c r="S15" i="3" s="1"/>
  <c r="F15" i="3"/>
  <c r="EO14" i="3"/>
  <c r="ED14" i="3"/>
  <c r="DI14" i="3"/>
  <c r="DH14" i="3"/>
  <c r="DG14" i="3"/>
  <c r="CB14" i="3"/>
  <c r="BW14" i="3"/>
  <c r="BV14" i="3"/>
  <c r="BU14" i="3"/>
  <c r="BO14" i="3"/>
  <c r="BN14" i="3"/>
  <c r="BD14" i="3"/>
  <c r="BC14" i="3"/>
  <c r="AY14" i="3"/>
  <c r="AJ14" i="3"/>
  <c r="V14" i="3"/>
  <c r="U14" i="3"/>
  <c r="T14" i="3"/>
  <c r="S14" i="3"/>
  <c r="Q14" i="3"/>
  <c r="P14" i="3"/>
  <c r="F14" i="3"/>
  <c r="ED25" i="3"/>
  <c r="DI25" i="3"/>
  <c r="DH25" i="3"/>
  <c r="DG25" i="3"/>
  <c r="CB25" i="3"/>
  <c r="BO25" i="3"/>
  <c r="BN25" i="3"/>
  <c r="AY25" i="3" s="1"/>
  <c r="BD25" i="3"/>
  <c r="BC25" i="3" s="1"/>
  <c r="V25" i="3"/>
  <c r="BW25" i="3" s="1"/>
  <c r="U25" i="3"/>
  <c r="BV25" i="3" s="1"/>
  <c r="T25" i="3"/>
  <c r="BU25" i="3" s="1"/>
  <c r="Q25" i="3"/>
  <c r="S25" i="3" s="1"/>
  <c r="P25" i="3"/>
  <c r="F25" i="3"/>
  <c r="BD3" i="3"/>
  <c r="BD4" i="3"/>
  <c r="BD5" i="3"/>
  <c r="BD6" i="3"/>
  <c r="BD7" i="3"/>
  <c r="BD8" i="3"/>
  <c r="BD9" i="3"/>
  <c r="BD10" i="3"/>
  <c r="BD11" i="3"/>
  <c r="BD12" i="3"/>
  <c r="BD13" i="3"/>
  <c r="BD2" i="3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17" i="1"/>
  <c r="H56" i="1"/>
  <c r="BS3" i="4"/>
  <c r="BT3" i="4"/>
  <c r="BU3" i="4"/>
  <c r="BS4" i="4"/>
  <c r="BT4" i="4"/>
  <c r="BU4" i="4"/>
  <c r="BS5" i="4"/>
  <c r="BT5" i="4"/>
  <c r="BU2" i="4"/>
  <c r="BT2" i="4"/>
  <c r="BS2" i="4"/>
  <c r="U3" i="4"/>
  <c r="V3" i="4"/>
  <c r="U4" i="4"/>
  <c r="V4" i="4"/>
  <c r="U5" i="4"/>
  <c r="V5" i="4"/>
  <c r="U2" i="4"/>
  <c r="V2" i="4"/>
  <c r="T3" i="4"/>
  <c r="T4" i="4"/>
  <c r="T5" i="4"/>
  <c r="T2" i="4"/>
  <c r="DJ5" i="4"/>
  <c r="CU5" i="4"/>
  <c r="CT5" i="4"/>
  <c r="CS5" i="4"/>
  <c r="BN5" i="4"/>
  <c r="AV5" i="4" s="1"/>
  <c r="BK5" i="4"/>
  <c r="BJ5" i="4"/>
  <c r="BI5" i="4"/>
  <c r="AZ5" i="4"/>
  <c r="AL5" i="4"/>
  <c r="Q5" i="4"/>
  <c r="P5" i="4" s="1"/>
  <c r="BO5" i="4" s="1"/>
  <c r="L5" i="4"/>
  <c r="F5" i="4"/>
  <c r="D5" i="4"/>
  <c r="AI5" i="4" s="1"/>
  <c r="DJ4" i="4"/>
  <c r="CU4" i="4"/>
  <c r="CT4" i="4"/>
  <c r="CS4" i="4"/>
  <c r="BN4" i="4"/>
  <c r="AV4" i="4" s="1"/>
  <c r="BK4" i="4"/>
  <c r="BJ4" i="4"/>
  <c r="BI4" i="4"/>
  <c r="AZ4" i="4"/>
  <c r="AL4" i="4"/>
  <c r="Q4" i="4"/>
  <c r="P4" i="4" s="1"/>
  <c r="BO4" i="4" s="1"/>
  <c r="L4" i="4"/>
  <c r="F4" i="4"/>
  <c r="D4" i="4"/>
  <c r="EJ4" i="4" s="1"/>
  <c r="DJ3" i="4"/>
  <c r="CU3" i="4"/>
  <c r="CT3" i="4"/>
  <c r="CS3" i="4"/>
  <c r="BN3" i="4"/>
  <c r="AV3" i="4" s="1"/>
  <c r="BK3" i="4"/>
  <c r="BJ3" i="4"/>
  <c r="BI3" i="4"/>
  <c r="AZ3" i="4"/>
  <c r="AL3" i="4"/>
  <c r="Q3" i="4"/>
  <c r="BP3" i="4" s="1"/>
  <c r="L3" i="4"/>
  <c r="F3" i="4"/>
  <c r="D3" i="4"/>
  <c r="EJ3" i="4" s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BP6" i="4" l="1"/>
  <c r="R16" i="4"/>
  <c r="BQ16" i="4" s="1"/>
  <c r="R10" i="4"/>
  <c r="BQ10" i="4" s="1"/>
  <c r="BP18" i="4"/>
  <c r="R22" i="4"/>
  <c r="BQ22" i="4" s="1"/>
  <c r="AI8" i="4"/>
  <c r="R9" i="4"/>
  <c r="BQ9" i="4" s="1"/>
  <c r="S10" i="4"/>
  <c r="BR10" i="4" s="1"/>
  <c r="AI20" i="4"/>
  <c r="R21" i="4"/>
  <c r="BQ21" i="4" s="1"/>
  <c r="S22" i="4"/>
  <c r="BR22" i="4" s="1"/>
  <c r="BP12" i="4"/>
  <c r="AI14" i="4"/>
  <c r="R15" i="4"/>
  <c r="BQ15" i="4" s="1"/>
  <c r="S16" i="4"/>
  <c r="BR16" i="4" s="1"/>
  <c r="P6" i="4"/>
  <c r="BO6" i="4" s="1"/>
  <c r="AI7" i="4"/>
  <c r="BP10" i="4"/>
  <c r="P12" i="4"/>
  <c r="BO12" i="4" s="1"/>
  <c r="AI13" i="4"/>
  <c r="BP16" i="4"/>
  <c r="P18" i="4"/>
  <c r="BO18" i="4" s="1"/>
  <c r="AI19" i="4"/>
  <c r="S21" i="4"/>
  <c r="BR21" i="4" s="1"/>
  <c r="BP22" i="4"/>
  <c r="AI6" i="4"/>
  <c r="AI18" i="4"/>
  <c r="AI12" i="4"/>
  <c r="AI11" i="4"/>
  <c r="AI17" i="4"/>
  <c r="AI23" i="4"/>
  <c r="P15" i="3"/>
  <c r="P21" i="3"/>
  <c r="EO23" i="3"/>
  <c r="EO22" i="3"/>
  <c r="P19" i="3"/>
  <c r="AJ19" i="3"/>
  <c r="P24" i="3"/>
  <c r="AJ24" i="3"/>
  <c r="AJ18" i="3"/>
  <c r="AJ25" i="3"/>
  <c r="BP4" i="4"/>
  <c r="R3" i="4"/>
  <c r="BQ3" i="4" s="1"/>
  <c r="R5" i="4"/>
  <c r="BQ5" i="4" s="1"/>
  <c r="R4" i="4"/>
  <c r="BQ4" i="4" s="1"/>
  <c r="S3" i="4"/>
  <c r="BR3" i="4" s="1"/>
  <c r="S4" i="4"/>
  <c r="BR4" i="4" s="1"/>
  <c r="S5" i="4"/>
  <c r="BR5" i="4" s="1"/>
  <c r="P3" i="4"/>
  <c r="BO3" i="4" s="1"/>
  <c r="AI3" i="4"/>
  <c r="AI4" i="4"/>
  <c r="EJ5" i="4"/>
  <c r="BP5" i="4"/>
  <c r="V3" i="3" l="1"/>
  <c r="BW3" i="3" s="1"/>
  <c r="V4" i="3"/>
  <c r="BW4" i="3" s="1"/>
  <c r="V5" i="3"/>
  <c r="BW5" i="3" s="1"/>
  <c r="V6" i="3"/>
  <c r="BW6" i="3" s="1"/>
  <c r="V7" i="3"/>
  <c r="BW7" i="3" s="1"/>
  <c r="V8" i="3"/>
  <c r="BW8" i="3" s="1"/>
  <c r="V9" i="3"/>
  <c r="BW9" i="3" s="1"/>
  <c r="V10" i="3"/>
  <c r="BW10" i="3" s="1"/>
  <c r="V11" i="3"/>
  <c r="BW11" i="3" s="1"/>
  <c r="V12" i="3"/>
  <c r="BW12" i="3" s="1"/>
  <c r="V13" i="3"/>
  <c r="BW13" i="3" s="1"/>
  <c r="V2" i="3"/>
  <c r="BW2" i="3" s="1"/>
  <c r="U3" i="3"/>
  <c r="BV3" i="3" s="1"/>
  <c r="U4" i="3"/>
  <c r="BV4" i="3" s="1"/>
  <c r="U5" i="3"/>
  <c r="BV5" i="3" s="1"/>
  <c r="U6" i="3"/>
  <c r="BV6" i="3" s="1"/>
  <c r="U7" i="3"/>
  <c r="BV7" i="3" s="1"/>
  <c r="U8" i="3"/>
  <c r="BV8" i="3" s="1"/>
  <c r="U9" i="3"/>
  <c r="BV9" i="3" s="1"/>
  <c r="U10" i="3"/>
  <c r="BV10" i="3" s="1"/>
  <c r="U11" i="3"/>
  <c r="BV11" i="3" s="1"/>
  <c r="U12" i="3"/>
  <c r="BV12" i="3" s="1"/>
  <c r="U13" i="3"/>
  <c r="BV13" i="3" s="1"/>
  <c r="U2" i="3"/>
  <c r="BV2" i="3" s="1"/>
  <c r="T3" i="3"/>
  <c r="BU3" i="3" s="1"/>
  <c r="T4" i="3"/>
  <c r="BU4" i="3" s="1"/>
  <c r="T5" i="3"/>
  <c r="BU5" i="3" s="1"/>
  <c r="T6" i="3"/>
  <c r="BU6" i="3" s="1"/>
  <c r="T7" i="3"/>
  <c r="BU7" i="3" s="1"/>
  <c r="T8" i="3"/>
  <c r="BU8" i="3" s="1"/>
  <c r="T9" i="3"/>
  <c r="BU9" i="3" s="1"/>
  <c r="T10" i="3"/>
  <c r="BU10" i="3" s="1"/>
  <c r="T11" i="3"/>
  <c r="BU11" i="3" s="1"/>
  <c r="T12" i="3"/>
  <c r="BU12" i="3" s="1"/>
  <c r="T13" i="3"/>
  <c r="BU13" i="3" s="1"/>
  <c r="T2" i="3"/>
  <c r="BU2" i="3" s="1"/>
  <c r="ED3" i="3" l="1"/>
  <c r="ED4" i="3"/>
  <c r="ED5" i="3"/>
  <c r="ED6" i="3"/>
  <c r="ED7" i="3"/>
  <c r="ED8" i="3"/>
  <c r="ED9" i="3"/>
  <c r="ED10" i="3"/>
  <c r="ED11" i="3"/>
  <c r="ED12" i="3"/>
  <c r="ED2" i="3"/>
  <c r="DI3" i="3"/>
  <c r="DI4" i="3"/>
  <c r="DI5" i="3"/>
  <c r="DI6" i="3"/>
  <c r="DI7" i="3"/>
  <c r="DI8" i="3"/>
  <c r="DI9" i="3"/>
  <c r="DI10" i="3"/>
  <c r="DI11" i="3"/>
  <c r="DI12" i="3"/>
  <c r="DI13" i="3"/>
  <c r="DI2" i="3"/>
  <c r="BO3" i="3"/>
  <c r="BO4" i="3"/>
  <c r="BO5" i="3"/>
  <c r="BO6" i="3"/>
  <c r="BO7" i="3"/>
  <c r="BO8" i="3"/>
  <c r="BO9" i="3"/>
  <c r="BO10" i="3"/>
  <c r="BO11" i="3"/>
  <c r="BO12" i="3"/>
  <c r="BO13" i="3"/>
  <c r="BO2" i="3"/>
  <c r="BN3" i="3"/>
  <c r="AY3" i="3" s="1"/>
  <c r="BN4" i="3"/>
  <c r="BN5" i="3"/>
  <c r="AY5" i="3" s="1"/>
  <c r="BN6" i="3"/>
  <c r="AY6" i="3" s="1"/>
  <c r="BN7" i="3"/>
  <c r="AY7" i="3" s="1"/>
  <c r="BN8" i="3"/>
  <c r="BN9" i="3"/>
  <c r="AY9" i="3" s="1"/>
  <c r="BN10" i="3"/>
  <c r="AY10" i="3" s="1"/>
  <c r="BN11" i="3"/>
  <c r="AY11" i="3" s="1"/>
  <c r="BN12" i="3"/>
  <c r="BN13" i="3"/>
  <c r="AY13" i="3" s="1"/>
  <c r="BN2" i="3"/>
  <c r="AY2" i="3" s="1"/>
  <c r="CB3" i="3"/>
  <c r="CB4" i="3"/>
  <c r="CB5" i="3"/>
  <c r="CB6" i="3"/>
  <c r="CB7" i="3"/>
  <c r="CB8" i="3"/>
  <c r="CB9" i="3"/>
  <c r="CB10" i="3"/>
  <c r="CB11" i="3"/>
  <c r="CB12" i="3"/>
  <c r="CB13" i="3"/>
  <c r="CB2" i="3"/>
  <c r="Q6" i="3"/>
  <c r="BR6" i="3" s="1"/>
  <c r="Q7" i="3"/>
  <c r="S7" i="3" s="1"/>
  <c r="Q8" i="3"/>
  <c r="P8" i="3" s="1"/>
  <c r="Q3" i="3"/>
  <c r="S3" i="3" s="1"/>
  <c r="Q4" i="3"/>
  <c r="P4" i="3" s="1"/>
  <c r="Q5" i="3"/>
  <c r="S5" i="3" s="1"/>
  <c r="Q9" i="3"/>
  <c r="S9" i="3" s="1"/>
  <c r="BS9" i="3" s="1"/>
  <c r="Q10" i="3"/>
  <c r="BQ10" i="3" s="1"/>
  <c r="Q11" i="3"/>
  <c r="P11" i="3" s="1"/>
  <c r="Q12" i="3"/>
  <c r="P12" i="3" s="1"/>
  <c r="Q2" i="3"/>
  <c r="R2" i="3" s="1"/>
  <c r="BS2" i="3" s="1"/>
  <c r="F3" i="3"/>
  <c r="F4" i="3"/>
  <c r="F5" i="3"/>
  <c r="F6" i="3"/>
  <c r="F7" i="3"/>
  <c r="F8" i="3"/>
  <c r="F9" i="3"/>
  <c r="F10" i="3"/>
  <c r="F11" i="3"/>
  <c r="F12" i="3"/>
  <c r="F13" i="3"/>
  <c r="F2" i="3"/>
  <c r="D3" i="3"/>
  <c r="AJ3" i="3" s="1"/>
  <c r="D4" i="3"/>
  <c r="EO4" i="3" s="1"/>
  <c r="D5" i="3"/>
  <c r="EO5" i="3" s="1"/>
  <c r="D6" i="3"/>
  <c r="EO6" i="3" s="1"/>
  <c r="D7" i="3"/>
  <c r="AJ7" i="3" s="1"/>
  <c r="D8" i="3"/>
  <c r="AJ8" i="3" s="1"/>
  <c r="D9" i="3"/>
  <c r="EO9" i="3" s="1"/>
  <c r="D10" i="3"/>
  <c r="EO10" i="3" s="1"/>
  <c r="D11" i="3"/>
  <c r="EO11" i="3" s="1"/>
  <c r="D12" i="3"/>
  <c r="D2" i="3"/>
  <c r="EO2" i="3" s="1"/>
  <c r="ED13" i="3"/>
  <c r="DH13" i="3"/>
  <c r="DG13" i="3"/>
  <c r="BC13" i="3"/>
  <c r="Q13" i="3"/>
  <c r="S13" i="3" s="1"/>
  <c r="D13" i="3"/>
  <c r="EO13" i="3" s="1"/>
  <c r="DH12" i="3"/>
  <c r="DG12" i="3"/>
  <c r="BC12" i="3"/>
  <c r="AY12" i="3"/>
  <c r="EO12" i="3"/>
  <c r="DH11" i="3"/>
  <c r="DG11" i="3"/>
  <c r="BC11" i="3"/>
  <c r="DH10" i="3"/>
  <c r="DG10" i="3"/>
  <c r="BR10" i="3"/>
  <c r="BC10" i="3"/>
  <c r="DH9" i="3"/>
  <c r="DG9" i="3"/>
  <c r="BR9" i="3"/>
  <c r="BC9" i="3"/>
  <c r="DH8" i="3"/>
  <c r="DG8" i="3"/>
  <c r="AY8" i="3"/>
  <c r="BC8" i="3"/>
  <c r="DH7" i="3"/>
  <c r="DG7" i="3"/>
  <c r="BC7" i="3"/>
  <c r="R7" i="3"/>
  <c r="BS7" i="3" s="1"/>
  <c r="DH6" i="3"/>
  <c r="DG6" i="3"/>
  <c r="BC6" i="3"/>
  <c r="DH5" i="3"/>
  <c r="DG5" i="3"/>
  <c r="BC5" i="3"/>
  <c r="DH4" i="3"/>
  <c r="DG4" i="3"/>
  <c r="AY4" i="3"/>
  <c r="BC4" i="3"/>
  <c r="BR4" i="3"/>
  <c r="DH3" i="3"/>
  <c r="DG3" i="3"/>
  <c r="BC3" i="3"/>
  <c r="DH2" i="3"/>
  <c r="DG2" i="3"/>
  <c r="BC2" i="3"/>
  <c r="DJ2" i="4"/>
  <c r="CU2" i="4"/>
  <c r="BN2" i="4"/>
  <c r="AV2" i="4" s="1"/>
  <c r="BK2" i="4"/>
  <c r="BJ2" i="4"/>
  <c r="BI2" i="4"/>
  <c r="AZ2" i="4"/>
  <c r="AL2" i="4"/>
  <c r="Q2" i="4"/>
  <c r="S2" i="4" s="1"/>
  <c r="BR2" i="4" s="1"/>
  <c r="L2" i="4"/>
  <c r="F2" i="4"/>
  <c r="D2" i="4"/>
  <c r="EJ2" i="4" s="1"/>
  <c r="CT2" i="4"/>
  <c r="CS2" i="4"/>
  <c r="BR8" i="3" l="1"/>
  <c r="BP2" i="4"/>
  <c r="AJ5" i="3"/>
  <c r="EO7" i="3"/>
  <c r="EO8" i="3"/>
  <c r="P7" i="3"/>
  <c r="BQ7" i="3" s="1"/>
  <c r="AJ4" i="3"/>
  <c r="P6" i="3"/>
  <c r="BQ6" i="3" s="1"/>
  <c r="R2" i="4"/>
  <c r="BQ2" i="4" s="1"/>
  <c r="S6" i="3"/>
  <c r="BT6" i="3" s="1"/>
  <c r="P3" i="3"/>
  <c r="BQ3" i="3" s="1"/>
  <c r="S2" i="3"/>
  <c r="BT2" i="3" s="1"/>
  <c r="P13" i="3"/>
  <c r="S10" i="3"/>
  <c r="BS10" i="3" s="1"/>
  <c r="P2" i="4"/>
  <c r="BO2" i="4" s="1"/>
  <c r="S8" i="3"/>
  <c r="BT8" i="3" s="1"/>
  <c r="P10" i="3"/>
  <c r="BP10" i="3" s="1"/>
  <c r="P5" i="3"/>
  <c r="BQ5" i="3" s="1"/>
  <c r="R3" i="3"/>
  <c r="BS3" i="3" s="1"/>
  <c r="S12" i="3"/>
  <c r="S4" i="3"/>
  <c r="BT4" i="3" s="1"/>
  <c r="AJ9" i="3"/>
  <c r="P2" i="3"/>
  <c r="BQ2" i="3" s="1"/>
  <c r="P9" i="3"/>
  <c r="BP9" i="3" s="1"/>
  <c r="S11" i="3"/>
  <c r="R5" i="3"/>
  <c r="BS5" i="3" s="1"/>
  <c r="R4" i="3"/>
  <c r="BS4" i="3" s="1"/>
  <c r="EO3" i="3"/>
  <c r="AJ2" i="3"/>
  <c r="AJ6" i="3"/>
  <c r="BT3" i="3"/>
  <c r="BT5" i="3"/>
  <c r="BT7" i="3"/>
  <c r="BQ9" i="3"/>
  <c r="AJ10" i="3"/>
  <c r="AJ11" i="3"/>
  <c r="AJ12" i="3"/>
  <c r="AJ13" i="3"/>
  <c r="BR2" i="3"/>
  <c r="BR3" i="3"/>
  <c r="BR5" i="3"/>
  <c r="R6" i="3"/>
  <c r="BS6" i="3" s="1"/>
  <c r="BR7" i="3"/>
  <c r="R8" i="3"/>
  <c r="BS8" i="3" s="1"/>
  <c r="BQ4" i="3"/>
  <c r="BQ8" i="3"/>
  <c r="AI2" i="4"/>
</calcChain>
</file>

<file path=xl/sharedStrings.xml><?xml version="1.0" encoding="utf-8"?>
<sst xmlns="http://schemas.openxmlformats.org/spreadsheetml/2006/main" count="42384" uniqueCount="20797">
  <si>
    <t>Attuale Fornitore</t>
  </si>
  <si>
    <t>POD</t>
  </si>
  <si>
    <t>Potenza Disponibile</t>
  </si>
  <si>
    <t>Potenza Impegnata</t>
  </si>
  <si>
    <t>Tensione V</t>
  </si>
  <si>
    <t>Nr.</t>
  </si>
  <si>
    <t>Ragione Sociale del Condominio</t>
  </si>
  <si>
    <t>P.IVA / Codice Fiscale</t>
  </si>
  <si>
    <t>Indirizzo</t>
  </si>
  <si>
    <t>Cap</t>
  </si>
  <si>
    <t>Città</t>
  </si>
  <si>
    <t>Prov</t>
  </si>
  <si>
    <t>PDR</t>
  </si>
  <si>
    <t>Matricola Contatore</t>
  </si>
  <si>
    <t>REMI</t>
  </si>
  <si>
    <t xml:space="preserve">IBAN </t>
  </si>
  <si>
    <t>Indirizzo di fornitura</t>
  </si>
  <si>
    <t xml:space="preserve">Ragione Sociale </t>
  </si>
  <si>
    <t>Bluenergy Group</t>
  </si>
  <si>
    <t>Enerxenia</t>
  </si>
  <si>
    <t>Amga Energia e Servizi</t>
  </si>
  <si>
    <t>Trenta S.p.A.</t>
  </si>
  <si>
    <t>EStenergy</t>
  </si>
  <si>
    <t>Energrid</t>
  </si>
  <si>
    <t>Enel Energia</t>
  </si>
  <si>
    <t>Europagas srl</t>
  </si>
  <si>
    <t>Repower</t>
  </si>
  <si>
    <t>Edison</t>
  </si>
  <si>
    <t>Veritas Energia</t>
  </si>
  <si>
    <t>Ascotrade spa</t>
  </si>
  <si>
    <t>Metanodotti</t>
  </si>
  <si>
    <t>Coopgas</t>
  </si>
  <si>
    <t>GDF Suez</t>
  </si>
  <si>
    <t>ArgosEnergia</t>
  </si>
  <si>
    <t>Unogas</t>
  </si>
  <si>
    <t>Illumia</t>
  </si>
  <si>
    <t>Energetic Source</t>
  </si>
  <si>
    <t>Flyenergia</t>
  </si>
  <si>
    <t>Linea Più</t>
  </si>
  <si>
    <t>Acegas Aps Service</t>
  </si>
  <si>
    <t>Agsm Energia</t>
  </si>
  <si>
    <t>HeraComm</t>
  </si>
  <si>
    <t>Enegan</t>
  </si>
  <si>
    <t>E-on</t>
  </si>
  <si>
    <t>GreenNetwork</t>
  </si>
  <si>
    <t>Veneto Gas&amp;Power</t>
  </si>
  <si>
    <t>Vivigas Spa</t>
  </si>
  <si>
    <t>Axpo</t>
  </si>
  <si>
    <t>Optima</t>
  </si>
  <si>
    <t>DueEnergie</t>
  </si>
  <si>
    <t>Enel Servizio Elettrico</t>
  </si>
  <si>
    <t>A2A</t>
  </si>
  <si>
    <t>Engie</t>
  </si>
  <si>
    <t>Idroelettrica Valcanale</t>
  </si>
  <si>
    <t>Sorgenia</t>
  </si>
  <si>
    <t>3C</t>
  </si>
  <si>
    <t>Compagnia Energetica Italiana</t>
  </si>
  <si>
    <t>Cura Gas&amp;Power</t>
  </si>
  <si>
    <t>Utilità</t>
  </si>
  <si>
    <t>Iren</t>
  </si>
  <si>
    <t>Multiutility</t>
  </si>
  <si>
    <t>Sky Gas&amp;Power</t>
  </si>
  <si>
    <t>AF Energie</t>
  </si>
  <si>
    <t>SoEnergy</t>
  </si>
  <si>
    <t>BlueMeta</t>
  </si>
  <si>
    <t>Asm Energia</t>
  </si>
  <si>
    <t>Dolomiti Energia</t>
  </si>
  <si>
    <t>Audax Energia</t>
  </si>
  <si>
    <t>Axopower</t>
  </si>
  <si>
    <t>ACEA Energia</t>
  </si>
  <si>
    <t>EUROPE ENERGY</t>
  </si>
  <si>
    <t>DUFERCO</t>
  </si>
  <si>
    <t>AIM ENERGY</t>
  </si>
  <si>
    <t>MADE IN ENERGY</t>
  </si>
  <si>
    <t>ANTENORE</t>
  </si>
  <si>
    <t>METAENERGIA</t>
  </si>
  <si>
    <t>AUDAX ENERGIA</t>
  </si>
  <si>
    <t>Passuello</t>
  </si>
  <si>
    <t>S4</t>
  </si>
  <si>
    <t>ENERGIA BASE TRIESTE</t>
  </si>
  <si>
    <t>Eneco Energia S.p.A.</t>
  </si>
  <si>
    <t>Servizio Elettrico Nazionale</t>
  </si>
  <si>
    <t>SERVER SRL</t>
  </si>
  <si>
    <t>METANO NORD</t>
  </si>
  <si>
    <t>ENERCOM</t>
  </si>
  <si>
    <t>GELSIA</t>
  </si>
  <si>
    <t>EST PIU' S.P.A.</t>
  </si>
  <si>
    <t>EXERGIA</t>
  </si>
  <si>
    <t>IBERDROLA</t>
  </si>
  <si>
    <t>AEVV</t>
  </si>
  <si>
    <t>EST ENERGY</t>
  </si>
  <si>
    <t>LUMENERGIA</t>
  </si>
  <si>
    <t>EICOM SRL</t>
  </si>
  <si>
    <t>CH4 SRL</t>
  </si>
  <si>
    <t>SECAB</t>
  </si>
  <si>
    <t>SOMET</t>
  </si>
  <si>
    <t>SOCIETA' ELETTRICA IN MORBEGNO</t>
  </si>
  <si>
    <t>VALLE CAMONICA SERVIZI</t>
  </si>
  <si>
    <t>Gas Sales</t>
  </si>
  <si>
    <t>AMEA SPA</t>
  </si>
  <si>
    <t>AUTOGAS NORD</t>
  </si>
  <si>
    <t>Enel Gas</t>
  </si>
  <si>
    <t>Axpo Italia SpA</t>
  </si>
  <si>
    <t>SIEC</t>
  </si>
  <si>
    <t>01023</t>
  </si>
  <si>
    <t>COND.</t>
  </si>
  <si>
    <t>Cons.Pres.
Annuo (smc)</t>
  </si>
  <si>
    <t>Cons.Pres.
Annuo (KWh)</t>
  </si>
  <si>
    <t>Luogo _________________________________________________                 Data _______________________________</t>
  </si>
  <si>
    <t>Distibutore</t>
  </si>
  <si>
    <t xml:space="preserve"> Firma ___________________________________________________________</t>
  </si>
  <si>
    <t>METAMER</t>
  </si>
  <si>
    <t>3VG</t>
  </si>
  <si>
    <t>Cod.</t>
  </si>
  <si>
    <t>Descrizione</t>
  </si>
  <si>
    <t>CHIURLO S.r.l</t>
  </si>
  <si>
    <t>Estraenergie</t>
  </si>
  <si>
    <t>Isogas-ESt Più</t>
  </si>
  <si>
    <t>Azienda Energia e Gas</t>
  </si>
  <si>
    <t>BPP gas</t>
  </si>
  <si>
    <t>Trenta SPA</t>
  </si>
  <si>
    <t>Spigas</t>
  </si>
  <si>
    <t>LineaPiù</t>
  </si>
  <si>
    <t>GeoNordest</t>
  </si>
  <si>
    <t>GasPlus</t>
  </si>
  <si>
    <t>GasNatural</t>
  </si>
  <si>
    <t>Geko</t>
  </si>
  <si>
    <t>Simecom</t>
  </si>
  <si>
    <t>Goldenergy</t>
  </si>
  <si>
    <t>Gala</t>
  </si>
  <si>
    <t>Burgo Energia</t>
  </si>
  <si>
    <t>Beetwin</t>
  </si>
  <si>
    <t>EnergiaCorrente</t>
  </si>
  <si>
    <t xml:space="preserve">Antas </t>
  </si>
  <si>
    <t>RomaGas</t>
  </si>
  <si>
    <t>Luce e Gas Italia</t>
  </si>
  <si>
    <t>Elettragas</t>
  </si>
  <si>
    <t>Invent</t>
  </si>
  <si>
    <t>AP Energia</t>
  </si>
  <si>
    <t>Ubroker</t>
  </si>
  <si>
    <t>Utility 360</t>
  </si>
  <si>
    <t>LionEnergy</t>
  </si>
  <si>
    <t>Aemme Energie</t>
  </si>
  <si>
    <t>Metanotre</t>
  </si>
  <si>
    <t>Energie Diffuse</t>
  </si>
  <si>
    <t>FVG Energia</t>
  </si>
  <si>
    <t>X3Energy</t>
  </si>
  <si>
    <t>Casapiùverde</t>
  </si>
  <si>
    <t>PASUBIO</t>
  </si>
  <si>
    <t>COGESER</t>
  </si>
  <si>
    <t>A.B. ENERGIE</t>
  </si>
  <si>
    <t>SIMP GAS</t>
  </si>
  <si>
    <t>UNI. CO. GE</t>
  </si>
  <si>
    <t>LIBERO</t>
  </si>
  <si>
    <t>SOCIETA' SERVIZI ENERGIA SRL</t>
  </si>
  <si>
    <t>Evivaenergia</t>
  </si>
  <si>
    <t>SUISSE</t>
  </si>
  <si>
    <t>EDLO ENERGY SPA</t>
  </si>
  <si>
    <t>SINERGY</t>
  </si>
  <si>
    <t>ENERGY ONLY</t>
  </si>
  <si>
    <t>MIWA</t>
  </si>
  <si>
    <t>Lirenas Gas&amp;Luce</t>
  </si>
  <si>
    <t>FAMIGLIA ENERGIA</t>
  </si>
  <si>
    <t>Gritti Energia</t>
  </si>
  <si>
    <t>Eroga Energia</t>
  </si>
  <si>
    <t>EVOLVERE S.P.A.</t>
  </si>
  <si>
    <t>SINERGAS SPA</t>
  </si>
  <si>
    <t>CARBOTERMO S.P.A</t>
  </si>
  <si>
    <t>Egea</t>
  </si>
  <si>
    <t>LEVIGAS</t>
  </si>
  <si>
    <t>Nuove Energie</t>
  </si>
  <si>
    <t>GASWAY</t>
  </si>
  <si>
    <t>SMART Luce &amp; Gas</t>
  </si>
  <si>
    <t>Nordest Energie</t>
  </si>
  <si>
    <t>Sentra Energia</t>
  </si>
  <si>
    <t>Fintel Gas e Luce srl</t>
  </si>
  <si>
    <t>ESLA SPA</t>
  </si>
  <si>
    <t>CLEAN POWER</t>
  </si>
  <si>
    <t>TEA Energia s.r.l.</t>
  </si>
  <si>
    <t>Energ.it S.p.A</t>
  </si>
  <si>
    <t>Più Energia</t>
  </si>
  <si>
    <t>META NEW POWER</t>
  </si>
  <si>
    <t>Polis energia</t>
  </si>
  <si>
    <t>Sanremo Luce - Amaie</t>
  </si>
  <si>
    <t>Agorà Gas e Luce</t>
  </si>
  <si>
    <t>ROYAL GROUP</t>
  </si>
  <si>
    <t>FOLINI GAS SRL</t>
  </si>
  <si>
    <t>CIP LOMBARDIA S.R.L.</t>
  </si>
  <si>
    <t>ENERGYPOLIS</t>
  </si>
  <si>
    <t>ETRA ENERGIA</t>
  </si>
  <si>
    <t>COLSAM ENERGIE S.R.L</t>
  </si>
  <si>
    <t>Piemonte Energy spa</t>
  </si>
  <si>
    <t>Green Energy</t>
  </si>
  <si>
    <t>Energy Polis</t>
  </si>
  <si>
    <t>OVENERGY</t>
  </si>
  <si>
    <t>Ecotrade</t>
  </si>
  <si>
    <t>MIOGAS &amp; LUCE SRL</t>
  </si>
  <si>
    <t>Energia Italia Srl</t>
  </si>
  <si>
    <t>SGR SERVIZI SPA</t>
  </si>
  <si>
    <t>Agn luce &amp; gas</t>
  </si>
  <si>
    <t>+ Energia</t>
  </si>
  <si>
    <t>Consorzio Energia</t>
  </si>
  <si>
    <t>ENGAS</t>
  </si>
  <si>
    <t>Global Power</t>
  </si>
  <si>
    <t>Wekiwi</t>
  </si>
  <si>
    <t>SPIENERGY</t>
  </si>
  <si>
    <t>TERMO AMBIENTE SRL</t>
  </si>
  <si>
    <t>Lenergie</t>
  </si>
  <si>
    <t>SG ENERGIA</t>
  </si>
  <si>
    <t>SOCOPLUS</t>
  </si>
  <si>
    <t>Vuscom</t>
  </si>
  <si>
    <t>Nova Aeg</t>
  </si>
  <si>
    <t>ACEL ENERGIE</t>
  </si>
  <si>
    <t>ENERGIT SPA</t>
  </si>
  <si>
    <t>ACCENDI LUCE E GAS</t>
  </si>
  <si>
    <t>GAS PIU' SRL</t>
  </si>
  <si>
    <t>BRUZOLESE SRL</t>
  </si>
  <si>
    <t>ONE POWER</t>
  </si>
  <si>
    <t>AZIENDA LOCALE GAS SRL</t>
  </si>
  <si>
    <t>GOPOWER</t>
  </si>
  <si>
    <t>cogaspiùenergie</t>
  </si>
  <si>
    <t>NWG ENERGIA</t>
  </si>
  <si>
    <t>PRO ENERGY SPA</t>
  </si>
  <si>
    <t>ITALIA POWER</t>
  </si>
  <si>
    <t>NOVA LUCE E GAS</t>
  </si>
  <si>
    <t>REVOLUCE</t>
  </si>
  <si>
    <t>PLT PUREGREEN SPA</t>
  </si>
  <si>
    <t>WITHU</t>
  </si>
  <si>
    <t>MILANO GAS E LUCE</t>
  </si>
  <si>
    <t>GENESI ENERGIA</t>
  </si>
  <si>
    <t>INVOLTA</t>
  </si>
  <si>
    <t>CVATRADING</t>
  </si>
  <si>
    <t>GESAM GAE E LUCE</t>
  </si>
  <si>
    <t>UNION GAS E LUCE</t>
  </si>
  <si>
    <t>FUTUENERGY</t>
  </si>
  <si>
    <t>DOMESTIKA ENERGIA</t>
  </si>
  <si>
    <t>ASCOPIAVE ENERGIA</t>
  </si>
  <si>
    <t>Futurenergy</t>
  </si>
  <si>
    <t>LEGI LUCE E GAS</t>
  </si>
  <si>
    <t>BAROCCO LUCE E GAS</t>
  </si>
  <si>
    <t>E-Dolomiti</t>
  </si>
  <si>
    <t>Power Energia</t>
  </si>
  <si>
    <t>E-Co</t>
  </si>
  <si>
    <t>B1GAS</t>
  </si>
  <si>
    <t>GRUPPO VISIOLI</t>
  </si>
  <si>
    <t>ERMES</t>
  </si>
  <si>
    <t>Greenius</t>
  </si>
  <si>
    <t>ALTEA POWER</t>
  </si>
  <si>
    <t>PEF POWER</t>
  </si>
  <si>
    <t>PHLOGAS &amp; POWER SRL</t>
  </si>
  <si>
    <t>ADATTIVA</t>
  </si>
  <si>
    <t>Semplice Gas &amp; Luce S.r.l.</t>
  </si>
  <si>
    <t>ENERGIA PULITA SRL</t>
  </si>
  <si>
    <t>JEN ENERGIA SRL</t>
  </si>
  <si>
    <t xml:space="preserve">FRIENDS </t>
  </si>
  <si>
    <t>AEG COOPERATIVA</t>
  </si>
  <si>
    <t>FREE LUCE E GAS</t>
  </si>
  <si>
    <t>ENIT - ENERGIA ITALIA SPA</t>
  </si>
  <si>
    <t>E3ENERGY POWER E GAS</t>
  </si>
  <si>
    <t>BIG ONE ENERGY SRL</t>
  </si>
  <si>
    <t>ENERGY GAS ITALIA SRL</t>
  </si>
  <si>
    <t>SINERGIA SRL</t>
  </si>
  <si>
    <t>B1GAS SPA</t>
  </si>
  <si>
    <t>UMBRIA ENERGY</t>
  </si>
  <si>
    <t>Calorgas</t>
  </si>
  <si>
    <t>ENTRA GAS E LUCE</t>
  </si>
  <si>
    <t>AJO ENERGIA</t>
  </si>
  <si>
    <t>STECA ENERGIA</t>
  </si>
  <si>
    <t>SPRINT ENERGY</t>
  </si>
  <si>
    <t>ACEA PINEROLESE</t>
  </si>
  <si>
    <t>BERGAMASCA ENERGIA</t>
  </si>
  <si>
    <t>ANGIE</t>
  </si>
  <si>
    <t>Facile Energy</t>
  </si>
  <si>
    <t>VISITEL</t>
  </si>
  <si>
    <t>UNICA</t>
  </si>
  <si>
    <t>YOUENERGY</t>
  </si>
  <si>
    <t>EF ENERGIA SRL</t>
  </si>
  <si>
    <t>E-ENERGIA</t>
  </si>
  <si>
    <t>ALLEANZA LUCE&amp;GAS</t>
  </si>
  <si>
    <t>Achille Parabiaghi Spa</t>
  </si>
  <si>
    <t>MONTE BRIANZA GAS E LUCE</t>
  </si>
  <si>
    <t>ENEIDE ENERGIA</t>
  </si>
  <si>
    <t>TORINO GAS E LUCE</t>
  </si>
  <si>
    <t>SEREGNO ENERGIA</t>
  </si>
  <si>
    <t>SMG SRL</t>
  </si>
  <si>
    <t>AURORA ENERGIA</t>
  </si>
  <si>
    <t>ATERNO GAS &amp; POWER</t>
  </si>
  <si>
    <t>ENERGIA AZZURRA SRL</t>
  </si>
  <si>
    <t>S4 ENERGIA</t>
  </si>
  <si>
    <t>MET ENERGIA</t>
  </si>
  <si>
    <t>ENERCOOP</t>
  </si>
  <si>
    <t>ENERGY TRADE SPA</t>
  </si>
  <si>
    <t>EVISO</t>
  </si>
  <si>
    <t>COOP LUCE E GAS</t>
  </si>
  <si>
    <t xml:space="preserve">E' NOSTRA </t>
  </si>
  <si>
    <t>CONTROCORRENTE</t>
  </si>
  <si>
    <t>FIORSESE ENERGIA</t>
  </si>
  <si>
    <t>ONDA PIU' SRL</t>
  </si>
  <si>
    <t>APLOS</t>
  </si>
  <si>
    <t>Lenergia spa</t>
  </si>
  <si>
    <t>ETRURIA GAS E LUCE</t>
  </si>
  <si>
    <t>PATAVIUM ENERGIA</t>
  </si>
  <si>
    <t>energetic gas &amp; power</t>
  </si>
  <si>
    <t>EGERIA</t>
  </si>
  <si>
    <t>BLUE POWER</t>
  </si>
  <si>
    <t>ENNE</t>
  </si>
  <si>
    <t>ATENA LUCE E GAS SERVIZI</t>
  </si>
  <si>
    <t>GEUENERGIA</t>
  </si>
  <si>
    <t>Azzalini Energie Srl</t>
  </si>
  <si>
    <t xml:space="preserve">IVA </t>
  </si>
  <si>
    <t>Nota 1: Si richiede applicazione dell'iva al 10% e si allega documento attestante l'uso esclusivamente residenziale del POD indicato (autocertificazione).</t>
  </si>
  <si>
    <t>ALLEGATO 1 - Tabella riepilogativa punti di fornitura DI GAS NATURALE</t>
  </si>
  <si>
    <t>ALLEGATO 1 - Tabella riepilogativa punti di fornitura di ENERGIA ELETTRICA</t>
  </si>
  <si>
    <t>Cliente Numero</t>
  </si>
  <si>
    <t>Cliente - Nome</t>
  </si>
  <si>
    <t>Cliente - Cognome</t>
  </si>
  <si>
    <t>Cliente - Ragione Sociale</t>
  </si>
  <si>
    <t>Cliente - Partita IVA</t>
  </si>
  <si>
    <t>Cliente - Codice Fiscale</t>
  </si>
  <si>
    <t>Cliente - Telefono</t>
  </si>
  <si>
    <t>Cliente - Fax</t>
  </si>
  <si>
    <t>Cliente - E-Mail</t>
  </si>
  <si>
    <t>Cliente - E-Mail PEC</t>
  </si>
  <si>
    <t>Cliente - Cat. Reg. Business</t>
  </si>
  <si>
    <t>Cliente - Cat. Reg. Business IVA</t>
  </si>
  <si>
    <t>Cliente - Cat. Reg. Cliente</t>
  </si>
  <si>
    <t>Cliente - Cod. Agente</t>
  </si>
  <si>
    <t>Cliente - Nome Agente</t>
  </si>
  <si>
    <t>Indirizzo Cliente - Cod. Zona</t>
  </si>
  <si>
    <t>Indirizzo Cliente - Desc. Comune</t>
  </si>
  <si>
    <t>Indirizzo Cliente - CAP</t>
  </si>
  <si>
    <t>Indirizzo Cliente - Cod. Provincia</t>
  </si>
  <si>
    <t>Indirizzo Cliente - Tipo Via</t>
  </si>
  <si>
    <t>Indirizzo Cliente - Nome Via</t>
  </si>
  <si>
    <t>Indirizzo Cliente - Civico</t>
  </si>
  <si>
    <t>Indirizzo Cliente - Estensione</t>
  </si>
  <si>
    <t>Indirizzo Cliente - Scala</t>
  </si>
  <si>
    <t>Indirizzo Cliente - Piano</t>
  </si>
  <si>
    <t>Indirizzo Cliente - Interno</t>
  </si>
  <si>
    <t>Cliente - Codice Metodo Di Pagamento</t>
  </si>
  <si>
    <t>Cliente - Codice Condizioni Di Pagamento</t>
  </si>
  <si>
    <t>Cliente - Codice Termini di Sollecito</t>
  </si>
  <si>
    <t>Cliente - Esente Mora</t>
  </si>
  <si>
    <t>Rappresentante Legale - Nome</t>
  </si>
  <si>
    <t>Rappresentante Legale - Cod. Fiscale</t>
  </si>
  <si>
    <t>Utenza - Nome</t>
  </si>
  <si>
    <t>Utenza - Cognome</t>
  </si>
  <si>
    <t>Utenza - Ragione Sociale</t>
  </si>
  <si>
    <t>Utenza - Cod. Raggruppamento</t>
  </si>
  <si>
    <t>Utenza - Cat. Reg. Business</t>
  </si>
  <si>
    <t>Utenza - Cat. Reg. Business IVA</t>
  </si>
  <si>
    <t>Utenza - Tipo Utenza</t>
  </si>
  <si>
    <t>Utenza - Classe Utenza</t>
  </si>
  <si>
    <t>Utenza - Categoria Utenza</t>
  </si>
  <si>
    <t>Utenza - Cod. Agente</t>
  </si>
  <si>
    <t>Utenza - Nome Agente</t>
  </si>
  <si>
    <t>Utenza - Tipo Mercato</t>
  </si>
  <si>
    <t>Utenza - Tipo Mercato Di Provenienza</t>
  </si>
  <si>
    <t>Utenza - Provenienza Prenotazione</t>
  </si>
  <si>
    <t>Utenza - Cod. Venditore</t>
  </si>
  <si>
    <t>Utenza - Cod. Distributore</t>
  </si>
  <si>
    <t>Utenza - Cod. Fornitore</t>
  </si>
  <si>
    <t>Utenza - Data Apertura</t>
  </si>
  <si>
    <t>Utenza - Frequenza Fatturazione</t>
  </si>
  <si>
    <t>Utenza - Consumo Annuo Presunto KWH</t>
  </si>
  <si>
    <t>Utenza - Tipologia Offerta</t>
  </si>
  <si>
    <t>Utenza - Cod. Offerta</t>
  </si>
  <si>
    <t>Utenza - Data Inizio Offerta</t>
  </si>
  <si>
    <t>Utenza - Data Fine Offerta</t>
  </si>
  <si>
    <t>Utenza - Tipo Invio Fatture</t>
  </si>
  <si>
    <t>Utenza - Codice Metodo Di Pagamento</t>
  </si>
  <si>
    <t>Utenza - Codice Condizioni Di Pagamento</t>
  </si>
  <si>
    <t>Utenza - Tipo Configurazione Mora</t>
  </si>
  <si>
    <t>Utenza - Potenza Disponibile (kW)</t>
  </si>
  <si>
    <t>Utenza - Potenza Impegnata (kW)</t>
  </si>
  <si>
    <t>Utenza - Tensione Nominale (V)</t>
  </si>
  <si>
    <t>Utenza - Livello di Tensione</t>
  </si>
  <si>
    <t>Utenza - Fasce Orarie di Fatturazione</t>
  </si>
  <si>
    <t>POD - Nr.</t>
  </si>
  <si>
    <t>POD - Cod. Zona (ISTAT)</t>
  </si>
  <si>
    <t>POD - Città</t>
  </si>
  <si>
    <t>POD - CAP</t>
  </si>
  <si>
    <t>POD - Cod. Provincia</t>
  </si>
  <si>
    <t>POD - Tipo Via</t>
  </si>
  <si>
    <t>POD - Nome Via</t>
  </si>
  <si>
    <t>POD - Civico</t>
  </si>
  <si>
    <t>POD - Estensione</t>
  </si>
  <si>
    <t>Punto di Riconsegna - Scala</t>
  </si>
  <si>
    <t>Punto di Riconsegna - Piano</t>
  </si>
  <si>
    <t>POD - Interno</t>
  </si>
  <si>
    <t>Contratto - Nr.</t>
  </si>
  <si>
    <t>Contratto - Data Apertura</t>
  </si>
  <si>
    <t>Contratto - Data Scadenza</t>
  </si>
  <si>
    <t>Corrispondenza - Tipo</t>
  </si>
  <si>
    <t>Corrispondenza - Nome</t>
  </si>
  <si>
    <t>Corrispondenza - E-Mail</t>
  </si>
  <si>
    <t>Corrispondenza - Cod. Zona</t>
  </si>
  <si>
    <t>Corrispondenza - Città</t>
  </si>
  <si>
    <t>Corrispondenza - CAP</t>
  </si>
  <si>
    <t>Corrispondenza - Provincia</t>
  </si>
  <si>
    <t>Corrispondenza - Tipo Via</t>
  </si>
  <si>
    <t>Corrispondenza - Nome Via</t>
  </si>
  <si>
    <t>Corrispondenza - Numero Civico</t>
  </si>
  <si>
    <t>Corrispondenza - Estensione Civico</t>
  </si>
  <si>
    <t>Corrispondenza - Scala</t>
  </si>
  <si>
    <t>Corrispondenza - Piano</t>
  </si>
  <si>
    <t>Corrispondenza - Interno</t>
  </si>
  <si>
    <t>Domiciliazione - Stato</t>
  </si>
  <si>
    <t>Domiciliazione - Cod. Domiciliazione</t>
  </si>
  <si>
    <t>Domiciliazione - Nome Intestatario</t>
  </si>
  <si>
    <t xml:space="preserve">Domiciliazione - Codice Fiscale Intestatario </t>
  </si>
  <si>
    <t>Domiciliazione - IBAN</t>
  </si>
  <si>
    <t>Domiciliazione - Cod. SIA</t>
  </si>
  <si>
    <t>Domiciliazione - Data Inizio Domiciliazione</t>
  </si>
  <si>
    <t>Domiciliazione - Data Inizio Garanzie</t>
  </si>
  <si>
    <t>Domiciliazione - Tipo Partner</t>
  </si>
  <si>
    <t>Lettera Intento - Nr.</t>
  </si>
  <si>
    <t>Lettera Intento - Decorrenza Da</t>
  </si>
  <si>
    <t>Lettera Intento - Decorrenza A</t>
  </si>
  <si>
    <t>Dati Catastali - Cod. Comune</t>
  </si>
  <si>
    <t>Dati Catastali - Foglio</t>
  </si>
  <si>
    <t>Dati Catastali - Tavola</t>
  </si>
  <si>
    <t>Dati Catastali - Particella</t>
  </si>
  <si>
    <t>Dati Catastali - Subalterno</t>
  </si>
  <si>
    <t>Cod. Stampa</t>
  </si>
  <si>
    <t>Tipo UDD</t>
  </si>
  <si>
    <t>Cod. Venditore Precedente</t>
  </si>
  <si>
    <t>Utenza - Nr.</t>
  </si>
  <si>
    <t xml:space="preserve">Utenza - Nr. Amministratore </t>
  </si>
  <si>
    <t>Amministratore - Nome</t>
  </si>
  <si>
    <t>Amministratore - Cognome</t>
  </si>
  <si>
    <t>Amministratore - Ragione Sociale</t>
  </si>
  <si>
    <t>Amministratore - Codice Fiscale</t>
  </si>
  <si>
    <t>Amministratore - Paritita IVA</t>
  </si>
  <si>
    <t>Amministratore - Cod. Zona (ISTAT)</t>
  </si>
  <si>
    <t>Amministratore - Città</t>
  </si>
  <si>
    <t>Amministratore - CAP</t>
  </si>
  <si>
    <t>Amministratore - Cod. Provincia</t>
  </si>
  <si>
    <t>Amministratore - Tipo Via</t>
  </si>
  <si>
    <t>Amministratore - Nome Via</t>
  </si>
  <si>
    <t>Amministratore - Civico</t>
  </si>
  <si>
    <t>Amministratore - Estensione</t>
  </si>
  <si>
    <t>Amministratore - Scala</t>
  </si>
  <si>
    <t>Amministratore - Piano</t>
  </si>
  <si>
    <t>Amministratore - Interno</t>
  </si>
  <si>
    <t>Amministratore - Telefono</t>
  </si>
  <si>
    <t>Amministratore - E-Mail</t>
  </si>
  <si>
    <t>Contratto - Data firma contratto</t>
  </si>
  <si>
    <t>Tipo Contratto</t>
  </si>
  <si>
    <t>Utenza - Data Switch Vendita</t>
  </si>
  <si>
    <t>Utenza - Cod. Termini di Sollecito</t>
  </si>
  <si>
    <t>Utenza - Cod. Settore Merceologico</t>
  </si>
  <si>
    <t>Utenza - Campo Personalizzato 1</t>
  </si>
  <si>
    <t>Utenza - Campo Personalizzato 2</t>
  </si>
  <si>
    <t>Utenza - Campo Personalizzato 3</t>
  </si>
  <si>
    <t>Utenza - Nr. Contratto Esterno</t>
  </si>
  <si>
    <t>Utenza - Cod. Accisa Personale</t>
  </si>
  <si>
    <t>Dichiarazione Intento - Anno Dichiarazione</t>
  </si>
  <si>
    <t>Dichiarazione Intento - Plafond Iniziale</t>
  </si>
  <si>
    <t>Dichiarazione Intento - Data Presentazione Dichiarazione</t>
  </si>
  <si>
    <t>Dichiarazione Intento - Nr. Attribuito dal Dichiarante</t>
  </si>
  <si>
    <t>Dichiarazione Intento - Anno Attribuito dal Dichiarante</t>
  </si>
  <si>
    <t>Dichiarazione Intento - Nr. Attribuito dal Fornitore</t>
  </si>
  <si>
    <t>Dichiarazione Intento - Anno Attribuito dal Fornitore</t>
  </si>
  <si>
    <t>Consenso Future iniziative promozionali curate dalla società di vendita</t>
  </si>
  <si>
    <t>Consenso Future iniziative promozionali curate da altre imprese del settore energia e servizi</t>
  </si>
  <si>
    <t>Analisi/ricerche di mercato effettuate direttamente dalla società di vendita tramite società terze</t>
  </si>
  <si>
    <t>Codice OU</t>
  </si>
  <si>
    <t>Cliente - Autorizzazione Invio SMS</t>
  </si>
  <si>
    <t>Cliente - Tipo Telefono</t>
  </si>
  <si>
    <t>Cliente - Codice Lingua</t>
  </si>
  <si>
    <t>Utenza - Layout Stampa</t>
  </si>
  <si>
    <t>Utenza - Nome controparte</t>
  </si>
  <si>
    <t>Utenza - Cognome controparte</t>
  </si>
  <si>
    <t>Utenza - Nome completo controparte</t>
  </si>
  <si>
    <t>Utenza - Partita Iva controparte</t>
  </si>
  <si>
    <t>Utenza - Codice Fiscale controparte</t>
  </si>
  <si>
    <t>Nr. contratto PA</t>
  </si>
  <si>
    <t>Codice CIG</t>
  </si>
  <si>
    <t>Codice CUP</t>
  </si>
  <si>
    <t>Contratto - Luogo Firma Contratto</t>
  </si>
  <si>
    <t>CLIENTI</t>
  </si>
  <si>
    <t>CLI-RD</t>
  </si>
  <si>
    <t>RID</t>
  </si>
  <si>
    <t>30DF</t>
  </si>
  <si>
    <t>COND</t>
  </si>
  <si>
    <t>NO</t>
  </si>
  <si>
    <t>CONDOMINI</t>
  </si>
  <si>
    <t>COND.LIBERO</t>
  </si>
  <si>
    <t>SWITCH</t>
  </si>
  <si>
    <t>00001</t>
  </si>
  <si>
    <t>ND</t>
  </si>
  <si>
    <t>BT</t>
  </si>
  <si>
    <t>MULTI</t>
  </si>
  <si>
    <t>ATTIVA</t>
  </si>
  <si>
    <t>B5746</t>
  </si>
  <si>
    <t>97.00.02</t>
  </si>
  <si>
    <t>ITA</t>
  </si>
  <si>
    <t>CELLA BIANCA</t>
  </si>
  <si>
    <t>Formule</t>
  </si>
  <si>
    <t>CELLA GIALLA</t>
  </si>
  <si>
    <t>Cella da bloccare</t>
  </si>
  <si>
    <t>CELLA VERDE</t>
  </si>
  <si>
    <t>Modifica manuale</t>
  </si>
  <si>
    <t>CELLA BLU</t>
  </si>
  <si>
    <t>Celle vuote no dato</t>
  </si>
  <si>
    <t>UDINE</t>
  </si>
  <si>
    <t>UD</t>
  </si>
  <si>
    <t>Cod. Provincia</t>
  </si>
  <si>
    <t>Provincia</t>
  </si>
  <si>
    <t>CAP</t>
  </si>
  <si>
    <t>AGLIÈ</t>
  </si>
  <si>
    <t>001001</t>
  </si>
  <si>
    <t>TO</t>
  </si>
  <si>
    <t>10011</t>
  </si>
  <si>
    <t>AIRASCA</t>
  </si>
  <si>
    <t>001002</t>
  </si>
  <si>
    <t>10060</t>
  </si>
  <si>
    <t>ALA DI STURA</t>
  </si>
  <si>
    <t>001003</t>
  </si>
  <si>
    <t>10070</t>
  </si>
  <si>
    <t>ALBIANO D'IVREA</t>
  </si>
  <si>
    <t>001004</t>
  </si>
  <si>
    <t>10010</t>
  </si>
  <si>
    <t>ALMESE</t>
  </si>
  <si>
    <t>001006</t>
  </si>
  <si>
    <t>10040</t>
  </si>
  <si>
    <t>ALPETTE</t>
  </si>
  <si>
    <t>001007</t>
  </si>
  <si>
    <t>10080</t>
  </si>
  <si>
    <t>ALPIGNANO</t>
  </si>
  <si>
    <t>001008</t>
  </si>
  <si>
    <t>10091</t>
  </si>
  <si>
    <t>ANDEZENO</t>
  </si>
  <si>
    <t>001009</t>
  </si>
  <si>
    <t>10020</t>
  </si>
  <si>
    <t>ANDRATE</t>
  </si>
  <si>
    <t>001010</t>
  </si>
  <si>
    <t>ANGROGNA</t>
  </si>
  <si>
    <t>001011</t>
  </si>
  <si>
    <t>ARIGNANO</t>
  </si>
  <si>
    <t>001012</t>
  </si>
  <si>
    <t>AVIGLIANA</t>
  </si>
  <si>
    <t>001013</t>
  </si>
  <si>
    <t>10051</t>
  </si>
  <si>
    <t>AZEGLIO</t>
  </si>
  <si>
    <t>001014</t>
  </si>
  <si>
    <t>BAIRO</t>
  </si>
  <si>
    <t>001015</t>
  </si>
  <si>
    <t>BALANGERO</t>
  </si>
  <si>
    <t>001016</t>
  </si>
  <si>
    <t>BALDISSERO CANAVESE</t>
  </si>
  <si>
    <t>001017</t>
  </si>
  <si>
    <t>BALDISSERO TORINESE</t>
  </si>
  <si>
    <t>001018</t>
  </si>
  <si>
    <t>BALME</t>
  </si>
  <si>
    <t>001019</t>
  </si>
  <si>
    <t>BANCHETTE</t>
  </si>
  <si>
    <t>001020</t>
  </si>
  <si>
    <t>BARBANIA</t>
  </si>
  <si>
    <t>001021</t>
  </si>
  <si>
    <t>BARDONECCHIA</t>
  </si>
  <si>
    <t>001022</t>
  </si>
  <si>
    <t>10052</t>
  </si>
  <si>
    <t>BARONE CANAVESE</t>
  </si>
  <si>
    <t>001023</t>
  </si>
  <si>
    <t>BEINASCO</t>
  </si>
  <si>
    <t>001024</t>
  </si>
  <si>
    <t>10092</t>
  </si>
  <si>
    <t>BIBIANA</t>
  </si>
  <si>
    <t>001025</t>
  </si>
  <si>
    <t>BOBBIO PELLICE</t>
  </si>
  <si>
    <t>001026</t>
  </si>
  <si>
    <t>BOLLENGO</t>
  </si>
  <si>
    <t>001027</t>
  </si>
  <si>
    <t>10012</t>
  </si>
  <si>
    <t>BORGARO TORINESE</t>
  </si>
  <si>
    <t>001028</t>
  </si>
  <si>
    <t>10071</t>
  </si>
  <si>
    <t>BORGIALLO</t>
  </si>
  <si>
    <t>001029</t>
  </si>
  <si>
    <t>BORGOFRANCO D'IVREA</t>
  </si>
  <si>
    <t>001030</t>
  </si>
  <si>
    <t>10013</t>
  </si>
  <si>
    <t>BORGOMASINO</t>
  </si>
  <si>
    <t>001031</t>
  </si>
  <si>
    <t>10031</t>
  </si>
  <si>
    <t>BORGONE SUSA</t>
  </si>
  <si>
    <t>001032</t>
  </si>
  <si>
    <t>10050</t>
  </si>
  <si>
    <t>BOSCONERO</t>
  </si>
  <si>
    <t>001033</t>
  </si>
  <si>
    <t>BRANDIZZO</t>
  </si>
  <si>
    <t>001034</t>
  </si>
  <si>
    <t>10032</t>
  </si>
  <si>
    <t>BRICHERASIO</t>
  </si>
  <si>
    <t>001035</t>
  </si>
  <si>
    <t>BROSSO</t>
  </si>
  <si>
    <t>001036</t>
  </si>
  <si>
    <t>BROZOLO</t>
  </si>
  <si>
    <t>001037</t>
  </si>
  <si>
    <t>BRUINO</t>
  </si>
  <si>
    <t>001038</t>
  </si>
  <si>
    <t>10090</t>
  </si>
  <si>
    <t>BRUSASCO</t>
  </si>
  <si>
    <t>001039</t>
  </si>
  <si>
    <t>BRUZOLO</t>
  </si>
  <si>
    <t>001040</t>
  </si>
  <si>
    <t>BURIASCO</t>
  </si>
  <si>
    <t>001041</t>
  </si>
  <si>
    <t>BUROLO</t>
  </si>
  <si>
    <t>001042</t>
  </si>
  <si>
    <t>BUSANO</t>
  </si>
  <si>
    <t>001043</t>
  </si>
  <si>
    <t>BUSSOLENO</t>
  </si>
  <si>
    <t>001044</t>
  </si>
  <si>
    <t>10053</t>
  </si>
  <si>
    <t>BUTTIGLIERA ALTA</t>
  </si>
  <si>
    <t>001045</t>
  </si>
  <si>
    <t>CAFASSE</t>
  </si>
  <si>
    <t>001046</t>
  </si>
  <si>
    <t>CALUSO</t>
  </si>
  <si>
    <t>001047</t>
  </si>
  <si>
    <t>10014</t>
  </si>
  <si>
    <t>CAMBIANO</t>
  </si>
  <si>
    <t>001048</t>
  </si>
  <si>
    <t>CAMPIGLIONE FENILE</t>
  </si>
  <si>
    <t>001049</t>
  </si>
  <si>
    <t>CANDIA CANAVESE</t>
  </si>
  <si>
    <t>001050</t>
  </si>
  <si>
    <t>CANDIOLO</t>
  </si>
  <si>
    <t>001051</t>
  </si>
  <si>
    <t>CANISCHIO</t>
  </si>
  <si>
    <t>001052</t>
  </si>
  <si>
    <t>CANTALUPA</t>
  </si>
  <si>
    <t>001053</t>
  </si>
  <si>
    <t>CANTOIRA</t>
  </si>
  <si>
    <t>001054</t>
  </si>
  <si>
    <t>CAPRIE</t>
  </si>
  <si>
    <t>001055</t>
  </si>
  <si>
    <t>CARAVINO</t>
  </si>
  <si>
    <t>001056</t>
  </si>
  <si>
    <t>CAREMA</t>
  </si>
  <si>
    <t>001057</t>
  </si>
  <si>
    <t>CARIGNANO</t>
  </si>
  <si>
    <t>001058</t>
  </si>
  <si>
    <t>10041</t>
  </si>
  <si>
    <t>CARMAGNOLA</t>
  </si>
  <si>
    <t>001059</t>
  </si>
  <si>
    <t>10022</t>
  </si>
  <si>
    <t>CASALBORGONE</t>
  </si>
  <si>
    <t>001060</t>
  </si>
  <si>
    <t>CASCINETTE D'IVREA</t>
  </si>
  <si>
    <t>001061</t>
  </si>
  <si>
    <t>CASELETTE</t>
  </si>
  <si>
    <t>001062</t>
  </si>
  <si>
    <t>CASELLE TORINESE</t>
  </si>
  <si>
    <t>001063</t>
  </si>
  <si>
    <t>10072</t>
  </si>
  <si>
    <t>CASTAGNETO PO</t>
  </si>
  <si>
    <t>001064</t>
  </si>
  <si>
    <t>CASTAGNOLE PIEMONTE</t>
  </si>
  <si>
    <t>001065</t>
  </si>
  <si>
    <t>CASTELLAMONTE</t>
  </si>
  <si>
    <t>001066</t>
  </si>
  <si>
    <t>10081</t>
  </si>
  <si>
    <t>CASTELNUOVO NIGRA</t>
  </si>
  <si>
    <t>001067</t>
  </si>
  <si>
    <t>CASTIGLIONE TORINESE</t>
  </si>
  <si>
    <t>001068</t>
  </si>
  <si>
    <t>CAVAGNOLO</t>
  </si>
  <si>
    <t>001069</t>
  </si>
  <si>
    <t>CAVOUR</t>
  </si>
  <si>
    <t>001070</t>
  </si>
  <si>
    <t>10061</t>
  </si>
  <si>
    <t>CERCENASCO</t>
  </si>
  <si>
    <t>001071</t>
  </si>
  <si>
    <t>CERES</t>
  </si>
  <si>
    <t>001072</t>
  </si>
  <si>
    <t>CERESOLE REALE</t>
  </si>
  <si>
    <t>001073</t>
  </si>
  <si>
    <t>CESANA TORINESE</t>
  </si>
  <si>
    <t>001074</t>
  </si>
  <si>
    <t>10054</t>
  </si>
  <si>
    <t>CHIALAMBERTO</t>
  </si>
  <si>
    <t>001075</t>
  </si>
  <si>
    <t>CHIANOCCO</t>
  </si>
  <si>
    <t>001076</t>
  </si>
  <si>
    <t>CHIAVERANO</t>
  </si>
  <si>
    <t>001077</t>
  </si>
  <si>
    <t>CHIERI</t>
  </si>
  <si>
    <t>001078</t>
  </si>
  <si>
    <t>10023</t>
  </si>
  <si>
    <t>CHIESANUOVA</t>
  </si>
  <si>
    <t>001079</t>
  </si>
  <si>
    <t>CHIOMONTE</t>
  </si>
  <si>
    <t>001080</t>
  </si>
  <si>
    <t>CHIUSA DI SAN MICHELE</t>
  </si>
  <si>
    <t>001081</t>
  </si>
  <si>
    <t>CHIVASSO</t>
  </si>
  <si>
    <t>001082</t>
  </si>
  <si>
    <t>10034</t>
  </si>
  <si>
    <t>CICONIO</t>
  </si>
  <si>
    <t>001083</t>
  </si>
  <si>
    <t>CINTANO</t>
  </si>
  <si>
    <t>001084</t>
  </si>
  <si>
    <t>CINZANO</t>
  </si>
  <si>
    <t>001085</t>
  </si>
  <si>
    <t>CIRIÈ</t>
  </si>
  <si>
    <t>001086</t>
  </si>
  <si>
    <t>10073</t>
  </si>
  <si>
    <t>CLAVIERE</t>
  </si>
  <si>
    <t>001087</t>
  </si>
  <si>
    <t>COASSOLO TORINESE</t>
  </si>
  <si>
    <t>001088</t>
  </si>
  <si>
    <t>COAZZE</t>
  </si>
  <si>
    <t>001089</t>
  </si>
  <si>
    <t>COLLEGNO</t>
  </si>
  <si>
    <t>001090</t>
  </si>
  <si>
    <t>10093</t>
  </si>
  <si>
    <t>COLLERETTO CASTELNUOVO</t>
  </si>
  <si>
    <t>001091</t>
  </si>
  <si>
    <t>COLLERETTO GIACOSA</t>
  </si>
  <si>
    <t>001092</t>
  </si>
  <si>
    <t>CONDOVE</t>
  </si>
  <si>
    <t>001093</t>
  </si>
  <si>
    <t>10055</t>
  </si>
  <si>
    <t>CORIO</t>
  </si>
  <si>
    <t>001094</t>
  </si>
  <si>
    <t>COSSANO CANAVESE</t>
  </si>
  <si>
    <t>001095</t>
  </si>
  <si>
    <t>CUCEGLIO</t>
  </si>
  <si>
    <t>001096</t>
  </si>
  <si>
    <t>CUMIANA</t>
  </si>
  <si>
    <t>001097</t>
  </si>
  <si>
    <t>CUORGNÈ</t>
  </si>
  <si>
    <t>001098</t>
  </si>
  <si>
    <t>10082</t>
  </si>
  <si>
    <t>DRUENTO</t>
  </si>
  <si>
    <t>001099</t>
  </si>
  <si>
    <t>EXILLES</t>
  </si>
  <si>
    <t>001100</t>
  </si>
  <si>
    <t>FAVRIA</t>
  </si>
  <si>
    <t>001101</t>
  </si>
  <si>
    <t>10083</t>
  </si>
  <si>
    <t>FELETTO</t>
  </si>
  <si>
    <t>001102</t>
  </si>
  <si>
    <t>FENESTRELLE</t>
  </si>
  <si>
    <t>001103</t>
  </si>
  <si>
    <t>FIANO</t>
  </si>
  <si>
    <t>001104</t>
  </si>
  <si>
    <t>FIORANO CANAVESE</t>
  </si>
  <si>
    <t>001105</t>
  </si>
  <si>
    <t>FOGLIZZO</t>
  </si>
  <si>
    <t>001106</t>
  </si>
  <si>
    <t>FORNO CANAVESE</t>
  </si>
  <si>
    <t>001107</t>
  </si>
  <si>
    <t>10084</t>
  </si>
  <si>
    <t>FRASSINETTO</t>
  </si>
  <si>
    <t>001108</t>
  </si>
  <si>
    <t>FRONT</t>
  </si>
  <si>
    <t>001109</t>
  </si>
  <si>
    <t>FROSSASCO</t>
  </si>
  <si>
    <t>001110</t>
  </si>
  <si>
    <t>GARZIGLIANA</t>
  </si>
  <si>
    <t>001111</t>
  </si>
  <si>
    <t>GASSINO TORINESE</t>
  </si>
  <si>
    <t>001112</t>
  </si>
  <si>
    <t>GERMAGNANO</t>
  </si>
  <si>
    <t>001113</t>
  </si>
  <si>
    <t>GIAGLIONE</t>
  </si>
  <si>
    <t>001114</t>
  </si>
  <si>
    <t>GIAVENO</t>
  </si>
  <si>
    <t>001115</t>
  </si>
  <si>
    <t>10094</t>
  </si>
  <si>
    <t>GIVOLETTO</t>
  </si>
  <si>
    <t>001116</t>
  </si>
  <si>
    <t>GRAVERE</t>
  </si>
  <si>
    <t>001117</t>
  </si>
  <si>
    <t>GROSCAVALLO</t>
  </si>
  <si>
    <t>001118</t>
  </si>
  <si>
    <t>GROSSO</t>
  </si>
  <si>
    <t>001119</t>
  </si>
  <si>
    <t>GRUGLIASCO</t>
  </si>
  <si>
    <t>001120</t>
  </si>
  <si>
    <t>10095</t>
  </si>
  <si>
    <t>INGRIA</t>
  </si>
  <si>
    <t>001121</t>
  </si>
  <si>
    <t>INVERSO PINASCA</t>
  </si>
  <si>
    <t>001122</t>
  </si>
  <si>
    <t>ISOLABELLA</t>
  </si>
  <si>
    <t>001123</t>
  </si>
  <si>
    <t>10046</t>
  </si>
  <si>
    <t>ISSIGLIO</t>
  </si>
  <si>
    <t>001124</t>
  </si>
  <si>
    <t>IVREA</t>
  </si>
  <si>
    <t>001125</t>
  </si>
  <si>
    <t>10015</t>
  </si>
  <si>
    <t>LA CASSA</t>
  </si>
  <si>
    <t>001126</t>
  </si>
  <si>
    <t>LA LOGGIA</t>
  </si>
  <si>
    <t>001127</t>
  </si>
  <si>
    <t>LANZO TORINESE</t>
  </si>
  <si>
    <t>001128</t>
  </si>
  <si>
    <t>10074</t>
  </si>
  <si>
    <t>LAURIANO</t>
  </si>
  <si>
    <t>001129</t>
  </si>
  <si>
    <t>LEINI</t>
  </si>
  <si>
    <t>001130</t>
  </si>
  <si>
    <t>LEMIE</t>
  </si>
  <si>
    <t>001131</t>
  </si>
  <si>
    <t>LESSOLO</t>
  </si>
  <si>
    <t>001132</t>
  </si>
  <si>
    <t>LEVONE</t>
  </si>
  <si>
    <t>001133</t>
  </si>
  <si>
    <t>LOCANA</t>
  </si>
  <si>
    <t>001134</t>
  </si>
  <si>
    <t>LOMBARDORE</t>
  </si>
  <si>
    <t>001135</t>
  </si>
  <si>
    <t>LOMBRIASCO</t>
  </si>
  <si>
    <t>001136</t>
  </si>
  <si>
    <t>LORANZÈ</t>
  </si>
  <si>
    <t>001137</t>
  </si>
  <si>
    <t>LUSERNA SAN GIOVANNI</t>
  </si>
  <si>
    <t>001139</t>
  </si>
  <si>
    <t>10062</t>
  </si>
  <si>
    <t>LUSERNETTA</t>
  </si>
  <si>
    <t>001140</t>
  </si>
  <si>
    <t>LUSIGLIÈ</t>
  </si>
  <si>
    <t>001141</t>
  </si>
  <si>
    <t>MACELLO</t>
  </si>
  <si>
    <t>001142</t>
  </si>
  <si>
    <t>MAGLIONE</t>
  </si>
  <si>
    <t>001143</t>
  </si>
  <si>
    <t>10030</t>
  </si>
  <si>
    <t>MARENTINO</t>
  </si>
  <si>
    <t>001144</t>
  </si>
  <si>
    <t>MASSELLO</t>
  </si>
  <si>
    <t>001145</t>
  </si>
  <si>
    <t>MATHI</t>
  </si>
  <si>
    <t>001146</t>
  </si>
  <si>
    <t>10075</t>
  </si>
  <si>
    <t>MATTIE</t>
  </si>
  <si>
    <t>001147</t>
  </si>
  <si>
    <t>MAZZÈ</t>
  </si>
  <si>
    <t>001148</t>
  </si>
  <si>
    <t>10035</t>
  </si>
  <si>
    <t>MEANA DI SUSA</t>
  </si>
  <si>
    <t>001149</t>
  </si>
  <si>
    <t>MERCENASCO</t>
  </si>
  <si>
    <t>001150</t>
  </si>
  <si>
    <t>MEZZENILE</t>
  </si>
  <si>
    <t>001152</t>
  </si>
  <si>
    <t>MOMBELLO DI TORINO</t>
  </si>
  <si>
    <t>001153</t>
  </si>
  <si>
    <t>MOMPANTERO</t>
  </si>
  <si>
    <t>001154</t>
  </si>
  <si>
    <t>10059</t>
  </si>
  <si>
    <t>MONASTERO DI LANZO</t>
  </si>
  <si>
    <t>001155</t>
  </si>
  <si>
    <t>MONCALIERI</t>
  </si>
  <si>
    <t>001156</t>
  </si>
  <si>
    <t>10024</t>
  </si>
  <si>
    <t>MONCENISIO</t>
  </si>
  <si>
    <t>001157</t>
  </si>
  <si>
    <t>MONTALDO TORINESE</t>
  </si>
  <si>
    <t>001158</t>
  </si>
  <si>
    <t>MONTALENGHE</t>
  </si>
  <si>
    <t>001159</t>
  </si>
  <si>
    <t>MONTALTO DORA</t>
  </si>
  <si>
    <t>001160</t>
  </si>
  <si>
    <t>10016</t>
  </si>
  <si>
    <t>MONTANARO</t>
  </si>
  <si>
    <t>001161</t>
  </si>
  <si>
    <t>10017</t>
  </si>
  <si>
    <t>MONTEU DA PO</t>
  </si>
  <si>
    <t>001162</t>
  </si>
  <si>
    <t>MORIONDO TORINESE</t>
  </si>
  <si>
    <t>001163</t>
  </si>
  <si>
    <t>NICHELINO</t>
  </si>
  <si>
    <t>001164</t>
  </si>
  <si>
    <t>10042</t>
  </si>
  <si>
    <t>NOASCA</t>
  </si>
  <si>
    <t>001165</t>
  </si>
  <si>
    <t>NOLE</t>
  </si>
  <si>
    <t>001166</t>
  </si>
  <si>
    <t>10076</t>
  </si>
  <si>
    <t>NOMAGLIO</t>
  </si>
  <si>
    <t>001167</t>
  </si>
  <si>
    <t>NONE</t>
  </si>
  <si>
    <t>001168</t>
  </si>
  <si>
    <t>NOVALESA</t>
  </si>
  <si>
    <t>001169</t>
  </si>
  <si>
    <t>OGLIANICO</t>
  </si>
  <si>
    <t>001170</t>
  </si>
  <si>
    <t>ORBASSANO</t>
  </si>
  <si>
    <t>001171</t>
  </si>
  <si>
    <t>10043</t>
  </si>
  <si>
    <t>ORIO CANAVESE</t>
  </si>
  <si>
    <t>001172</t>
  </si>
  <si>
    <t>OSASCO</t>
  </si>
  <si>
    <t>001173</t>
  </si>
  <si>
    <t>OSASIO</t>
  </si>
  <si>
    <t>001174</t>
  </si>
  <si>
    <t>OULX</t>
  </si>
  <si>
    <t>001175</t>
  </si>
  <si>
    <t>10056</t>
  </si>
  <si>
    <t>OZEGNA</t>
  </si>
  <si>
    <t>001176</t>
  </si>
  <si>
    <t>PALAZZO CANAVESE</t>
  </si>
  <si>
    <t>001177</t>
  </si>
  <si>
    <t>PANCALIERI</t>
  </si>
  <si>
    <t>001178</t>
  </si>
  <si>
    <t>PARELLA</t>
  </si>
  <si>
    <t>001179</t>
  </si>
  <si>
    <t>PAVAROLO</t>
  </si>
  <si>
    <t>001180</t>
  </si>
  <si>
    <t>PAVONE CANAVESE</t>
  </si>
  <si>
    <t>001181</t>
  </si>
  <si>
    <t>10018</t>
  </si>
  <si>
    <t>PECETTO TORINESE</t>
  </si>
  <si>
    <t>001183</t>
  </si>
  <si>
    <t>PEROSA ARGENTINA</t>
  </si>
  <si>
    <t>001184</t>
  </si>
  <si>
    <t>10063</t>
  </si>
  <si>
    <t>PEROSA CANAVESE</t>
  </si>
  <si>
    <t>001185</t>
  </si>
  <si>
    <t>PERRERO</t>
  </si>
  <si>
    <t>001186</t>
  </si>
  <si>
    <t>PERTUSIO</t>
  </si>
  <si>
    <t>001187</t>
  </si>
  <si>
    <t>PESSINETTO</t>
  </si>
  <si>
    <t>001188</t>
  </si>
  <si>
    <t>PIANEZZA</t>
  </si>
  <si>
    <t>001189</t>
  </si>
  <si>
    <t>10044</t>
  </si>
  <si>
    <t>PINASCA</t>
  </si>
  <si>
    <t>001190</t>
  </si>
  <si>
    <t>PINEROLO</t>
  </si>
  <si>
    <t>001191</t>
  </si>
  <si>
    <t>10064</t>
  </si>
  <si>
    <t>PINO TORINESE</t>
  </si>
  <si>
    <t>001192</t>
  </si>
  <si>
    <t>10025</t>
  </si>
  <si>
    <t>PIOBESI TORINESE</t>
  </si>
  <si>
    <t>001193</t>
  </si>
  <si>
    <t>PIOSSASCO</t>
  </si>
  <si>
    <t>001194</t>
  </si>
  <si>
    <t>10045</t>
  </si>
  <si>
    <t>PISCINA</t>
  </si>
  <si>
    <t>001195</t>
  </si>
  <si>
    <t>PIVERONE</t>
  </si>
  <si>
    <t>001196</t>
  </si>
  <si>
    <t>POIRINO</t>
  </si>
  <si>
    <t>001197</t>
  </si>
  <si>
    <t>POMARETTO</t>
  </si>
  <si>
    <t>001198</t>
  </si>
  <si>
    <t>PONT-CANAVESE</t>
  </si>
  <si>
    <t>001199</t>
  </si>
  <si>
    <t>10085</t>
  </si>
  <si>
    <t>PORTE</t>
  </si>
  <si>
    <t>001200</t>
  </si>
  <si>
    <t>PRAGELATO</t>
  </si>
  <si>
    <t>001201</t>
  </si>
  <si>
    <t>PRALI</t>
  </si>
  <si>
    <t>001202</t>
  </si>
  <si>
    <t>PRALORMO</t>
  </si>
  <si>
    <t>001203</t>
  </si>
  <si>
    <t>PRAMOLLO</t>
  </si>
  <si>
    <t>001204</t>
  </si>
  <si>
    <t>10065</t>
  </si>
  <si>
    <t>PRAROSTINO</t>
  </si>
  <si>
    <t>001205</t>
  </si>
  <si>
    <t>PRASCORSANO</t>
  </si>
  <si>
    <t>001206</t>
  </si>
  <si>
    <t>PRATIGLIONE</t>
  </si>
  <si>
    <t>001207</t>
  </si>
  <si>
    <t>QUAGLIUZZO</t>
  </si>
  <si>
    <t>001208</t>
  </si>
  <si>
    <t>QUASSOLO</t>
  </si>
  <si>
    <t>001209</t>
  </si>
  <si>
    <t>QUINCINETTO</t>
  </si>
  <si>
    <t>001210</t>
  </si>
  <si>
    <t>REANO</t>
  </si>
  <si>
    <t>001211</t>
  </si>
  <si>
    <t>RIBORDONE</t>
  </si>
  <si>
    <t>001212</t>
  </si>
  <si>
    <t>RIVALBA</t>
  </si>
  <si>
    <t>001213</t>
  </si>
  <si>
    <t>RIVALTA DI TORINO</t>
  </si>
  <si>
    <t>001214</t>
  </si>
  <si>
    <t>RIVA PRESSO CHIERI</t>
  </si>
  <si>
    <t>001215</t>
  </si>
  <si>
    <t>RIVARA</t>
  </si>
  <si>
    <t>001216</t>
  </si>
  <si>
    <t>RIVAROLO CANAVESE</t>
  </si>
  <si>
    <t>001217</t>
  </si>
  <si>
    <t>10086</t>
  </si>
  <si>
    <t>RIVAROSSA</t>
  </si>
  <si>
    <t>001218</t>
  </si>
  <si>
    <t>RIVOLI</t>
  </si>
  <si>
    <t>001219</t>
  </si>
  <si>
    <t>10098</t>
  </si>
  <si>
    <t>ROBASSOMERO</t>
  </si>
  <si>
    <t>001220</t>
  </si>
  <si>
    <t>ROCCA CANAVESE</t>
  </si>
  <si>
    <t>001221</t>
  </si>
  <si>
    <t>ROLETTO</t>
  </si>
  <si>
    <t>001222</t>
  </si>
  <si>
    <t>ROMANO CANAVESE</t>
  </si>
  <si>
    <t>001223</t>
  </si>
  <si>
    <t>RONCO CANAVESE</t>
  </si>
  <si>
    <t>001224</t>
  </si>
  <si>
    <t>RONDISSONE</t>
  </si>
  <si>
    <t>001225</t>
  </si>
  <si>
    <t>RORÀ</t>
  </si>
  <si>
    <t>001226</t>
  </si>
  <si>
    <t>ROURE</t>
  </si>
  <si>
    <t>001227</t>
  </si>
  <si>
    <t>ROSTA</t>
  </si>
  <si>
    <t>001228</t>
  </si>
  <si>
    <t>RUBIANA</t>
  </si>
  <si>
    <t>001229</t>
  </si>
  <si>
    <t>RUEGLIO</t>
  </si>
  <si>
    <t>001230</t>
  </si>
  <si>
    <t>SALASSA</t>
  </si>
  <si>
    <t>001231</t>
  </si>
  <si>
    <t>SALBERTRAND</t>
  </si>
  <si>
    <t>001232</t>
  </si>
  <si>
    <t>SALERANO CANAVESE</t>
  </si>
  <si>
    <t>001233</t>
  </si>
  <si>
    <t>SALZA DI PINEROLO</t>
  </si>
  <si>
    <t>001234</t>
  </si>
  <si>
    <t>SAMONE</t>
  </si>
  <si>
    <t>001235</t>
  </si>
  <si>
    <t>SAN BENIGNO CANAVESE</t>
  </si>
  <si>
    <t>001236</t>
  </si>
  <si>
    <t>SAN CARLO CANAVESE</t>
  </si>
  <si>
    <t>001237</t>
  </si>
  <si>
    <t>SAN COLOMBANO BELMONTE</t>
  </si>
  <si>
    <t>001238</t>
  </si>
  <si>
    <t>SAN DIDERO</t>
  </si>
  <si>
    <t>001239</t>
  </si>
  <si>
    <t>SAN FRANCESCO AL CAMPO</t>
  </si>
  <si>
    <t>001240</t>
  </si>
  <si>
    <t>SANGANO</t>
  </si>
  <si>
    <t>001241</t>
  </si>
  <si>
    <t>SAN GERMANO CHISONE</t>
  </si>
  <si>
    <t>001242</t>
  </si>
  <si>
    <t>SAN GILLIO</t>
  </si>
  <si>
    <t>001243</t>
  </si>
  <si>
    <t>SAN GIORGIO CANAVESE</t>
  </si>
  <si>
    <t>001244</t>
  </si>
  <si>
    <t>SAN GIORIO DI SUSA</t>
  </si>
  <si>
    <t>001245</t>
  </si>
  <si>
    <t>SAN GIUSTO CANAVESE</t>
  </si>
  <si>
    <t>001246</t>
  </si>
  <si>
    <t>SAN MARTINO CANAVESE</t>
  </si>
  <si>
    <t>001247</t>
  </si>
  <si>
    <t>SAN MAURIZIO CANAVESE</t>
  </si>
  <si>
    <t>001248</t>
  </si>
  <si>
    <t>10077</t>
  </si>
  <si>
    <t>SAN MAURO TORINESE</t>
  </si>
  <si>
    <t>001249</t>
  </si>
  <si>
    <t>10099</t>
  </si>
  <si>
    <t>SAN PIETRO VAL LEMINA</t>
  </si>
  <si>
    <t>001250</t>
  </si>
  <si>
    <t>SAN PONSO</t>
  </si>
  <si>
    <t>001251</t>
  </si>
  <si>
    <t>SAN RAFFAELE CIMENA</t>
  </si>
  <si>
    <t>001252</t>
  </si>
  <si>
    <t>SAN SEBASTIANO DA PO</t>
  </si>
  <si>
    <t>001253</t>
  </si>
  <si>
    <t>SAN SECONDO DI PINEROLO</t>
  </si>
  <si>
    <t>001254</t>
  </si>
  <si>
    <t>SANT'AMBROGIO DI TORINO</t>
  </si>
  <si>
    <t>001255</t>
  </si>
  <si>
    <t>10057</t>
  </si>
  <si>
    <t>SANT'ANTONINO DI SUSA</t>
  </si>
  <si>
    <t>001256</t>
  </si>
  <si>
    <t>SANTENA</t>
  </si>
  <si>
    <t>001257</t>
  </si>
  <si>
    <t>10026</t>
  </si>
  <si>
    <t>SAUZE DI CESANA</t>
  </si>
  <si>
    <t>001258</t>
  </si>
  <si>
    <t>SAUZE D'OULX</t>
  </si>
  <si>
    <t>001259</t>
  </si>
  <si>
    <t>SCALENGHE</t>
  </si>
  <si>
    <t>001260</t>
  </si>
  <si>
    <t>SCARMAGNO</t>
  </si>
  <si>
    <t>001261</t>
  </si>
  <si>
    <t>SCIOLZE</t>
  </si>
  <si>
    <t>001262</t>
  </si>
  <si>
    <t>SESTRIERE</t>
  </si>
  <si>
    <t>001263</t>
  </si>
  <si>
    <t>10058</t>
  </si>
  <si>
    <t>SETTIMO ROTTARO</t>
  </si>
  <si>
    <t>001264</t>
  </si>
  <si>
    <t>SETTIMO TORINESE</t>
  </si>
  <si>
    <t>001265</t>
  </si>
  <si>
    <t>10036</t>
  </si>
  <si>
    <t>SETTIMO VITTONE</t>
  </si>
  <si>
    <t>001266</t>
  </si>
  <si>
    <t>SPARONE</t>
  </si>
  <si>
    <t>001267</t>
  </si>
  <si>
    <t>STRAMBINELLO</t>
  </si>
  <si>
    <t>001268</t>
  </si>
  <si>
    <t>STRAMBINO</t>
  </si>
  <si>
    <t>001269</t>
  </si>
  <si>
    <t>10019</t>
  </si>
  <si>
    <t>SUSA</t>
  </si>
  <si>
    <t>001270</t>
  </si>
  <si>
    <t>TAVAGNASCO</t>
  </si>
  <si>
    <t>001271</t>
  </si>
  <si>
    <t>TORINO</t>
  </si>
  <si>
    <t>001272</t>
  </si>
  <si>
    <t>101xx</t>
  </si>
  <si>
    <t>TORRAZZA PIEMONTE</t>
  </si>
  <si>
    <t>001273</t>
  </si>
  <si>
    <t>10037</t>
  </si>
  <si>
    <t>TORRE CANAVESE</t>
  </si>
  <si>
    <t>001274</t>
  </si>
  <si>
    <t>TORRE PELLICE</t>
  </si>
  <si>
    <t>001275</t>
  </si>
  <si>
    <t>10066</t>
  </si>
  <si>
    <t>TRANA</t>
  </si>
  <si>
    <t>001276</t>
  </si>
  <si>
    <t>TRAVERSELLA</t>
  </si>
  <si>
    <t>001278</t>
  </si>
  <si>
    <t>TRAVES</t>
  </si>
  <si>
    <t>001279</t>
  </si>
  <si>
    <t>TROFARELLO</t>
  </si>
  <si>
    <t>001280</t>
  </si>
  <si>
    <t>10028</t>
  </si>
  <si>
    <t>USSEAUX</t>
  </si>
  <si>
    <t>001281</t>
  </si>
  <si>
    <t>USSEGLIO</t>
  </si>
  <si>
    <t>001282</t>
  </si>
  <si>
    <t>VAIE</t>
  </si>
  <si>
    <t>001283</t>
  </si>
  <si>
    <t>VAL DELLA TORRE</t>
  </si>
  <si>
    <t>001284</t>
  </si>
  <si>
    <t>VALGIOIE</t>
  </si>
  <si>
    <t>001285</t>
  </si>
  <si>
    <t>VALLO TORINESE</t>
  </si>
  <si>
    <t>001286</t>
  </si>
  <si>
    <t>VALPERGA</t>
  </si>
  <si>
    <t>001287</t>
  </si>
  <si>
    <t>10087</t>
  </si>
  <si>
    <t>VALPRATO SOANA</t>
  </si>
  <si>
    <t>001288</t>
  </si>
  <si>
    <t>VARISELLA</t>
  </si>
  <si>
    <t>001289</t>
  </si>
  <si>
    <t>VAUDA CANAVESE</t>
  </si>
  <si>
    <t>001290</t>
  </si>
  <si>
    <t>VENAUS</t>
  </si>
  <si>
    <t>001291</t>
  </si>
  <si>
    <t>VENARIA REALE</t>
  </si>
  <si>
    <t>001292</t>
  </si>
  <si>
    <t>10078</t>
  </si>
  <si>
    <t>VEROLENGO</t>
  </si>
  <si>
    <t>001293</t>
  </si>
  <si>
    <t>10038</t>
  </si>
  <si>
    <t>VERRUA SAVOIA</t>
  </si>
  <si>
    <t>001294</t>
  </si>
  <si>
    <t>VESTIGNÈ</t>
  </si>
  <si>
    <t>001295</t>
  </si>
  <si>
    <t>VIALFRÈ</t>
  </si>
  <si>
    <t>001296</t>
  </si>
  <si>
    <t>VIDRACCO</t>
  </si>
  <si>
    <t>001298</t>
  </si>
  <si>
    <t>VIGONE</t>
  </si>
  <si>
    <t>001299</t>
  </si>
  <si>
    <t>10067</t>
  </si>
  <si>
    <t>VILLAFRANCA PIEMONTE</t>
  </si>
  <si>
    <t>001300</t>
  </si>
  <si>
    <t>10068</t>
  </si>
  <si>
    <t>VILLANOVA CANAVESE</t>
  </si>
  <si>
    <t>001301</t>
  </si>
  <si>
    <t>VILLARBASSE</t>
  </si>
  <si>
    <t>001302</t>
  </si>
  <si>
    <t>VILLAR DORA</t>
  </si>
  <si>
    <t>001303</t>
  </si>
  <si>
    <t>VILLAREGGIA</t>
  </si>
  <si>
    <t>001304</t>
  </si>
  <si>
    <t>VILLAR FOCCHIARDO</t>
  </si>
  <si>
    <t>001305</t>
  </si>
  <si>
    <t>VILLAR PELLICE</t>
  </si>
  <si>
    <t>001306</t>
  </si>
  <si>
    <t>VILLAR PEROSA</t>
  </si>
  <si>
    <t>001307</t>
  </si>
  <si>
    <t>10069</t>
  </si>
  <si>
    <t>VILLASTELLONE</t>
  </si>
  <si>
    <t>001308</t>
  </si>
  <si>
    <t>10029</t>
  </si>
  <si>
    <t>VINOVO</t>
  </si>
  <si>
    <t>001309</t>
  </si>
  <si>
    <t>10048</t>
  </si>
  <si>
    <t>VIRLE PIEMONTE</t>
  </si>
  <si>
    <t>001310</t>
  </si>
  <si>
    <t>VISCHE</t>
  </si>
  <si>
    <t>001311</t>
  </si>
  <si>
    <t>VISTRORIO</t>
  </si>
  <si>
    <t>001312</t>
  </si>
  <si>
    <t>VIÙ</t>
  </si>
  <si>
    <t>001313</t>
  </si>
  <si>
    <t>VOLPIANO</t>
  </si>
  <si>
    <t>001314</t>
  </si>
  <si>
    <t>10088</t>
  </si>
  <si>
    <t>VOLVERA</t>
  </si>
  <si>
    <t>001315</t>
  </si>
  <si>
    <t>MAPPANO</t>
  </si>
  <si>
    <t>001316</t>
  </si>
  <si>
    <t>VAL DI CHY</t>
  </si>
  <si>
    <t>001317</t>
  </si>
  <si>
    <t>VALCHIUSA</t>
  </si>
  <si>
    <t>001318</t>
  </si>
  <si>
    <t>ALAGNA VALSESIA</t>
  </si>
  <si>
    <t>002002</t>
  </si>
  <si>
    <t>VC</t>
  </si>
  <si>
    <t>13021</t>
  </si>
  <si>
    <t>ALBANO VERCELLESE</t>
  </si>
  <si>
    <t>002003</t>
  </si>
  <si>
    <t>13030</t>
  </si>
  <si>
    <t>ALICE CASTELLO</t>
  </si>
  <si>
    <t>002004</t>
  </si>
  <si>
    <t>13040</t>
  </si>
  <si>
    <t>ARBORIO</t>
  </si>
  <si>
    <t>002006</t>
  </si>
  <si>
    <t>13031</t>
  </si>
  <si>
    <t>ASIGLIANO VERCELLESE</t>
  </si>
  <si>
    <t>002007</t>
  </si>
  <si>
    <t>13032</t>
  </si>
  <si>
    <t>BALMUCCIA</t>
  </si>
  <si>
    <t>002008</t>
  </si>
  <si>
    <t>13020</t>
  </si>
  <si>
    <t>BALOCCO</t>
  </si>
  <si>
    <t>002009</t>
  </si>
  <si>
    <t>BIANZÈ</t>
  </si>
  <si>
    <t>002011</t>
  </si>
  <si>
    <t>13041</t>
  </si>
  <si>
    <t>BOCCIOLETO</t>
  </si>
  <si>
    <t>002014</t>
  </si>
  <si>
    <t>13022</t>
  </si>
  <si>
    <t>BORGO D'ALE</t>
  </si>
  <si>
    <t>002015</t>
  </si>
  <si>
    <t>BORGOSESIA</t>
  </si>
  <si>
    <t>002016</t>
  </si>
  <si>
    <t>13011</t>
  </si>
  <si>
    <t>BORGO VERCELLI</t>
  </si>
  <si>
    <t>002017</t>
  </si>
  <si>
    <t>13012</t>
  </si>
  <si>
    <t>BURONZO</t>
  </si>
  <si>
    <t>002021</t>
  </si>
  <si>
    <t>CAMPERTOGNO</t>
  </si>
  <si>
    <t>002025</t>
  </si>
  <si>
    <t>13023</t>
  </si>
  <si>
    <t>CARCOFORO</t>
  </si>
  <si>
    <t>002029</t>
  </si>
  <si>
    <t>13026</t>
  </si>
  <si>
    <t>CARESANA</t>
  </si>
  <si>
    <t>002030</t>
  </si>
  <si>
    <t>13010</t>
  </si>
  <si>
    <t>CARESANABLOT</t>
  </si>
  <si>
    <t>002031</t>
  </si>
  <si>
    <t>CARISIO</t>
  </si>
  <si>
    <t>002032</t>
  </si>
  <si>
    <t>CASANOVA ELVO</t>
  </si>
  <si>
    <t>002033</t>
  </si>
  <si>
    <t>SAN GIACOMO VERCELLESE</t>
  </si>
  <si>
    <t>002035</t>
  </si>
  <si>
    <t>CERVATTO</t>
  </si>
  <si>
    <t>002041</t>
  </si>
  <si>
    <t>13025</t>
  </si>
  <si>
    <t>CIGLIANO</t>
  </si>
  <si>
    <t>002042</t>
  </si>
  <si>
    <t>13043</t>
  </si>
  <si>
    <t>CIVIASCO</t>
  </si>
  <si>
    <t>002043</t>
  </si>
  <si>
    <t>COLLOBIANO</t>
  </si>
  <si>
    <t>002045</t>
  </si>
  <si>
    <t>COSTANZANA</t>
  </si>
  <si>
    <t>002047</t>
  </si>
  <si>
    <t>13033</t>
  </si>
  <si>
    <t>CRAVAGLIANA</t>
  </si>
  <si>
    <t>002048</t>
  </si>
  <si>
    <t>CRESCENTINO</t>
  </si>
  <si>
    <t>002049</t>
  </si>
  <si>
    <t>13044</t>
  </si>
  <si>
    <t>CROVA</t>
  </si>
  <si>
    <t>002052</t>
  </si>
  <si>
    <t>DESANA</t>
  </si>
  <si>
    <t>002054</t>
  </si>
  <si>
    <t>13034</t>
  </si>
  <si>
    <t>FOBELLO</t>
  </si>
  <si>
    <t>002057</t>
  </si>
  <si>
    <t>FONTANETTO PO</t>
  </si>
  <si>
    <t>002058</t>
  </si>
  <si>
    <t>FORMIGLIANA</t>
  </si>
  <si>
    <t>002059</t>
  </si>
  <si>
    <t>GATTINARA</t>
  </si>
  <si>
    <t>002061</t>
  </si>
  <si>
    <t>13045</t>
  </si>
  <si>
    <t>GHISLARENGO</t>
  </si>
  <si>
    <t>002062</t>
  </si>
  <si>
    <t>GREGGIO</t>
  </si>
  <si>
    <t>002065</t>
  </si>
  <si>
    <t>GUARDABOSONE</t>
  </si>
  <si>
    <t>002066</t>
  </si>
  <si>
    <t>LAMPORO</t>
  </si>
  <si>
    <t>002067</t>
  </si>
  <si>
    <t>13046</t>
  </si>
  <si>
    <t>LENTA</t>
  </si>
  <si>
    <t>002068</t>
  </si>
  <si>
    <t>13035</t>
  </si>
  <si>
    <t>LIGNANA</t>
  </si>
  <si>
    <t>002070</t>
  </si>
  <si>
    <t>LIVORNO FERRARIS</t>
  </si>
  <si>
    <t>002071</t>
  </si>
  <si>
    <t>LOZZOLO</t>
  </si>
  <si>
    <t>002072</t>
  </si>
  <si>
    <t>MOLLIA</t>
  </si>
  <si>
    <t>002078</t>
  </si>
  <si>
    <t>MONCRIVELLO</t>
  </si>
  <si>
    <t>002079</t>
  </si>
  <si>
    <t>MOTTA DE' CONTI</t>
  </si>
  <si>
    <t>002082</t>
  </si>
  <si>
    <t>OLCENENGO</t>
  </si>
  <si>
    <t>002088</t>
  </si>
  <si>
    <t>13047</t>
  </si>
  <si>
    <t>OLDENICO</t>
  </si>
  <si>
    <t>002089</t>
  </si>
  <si>
    <t>PALAZZOLO VERCELLESE</t>
  </si>
  <si>
    <t>002090</t>
  </si>
  <si>
    <t>PERTENGO</t>
  </si>
  <si>
    <t>002091</t>
  </si>
  <si>
    <t>PEZZANA</t>
  </si>
  <si>
    <t>002093</t>
  </si>
  <si>
    <t>PILA</t>
  </si>
  <si>
    <t>002096</t>
  </si>
  <si>
    <t>PIODE</t>
  </si>
  <si>
    <t>002097</t>
  </si>
  <si>
    <t>POSTUA</t>
  </si>
  <si>
    <t>002102</t>
  </si>
  <si>
    <t>PRAROLO</t>
  </si>
  <si>
    <t>002104</t>
  </si>
  <si>
    <t>QUARONA</t>
  </si>
  <si>
    <t>002107</t>
  </si>
  <si>
    <t>13017</t>
  </si>
  <si>
    <t>QUINTO VERCELLESE</t>
  </si>
  <si>
    <t>002108</t>
  </si>
  <si>
    <t>RASSA</t>
  </si>
  <si>
    <t>002110</t>
  </si>
  <si>
    <t>RIMELLA</t>
  </si>
  <si>
    <t>002113</t>
  </si>
  <si>
    <t>RIVE</t>
  </si>
  <si>
    <t>002115</t>
  </si>
  <si>
    <t>ROASIO</t>
  </si>
  <si>
    <t>002116</t>
  </si>
  <si>
    <t>13060</t>
  </si>
  <si>
    <t>RONSECCO</t>
  </si>
  <si>
    <t>002118</t>
  </si>
  <si>
    <t>13036</t>
  </si>
  <si>
    <t>ROSSA</t>
  </si>
  <si>
    <t>002121</t>
  </si>
  <si>
    <t>ROVASENDA</t>
  </si>
  <si>
    <t>002122</t>
  </si>
  <si>
    <t>SALASCO</t>
  </si>
  <si>
    <t>002126</t>
  </si>
  <si>
    <t>SALI VERCELLESE</t>
  </si>
  <si>
    <t>002127</t>
  </si>
  <si>
    <t>SALUGGIA</t>
  </si>
  <si>
    <t>002128</t>
  </si>
  <si>
    <t>SAN GERMANO VERCELLESE</t>
  </si>
  <si>
    <t>002131</t>
  </si>
  <si>
    <t>SANTHIÀ</t>
  </si>
  <si>
    <t>002133</t>
  </si>
  <si>
    <t>13048</t>
  </si>
  <si>
    <t>SCOPA</t>
  </si>
  <si>
    <t>002134</t>
  </si>
  <si>
    <t>13027</t>
  </si>
  <si>
    <t>SCOPELLO</t>
  </si>
  <si>
    <t>002135</t>
  </si>
  <si>
    <t>13028</t>
  </si>
  <si>
    <t>SERRAVALLE SESIA</t>
  </si>
  <si>
    <t>002137</t>
  </si>
  <si>
    <t>13037</t>
  </si>
  <si>
    <t>STROPPIANA</t>
  </si>
  <si>
    <t>002142</t>
  </si>
  <si>
    <t>TRICERRO</t>
  </si>
  <si>
    <t>002147</t>
  </si>
  <si>
    <t>13038</t>
  </si>
  <si>
    <t>TRINO</t>
  </si>
  <si>
    <t>002148</t>
  </si>
  <si>
    <t>13039</t>
  </si>
  <si>
    <t>TRONZANO VERCELLESE</t>
  </si>
  <si>
    <t>002150</t>
  </si>
  <si>
    <t>13049</t>
  </si>
  <si>
    <t>VALDUGGIA</t>
  </si>
  <si>
    <t>002152</t>
  </si>
  <si>
    <t>13018</t>
  </si>
  <si>
    <t>VARALLO</t>
  </si>
  <si>
    <t>002156</t>
  </si>
  <si>
    <t>13019</t>
  </si>
  <si>
    <t>VERCELLI</t>
  </si>
  <si>
    <t>002158</t>
  </si>
  <si>
    <t>13100</t>
  </si>
  <si>
    <t>VILLARBOIT</t>
  </si>
  <si>
    <t>002163</t>
  </si>
  <si>
    <t>VILLATA</t>
  </si>
  <si>
    <t>002164</t>
  </si>
  <si>
    <t>VOCCA</t>
  </si>
  <si>
    <t>002166</t>
  </si>
  <si>
    <t>ALTO SERMENZA</t>
  </si>
  <si>
    <t>002170</t>
  </si>
  <si>
    <t>CELLIO CON BREIA</t>
  </si>
  <si>
    <t>002171</t>
  </si>
  <si>
    <t>AGRATE CONTURBIA</t>
  </si>
  <si>
    <t>003001</t>
  </si>
  <si>
    <t>28010</t>
  </si>
  <si>
    <t>AMENO</t>
  </si>
  <si>
    <t>003002</t>
  </si>
  <si>
    <t>ARMENO</t>
  </si>
  <si>
    <t>003006</t>
  </si>
  <si>
    <t>28011</t>
  </si>
  <si>
    <t>ARONA</t>
  </si>
  <si>
    <t>003008</t>
  </si>
  <si>
    <t>28041</t>
  </si>
  <si>
    <t>BARENGO</t>
  </si>
  <si>
    <t>003012</t>
  </si>
  <si>
    <t>BELLINZAGO NOVARESE</t>
  </si>
  <si>
    <t>003016</t>
  </si>
  <si>
    <t>28043</t>
  </si>
  <si>
    <t>BIANDRATE</t>
  </si>
  <si>
    <t>003018</t>
  </si>
  <si>
    <t>28061</t>
  </si>
  <si>
    <t>BOCA</t>
  </si>
  <si>
    <t>003019</t>
  </si>
  <si>
    <t>BOGOGNO</t>
  </si>
  <si>
    <t>003021</t>
  </si>
  <si>
    <t>BOLZANO NOVARESE</t>
  </si>
  <si>
    <t>003022</t>
  </si>
  <si>
    <t>BORGOLAVEZZARO</t>
  </si>
  <si>
    <t>003023</t>
  </si>
  <si>
    <t>28071</t>
  </si>
  <si>
    <t>BORGOMANERO</t>
  </si>
  <si>
    <t>003024</t>
  </si>
  <si>
    <t>28021</t>
  </si>
  <si>
    <t>BORGO TICINO</t>
  </si>
  <si>
    <t>003025</t>
  </si>
  <si>
    <t>28040</t>
  </si>
  <si>
    <t>BRIGA NOVARESE</t>
  </si>
  <si>
    <t>003026</t>
  </si>
  <si>
    <t>BRIONA</t>
  </si>
  <si>
    <t>003027</t>
  </si>
  <si>
    <t>28072</t>
  </si>
  <si>
    <t>CALTIGNAGA</t>
  </si>
  <si>
    <t>003030</t>
  </si>
  <si>
    <t>CAMERI</t>
  </si>
  <si>
    <t>003032</t>
  </si>
  <si>
    <t>28062</t>
  </si>
  <si>
    <t>CARPIGNANO SESIA</t>
  </si>
  <si>
    <t>003036</t>
  </si>
  <si>
    <t>28064</t>
  </si>
  <si>
    <t>CASALBELTRAME</t>
  </si>
  <si>
    <t>003037</t>
  </si>
  <si>
    <t>28060</t>
  </si>
  <si>
    <t>CASALEGGIO NOVARA</t>
  </si>
  <si>
    <t>003039</t>
  </si>
  <si>
    <t>CASALINO</t>
  </si>
  <si>
    <t>003040</t>
  </si>
  <si>
    <t>CASALVOLONE</t>
  </si>
  <si>
    <t>003041</t>
  </si>
  <si>
    <t>CASTELLAZZO NOVARESE</t>
  </si>
  <si>
    <t>003042</t>
  </si>
  <si>
    <t>CASTELLETTO SOPRA TICINO</t>
  </si>
  <si>
    <t>003043</t>
  </si>
  <si>
    <t>28053</t>
  </si>
  <si>
    <t>CAVAGLIETTO</t>
  </si>
  <si>
    <t>003044</t>
  </si>
  <si>
    <t>CAVAGLIO D'AGOGNA</t>
  </si>
  <si>
    <t>003045</t>
  </si>
  <si>
    <t>CAVALLIRIO</t>
  </si>
  <si>
    <t>003047</t>
  </si>
  <si>
    <t>CERANO</t>
  </si>
  <si>
    <t>003049</t>
  </si>
  <si>
    <t>28065</t>
  </si>
  <si>
    <t>COLAZZA</t>
  </si>
  <si>
    <t>003051</t>
  </si>
  <si>
    <t>COMIGNAGO</t>
  </si>
  <si>
    <t>003052</t>
  </si>
  <si>
    <t>CRESSA</t>
  </si>
  <si>
    <t>003055</t>
  </si>
  <si>
    <t>28012</t>
  </si>
  <si>
    <t>CUREGGIO</t>
  </si>
  <si>
    <t>003058</t>
  </si>
  <si>
    <t>DIVIGNANO</t>
  </si>
  <si>
    <t>003060</t>
  </si>
  <si>
    <t>DORMELLETTO</t>
  </si>
  <si>
    <t>003062</t>
  </si>
  <si>
    <t>FARA NOVARESE</t>
  </si>
  <si>
    <t>003065</t>
  </si>
  <si>
    <t>28073</t>
  </si>
  <si>
    <t>FONTANETO D'AGOGNA</t>
  </si>
  <si>
    <t>003066</t>
  </si>
  <si>
    <t>GALLIATE</t>
  </si>
  <si>
    <t>003068</t>
  </si>
  <si>
    <t>28066</t>
  </si>
  <si>
    <t>GARBAGNA NOVARESE</t>
  </si>
  <si>
    <t>003069</t>
  </si>
  <si>
    <t>28070</t>
  </si>
  <si>
    <t>GARGALLO</t>
  </si>
  <si>
    <t>003070</t>
  </si>
  <si>
    <t>GHEMME</t>
  </si>
  <si>
    <t>003073</t>
  </si>
  <si>
    <t>28074</t>
  </si>
  <si>
    <t>GOZZANO</t>
  </si>
  <si>
    <t>003076</t>
  </si>
  <si>
    <t>28024</t>
  </si>
  <si>
    <t>GRANOZZO CON MONTICELLO</t>
  </si>
  <si>
    <t>003077</t>
  </si>
  <si>
    <t>GRIGNASCO</t>
  </si>
  <si>
    <t>003079</t>
  </si>
  <si>
    <t>28075</t>
  </si>
  <si>
    <t>INVORIO</t>
  </si>
  <si>
    <t>003082</t>
  </si>
  <si>
    <t>28045</t>
  </si>
  <si>
    <t>LANDIONA</t>
  </si>
  <si>
    <t>003083</t>
  </si>
  <si>
    <t>LESA</t>
  </si>
  <si>
    <t>003084</t>
  </si>
  <si>
    <t>MAGGIORA</t>
  </si>
  <si>
    <t>003088</t>
  </si>
  <si>
    <t>28014</t>
  </si>
  <si>
    <t>MANDELLO VITTA</t>
  </si>
  <si>
    <t>003090</t>
  </si>
  <si>
    <t>MARANO TICINO</t>
  </si>
  <si>
    <t>003091</t>
  </si>
  <si>
    <t>MASSINO VISCONTI</t>
  </si>
  <si>
    <t>003093</t>
  </si>
  <si>
    <t>MEINA</t>
  </si>
  <si>
    <t>003095</t>
  </si>
  <si>
    <t>28046</t>
  </si>
  <si>
    <t>MEZZOMERICO</t>
  </si>
  <si>
    <t>003097</t>
  </si>
  <si>
    <t>MIASINO</t>
  </si>
  <si>
    <t>003098</t>
  </si>
  <si>
    <t>MOMO</t>
  </si>
  <si>
    <t>003100</t>
  </si>
  <si>
    <t>28015</t>
  </si>
  <si>
    <t>NEBBIUNO</t>
  </si>
  <si>
    <t>003103</t>
  </si>
  <si>
    <t>NIBBIOLA</t>
  </si>
  <si>
    <t>003104</t>
  </si>
  <si>
    <t>NOVARA</t>
  </si>
  <si>
    <t>003106</t>
  </si>
  <si>
    <t>28100</t>
  </si>
  <si>
    <t>OLEGGIO</t>
  </si>
  <si>
    <t>003108</t>
  </si>
  <si>
    <t>28047</t>
  </si>
  <si>
    <t>OLEGGIO CASTELLO</t>
  </si>
  <si>
    <t>003109</t>
  </si>
  <si>
    <t>ORTA SAN GIULIO</t>
  </si>
  <si>
    <t>003112</t>
  </si>
  <si>
    <t>28016</t>
  </si>
  <si>
    <t>PARUZZARO</t>
  </si>
  <si>
    <t>003114</t>
  </si>
  <si>
    <t>PELLA</t>
  </si>
  <si>
    <t>003115</t>
  </si>
  <si>
    <t>PETTENASCO</t>
  </si>
  <si>
    <t>003116</t>
  </si>
  <si>
    <t>28028</t>
  </si>
  <si>
    <t>PISANO</t>
  </si>
  <si>
    <t>003119</t>
  </si>
  <si>
    <t>POGNO</t>
  </si>
  <si>
    <t>003120</t>
  </si>
  <si>
    <t>28076</t>
  </si>
  <si>
    <t>POMBIA</t>
  </si>
  <si>
    <t>003121</t>
  </si>
  <si>
    <t>28050</t>
  </si>
  <si>
    <t>PRATO SESIA</t>
  </si>
  <si>
    <t>003122</t>
  </si>
  <si>
    <t>28077</t>
  </si>
  <si>
    <t>RECETTO</t>
  </si>
  <si>
    <t>003129</t>
  </si>
  <si>
    <t>ROMAGNANO SESIA</t>
  </si>
  <si>
    <t>003130</t>
  </si>
  <si>
    <t>28078</t>
  </si>
  <si>
    <t>ROMENTINO</t>
  </si>
  <si>
    <t>003131</t>
  </si>
  <si>
    <t>28068</t>
  </si>
  <si>
    <t>SAN MAURIZIO D'OPAGLIO</t>
  </si>
  <si>
    <t>003133</t>
  </si>
  <si>
    <t>28017</t>
  </si>
  <si>
    <t>SAN NAZZARO SESIA</t>
  </si>
  <si>
    <t>003134</t>
  </si>
  <si>
    <t>SAN PIETRO MOSEZZO</t>
  </si>
  <si>
    <t>003135</t>
  </si>
  <si>
    <t>SILLAVENGO</t>
  </si>
  <si>
    <t>003138</t>
  </si>
  <si>
    <t>SIZZANO</t>
  </si>
  <si>
    <t>003139</t>
  </si>
  <si>
    <t>SORISO</t>
  </si>
  <si>
    <t>003140</t>
  </si>
  <si>
    <t>SOZZAGO</t>
  </si>
  <si>
    <t>003141</t>
  </si>
  <si>
    <t>SUNO</t>
  </si>
  <si>
    <t>003143</t>
  </si>
  <si>
    <t>28019</t>
  </si>
  <si>
    <t>TERDOBBIATE</t>
  </si>
  <si>
    <t>003144</t>
  </si>
  <si>
    <t>TORNACO</t>
  </si>
  <si>
    <t>003146</t>
  </si>
  <si>
    <t>TRECATE</t>
  </si>
  <si>
    <t>003149</t>
  </si>
  <si>
    <t>28069</t>
  </si>
  <si>
    <t>VAPRIO D'AGOGNA</t>
  </si>
  <si>
    <t>003153</t>
  </si>
  <si>
    <t>VARALLO POMBIA</t>
  </si>
  <si>
    <t>003154</t>
  </si>
  <si>
    <t>VESPOLATE</t>
  </si>
  <si>
    <t>003158</t>
  </si>
  <si>
    <t>28079</t>
  </si>
  <si>
    <t>VICOLUNGO</t>
  </si>
  <si>
    <t>003159</t>
  </si>
  <si>
    <t>VINZAGLIO</t>
  </si>
  <si>
    <t>003164</t>
  </si>
  <si>
    <t>GATTICO-VERUNO</t>
  </si>
  <si>
    <t>003166</t>
  </si>
  <si>
    <t>ACCEGLIO</t>
  </si>
  <si>
    <t>004001</t>
  </si>
  <si>
    <t>CN</t>
  </si>
  <si>
    <t>12021</t>
  </si>
  <si>
    <t>AISONE</t>
  </si>
  <si>
    <t>004002</t>
  </si>
  <si>
    <t>12010</t>
  </si>
  <si>
    <t>ALBA</t>
  </si>
  <si>
    <t>004003</t>
  </si>
  <si>
    <t>12051</t>
  </si>
  <si>
    <t>ALBARETTO DELLA TORRE</t>
  </si>
  <si>
    <t>004004</t>
  </si>
  <si>
    <t>12050</t>
  </si>
  <si>
    <t>ALTO</t>
  </si>
  <si>
    <t>004005</t>
  </si>
  <si>
    <t>12070</t>
  </si>
  <si>
    <t>ARGENTERA</t>
  </si>
  <si>
    <t>004006</t>
  </si>
  <si>
    <t>ARGUELLO</t>
  </si>
  <si>
    <t>004007</t>
  </si>
  <si>
    <t>BAGNASCO</t>
  </si>
  <si>
    <t>004008</t>
  </si>
  <si>
    <t>12071</t>
  </si>
  <si>
    <t>BAGNOLO PIEMONTE</t>
  </si>
  <si>
    <t>004009</t>
  </si>
  <si>
    <t>12031</t>
  </si>
  <si>
    <t>BALDISSERO D'ALBA</t>
  </si>
  <si>
    <t>004010</t>
  </si>
  <si>
    <t>12040</t>
  </si>
  <si>
    <t>BARBARESCO</t>
  </si>
  <si>
    <t>004011</t>
  </si>
  <si>
    <t>BARGE</t>
  </si>
  <si>
    <t>004012</t>
  </si>
  <si>
    <t>12032</t>
  </si>
  <si>
    <t>BAROLO</t>
  </si>
  <si>
    <t>004013</t>
  </si>
  <si>
    <t>12060</t>
  </si>
  <si>
    <t>BASTIA MONDOVÌ</t>
  </si>
  <si>
    <t>004014</t>
  </si>
  <si>
    <t>BATTIFOLLO</t>
  </si>
  <si>
    <t>004015</t>
  </si>
  <si>
    <t>BEINETTE</t>
  </si>
  <si>
    <t>004016</t>
  </si>
  <si>
    <t>12081</t>
  </si>
  <si>
    <t>BELLINO</t>
  </si>
  <si>
    <t>004017</t>
  </si>
  <si>
    <t>12020</t>
  </si>
  <si>
    <t>BELVEDERE LANGHE</t>
  </si>
  <si>
    <t>004018</t>
  </si>
  <si>
    <t>BENE VAGIENNA</t>
  </si>
  <si>
    <t>004019</t>
  </si>
  <si>
    <t>12041</t>
  </si>
  <si>
    <t>BENEVELLO</t>
  </si>
  <si>
    <t>004020</t>
  </si>
  <si>
    <t>BERGOLO</t>
  </si>
  <si>
    <t>004021</t>
  </si>
  <si>
    <t>12074</t>
  </si>
  <si>
    <t>BERNEZZO</t>
  </si>
  <si>
    <t>004022</t>
  </si>
  <si>
    <t>BONVICINO</t>
  </si>
  <si>
    <t>004023</t>
  </si>
  <si>
    <t>BORGOMALE</t>
  </si>
  <si>
    <t>004024</t>
  </si>
  <si>
    <t>BORGO SAN DALMAZZO</t>
  </si>
  <si>
    <t>004025</t>
  </si>
  <si>
    <t>12011</t>
  </si>
  <si>
    <t>BOSIA</t>
  </si>
  <si>
    <t>004026</t>
  </si>
  <si>
    <t>BOSSOLASCO</t>
  </si>
  <si>
    <t>004027</t>
  </si>
  <si>
    <t>BOVES</t>
  </si>
  <si>
    <t>004028</t>
  </si>
  <si>
    <t>12012</t>
  </si>
  <si>
    <t>BRA</t>
  </si>
  <si>
    <t>004029</t>
  </si>
  <si>
    <t>12042</t>
  </si>
  <si>
    <t>BRIAGLIA</t>
  </si>
  <si>
    <t>004030</t>
  </si>
  <si>
    <t>12080</t>
  </si>
  <si>
    <t>BRIGA ALTA</t>
  </si>
  <si>
    <t>004031</t>
  </si>
  <si>
    <t>18025</t>
  </si>
  <si>
    <t>BRONDELLO</t>
  </si>
  <si>
    <t>004032</t>
  </si>
  <si>
    <t>12030</t>
  </si>
  <si>
    <t>BROSSASCO</t>
  </si>
  <si>
    <t>004033</t>
  </si>
  <si>
    <t>BUSCA</t>
  </si>
  <si>
    <t>004034</t>
  </si>
  <si>
    <t>12022</t>
  </si>
  <si>
    <t>CAMERANA</t>
  </si>
  <si>
    <t>004035</t>
  </si>
  <si>
    <t>12072</t>
  </si>
  <si>
    <t>CANALE</t>
  </si>
  <si>
    <t>004037</t>
  </si>
  <si>
    <t>12043</t>
  </si>
  <si>
    <t>CANOSIO</t>
  </si>
  <si>
    <t>004038</t>
  </si>
  <si>
    <t>CAPRAUNA</t>
  </si>
  <si>
    <t>004039</t>
  </si>
  <si>
    <t>CARAGLIO</t>
  </si>
  <si>
    <t>004040</t>
  </si>
  <si>
    <t>12023</t>
  </si>
  <si>
    <t>CARAMAGNA PIEMONTE</t>
  </si>
  <si>
    <t>004041</t>
  </si>
  <si>
    <t>CARDÈ</t>
  </si>
  <si>
    <t>004042</t>
  </si>
  <si>
    <t>CARRÙ</t>
  </si>
  <si>
    <t>004043</t>
  </si>
  <si>
    <t>12061</t>
  </si>
  <si>
    <t>CARTIGNANO</t>
  </si>
  <si>
    <t>004044</t>
  </si>
  <si>
    <t>CASALGRASSO</t>
  </si>
  <si>
    <t>004045</t>
  </si>
  <si>
    <t>CASTAGNITO</t>
  </si>
  <si>
    <t>004046</t>
  </si>
  <si>
    <t>CASTELDELFINO</t>
  </si>
  <si>
    <t>004047</t>
  </si>
  <si>
    <t>CASTELLETTO STURA</t>
  </si>
  <si>
    <t>004049</t>
  </si>
  <si>
    <t>CASTELLETTO UZZONE</t>
  </si>
  <si>
    <t>004050</t>
  </si>
  <si>
    <t>CASTELLINALDO D'ALBA</t>
  </si>
  <si>
    <t>004051</t>
  </si>
  <si>
    <t>CASTELLINO TANARO</t>
  </si>
  <si>
    <t>004052</t>
  </si>
  <si>
    <t>CASTELMAGNO</t>
  </si>
  <si>
    <t>004053</t>
  </si>
  <si>
    <t>CASTELNUOVO DI CEVA</t>
  </si>
  <si>
    <t>004054</t>
  </si>
  <si>
    <t>CASTIGLIONE FALLETTO</t>
  </si>
  <si>
    <t>004055</t>
  </si>
  <si>
    <t>CASTIGLIONE TINELLA</t>
  </si>
  <si>
    <t>004056</t>
  </si>
  <si>
    <t>12053</t>
  </si>
  <si>
    <t>CASTINO</t>
  </si>
  <si>
    <t>004057</t>
  </si>
  <si>
    <t>CAVALLERLEONE</t>
  </si>
  <si>
    <t>004058</t>
  </si>
  <si>
    <t>CAVALLERMAGGIORE</t>
  </si>
  <si>
    <t>004059</t>
  </si>
  <si>
    <t>CELLE DI MACRA</t>
  </si>
  <si>
    <t>004060</t>
  </si>
  <si>
    <t>CENTALLO</t>
  </si>
  <si>
    <t>004061</t>
  </si>
  <si>
    <t>12044</t>
  </si>
  <si>
    <t>CERESOLE ALBA</t>
  </si>
  <si>
    <t>004062</t>
  </si>
  <si>
    <t>CERRETTO LANGHE</t>
  </si>
  <si>
    <t>004063</t>
  </si>
  <si>
    <t>CERVASCA</t>
  </si>
  <si>
    <t>004064</t>
  </si>
  <si>
    <t>CERVERE</t>
  </si>
  <si>
    <t>004065</t>
  </si>
  <si>
    <t>CEVA</t>
  </si>
  <si>
    <t>004066</t>
  </si>
  <si>
    <t>12073</t>
  </si>
  <si>
    <t>CHERASCO</t>
  </si>
  <si>
    <t>004067</t>
  </si>
  <si>
    <t>12062</t>
  </si>
  <si>
    <t>CHIUSA DI PESIO</t>
  </si>
  <si>
    <t>004068</t>
  </si>
  <si>
    <t>12013</t>
  </si>
  <si>
    <t>CIGLIÈ</t>
  </si>
  <si>
    <t>004069</t>
  </si>
  <si>
    <t>CISSONE</t>
  </si>
  <si>
    <t>004070</t>
  </si>
  <si>
    <t>CLAVESANA</t>
  </si>
  <si>
    <t>004071</t>
  </si>
  <si>
    <t>CORNELIANO D'ALBA</t>
  </si>
  <si>
    <t>004072</t>
  </si>
  <si>
    <t>CORTEMILIA</t>
  </si>
  <si>
    <t>004073</t>
  </si>
  <si>
    <t>COSSANO BELBO</t>
  </si>
  <si>
    <t>004074</t>
  </si>
  <si>
    <t>12054</t>
  </si>
  <si>
    <t>COSTIGLIOLE SALUZZO</t>
  </si>
  <si>
    <t>004075</t>
  </si>
  <si>
    <t>12024</t>
  </si>
  <si>
    <t>CRAVANZANA</t>
  </si>
  <si>
    <t>004076</t>
  </si>
  <si>
    <t>CRISSOLO</t>
  </si>
  <si>
    <t>004077</t>
  </si>
  <si>
    <t>CUNEO</t>
  </si>
  <si>
    <t>004078</t>
  </si>
  <si>
    <t>12100</t>
  </si>
  <si>
    <t>DEMONTE</t>
  </si>
  <si>
    <t>004079</t>
  </si>
  <si>
    <t>12014</t>
  </si>
  <si>
    <t>DIANO D'ALBA</t>
  </si>
  <si>
    <t>004080</t>
  </si>
  <si>
    <t>12055</t>
  </si>
  <si>
    <t>DOGLIANI</t>
  </si>
  <si>
    <t>004081</t>
  </si>
  <si>
    <t>12063</t>
  </si>
  <si>
    <t>DRONERO</t>
  </si>
  <si>
    <t>004082</t>
  </si>
  <si>
    <t>12025</t>
  </si>
  <si>
    <t>ELVA</t>
  </si>
  <si>
    <t>004083</t>
  </si>
  <si>
    <t>ENTRACQUE</t>
  </si>
  <si>
    <t>004084</t>
  </si>
  <si>
    <t>ENVIE</t>
  </si>
  <si>
    <t>004085</t>
  </si>
  <si>
    <t>FARIGLIANO</t>
  </si>
  <si>
    <t>004086</t>
  </si>
  <si>
    <t>FAULE</t>
  </si>
  <si>
    <t>004087</t>
  </si>
  <si>
    <t>FEISOGLIO</t>
  </si>
  <si>
    <t>004088</t>
  </si>
  <si>
    <t>FOSSANO</t>
  </si>
  <si>
    <t>004089</t>
  </si>
  <si>
    <t>12045</t>
  </si>
  <si>
    <t>FRABOSA SOPRANA</t>
  </si>
  <si>
    <t>004090</t>
  </si>
  <si>
    <t>12082</t>
  </si>
  <si>
    <t>FRABOSA SOTTANA</t>
  </si>
  <si>
    <t>004091</t>
  </si>
  <si>
    <t>12083</t>
  </si>
  <si>
    <t>FRASSINO</t>
  </si>
  <si>
    <t>004092</t>
  </si>
  <si>
    <t>GAIOLA</t>
  </si>
  <si>
    <t>004093</t>
  </si>
  <si>
    <t>GAMBASCA</t>
  </si>
  <si>
    <t>004094</t>
  </si>
  <si>
    <t>GARESSIO</t>
  </si>
  <si>
    <t>004095</t>
  </si>
  <si>
    <t>12075</t>
  </si>
  <si>
    <t>GENOLA</t>
  </si>
  <si>
    <t>004096</t>
  </si>
  <si>
    <t>GORZEGNO</t>
  </si>
  <si>
    <t>004097</t>
  </si>
  <si>
    <t>GOTTASECCA</t>
  </si>
  <si>
    <t>004098</t>
  </si>
  <si>
    <t>GOVONE</t>
  </si>
  <si>
    <t>004099</t>
  </si>
  <si>
    <t>GRINZANE CAVOUR</t>
  </si>
  <si>
    <t>004100</t>
  </si>
  <si>
    <t>GUARENE</t>
  </si>
  <si>
    <t>004101</t>
  </si>
  <si>
    <t>IGLIANO</t>
  </si>
  <si>
    <t>004102</t>
  </si>
  <si>
    <t>ISASCA</t>
  </si>
  <si>
    <t>004103</t>
  </si>
  <si>
    <t>LAGNASCO</t>
  </si>
  <si>
    <t>004104</t>
  </si>
  <si>
    <t>LA MORRA</t>
  </si>
  <si>
    <t>004105</t>
  </si>
  <si>
    <t>12064</t>
  </si>
  <si>
    <t>LEQUIO BERRIA</t>
  </si>
  <si>
    <t>004106</t>
  </si>
  <si>
    <t>LEQUIO TANARO</t>
  </si>
  <si>
    <t>004107</t>
  </si>
  <si>
    <t>LESEGNO</t>
  </si>
  <si>
    <t>004108</t>
  </si>
  <si>
    <t>12076</t>
  </si>
  <si>
    <t>LEVICE</t>
  </si>
  <si>
    <t>004109</t>
  </si>
  <si>
    <t>LIMONE PIEMONTE</t>
  </si>
  <si>
    <t>004110</t>
  </si>
  <si>
    <t>12015</t>
  </si>
  <si>
    <t>LISIO</t>
  </si>
  <si>
    <t>004111</t>
  </si>
  <si>
    <t>MACRA</t>
  </si>
  <si>
    <t>004112</t>
  </si>
  <si>
    <t>MAGLIANO ALFIERI</t>
  </si>
  <si>
    <t>004113</t>
  </si>
  <si>
    <t>MAGLIANO ALPI</t>
  </si>
  <si>
    <t>004114</t>
  </si>
  <si>
    <t>MANGO</t>
  </si>
  <si>
    <t>004115</t>
  </si>
  <si>
    <t>12056</t>
  </si>
  <si>
    <t>MANTA</t>
  </si>
  <si>
    <t>004116</t>
  </si>
  <si>
    <t>MARENE</t>
  </si>
  <si>
    <t>004117</t>
  </si>
  <si>
    <t>MARGARITA</t>
  </si>
  <si>
    <t>004118</t>
  </si>
  <si>
    <t>MARMORA</t>
  </si>
  <si>
    <t>004119</t>
  </si>
  <si>
    <t>MARSAGLIA</t>
  </si>
  <si>
    <t>004120</t>
  </si>
  <si>
    <t>MARTINIANA PO</t>
  </si>
  <si>
    <t>004121</t>
  </si>
  <si>
    <t>MELLE</t>
  </si>
  <si>
    <t>004122</t>
  </si>
  <si>
    <t>MOIOLA</t>
  </si>
  <si>
    <t>004123</t>
  </si>
  <si>
    <t>MOMBARCARO</t>
  </si>
  <si>
    <t>004124</t>
  </si>
  <si>
    <t>MOMBASIGLIO</t>
  </si>
  <si>
    <t>004125</t>
  </si>
  <si>
    <t>MONASTERO DI VASCO</t>
  </si>
  <si>
    <t>004126</t>
  </si>
  <si>
    <t>MONASTEROLO CASOTTO</t>
  </si>
  <si>
    <t>004127</t>
  </si>
  <si>
    <t>MONASTEROLO DI SAVIGLIANO</t>
  </si>
  <si>
    <t>004128</t>
  </si>
  <si>
    <t>MONCHIERO</t>
  </si>
  <si>
    <t>004129</t>
  </si>
  <si>
    <t>MONDOVÌ</t>
  </si>
  <si>
    <t>004130</t>
  </si>
  <si>
    <t>12084</t>
  </si>
  <si>
    <t>MONESIGLIO</t>
  </si>
  <si>
    <t>004131</t>
  </si>
  <si>
    <t>12077</t>
  </si>
  <si>
    <t>MONFORTE D'ALBA</t>
  </si>
  <si>
    <t>004132</t>
  </si>
  <si>
    <t>12065</t>
  </si>
  <si>
    <t>MONTÀ</t>
  </si>
  <si>
    <t>004133</t>
  </si>
  <si>
    <t>12046</t>
  </si>
  <si>
    <t>MONTALDO DI MONDOVÌ</t>
  </si>
  <si>
    <t>004134</t>
  </si>
  <si>
    <t>MONTALDO ROERO</t>
  </si>
  <si>
    <t>004135</t>
  </si>
  <si>
    <t>MONTANERA</t>
  </si>
  <si>
    <t>004136</t>
  </si>
  <si>
    <t>MONTELUPO ALBESE</t>
  </si>
  <si>
    <t>004137</t>
  </si>
  <si>
    <t>MONTEMALE DI CUNEO</t>
  </si>
  <si>
    <t>004138</t>
  </si>
  <si>
    <t>MONTEROSSO GRANA</t>
  </si>
  <si>
    <t>004139</t>
  </si>
  <si>
    <t>MONTEU ROERO</t>
  </si>
  <si>
    <t>004140</t>
  </si>
  <si>
    <t>MONTEZEMOLO</t>
  </si>
  <si>
    <t>004141</t>
  </si>
  <si>
    <t>MONTICELLO D'ALBA</t>
  </si>
  <si>
    <t>004142</t>
  </si>
  <si>
    <t>12066</t>
  </si>
  <si>
    <t>MORETTA</t>
  </si>
  <si>
    <t>004143</t>
  </si>
  <si>
    <t>12033</t>
  </si>
  <si>
    <t>MOROZZO</t>
  </si>
  <si>
    <t>004144</t>
  </si>
  <si>
    <t>MURAZZANO</t>
  </si>
  <si>
    <t>004145</t>
  </si>
  <si>
    <t>MURELLO</t>
  </si>
  <si>
    <t>004146</t>
  </si>
  <si>
    <t>NARZOLE</t>
  </si>
  <si>
    <t>004147</t>
  </si>
  <si>
    <t>12068</t>
  </si>
  <si>
    <t>NEIVE</t>
  </si>
  <si>
    <t>004148</t>
  </si>
  <si>
    <t>12052</t>
  </si>
  <si>
    <t>NEVIGLIE</t>
  </si>
  <si>
    <t>004149</t>
  </si>
  <si>
    <t>NIELLA BELBO</t>
  </si>
  <si>
    <t>004150</t>
  </si>
  <si>
    <t>NIELLA TANARO</t>
  </si>
  <si>
    <t>004151</t>
  </si>
  <si>
    <t>NOVELLO</t>
  </si>
  <si>
    <t>004152</t>
  </si>
  <si>
    <t>NUCETTO</t>
  </si>
  <si>
    <t>004153</t>
  </si>
  <si>
    <t>ONCINO</t>
  </si>
  <si>
    <t>004154</t>
  </si>
  <si>
    <t>ORMEA</t>
  </si>
  <si>
    <t>004155</t>
  </si>
  <si>
    <t>12078</t>
  </si>
  <si>
    <t>OSTANA</t>
  </si>
  <si>
    <t>004156</t>
  </si>
  <si>
    <t>PAESANA</t>
  </si>
  <si>
    <t>004157</t>
  </si>
  <si>
    <t>12034</t>
  </si>
  <si>
    <t>PAGNO</t>
  </si>
  <si>
    <t>004158</t>
  </si>
  <si>
    <t>PAMPARATO</t>
  </si>
  <si>
    <t>004159</t>
  </si>
  <si>
    <t>12087</t>
  </si>
  <si>
    <t>PAROLDO</t>
  </si>
  <si>
    <t>004160</t>
  </si>
  <si>
    <t>PERLETTO</t>
  </si>
  <si>
    <t>004161</t>
  </si>
  <si>
    <t>PERLO</t>
  </si>
  <si>
    <t>004162</t>
  </si>
  <si>
    <t>PEVERAGNO</t>
  </si>
  <si>
    <t>004163</t>
  </si>
  <si>
    <t>12016</t>
  </si>
  <si>
    <t>PEZZOLO VALLE UZZONE</t>
  </si>
  <si>
    <t>004164</t>
  </si>
  <si>
    <t>PIANFEI</t>
  </si>
  <si>
    <t>004165</t>
  </si>
  <si>
    <t>PIASCO</t>
  </si>
  <si>
    <t>004166</t>
  </si>
  <si>
    <t>12026</t>
  </si>
  <si>
    <t>PIETRAPORZIO</t>
  </si>
  <si>
    <t>004167</t>
  </si>
  <si>
    <t>PIOBESI D'ALBA</t>
  </si>
  <si>
    <t>004168</t>
  </si>
  <si>
    <t>PIOZZO</t>
  </si>
  <si>
    <t>004169</t>
  </si>
  <si>
    <t>POCAPAGLIA</t>
  </si>
  <si>
    <t>004170</t>
  </si>
  <si>
    <t>POLONGHERA</t>
  </si>
  <si>
    <t>004171</t>
  </si>
  <si>
    <t>PONTECHIANALE</t>
  </si>
  <si>
    <t>004172</t>
  </si>
  <si>
    <t>PRADLEVES</t>
  </si>
  <si>
    <t>004173</t>
  </si>
  <si>
    <t>12027</t>
  </si>
  <si>
    <t>PRAZZO</t>
  </si>
  <si>
    <t>004174</t>
  </si>
  <si>
    <t>12028</t>
  </si>
  <si>
    <t>PRIERO</t>
  </si>
  <si>
    <t>004175</t>
  </si>
  <si>
    <t>PRIOCCA</t>
  </si>
  <si>
    <t>004176</t>
  </si>
  <si>
    <t>PRIOLA</t>
  </si>
  <si>
    <t>004177</t>
  </si>
  <si>
    <t>PRUNETTO</t>
  </si>
  <si>
    <t>004178</t>
  </si>
  <si>
    <t>RACCONIGI</t>
  </si>
  <si>
    <t>004179</t>
  </si>
  <si>
    <t>12035</t>
  </si>
  <si>
    <t>REVELLO</t>
  </si>
  <si>
    <t>004180</t>
  </si>
  <si>
    <t>12036</t>
  </si>
  <si>
    <t>RIFREDDO</t>
  </si>
  <si>
    <t>004181</t>
  </si>
  <si>
    <t>RITTANA</t>
  </si>
  <si>
    <t>004182</t>
  </si>
  <si>
    <t>ROASCHIA</t>
  </si>
  <si>
    <t>004183</t>
  </si>
  <si>
    <t>ROASCIO</t>
  </si>
  <si>
    <t>004184</t>
  </si>
  <si>
    <t>ROBILANTE</t>
  </si>
  <si>
    <t>004185</t>
  </si>
  <si>
    <t>12017</t>
  </si>
  <si>
    <t>ROBURENT</t>
  </si>
  <si>
    <t>004186</t>
  </si>
  <si>
    <t>ROCCABRUNA</t>
  </si>
  <si>
    <t>004187</t>
  </si>
  <si>
    <t>ROCCA CIGLIÈ</t>
  </si>
  <si>
    <t>004188</t>
  </si>
  <si>
    <t>ROCCA DE' BALDI</t>
  </si>
  <si>
    <t>004189</t>
  </si>
  <si>
    <t>12047</t>
  </si>
  <si>
    <t>ROCCAFORTE MONDOVÌ</t>
  </si>
  <si>
    <t>004190</t>
  </si>
  <si>
    <t>12088</t>
  </si>
  <si>
    <t>ROCCASPARVERA</t>
  </si>
  <si>
    <t>004191</t>
  </si>
  <si>
    <t>ROCCAVIONE</t>
  </si>
  <si>
    <t>004192</t>
  </si>
  <si>
    <t>12018</t>
  </si>
  <si>
    <t>ROCCHETTA BELBO</t>
  </si>
  <si>
    <t>004193</t>
  </si>
  <si>
    <t>RODDI</t>
  </si>
  <si>
    <t>004194</t>
  </si>
  <si>
    <t>RODDINO</t>
  </si>
  <si>
    <t>004195</t>
  </si>
  <si>
    <t>RODELLO</t>
  </si>
  <si>
    <t>004196</t>
  </si>
  <si>
    <t>ROSSANA</t>
  </si>
  <si>
    <t>004197</t>
  </si>
  <si>
    <t>RUFFIA</t>
  </si>
  <si>
    <t>004198</t>
  </si>
  <si>
    <t>SALE DELLE LANGHE</t>
  </si>
  <si>
    <t>004199</t>
  </si>
  <si>
    <t>SALE SAN GIOVANNI</t>
  </si>
  <si>
    <t>004200</t>
  </si>
  <si>
    <t>SALICETO</t>
  </si>
  <si>
    <t>004201</t>
  </si>
  <si>
    <t>12079</t>
  </si>
  <si>
    <t>SALMOUR</t>
  </si>
  <si>
    <t>004202</t>
  </si>
  <si>
    <t>SALUZZO</t>
  </si>
  <si>
    <t>004203</t>
  </si>
  <si>
    <t>12037</t>
  </si>
  <si>
    <t>SAMBUCO</t>
  </si>
  <si>
    <t>004204</t>
  </si>
  <si>
    <t>SAMPEYRE</t>
  </si>
  <si>
    <t>004205</t>
  </si>
  <si>
    <t>SAN BENEDETTO BELBO</t>
  </si>
  <si>
    <t>004206</t>
  </si>
  <si>
    <t>SAN DAMIANO MACRA</t>
  </si>
  <si>
    <t>004207</t>
  </si>
  <si>
    <t>12029</t>
  </si>
  <si>
    <t>SANFRÈ</t>
  </si>
  <si>
    <t>004208</t>
  </si>
  <si>
    <t>SANFRONT</t>
  </si>
  <si>
    <t>004209</t>
  </si>
  <si>
    <t>SAN MICHELE MONDOVÌ</t>
  </si>
  <si>
    <t>004210</t>
  </si>
  <si>
    <t>SANT'ALBANO STURA</t>
  </si>
  <si>
    <t>004211</t>
  </si>
  <si>
    <t>SANTA VITTORIA D'ALBA</t>
  </si>
  <si>
    <t>004212</t>
  </si>
  <si>
    <t>12069</t>
  </si>
  <si>
    <t>SANTO STEFANO BELBO</t>
  </si>
  <si>
    <t>004213</t>
  </si>
  <si>
    <t>12058</t>
  </si>
  <si>
    <t>SANTO STEFANO ROERO</t>
  </si>
  <si>
    <t>004214</t>
  </si>
  <si>
    <t>SAVIGLIANO</t>
  </si>
  <si>
    <t>004215</t>
  </si>
  <si>
    <t>12038</t>
  </si>
  <si>
    <t>SCAGNELLO</t>
  </si>
  <si>
    <t>004216</t>
  </si>
  <si>
    <t>SCARNAFIGI</t>
  </si>
  <si>
    <t>004217</t>
  </si>
  <si>
    <t>SERRALUNGA D'ALBA</t>
  </si>
  <si>
    <t>004218</t>
  </si>
  <si>
    <t>SERRAVALLE LANGHE</t>
  </si>
  <si>
    <t>004219</t>
  </si>
  <si>
    <t>SINIO</t>
  </si>
  <si>
    <t>004220</t>
  </si>
  <si>
    <t>SOMANO</t>
  </si>
  <si>
    <t>004221</t>
  </si>
  <si>
    <t>SOMMARIVA DEL BOSCO</t>
  </si>
  <si>
    <t>004222</t>
  </si>
  <si>
    <t>12048</t>
  </si>
  <si>
    <t>SOMMARIVA PERNO</t>
  </si>
  <si>
    <t>004223</t>
  </si>
  <si>
    <t>STROPPO</t>
  </si>
  <si>
    <t>004224</t>
  </si>
  <si>
    <t>TARANTASCA</t>
  </si>
  <si>
    <t>004225</t>
  </si>
  <si>
    <t>TORRE BORMIDA</t>
  </si>
  <si>
    <t>004226</t>
  </si>
  <si>
    <t>TORRE MONDOVÌ</t>
  </si>
  <si>
    <t>004227</t>
  </si>
  <si>
    <t>TORRE SAN GIORGIO</t>
  </si>
  <si>
    <t>004228</t>
  </si>
  <si>
    <t>TORRESINA</t>
  </si>
  <si>
    <t>004229</t>
  </si>
  <si>
    <t>TREISO</t>
  </si>
  <si>
    <t>004230</t>
  </si>
  <si>
    <t>TREZZO TINELLA</t>
  </si>
  <si>
    <t>004231</t>
  </si>
  <si>
    <t>TRINITÀ</t>
  </si>
  <si>
    <t>004232</t>
  </si>
  <si>
    <t>12049</t>
  </si>
  <si>
    <t>VALDIERI</t>
  </si>
  <si>
    <t>004233</t>
  </si>
  <si>
    <t>VALGRANA</t>
  </si>
  <si>
    <t>004234</t>
  </si>
  <si>
    <t>VALLORIATE</t>
  </si>
  <si>
    <t>004235</t>
  </si>
  <si>
    <t>VENASCA</t>
  </si>
  <si>
    <t>004237</t>
  </si>
  <si>
    <t>VERDUNO</t>
  </si>
  <si>
    <t>004238</t>
  </si>
  <si>
    <t>VERNANTE</t>
  </si>
  <si>
    <t>004239</t>
  </si>
  <si>
    <t>12019</t>
  </si>
  <si>
    <t>VERZUOLO</t>
  </si>
  <si>
    <t>004240</t>
  </si>
  <si>
    <t>12039</t>
  </si>
  <si>
    <t>VEZZA D'ALBA</t>
  </si>
  <si>
    <t>004241</t>
  </si>
  <si>
    <t>VICOFORTE</t>
  </si>
  <si>
    <t>004242</t>
  </si>
  <si>
    <t>VIGNOLO</t>
  </si>
  <si>
    <t>004243</t>
  </si>
  <si>
    <t>VILLAFALLETTO</t>
  </si>
  <si>
    <t>004244</t>
  </si>
  <si>
    <t>VILLANOVA MONDOVÌ</t>
  </si>
  <si>
    <t>004245</t>
  </si>
  <si>
    <t>12089</t>
  </si>
  <si>
    <t>VILLANOVA SOLARO</t>
  </si>
  <si>
    <t>004246</t>
  </si>
  <si>
    <t>VILLAR SAN COSTANZO</t>
  </si>
  <si>
    <t>004247</t>
  </si>
  <si>
    <t>VINADIO</t>
  </si>
  <si>
    <t>004248</t>
  </si>
  <si>
    <t>VIOLA</t>
  </si>
  <si>
    <t>004249</t>
  </si>
  <si>
    <t>VOTTIGNASCO</t>
  </si>
  <si>
    <t>004250</t>
  </si>
  <si>
    <t>AGLIANO TERME</t>
  </si>
  <si>
    <t>005001</t>
  </si>
  <si>
    <t>AT</t>
  </si>
  <si>
    <t>14041</t>
  </si>
  <si>
    <t>ALBUGNANO</t>
  </si>
  <si>
    <t>005002</t>
  </si>
  <si>
    <t>14022</t>
  </si>
  <si>
    <t>ANTIGNANO</t>
  </si>
  <si>
    <t>005003</t>
  </si>
  <si>
    <t>14010</t>
  </si>
  <si>
    <t>ARAMENGO</t>
  </si>
  <si>
    <t>005004</t>
  </si>
  <si>
    <t>14020</t>
  </si>
  <si>
    <t>ASTI</t>
  </si>
  <si>
    <t>005005</t>
  </si>
  <si>
    <t>14100</t>
  </si>
  <si>
    <t>AZZANO D'ASTI</t>
  </si>
  <si>
    <t>005006</t>
  </si>
  <si>
    <t>14030</t>
  </si>
  <si>
    <t>BALDICHIERI D'ASTI</t>
  </si>
  <si>
    <t>005007</t>
  </si>
  <si>
    <t>14011</t>
  </si>
  <si>
    <t>BELVEGLIO</t>
  </si>
  <si>
    <t>005008</t>
  </si>
  <si>
    <t>14040</t>
  </si>
  <si>
    <t>BERZANO DI SAN PIETRO</t>
  </si>
  <si>
    <t>005009</t>
  </si>
  <si>
    <t>BRUNO</t>
  </si>
  <si>
    <t>005010</t>
  </si>
  <si>
    <t>14046</t>
  </si>
  <si>
    <t>BUBBIO</t>
  </si>
  <si>
    <t>005011</t>
  </si>
  <si>
    <t>14051</t>
  </si>
  <si>
    <t>BUTTIGLIERA D'ASTI</t>
  </si>
  <si>
    <t>005012</t>
  </si>
  <si>
    <t>14021</t>
  </si>
  <si>
    <t>CALAMANDRANA</t>
  </si>
  <si>
    <t>005013</t>
  </si>
  <si>
    <t>14042</t>
  </si>
  <si>
    <t>CALLIANO</t>
  </si>
  <si>
    <t>005014</t>
  </si>
  <si>
    <t>14031</t>
  </si>
  <si>
    <t>CALOSSO</t>
  </si>
  <si>
    <t>005015</t>
  </si>
  <si>
    <t>14052</t>
  </si>
  <si>
    <t>CAMERANO CASASCO</t>
  </si>
  <si>
    <t>005016</t>
  </si>
  <si>
    <t>CANELLI</t>
  </si>
  <si>
    <t>005017</t>
  </si>
  <si>
    <t>14053</t>
  </si>
  <si>
    <t>CANTARANA</t>
  </si>
  <si>
    <t>005018</t>
  </si>
  <si>
    <t>CAPRIGLIO</t>
  </si>
  <si>
    <t>005019</t>
  </si>
  <si>
    <t>14014</t>
  </si>
  <si>
    <t>CASORZO</t>
  </si>
  <si>
    <t>005020</t>
  </si>
  <si>
    <t>14032</t>
  </si>
  <si>
    <t>CASSINASCO</t>
  </si>
  <si>
    <t>005021</t>
  </si>
  <si>
    <t>14050</t>
  </si>
  <si>
    <t>CASTAGNOLE DELLE LANZE</t>
  </si>
  <si>
    <t>005022</t>
  </si>
  <si>
    <t>14054</t>
  </si>
  <si>
    <t>CASTAGNOLE MONFERRATO</t>
  </si>
  <si>
    <t>005023</t>
  </si>
  <si>
    <t>CASTEL BOGLIONE</t>
  </si>
  <si>
    <t>005024</t>
  </si>
  <si>
    <t>CASTELL'ALFERO</t>
  </si>
  <si>
    <t>005025</t>
  </si>
  <si>
    <t>14033</t>
  </si>
  <si>
    <t>CASTELLERO</t>
  </si>
  <si>
    <t>005026</t>
  </si>
  <si>
    <t>14013</t>
  </si>
  <si>
    <t>CASTELLETTO MOLINA</t>
  </si>
  <si>
    <t>005027</t>
  </si>
  <si>
    <t>CASTELLO DI ANNONE</t>
  </si>
  <si>
    <t>005028</t>
  </si>
  <si>
    <t>14034</t>
  </si>
  <si>
    <t>CASTELNUOVO BELBO</t>
  </si>
  <si>
    <t>005029</t>
  </si>
  <si>
    <t>14043</t>
  </si>
  <si>
    <t>CASTELNUOVO CALCEA</t>
  </si>
  <si>
    <t>005030</t>
  </si>
  <si>
    <t>CASTELNUOVO DON BOSCO</t>
  </si>
  <si>
    <t>005031</t>
  </si>
  <si>
    <t>CASTEL ROCCHERO</t>
  </si>
  <si>
    <t>005032</t>
  </si>
  <si>
    <t>14044</t>
  </si>
  <si>
    <t>CELLARENGO</t>
  </si>
  <si>
    <t>005033</t>
  </si>
  <si>
    <t>CELLE ENOMONDO</t>
  </si>
  <si>
    <t>005034</t>
  </si>
  <si>
    <t>CERRETO D'ASTI</t>
  </si>
  <si>
    <t>005035</t>
  </si>
  <si>
    <t>CERRO TANARO</t>
  </si>
  <si>
    <t>005036</t>
  </si>
  <si>
    <t>CESSOLE</t>
  </si>
  <si>
    <t>005037</t>
  </si>
  <si>
    <t>CHIUSANO D'ASTI</t>
  </si>
  <si>
    <t>005038</t>
  </si>
  <si>
    <t>14025</t>
  </si>
  <si>
    <t>CINAGLIO</t>
  </si>
  <si>
    <t>005039</t>
  </si>
  <si>
    <t>CISTERNA D'ASTI</t>
  </si>
  <si>
    <t>005040</t>
  </si>
  <si>
    <t>COAZZOLO</t>
  </si>
  <si>
    <t>005041</t>
  </si>
  <si>
    <t>COCCONATO</t>
  </si>
  <si>
    <t>005042</t>
  </si>
  <si>
    <t>14023</t>
  </si>
  <si>
    <t>CORSIONE</t>
  </si>
  <si>
    <t>005044</t>
  </si>
  <si>
    <t>CORTANDONE</t>
  </si>
  <si>
    <t>005045</t>
  </si>
  <si>
    <t>CORTANZE</t>
  </si>
  <si>
    <t>005046</t>
  </si>
  <si>
    <t>CORTAZZONE</t>
  </si>
  <si>
    <t>005047</t>
  </si>
  <si>
    <t>CORTIGLIONE</t>
  </si>
  <si>
    <t>005048</t>
  </si>
  <si>
    <t>COSSOMBRATO</t>
  </si>
  <si>
    <t>005049</t>
  </si>
  <si>
    <t>COSTIGLIOLE D'ASTI</t>
  </si>
  <si>
    <t>005050</t>
  </si>
  <si>
    <t>14055</t>
  </si>
  <si>
    <t>CUNICO</t>
  </si>
  <si>
    <t>005051</t>
  </si>
  <si>
    <t>14026</t>
  </si>
  <si>
    <t>DUSINO SAN MICHELE</t>
  </si>
  <si>
    <t>005052</t>
  </si>
  <si>
    <t>FERRERE</t>
  </si>
  <si>
    <t>005053</t>
  </si>
  <si>
    <t>14012</t>
  </si>
  <si>
    <t>FONTANILE</t>
  </si>
  <si>
    <t>005054</t>
  </si>
  <si>
    <t>FRINCO</t>
  </si>
  <si>
    <t>005055</t>
  </si>
  <si>
    <t>GRANA</t>
  </si>
  <si>
    <t>005056</t>
  </si>
  <si>
    <t>GRAZZANO BADOGLIO</t>
  </si>
  <si>
    <t>005057</t>
  </si>
  <si>
    <t>14035</t>
  </si>
  <si>
    <t>INCISA SCAPACCINO</t>
  </si>
  <si>
    <t>005058</t>
  </si>
  <si>
    <t>14045</t>
  </si>
  <si>
    <t>ISOLA D'ASTI</t>
  </si>
  <si>
    <t>005059</t>
  </si>
  <si>
    <t>14057</t>
  </si>
  <si>
    <t>LOAZZOLO</t>
  </si>
  <si>
    <t>005060</t>
  </si>
  <si>
    <t>MARANZANA</t>
  </si>
  <si>
    <t>005061</t>
  </si>
  <si>
    <t>MARETTO</t>
  </si>
  <si>
    <t>005062</t>
  </si>
  <si>
    <t>14018</t>
  </si>
  <si>
    <t>MOASCA</t>
  </si>
  <si>
    <t>005063</t>
  </si>
  <si>
    <t>MOMBALDONE</t>
  </si>
  <si>
    <t>005064</t>
  </si>
  <si>
    <t>MOMBARUZZO</t>
  </si>
  <si>
    <t>005065</t>
  </si>
  <si>
    <t>MOMBERCELLI</t>
  </si>
  <si>
    <t>005066</t>
  </si>
  <si>
    <t>14047</t>
  </si>
  <si>
    <t>MONALE</t>
  </si>
  <si>
    <t>005067</t>
  </si>
  <si>
    <t>MONASTERO BORMIDA</t>
  </si>
  <si>
    <t>005068</t>
  </si>
  <si>
    <t>14058</t>
  </si>
  <si>
    <t>MONCALVO</t>
  </si>
  <si>
    <t>005069</t>
  </si>
  <si>
    <t>14036</t>
  </si>
  <si>
    <t>MONCUCCO TORINESE</t>
  </si>
  <si>
    <t>005070</t>
  </si>
  <si>
    <t>14024</t>
  </si>
  <si>
    <t>MONGARDINO</t>
  </si>
  <si>
    <t>005071</t>
  </si>
  <si>
    <t>MONTABONE</t>
  </si>
  <si>
    <t>005072</t>
  </si>
  <si>
    <t>MONTAFIA</t>
  </si>
  <si>
    <t>005073</t>
  </si>
  <si>
    <t>MONTALDO SCARAMPI</t>
  </si>
  <si>
    <t>005074</t>
  </si>
  <si>
    <t>14048</t>
  </si>
  <si>
    <t>MONTECHIARO D'ASTI</t>
  </si>
  <si>
    <t>005075</t>
  </si>
  <si>
    <t>MONTEGROSSO D'ASTI</t>
  </si>
  <si>
    <t>005076</t>
  </si>
  <si>
    <t>MONTEMAGNO</t>
  </si>
  <si>
    <t>005077</t>
  </si>
  <si>
    <t>MORANSENGO</t>
  </si>
  <si>
    <t>005079</t>
  </si>
  <si>
    <t>NIZZA MONFERRATO</t>
  </si>
  <si>
    <t>005080</t>
  </si>
  <si>
    <t>14049</t>
  </si>
  <si>
    <t>OLMO GENTILE</t>
  </si>
  <si>
    <t>005081</t>
  </si>
  <si>
    <t>PASSERANO MARMORITO</t>
  </si>
  <si>
    <t>005082</t>
  </si>
  <si>
    <t>PENANGO</t>
  </si>
  <si>
    <t>005083</t>
  </si>
  <si>
    <t>PIEA</t>
  </si>
  <si>
    <t>005084</t>
  </si>
  <si>
    <t>PINO D'ASTI</t>
  </si>
  <si>
    <t>005085</t>
  </si>
  <si>
    <t>PIOVÀ MASSAIA</t>
  </si>
  <si>
    <t>005086</t>
  </si>
  <si>
    <t>PORTACOMARO</t>
  </si>
  <si>
    <t>005087</t>
  </si>
  <si>
    <t>14037</t>
  </si>
  <si>
    <t>QUARANTI</t>
  </si>
  <si>
    <t>005088</t>
  </si>
  <si>
    <t>REFRANCORE</t>
  </si>
  <si>
    <t>005089</t>
  </si>
  <si>
    <t>REVIGLIASCO D'ASTI</t>
  </si>
  <si>
    <t>005090</t>
  </si>
  <si>
    <t>ROATTO</t>
  </si>
  <si>
    <t>005091</t>
  </si>
  <si>
    <t>ROBELLA</t>
  </si>
  <si>
    <t>005092</t>
  </si>
  <si>
    <t>ROCCA D'ARAZZO</t>
  </si>
  <si>
    <t>005093</t>
  </si>
  <si>
    <t>ROCCAVERANO</t>
  </si>
  <si>
    <t>005094</t>
  </si>
  <si>
    <t>ROCCHETTA PALAFEA</t>
  </si>
  <si>
    <t>005095</t>
  </si>
  <si>
    <t>ROCCHETTA TANARO</t>
  </si>
  <si>
    <t>005096</t>
  </si>
  <si>
    <t>SAN DAMIANO D'ASTI</t>
  </si>
  <si>
    <t>005097</t>
  </si>
  <si>
    <t>14015</t>
  </si>
  <si>
    <t>SAN GIORGIO SCARAMPI</t>
  </si>
  <si>
    <t>005098</t>
  </si>
  <si>
    <t>14059</t>
  </si>
  <si>
    <t>SAN MARTINO ALFIERI</t>
  </si>
  <si>
    <t>005099</t>
  </si>
  <si>
    <t>SAN MARZANO OLIVETO</t>
  </si>
  <si>
    <t>005100</t>
  </si>
  <si>
    <t>SAN PAOLO SOLBRITO</t>
  </si>
  <si>
    <t>005101</t>
  </si>
  <si>
    <t>SCURZOLENGO</t>
  </si>
  <si>
    <t>005103</t>
  </si>
  <si>
    <t>SEROLE</t>
  </si>
  <si>
    <t>005104</t>
  </si>
  <si>
    <t>SESSAME</t>
  </si>
  <si>
    <t>005105</t>
  </si>
  <si>
    <t>SETTIME</t>
  </si>
  <si>
    <t>005106</t>
  </si>
  <si>
    <t>SOGLIO</t>
  </si>
  <si>
    <t>005107</t>
  </si>
  <si>
    <t>TIGLIOLE</t>
  </si>
  <si>
    <t>005108</t>
  </si>
  <si>
    <t>14016</t>
  </si>
  <si>
    <t>TONCO</t>
  </si>
  <si>
    <t>005109</t>
  </si>
  <si>
    <t>14039</t>
  </si>
  <si>
    <t>TONENGO</t>
  </si>
  <si>
    <t>005110</t>
  </si>
  <si>
    <t>VAGLIO SERRA</t>
  </si>
  <si>
    <t>005111</t>
  </si>
  <si>
    <t>VALFENERA</t>
  </si>
  <si>
    <t>005112</t>
  </si>
  <si>
    <t>14017</t>
  </si>
  <si>
    <t>VESIME</t>
  </si>
  <si>
    <t>005113</t>
  </si>
  <si>
    <t>VIALE</t>
  </si>
  <si>
    <t>005114</t>
  </si>
  <si>
    <t>VIARIGI</t>
  </si>
  <si>
    <t>005115</t>
  </si>
  <si>
    <t>VIGLIANO D'ASTI</t>
  </si>
  <si>
    <t>005116</t>
  </si>
  <si>
    <t>VILLAFRANCA D'ASTI</t>
  </si>
  <si>
    <t>005117</t>
  </si>
  <si>
    <t>VILLANOVA D'ASTI</t>
  </si>
  <si>
    <t>005118</t>
  </si>
  <si>
    <t>14019</t>
  </si>
  <si>
    <t>VILLA SAN SECONDO</t>
  </si>
  <si>
    <t>005119</t>
  </si>
  <si>
    <t>VINCHIO</t>
  </si>
  <si>
    <t>005120</t>
  </si>
  <si>
    <t>MONTIGLIO MONFERRATO</t>
  </si>
  <si>
    <t>005121</t>
  </si>
  <si>
    <t>ACQUI TERME</t>
  </si>
  <si>
    <t>006001</t>
  </si>
  <si>
    <t>AL</t>
  </si>
  <si>
    <t>15011</t>
  </si>
  <si>
    <t>ALBERA LIGURE</t>
  </si>
  <si>
    <t>006002</t>
  </si>
  <si>
    <t>15060</t>
  </si>
  <si>
    <t>ALESSANDRIA</t>
  </si>
  <si>
    <t>006003</t>
  </si>
  <si>
    <t>1512x</t>
  </si>
  <si>
    <t>ALFIANO NATTA</t>
  </si>
  <si>
    <t>006004</t>
  </si>
  <si>
    <t>15021</t>
  </si>
  <si>
    <t>ALICE BEL COLLE</t>
  </si>
  <si>
    <t>006005</t>
  </si>
  <si>
    <t>15010</t>
  </si>
  <si>
    <t>ALTAVILLA MONFERRATO</t>
  </si>
  <si>
    <t>006007</t>
  </si>
  <si>
    <t>15041</t>
  </si>
  <si>
    <t>ALZANO SCRIVIA</t>
  </si>
  <si>
    <t>006008</t>
  </si>
  <si>
    <t>15050</t>
  </si>
  <si>
    <t>ARQUATA SCRIVIA</t>
  </si>
  <si>
    <t>006009</t>
  </si>
  <si>
    <t>15061</t>
  </si>
  <si>
    <t>AVOLASCA</t>
  </si>
  <si>
    <t>006010</t>
  </si>
  <si>
    <t>BALZOLA</t>
  </si>
  <si>
    <t>006011</t>
  </si>
  <si>
    <t>15031</t>
  </si>
  <si>
    <t>BASALUZZO</t>
  </si>
  <si>
    <t>006012</t>
  </si>
  <si>
    <t>BASSIGNANA</t>
  </si>
  <si>
    <t>006013</t>
  </si>
  <si>
    <t>15042</t>
  </si>
  <si>
    <t>BELFORTE MONFERRATO</t>
  </si>
  <si>
    <t>006014</t>
  </si>
  <si>
    <t>15070</t>
  </si>
  <si>
    <t>BERGAMASCO</t>
  </si>
  <si>
    <t>006015</t>
  </si>
  <si>
    <t>15022</t>
  </si>
  <si>
    <t>BERZANO DI TORTONA</t>
  </si>
  <si>
    <t>006016</t>
  </si>
  <si>
    <t>BISTAGNO</t>
  </si>
  <si>
    <t>006017</t>
  </si>
  <si>
    <t>15012</t>
  </si>
  <si>
    <t>BORGHETTO DI BORBERA</t>
  </si>
  <si>
    <t>006018</t>
  </si>
  <si>
    <t>BORGORATTO ALESSANDRINO</t>
  </si>
  <si>
    <t>006019</t>
  </si>
  <si>
    <t>15013</t>
  </si>
  <si>
    <t>BORGO SAN MARTINO</t>
  </si>
  <si>
    <t>006020</t>
  </si>
  <si>
    <t>15032</t>
  </si>
  <si>
    <t>BOSCO MARENGO</t>
  </si>
  <si>
    <t>006021</t>
  </si>
  <si>
    <t>15062</t>
  </si>
  <si>
    <t>BOSIO</t>
  </si>
  <si>
    <t>006022</t>
  </si>
  <si>
    <t>BOZZOLE</t>
  </si>
  <si>
    <t>006023</t>
  </si>
  <si>
    <t>15040</t>
  </si>
  <si>
    <t>BRIGNANO-FRASCATA</t>
  </si>
  <si>
    <t>006024</t>
  </si>
  <si>
    <t>CABELLA LIGURE</t>
  </si>
  <si>
    <t>006025</t>
  </si>
  <si>
    <t>CAMAGNA MONFERRATO</t>
  </si>
  <si>
    <t>006026</t>
  </si>
  <si>
    <t>15030</t>
  </si>
  <si>
    <t>CAMINO</t>
  </si>
  <si>
    <t>006027</t>
  </si>
  <si>
    <t>15020</t>
  </si>
  <si>
    <t>CANTALUPO LIGURE</t>
  </si>
  <si>
    <t>006028</t>
  </si>
  <si>
    <t>CAPRIATA D'ORBA</t>
  </si>
  <si>
    <t>006029</t>
  </si>
  <si>
    <t>CARBONARA SCRIVIA</t>
  </si>
  <si>
    <t>006030</t>
  </si>
  <si>
    <t>CARENTINO</t>
  </si>
  <si>
    <t>006031</t>
  </si>
  <si>
    <t>15026</t>
  </si>
  <si>
    <t>CAREZZANO</t>
  </si>
  <si>
    <t>006032</t>
  </si>
  <si>
    <t>15051</t>
  </si>
  <si>
    <t>CARPENETO</t>
  </si>
  <si>
    <t>006033</t>
  </si>
  <si>
    <t>15071</t>
  </si>
  <si>
    <t>CARREGA LIGURE</t>
  </si>
  <si>
    <t>006034</t>
  </si>
  <si>
    <t>CARROSIO</t>
  </si>
  <si>
    <t>006035</t>
  </si>
  <si>
    <t>CARTOSIO</t>
  </si>
  <si>
    <t>006036</t>
  </si>
  <si>
    <t>15015</t>
  </si>
  <si>
    <t>CASAL CERMELLI</t>
  </si>
  <si>
    <t>006037</t>
  </si>
  <si>
    <t>15072</t>
  </si>
  <si>
    <t>CASALEGGIO BOIRO</t>
  </si>
  <si>
    <t>006038</t>
  </si>
  <si>
    <t>CASALE MONFERRATO</t>
  </si>
  <si>
    <t>006039</t>
  </si>
  <si>
    <t>15033</t>
  </si>
  <si>
    <t>CASALNOCETO</t>
  </si>
  <si>
    <t>006040</t>
  </si>
  <si>
    <t>15052</t>
  </si>
  <si>
    <t>CASASCO</t>
  </si>
  <si>
    <t>006041</t>
  </si>
  <si>
    <t>CASSINE</t>
  </si>
  <si>
    <t>006043</t>
  </si>
  <si>
    <t>15016</t>
  </si>
  <si>
    <t>CASSINELLE</t>
  </si>
  <si>
    <t>006044</t>
  </si>
  <si>
    <t>CASTELLANIA COPPI</t>
  </si>
  <si>
    <t>006045</t>
  </si>
  <si>
    <t>CASTELLAR GUIDOBONO</t>
  </si>
  <si>
    <t>006046</t>
  </si>
  <si>
    <t>CASTELLAZZO BORMIDA</t>
  </si>
  <si>
    <t>006047</t>
  </si>
  <si>
    <t>15073</t>
  </si>
  <si>
    <t>CASTELLETTO D'ERRO</t>
  </si>
  <si>
    <t>006048</t>
  </si>
  <si>
    <t>CASTELLETTO D'ORBA</t>
  </si>
  <si>
    <t>006049</t>
  </si>
  <si>
    <t>CASTELLETTO MERLI</t>
  </si>
  <si>
    <t>006050</t>
  </si>
  <si>
    <t>CASTELLETTO MONFERRATO</t>
  </si>
  <si>
    <t>006051</t>
  </si>
  <si>
    <t>CASTELNUOVO BORMIDA</t>
  </si>
  <si>
    <t>006052</t>
  </si>
  <si>
    <t>15017</t>
  </si>
  <si>
    <t>CASTELNUOVO SCRIVIA</t>
  </si>
  <si>
    <t>006053</t>
  </si>
  <si>
    <t>15053</t>
  </si>
  <si>
    <t>CASTELSPINA</t>
  </si>
  <si>
    <t>006054</t>
  </si>
  <si>
    <t>CAVATORE</t>
  </si>
  <si>
    <t>006055</t>
  </si>
  <si>
    <t>CELLA MONTE</t>
  </si>
  <si>
    <t>006056</t>
  </si>
  <si>
    <t>15034</t>
  </si>
  <si>
    <t>CERESETO</t>
  </si>
  <si>
    <t>006057</t>
  </si>
  <si>
    <t>CERRETO GRUE</t>
  </si>
  <si>
    <t>006058</t>
  </si>
  <si>
    <t>CERRINA MONFERRATO</t>
  </si>
  <si>
    <t>006059</t>
  </si>
  <si>
    <t>CONIOLO</t>
  </si>
  <si>
    <t>006060</t>
  </si>
  <si>
    <t>CONZANO</t>
  </si>
  <si>
    <t>006061</t>
  </si>
  <si>
    <t>COSTA VESCOVATO</t>
  </si>
  <si>
    <t>006062</t>
  </si>
  <si>
    <t>CREMOLINO</t>
  </si>
  <si>
    <t>006063</t>
  </si>
  <si>
    <t>DENICE</t>
  </si>
  <si>
    <t>006065</t>
  </si>
  <si>
    <t>DERNICE</t>
  </si>
  <si>
    <t>006066</t>
  </si>
  <si>
    <t>15056</t>
  </si>
  <si>
    <t>FABBRICA CURONE</t>
  </si>
  <si>
    <t>006067</t>
  </si>
  <si>
    <t>15054</t>
  </si>
  <si>
    <t>FELIZZANO</t>
  </si>
  <si>
    <t>006068</t>
  </si>
  <si>
    <t>15023</t>
  </si>
  <si>
    <t>FRACONALTO</t>
  </si>
  <si>
    <t>006069</t>
  </si>
  <si>
    <t>FRANCAVILLA BISIO</t>
  </si>
  <si>
    <t>006070</t>
  </si>
  <si>
    <t>FRASCARO</t>
  </si>
  <si>
    <t>006071</t>
  </si>
  <si>
    <t>FRASSINELLO MONFERRATO</t>
  </si>
  <si>
    <t>006072</t>
  </si>
  <si>
    <t>15035</t>
  </si>
  <si>
    <t>FRASSINETO PO</t>
  </si>
  <si>
    <t>006073</t>
  </si>
  <si>
    <t>FRESONARA</t>
  </si>
  <si>
    <t>006074</t>
  </si>
  <si>
    <t>15064</t>
  </si>
  <si>
    <t>FRUGAROLO</t>
  </si>
  <si>
    <t>006075</t>
  </si>
  <si>
    <t>15065</t>
  </si>
  <si>
    <t>FUBINE MONFERRATO</t>
  </si>
  <si>
    <t>006076</t>
  </si>
  <si>
    <t>GABIANO</t>
  </si>
  <si>
    <t>006077</t>
  </si>
  <si>
    <t>GAMALERO</t>
  </si>
  <si>
    <t>006078</t>
  </si>
  <si>
    <t>GARBAGNA</t>
  </si>
  <si>
    <t>006079</t>
  </si>
  <si>
    <t>GAVI</t>
  </si>
  <si>
    <t>006081</t>
  </si>
  <si>
    <t>15066</t>
  </si>
  <si>
    <t>GIAROLE</t>
  </si>
  <si>
    <t>006082</t>
  </si>
  <si>
    <t>15036</t>
  </si>
  <si>
    <t>GREMIASCO</t>
  </si>
  <si>
    <t>006083</t>
  </si>
  <si>
    <t>GROGNARDO</t>
  </si>
  <si>
    <t>006084</t>
  </si>
  <si>
    <t>GRONDONA</t>
  </si>
  <si>
    <t>006085</t>
  </si>
  <si>
    <t>GUAZZORA</t>
  </si>
  <si>
    <t>006086</t>
  </si>
  <si>
    <t>ISOLA SANT'ANTONIO</t>
  </si>
  <si>
    <t>006087</t>
  </si>
  <si>
    <t>LERMA</t>
  </si>
  <si>
    <t>006088</t>
  </si>
  <si>
    <t>MALVICINO</t>
  </si>
  <si>
    <t>006090</t>
  </si>
  <si>
    <t>MASIO</t>
  </si>
  <si>
    <t>006091</t>
  </si>
  <si>
    <t>15024</t>
  </si>
  <si>
    <t>MELAZZO</t>
  </si>
  <si>
    <t>006092</t>
  </si>
  <si>
    <t>MERANA</t>
  </si>
  <si>
    <t>006093</t>
  </si>
  <si>
    <t>MIRABELLO MONFERRATO</t>
  </si>
  <si>
    <t>006094</t>
  </si>
  <si>
    <t>MOLARE</t>
  </si>
  <si>
    <t>006095</t>
  </si>
  <si>
    <t>15074</t>
  </si>
  <si>
    <t>MOLINO DEI TORTI</t>
  </si>
  <si>
    <t>006096</t>
  </si>
  <si>
    <t>MOMBELLO MONFERRATO</t>
  </si>
  <si>
    <t>006097</t>
  </si>
  <si>
    <t>MOMPERONE</t>
  </si>
  <si>
    <t>006098</t>
  </si>
  <si>
    <t>MONCESTINO</t>
  </si>
  <si>
    <t>006099</t>
  </si>
  <si>
    <t>MONGIARDINO LIGURE</t>
  </si>
  <si>
    <t>006100</t>
  </si>
  <si>
    <t>MONLEALE</t>
  </si>
  <si>
    <t>006101</t>
  </si>
  <si>
    <t>15059</t>
  </si>
  <si>
    <t>MONTACUTO</t>
  </si>
  <si>
    <t>006102</t>
  </si>
  <si>
    <t>MONTALDEO</t>
  </si>
  <si>
    <t>006103</t>
  </si>
  <si>
    <t>MONTALDO BORMIDA</t>
  </si>
  <si>
    <t>006104</t>
  </si>
  <si>
    <t>MONTECASTELLO</t>
  </si>
  <si>
    <t>006105</t>
  </si>
  <si>
    <t>MONTECHIARO D'ACQUI</t>
  </si>
  <si>
    <t>006106</t>
  </si>
  <si>
    <t>MONTEGIOCO</t>
  </si>
  <si>
    <t>006107</t>
  </si>
  <si>
    <t>MONTEMARZINO</t>
  </si>
  <si>
    <t>006108</t>
  </si>
  <si>
    <t>MORANO SUL PO</t>
  </si>
  <si>
    <t>006109</t>
  </si>
  <si>
    <t>15025</t>
  </si>
  <si>
    <t>MORBELLO</t>
  </si>
  <si>
    <t>006110</t>
  </si>
  <si>
    <t>MORNESE</t>
  </si>
  <si>
    <t>006111</t>
  </si>
  <si>
    <t>15075</t>
  </si>
  <si>
    <t>MORSASCO</t>
  </si>
  <si>
    <t>006112</t>
  </si>
  <si>
    <t>MURISENGO</t>
  </si>
  <si>
    <t>006113</t>
  </si>
  <si>
    <t>NOVI LIGURE</t>
  </si>
  <si>
    <t>006114</t>
  </si>
  <si>
    <t>15067</t>
  </si>
  <si>
    <t>OCCIMIANO</t>
  </si>
  <si>
    <t>006115</t>
  </si>
  <si>
    <t>ODALENGO GRANDE</t>
  </si>
  <si>
    <t>006116</t>
  </si>
  <si>
    <t>ODALENGO PICCOLO</t>
  </si>
  <si>
    <t>006117</t>
  </si>
  <si>
    <t>OLIVOLA</t>
  </si>
  <si>
    <t>006118</t>
  </si>
  <si>
    <t>ORSARA BORMIDA</t>
  </si>
  <si>
    <t>006119</t>
  </si>
  <si>
    <t>OTTIGLIO</t>
  </si>
  <si>
    <t>006120</t>
  </si>
  <si>
    <t>15038</t>
  </si>
  <si>
    <t>OVADA</t>
  </si>
  <si>
    <t>006121</t>
  </si>
  <si>
    <t>15076</t>
  </si>
  <si>
    <t>OVIGLIO</t>
  </si>
  <si>
    <t>006122</t>
  </si>
  <si>
    <t>OZZANO MONFERRATO</t>
  </si>
  <si>
    <t>006123</t>
  </si>
  <si>
    <t>15039</t>
  </si>
  <si>
    <t>PADERNA</t>
  </si>
  <si>
    <t>006124</t>
  </si>
  <si>
    <t>PARETO</t>
  </si>
  <si>
    <t>006125</t>
  </si>
  <si>
    <t>PARODI LIGURE</t>
  </si>
  <si>
    <t>006126</t>
  </si>
  <si>
    <t>PASTURANA</t>
  </si>
  <si>
    <t>006127</t>
  </si>
  <si>
    <t>PECETTO DI VALENZA</t>
  </si>
  <si>
    <t>006128</t>
  </si>
  <si>
    <t>PIETRA MARAZZI</t>
  </si>
  <si>
    <t>006129</t>
  </si>
  <si>
    <t>POMARO MONFERRATO</t>
  </si>
  <si>
    <t>006131</t>
  </si>
  <si>
    <t>PONTECURONE</t>
  </si>
  <si>
    <t>006132</t>
  </si>
  <si>
    <t>15055</t>
  </si>
  <si>
    <t>PONTESTURA</t>
  </si>
  <si>
    <t>006133</t>
  </si>
  <si>
    <t>15027</t>
  </si>
  <si>
    <t>PONTI</t>
  </si>
  <si>
    <t>006134</t>
  </si>
  <si>
    <t>PONZANO MONFERRATO</t>
  </si>
  <si>
    <t>006135</t>
  </si>
  <si>
    <t>PONZONE</t>
  </si>
  <si>
    <t>006136</t>
  </si>
  <si>
    <t>POZZOL GROPPO</t>
  </si>
  <si>
    <t>006137</t>
  </si>
  <si>
    <t>POZZOLO FORMIGARO</t>
  </si>
  <si>
    <t>006138</t>
  </si>
  <si>
    <t>15068</t>
  </si>
  <si>
    <t>PRASCO</t>
  </si>
  <si>
    <t>006139</t>
  </si>
  <si>
    <t>PREDOSA</t>
  </si>
  <si>
    <t>006140</t>
  </si>
  <si>
    <t>15077</t>
  </si>
  <si>
    <t>QUARGNENTO</t>
  </si>
  <si>
    <t>006141</t>
  </si>
  <si>
    <t>15044</t>
  </si>
  <si>
    <t>QUATTORDIO</t>
  </si>
  <si>
    <t>006142</t>
  </si>
  <si>
    <t>15028</t>
  </si>
  <si>
    <t>RICALDONE</t>
  </si>
  <si>
    <t>006143</t>
  </si>
  <si>
    <t>RIVALTA BORMIDA</t>
  </si>
  <si>
    <t>006144</t>
  </si>
  <si>
    <t>RIVARONE</t>
  </si>
  <si>
    <t>006145</t>
  </si>
  <si>
    <t>ROCCAFORTE LIGURE</t>
  </si>
  <si>
    <t>006146</t>
  </si>
  <si>
    <t>ROCCA GRIMALDA</t>
  </si>
  <si>
    <t>006147</t>
  </si>
  <si>
    <t>15078</t>
  </si>
  <si>
    <t>ROCCHETTA LIGURE</t>
  </si>
  <si>
    <t>006148</t>
  </si>
  <si>
    <t>ROSIGNANO MONFERRATO</t>
  </si>
  <si>
    <t>006149</t>
  </si>
  <si>
    <t>SALA MONFERRATO</t>
  </si>
  <si>
    <t>006150</t>
  </si>
  <si>
    <t>SALE</t>
  </si>
  <si>
    <t>006151</t>
  </si>
  <si>
    <t>15045</t>
  </si>
  <si>
    <t>SAN CRISTOFORO</t>
  </si>
  <si>
    <t>006152</t>
  </si>
  <si>
    <t>SAN GIORGIO MONFERRATO</t>
  </si>
  <si>
    <t>006153</t>
  </si>
  <si>
    <t>SAN SALVATORE MONFERRATO</t>
  </si>
  <si>
    <t>006154</t>
  </si>
  <si>
    <t>15046</t>
  </si>
  <si>
    <t>SAN SEBASTIANO CURONE</t>
  </si>
  <si>
    <t>006155</t>
  </si>
  <si>
    <t>SANT'AGATA FOSSILI</t>
  </si>
  <si>
    <t>006156</t>
  </si>
  <si>
    <t>SARDIGLIANO</t>
  </si>
  <si>
    <t>006157</t>
  </si>
  <si>
    <t>SAREZZANO</t>
  </si>
  <si>
    <t>006158</t>
  </si>
  <si>
    <t>SERRALUNGA DI CREA</t>
  </si>
  <si>
    <t>006159</t>
  </si>
  <si>
    <t>SERRAVALLE SCRIVIA</t>
  </si>
  <si>
    <t>006160</t>
  </si>
  <si>
    <t>15069</t>
  </si>
  <si>
    <t>SEZZADIO</t>
  </si>
  <si>
    <t>006161</t>
  </si>
  <si>
    <t>15079</t>
  </si>
  <si>
    <t>SILVANO D'ORBA</t>
  </si>
  <si>
    <t>006162</t>
  </si>
  <si>
    <t>SOLERO</t>
  </si>
  <si>
    <t>006163</t>
  </si>
  <si>
    <t>15029</t>
  </si>
  <si>
    <t>SOLONGHELLO</t>
  </si>
  <si>
    <t>006164</t>
  </si>
  <si>
    <t>SPIGNO MONFERRATO</t>
  </si>
  <si>
    <t>006165</t>
  </si>
  <si>
    <t>15018</t>
  </si>
  <si>
    <t>SPINETO SCRIVIA</t>
  </si>
  <si>
    <t>006166</t>
  </si>
  <si>
    <t>STAZZANO</t>
  </si>
  <si>
    <t>006167</t>
  </si>
  <si>
    <t>STREVI</t>
  </si>
  <si>
    <t>006168</t>
  </si>
  <si>
    <t>15019</t>
  </si>
  <si>
    <t>TAGLIOLO MONFERRATO</t>
  </si>
  <si>
    <t>006169</t>
  </si>
  <si>
    <t>TASSAROLO</t>
  </si>
  <si>
    <t>006170</t>
  </si>
  <si>
    <t>TERRUGGIA</t>
  </si>
  <si>
    <t>006171</t>
  </si>
  <si>
    <t>TERZO</t>
  </si>
  <si>
    <t>006172</t>
  </si>
  <si>
    <t>TICINETO</t>
  </si>
  <si>
    <t>006173</t>
  </si>
  <si>
    <t>TORTONA</t>
  </si>
  <si>
    <t>006174</t>
  </si>
  <si>
    <t>15057</t>
  </si>
  <si>
    <t>TREVILLE</t>
  </si>
  <si>
    <t>006175</t>
  </si>
  <si>
    <t>TRISOBBIO</t>
  </si>
  <si>
    <t>006176</t>
  </si>
  <si>
    <t>VALENZA</t>
  </si>
  <si>
    <t>006177</t>
  </si>
  <si>
    <t>15048</t>
  </si>
  <si>
    <t>VALMACCA</t>
  </si>
  <si>
    <t>006178</t>
  </si>
  <si>
    <t>VIGNALE MONFERRATO</t>
  </si>
  <si>
    <t>006179</t>
  </si>
  <si>
    <t>15049</t>
  </si>
  <si>
    <t>VIGNOLE BORBERA</t>
  </si>
  <si>
    <t>006180</t>
  </si>
  <si>
    <t>VIGUZZOLO</t>
  </si>
  <si>
    <t>006181</t>
  </si>
  <si>
    <t>15058</t>
  </si>
  <si>
    <t>VILLADEATI</t>
  </si>
  <si>
    <t>006182</t>
  </si>
  <si>
    <t>VILLALVERNIA</t>
  </si>
  <si>
    <t>006183</t>
  </si>
  <si>
    <t>VILLAMIROGLIO</t>
  </si>
  <si>
    <t>006184</t>
  </si>
  <si>
    <t>VILLANOVA MONFERRATO</t>
  </si>
  <si>
    <t>006185</t>
  </si>
  <si>
    <t>VILLAROMAGNANO</t>
  </si>
  <si>
    <t>006186</t>
  </si>
  <si>
    <t>VISONE</t>
  </si>
  <si>
    <t>006187</t>
  </si>
  <si>
    <t>VOLPEDO</t>
  </si>
  <si>
    <t>006188</t>
  </si>
  <si>
    <t>VOLPEGLINO</t>
  </si>
  <si>
    <t>006189</t>
  </si>
  <si>
    <t>VOLTAGGIO</t>
  </si>
  <si>
    <t>006190</t>
  </si>
  <si>
    <t>CASSANO SPINOLA</t>
  </si>
  <si>
    <t>006191</t>
  </si>
  <si>
    <t>15063</t>
  </si>
  <si>
    <t>ALLUVIONI PIOVERA</t>
  </si>
  <si>
    <t>006192</t>
  </si>
  <si>
    <t>LU E CUCCARO MONFERRATO</t>
  </si>
  <si>
    <t>006193</t>
  </si>
  <si>
    <t>ALLEIN</t>
  </si>
  <si>
    <t>007001</t>
  </si>
  <si>
    <t>AO</t>
  </si>
  <si>
    <t>11010</t>
  </si>
  <si>
    <t>ANTEY-SAINT-ANDRÉ</t>
  </si>
  <si>
    <t>007002</t>
  </si>
  <si>
    <t>AOSTA</t>
  </si>
  <si>
    <t>007003</t>
  </si>
  <si>
    <t>11100</t>
  </si>
  <si>
    <t>ARNAD</t>
  </si>
  <si>
    <t>007004</t>
  </si>
  <si>
    <t>11020</t>
  </si>
  <si>
    <t>ARVIER</t>
  </si>
  <si>
    <t>007005</t>
  </si>
  <si>
    <t>11011</t>
  </si>
  <si>
    <t>AVISE</t>
  </si>
  <si>
    <t>007006</t>
  </si>
  <si>
    <t>AYAS</t>
  </si>
  <si>
    <t>007007</t>
  </si>
  <si>
    <t>AYMAVILLES</t>
  </si>
  <si>
    <t>007008</t>
  </si>
  <si>
    <t>BARD</t>
  </si>
  <si>
    <t>007009</t>
  </si>
  <si>
    <t>BIONAZ</t>
  </si>
  <si>
    <t>007010</t>
  </si>
  <si>
    <t>BRISSOGNE</t>
  </si>
  <si>
    <t>007011</t>
  </si>
  <si>
    <t>BRUSSON</t>
  </si>
  <si>
    <t>007012</t>
  </si>
  <si>
    <t>11022</t>
  </si>
  <si>
    <t>CHALLAND-SAINT-ANSELME</t>
  </si>
  <si>
    <t>007013</t>
  </si>
  <si>
    <t>CHALLAND-SAINT-VICTOR</t>
  </si>
  <si>
    <t>007014</t>
  </si>
  <si>
    <t>CHAMBAVE</t>
  </si>
  <si>
    <t>007015</t>
  </si>
  <si>
    <t>11023</t>
  </si>
  <si>
    <t>CHAMOIS</t>
  </si>
  <si>
    <t>007016</t>
  </si>
  <si>
    <t>CHAMPDEPRAZ</t>
  </si>
  <si>
    <t>007017</t>
  </si>
  <si>
    <t>CHAMPORCHER</t>
  </si>
  <si>
    <t>007018</t>
  </si>
  <si>
    <t>CHARVENSOD</t>
  </si>
  <si>
    <t>007019</t>
  </si>
  <si>
    <t>CHATILLON</t>
  </si>
  <si>
    <t>007020</t>
  </si>
  <si>
    <t>11024</t>
  </si>
  <si>
    <t>COGNE</t>
  </si>
  <si>
    <t>007021</t>
  </si>
  <si>
    <t>11012</t>
  </si>
  <si>
    <t>COURMAYEUR</t>
  </si>
  <si>
    <t>007022</t>
  </si>
  <si>
    <t>11013</t>
  </si>
  <si>
    <t>DONNAS</t>
  </si>
  <si>
    <t>007023</t>
  </si>
  <si>
    <t>DOUES</t>
  </si>
  <si>
    <t>007024</t>
  </si>
  <si>
    <t>EMARÈSE</t>
  </si>
  <si>
    <t>007025</t>
  </si>
  <si>
    <t>ETROUBLES</t>
  </si>
  <si>
    <t>007026</t>
  </si>
  <si>
    <t>11014</t>
  </si>
  <si>
    <t>FÉNIS</t>
  </si>
  <si>
    <t>007027</t>
  </si>
  <si>
    <t>FONTAINEMORE</t>
  </si>
  <si>
    <t>007028</t>
  </si>
  <si>
    <t>GABY</t>
  </si>
  <si>
    <t>007029</t>
  </si>
  <si>
    <t>GIGNOD</t>
  </si>
  <si>
    <t>007030</t>
  </si>
  <si>
    <t>GRESSAN</t>
  </si>
  <si>
    <t>007031</t>
  </si>
  <si>
    <t>GRESSONEY-LA-TRINITÉ</t>
  </si>
  <si>
    <t>007032</t>
  </si>
  <si>
    <t>GRESSONEY-SAINT-JEAN</t>
  </si>
  <si>
    <t>007033</t>
  </si>
  <si>
    <t>11025</t>
  </si>
  <si>
    <t>HÔNE</t>
  </si>
  <si>
    <t>007034</t>
  </si>
  <si>
    <t>INTROD</t>
  </si>
  <si>
    <t>007035</t>
  </si>
  <si>
    <t>ISSIME</t>
  </si>
  <si>
    <t>007036</t>
  </si>
  <si>
    <t>ISSOGNE</t>
  </si>
  <si>
    <t>007037</t>
  </si>
  <si>
    <t>JOVENÇAN</t>
  </si>
  <si>
    <t>007038</t>
  </si>
  <si>
    <t>LA MAGDELEINE</t>
  </si>
  <si>
    <t>007039</t>
  </si>
  <si>
    <t>LA SALLE</t>
  </si>
  <si>
    <t>007040</t>
  </si>
  <si>
    <t>11015</t>
  </si>
  <si>
    <t>LA THUILE</t>
  </si>
  <si>
    <t>007041</t>
  </si>
  <si>
    <t>11016</t>
  </si>
  <si>
    <t>LILLIANES</t>
  </si>
  <si>
    <t>007042</t>
  </si>
  <si>
    <t>MONTJOVET</t>
  </si>
  <si>
    <t>007043</t>
  </si>
  <si>
    <t>MORGEX</t>
  </si>
  <si>
    <t>007044</t>
  </si>
  <si>
    <t>11017</t>
  </si>
  <si>
    <t>NUS</t>
  </si>
  <si>
    <t>007045</t>
  </si>
  <si>
    <t>OLLOMONT</t>
  </si>
  <si>
    <t>007046</t>
  </si>
  <si>
    <t>OYACE</t>
  </si>
  <si>
    <t>007047</t>
  </si>
  <si>
    <t>PERLOZ</t>
  </si>
  <si>
    <t>007048</t>
  </si>
  <si>
    <t>POLLEIN</t>
  </si>
  <si>
    <t>007049</t>
  </si>
  <si>
    <t>PONTBOSET</t>
  </si>
  <si>
    <t>007050</t>
  </si>
  <si>
    <t>PONTEY</t>
  </si>
  <si>
    <t>007051</t>
  </si>
  <si>
    <t>PONT-SAINT-MARTIN</t>
  </si>
  <si>
    <t>007052</t>
  </si>
  <si>
    <t>11026</t>
  </si>
  <si>
    <t>PRÉ-SAINT-DIDIER</t>
  </si>
  <si>
    <t>007053</t>
  </si>
  <si>
    <t>QUART</t>
  </si>
  <si>
    <t>007054</t>
  </si>
  <si>
    <t>RHEMES-NOTRE-DAME</t>
  </si>
  <si>
    <t>007055</t>
  </si>
  <si>
    <t>RHEMES-SAINT-GEORGES</t>
  </si>
  <si>
    <t>007056</t>
  </si>
  <si>
    <t>ROISAN</t>
  </si>
  <si>
    <t>007057</t>
  </si>
  <si>
    <t>SAINT-CHRISTOPHE</t>
  </si>
  <si>
    <t>007058</t>
  </si>
  <si>
    <t>SAINT-DENIS</t>
  </si>
  <si>
    <t>007059</t>
  </si>
  <si>
    <t>SAINT-MARCEL</t>
  </si>
  <si>
    <t>007060</t>
  </si>
  <si>
    <t>SAINT-NICOLAS</t>
  </si>
  <si>
    <t>007061</t>
  </si>
  <si>
    <t>SAINT-OYEN</t>
  </si>
  <si>
    <t>007062</t>
  </si>
  <si>
    <t>SAINT-PIERRE</t>
  </si>
  <si>
    <t>007063</t>
  </si>
  <si>
    <t>SAINT-RHÉMY-EN-BOSSES</t>
  </si>
  <si>
    <t>007064</t>
  </si>
  <si>
    <t>SAINT-VINCENT</t>
  </si>
  <si>
    <t>007065</t>
  </si>
  <si>
    <t>11027</t>
  </si>
  <si>
    <t>SARRE</t>
  </si>
  <si>
    <t>007066</t>
  </si>
  <si>
    <t>TORGNON</t>
  </si>
  <si>
    <t>007067</t>
  </si>
  <si>
    <t>VALGRISENCHE</t>
  </si>
  <si>
    <t>007068</t>
  </si>
  <si>
    <t>VALPELLINE</t>
  </si>
  <si>
    <t>007069</t>
  </si>
  <si>
    <t>VALSAVARENCHE</t>
  </si>
  <si>
    <t>007070</t>
  </si>
  <si>
    <t>VALTOURNENCHE</t>
  </si>
  <si>
    <t>007071</t>
  </si>
  <si>
    <t>11028</t>
  </si>
  <si>
    <t>VERRAYES</t>
  </si>
  <si>
    <t>007072</t>
  </si>
  <si>
    <t>VERRÈS</t>
  </si>
  <si>
    <t>007073</t>
  </si>
  <si>
    <t>11029</t>
  </si>
  <si>
    <t>VILLENEUVE</t>
  </si>
  <si>
    <t>007074</t>
  </si>
  <si>
    <t>11018</t>
  </si>
  <si>
    <t>AIROLE</t>
  </si>
  <si>
    <t>008001</t>
  </si>
  <si>
    <t>IM</t>
  </si>
  <si>
    <t>18030</t>
  </si>
  <si>
    <t>APRICALE</t>
  </si>
  <si>
    <t>008002</t>
  </si>
  <si>
    <t>18035</t>
  </si>
  <si>
    <t>AQUILA D'ARROSCIA</t>
  </si>
  <si>
    <t>008003</t>
  </si>
  <si>
    <t>18020</t>
  </si>
  <si>
    <t>ARMO</t>
  </si>
  <si>
    <t>008004</t>
  </si>
  <si>
    <t>18026</t>
  </si>
  <si>
    <t>AURIGO</t>
  </si>
  <si>
    <t>008005</t>
  </si>
  <si>
    <t>BADALUCCO</t>
  </si>
  <si>
    <t>008006</t>
  </si>
  <si>
    <t>18010</t>
  </si>
  <si>
    <t>BAJARDO</t>
  </si>
  <si>
    <t>008007</t>
  </si>
  <si>
    <t>18031</t>
  </si>
  <si>
    <t>BORDIGHERA</t>
  </si>
  <si>
    <t>008008</t>
  </si>
  <si>
    <t>18012</t>
  </si>
  <si>
    <t>BORGHETTO D'ARROSCIA</t>
  </si>
  <si>
    <t>008009</t>
  </si>
  <si>
    <t>BORGOMARO</t>
  </si>
  <si>
    <t>008010</t>
  </si>
  <si>
    <t>18021</t>
  </si>
  <si>
    <t>CAMPOROSSO</t>
  </si>
  <si>
    <t>008011</t>
  </si>
  <si>
    <t>18033</t>
  </si>
  <si>
    <t>CARAVONICA</t>
  </si>
  <si>
    <t>008012</t>
  </si>
  <si>
    <t>CASTELLARO</t>
  </si>
  <si>
    <t>008014</t>
  </si>
  <si>
    <t>18011</t>
  </si>
  <si>
    <t>CASTEL VITTORIO</t>
  </si>
  <si>
    <t>008015</t>
  </si>
  <si>
    <t>CERIANA</t>
  </si>
  <si>
    <t>008016</t>
  </si>
  <si>
    <t>18034</t>
  </si>
  <si>
    <t>CERVO</t>
  </si>
  <si>
    <t>008017</t>
  </si>
  <si>
    <t>CESIO</t>
  </si>
  <si>
    <t>008018</t>
  </si>
  <si>
    <t>18022</t>
  </si>
  <si>
    <t>CHIUSANICO</t>
  </si>
  <si>
    <t>008019</t>
  </si>
  <si>
    <t>18027</t>
  </si>
  <si>
    <t>CHIUSAVECCHIA</t>
  </si>
  <si>
    <t>008020</t>
  </si>
  <si>
    <t>CIPRESSA</t>
  </si>
  <si>
    <t>008021</t>
  </si>
  <si>
    <t>18017</t>
  </si>
  <si>
    <t>CIVEZZA</t>
  </si>
  <si>
    <t>008022</t>
  </si>
  <si>
    <t>COSIO D'ARROSCIA</t>
  </si>
  <si>
    <t>008023</t>
  </si>
  <si>
    <t>18023</t>
  </si>
  <si>
    <t>COSTARAINERA</t>
  </si>
  <si>
    <t>008024</t>
  </si>
  <si>
    <t>DIANO ARENTINO</t>
  </si>
  <si>
    <t>008025</t>
  </si>
  <si>
    <t>18013</t>
  </si>
  <si>
    <t>DIANO CASTELLO</t>
  </si>
  <si>
    <t>008026</t>
  </si>
  <si>
    <t>DIANO MARINA</t>
  </si>
  <si>
    <t>008027</t>
  </si>
  <si>
    <t>DIANO SAN PIETRO</t>
  </si>
  <si>
    <t>008028</t>
  </si>
  <si>
    <t>DOLCEACQUA</t>
  </si>
  <si>
    <t>008029</t>
  </si>
  <si>
    <t>DOLCEDO</t>
  </si>
  <si>
    <t>008030</t>
  </si>
  <si>
    <t>IMPERIA</t>
  </si>
  <si>
    <t>008031</t>
  </si>
  <si>
    <t>18100</t>
  </si>
  <si>
    <t>ISOLABONA</t>
  </si>
  <si>
    <t>008032</t>
  </si>
  <si>
    <t>LUCINASCO</t>
  </si>
  <si>
    <t>008033</t>
  </si>
  <si>
    <t>MENDATICA</t>
  </si>
  <si>
    <t>008034</t>
  </si>
  <si>
    <t>MOLINI DI TRIORA</t>
  </si>
  <si>
    <t>008035</t>
  </si>
  <si>
    <t>MONTEGROSSO PIAN LATTE</t>
  </si>
  <si>
    <t>008037</t>
  </si>
  <si>
    <t>OLIVETTA SAN MICHELE</t>
  </si>
  <si>
    <t>008038</t>
  </si>
  <si>
    <t>OSPEDALETTI</t>
  </si>
  <si>
    <t>008039</t>
  </si>
  <si>
    <t>18014</t>
  </si>
  <si>
    <t>PERINALDO</t>
  </si>
  <si>
    <t>008040</t>
  </si>
  <si>
    <t>18032</t>
  </si>
  <si>
    <t>PIETRABRUNA</t>
  </si>
  <si>
    <t>008041</t>
  </si>
  <si>
    <t>PIEVE DI TECO</t>
  </si>
  <si>
    <t>008042</t>
  </si>
  <si>
    <t>PIGNA</t>
  </si>
  <si>
    <t>008043</t>
  </si>
  <si>
    <t>18037</t>
  </si>
  <si>
    <t>POMPEIANA</t>
  </si>
  <si>
    <t>008044</t>
  </si>
  <si>
    <t>18015</t>
  </si>
  <si>
    <t>PONTEDASSIO</t>
  </si>
  <si>
    <t>008045</t>
  </si>
  <si>
    <t>PORNASSIO</t>
  </si>
  <si>
    <t>008046</t>
  </si>
  <si>
    <t>18024</t>
  </si>
  <si>
    <t>PRELÀ</t>
  </si>
  <si>
    <t>008047</t>
  </si>
  <si>
    <t>RANZO</t>
  </si>
  <si>
    <t>008048</t>
  </si>
  <si>
    <t>REZZO</t>
  </si>
  <si>
    <t>008049</t>
  </si>
  <si>
    <t>RIVA LIGURE</t>
  </si>
  <si>
    <t>008050</t>
  </si>
  <si>
    <t>ROCCHETTA NERVINA</t>
  </si>
  <si>
    <t>008051</t>
  </si>
  <si>
    <t>SAN BARTOLOMEO AL MARE</t>
  </si>
  <si>
    <t>008052</t>
  </si>
  <si>
    <t>18016</t>
  </si>
  <si>
    <t>SAN BIAGIO DELLA CIMA</t>
  </si>
  <si>
    <t>008053</t>
  </si>
  <si>
    <t>18036</t>
  </si>
  <si>
    <t>SAN LORENZO AL MARE</t>
  </si>
  <si>
    <t>008054</t>
  </si>
  <si>
    <t>SANREMO</t>
  </si>
  <si>
    <t>008055</t>
  </si>
  <si>
    <t>18038</t>
  </si>
  <si>
    <t>SANTO STEFANO AL MARE</t>
  </si>
  <si>
    <t>008056</t>
  </si>
  <si>
    <t>SEBORGA</t>
  </si>
  <si>
    <t>008057</t>
  </si>
  <si>
    <t>SOLDANO</t>
  </si>
  <si>
    <t>008058</t>
  </si>
  <si>
    <t>TAGGIA</t>
  </si>
  <si>
    <t>008059</t>
  </si>
  <si>
    <t>18018</t>
  </si>
  <si>
    <t>TERZORIO</t>
  </si>
  <si>
    <t>008060</t>
  </si>
  <si>
    <t>TRIORA</t>
  </si>
  <si>
    <t>008061</t>
  </si>
  <si>
    <t>VALLEBONA</t>
  </si>
  <si>
    <t>008062</t>
  </si>
  <si>
    <t>VALLECROSIA</t>
  </si>
  <si>
    <t>008063</t>
  </si>
  <si>
    <t>18019</t>
  </si>
  <si>
    <t>VASIA</t>
  </si>
  <si>
    <t>008064</t>
  </si>
  <si>
    <t>VENTIMIGLIA</t>
  </si>
  <si>
    <t>008065</t>
  </si>
  <si>
    <t>18039</t>
  </si>
  <si>
    <t>VESSALICO</t>
  </si>
  <si>
    <t>008066</t>
  </si>
  <si>
    <t>VILLA FARALDI</t>
  </si>
  <si>
    <t>008067</t>
  </si>
  <si>
    <t>MONTALTO CARPASIO</t>
  </si>
  <si>
    <t>008068</t>
  </si>
  <si>
    <t>ALASSIO</t>
  </si>
  <si>
    <t>009001</t>
  </si>
  <si>
    <t>SV</t>
  </si>
  <si>
    <t>17021</t>
  </si>
  <si>
    <t>ALBENGA</t>
  </si>
  <si>
    <t>009002</t>
  </si>
  <si>
    <t>17031</t>
  </si>
  <si>
    <t>ALBISSOLA MARINA</t>
  </si>
  <si>
    <t>009003</t>
  </si>
  <si>
    <t>17012</t>
  </si>
  <si>
    <t>ALBISOLA SUPERIORE</t>
  </si>
  <si>
    <t>009004</t>
  </si>
  <si>
    <t>17011</t>
  </si>
  <si>
    <t>ALTARE</t>
  </si>
  <si>
    <t>009005</t>
  </si>
  <si>
    <t>17041</t>
  </si>
  <si>
    <t>ANDORA</t>
  </si>
  <si>
    <t>009006</t>
  </si>
  <si>
    <t>17051</t>
  </si>
  <si>
    <t>ARNASCO</t>
  </si>
  <si>
    <t>009007</t>
  </si>
  <si>
    <t>17032</t>
  </si>
  <si>
    <t>BALESTRINO</t>
  </si>
  <si>
    <t>009008</t>
  </si>
  <si>
    <t>17020</t>
  </si>
  <si>
    <t>BARDINETO</t>
  </si>
  <si>
    <t>009009</t>
  </si>
  <si>
    <t>17057</t>
  </si>
  <si>
    <t>BERGEGGI</t>
  </si>
  <si>
    <t>009010</t>
  </si>
  <si>
    <t>17028</t>
  </si>
  <si>
    <t>BOISSANO</t>
  </si>
  <si>
    <t>009011</t>
  </si>
  <si>
    <t>17054</t>
  </si>
  <si>
    <t>BORGHETTO SANTO SPIRITO</t>
  </si>
  <si>
    <t>009012</t>
  </si>
  <si>
    <t>17052</t>
  </si>
  <si>
    <t>BORGIO VEREZZI</t>
  </si>
  <si>
    <t>009013</t>
  </si>
  <si>
    <t>17022</t>
  </si>
  <si>
    <t>BORMIDA</t>
  </si>
  <si>
    <t>009014</t>
  </si>
  <si>
    <t>17045</t>
  </si>
  <si>
    <t>CAIRO MONTENOTTE</t>
  </si>
  <si>
    <t>009015</t>
  </si>
  <si>
    <t>17014</t>
  </si>
  <si>
    <t>CALICE LIGURE</t>
  </si>
  <si>
    <t>009016</t>
  </si>
  <si>
    <t>CALIZZANO</t>
  </si>
  <si>
    <t>009017</t>
  </si>
  <si>
    <t>CARCARE</t>
  </si>
  <si>
    <t>009018</t>
  </si>
  <si>
    <t>17043</t>
  </si>
  <si>
    <t>CASANOVA LERRONE</t>
  </si>
  <si>
    <t>009019</t>
  </si>
  <si>
    <t>17033</t>
  </si>
  <si>
    <t>CASTELBIANCO</t>
  </si>
  <si>
    <t>009020</t>
  </si>
  <si>
    <t>17030</t>
  </si>
  <si>
    <t>CASTELVECCHIO DI ROCCA BARBENA</t>
  </si>
  <si>
    <t>009021</t>
  </si>
  <si>
    <t>17034</t>
  </si>
  <si>
    <t>CELLE LIGURE</t>
  </si>
  <si>
    <t>009022</t>
  </si>
  <si>
    <t>17015</t>
  </si>
  <si>
    <t>CENGIO</t>
  </si>
  <si>
    <t>009023</t>
  </si>
  <si>
    <t>17056</t>
  </si>
  <si>
    <t>CERIALE</t>
  </si>
  <si>
    <t>009024</t>
  </si>
  <si>
    <t>17023</t>
  </si>
  <si>
    <t>CISANO SUL NEVA</t>
  </si>
  <si>
    <t>009025</t>
  </si>
  <si>
    <t>17035</t>
  </si>
  <si>
    <t>COSSERIA</t>
  </si>
  <si>
    <t>009026</t>
  </si>
  <si>
    <t>17017</t>
  </si>
  <si>
    <t>DEGO</t>
  </si>
  <si>
    <t>009027</t>
  </si>
  <si>
    <t>17058</t>
  </si>
  <si>
    <t>ERLI</t>
  </si>
  <si>
    <t>009028</t>
  </si>
  <si>
    <t>FINALE LIGURE</t>
  </si>
  <si>
    <t>009029</t>
  </si>
  <si>
    <t>17024</t>
  </si>
  <si>
    <t>GARLENDA</t>
  </si>
  <si>
    <t>009030</t>
  </si>
  <si>
    <t>GIUSTENICE</t>
  </si>
  <si>
    <t>009031</t>
  </si>
  <si>
    <t>17027</t>
  </si>
  <si>
    <t>GIUSVALLA</t>
  </si>
  <si>
    <t>009032</t>
  </si>
  <si>
    <t>17010</t>
  </si>
  <si>
    <t>LAIGUEGLIA</t>
  </si>
  <si>
    <t>009033</t>
  </si>
  <si>
    <t>17053</t>
  </si>
  <si>
    <t>LOANO</t>
  </si>
  <si>
    <t>009034</t>
  </si>
  <si>
    <t>17025</t>
  </si>
  <si>
    <t>MAGLIOLO</t>
  </si>
  <si>
    <t>009035</t>
  </si>
  <si>
    <t>MALLARE</t>
  </si>
  <si>
    <t>009036</t>
  </si>
  <si>
    <t>MASSIMINO</t>
  </si>
  <si>
    <t>009037</t>
  </si>
  <si>
    <t>MILLESIMO</t>
  </si>
  <si>
    <t>009038</t>
  </si>
  <si>
    <t>MIOGLIA</t>
  </si>
  <si>
    <t>009039</t>
  </si>
  <si>
    <t>17040</t>
  </si>
  <si>
    <t>MURIALDO</t>
  </si>
  <si>
    <t>009040</t>
  </si>
  <si>
    <t>17013</t>
  </si>
  <si>
    <t>NASINO</t>
  </si>
  <si>
    <t>009041</t>
  </si>
  <si>
    <t>NOLI</t>
  </si>
  <si>
    <t>009042</t>
  </si>
  <si>
    <t>17026</t>
  </si>
  <si>
    <t>ONZO</t>
  </si>
  <si>
    <t>009043</t>
  </si>
  <si>
    <t>17037</t>
  </si>
  <si>
    <t>ORCO FEGLINO</t>
  </si>
  <si>
    <t>009044</t>
  </si>
  <si>
    <t>ORTOVERO</t>
  </si>
  <si>
    <t>009045</t>
  </si>
  <si>
    <t>OSIGLIA</t>
  </si>
  <si>
    <t>009046</t>
  </si>
  <si>
    <t>PALLARE</t>
  </si>
  <si>
    <t>009047</t>
  </si>
  <si>
    <t>PIANA CRIXIA</t>
  </si>
  <si>
    <t>009048</t>
  </si>
  <si>
    <t>PIETRA LIGURE</t>
  </si>
  <si>
    <t>009049</t>
  </si>
  <si>
    <t>PLODIO</t>
  </si>
  <si>
    <t>009050</t>
  </si>
  <si>
    <t>PONTINVREA</t>
  </si>
  <si>
    <t>009051</t>
  </si>
  <si>
    <t>17042</t>
  </si>
  <si>
    <t>QUILIANO</t>
  </si>
  <si>
    <t>009052</t>
  </si>
  <si>
    <t>17047</t>
  </si>
  <si>
    <t>RIALTO</t>
  </si>
  <si>
    <t>009053</t>
  </si>
  <si>
    <t>ROCCAVIGNALE</t>
  </si>
  <si>
    <t>009054</t>
  </si>
  <si>
    <t>SASSELLO</t>
  </si>
  <si>
    <t>009055</t>
  </si>
  <si>
    <t>17046</t>
  </si>
  <si>
    <t>SAVONA</t>
  </si>
  <si>
    <t>009056</t>
  </si>
  <si>
    <t>17100</t>
  </si>
  <si>
    <t>SPOTORNO</t>
  </si>
  <si>
    <t>009057</t>
  </si>
  <si>
    <t>STELLA</t>
  </si>
  <si>
    <t>009058</t>
  </si>
  <si>
    <t>17044</t>
  </si>
  <si>
    <t>STELLANELLO</t>
  </si>
  <si>
    <t>009059</t>
  </si>
  <si>
    <t>TESTICO</t>
  </si>
  <si>
    <t>009060</t>
  </si>
  <si>
    <t>TOIRANO</t>
  </si>
  <si>
    <t>009061</t>
  </si>
  <si>
    <t>17055</t>
  </si>
  <si>
    <t>TOVO SAN GIACOMO</t>
  </si>
  <si>
    <t>009062</t>
  </si>
  <si>
    <t>URBE</t>
  </si>
  <si>
    <t>009063</t>
  </si>
  <si>
    <t>17048</t>
  </si>
  <si>
    <t>VADO LIGURE</t>
  </si>
  <si>
    <t>009064</t>
  </si>
  <si>
    <t>VARAZZE</t>
  </si>
  <si>
    <t>009065</t>
  </si>
  <si>
    <t>17019</t>
  </si>
  <si>
    <t>VENDONE</t>
  </si>
  <si>
    <t>009066</t>
  </si>
  <si>
    <t>VEZZI PORTIO</t>
  </si>
  <si>
    <t>009067</t>
  </si>
  <si>
    <t>VILLANOVA D'ALBENGA</t>
  </si>
  <si>
    <t>009068</t>
  </si>
  <si>
    <t>17038</t>
  </si>
  <si>
    <t>ZUCCARELLO</t>
  </si>
  <si>
    <t>009069</t>
  </si>
  <si>
    <t>17039</t>
  </si>
  <si>
    <t>ARENZANO</t>
  </si>
  <si>
    <t>010001</t>
  </si>
  <si>
    <t>GE</t>
  </si>
  <si>
    <t>16011</t>
  </si>
  <si>
    <t>AVEGNO</t>
  </si>
  <si>
    <t>010002</t>
  </si>
  <si>
    <t>16030</t>
  </si>
  <si>
    <t>BARGAGLI</t>
  </si>
  <si>
    <t>010003</t>
  </si>
  <si>
    <t>16021</t>
  </si>
  <si>
    <t>BOGLIASCO</t>
  </si>
  <si>
    <t>010004</t>
  </si>
  <si>
    <t>16031</t>
  </si>
  <si>
    <t>BORZONASCA</t>
  </si>
  <si>
    <t>010005</t>
  </si>
  <si>
    <t>16041</t>
  </si>
  <si>
    <t>BUSALLA</t>
  </si>
  <si>
    <t>010006</t>
  </si>
  <si>
    <t>16012</t>
  </si>
  <si>
    <t>CAMOGLI</t>
  </si>
  <si>
    <t>010007</t>
  </si>
  <si>
    <t>16032</t>
  </si>
  <si>
    <t>CAMPO LIGURE</t>
  </si>
  <si>
    <t>010008</t>
  </si>
  <si>
    <t>16013</t>
  </si>
  <si>
    <t>CAMPOMORONE</t>
  </si>
  <si>
    <t>010009</t>
  </si>
  <si>
    <t>16014</t>
  </si>
  <si>
    <t>CARASCO</t>
  </si>
  <si>
    <t>010010</t>
  </si>
  <si>
    <t>16042</t>
  </si>
  <si>
    <t>CASARZA LIGURE</t>
  </si>
  <si>
    <t>010011</t>
  </si>
  <si>
    <t>CASELLA</t>
  </si>
  <si>
    <t>010012</t>
  </si>
  <si>
    <t>16015</t>
  </si>
  <si>
    <t>CASTIGLIONE CHIAVARESE</t>
  </si>
  <si>
    <t>010013</t>
  </si>
  <si>
    <t>CERANESI</t>
  </si>
  <si>
    <t>010014</t>
  </si>
  <si>
    <t>CHIAVARI</t>
  </si>
  <si>
    <t>010015</t>
  </si>
  <si>
    <t>16043</t>
  </si>
  <si>
    <t>CICAGNA</t>
  </si>
  <si>
    <t>010016</t>
  </si>
  <si>
    <t>16044</t>
  </si>
  <si>
    <t>COGOLETO</t>
  </si>
  <si>
    <t>010017</t>
  </si>
  <si>
    <t>16016</t>
  </si>
  <si>
    <t>COGORNO</t>
  </si>
  <si>
    <t>010018</t>
  </si>
  <si>
    <t>COREGLIA LIGURE</t>
  </si>
  <si>
    <t>010019</t>
  </si>
  <si>
    <t>16040</t>
  </si>
  <si>
    <t>CROCEFIESCHI</t>
  </si>
  <si>
    <t>010020</t>
  </si>
  <si>
    <t>16010</t>
  </si>
  <si>
    <t>DAVAGNA</t>
  </si>
  <si>
    <t>010021</t>
  </si>
  <si>
    <t>16022</t>
  </si>
  <si>
    <t>FASCIA</t>
  </si>
  <si>
    <t>010022</t>
  </si>
  <si>
    <t>16020</t>
  </si>
  <si>
    <t>FAVALE DI MALVARO</t>
  </si>
  <si>
    <t>010023</t>
  </si>
  <si>
    <t>FONTANIGORDA</t>
  </si>
  <si>
    <t>010024</t>
  </si>
  <si>
    <t>16023</t>
  </si>
  <si>
    <t>GENOVA</t>
  </si>
  <si>
    <t>010025</t>
  </si>
  <si>
    <t>161xx</t>
  </si>
  <si>
    <t>GORRETO</t>
  </si>
  <si>
    <t>010026</t>
  </si>
  <si>
    <t>ISOLA DEL CANTONE</t>
  </si>
  <si>
    <t>010027</t>
  </si>
  <si>
    <t>16017</t>
  </si>
  <si>
    <t>LAVAGNA</t>
  </si>
  <si>
    <t>010028</t>
  </si>
  <si>
    <t>16033</t>
  </si>
  <si>
    <t>LEIVI</t>
  </si>
  <si>
    <t>010029</t>
  </si>
  <si>
    <t>LORSICA</t>
  </si>
  <si>
    <t>010030</t>
  </si>
  <si>
    <t>16045</t>
  </si>
  <si>
    <t>LUMARZO</t>
  </si>
  <si>
    <t>010031</t>
  </si>
  <si>
    <t>16024</t>
  </si>
  <si>
    <t>MASONE</t>
  </si>
  <si>
    <t>010032</t>
  </si>
  <si>
    <t>MELE</t>
  </si>
  <si>
    <t>010033</t>
  </si>
  <si>
    <t>MEZZANEGO</t>
  </si>
  <si>
    <t>010034</t>
  </si>
  <si>
    <t>16046</t>
  </si>
  <si>
    <t>MIGNANEGO</t>
  </si>
  <si>
    <t>010035</t>
  </si>
  <si>
    <t>16018</t>
  </si>
  <si>
    <t>MOCONESI</t>
  </si>
  <si>
    <t>010036</t>
  </si>
  <si>
    <t>16047</t>
  </si>
  <si>
    <t>MONEGLIA</t>
  </si>
  <si>
    <t>010037</t>
  </si>
  <si>
    <t>MONTEBRUNO</t>
  </si>
  <si>
    <t>010038</t>
  </si>
  <si>
    <t>16025</t>
  </si>
  <si>
    <t>MONTOGGIO</t>
  </si>
  <si>
    <t>010039</t>
  </si>
  <si>
    <t>16026</t>
  </si>
  <si>
    <t>NE</t>
  </si>
  <si>
    <t>010040</t>
  </si>
  <si>
    <t>NEIRONE</t>
  </si>
  <si>
    <t>010041</t>
  </si>
  <si>
    <t>ORERO</t>
  </si>
  <si>
    <t>010042</t>
  </si>
  <si>
    <t>PIEVE LIGURE</t>
  </si>
  <si>
    <t>010043</t>
  </si>
  <si>
    <t>PORTOFINO</t>
  </si>
  <si>
    <t>010044</t>
  </si>
  <si>
    <t>16034</t>
  </si>
  <si>
    <t>PROPATA</t>
  </si>
  <si>
    <t>010045</t>
  </si>
  <si>
    <t>16027</t>
  </si>
  <si>
    <t>RAPALLO</t>
  </si>
  <si>
    <t>010046</t>
  </si>
  <si>
    <t>16035</t>
  </si>
  <si>
    <t>RECCO</t>
  </si>
  <si>
    <t>010047</t>
  </si>
  <si>
    <t>16036</t>
  </si>
  <si>
    <t>REZZOAGLIO</t>
  </si>
  <si>
    <t>010048</t>
  </si>
  <si>
    <t>16048</t>
  </si>
  <si>
    <t>RONCO SCRIVIA</t>
  </si>
  <si>
    <t>010049</t>
  </si>
  <si>
    <t>16019</t>
  </si>
  <si>
    <t>RONDANINA</t>
  </si>
  <si>
    <t>010050</t>
  </si>
  <si>
    <t>ROSSIGLIONE</t>
  </si>
  <si>
    <t>010051</t>
  </si>
  <si>
    <t>ROVEGNO</t>
  </si>
  <si>
    <t>010052</t>
  </si>
  <si>
    <t>16028</t>
  </si>
  <si>
    <t>SAN COLOMBANO CERTENOLI</t>
  </si>
  <si>
    <t>010053</t>
  </si>
  <si>
    <t>SANTA MARGHERITA LIGURE</t>
  </si>
  <si>
    <t>010054</t>
  </si>
  <si>
    <t>16038</t>
  </si>
  <si>
    <t>SANT'OLCESE</t>
  </si>
  <si>
    <t>010055</t>
  </si>
  <si>
    <t>SANTO STEFANO D'AVETO</t>
  </si>
  <si>
    <t>010056</t>
  </si>
  <si>
    <t>16049</t>
  </si>
  <si>
    <t>SAVIGNONE</t>
  </si>
  <si>
    <t>010057</t>
  </si>
  <si>
    <t>SERRA RICCÒ</t>
  </si>
  <si>
    <t>010058</t>
  </si>
  <si>
    <t>SESTRI LEVANTE</t>
  </si>
  <si>
    <t>010059</t>
  </si>
  <si>
    <t>16039</t>
  </si>
  <si>
    <t>SORI</t>
  </si>
  <si>
    <t>010060</t>
  </si>
  <si>
    <t>TIGLIETO</t>
  </si>
  <si>
    <t>010061</t>
  </si>
  <si>
    <t>TORRIGLIA</t>
  </si>
  <si>
    <t>010062</t>
  </si>
  <si>
    <t>16029</t>
  </si>
  <si>
    <t>TRIBOGNA</t>
  </si>
  <si>
    <t>010063</t>
  </si>
  <si>
    <t>USCIO</t>
  </si>
  <si>
    <t>010064</t>
  </si>
  <si>
    <t>VALBREVENNA</t>
  </si>
  <si>
    <t>010065</t>
  </si>
  <si>
    <t>VOBBIA</t>
  </si>
  <si>
    <t>010066</t>
  </si>
  <si>
    <t>ZOAGLI</t>
  </si>
  <si>
    <t>010067</t>
  </si>
  <si>
    <t>AMEGLIA</t>
  </si>
  <si>
    <t>011001</t>
  </si>
  <si>
    <t>SP</t>
  </si>
  <si>
    <t>19031</t>
  </si>
  <si>
    <t>ARCOLA</t>
  </si>
  <si>
    <t>011002</t>
  </si>
  <si>
    <t>19021</t>
  </si>
  <si>
    <t>BEVERINO</t>
  </si>
  <si>
    <t>011003</t>
  </si>
  <si>
    <t>19020</t>
  </si>
  <si>
    <t>BOLANO</t>
  </si>
  <si>
    <t>011004</t>
  </si>
  <si>
    <t>BONASSOLA</t>
  </si>
  <si>
    <t>011005</t>
  </si>
  <si>
    <t>19011</t>
  </si>
  <si>
    <t>BORGHETTO DI VARA</t>
  </si>
  <si>
    <t>011006</t>
  </si>
  <si>
    <t>BRUGNATO</t>
  </si>
  <si>
    <t>011007</t>
  </si>
  <si>
    <t>CALICE AL CORNOVIGLIO</t>
  </si>
  <si>
    <t>011008</t>
  </si>
  <si>
    <t>CARRO</t>
  </si>
  <si>
    <t>011009</t>
  </si>
  <si>
    <t>19012</t>
  </si>
  <si>
    <t>CARRODANO</t>
  </si>
  <si>
    <t>011010</t>
  </si>
  <si>
    <t>CASTELNUOVO MAGRA</t>
  </si>
  <si>
    <t>011011</t>
  </si>
  <si>
    <t>19033</t>
  </si>
  <si>
    <t>DEIVA MARINA</t>
  </si>
  <si>
    <t>011012</t>
  </si>
  <si>
    <t>19013</t>
  </si>
  <si>
    <t>FOLLO</t>
  </si>
  <si>
    <t>011013</t>
  </si>
  <si>
    <t>FRAMURA</t>
  </si>
  <si>
    <t>011014</t>
  </si>
  <si>
    <t>19014</t>
  </si>
  <si>
    <t>LA SPEZIA</t>
  </si>
  <si>
    <t>011015</t>
  </si>
  <si>
    <t>191xx</t>
  </si>
  <si>
    <t>LERICI</t>
  </si>
  <si>
    <t>011016</t>
  </si>
  <si>
    <t>19032</t>
  </si>
  <si>
    <t>LEVANTO</t>
  </si>
  <si>
    <t>011017</t>
  </si>
  <si>
    <t>19015</t>
  </si>
  <si>
    <t>MAISSANA</t>
  </si>
  <si>
    <t>011018</t>
  </si>
  <si>
    <t>19010</t>
  </si>
  <si>
    <t>MONTEROSSO AL MARE</t>
  </si>
  <si>
    <t>011019</t>
  </si>
  <si>
    <t>19016</t>
  </si>
  <si>
    <t>LUNI</t>
  </si>
  <si>
    <t>011020</t>
  </si>
  <si>
    <t>PIGNONE</t>
  </si>
  <si>
    <t>011021</t>
  </si>
  <si>
    <t>PORTOVENERE</t>
  </si>
  <si>
    <t>011022</t>
  </si>
  <si>
    <t>19025</t>
  </si>
  <si>
    <t>RICCÒ DEL GOLFO DI SPEZIA</t>
  </si>
  <si>
    <t>011023</t>
  </si>
  <si>
    <t>RIOMAGGIORE</t>
  </si>
  <si>
    <t>011024</t>
  </si>
  <si>
    <t>19017</t>
  </si>
  <si>
    <t>ROCCHETTA DI VARA</t>
  </si>
  <si>
    <t>011025</t>
  </si>
  <si>
    <t>SANTO STEFANO DI MAGRA</t>
  </si>
  <si>
    <t>011026</t>
  </si>
  <si>
    <t>19037</t>
  </si>
  <si>
    <t>SARZANA</t>
  </si>
  <si>
    <t>011027</t>
  </si>
  <si>
    <t>19038</t>
  </si>
  <si>
    <t>SESTA GODANO</t>
  </si>
  <si>
    <t>011028</t>
  </si>
  <si>
    <t>VARESE LIGURE</t>
  </si>
  <si>
    <t>011029</t>
  </si>
  <si>
    <t>19028</t>
  </si>
  <si>
    <t>VERNAZZA</t>
  </si>
  <si>
    <t>011030</t>
  </si>
  <si>
    <t>19018</t>
  </si>
  <si>
    <t>VEZZANO LIGURE</t>
  </si>
  <si>
    <t>011031</t>
  </si>
  <si>
    <t>ZIGNAGO</t>
  </si>
  <si>
    <t>011032</t>
  </si>
  <si>
    <t>AGRA</t>
  </si>
  <si>
    <t>012001</t>
  </si>
  <si>
    <t>VA</t>
  </si>
  <si>
    <t>21010</t>
  </si>
  <si>
    <t>ALBIZZATE</t>
  </si>
  <si>
    <t>012002</t>
  </si>
  <si>
    <t>21041</t>
  </si>
  <si>
    <t>ANGERA</t>
  </si>
  <si>
    <t>012003</t>
  </si>
  <si>
    <t>21021</t>
  </si>
  <si>
    <t>ARCISATE</t>
  </si>
  <si>
    <t>012004</t>
  </si>
  <si>
    <t>21051</t>
  </si>
  <si>
    <t>ARSAGO SEPRIO</t>
  </si>
  <si>
    <t>012005</t>
  </si>
  <si>
    <t>AZZATE</t>
  </si>
  <si>
    <t>012006</t>
  </si>
  <si>
    <t>21022</t>
  </si>
  <si>
    <t>AZZIO</t>
  </si>
  <si>
    <t>012007</t>
  </si>
  <si>
    <t>21030</t>
  </si>
  <si>
    <t>BARASSO</t>
  </si>
  <si>
    <t>012008</t>
  </si>
  <si>
    <t>21020</t>
  </si>
  <si>
    <t>BARDELLO</t>
  </si>
  <si>
    <t>012009</t>
  </si>
  <si>
    <t>BEDERO VALCUVIA</t>
  </si>
  <si>
    <t>012010</t>
  </si>
  <si>
    <t>21039</t>
  </si>
  <si>
    <t>BESANO</t>
  </si>
  <si>
    <t>012011</t>
  </si>
  <si>
    <t>21050</t>
  </si>
  <si>
    <t>BESNATE</t>
  </si>
  <si>
    <t>012012</t>
  </si>
  <si>
    <t>BESOZZO</t>
  </si>
  <si>
    <t>012013</t>
  </si>
  <si>
    <t>21023</t>
  </si>
  <si>
    <t>BIANDRONNO</t>
  </si>
  <si>
    <t>012014</t>
  </si>
  <si>
    <t>21024</t>
  </si>
  <si>
    <t>BISUSCHIO</t>
  </si>
  <si>
    <t>012015</t>
  </si>
  <si>
    <t>BODIO LOMNAGO</t>
  </si>
  <si>
    <t>012016</t>
  </si>
  <si>
    <t>BREBBIA</t>
  </si>
  <si>
    <t>012017</t>
  </si>
  <si>
    <t>BREGANO</t>
  </si>
  <si>
    <t>012018</t>
  </si>
  <si>
    <t>BRENTA</t>
  </si>
  <si>
    <t>012019</t>
  </si>
  <si>
    <t>BREZZO DI BEDERO</t>
  </si>
  <si>
    <t>012020</t>
  </si>
  <si>
    <t>BRINZIO</t>
  </si>
  <si>
    <t>012021</t>
  </si>
  <si>
    <t>BRISSAGO-VALTRAVAGLIA</t>
  </si>
  <si>
    <t>012022</t>
  </si>
  <si>
    <t>BRUNELLO</t>
  </si>
  <si>
    <t>012023</t>
  </si>
  <si>
    <t>BRUSIMPIANO</t>
  </si>
  <si>
    <t>012024</t>
  </si>
  <si>
    <t>BUGUGGIATE</t>
  </si>
  <si>
    <t>012025</t>
  </si>
  <si>
    <t>BUSTO ARSIZIO</t>
  </si>
  <si>
    <t>012026</t>
  </si>
  <si>
    <t>21052</t>
  </si>
  <si>
    <t>CADEGLIANO-VICONAGO</t>
  </si>
  <si>
    <t>012027</t>
  </si>
  <si>
    <t>21031</t>
  </si>
  <si>
    <t>CAIRATE</t>
  </si>
  <si>
    <t>012029</t>
  </si>
  <si>
    <t>CANTELLO</t>
  </si>
  <si>
    <t>012030</t>
  </si>
  <si>
    <t>CARAVATE</t>
  </si>
  <si>
    <t>012031</t>
  </si>
  <si>
    <t>21032</t>
  </si>
  <si>
    <t>CARDANO AL CAMPO</t>
  </si>
  <si>
    <t>012032</t>
  </si>
  <si>
    <t>CARNAGO</t>
  </si>
  <si>
    <t>012033</t>
  </si>
  <si>
    <t>21040</t>
  </si>
  <si>
    <t>CARONNO PERTUSELLA</t>
  </si>
  <si>
    <t>012034</t>
  </si>
  <si>
    <t>21042</t>
  </si>
  <si>
    <t>CARONNO VARESINO</t>
  </si>
  <si>
    <t>012035</t>
  </si>
  <si>
    <t>CASALE LITTA</t>
  </si>
  <si>
    <t>012036</t>
  </si>
  <si>
    <t>CASALZUIGNO</t>
  </si>
  <si>
    <t>012037</t>
  </si>
  <si>
    <t>CASCIAGO</t>
  </si>
  <si>
    <t>012038</t>
  </si>
  <si>
    <t>CASORATE SEMPIONE</t>
  </si>
  <si>
    <t>012039</t>
  </si>
  <si>
    <t>21011</t>
  </si>
  <si>
    <t>CASSANO MAGNAGO</t>
  </si>
  <si>
    <t>012040</t>
  </si>
  <si>
    <t>21012</t>
  </si>
  <si>
    <t>CASSANO VALCUVIA</t>
  </si>
  <si>
    <t>012041</t>
  </si>
  <si>
    <t>CASTELLANZA</t>
  </si>
  <si>
    <t>012042</t>
  </si>
  <si>
    <t>21053</t>
  </si>
  <si>
    <t>CASTELLO CABIAGLIO</t>
  </si>
  <si>
    <t>012043</t>
  </si>
  <si>
    <t>CASTELSEPRIO</t>
  </si>
  <si>
    <t>012044</t>
  </si>
  <si>
    <t>CASTELVECCANA</t>
  </si>
  <si>
    <t>012045</t>
  </si>
  <si>
    <t>CASTIGLIONE OLONA</t>
  </si>
  <si>
    <t>012046</t>
  </si>
  <si>
    <t>21043</t>
  </si>
  <si>
    <t>CASTRONNO</t>
  </si>
  <si>
    <t>012047</t>
  </si>
  <si>
    <t>CAVARIA CON PREMEZZO</t>
  </si>
  <si>
    <t>012048</t>
  </si>
  <si>
    <t>21044</t>
  </si>
  <si>
    <t>CAZZAGO BRABBIA</t>
  </si>
  <si>
    <t>012049</t>
  </si>
  <si>
    <t>CISLAGO</t>
  </si>
  <si>
    <t>012050</t>
  </si>
  <si>
    <t>CITTIGLIO</t>
  </si>
  <si>
    <t>012051</t>
  </si>
  <si>
    <t>21033</t>
  </si>
  <si>
    <t>CLIVIO</t>
  </si>
  <si>
    <t>012052</t>
  </si>
  <si>
    <t>COCQUIO-TREVISAGO</t>
  </si>
  <si>
    <t>012053</t>
  </si>
  <si>
    <t>21034</t>
  </si>
  <si>
    <t>COMABBIO</t>
  </si>
  <si>
    <t>012054</t>
  </si>
  <si>
    <t>COMERIO</t>
  </si>
  <si>
    <t>012055</t>
  </si>
  <si>
    <t>21025</t>
  </si>
  <si>
    <t>CREMENAGA</t>
  </si>
  <si>
    <t>012056</t>
  </si>
  <si>
    <t>CROSIO DELLA VALLE</t>
  </si>
  <si>
    <t>012057</t>
  </si>
  <si>
    <t>CUASSO AL MONTE</t>
  </si>
  <si>
    <t>012058</t>
  </si>
  <si>
    <t>CUGLIATE-FABIASCO</t>
  </si>
  <si>
    <t>012059</t>
  </si>
  <si>
    <t>CUNARDO</t>
  </si>
  <si>
    <t>012060</t>
  </si>
  <si>
    <t>21035</t>
  </si>
  <si>
    <t>CURIGLIA CON MONTEVIASCO</t>
  </si>
  <si>
    <t>012061</t>
  </si>
  <si>
    <t>CUVEGLIO</t>
  </si>
  <si>
    <t>012062</t>
  </si>
  <si>
    <t>CUVIO</t>
  </si>
  <si>
    <t>012063</t>
  </si>
  <si>
    <t>DAVERIO</t>
  </si>
  <si>
    <t>012064</t>
  </si>
  <si>
    <t>DUMENZA</t>
  </si>
  <si>
    <t>012065</t>
  </si>
  <si>
    <t>DUNO</t>
  </si>
  <si>
    <t>012066</t>
  </si>
  <si>
    <t>FAGNANO OLONA</t>
  </si>
  <si>
    <t>012067</t>
  </si>
  <si>
    <t>21054</t>
  </si>
  <si>
    <t>FERNO</t>
  </si>
  <si>
    <t>012068</t>
  </si>
  <si>
    <t>FERRERA DI VARESE</t>
  </si>
  <si>
    <t>012069</t>
  </si>
  <si>
    <t>GALLARATE</t>
  </si>
  <si>
    <t>012070</t>
  </si>
  <si>
    <t>21013</t>
  </si>
  <si>
    <t>GALLIATE LOMBARDO</t>
  </si>
  <si>
    <t>012071</t>
  </si>
  <si>
    <t>GAVIRATE</t>
  </si>
  <si>
    <t>012072</t>
  </si>
  <si>
    <t>21026</t>
  </si>
  <si>
    <t>GAZZADA SCHIANNO</t>
  </si>
  <si>
    <t>012073</t>
  </si>
  <si>
    <t>21045</t>
  </si>
  <si>
    <t>GEMONIO</t>
  </si>
  <si>
    <t>012074</t>
  </si>
  <si>
    <t>21036</t>
  </si>
  <si>
    <t>GERENZANO</t>
  </si>
  <si>
    <t>012075</t>
  </si>
  <si>
    <t>GERMIGNAGA</t>
  </si>
  <si>
    <t>012076</t>
  </si>
  <si>
    <t>GOLASECCA</t>
  </si>
  <si>
    <t>012077</t>
  </si>
  <si>
    <t>GORLA MAGGIORE</t>
  </si>
  <si>
    <t>012078</t>
  </si>
  <si>
    <t>GORLA MINORE</t>
  </si>
  <si>
    <t>012079</t>
  </si>
  <si>
    <t>21055</t>
  </si>
  <si>
    <t>GORNATE OLONA</t>
  </si>
  <si>
    <t>012080</t>
  </si>
  <si>
    <t>GRANTOLA</t>
  </si>
  <si>
    <t>012081</t>
  </si>
  <si>
    <t>INARZO</t>
  </si>
  <si>
    <t>012082</t>
  </si>
  <si>
    <t>INDUNO OLONA</t>
  </si>
  <si>
    <t>012083</t>
  </si>
  <si>
    <t>21056</t>
  </si>
  <si>
    <t>ISPRA</t>
  </si>
  <si>
    <t>012084</t>
  </si>
  <si>
    <t>21027</t>
  </si>
  <si>
    <t>JERAGO CON ORAGO</t>
  </si>
  <si>
    <t>012085</t>
  </si>
  <si>
    <t>LAVENA PONTE TRESA</t>
  </si>
  <si>
    <t>012086</t>
  </si>
  <si>
    <t>21037</t>
  </si>
  <si>
    <t>LAVENO-MOMBELLO</t>
  </si>
  <si>
    <t>012087</t>
  </si>
  <si>
    <t>21014</t>
  </si>
  <si>
    <t>LEGGIUNO</t>
  </si>
  <si>
    <t>012088</t>
  </si>
  <si>
    <t>21038</t>
  </si>
  <si>
    <t>LONATE CEPPINO</t>
  </si>
  <si>
    <t>012089</t>
  </si>
  <si>
    <t>LONATE POZZOLO</t>
  </si>
  <si>
    <t>012090</t>
  </si>
  <si>
    <t>21015</t>
  </si>
  <si>
    <t>LOZZA</t>
  </si>
  <si>
    <t>012091</t>
  </si>
  <si>
    <t>LUINO</t>
  </si>
  <si>
    <t>012092</t>
  </si>
  <si>
    <t>21016</t>
  </si>
  <si>
    <t>LUVINATE</t>
  </si>
  <si>
    <t>012093</t>
  </si>
  <si>
    <t>MALGESSO</t>
  </si>
  <si>
    <t>012095</t>
  </si>
  <si>
    <t>MALNATE</t>
  </si>
  <si>
    <t>012096</t>
  </si>
  <si>
    <t>21046</t>
  </si>
  <si>
    <t>MARCHIROLO</t>
  </si>
  <si>
    <t>012097</t>
  </si>
  <si>
    <t>MARNATE</t>
  </si>
  <si>
    <t>012098</t>
  </si>
  <si>
    <t>MARZIO</t>
  </si>
  <si>
    <t>012099</t>
  </si>
  <si>
    <t>MASCIAGO PRIMO</t>
  </si>
  <si>
    <t>012100</t>
  </si>
  <si>
    <t>MERCALLO</t>
  </si>
  <si>
    <t>012101</t>
  </si>
  <si>
    <t>MESENZANA</t>
  </si>
  <si>
    <t>012102</t>
  </si>
  <si>
    <t>MONTEGRINO VALTRAVAGLIA</t>
  </si>
  <si>
    <t>012103</t>
  </si>
  <si>
    <t>MONVALLE</t>
  </si>
  <si>
    <t>012104</t>
  </si>
  <si>
    <t>MORAZZONE</t>
  </si>
  <si>
    <t>012105</t>
  </si>
  <si>
    <t>MORNAGO</t>
  </si>
  <si>
    <t>012106</t>
  </si>
  <si>
    <t>OGGIONA CON SANTO STEFANO</t>
  </si>
  <si>
    <t>012107</t>
  </si>
  <si>
    <t>OLGIATE OLONA</t>
  </si>
  <si>
    <t>012108</t>
  </si>
  <si>
    <t>21057</t>
  </si>
  <si>
    <t>ORIGGIO</t>
  </si>
  <si>
    <t>012109</t>
  </si>
  <si>
    <t>ORINO</t>
  </si>
  <si>
    <t>012110</t>
  </si>
  <si>
    <t>PORTO CERESIO</t>
  </si>
  <si>
    <t>012113</t>
  </si>
  <si>
    <t>PORTO VALTRAVAGLIA</t>
  </si>
  <si>
    <t>012114</t>
  </si>
  <si>
    <t>RANCIO VALCUVIA</t>
  </si>
  <si>
    <t>012115</t>
  </si>
  <si>
    <t>RANCO</t>
  </si>
  <si>
    <t>012116</t>
  </si>
  <si>
    <t>SALTRIO</t>
  </si>
  <si>
    <t>012117</t>
  </si>
  <si>
    <t>SAMARATE</t>
  </si>
  <si>
    <t>012118</t>
  </si>
  <si>
    <t>21017</t>
  </si>
  <si>
    <t>SARONNO</t>
  </si>
  <si>
    <t>012119</t>
  </si>
  <si>
    <t>21047</t>
  </si>
  <si>
    <t>SESTO CALENDE</t>
  </si>
  <si>
    <t>012120</t>
  </si>
  <si>
    <t>21018</t>
  </si>
  <si>
    <t>SOLBIATE ARNO</t>
  </si>
  <si>
    <t>012121</t>
  </si>
  <si>
    <t>21048</t>
  </si>
  <si>
    <t>SOLBIATE OLONA</t>
  </si>
  <si>
    <t>012122</t>
  </si>
  <si>
    <t>21058</t>
  </si>
  <si>
    <t>SOMMA LOMBARDO</t>
  </si>
  <si>
    <t>012123</t>
  </si>
  <si>
    <t>21019</t>
  </si>
  <si>
    <t>SUMIRAGO</t>
  </si>
  <si>
    <t>012124</t>
  </si>
  <si>
    <t>TAINO</t>
  </si>
  <si>
    <t>012125</t>
  </si>
  <si>
    <t>TERNATE</t>
  </si>
  <si>
    <t>012126</t>
  </si>
  <si>
    <t>TRADATE</t>
  </si>
  <si>
    <t>012127</t>
  </si>
  <si>
    <t>21049</t>
  </si>
  <si>
    <t>TRAVEDONA-MONATE</t>
  </si>
  <si>
    <t>012128</t>
  </si>
  <si>
    <t>21028</t>
  </si>
  <si>
    <t>TRONZANO LAGO MAGGIORE</t>
  </si>
  <si>
    <t>012129</t>
  </si>
  <si>
    <t>UBOLDO</t>
  </si>
  <si>
    <t>012130</t>
  </si>
  <si>
    <t>VALGANNA</t>
  </si>
  <si>
    <t>012131</t>
  </si>
  <si>
    <t>VARANO BORGHI</t>
  </si>
  <si>
    <t>012132</t>
  </si>
  <si>
    <t>VARESE</t>
  </si>
  <si>
    <t>012133</t>
  </si>
  <si>
    <t>21100</t>
  </si>
  <si>
    <t>VEDANO OLONA</t>
  </si>
  <si>
    <t>012134</t>
  </si>
  <si>
    <t>VENEGONO INFERIORE</t>
  </si>
  <si>
    <t>012136</t>
  </si>
  <si>
    <t>VENEGONO SUPERIORE</t>
  </si>
  <si>
    <t>012137</t>
  </si>
  <si>
    <t>VERGIATE</t>
  </si>
  <si>
    <t>012138</t>
  </si>
  <si>
    <t>21029</t>
  </si>
  <si>
    <t>VIGGIÙ</t>
  </si>
  <si>
    <t>012139</t>
  </si>
  <si>
    <t>21059</t>
  </si>
  <si>
    <t>VIZZOLA TICINO</t>
  </si>
  <si>
    <t>012140</t>
  </si>
  <si>
    <t>SANGIANO</t>
  </si>
  <si>
    <t>012141</t>
  </si>
  <si>
    <t>MACCAGNO CON PINO E VEDDASCA</t>
  </si>
  <si>
    <t>012142</t>
  </si>
  <si>
    <t>CADREZZATE CON OSMATE</t>
  </si>
  <si>
    <t>012143</t>
  </si>
  <si>
    <t>ALBAVILLA</t>
  </si>
  <si>
    <t>013003</t>
  </si>
  <si>
    <t>CO</t>
  </si>
  <si>
    <t>22031</t>
  </si>
  <si>
    <t>ALBESE CON CASSANO</t>
  </si>
  <si>
    <t>013004</t>
  </si>
  <si>
    <t>22032</t>
  </si>
  <si>
    <t>ALBIOLO</t>
  </si>
  <si>
    <t>013005</t>
  </si>
  <si>
    <t>22070</t>
  </si>
  <si>
    <t>ALSERIO</t>
  </si>
  <si>
    <t>013006</t>
  </si>
  <si>
    <t>22040</t>
  </si>
  <si>
    <t>ALZATE BRIANZA</t>
  </si>
  <si>
    <t>013007</t>
  </si>
  <si>
    <t>ANZANO DEL PARCO</t>
  </si>
  <si>
    <t>013009</t>
  </si>
  <si>
    <t>APPIANO GENTILE</t>
  </si>
  <si>
    <t>013010</t>
  </si>
  <si>
    <t>ARGEGNO</t>
  </si>
  <si>
    <t>013011</t>
  </si>
  <si>
    <t>22010</t>
  </si>
  <si>
    <t>AROSIO</t>
  </si>
  <si>
    <t>013012</t>
  </si>
  <si>
    <t>22060</t>
  </si>
  <si>
    <t>ASSO</t>
  </si>
  <si>
    <t>013013</t>
  </si>
  <si>
    <t>22033</t>
  </si>
  <si>
    <t>BARNI</t>
  </si>
  <si>
    <t>013015</t>
  </si>
  <si>
    <t>22030</t>
  </si>
  <si>
    <t>BENE LARIO</t>
  </si>
  <si>
    <t>013021</t>
  </si>
  <si>
    <t>BEREGAZZO CON FIGLIARO</t>
  </si>
  <si>
    <t>013022</t>
  </si>
  <si>
    <t>BINAGO</t>
  </si>
  <si>
    <t>013023</t>
  </si>
  <si>
    <t>BIZZARONE</t>
  </si>
  <si>
    <t>013024</t>
  </si>
  <si>
    <t>22020</t>
  </si>
  <si>
    <t>BLESSAGNO</t>
  </si>
  <si>
    <t>013025</t>
  </si>
  <si>
    <t>22028</t>
  </si>
  <si>
    <t>BLEVIO</t>
  </si>
  <si>
    <t>013026</t>
  </si>
  <si>
    <t>BREGNANO</t>
  </si>
  <si>
    <t>013028</t>
  </si>
  <si>
    <t>BRENNA</t>
  </si>
  <si>
    <t>013029</t>
  </si>
  <si>
    <t>BRIENNO</t>
  </si>
  <si>
    <t>013030</t>
  </si>
  <si>
    <t>BRUNATE</t>
  </si>
  <si>
    <t>013032</t>
  </si>
  <si>
    <t>22034</t>
  </si>
  <si>
    <t>BULGAROGRASSO</t>
  </si>
  <si>
    <t>013034</t>
  </si>
  <si>
    <t>CABIATE</t>
  </si>
  <si>
    <t>013035</t>
  </si>
  <si>
    <t>CADORAGO</t>
  </si>
  <si>
    <t>013036</t>
  </si>
  <si>
    <t>22071</t>
  </si>
  <si>
    <t>CAGLIO</t>
  </si>
  <si>
    <t>013037</t>
  </si>
  <si>
    <t>CAMPIONE D'ITALIA</t>
  </si>
  <si>
    <t>013040</t>
  </si>
  <si>
    <t>CANTÙ</t>
  </si>
  <si>
    <t>013041</t>
  </si>
  <si>
    <t>22063</t>
  </si>
  <si>
    <t>CANZO</t>
  </si>
  <si>
    <t>013042</t>
  </si>
  <si>
    <t>22035</t>
  </si>
  <si>
    <t>CAPIAGO INTIMIANO</t>
  </si>
  <si>
    <t>013043</t>
  </si>
  <si>
    <t>CARATE URIO</t>
  </si>
  <si>
    <t>013044</t>
  </si>
  <si>
    <t>CARBONATE</t>
  </si>
  <si>
    <t>013045</t>
  </si>
  <si>
    <t>CARIMATE</t>
  </si>
  <si>
    <t>013046</t>
  </si>
  <si>
    <t>CARLAZZO</t>
  </si>
  <si>
    <t>013047</t>
  </si>
  <si>
    <t>CARUGO</t>
  </si>
  <si>
    <t>013048</t>
  </si>
  <si>
    <t>CASLINO D'ERBA</t>
  </si>
  <si>
    <t>013052</t>
  </si>
  <si>
    <t>CASNATE CON BERNATE</t>
  </si>
  <si>
    <t>013053</t>
  </si>
  <si>
    <t>CASSINA RIZZARDI</t>
  </si>
  <si>
    <t>013055</t>
  </si>
  <si>
    <t>CASTELMARTE</t>
  </si>
  <si>
    <t>013058</t>
  </si>
  <si>
    <t>CASTELNUOVO BOZZENTE</t>
  </si>
  <si>
    <t>013059</t>
  </si>
  <si>
    <t>CAVARGNA</t>
  </si>
  <si>
    <t>013062</t>
  </si>
  <si>
    <t>CERANO D'INTELVI</t>
  </si>
  <si>
    <t>013063</t>
  </si>
  <si>
    <t>CERMENATE</t>
  </si>
  <si>
    <t>013064</t>
  </si>
  <si>
    <t>22072</t>
  </si>
  <si>
    <t>CERNOBBIO</t>
  </si>
  <si>
    <t>013065</t>
  </si>
  <si>
    <t>22012</t>
  </si>
  <si>
    <t>CIRIMIDO</t>
  </si>
  <si>
    <t>013068</t>
  </si>
  <si>
    <t>CLAINO CON OSTENO</t>
  </si>
  <si>
    <t>013071</t>
  </si>
  <si>
    <t>COLONNO</t>
  </si>
  <si>
    <t>013074</t>
  </si>
  <si>
    <t>COMO</t>
  </si>
  <si>
    <t>013075</t>
  </si>
  <si>
    <t>22100</t>
  </si>
  <si>
    <t>CORRIDO</t>
  </si>
  <si>
    <t>013077</t>
  </si>
  <si>
    <t>CREMIA</t>
  </si>
  <si>
    <t>013083</t>
  </si>
  <si>
    <t>CUCCIAGO</t>
  </si>
  <si>
    <t>013084</t>
  </si>
  <si>
    <t>CUSINO</t>
  </si>
  <si>
    <t>013085</t>
  </si>
  <si>
    <t>DIZZASCO</t>
  </si>
  <si>
    <t>013087</t>
  </si>
  <si>
    <t>DOMASO</t>
  </si>
  <si>
    <t>013089</t>
  </si>
  <si>
    <t>22013</t>
  </si>
  <si>
    <t>DONGO</t>
  </si>
  <si>
    <t>013090</t>
  </si>
  <si>
    <t>22014</t>
  </si>
  <si>
    <t>DOSSO DEL LIRO</t>
  </si>
  <si>
    <t>013092</t>
  </si>
  <si>
    <t>ERBA</t>
  </si>
  <si>
    <t>013095</t>
  </si>
  <si>
    <t>22036</t>
  </si>
  <si>
    <t>EUPILIO</t>
  </si>
  <si>
    <t>013097</t>
  </si>
  <si>
    <t>FAGGETO LARIO</t>
  </si>
  <si>
    <t>013098</t>
  </si>
  <si>
    <t>FALOPPIO</t>
  </si>
  <si>
    <t>013099</t>
  </si>
  <si>
    <t>FENEGRÒ</t>
  </si>
  <si>
    <t>013100</t>
  </si>
  <si>
    <t>FIGINO SERENZA</t>
  </si>
  <si>
    <t>013101</t>
  </si>
  <si>
    <t>FINO MORNASCO</t>
  </si>
  <si>
    <t>013102</t>
  </si>
  <si>
    <t>22073</t>
  </si>
  <si>
    <t>GARZENO</t>
  </si>
  <si>
    <t>013106</t>
  </si>
  <si>
    <t>GERA LARIO</t>
  </si>
  <si>
    <t>013107</t>
  </si>
  <si>
    <t>GRANDATE</t>
  </si>
  <si>
    <t>013110</t>
  </si>
  <si>
    <t>GRANDOLA ED UNITI</t>
  </si>
  <si>
    <t>013111</t>
  </si>
  <si>
    <t>GRIANTE</t>
  </si>
  <si>
    <t>013113</t>
  </si>
  <si>
    <t>22011</t>
  </si>
  <si>
    <t>GUANZATE</t>
  </si>
  <si>
    <t>013114</t>
  </si>
  <si>
    <t>INVERIGO</t>
  </si>
  <si>
    <t>013118</t>
  </si>
  <si>
    <t>22044</t>
  </si>
  <si>
    <t>LAGLIO</t>
  </si>
  <si>
    <t>013119</t>
  </si>
  <si>
    <t>LAINO</t>
  </si>
  <si>
    <t>013120</t>
  </si>
  <si>
    <t>LAMBRUGO</t>
  </si>
  <si>
    <t>013121</t>
  </si>
  <si>
    <t>22045</t>
  </si>
  <si>
    <t>LASNIGO</t>
  </si>
  <si>
    <t>013123</t>
  </si>
  <si>
    <t>LEZZENO</t>
  </si>
  <si>
    <t>013126</t>
  </si>
  <si>
    <t>22025</t>
  </si>
  <si>
    <t>LIMIDO COMASCO</t>
  </si>
  <si>
    <t>013128</t>
  </si>
  <si>
    <t>LIPOMO</t>
  </si>
  <si>
    <t>013129</t>
  </si>
  <si>
    <t>LIVO</t>
  </si>
  <si>
    <t>013130</t>
  </si>
  <si>
    <t>TN</t>
  </si>
  <si>
    <t>38020</t>
  </si>
  <si>
    <t>LOCATE VARESINO</t>
  </si>
  <si>
    <t>013131</t>
  </si>
  <si>
    <t>LOMAZZO</t>
  </si>
  <si>
    <t>013133</t>
  </si>
  <si>
    <t>22074</t>
  </si>
  <si>
    <t>LONGONE AL SEGRINO</t>
  </si>
  <si>
    <t>013134</t>
  </si>
  <si>
    <t>LUISAGO</t>
  </si>
  <si>
    <t>013135</t>
  </si>
  <si>
    <t>LURAGO D'ERBA</t>
  </si>
  <si>
    <t>013136</t>
  </si>
  <si>
    <t>LURAGO MARINONE</t>
  </si>
  <si>
    <t>013137</t>
  </si>
  <si>
    <t>LURATE CACCIVIO</t>
  </si>
  <si>
    <t>013138</t>
  </si>
  <si>
    <t>22075</t>
  </si>
  <si>
    <t>MAGREGLIO</t>
  </si>
  <si>
    <t>013139</t>
  </si>
  <si>
    <t>MARIANO COMENSE</t>
  </si>
  <si>
    <t>013143</t>
  </si>
  <si>
    <t>22066</t>
  </si>
  <si>
    <t>MASLIANICO</t>
  </si>
  <si>
    <t>013144</t>
  </si>
  <si>
    <t>22026</t>
  </si>
  <si>
    <t>MENAGGIO</t>
  </si>
  <si>
    <t>013145</t>
  </si>
  <si>
    <t>22017</t>
  </si>
  <si>
    <t>MERONE</t>
  </si>
  <si>
    <t>013147</t>
  </si>
  <si>
    <t>22046</t>
  </si>
  <si>
    <t>MOLTRASIO</t>
  </si>
  <si>
    <t>013152</t>
  </si>
  <si>
    <t>MONGUZZO</t>
  </si>
  <si>
    <t>013153</t>
  </si>
  <si>
    <t>MONTANO LUCINO</t>
  </si>
  <si>
    <t>013154</t>
  </si>
  <si>
    <t>MONTEMEZZO</t>
  </si>
  <si>
    <t>013155</t>
  </si>
  <si>
    <t>MONTORFANO</t>
  </si>
  <si>
    <t>013157</t>
  </si>
  <si>
    <t>MOZZATE</t>
  </si>
  <si>
    <t>013159</t>
  </si>
  <si>
    <t>22076</t>
  </si>
  <si>
    <t>MUSSO</t>
  </si>
  <si>
    <t>013160</t>
  </si>
  <si>
    <t>NESSO</t>
  </si>
  <si>
    <t>013161</t>
  </si>
  <si>
    <t>NOVEDRATE</t>
  </si>
  <si>
    <t>013163</t>
  </si>
  <si>
    <t>OLGIATE COMASCO</t>
  </si>
  <si>
    <t>013165</t>
  </si>
  <si>
    <t>22077</t>
  </si>
  <si>
    <t>OLTRONA DI SAN MAMETTE</t>
  </si>
  <si>
    <t>013169</t>
  </si>
  <si>
    <t>ORSENIGO</t>
  </si>
  <si>
    <t>013170</t>
  </si>
  <si>
    <t>PEGLIO</t>
  </si>
  <si>
    <t>013178</t>
  </si>
  <si>
    <t>PIANELLO DEL LARIO</t>
  </si>
  <si>
    <t>013183</t>
  </si>
  <si>
    <t>PIGRA</t>
  </si>
  <si>
    <t>013184</t>
  </si>
  <si>
    <t>PLESIO</t>
  </si>
  <si>
    <t>013185</t>
  </si>
  <si>
    <t>POGNANA LARIO</t>
  </si>
  <si>
    <t>013186</t>
  </si>
  <si>
    <t>PONNA</t>
  </si>
  <si>
    <t>013187</t>
  </si>
  <si>
    <t>PONTE LAMBRO</t>
  </si>
  <si>
    <t>013188</t>
  </si>
  <si>
    <t>22037</t>
  </si>
  <si>
    <t>PORLEZZA</t>
  </si>
  <si>
    <t>013189</t>
  </si>
  <si>
    <t>22018</t>
  </si>
  <si>
    <t>PROSERPIO</t>
  </si>
  <si>
    <t>013192</t>
  </si>
  <si>
    <t>PUSIANO</t>
  </si>
  <si>
    <t>013193</t>
  </si>
  <si>
    <t>REZZAGO</t>
  </si>
  <si>
    <t>013195</t>
  </si>
  <si>
    <t>RODERO</t>
  </si>
  <si>
    <t>013197</t>
  </si>
  <si>
    <t>RONAGO</t>
  </si>
  <si>
    <t>013199</t>
  </si>
  <si>
    <t>22027</t>
  </si>
  <si>
    <t>ROVELLASCA</t>
  </si>
  <si>
    <t>013201</t>
  </si>
  <si>
    <t>22069</t>
  </si>
  <si>
    <t>ROVELLO PORRO</t>
  </si>
  <si>
    <t>013202</t>
  </si>
  <si>
    <t>SALA COMACINA</t>
  </si>
  <si>
    <t>013203</t>
  </si>
  <si>
    <t>SAN BARTOLOMEO VAL CAVARGNA</t>
  </si>
  <si>
    <t>013204</t>
  </si>
  <si>
    <t>SAN FERMO DELLA BATTAGLIA</t>
  </si>
  <si>
    <t>013206</t>
  </si>
  <si>
    <t>SAN NAZZARO VAL CAVARGNA</t>
  </si>
  <si>
    <t>013207</t>
  </si>
  <si>
    <t>SCHIGNANO</t>
  </si>
  <si>
    <t>013211</t>
  </si>
  <si>
    <t>SENNA COMASCO</t>
  </si>
  <si>
    <t>013212</t>
  </si>
  <si>
    <t>SORICO</t>
  </si>
  <si>
    <t>013216</t>
  </si>
  <si>
    <t>SORMANO</t>
  </si>
  <si>
    <t>013217</t>
  </si>
  <si>
    <t>STAZZONA</t>
  </si>
  <si>
    <t>013218</t>
  </si>
  <si>
    <t>TAVERNERIO</t>
  </si>
  <si>
    <t>013222</t>
  </si>
  <si>
    <t>22038</t>
  </si>
  <si>
    <t>TORNO</t>
  </si>
  <si>
    <t>013223</t>
  </si>
  <si>
    <t>TREZZONE</t>
  </si>
  <si>
    <t>013226</t>
  </si>
  <si>
    <t>TURATE</t>
  </si>
  <si>
    <t>013227</t>
  </si>
  <si>
    <t>22078</t>
  </si>
  <si>
    <t>UGGIATE-TREVANO</t>
  </si>
  <si>
    <t>013228</t>
  </si>
  <si>
    <t>22029</t>
  </si>
  <si>
    <t>VALBRONA</t>
  </si>
  <si>
    <t>013229</t>
  </si>
  <si>
    <t>22039</t>
  </si>
  <si>
    <t>VALMOREA</t>
  </si>
  <si>
    <t>013232</t>
  </si>
  <si>
    <t>VAL REZZO</t>
  </si>
  <si>
    <t>013233</t>
  </si>
  <si>
    <t>VALSOLDA</t>
  </si>
  <si>
    <t>013234</t>
  </si>
  <si>
    <t>VELESO</t>
  </si>
  <si>
    <t>013236</t>
  </si>
  <si>
    <t>VENIANO</t>
  </si>
  <si>
    <t>013238</t>
  </si>
  <si>
    <t>VERCANA</t>
  </si>
  <si>
    <t>013239</t>
  </si>
  <si>
    <t>VERTEMATE CON MINOPRIO</t>
  </si>
  <si>
    <t>013242</t>
  </si>
  <si>
    <t>VILLA GUARDIA</t>
  </si>
  <si>
    <t>013245</t>
  </si>
  <si>
    <t>22079</t>
  </si>
  <si>
    <t>ZELBIO</t>
  </si>
  <si>
    <t>013246</t>
  </si>
  <si>
    <t>SAN SIRO</t>
  </si>
  <si>
    <t>013248</t>
  </si>
  <si>
    <t>GRAVEDONA ED UNITI</t>
  </si>
  <si>
    <t>013249</t>
  </si>
  <si>
    <t>22015</t>
  </si>
  <si>
    <t>BELLAGIO</t>
  </si>
  <si>
    <t>013250</t>
  </si>
  <si>
    <t>22021</t>
  </si>
  <si>
    <t>COLVERDE</t>
  </si>
  <si>
    <t>013251</t>
  </si>
  <si>
    <t>TREMEZZINA</t>
  </si>
  <si>
    <t>013252</t>
  </si>
  <si>
    <t>ALTA VALLE INTELVI</t>
  </si>
  <si>
    <t>013253</t>
  </si>
  <si>
    <t>CENTRO VALLE INTELVI</t>
  </si>
  <si>
    <t>013254</t>
  </si>
  <si>
    <t>SOLBIATE CON CAGNO</t>
  </si>
  <si>
    <t>013255</t>
  </si>
  <si>
    <t>ALBAREDO PER SAN MARCO</t>
  </si>
  <si>
    <t>014001</t>
  </si>
  <si>
    <t>SO</t>
  </si>
  <si>
    <t>23010</t>
  </si>
  <si>
    <t>ALBOSAGGIA</t>
  </si>
  <si>
    <t>014002</t>
  </si>
  <si>
    <t>ANDALO VALTELLINO</t>
  </si>
  <si>
    <t>014003</t>
  </si>
  <si>
    <t>23014</t>
  </si>
  <si>
    <t>APRICA</t>
  </si>
  <si>
    <t>014004</t>
  </si>
  <si>
    <t>23031</t>
  </si>
  <si>
    <t>ARDENNO</t>
  </si>
  <si>
    <t>014005</t>
  </si>
  <si>
    <t>23011</t>
  </si>
  <si>
    <t>BEMA</t>
  </si>
  <si>
    <t>014006</t>
  </si>
  <si>
    <t>BERBENNO DI VALTELLINA</t>
  </si>
  <si>
    <t>014007</t>
  </si>
  <si>
    <t>BIANZONE</t>
  </si>
  <si>
    <t>014008</t>
  </si>
  <si>
    <t>23030</t>
  </si>
  <si>
    <t>BORMIO</t>
  </si>
  <si>
    <t>014009</t>
  </si>
  <si>
    <t>23032</t>
  </si>
  <si>
    <t>BUGLIO IN MONTE</t>
  </si>
  <si>
    <t>014010</t>
  </si>
  <si>
    <t>CAIOLO</t>
  </si>
  <si>
    <t>014011</t>
  </si>
  <si>
    <t>CAMPODOLCINO</t>
  </si>
  <si>
    <t>014012</t>
  </si>
  <si>
    <t>23021</t>
  </si>
  <si>
    <t>CASPOGGIO</t>
  </si>
  <si>
    <t>014013</t>
  </si>
  <si>
    <t>23020</t>
  </si>
  <si>
    <t>CASTELLO DELL'ACQUA</t>
  </si>
  <si>
    <t>014014</t>
  </si>
  <si>
    <t>CASTIONE ANDEVENNO</t>
  </si>
  <si>
    <t>014015</t>
  </si>
  <si>
    <t>23012</t>
  </si>
  <si>
    <t>CEDRASCO</t>
  </si>
  <si>
    <t>014016</t>
  </si>
  <si>
    <t>CERCINO</t>
  </si>
  <si>
    <t>014017</t>
  </si>
  <si>
    <t>23016</t>
  </si>
  <si>
    <t>CHIAVENNA</t>
  </si>
  <si>
    <t>014018</t>
  </si>
  <si>
    <t>23022</t>
  </si>
  <si>
    <t>CHIESA IN VALMALENCO</t>
  </si>
  <si>
    <t>014019</t>
  </si>
  <si>
    <t>23023</t>
  </si>
  <si>
    <t>CHIURO</t>
  </si>
  <si>
    <t>014020</t>
  </si>
  <si>
    <t>CINO</t>
  </si>
  <si>
    <t>014021</t>
  </si>
  <si>
    <t>CIVO</t>
  </si>
  <si>
    <t>014022</t>
  </si>
  <si>
    <t>COLORINA</t>
  </si>
  <si>
    <t>014023</t>
  </si>
  <si>
    <t>COSIO VALTELLINO</t>
  </si>
  <si>
    <t>014024</t>
  </si>
  <si>
    <t>23013</t>
  </si>
  <si>
    <t>DAZIO</t>
  </si>
  <si>
    <t>014025</t>
  </si>
  <si>
    <t>DELEBIO</t>
  </si>
  <si>
    <t>014026</t>
  </si>
  <si>
    <t>DUBINO</t>
  </si>
  <si>
    <t>014027</t>
  </si>
  <si>
    <t>23015</t>
  </si>
  <si>
    <t>FAEDO VALTELLINO</t>
  </si>
  <si>
    <t>014028</t>
  </si>
  <si>
    <t>FORCOLA</t>
  </si>
  <si>
    <t>014029</t>
  </si>
  <si>
    <t>FUSINE</t>
  </si>
  <si>
    <t>014030</t>
  </si>
  <si>
    <t>GEROLA ALTA</t>
  </si>
  <si>
    <t>014031</t>
  </si>
  <si>
    <t>GORDONA</t>
  </si>
  <si>
    <t>014032</t>
  </si>
  <si>
    <t>GROSIO</t>
  </si>
  <si>
    <t>014033</t>
  </si>
  <si>
    <t>23033</t>
  </si>
  <si>
    <t>GROSOTTO</t>
  </si>
  <si>
    <t>014034</t>
  </si>
  <si>
    <t>23034</t>
  </si>
  <si>
    <t>MADESIMO</t>
  </si>
  <si>
    <t>014035</t>
  </si>
  <si>
    <t>23024</t>
  </si>
  <si>
    <t>LANZADA</t>
  </si>
  <si>
    <t>014036</t>
  </si>
  <si>
    <t>LIVIGNO</t>
  </si>
  <si>
    <t>014037</t>
  </si>
  <si>
    <t>LOVERO</t>
  </si>
  <si>
    <t>014038</t>
  </si>
  <si>
    <t>MANTELLO</t>
  </si>
  <si>
    <t>014039</t>
  </si>
  <si>
    <t>MAZZO DI VALTELLINA</t>
  </si>
  <si>
    <t>014040</t>
  </si>
  <si>
    <t>MELLO</t>
  </si>
  <si>
    <t>014041</t>
  </si>
  <si>
    <t>MESE</t>
  </si>
  <si>
    <t>014043</t>
  </si>
  <si>
    <t>MONTAGNA IN VALTELLINA</t>
  </si>
  <si>
    <t>014044</t>
  </si>
  <si>
    <t>MORBEGNO</t>
  </si>
  <si>
    <t>014045</t>
  </si>
  <si>
    <t>23017</t>
  </si>
  <si>
    <t>NOVATE MEZZOLA</t>
  </si>
  <si>
    <t>014046</t>
  </si>
  <si>
    <t>23025</t>
  </si>
  <si>
    <t>PEDESINA</t>
  </si>
  <si>
    <t>014047</t>
  </si>
  <si>
    <t>PIANTEDO</t>
  </si>
  <si>
    <t>014048</t>
  </si>
  <si>
    <t>PIATEDA</t>
  </si>
  <si>
    <t>014049</t>
  </si>
  <si>
    <t>PIURO</t>
  </si>
  <si>
    <t>014050</t>
  </si>
  <si>
    <t>POGGIRIDENTI</t>
  </si>
  <si>
    <t>014051</t>
  </si>
  <si>
    <t>PONTE IN VALTELLINA</t>
  </si>
  <si>
    <t>014052</t>
  </si>
  <si>
    <t>23026</t>
  </si>
  <si>
    <t>POSTALESIO</t>
  </si>
  <si>
    <t>014053</t>
  </si>
  <si>
    <t>PRATA CAMPORTACCIO</t>
  </si>
  <si>
    <t>014054</t>
  </si>
  <si>
    <t>RASURA</t>
  </si>
  <si>
    <t>014055</t>
  </si>
  <si>
    <t>ROGOLO</t>
  </si>
  <si>
    <t>014056</t>
  </si>
  <si>
    <t>SAMOLACO</t>
  </si>
  <si>
    <t>014057</t>
  </si>
  <si>
    <t>23027</t>
  </si>
  <si>
    <t>SAN GIACOMO FILIPPO</t>
  </si>
  <si>
    <t>014058</t>
  </si>
  <si>
    <t>SERNIO</t>
  </si>
  <si>
    <t>014059</t>
  </si>
  <si>
    <t>SONDALO</t>
  </si>
  <si>
    <t>014060</t>
  </si>
  <si>
    <t>23035</t>
  </si>
  <si>
    <t>SONDRIO</t>
  </si>
  <si>
    <t>014061</t>
  </si>
  <si>
    <t>23100</t>
  </si>
  <si>
    <t>SPRIANA</t>
  </si>
  <si>
    <t>014062</t>
  </si>
  <si>
    <t>TALAMONA</t>
  </si>
  <si>
    <t>014063</t>
  </si>
  <si>
    <t>23018</t>
  </si>
  <si>
    <t>TARTANO</t>
  </si>
  <si>
    <t>014064</t>
  </si>
  <si>
    <t>TEGLIO</t>
  </si>
  <si>
    <t>014065</t>
  </si>
  <si>
    <t>23036</t>
  </si>
  <si>
    <t>TIRANO</t>
  </si>
  <si>
    <t>014066</t>
  </si>
  <si>
    <t>23037</t>
  </si>
  <si>
    <t>TORRE DI SANTA MARIA</t>
  </si>
  <si>
    <t>014067</t>
  </si>
  <si>
    <t>TOVO DI SANT'AGATA</t>
  </si>
  <si>
    <t>014068</t>
  </si>
  <si>
    <t>TRAONA</t>
  </si>
  <si>
    <t>014069</t>
  </si>
  <si>
    <t>23019</t>
  </si>
  <si>
    <t>TRESIVIO</t>
  </si>
  <si>
    <t>014070</t>
  </si>
  <si>
    <t>VALDIDENTRO</t>
  </si>
  <si>
    <t>014071</t>
  </si>
  <si>
    <t>23038</t>
  </si>
  <si>
    <t>VALDISOTTO</t>
  </si>
  <si>
    <t>014072</t>
  </si>
  <si>
    <t>VALFURVA</t>
  </si>
  <si>
    <t>014073</t>
  </si>
  <si>
    <t>VAL MASINO</t>
  </si>
  <si>
    <t>014074</t>
  </si>
  <si>
    <t>VERCEIA</t>
  </si>
  <si>
    <t>014075</t>
  </si>
  <si>
    <t>VERVIO</t>
  </si>
  <si>
    <t>014076</t>
  </si>
  <si>
    <t>VILLA DI CHIAVENNA</t>
  </si>
  <si>
    <t>014077</t>
  </si>
  <si>
    <t>23029</t>
  </si>
  <si>
    <t>VILLA DI TIRANO</t>
  </si>
  <si>
    <t>014078</t>
  </si>
  <si>
    <t>ABBIATEGRASSO</t>
  </si>
  <si>
    <t>015002</t>
  </si>
  <si>
    <t>MI</t>
  </si>
  <si>
    <t>20081</t>
  </si>
  <si>
    <t>ALBAIRATE</t>
  </si>
  <si>
    <t>015005</t>
  </si>
  <si>
    <t>20080</t>
  </si>
  <si>
    <t>ARCONATE</t>
  </si>
  <si>
    <t>015007</t>
  </si>
  <si>
    <t>20020</t>
  </si>
  <si>
    <t>ARESE</t>
  </si>
  <si>
    <t>015009</t>
  </si>
  <si>
    <t>ARLUNO</t>
  </si>
  <si>
    <t>015010</t>
  </si>
  <si>
    <t>20010</t>
  </si>
  <si>
    <t>ASSAGO</t>
  </si>
  <si>
    <t>015011</t>
  </si>
  <si>
    <t>20090</t>
  </si>
  <si>
    <t>BAREGGIO</t>
  </si>
  <si>
    <t>015012</t>
  </si>
  <si>
    <t>BASIANO</t>
  </si>
  <si>
    <t>015014</t>
  </si>
  <si>
    <t>20060</t>
  </si>
  <si>
    <t>BASIGLIO</t>
  </si>
  <si>
    <t>015015</t>
  </si>
  <si>
    <t>BELLINZAGO LOMBARDO</t>
  </si>
  <si>
    <t>015016</t>
  </si>
  <si>
    <t>BERNATE TICINO</t>
  </si>
  <si>
    <t>015019</t>
  </si>
  <si>
    <t>BESATE</t>
  </si>
  <si>
    <t>015022</t>
  </si>
  <si>
    <t>BINASCO</t>
  </si>
  <si>
    <t>015024</t>
  </si>
  <si>
    <t>20082</t>
  </si>
  <si>
    <t>BOFFALORA SOPRA TICINO</t>
  </si>
  <si>
    <t>015026</t>
  </si>
  <si>
    <t>BOLLATE</t>
  </si>
  <si>
    <t>015027</t>
  </si>
  <si>
    <t>20021</t>
  </si>
  <si>
    <t>BRESSO</t>
  </si>
  <si>
    <t>015032</t>
  </si>
  <si>
    <t>20091</t>
  </si>
  <si>
    <t>BUBBIANO</t>
  </si>
  <si>
    <t>015035</t>
  </si>
  <si>
    <t>BUCCINASCO</t>
  </si>
  <si>
    <t>015036</t>
  </si>
  <si>
    <t>BUSCATE</t>
  </si>
  <si>
    <t>015038</t>
  </si>
  <si>
    <t>BUSSERO</t>
  </si>
  <si>
    <t>015040</t>
  </si>
  <si>
    <t>BUSTO GAROLFO</t>
  </si>
  <si>
    <t>015041</t>
  </si>
  <si>
    <t>CALVIGNASCO</t>
  </si>
  <si>
    <t>015042</t>
  </si>
  <si>
    <t>CAMBIAGO</t>
  </si>
  <si>
    <t>015044</t>
  </si>
  <si>
    <t>20040</t>
  </si>
  <si>
    <t>CANEGRATE</t>
  </si>
  <si>
    <t>015046</t>
  </si>
  <si>
    <t>CARPIANO</t>
  </si>
  <si>
    <t>015050</t>
  </si>
  <si>
    <t>CARUGATE</t>
  </si>
  <si>
    <t>015051</t>
  </si>
  <si>
    <t>20061</t>
  </si>
  <si>
    <t>CASARILE</t>
  </si>
  <si>
    <t>015055</t>
  </si>
  <si>
    <t>CASOREZZO</t>
  </si>
  <si>
    <t>015058</t>
  </si>
  <si>
    <t>CASSANO D'ADDA</t>
  </si>
  <si>
    <t>015059</t>
  </si>
  <si>
    <t>20062</t>
  </si>
  <si>
    <t>CASSINA DE' PECCHI</t>
  </si>
  <si>
    <t>015060</t>
  </si>
  <si>
    <t>CASSINETTA DI LUGAGNANO</t>
  </si>
  <si>
    <t>015061</t>
  </si>
  <si>
    <t>CASTANO PRIMO</t>
  </si>
  <si>
    <t>015062</t>
  </si>
  <si>
    <t>20022</t>
  </si>
  <si>
    <t>CERNUSCO SUL NAVIGLIO</t>
  </si>
  <si>
    <t>015070</t>
  </si>
  <si>
    <t>20063</t>
  </si>
  <si>
    <t>CERRO AL LAMBRO</t>
  </si>
  <si>
    <t>015071</t>
  </si>
  <si>
    <t>20070</t>
  </si>
  <si>
    <t>CERRO MAGGIORE</t>
  </si>
  <si>
    <t>015072</t>
  </si>
  <si>
    <t>20023</t>
  </si>
  <si>
    <t>CESANO BOSCONE</t>
  </si>
  <si>
    <t>015074</t>
  </si>
  <si>
    <t>CESATE</t>
  </si>
  <si>
    <t>015076</t>
  </si>
  <si>
    <t>CINISELLO BALSAMO</t>
  </si>
  <si>
    <t>015077</t>
  </si>
  <si>
    <t>20092</t>
  </si>
  <si>
    <t>CISLIANO</t>
  </si>
  <si>
    <t>015078</t>
  </si>
  <si>
    <t>COLOGNO MONZESE</t>
  </si>
  <si>
    <t>015081</t>
  </si>
  <si>
    <t>20093</t>
  </si>
  <si>
    <t>COLTURANO</t>
  </si>
  <si>
    <t>015082</t>
  </si>
  <si>
    <t>CORBETTA</t>
  </si>
  <si>
    <t>015085</t>
  </si>
  <si>
    <t>20011</t>
  </si>
  <si>
    <t>CORMANO</t>
  </si>
  <si>
    <t>015086</t>
  </si>
  <si>
    <t>20032</t>
  </si>
  <si>
    <t>CORNAREDO</t>
  </si>
  <si>
    <t>015087</t>
  </si>
  <si>
    <t>CORSICO</t>
  </si>
  <si>
    <t>015093</t>
  </si>
  <si>
    <t>20094</t>
  </si>
  <si>
    <t>CUGGIONO</t>
  </si>
  <si>
    <t>015096</t>
  </si>
  <si>
    <t>20012</t>
  </si>
  <si>
    <t>CUSAGO</t>
  </si>
  <si>
    <t>015097</t>
  </si>
  <si>
    <t>CUSANO MILANINO</t>
  </si>
  <si>
    <t>015098</t>
  </si>
  <si>
    <t>20095</t>
  </si>
  <si>
    <t>DAIRAGO</t>
  </si>
  <si>
    <t>015099</t>
  </si>
  <si>
    <t>DRESANO</t>
  </si>
  <si>
    <t>015101</t>
  </si>
  <si>
    <t>GAGGIANO</t>
  </si>
  <si>
    <t>015103</t>
  </si>
  <si>
    <t>20083</t>
  </si>
  <si>
    <t>GARBAGNATE MILANESE</t>
  </si>
  <si>
    <t>015105</t>
  </si>
  <si>
    <t>20024</t>
  </si>
  <si>
    <t>GESSATE</t>
  </si>
  <si>
    <t>015106</t>
  </si>
  <si>
    <t>GORGONZOLA</t>
  </si>
  <si>
    <t>015108</t>
  </si>
  <si>
    <t>20064</t>
  </si>
  <si>
    <t>GREZZAGO</t>
  </si>
  <si>
    <t>015110</t>
  </si>
  <si>
    <t>20056</t>
  </si>
  <si>
    <t>GUDO VISCONTI</t>
  </si>
  <si>
    <t>015112</t>
  </si>
  <si>
    <t>20088</t>
  </si>
  <si>
    <t>INVERUNO</t>
  </si>
  <si>
    <t>015113</t>
  </si>
  <si>
    <t>INZAGO</t>
  </si>
  <si>
    <t>015114</t>
  </si>
  <si>
    <t>20065</t>
  </si>
  <si>
    <t>LACCHIARELLA</t>
  </si>
  <si>
    <t>015115</t>
  </si>
  <si>
    <t>20084</t>
  </si>
  <si>
    <t>LAINATE</t>
  </si>
  <si>
    <t>015116</t>
  </si>
  <si>
    <t>LEGNANO</t>
  </si>
  <si>
    <t>015118</t>
  </si>
  <si>
    <t>20025</t>
  </si>
  <si>
    <t>LISCATE</t>
  </si>
  <si>
    <t>015122</t>
  </si>
  <si>
    <t>LOCATE DI TRIULZI</t>
  </si>
  <si>
    <t>015125</t>
  </si>
  <si>
    <t>20085</t>
  </si>
  <si>
    <t>MAGENTA</t>
  </si>
  <si>
    <t>015130</t>
  </si>
  <si>
    <t>20013</t>
  </si>
  <si>
    <t>MAGNAGO</t>
  </si>
  <si>
    <t>015131</t>
  </si>
  <si>
    <t>MARCALLO CON CASONE</t>
  </si>
  <si>
    <t>015134</t>
  </si>
  <si>
    <t>MASATE</t>
  </si>
  <si>
    <t>015136</t>
  </si>
  <si>
    <t>MEDIGLIA</t>
  </si>
  <si>
    <t>015139</t>
  </si>
  <si>
    <t>MELEGNANO</t>
  </si>
  <si>
    <t>015140</t>
  </si>
  <si>
    <t>20077</t>
  </si>
  <si>
    <t>MELZO</t>
  </si>
  <si>
    <t>015142</t>
  </si>
  <si>
    <t>20066</t>
  </si>
  <si>
    <t>MESERO</t>
  </si>
  <si>
    <t>015144</t>
  </si>
  <si>
    <t>MILANO</t>
  </si>
  <si>
    <t>015146</t>
  </si>
  <si>
    <t>201xx</t>
  </si>
  <si>
    <t>MORIMONDO</t>
  </si>
  <si>
    <t>015150</t>
  </si>
  <si>
    <t>MOTTA VISCONTI</t>
  </si>
  <si>
    <t>015151</t>
  </si>
  <si>
    <t>20086</t>
  </si>
  <si>
    <t>NERVIANO</t>
  </si>
  <si>
    <t>015154</t>
  </si>
  <si>
    <t>20014</t>
  </si>
  <si>
    <t>NOSATE</t>
  </si>
  <si>
    <t>015155</t>
  </si>
  <si>
    <t>NOVATE MILANESE</t>
  </si>
  <si>
    <t>015157</t>
  </si>
  <si>
    <t>20026</t>
  </si>
  <si>
    <t>NOVIGLIO</t>
  </si>
  <si>
    <t>015158</t>
  </si>
  <si>
    <t>OPERA</t>
  </si>
  <si>
    <t>015159</t>
  </si>
  <si>
    <t>OSSONA</t>
  </si>
  <si>
    <t>015164</t>
  </si>
  <si>
    <t>OZZERO</t>
  </si>
  <si>
    <t>015165</t>
  </si>
  <si>
    <t>PADERNO DUGNANO</t>
  </si>
  <si>
    <t>015166</t>
  </si>
  <si>
    <t>20037</t>
  </si>
  <si>
    <t>PANTIGLIATE</t>
  </si>
  <si>
    <t>015167</t>
  </si>
  <si>
    <t>PARABIAGO</t>
  </si>
  <si>
    <t>015168</t>
  </si>
  <si>
    <t>20015</t>
  </si>
  <si>
    <t>PAULLO</t>
  </si>
  <si>
    <t>015169</t>
  </si>
  <si>
    <t>20067</t>
  </si>
  <si>
    <t>PERO</t>
  </si>
  <si>
    <t>015170</t>
  </si>
  <si>
    <t>20016</t>
  </si>
  <si>
    <t>PESCHIERA BORROMEO</t>
  </si>
  <si>
    <t>015171</t>
  </si>
  <si>
    <t>20068</t>
  </si>
  <si>
    <t>PESSANO CON BORNAGO</t>
  </si>
  <si>
    <t>015172</t>
  </si>
  <si>
    <t>PIEVE EMANUELE</t>
  </si>
  <si>
    <t>015173</t>
  </si>
  <si>
    <t>PIOLTELLO</t>
  </si>
  <si>
    <t>015175</t>
  </si>
  <si>
    <t>20096</t>
  </si>
  <si>
    <t>POGLIANO MILANESE</t>
  </si>
  <si>
    <t>015176</t>
  </si>
  <si>
    <t>POZZO D'ADDA</t>
  </si>
  <si>
    <t>015177</t>
  </si>
  <si>
    <t>POZZUOLO MARTESANA</t>
  </si>
  <si>
    <t>015178</t>
  </si>
  <si>
    <t>PREGNANA MILANESE</t>
  </si>
  <si>
    <t>015179</t>
  </si>
  <si>
    <t>RESCALDINA</t>
  </si>
  <si>
    <t>015181</t>
  </si>
  <si>
    <t>20027</t>
  </si>
  <si>
    <t>RHO</t>
  </si>
  <si>
    <t>015182</t>
  </si>
  <si>
    <t>20017</t>
  </si>
  <si>
    <t>ROBECCHETTO CON INDUNO</t>
  </si>
  <si>
    <t>015183</t>
  </si>
  <si>
    <t>ROBECCO SUL NAVIGLIO</t>
  </si>
  <si>
    <t>015184</t>
  </si>
  <si>
    <t>20087</t>
  </si>
  <si>
    <t>RODANO</t>
  </si>
  <si>
    <t>015185</t>
  </si>
  <si>
    <t>ROSATE</t>
  </si>
  <si>
    <t>015188</t>
  </si>
  <si>
    <t>ROZZANO</t>
  </si>
  <si>
    <t>015189</t>
  </si>
  <si>
    <t>20089</t>
  </si>
  <si>
    <t>SAN COLOMBANO AL LAMBRO</t>
  </si>
  <si>
    <t>015191</t>
  </si>
  <si>
    <t>20078</t>
  </si>
  <si>
    <t>SAN DONATO MILANESE</t>
  </si>
  <si>
    <t>015192</t>
  </si>
  <si>
    <t>20097</t>
  </si>
  <si>
    <t>SAN GIORGIO SU LEGNANO</t>
  </si>
  <si>
    <t>015194</t>
  </si>
  <si>
    <t>SAN GIULIANO MILANESE</t>
  </si>
  <si>
    <t>015195</t>
  </si>
  <si>
    <t>20098</t>
  </si>
  <si>
    <t>SANTO STEFANO TICINO</t>
  </si>
  <si>
    <t>015200</t>
  </si>
  <si>
    <t>SAN VITTORE OLONA</t>
  </si>
  <si>
    <t>015201</t>
  </si>
  <si>
    <t>20028</t>
  </si>
  <si>
    <t>SAN ZENONE AL LAMBRO</t>
  </si>
  <si>
    <t>015202</t>
  </si>
  <si>
    <t>SEDRIANO</t>
  </si>
  <si>
    <t>015204</t>
  </si>
  <si>
    <t>20018</t>
  </si>
  <si>
    <t>SEGRATE</t>
  </si>
  <si>
    <t>015205</t>
  </si>
  <si>
    <t>SENAGO</t>
  </si>
  <si>
    <t>015206</t>
  </si>
  <si>
    <t>20030</t>
  </si>
  <si>
    <t>SESTO SAN GIOVANNI</t>
  </si>
  <si>
    <t>015209</t>
  </si>
  <si>
    <t>20099</t>
  </si>
  <si>
    <t>SETTALA</t>
  </si>
  <si>
    <t>015210</t>
  </si>
  <si>
    <t>SETTIMO MILANESE</t>
  </si>
  <si>
    <t>015211</t>
  </si>
  <si>
    <t>20019</t>
  </si>
  <si>
    <t>SOLARO</t>
  </si>
  <si>
    <t>015213</t>
  </si>
  <si>
    <t>TREZZANO ROSA</t>
  </si>
  <si>
    <t>015219</t>
  </si>
  <si>
    <t>TREZZANO SUL NAVIGLIO</t>
  </si>
  <si>
    <t>015220</t>
  </si>
  <si>
    <t>TREZZO SULL'ADDA</t>
  </si>
  <si>
    <t>015221</t>
  </si>
  <si>
    <t>TRIBIANO</t>
  </si>
  <si>
    <t>015222</t>
  </si>
  <si>
    <t>TRUCCAZZANO</t>
  </si>
  <si>
    <t>015224</t>
  </si>
  <si>
    <t>TURBIGO</t>
  </si>
  <si>
    <t>015226</t>
  </si>
  <si>
    <t>20029</t>
  </si>
  <si>
    <t>VANZAGO</t>
  </si>
  <si>
    <t>015229</t>
  </si>
  <si>
    <t>VAPRIO D'ADDA</t>
  </si>
  <si>
    <t>015230</t>
  </si>
  <si>
    <t>20069</t>
  </si>
  <si>
    <t>VERNATE</t>
  </si>
  <si>
    <t>015236</t>
  </si>
  <si>
    <t>VIGNATE</t>
  </si>
  <si>
    <t>015237</t>
  </si>
  <si>
    <t>VIMODRONE</t>
  </si>
  <si>
    <t>015242</t>
  </si>
  <si>
    <t>VITTUONE</t>
  </si>
  <si>
    <t>015243</t>
  </si>
  <si>
    <t>VIZZOLO PREDABISSI</t>
  </si>
  <si>
    <t>015244</t>
  </si>
  <si>
    <t>ZIBIDO SAN GIACOMO</t>
  </si>
  <si>
    <t>015247</t>
  </si>
  <si>
    <t>VILLA CORTESE</t>
  </si>
  <si>
    <t>015248</t>
  </si>
  <si>
    <t>VANZAGHELLO</t>
  </si>
  <si>
    <t>015249</t>
  </si>
  <si>
    <t>BARANZATE</t>
  </si>
  <si>
    <t>015250</t>
  </si>
  <si>
    <t>VERMEZZO CON ZELO</t>
  </si>
  <si>
    <t>015251</t>
  </si>
  <si>
    <t>ADRARA SAN MARTINO</t>
  </si>
  <si>
    <t>016001</t>
  </si>
  <si>
    <t>BG</t>
  </si>
  <si>
    <t>24060</t>
  </si>
  <si>
    <t>ADRARA SAN ROCCO</t>
  </si>
  <si>
    <t>016002</t>
  </si>
  <si>
    <t>ALBANO SANT'ALESSANDRO</t>
  </si>
  <si>
    <t>016003</t>
  </si>
  <si>
    <t>24061</t>
  </si>
  <si>
    <t>ALBINO</t>
  </si>
  <si>
    <t>016004</t>
  </si>
  <si>
    <t>24021</t>
  </si>
  <si>
    <t>ALMÈ</t>
  </si>
  <si>
    <t>016005</t>
  </si>
  <si>
    <t>24011</t>
  </si>
  <si>
    <t>ALMENNO SAN BARTOLOMEO</t>
  </si>
  <si>
    <t>016006</t>
  </si>
  <si>
    <t>24030</t>
  </si>
  <si>
    <t>ALMENNO SAN SALVATORE</t>
  </si>
  <si>
    <t>016007</t>
  </si>
  <si>
    <t>24031</t>
  </si>
  <si>
    <t>ALZANO LOMBARDO</t>
  </si>
  <si>
    <t>016008</t>
  </si>
  <si>
    <t>24022</t>
  </si>
  <si>
    <t>AMBIVERE</t>
  </si>
  <si>
    <t>016009</t>
  </si>
  <si>
    <t>ANTEGNATE</t>
  </si>
  <si>
    <t>016010</t>
  </si>
  <si>
    <t>24051</t>
  </si>
  <si>
    <t>ARCENE</t>
  </si>
  <si>
    <t>016011</t>
  </si>
  <si>
    <t>24040</t>
  </si>
  <si>
    <t>ARDESIO</t>
  </si>
  <si>
    <t>016012</t>
  </si>
  <si>
    <t>24020</t>
  </si>
  <si>
    <t>ARZAGO D'ADDA</t>
  </si>
  <si>
    <t>016013</t>
  </si>
  <si>
    <t>AVERARA</t>
  </si>
  <si>
    <t>016014</t>
  </si>
  <si>
    <t>24010</t>
  </si>
  <si>
    <t>AVIATICO</t>
  </si>
  <si>
    <t>016015</t>
  </si>
  <si>
    <t>AZZANO SAN PAOLO</t>
  </si>
  <si>
    <t>016016</t>
  </si>
  <si>
    <t>24052</t>
  </si>
  <si>
    <t>AZZONE</t>
  </si>
  <si>
    <t>016017</t>
  </si>
  <si>
    <t>BAGNATICA</t>
  </si>
  <si>
    <t>016018</t>
  </si>
  <si>
    <t>BARBATA</t>
  </si>
  <si>
    <t>016019</t>
  </si>
  <si>
    <t>BARIANO</t>
  </si>
  <si>
    <t>016020</t>
  </si>
  <si>
    <t>24050</t>
  </si>
  <si>
    <t>BARZANA</t>
  </si>
  <si>
    <t>016021</t>
  </si>
  <si>
    <t>BEDULITA</t>
  </si>
  <si>
    <t>016022</t>
  </si>
  <si>
    <t>BERBENNO</t>
  </si>
  <si>
    <t>016023</t>
  </si>
  <si>
    <t>BERGAMO</t>
  </si>
  <si>
    <t>016024</t>
  </si>
  <si>
    <t>241xx</t>
  </si>
  <si>
    <t>BERZO SAN FERMO</t>
  </si>
  <si>
    <t>016025</t>
  </si>
  <si>
    <t>BIANZANO</t>
  </si>
  <si>
    <t>016026</t>
  </si>
  <si>
    <t>BLELLO</t>
  </si>
  <si>
    <t>016027</t>
  </si>
  <si>
    <t>BOLGARE</t>
  </si>
  <si>
    <t>016028</t>
  </si>
  <si>
    <t>BOLTIERE</t>
  </si>
  <si>
    <t>016029</t>
  </si>
  <si>
    <t>BONATE SOPRA</t>
  </si>
  <si>
    <t>016030</t>
  </si>
  <si>
    <t>BONATE SOTTO</t>
  </si>
  <si>
    <t>016031</t>
  </si>
  <si>
    <t>BORGO DI TERZO</t>
  </si>
  <si>
    <t>016032</t>
  </si>
  <si>
    <t>BOSSICO</t>
  </si>
  <si>
    <t>016033</t>
  </si>
  <si>
    <t>BOTTANUCO</t>
  </si>
  <si>
    <t>016034</t>
  </si>
  <si>
    <t>BRACCA</t>
  </si>
  <si>
    <t>016035</t>
  </si>
  <si>
    <t>BRANZI</t>
  </si>
  <si>
    <t>016036</t>
  </si>
  <si>
    <t>BREMBATE</t>
  </si>
  <si>
    <t>016037</t>
  </si>
  <si>
    <t>24041</t>
  </si>
  <si>
    <t>BREMBATE DI SOPRA</t>
  </si>
  <si>
    <t>016038</t>
  </si>
  <si>
    <t>BRIGNANO GERA D'ADDA</t>
  </si>
  <si>
    <t>016040</t>
  </si>
  <si>
    <t>24053</t>
  </si>
  <si>
    <t>BRUMANO</t>
  </si>
  <si>
    <t>016041</t>
  </si>
  <si>
    <t>24037</t>
  </si>
  <si>
    <t>BRUSAPORTO</t>
  </si>
  <si>
    <t>016042</t>
  </si>
  <si>
    <t>CALCINATE</t>
  </si>
  <si>
    <t>016043</t>
  </si>
  <si>
    <t>CALCIO</t>
  </si>
  <si>
    <t>016044</t>
  </si>
  <si>
    <t>24054</t>
  </si>
  <si>
    <t>CALUSCO D'ADDA</t>
  </si>
  <si>
    <t>016046</t>
  </si>
  <si>
    <t>24033</t>
  </si>
  <si>
    <t>CALVENZANO</t>
  </si>
  <si>
    <t>016047</t>
  </si>
  <si>
    <t>CAMERATA CORNELLO</t>
  </si>
  <si>
    <t>016048</t>
  </si>
  <si>
    <t>CANONICA D'ADDA</t>
  </si>
  <si>
    <t>016049</t>
  </si>
  <si>
    <t>CAPIZZONE</t>
  </si>
  <si>
    <t>016050</t>
  </si>
  <si>
    <t>CAPRIATE SAN GERVASIO</t>
  </si>
  <si>
    <t>016051</t>
  </si>
  <si>
    <t>24042</t>
  </si>
  <si>
    <t>CAPRINO BERGAMASCO</t>
  </si>
  <si>
    <t>016052</t>
  </si>
  <si>
    <t>CARAVAGGIO</t>
  </si>
  <si>
    <t>016053</t>
  </si>
  <si>
    <t>24043</t>
  </si>
  <si>
    <t>CAROBBIO DEGLI ANGELI</t>
  </si>
  <si>
    <t>016055</t>
  </si>
  <si>
    <t>CARONA</t>
  </si>
  <si>
    <t>016056</t>
  </si>
  <si>
    <t>CARVICO</t>
  </si>
  <si>
    <t>016057</t>
  </si>
  <si>
    <t>CASAZZA</t>
  </si>
  <si>
    <t>016058</t>
  </si>
  <si>
    <t>CASIRATE D'ADDA</t>
  </si>
  <si>
    <t>016059</t>
  </si>
  <si>
    <t>CASNIGO</t>
  </si>
  <si>
    <t>016060</t>
  </si>
  <si>
    <t>CASSIGLIO</t>
  </si>
  <si>
    <t>016061</t>
  </si>
  <si>
    <t>CASTELLI CALEPIO</t>
  </si>
  <si>
    <t>016062</t>
  </si>
  <si>
    <t>CASTEL ROZZONE</t>
  </si>
  <si>
    <t>016063</t>
  </si>
  <si>
    <t>CASTIONE DELLA PRESOLANA</t>
  </si>
  <si>
    <t>016064</t>
  </si>
  <si>
    <t>CASTRO</t>
  </si>
  <si>
    <t>016065</t>
  </si>
  <si>
    <t>24063</t>
  </si>
  <si>
    <t>CAVERNAGO</t>
  </si>
  <si>
    <t>016066</t>
  </si>
  <si>
    <t>CAZZANO SANT'ANDREA</t>
  </si>
  <si>
    <t>016067</t>
  </si>
  <si>
    <t>24026</t>
  </si>
  <si>
    <t>CENATE SOPRA</t>
  </si>
  <si>
    <t>016068</t>
  </si>
  <si>
    <t>CENATE SOTTO</t>
  </si>
  <si>
    <t>016069</t>
  </si>
  <si>
    <t>24069</t>
  </si>
  <si>
    <t>CENE</t>
  </si>
  <si>
    <t>016070</t>
  </si>
  <si>
    <t>CERETE</t>
  </si>
  <si>
    <t>016071</t>
  </si>
  <si>
    <t>CHIGNOLO D'ISOLA</t>
  </si>
  <si>
    <t>016072</t>
  </si>
  <si>
    <t>CHIUDUNO</t>
  </si>
  <si>
    <t>016073</t>
  </si>
  <si>
    <t>CISANO BERGAMASCO</t>
  </si>
  <si>
    <t>016074</t>
  </si>
  <si>
    <t>24034</t>
  </si>
  <si>
    <t>CISERANO</t>
  </si>
  <si>
    <t>016075</t>
  </si>
  <si>
    <t>CIVIDATE AL PIANO</t>
  </si>
  <si>
    <t>016076</t>
  </si>
  <si>
    <t>CLUSONE</t>
  </si>
  <si>
    <t>016077</t>
  </si>
  <si>
    <t>24023</t>
  </si>
  <si>
    <t>COLERE</t>
  </si>
  <si>
    <t>016078</t>
  </si>
  <si>
    <t>COLOGNO AL SERIO</t>
  </si>
  <si>
    <t>016079</t>
  </si>
  <si>
    <t>24055</t>
  </si>
  <si>
    <t>COLZATE</t>
  </si>
  <si>
    <t>016080</t>
  </si>
  <si>
    <t>COMUN NUOVO</t>
  </si>
  <si>
    <t>016081</t>
  </si>
  <si>
    <t>CORNA IMAGNA</t>
  </si>
  <si>
    <t>016082</t>
  </si>
  <si>
    <t>CORTENUOVA</t>
  </si>
  <si>
    <t>016083</t>
  </si>
  <si>
    <t>COSTA DI MEZZATE</t>
  </si>
  <si>
    <t>016084</t>
  </si>
  <si>
    <t>COSTA VALLE IMAGNA</t>
  </si>
  <si>
    <t>016085</t>
  </si>
  <si>
    <t>COSTA VOLPINO</t>
  </si>
  <si>
    <t>016086</t>
  </si>
  <si>
    <t>24062</t>
  </si>
  <si>
    <t>COVO</t>
  </si>
  <si>
    <t>016087</t>
  </si>
  <si>
    <t>CREDARO</t>
  </si>
  <si>
    <t>016088</t>
  </si>
  <si>
    <t>CURNO</t>
  </si>
  <si>
    <t>016089</t>
  </si>
  <si>
    <t>24035</t>
  </si>
  <si>
    <t>CUSIO</t>
  </si>
  <si>
    <t>016090</t>
  </si>
  <si>
    <t>DALMINE</t>
  </si>
  <si>
    <t>016091</t>
  </si>
  <si>
    <t>24044</t>
  </si>
  <si>
    <t>DOSSENA</t>
  </si>
  <si>
    <t>016092</t>
  </si>
  <si>
    <t>ENDINE GAIANO</t>
  </si>
  <si>
    <t>016093</t>
  </si>
  <si>
    <t>ENTRATICO</t>
  </si>
  <si>
    <t>016094</t>
  </si>
  <si>
    <t>FARA GERA D'ADDA</t>
  </si>
  <si>
    <t>016096</t>
  </si>
  <si>
    <t>24045</t>
  </si>
  <si>
    <t>FARA OLIVANA CON SOLA</t>
  </si>
  <si>
    <t>016097</t>
  </si>
  <si>
    <t>24058</t>
  </si>
  <si>
    <t>FILAGO</t>
  </si>
  <si>
    <t>016098</t>
  </si>
  <si>
    <t>FINO DEL MONTE</t>
  </si>
  <si>
    <t>016099</t>
  </si>
  <si>
    <t>FIORANO AL SERIO</t>
  </si>
  <si>
    <t>016100</t>
  </si>
  <si>
    <t>FONTANELLA</t>
  </si>
  <si>
    <t>016101</t>
  </si>
  <si>
    <t>24056</t>
  </si>
  <si>
    <t>FONTENO</t>
  </si>
  <si>
    <t>016102</t>
  </si>
  <si>
    <t>FOPPOLO</t>
  </si>
  <si>
    <t>016103</t>
  </si>
  <si>
    <t>FORESTO SPARSO</t>
  </si>
  <si>
    <t>016104</t>
  </si>
  <si>
    <t>FORNOVO SAN GIOVANNI</t>
  </si>
  <si>
    <t>016105</t>
  </si>
  <si>
    <t>FUIPIANO VALLE IMAGNA</t>
  </si>
  <si>
    <t>016106</t>
  </si>
  <si>
    <t>GANDELLINO</t>
  </si>
  <si>
    <t>016107</t>
  </si>
  <si>
    <t>GANDINO</t>
  </si>
  <si>
    <t>016108</t>
  </si>
  <si>
    <t>24024</t>
  </si>
  <si>
    <t>GANDOSSO</t>
  </si>
  <si>
    <t>016109</t>
  </si>
  <si>
    <t>GAVERINA TERME</t>
  </si>
  <si>
    <t>016110</t>
  </si>
  <si>
    <t>GAZZANIGA</t>
  </si>
  <si>
    <t>016111</t>
  </si>
  <si>
    <t>24025</t>
  </si>
  <si>
    <t>GHISALBA</t>
  </si>
  <si>
    <t>016113</t>
  </si>
  <si>
    <t>GORLAGO</t>
  </si>
  <si>
    <t>016114</t>
  </si>
  <si>
    <t>GORLE</t>
  </si>
  <si>
    <t>016115</t>
  </si>
  <si>
    <t>GORNO</t>
  </si>
  <si>
    <t>016116</t>
  </si>
  <si>
    <t>GRASSOBBIO</t>
  </si>
  <si>
    <t>016117</t>
  </si>
  <si>
    <t>GROMO</t>
  </si>
  <si>
    <t>016118</t>
  </si>
  <si>
    <t>GRONE</t>
  </si>
  <si>
    <t>016119</t>
  </si>
  <si>
    <t>GRUMELLO DEL MONTE</t>
  </si>
  <si>
    <t>016120</t>
  </si>
  <si>
    <t>24064</t>
  </si>
  <si>
    <t>ISOLA DI FONDRA</t>
  </si>
  <si>
    <t>016121</t>
  </si>
  <si>
    <t>ISSO</t>
  </si>
  <si>
    <t>016122</t>
  </si>
  <si>
    <t>LALLIO</t>
  </si>
  <si>
    <t>016123</t>
  </si>
  <si>
    <t>LEFFE</t>
  </si>
  <si>
    <t>016124</t>
  </si>
  <si>
    <t>LENNA</t>
  </si>
  <si>
    <t>016125</t>
  </si>
  <si>
    <t>LEVATE</t>
  </si>
  <si>
    <t>016126</t>
  </si>
  <si>
    <t>LOCATELLO</t>
  </si>
  <si>
    <t>016127</t>
  </si>
  <si>
    <t>LOVERE</t>
  </si>
  <si>
    <t>016128</t>
  </si>
  <si>
    <t>24065</t>
  </si>
  <si>
    <t>LURANO</t>
  </si>
  <si>
    <t>016129</t>
  </si>
  <si>
    <t>LUZZANA</t>
  </si>
  <si>
    <t>016130</t>
  </si>
  <si>
    <t>MADONE</t>
  </si>
  <si>
    <t>016131</t>
  </si>
  <si>
    <t>MAPELLO</t>
  </si>
  <si>
    <t>016132</t>
  </si>
  <si>
    <t>MARTINENGO</t>
  </si>
  <si>
    <t>016133</t>
  </si>
  <si>
    <t>24057</t>
  </si>
  <si>
    <t>MEZZOLDO</t>
  </si>
  <si>
    <t>016134</t>
  </si>
  <si>
    <t>MISANO DI GERA D'ADDA</t>
  </si>
  <si>
    <t>016135</t>
  </si>
  <si>
    <t>MOIO DE' CALVI</t>
  </si>
  <si>
    <t>016136</t>
  </si>
  <si>
    <t>MONASTEROLO DEL CASTELLO</t>
  </si>
  <si>
    <t>016137</t>
  </si>
  <si>
    <t>MONTELLO</t>
  </si>
  <si>
    <t>016139</t>
  </si>
  <si>
    <t>MORENGO</t>
  </si>
  <si>
    <t>016140</t>
  </si>
  <si>
    <t>MORNICO AL SERIO</t>
  </si>
  <si>
    <t>016141</t>
  </si>
  <si>
    <t>MOZZANICA</t>
  </si>
  <si>
    <t>016142</t>
  </si>
  <si>
    <t>MOZZO</t>
  </si>
  <si>
    <t>016143</t>
  </si>
  <si>
    <t>NEMBRO</t>
  </si>
  <si>
    <t>016144</t>
  </si>
  <si>
    <t>24027</t>
  </si>
  <si>
    <t>OLMO AL BREMBO</t>
  </si>
  <si>
    <t>016145</t>
  </si>
  <si>
    <t>OLTRE IL COLLE</t>
  </si>
  <si>
    <t>016146</t>
  </si>
  <si>
    <t>24013</t>
  </si>
  <si>
    <t>OLTRESSENDA ALTA</t>
  </si>
  <si>
    <t>016147</t>
  </si>
  <si>
    <t>ONETA</t>
  </si>
  <si>
    <t>016148</t>
  </si>
  <si>
    <t>ONORE</t>
  </si>
  <si>
    <t>016149</t>
  </si>
  <si>
    <t>ORIO AL SERIO</t>
  </si>
  <si>
    <t>016150</t>
  </si>
  <si>
    <t>ORNICA</t>
  </si>
  <si>
    <t>016151</t>
  </si>
  <si>
    <t>OSIO SOPRA</t>
  </si>
  <si>
    <t>016152</t>
  </si>
  <si>
    <t>OSIO SOTTO</t>
  </si>
  <si>
    <t>016153</t>
  </si>
  <si>
    <t>24046</t>
  </si>
  <si>
    <t>PAGAZZANO</t>
  </si>
  <si>
    <t>016154</t>
  </si>
  <si>
    <t>PALADINA</t>
  </si>
  <si>
    <t>016155</t>
  </si>
  <si>
    <t>PALAZZAGO</t>
  </si>
  <si>
    <t>016156</t>
  </si>
  <si>
    <t>PALOSCO</t>
  </si>
  <si>
    <t>016157</t>
  </si>
  <si>
    <t>PARRE</t>
  </si>
  <si>
    <t>016158</t>
  </si>
  <si>
    <t>PARZANICA</t>
  </si>
  <si>
    <t>016159</t>
  </si>
  <si>
    <t>PEDRENGO</t>
  </si>
  <si>
    <t>016160</t>
  </si>
  <si>
    <t>24066</t>
  </si>
  <si>
    <t>PEIA</t>
  </si>
  <si>
    <t>016161</t>
  </si>
  <si>
    <t>PIANICO</t>
  </si>
  <si>
    <t>016162</t>
  </si>
  <si>
    <t>PIARIO</t>
  </si>
  <si>
    <t>016163</t>
  </si>
  <si>
    <t>PIAZZA BREMBANA</t>
  </si>
  <si>
    <t>016164</t>
  </si>
  <si>
    <t>24014</t>
  </si>
  <si>
    <t>PIAZZATORRE</t>
  </si>
  <si>
    <t>016165</t>
  </si>
  <si>
    <t>PIAZZOLO</t>
  </si>
  <si>
    <t>016166</t>
  </si>
  <si>
    <t>POGNANO</t>
  </si>
  <si>
    <t>016167</t>
  </si>
  <si>
    <t>PONTE NOSSA</t>
  </si>
  <si>
    <t>016168</t>
  </si>
  <si>
    <t>24028</t>
  </si>
  <si>
    <t>PONTERANICA</t>
  </si>
  <si>
    <t>016169</t>
  </si>
  <si>
    <t>PONTE SAN PIETRO</t>
  </si>
  <si>
    <t>016170</t>
  </si>
  <si>
    <t>24036</t>
  </si>
  <si>
    <t>PONTIDA</t>
  </si>
  <si>
    <t>016171</t>
  </si>
  <si>
    <t>PONTIROLO NUOVO</t>
  </si>
  <si>
    <t>016172</t>
  </si>
  <si>
    <t>PRADALUNGA</t>
  </si>
  <si>
    <t>016173</t>
  </si>
  <si>
    <t>PREDORE</t>
  </si>
  <si>
    <t>016174</t>
  </si>
  <si>
    <t>PREMOLO</t>
  </si>
  <si>
    <t>016175</t>
  </si>
  <si>
    <t>PRESEZZO</t>
  </si>
  <si>
    <t>016176</t>
  </si>
  <si>
    <t>PUMENENGO</t>
  </si>
  <si>
    <t>016177</t>
  </si>
  <si>
    <t>RANICA</t>
  </si>
  <si>
    <t>016178</t>
  </si>
  <si>
    <t>RANZANICO</t>
  </si>
  <si>
    <t>016179</t>
  </si>
  <si>
    <t>RIVA DI SOLTO</t>
  </si>
  <si>
    <t>016180</t>
  </si>
  <si>
    <t>ROGNO</t>
  </si>
  <si>
    <t>016182</t>
  </si>
  <si>
    <t>ROMANO DI LOMBARDIA</t>
  </si>
  <si>
    <t>016183</t>
  </si>
  <si>
    <t>RONCOBELLO</t>
  </si>
  <si>
    <t>016184</t>
  </si>
  <si>
    <t>RONCOLA</t>
  </si>
  <si>
    <t>016185</t>
  </si>
  <si>
    <t>ROTA D'IMAGNA</t>
  </si>
  <si>
    <t>016186</t>
  </si>
  <si>
    <t>ROVETTA</t>
  </si>
  <si>
    <t>016187</t>
  </si>
  <si>
    <t>SAN GIOVANNI BIANCO</t>
  </si>
  <si>
    <t>016188</t>
  </si>
  <si>
    <t>24015</t>
  </si>
  <si>
    <t>SAN PAOLO D'ARGON</t>
  </si>
  <si>
    <t>016189</t>
  </si>
  <si>
    <t>SAN PELLEGRINO TERME</t>
  </si>
  <si>
    <t>016190</t>
  </si>
  <si>
    <t>24016</t>
  </si>
  <si>
    <t>SANTA BRIGIDA</t>
  </si>
  <si>
    <t>016191</t>
  </si>
  <si>
    <t>SARNICO</t>
  </si>
  <si>
    <t>016193</t>
  </si>
  <si>
    <t>24067</t>
  </si>
  <si>
    <t>SCANZOROSCIATE</t>
  </si>
  <si>
    <t>016194</t>
  </si>
  <si>
    <t>SCHILPARIO</t>
  </si>
  <si>
    <t>016195</t>
  </si>
  <si>
    <t>SEDRINA</t>
  </si>
  <si>
    <t>016196</t>
  </si>
  <si>
    <t>SELVINO</t>
  </si>
  <si>
    <t>016197</t>
  </si>
  <si>
    <t>SERIATE</t>
  </si>
  <si>
    <t>016198</t>
  </si>
  <si>
    <t>24068</t>
  </si>
  <si>
    <t>SERINA</t>
  </si>
  <si>
    <t>016199</t>
  </si>
  <si>
    <t>24017</t>
  </si>
  <si>
    <t>SOLTO COLLINA</t>
  </si>
  <si>
    <t>016200</t>
  </si>
  <si>
    <t>SONGAVAZZO</t>
  </si>
  <si>
    <t>016201</t>
  </si>
  <si>
    <t>SORISOLE</t>
  </si>
  <si>
    <t>016202</t>
  </si>
  <si>
    <t>SOTTO IL MONTE GIOVANNI XXIII</t>
  </si>
  <si>
    <t>016203</t>
  </si>
  <si>
    <t>24039</t>
  </si>
  <si>
    <t>SOVERE</t>
  </si>
  <si>
    <t>016204</t>
  </si>
  <si>
    <t>SPINONE AL LAGO</t>
  </si>
  <si>
    <t>016205</t>
  </si>
  <si>
    <t>SPIRANO</t>
  </si>
  <si>
    <t>016206</t>
  </si>
  <si>
    <t>STEZZANO</t>
  </si>
  <si>
    <t>016207</t>
  </si>
  <si>
    <t>STROZZA</t>
  </si>
  <si>
    <t>016208</t>
  </si>
  <si>
    <t>SUISIO</t>
  </si>
  <si>
    <t>016209</t>
  </si>
  <si>
    <t>TALEGGIO</t>
  </si>
  <si>
    <t>016210</t>
  </si>
  <si>
    <t>TAVERNOLA BERGAMASCA</t>
  </si>
  <si>
    <t>016211</t>
  </si>
  <si>
    <t>TELGATE</t>
  </si>
  <si>
    <t>016212</t>
  </si>
  <si>
    <t>TERNO D'ISOLA</t>
  </si>
  <si>
    <t>016213</t>
  </si>
  <si>
    <t>TORRE BOLDONE</t>
  </si>
  <si>
    <t>016214</t>
  </si>
  <si>
    <t>TORRE DE' BUSI</t>
  </si>
  <si>
    <t>016215</t>
  </si>
  <si>
    <t>LC</t>
  </si>
  <si>
    <t>23806</t>
  </si>
  <si>
    <t>TORRE DE' ROVERI</t>
  </si>
  <si>
    <t>016216</t>
  </si>
  <si>
    <t>TORRE PALLAVICINA</t>
  </si>
  <si>
    <t>016217</t>
  </si>
  <si>
    <t>TRESCORE BALNEARIO</t>
  </si>
  <si>
    <t>016218</t>
  </si>
  <si>
    <t>TREVIGLIO</t>
  </si>
  <si>
    <t>016219</t>
  </si>
  <si>
    <t>24047</t>
  </si>
  <si>
    <t>TREVIOLO</t>
  </si>
  <si>
    <t>016220</t>
  </si>
  <si>
    <t>24048</t>
  </si>
  <si>
    <t>UBIALE CLANEZZO</t>
  </si>
  <si>
    <t>016221</t>
  </si>
  <si>
    <t>URGNANO</t>
  </si>
  <si>
    <t>016222</t>
  </si>
  <si>
    <t>24059</t>
  </si>
  <si>
    <t>VALBONDIONE</t>
  </si>
  <si>
    <t>016223</t>
  </si>
  <si>
    <t>VALBREMBO</t>
  </si>
  <si>
    <t>016224</t>
  </si>
  <si>
    <t>VALGOGLIO</t>
  </si>
  <si>
    <t>016225</t>
  </si>
  <si>
    <t>VALLEVE</t>
  </si>
  <si>
    <t>016226</t>
  </si>
  <si>
    <t>VALNEGRA</t>
  </si>
  <si>
    <t>016227</t>
  </si>
  <si>
    <t>VALTORTA</t>
  </si>
  <si>
    <t>016229</t>
  </si>
  <si>
    <t>VEDESETA</t>
  </si>
  <si>
    <t>016230</t>
  </si>
  <si>
    <t>VERDELLINO</t>
  </si>
  <si>
    <t>016232</t>
  </si>
  <si>
    <t>VERDELLO</t>
  </si>
  <si>
    <t>016233</t>
  </si>
  <si>
    <t>24049</t>
  </si>
  <si>
    <t>VERTOVA</t>
  </si>
  <si>
    <t>016234</t>
  </si>
  <si>
    <t>24029</t>
  </si>
  <si>
    <t>VIADANICA</t>
  </si>
  <si>
    <t>016235</t>
  </si>
  <si>
    <t>VIGANO SAN MARTINO</t>
  </si>
  <si>
    <t>016236</t>
  </si>
  <si>
    <t>VIGOLO</t>
  </si>
  <si>
    <t>016237</t>
  </si>
  <si>
    <t>VILLA D'ADDA</t>
  </si>
  <si>
    <t>016238</t>
  </si>
  <si>
    <t>VILLA D'ALMÈ</t>
  </si>
  <si>
    <t>016239</t>
  </si>
  <si>
    <t>24018</t>
  </si>
  <si>
    <t>VILLA DI SERIO</t>
  </si>
  <si>
    <t>016240</t>
  </si>
  <si>
    <t>VILLA D'OGNA</t>
  </si>
  <si>
    <t>016241</t>
  </si>
  <si>
    <t>VILLONGO</t>
  </si>
  <si>
    <t>016242</t>
  </si>
  <si>
    <t>VILMINORE DI SCALVE</t>
  </si>
  <si>
    <t>016243</t>
  </si>
  <si>
    <t>ZANDOBBIO</t>
  </si>
  <si>
    <t>016244</t>
  </si>
  <si>
    <t>ZANICA</t>
  </si>
  <si>
    <t>016245</t>
  </si>
  <si>
    <t>ZOGNO</t>
  </si>
  <si>
    <t>016246</t>
  </si>
  <si>
    <t>24019</t>
  </si>
  <si>
    <t>COSTA SERINA</t>
  </si>
  <si>
    <t>016247</t>
  </si>
  <si>
    <t>ALGUA</t>
  </si>
  <si>
    <t>016248</t>
  </si>
  <si>
    <t>CORNALBA</t>
  </si>
  <si>
    <t>016249</t>
  </si>
  <si>
    <t>MEDOLAGO</t>
  </si>
  <si>
    <t>016250</t>
  </si>
  <si>
    <t>SOLZA</t>
  </si>
  <si>
    <t>016251</t>
  </si>
  <si>
    <t>SANT'OMOBONO TERME</t>
  </si>
  <si>
    <t>016252</t>
  </si>
  <si>
    <t>24038</t>
  </si>
  <si>
    <t>VAL BREMBILLA</t>
  </si>
  <si>
    <t>016253</t>
  </si>
  <si>
    <t>ACQUAFREDDA</t>
  </si>
  <si>
    <t>017001</t>
  </si>
  <si>
    <t>BS</t>
  </si>
  <si>
    <t>25010</t>
  </si>
  <si>
    <t>ADRO</t>
  </si>
  <si>
    <t>017002</t>
  </si>
  <si>
    <t>25030</t>
  </si>
  <si>
    <t>AGNOSINE</t>
  </si>
  <si>
    <t>017003</t>
  </si>
  <si>
    <t>25071</t>
  </si>
  <si>
    <t>ALFIANELLO</t>
  </si>
  <si>
    <t>017004</t>
  </si>
  <si>
    <t>25020</t>
  </si>
  <si>
    <t>ANFO</t>
  </si>
  <si>
    <t>017005</t>
  </si>
  <si>
    <t>25070</t>
  </si>
  <si>
    <t>ANGOLO TERME</t>
  </si>
  <si>
    <t>017006</t>
  </si>
  <si>
    <t>25040</t>
  </si>
  <si>
    <t>ARTOGNE</t>
  </si>
  <si>
    <t>017007</t>
  </si>
  <si>
    <t>AZZANO MELLA</t>
  </si>
  <si>
    <t>017008</t>
  </si>
  <si>
    <t>BAGNOLO MELLA</t>
  </si>
  <si>
    <t>017009</t>
  </si>
  <si>
    <t>25021</t>
  </si>
  <si>
    <t>BAGOLINO</t>
  </si>
  <si>
    <t>017010</t>
  </si>
  <si>
    <t>25072</t>
  </si>
  <si>
    <t>BARBARIGA</t>
  </si>
  <si>
    <t>017011</t>
  </si>
  <si>
    <t>BARGHE</t>
  </si>
  <si>
    <t>017012</t>
  </si>
  <si>
    <t>BASSANO BRESCIANO</t>
  </si>
  <si>
    <t>017013</t>
  </si>
  <si>
    <t>BEDIZZOLE</t>
  </si>
  <si>
    <t>017014</t>
  </si>
  <si>
    <t>25081</t>
  </si>
  <si>
    <t>BERLINGO</t>
  </si>
  <si>
    <t>017015</t>
  </si>
  <si>
    <t>BERZO DEMO</t>
  </si>
  <si>
    <t>017016</t>
  </si>
  <si>
    <t>BERZO INFERIORE</t>
  </si>
  <si>
    <t>017017</t>
  </si>
  <si>
    <t>BIENNO</t>
  </si>
  <si>
    <t>017018</t>
  </si>
  <si>
    <t>BIONE</t>
  </si>
  <si>
    <t>017019</t>
  </si>
  <si>
    <t>BORGO SAN GIACOMO</t>
  </si>
  <si>
    <t>017020</t>
  </si>
  <si>
    <t>25022</t>
  </si>
  <si>
    <t>BORGOSATOLLO</t>
  </si>
  <si>
    <t>017021</t>
  </si>
  <si>
    <t>BORNO</t>
  </si>
  <si>
    <t>017022</t>
  </si>
  <si>
    <t>25042</t>
  </si>
  <si>
    <t>BOTTICINO</t>
  </si>
  <si>
    <t>017023</t>
  </si>
  <si>
    <t>25082</t>
  </si>
  <si>
    <t>BOVEGNO</t>
  </si>
  <si>
    <t>017024</t>
  </si>
  <si>
    <t>25061</t>
  </si>
  <si>
    <t>BOVEZZO</t>
  </si>
  <si>
    <t>017025</t>
  </si>
  <si>
    <t>25073</t>
  </si>
  <si>
    <t>BRANDICO</t>
  </si>
  <si>
    <t>017026</t>
  </si>
  <si>
    <t>BRAONE</t>
  </si>
  <si>
    <t>017027</t>
  </si>
  <si>
    <t>BRENO</t>
  </si>
  <si>
    <t>017028</t>
  </si>
  <si>
    <t>25043</t>
  </si>
  <si>
    <t>BRESCIA</t>
  </si>
  <si>
    <t>017029</t>
  </si>
  <si>
    <t>251xx</t>
  </si>
  <si>
    <t>BRIONE</t>
  </si>
  <si>
    <t>017030</t>
  </si>
  <si>
    <t>25060</t>
  </si>
  <si>
    <t>CAINO</t>
  </si>
  <si>
    <t>017031</t>
  </si>
  <si>
    <t>CALCINATO</t>
  </si>
  <si>
    <t>017032</t>
  </si>
  <si>
    <t>25011</t>
  </si>
  <si>
    <t>CALVAGESE DELLA RIVIERA</t>
  </si>
  <si>
    <t>017033</t>
  </si>
  <si>
    <t>25080</t>
  </si>
  <si>
    <t>CALVISANO</t>
  </si>
  <si>
    <t>017034</t>
  </si>
  <si>
    <t>25012</t>
  </si>
  <si>
    <t>CAPO DI PONTE</t>
  </si>
  <si>
    <t>017035</t>
  </si>
  <si>
    <t>25044</t>
  </si>
  <si>
    <t>CAPOVALLE</t>
  </si>
  <si>
    <t>017036</t>
  </si>
  <si>
    <t>CAPRIANO DEL COLLE</t>
  </si>
  <si>
    <t>017037</t>
  </si>
  <si>
    <t>CAPRIOLO</t>
  </si>
  <si>
    <t>017038</t>
  </si>
  <si>
    <t>25031</t>
  </si>
  <si>
    <t>CARPENEDOLO</t>
  </si>
  <si>
    <t>017039</t>
  </si>
  <si>
    <t>25013</t>
  </si>
  <si>
    <t>CASTEGNATO</t>
  </si>
  <si>
    <t>017040</t>
  </si>
  <si>
    <t>25045</t>
  </si>
  <si>
    <t>CASTELCOVATI</t>
  </si>
  <si>
    <t>017041</t>
  </si>
  <si>
    <t>CASTEL MELLA</t>
  </si>
  <si>
    <t>017042</t>
  </si>
  <si>
    <t>CASTENEDOLO</t>
  </si>
  <si>
    <t>017043</t>
  </si>
  <si>
    <t>25014</t>
  </si>
  <si>
    <t>CASTO</t>
  </si>
  <si>
    <t>017044</t>
  </si>
  <si>
    <t>CASTREZZATO</t>
  </si>
  <si>
    <t>017045</t>
  </si>
  <si>
    <t>CAZZAGO SAN MARTINO</t>
  </si>
  <si>
    <t>017046</t>
  </si>
  <si>
    <t>25046</t>
  </si>
  <si>
    <t>CEDEGOLO</t>
  </si>
  <si>
    <t>017047</t>
  </si>
  <si>
    <t>25051</t>
  </si>
  <si>
    <t>CELLATICA</t>
  </si>
  <si>
    <t>017048</t>
  </si>
  <si>
    <t>CERVENO</t>
  </si>
  <si>
    <t>017049</t>
  </si>
  <si>
    <t>CETO</t>
  </si>
  <si>
    <t>017050</t>
  </si>
  <si>
    <t>CEVO</t>
  </si>
  <si>
    <t>017051</t>
  </si>
  <si>
    <t>CHIARI</t>
  </si>
  <si>
    <t>017052</t>
  </si>
  <si>
    <t>25032</t>
  </si>
  <si>
    <t>CIGOLE</t>
  </si>
  <si>
    <t>017053</t>
  </si>
  <si>
    <t>CIMBERGO</t>
  </si>
  <si>
    <t>017054</t>
  </si>
  <si>
    <t>25050</t>
  </si>
  <si>
    <t>CIVIDATE CAMUNO</t>
  </si>
  <si>
    <t>017055</t>
  </si>
  <si>
    <t>COCCAGLIO</t>
  </si>
  <si>
    <t>017056</t>
  </si>
  <si>
    <t>COLLEBEATO</t>
  </si>
  <si>
    <t>017057</t>
  </si>
  <si>
    <t>COLLIO</t>
  </si>
  <si>
    <t>017058</t>
  </si>
  <si>
    <t>COLOGNE</t>
  </si>
  <si>
    <t>017059</t>
  </si>
  <si>
    <t>25033</t>
  </si>
  <si>
    <t>COMEZZANO-CIZZAGO</t>
  </si>
  <si>
    <t>017060</t>
  </si>
  <si>
    <t>CONCESIO</t>
  </si>
  <si>
    <t>017061</t>
  </si>
  <si>
    <t>25062</t>
  </si>
  <si>
    <t>CORTE FRANCA</t>
  </si>
  <si>
    <t>017062</t>
  </si>
  <si>
    <t>CORTENO GOLGI</t>
  </si>
  <si>
    <t>017063</t>
  </si>
  <si>
    <t>CORZANO</t>
  </si>
  <si>
    <t>017064</t>
  </si>
  <si>
    <t>DARFO BOARIO TERME</t>
  </si>
  <si>
    <t>017065</t>
  </si>
  <si>
    <t>25047</t>
  </si>
  <si>
    <t>DELLO</t>
  </si>
  <si>
    <t>017066</t>
  </si>
  <si>
    <t>DESENZANO DEL GARDA</t>
  </si>
  <si>
    <t>017067</t>
  </si>
  <si>
    <t>25015</t>
  </si>
  <si>
    <t>EDOLO</t>
  </si>
  <si>
    <t>017068</t>
  </si>
  <si>
    <t>25048</t>
  </si>
  <si>
    <t>ERBUSCO</t>
  </si>
  <si>
    <t>017069</t>
  </si>
  <si>
    <t>ESINE</t>
  </si>
  <si>
    <t>017070</t>
  </si>
  <si>
    <t>FIESSE</t>
  </si>
  <si>
    <t>017071</t>
  </si>
  <si>
    <t>FLERO</t>
  </si>
  <si>
    <t>017072</t>
  </si>
  <si>
    <t>GAMBARA</t>
  </si>
  <si>
    <t>017073</t>
  </si>
  <si>
    <t>GARDONE RIVIERA</t>
  </si>
  <si>
    <t>017074</t>
  </si>
  <si>
    <t>25083</t>
  </si>
  <si>
    <t>GARDONE VAL TROMPIA</t>
  </si>
  <si>
    <t>017075</t>
  </si>
  <si>
    <t>25063</t>
  </si>
  <si>
    <t>GARGNANO</t>
  </si>
  <si>
    <t>017076</t>
  </si>
  <si>
    <t>25084</t>
  </si>
  <si>
    <t>GAVARDO</t>
  </si>
  <si>
    <t>017077</t>
  </si>
  <si>
    <t>25085</t>
  </si>
  <si>
    <t>GHEDI</t>
  </si>
  <si>
    <t>017078</t>
  </si>
  <si>
    <t>25016</t>
  </si>
  <si>
    <t>GIANICO</t>
  </si>
  <si>
    <t>017079</t>
  </si>
  <si>
    <t>GOTTOLENGO</t>
  </si>
  <si>
    <t>017080</t>
  </si>
  <si>
    <t>25023</t>
  </si>
  <si>
    <t>GUSSAGO</t>
  </si>
  <si>
    <t>017081</t>
  </si>
  <si>
    <t>25064</t>
  </si>
  <si>
    <t>IDRO</t>
  </si>
  <si>
    <t>017082</t>
  </si>
  <si>
    <t>25074</t>
  </si>
  <si>
    <t>INCUDINE</t>
  </si>
  <si>
    <t>017083</t>
  </si>
  <si>
    <t>IRMA</t>
  </si>
  <si>
    <t>017084</t>
  </si>
  <si>
    <t>ISEO</t>
  </si>
  <si>
    <t>017085</t>
  </si>
  <si>
    <t>25049</t>
  </si>
  <si>
    <t>ISORELLA</t>
  </si>
  <si>
    <t>017086</t>
  </si>
  <si>
    <t>LAVENONE</t>
  </si>
  <si>
    <t>017087</t>
  </si>
  <si>
    <t>LENO</t>
  </si>
  <si>
    <t>017088</t>
  </si>
  <si>
    <t>25024</t>
  </si>
  <si>
    <t>LIMONE SUL GARDA</t>
  </si>
  <si>
    <t>017089</t>
  </si>
  <si>
    <t>LODRINO</t>
  </si>
  <si>
    <t>017090</t>
  </si>
  <si>
    <t>LOGRATO</t>
  </si>
  <si>
    <t>017091</t>
  </si>
  <si>
    <t>LONATO DEL GARDA</t>
  </si>
  <si>
    <t>017092</t>
  </si>
  <si>
    <t>25017</t>
  </si>
  <si>
    <t>LONGHENA</t>
  </si>
  <si>
    <t>017093</t>
  </si>
  <si>
    <t>LOSINE</t>
  </si>
  <si>
    <t>017094</t>
  </si>
  <si>
    <t>LOZIO</t>
  </si>
  <si>
    <t>017095</t>
  </si>
  <si>
    <t>LUMEZZANE</t>
  </si>
  <si>
    <t>017096</t>
  </si>
  <si>
    <t>25065</t>
  </si>
  <si>
    <t>MACLODIO</t>
  </si>
  <si>
    <t>017097</t>
  </si>
  <si>
    <t>MAGASA</t>
  </si>
  <si>
    <t>017098</t>
  </si>
  <si>
    <t>MAIRANO</t>
  </si>
  <si>
    <t>017099</t>
  </si>
  <si>
    <t>MALEGNO</t>
  </si>
  <si>
    <t>017100</t>
  </si>
  <si>
    <t>25053</t>
  </si>
  <si>
    <t>MALONNO</t>
  </si>
  <si>
    <t>017101</t>
  </si>
  <si>
    <t>MANERBA DEL GARDA</t>
  </si>
  <si>
    <t>017102</t>
  </si>
  <si>
    <t>MANERBIO</t>
  </si>
  <si>
    <t>017103</t>
  </si>
  <si>
    <t>25025</t>
  </si>
  <si>
    <t>MARCHENO</t>
  </si>
  <si>
    <t>017104</t>
  </si>
  <si>
    <t>MARMENTINO</t>
  </si>
  <si>
    <t>017105</t>
  </si>
  <si>
    <t>MARONE</t>
  </si>
  <si>
    <t>017106</t>
  </si>
  <si>
    <t>25054</t>
  </si>
  <si>
    <t>MAZZANO</t>
  </si>
  <si>
    <t>017107</t>
  </si>
  <si>
    <t>MILZANO</t>
  </si>
  <si>
    <t>017108</t>
  </si>
  <si>
    <t>MONIGA DEL GARDA</t>
  </si>
  <si>
    <t>017109</t>
  </si>
  <si>
    <t>MONNO</t>
  </si>
  <si>
    <t>017110</t>
  </si>
  <si>
    <t>MONTE ISOLA</t>
  </si>
  <si>
    <t>017111</t>
  </si>
  <si>
    <t>MONTICELLI BRUSATI</t>
  </si>
  <si>
    <t>017112</t>
  </si>
  <si>
    <t>MONTICHIARI</t>
  </si>
  <si>
    <t>017113</t>
  </si>
  <si>
    <t>25018</t>
  </si>
  <si>
    <t>MONTIRONE</t>
  </si>
  <si>
    <t>017114</t>
  </si>
  <si>
    <t>MURA</t>
  </si>
  <si>
    <t>017115</t>
  </si>
  <si>
    <t>MUSCOLINE</t>
  </si>
  <si>
    <t>017116</t>
  </si>
  <si>
    <t>NAVE</t>
  </si>
  <si>
    <t>017117</t>
  </si>
  <si>
    <t>25075</t>
  </si>
  <si>
    <t>NIARDO</t>
  </si>
  <si>
    <t>017118</t>
  </si>
  <si>
    <t>NUVOLENTO</t>
  </si>
  <si>
    <t>017119</t>
  </si>
  <si>
    <t>NUVOLERA</t>
  </si>
  <si>
    <t>017120</t>
  </si>
  <si>
    <t>ODOLO</t>
  </si>
  <si>
    <t>017121</t>
  </si>
  <si>
    <t>25076</t>
  </si>
  <si>
    <t>OFFLAGA</t>
  </si>
  <si>
    <t>017122</t>
  </si>
  <si>
    <t>OME</t>
  </si>
  <si>
    <t>017123</t>
  </si>
  <si>
    <t>ONO SAN PIETRO</t>
  </si>
  <si>
    <t>017124</t>
  </si>
  <si>
    <t>ORZINUOVI</t>
  </si>
  <si>
    <t>017125</t>
  </si>
  <si>
    <t>25034</t>
  </si>
  <si>
    <t>ORZIVECCHI</t>
  </si>
  <si>
    <t>017126</t>
  </si>
  <si>
    <t>OSPITALETTO</t>
  </si>
  <si>
    <t>017127</t>
  </si>
  <si>
    <t>25035</t>
  </si>
  <si>
    <t>OSSIMO</t>
  </si>
  <si>
    <t>017128</t>
  </si>
  <si>
    <t>PADENGHE SUL GARDA</t>
  </si>
  <si>
    <t>017129</t>
  </si>
  <si>
    <t>PADERNO FRANCIACORTA</t>
  </si>
  <si>
    <t>017130</t>
  </si>
  <si>
    <t>PAISCO LOVENO</t>
  </si>
  <si>
    <t>017131</t>
  </si>
  <si>
    <t>PAITONE</t>
  </si>
  <si>
    <t>017132</t>
  </si>
  <si>
    <t>PALAZZOLO SULL'OGLIO</t>
  </si>
  <si>
    <t>017133</t>
  </si>
  <si>
    <t>25036</t>
  </si>
  <si>
    <t>PARATICO</t>
  </si>
  <si>
    <t>017134</t>
  </si>
  <si>
    <t>PASPARDO</t>
  </si>
  <si>
    <t>017135</t>
  </si>
  <si>
    <t>PASSIRANO</t>
  </si>
  <si>
    <t>017136</t>
  </si>
  <si>
    <t>PAVONE DEL MELLA</t>
  </si>
  <si>
    <t>017137</t>
  </si>
  <si>
    <t>SAN PAOLO</t>
  </si>
  <si>
    <t>017138</t>
  </si>
  <si>
    <t>PERTICA ALTA</t>
  </si>
  <si>
    <t>017139</t>
  </si>
  <si>
    <t>PERTICA BASSA</t>
  </si>
  <si>
    <t>017140</t>
  </si>
  <si>
    <t>25078</t>
  </si>
  <si>
    <t>PEZZAZE</t>
  </si>
  <si>
    <t>017141</t>
  </si>
  <si>
    <t>PIAN CAMUNO</t>
  </si>
  <si>
    <t>017142</t>
  </si>
  <si>
    <t>PISOGNE</t>
  </si>
  <si>
    <t>017143</t>
  </si>
  <si>
    <t>25055</t>
  </si>
  <si>
    <t>POLAVENO</t>
  </si>
  <si>
    <t>017144</t>
  </si>
  <si>
    <t>POLPENAZZE DEL GARDA</t>
  </si>
  <si>
    <t>017145</t>
  </si>
  <si>
    <t>POMPIANO</t>
  </si>
  <si>
    <t>017146</t>
  </si>
  <si>
    <t>PONCARALE</t>
  </si>
  <si>
    <t>017147</t>
  </si>
  <si>
    <t>PONTE DI LEGNO</t>
  </si>
  <si>
    <t>017148</t>
  </si>
  <si>
    <t>25056</t>
  </si>
  <si>
    <t>PONTEVICO</t>
  </si>
  <si>
    <t>017149</t>
  </si>
  <si>
    <t>25026</t>
  </si>
  <si>
    <t>PONTOGLIO</t>
  </si>
  <si>
    <t>017150</t>
  </si>
  <si>
    <t>25037</t>
  </si>
  <si>
    <t>POZZOLENGO</t>
  </si>
  <si>
    <t>017151</t>
  </si>
  <si>
    <t>PRALBOINO</t>
  </si>
  <si>
    <t>017152</t>
  </si>
  <si>
    <t>PRESEGLIE</t>
  </si>
  <si>
    <t>017153</t>
  </si>
  <si>
    <t>PREVALLE</t>
  </si>
  <si>
    <t>017155</t>
  </si>
  <si>
    <t>PROVAGLIO D'ISEO</t>
  </si>
  <si>
    <t>017156</t>
  </si>
  <si>
    <t>PROVAGLIO VAL SABBIA</t>
  </si>
  <si>
    <t>017157</t>
  </si>
  <si>
    <t>PUEGNAGO SUL GARDA</t>
  </si>
  <si>
    <t>017158</t>
  </si>
  <si>
    <t>QUINZANO D'OGLIO</t>
  </si>
  <si>
    <t>017159</t>
  </si>
  <si>
    <t>25027</t>
  </si>
  <si>
    <t>REMEDELLO</t>
  </si>
  <si>
    <t>017160</t>
  </si>
  <si>
    <t>REZZATO</t>
  </si>
  <si>
    <t>017161</t>
  </si>
  <si>
    <t>25086</t>
  </si>
  <si>
    <t>ROCCAFRANCA</t>
  </si>
  <si>
    <t>017162</t>
  </si>
  <si>
    <t>RODENGO SAIANO</t>
  </si>
  <si>
    <t>017163</t>
  </si>
  <si>
    <t>ROÈ VOLCIANO</t>
  </si>
  <si>
    <t>017164</t>
  </si>
  <si>
    <t>25077</t>
  </si>
  <si>
    <t>RONCADELLE</t>
  </si>
  <si>
    <t>017165</t>
  </si>
  <si>
    <t>ROVATO</t>
  </si>
  <si>
    <t>017166</t>
  </si>
  <si>
    <t>25038</t>
  </si>
  <si>
    <t>RUDIANO</t>
  </si>
  <si>
    <t>017167</t>
  </si>
  <si>
    <t>SABBIO CHIESE</t>
  </si>
  <si>
    <t>017168</t>
  </si>
  <si>
    <t>SALE MARASINO</t>
  </si>
  <si>
    <t>017169</t>
  </si>
  <si>
    <t>25057</t>
  </si>
  <si>
    <t>SALÒ</t>
  </si>
  <si>
    <t>017170</t>
  </si>
  <si>
    <t>25087</t>
  </si>
  <si>
    <t>SAN FELICE DEL BENACO</t>
  </si>
  <si>
    <t>017171</t>
  </si>
  <si>
    <t>SAN GERVASIO BRESCIANO</t>
  </si>
  <si>
    <t>017172</t>
  </si>
  <si>
    <t>SAN ZENO NAVIGLIO</t>
  </si>
  <si>
    <t>017173</t>
  </si>
  <si>
    <t>SAREZZO</t>
  </si>
  <si>
    <t>017174</t>
  </si>
  <si>
    <t>25068</t>
  </si>
  <si>
    <t>SAVIORE DELL'ADAMELLO</t>
  </si>
  <si>
    <t>017175</t>
  </si>
  <si>
    <t>SELLERO</t>
  </si>
  <si>
    <t>017176</t>
  </si>
  <si>
    <t>SENIGA</t>
  </si>
  <si>
    <t>017177</t>
  </si>
  <si>
    <t>SERLE</t>
  </si>
  <si>
    <t>017178</t>
  </si>
  <si>
    <t>SIRMIONE</t>
  </si>
  <si>
    <t>017179</t>
  </si>
  <si>
    <t>25019</t>
  </si>
  <si>
    <t>SOIANO DEL LAGO</t>
  </si>
  <si>
    <t>017180</t>
  </si>
  <si>
    <t>SONICO</t>
  </si>
  <si>
    <t>017181</t>
  </si>
  <si>
    <t>SULZANO</t>
  </si>
  <si>
    <t>017182</t>
  </si>
  <si>
    <t>25058</t>
  </si>
  <si>
    <t>TAVERNOLE SUL MELLA</t>
  </si>
  <si>
    <t>017183</t>
  </si>
  <si>
    <t>TEMÙ</t>
  </si>
  <si>
    <t>017184</t>
  </si>
  <si>
    <t>TIGNALE</t>
  </si>
  <si>
    <t>017185</t>
  </si>
  <si>
    <t>TORBOLE CASAGLIA</t>
  </si>
  <si>
    <t>017186</t>
  </si>
  <si>
    <t>TOSCOLANO-MADERNO</t>
  </si>
  <si>
    <t>017187</t>
  </si>
  <si>
    <t>25088</t>
  </si>
  <si>
    <t>TRAVAGLIATO</t>
  </si>
  <si>
    <t>017188</t>
  </si>
  <si>
    <t>25039</t>
  </si>
  <si>
    <t>TREMOSINE SUL GARDA</t>
  </si>
  <si>
    <t>017189</t>
  </si>
  <si>
    <t>TRENZANO</t>
  </si>
  <si>
    <t>017190</t>
  </si>
  <si>
    <t>TREVISO BRESCIANO</t>
  </si>
  <si>
    <t>017191</t>
  </si>
  <si>
    <t>URAGO D'OGLIO</t>
  </si>
  <si>
    <t>017192</t>
  </si>
  <si>
    <t>VALLIO TERME</t>
  </si>
  <si>
    <t>017193</t>
  </si>
  <si>
    <t>VALVESTINO</t>
  </si>
  <si>
    <t>017194</t>
  </si>
  <si>
    <t>VEROLANUOVA</t>
  </si>
  <si>
    <t>017195</t>
  </si>
  <si>
    <t>25028</t>
  </si>
  <si>
    <t>VEROLAVECCHIA</t>
  </si>
  <si>
    <t>017196</t>
  </si>
  <si>
    <t>25029</t>
  </si>
  <si>
    <t>VESTONE</t>
  </si>
  <si>
    <t>017197</t>
  </si>
  <si>
    <t>VEZZA D'OGLIO</t>
  </si>
  <si>
    <t>017198</t>
  </si>
  <si>
    <t>25059</t>
  </si>
  <si>
    <t>VILLA CARCINA</t>
  </si>
  <si>
    <t>017199</t>
  </si>
  <si>
    <t>25069</t>
  </si>
  <si>
    <t>VILLACHIARA</t>
  </si>
  <si>
    <t>017200</t>
  </si>
  <si>
    <t>VILLANUOVA SUL CLISI</t>
  </si>
  <si>
    <t>017201</t>
  </si>
  <si>
    <t>25089</t>
  </si>
  <si>
    <t>VIONE</t>
  </si>
  <si>
    <t>017202</t>
  </si>
  <si>
    <t>VISANO</t>
  </si>
  <si>
    <t>017203</t>
  </si>
  <si>
    <t>VOBARNO</t>
  </si>
  <si>
    <t>017204</t>
  </si>
  <si>
    <t>25079</t>
  </si>
  <si>
    <t>ZONE</t>
  </si>
  <si>
    <t>017205</t>
  </si>
  <si>
    <t>PIANCOGNO</t>
  </si>
  <si>
    <t>017206</t>
  </si>
  <si>
    <t>25052</t>
  </si>
  <si>
    <t>ALAGNA</t>
  </si>
  <si>
    <t>018001</t>
  </si>
  <si>
    <t>PV</t>
  </si>
  <si>
    <t>27020</t>
  </si>
  <si>
    <t>ALBAREDO ARNABOLDI</t>
  </si>
  <si>
    <t>018002</t>
  </si>
  <si>
    <t>27040</t>
  </si>
  <si>
    <t>ALBONESE</t>
  </si>
  <si>
    <t>018003</t>
  </si>
  <si>
    <t>ALBUZZANO</t>
  </si>
  <si>
    <t>018004</t>
  </si>
  <si>
    <t>27010</t>
  </si>
  <si>
    <t>ARENA PO</t>
  </si>
  <si>
    <t>018005</t>
  </si>
  <si>
    <t>BADIA PAVESE</t>
  </si>
  <si>
    <t>018006</t>
  </si>
  <si>
    <t>BAGNARIA</t>
  </si>
  <si>
    <t>018007</t>
  </si>
  <si>
    <t>27050</t>
  </si>
  <si>
    <t>BARBIANELLO</t>
  </si>
  <si>
    <t>018008</t>
  </si>
  <si>
    <t>27041</t>
  </si>
  <si>
    <t>BASCAPÈ</t>
  </si>
  <si>
    <t>018009</t>
  </si>
  <si>
    <t>BASTIDA PANCARANA</t>
  </si>
  <si>
    <t>018011</t>
  </si>
  <si>
    <t>BATTUDA</t>
  </si>
  <si>
    <t>018012</t>
  </si>
  <si>
    <t>BELGIOIOSO</t>
  </si>
  <si>
    <t>018013</t>
  </si>
  <si>
    <t>27011</t>
  </si>
  <si>
    <t>BEREGUARDO</t>
  </si>
  <si>
    <t>018014</t>
  </si>
  <si>
    <t>27021</t>
  </si>
  <si>
    <t>BORGARELLO</t>
  </si>
  <si>
    <t>018015</t>
  </si>
  <si>
    <t>BORGO PRIOLO</t>
  </si>
  <si>
    <t>018016</t>
  </si>
  <si>
    <t>BORGORATTO MORMOROLO</t>
  </si>
  <si>
    <t>018017</t>
  </si>
  <si>
    <t>BORGO SAN SIRO</t>
  </si>
  <si>
    <t>018018</t>
  </si>
  <si>
    <t>BORNASCO</t>
  </si>
  <si>
    <t>018019</t>
  </si>
  <si>
    <t>BOSNASCO</t>
  </si>
  <si>
    <t>018020</t>
  </si>
  <si>
    <t>BRALLO DI PREGOLA</t>
  </si>
  <si>
    <t>018021</t>
  </si>
  <si>
    <t>BREME</t>
  </si>
  <si>
    <t>018022</t>
  </si>
  <si>
    <t>BRESSANA BOTTARONE</t>
  </si>
  <si>
    <t>018023</t>
  </si>
  <si>
    <t>27042</t>
  </si>
  <si>
    <t>BRONI</t>
  </si>
  <si>
    <t>018024</t>
  </si>
  <si>
    <t>27043</t>
  </si>
  <si>
    <t>CALVIGNANO</t>
  </si>
  <si>
    <t>018025</t>
  </si>
  <si>
    <t>CAMPOSPINOSO</t>
  </si>
  <si>
    <t>018026</t>
  </si>
  <si>
    <t>CANDIA LOMELLINA</t>
  </si>
  <si>
    <t>018027</t>
  </si>
  <si>
    <t>27031</t>
  </si>
  <si>
    <t>CANNETO PAVESE</t>
  </si>
  <si>
    <t>018029</t>
  </si>
  <si>
    <t>27044</t>
  </si>
  <si>
    <t>CARBONARA AL TICINO</t>
  </si>
  <si>
    <t>018030</t>
  </si>
  <si>
    <t>CASANOVA LONATI</t>
  </si>
  <si>
    <t>018031</t>
  </si>
  <si>
    <t>CASATISMA</t>
  </si>
  <si>
    <t>018032</t>
  </si>
  <si>
    <t>CASEI GEROLA</t>
  </si>
  <si>
    <t>018033</t>
  </si>
  <si>
    <t>CASORATE PRIMO</t>
  </si>
  <si>
    <t>018034</t>
  </si>
  <si>
    <t>27022</t>
  </si>
  <si>
    <t>CASSOLNOVO</t>
  </si>
  <si>
    <t>018035</t>
  </si>
  <si>
    <t>27023</t>
  </si>
  <si>
    <t>CASTANA</t>
  </si>
  <si>
    <t>018036</t>
  </si>
  <si>
    <t>CASTEGGIO</t>
  </si>
  <si>
    <t>018037</t>
  </si>
  <si>
    <t>27045</t>
  </si>
  <si>
    <t>CASTELLETTO DI BRANDUZZO</t>
  </si>
  <si>
    <t>018038</t>
  </si>
  <si>
    <t>CASTELLO D'AGOGNA</t>
  </si>
  <si>
    <t>018039</t>
  </si>
  <si>
    <t>27030</t>
  </si>
  <si>
    <t>CASTELNOVETTO</t>
  </si>
  <si>
    <t>018040</t>
  </si>
  <si>
    <t>CAVA MANARA</t>
  </si>
  <si>
    <t>018041</t>
  </si>
  <si>
    <t>27051</t>
  </si>
  <si>
    <t>CECIMA</t>
  </si>
  <si>
    <t>018042</t>
  </si>
  <si>
    <t>CERANOVA</t>
  </si>
  <si>
    <t>018043</t>
  </si>
  <si>
    <t>CERETTO LOMELLINA</t>
  </si>
  <si>
    <t>018044</t>
  </si>
  <si>
    <t>CERGNAGO</t>
  </si>
  <si>
    <t>018045</t>
  </si>
  <si>
    <t>CERTOSA DI PAVIA</t>
  </si>
  <si>
    <t>018046</t>
  </si>
  <si>
    <t>27012</t>
  </si>
  <si>
    <t>CERVESINA</t>
  </si>
  <si>
    <t>018047</t>
  </si>
  <si>
    <t>CHIGNOLO PO</t>
  </si>
  <si>
    <t>018048</t>
  </si>
  <si>
    <t>27013</t>
  </si>
  <si>
    <t>CIGOGNOLA</t>
  </si>
  <si>
    <t>018049</t>
  </si>
  <si>
    <t>CILAVEGNA</t>
  </si>
  <si>
    <t>018050</t>
  </si>
  <si>
    <t>27024</t>
  </si>
  <si>
    <t>CODEVILLA</t>
  </si>
  <si>
    <t>018051</t>
  </si>
  <si>
    <t>CONFIENZA</t>
  </si>
  <si>
    <t>018052</t>
  </si>
  <si>
    <t>COPIANO</t>
  </si>
  <si>
    <t>018053</t>
  </si>
  <si>
    <t>CORANA</t>
  </si>
  <si>
    <t>018054</t>
  </si>
  <si>
    <t>CORVINO SAN QUIRICO</t>
  </si>
  <si>
    <t>018057</t>
  </si>
  <si>
    <t>COSTA DE' NOBILI</t>
  </si>
  <si>
    <t>018058</t>
  </si>
  <si>
    <t>COZZO</t>
  </si>
  <si>
    <t>018059</t>
  </si>
  <si>
    <t>CURA CARPIGNANO</t>
  </si>
  <si>
    <t>018060</t>
  </si>
  <si>
    <t>DORNO</t>
  </si>
  <si>
    <t>018061</t>
  </si>
  <si>
    <t>FERRERA ERBOGNONE</t>
  </si>
  <si>
    <t>018062</t>
  </si>
  <si>
    <t>27032</t>
  </si>
  <si>
    <t>FILIGHERA</t>
  </si>
  <si>
    <t>018063</t>
  </si>
  <si>
    <t>FORTUNAGO</t>
  </si>
  <si>
    <t>018064</t>
  </si>
  <si>
    <t>FRASCAROLO</t>
  </si>
  <si>
    <t>018065</t>
  </si>
  <si>
    <t>GALLIAVOLA</t>
  </si>
  <si>
    <t>018066</t>
  </si>
  <si>
    <t>27034</t>
  </si>
  <si>
    <t>GAMBARANA</t>
  </si>
  <si>
    <t>018067</t>
  </si>
  <si>
    <t>GAMBOLÒ</t>
  </si>
  <si>
    <t>018068</t>
  </si>
  <si>
    <t>27025</t>
  </si>
  <si>
    <t>GARLASCO</t>
  </si>
  <si>
    <t>018069</t>
  </si>
  <si>
    <t>27026</t>
  </si>
  <si>
    <t>GERENZAGO</t>
  </si>
  <si>
    <t>018071</t>
  </si>
  <si>
    <t>GIUSSAGO</t>
  </si>
  <si>
    <t>018072</t>
  </si>
  <si>
    <t>GODIASCO SALICE TERME</t>
  </si>
  <si>
    <t>018073</t>
  </si>
  <si>
    <t>GOLFERENZO</t>
  </si>
  <si>
    <t>018074</t>
  </si>
  <si>
    <t>27047</t>
  </si>
  <si>
    <t>GRAVELLONA LOMELLINA</t>
  </si>
  <si>
    <t>018075</t>
  </si>
  <si>
    <t>GROPELLO CAIROLI</t>
  </si>
  <si>
    <t>018076</t>
  </si>
  <si>
    <t>27027</t>
  </si>
  <si>
    <t>INVERNO E MONTELEONE</t>
  </si>
  <si>
    <t>018077</t>
  </si>
  <si>
    <t>LANDRIANO</t>
  </si>
  <si>
    <t>018078</t>
  </si>
  <si>
    <t>27015</t>
  </si>
  <si>
    <t>LANGOSCO</t>
  </si>
  <si>
    <t>018079</t>
  </si>
  <si>
    <t>LARDIRAGO</t>
  </si>
  <si>
    <t>018080</t>
  </si>
  <si>
    <t>27016</t>
  </si>
  <si>
    <t>LINAROLO</t>
  </si>
  <si>
    <t>018081</t>
  </si>
  <si>
    <t>LIRIO</t>
  </si>
  <si>
    <t>018082</t>
  </si>
  <si>
    <t>LOMELLO</t>
  </si>
  <si>
    <t>018083</t>
  </si>
  <si>
    <t>LUNGAVILLA</t>
  </si>
  <si>
    <t>018084</t>
  </si>
  <si>
    <t>27053</t>
  </si>
  <si>
    <t>MAGHERNO</t>
  </si>
  <si>
    <t>018085</t>
  </si>
  <si>
    <t>MARCIGNAGO</t>
  </si>
  <si>
    <t>018086</t>
  </si>
  <si>
    <t>MARZANO</t>
  </si>
  <si>
    <t>018087</t>
  </si>
  <si>
    <t>MEDE</t>
  </si>
  <si>
    <t>018088</t>
  </si>
  <si>
    <t>27035</t>
  </si>
  <si>
    <t>MENCONICO</t>
  </si>
  <si>
    <t>018089</t>
  </si>
  <si>
    <t>MEZZANA BIGLI</t>
  </si>
  <si>
    <t>018090</t>
  </si>
  <si>
    <t>MEZZANA RABATTONE</t>
  </si>
  <si>
    <t>018091</t>
  </si>
  <si>
    <t>MEZZANINO</t>
  </si>
  <si>
    <t>018092</t>
  </si>
  <si>
    <t>MIRADOLO TERME</t>
  </si>
  <si>
    <t>018093</t>
  </si>
  <si>
    <t>MONTALTO PAVESE</t>
  </si>
  <si>
    <t>018094</t>
  </si>
  <si>
    <t>MONTEBELLO DELLA BATTAGLIA</t>
  </si>
  <si>
    <t>018095</t>
  </si>
  <si>
    <t>27054</t>
  </si>
  <si>
    <t>MONTECALVO VERSIGGIA</t>
  </si>
  <si>
    <t>018096</t>
  </si>
  <si>
    <t>MONTESCANO</t>
  </si>
  <si>
    <t>018097</t>
  </si>
  <si>
    <t>MONTESEGALE</t>
  </si>
  <si>
    <t>018098</t>
  </si>
  <si>
    <t>27052</t>
  </si>
  <si>
    <t>MONTICELLI PAVESE</t>
  </si>
  <si>
    <t>018099</t>
  </si>
  <si>
    <t>MONTÙ BECCARIA</t>
  </si>
  <si>
    <t>018100</t>
  </si>
  <si>
    <t>MORNICO LOSANA</t>
  </si>
  <si>
    <t>018101</t>
  </si>
  <si>
    <t>MORTARA</t>
  </si>
  <si>
    <t>018102</t>
  </si>
  <si>
    <t>27036</t>
  </si>
  <si>
    <t>NICORVO</t>
  </si>
  <si>
    <t>018103</t>
  </si>
  <si>
    <t>OLEVANO DI LOMELLINA</t>
  </si>
  <si>
    <t>018104</t>
  </si>
  <si>
    <t>OLIVA GESSI</t>
  </si>
  <si>
    <t>018105</t>
  </si>
  <si>
    <t>OTTOBIANO</t>
  </si>
  <si>
    <t>018106</t>
  </si>
  <si>
    <t>PALESTRO</t>
  </si>
  <si>
    <t>018107</t>
  </si>
  <si>
    <t>PANCARANA</t>
  </si>
  <si>
    <t>018108</t>
  </si>
  <si>
    <t>PARONA</t>
  </si>
  <si>
    <t>018109</t>
  </si>
  <si>
    <t>PAVIA</t>
  </si>
  <si>
    <t>018110</t>
  </si>
  <si>
    <t>27100</t>
  </si>
  <si>
    <t>PIETRA DE' GIORGI</t>
  </si>
  <si>
    <t>018111</t>
  </si>
  <si>
    <t>PIEVE ALBIGNOLA</t>
  </si>
  <si>
    <t>018112</t>
  </si>
  <si>
    <t>PIEVE DEL CAIRO</t>
  </si>
  <si>
    <t>018113</t>
  </si>
  <si>
    <t>27037</t>
  </si>
  <si>
    <t>PIEVE PORTO MORONE</t>
  </si>
  <si>
    <t>018114</t>
  </si>
  <si>
    <t>27017</t>
  </si>
  <si>
    <t>PINAROLO PO</t>
  </si>
  <si>
    <t>018115</t>
  </si>
  <si>
    <t>PIZZALE</t>
  </si>
  <si>
    <t>018116</t>
  </si>
  <si>
    <t>PONTE NIZZA</t>
  </si>
  <si>
    <t>018117</t>
  </si>
  <si>
    <t>PORTALBERA</t>
  </si>
  <si>
    <t>018118</t>
  </si>
  <si>
    <t>REA</t>
  </si>
  <si>
    <t>018119</t>
  </si>
  <si>
    <t>REDAVALLE</t>
  </si>
  <si>
    <t>018120</t>
  </si>
  <si>
    <t>RETORBIDO</t>
  </si>
  <si>
    <t>018121</t>
  </si>
  <si>
    <t>RIVANAZZANO TERME</t>
  </si>
  <si>
    <t>018122</t>
  </si>
  <si>
    <t>27055</t>
  </si>
  <si>
    <t>ROBBIO</t>
  </si>
  <si>
    <t>018123</t>
  </si>
  <si>
    <t>27038</t>
  </si>
  <si>
    <t>ROBECCO PAVESE</t>
  </si>
  <si>
    <t>018124</t>
  </si>
  <si>
    <t>ROCCA DE' GIORGI</t>
  </si>
  <si>
    <t>018125</t>
  </si>
  <si>
    <t>ROCCA SUSELLA</t>
  </si>
  <si>
    <t>018126</t>
  </si>
  <si>
    <t>ROGNANO</t>
  </si>
  <si>
    <t>018127</t>
  </si>
  <si>
    <t>ROMAGNESE</t>
  </si>
  <si>
    <t>018128</t>
  </si>
  <si>
    <t>RONCARO</t>
  </si>
  <si>
    <t>018129</t>
  </si>
  <si>
    <t>ROSASCO</t>
  </si>
  <si>
    <t>018130</t>
  </si>
  <si>
    <t>ROVESCALA</t>
  </si>
  <si>
    <t>018131</t>
  </si>
  <si>
    <t>SAN CIPRIANO PO</t>
  </si>
  <si>
    <t>018133</t>
  </si>
  <si>
    <t>SAN DAMIANO AL COLLE</t>
  </si>
  <si>
    <t>018134</t>
  </si>
  <si>
    <t>SAN GENESIO ED UNITI</t>
  </si>
  <si>
    <t>018135</t>
  </si>
  <si>
    <t>SAN GIORGIO DI LOMELLINA</t>
  </si>
  <si>
    <t>018136</t>
  </si>
  <si>
    <t>SAN MARTINO SICCOMARIO</t>
  </si>
  <si>
    <t>018137</t>
  </si>
  <si>
    <t>27028</t>
  </si>
  <si>
    <t>SANNAZZARO DE' BURGONDI</t>
  </si>
  <si>
    <t>018138</t>
  </si>
  <si>
    <t>27039</t>
  </si>
  <si>
    <t>SANTA CRISTINA E BISSONE</t>
  </si>
  <si>
    <t>018139</t>
  </si>
  <si>
    <t>SANTA GIULETTA</t>
  </si>
  <si>
    <t>018140</t>
  </si>
  <si>
    <t>27046</t>
  </si>
  <si>
    <t>SANT'ALESSIO CON VIALONE</t>
  </si>
  <si>
    <t>018141</t>
  </si>
  <si>
    <t>SANTA MARGHERITA DI STAFFORA</t>
  </si>
  <si>
    <t>018142</t>
  </si>
  <si>
    <t>SANTA MARIA DELLA VERSA</t>
  </si>
  <si>
    <t>018143</t>
  </si>
  <si>
    <t>SANT'ANGELO LOMELLINA</t>
  </si>
  <si>
    <t>018144</t>
  </si>
  <si>
    <t>SAN ZENONE AL PO</t>
  </si>
  <si>
    <t>018145</t>
  </si>
  <si>
    <t>SARTIRANA LOMELLINA</t>
  </si>
  <si>
    <t>018146</t>
  </si>
  <si>
    <t>SCALDASOLE</t>
  </si>
  <si>
    <t>018147</t>
  </si>
  <si>
    <t>SEMIANA</t>
  </si>
  <si>
    <t>018148</t>
  </si>
  <si>
    <t>SILVANO PIETRA</t>
  </si>
  <si>
    <t>018149</t>
  </si>
  <si>
    <t>SIZIANO</t>
  </si>
  <si>
    <t>018150</t>
  </si>
  <si>
    <t>SOMMO</t>
  </si>
  <si>
    <t>018151</t>
  </si>
  <si>
    <t>27048</t>
  </si>
  <si>
    <t>SPESSA</t>
  </si>
  <si>
    <t>018152</t>
  </si>
  <si>
    <t>STRADELLA</t>
  </si>
  <si>
    <t>018153</t>
  </si>
  <si>
    <t>27049</t>
  </si>
  <si>
    <t>SUARDI</t>
  </si>
  <si>
    <t>018154</t>
  </si>
  <si>
    <t>TORRAZZA COSTE</t>
  </si>
  <si>
    <t>018155</t>
  </si>
  <si>
    <t>TORRE BERETTI E CASTELLARO</t>
  </si>
  <si>
    <t>018156</t>
  </si>
  <si>
    <t>TORRE D'ARESE</t>
  </si>
  <si>
    <t>018157</t>
  </si>
  <si>
    <t>TORRE DE' NEGRI</t>
  </si>
  <si>
    <t>018158</t>
  </si>
  <si>
    <t>TORRE D'ISOLA</t>
  </si>
  <si>
    <t>018159</t>
  </si>
  <si>
    <t>TORREVECCHIA PIA</t>
  </si>
  <si>
    <t>018160</t>
  </si>
  <si>
    <t>TORRICELLA VERZATE</t>
  </si>
  <si>
    <t>018161</t>
  </si>
  <si>
    <t>TRAVACÒ SICCOMARIO</t>
  </si>
  <si>
    <t>018162</t>
  </si>
  <si>
    <t>TRIVOLZIO</t>
  </si>
  <si>
    <t>018163</t>
  </si>
  <si>
    <t>TROMELLO</t>
  </si>
  <si>
    <t>018164</t>
  </si>
  <si>
    <t>TROVO</t>
  </si>
  <si>
    <t>018165</t>
  </si>
  <si>
    <t>VAL DI NIZZA</t>
  </si>
  <si>
    <t>018166</t>
  </si>
  <si>
    <t>VALEGGIO</t>
  </si>
  <si>
    <t>018167</t>
  </si>
  <si>
    <t>VALLE LOMELLINA</t>
  </si>
  <si>
    <t>018168</t>
  </si>
  <si>
    <t>VALLE SALIMBENE</t>
  </si>
  <si>
    <t>018169</t>
  </si>
  <si>
    <t>VARZI</t>
  </si>
  <si>
    <t>018171</t>
  </si>
  <si>
    <t>27057</t>
  </si>
  <si>
    <t>VELEZZO LOMELLINA</t>
  </si>
  <si>
    <t>018172</t>
  </si>
  <si>
    <t>VELLEZZO BELLINI</t>
  </si>
  <si>
    <t>018173</t>
  </si>
  <si>
    <t>VERRETTO</t>
  </si>
  <si>
    <t>018174</t>
  </si>
  <si>
    <t>VERRUA PO</t>
  </si>
  <si>
    <t>018175</t>
  </si>
  <si>
    <t>VIDIGULFO</t>
  </si>
  <si>
    <t>018176</t>
  </si>
  <si>
    <t>27018</t>
  </si>
  <si>
    <t>VIGEVANO</t>
  </si>
  <si>
    <t>018177</t>
  </si>
  <si>
    <t>27029</t>
  </si>
  <si>
    <t>VILLA BISCOSSI</t>
  </si>
  <si>
    <t>018178</t>
  </si>
  <si>
    <t>VILLANOVA D'ARDENGHI</t>
  </si>
  <si>
    <t>018179</t>
  </si>
  <si>
    <t>VILLANTERIO</t>
  </si>
  <si>
    <t>018180</t>
  </si>
  <si>
    <t>27019</t>
  </si>
  <si>
    <t>VISTARINO</t>
  </si>
  <si>
    <t>018181</t>
  </si>
  <si>
    <t>VOGHERA</t>
  </si>
  <si>
    <t>018182</t>
  </si>
  <si>
    <t>27058</t>
  </si>
  <si>
    <t>VOLPARA</t>
  </si>
  <si>
    <t>018183</t>
  </si>
  <si>
    <t>ZAVATTARELLO</t>
  </si>
  <si>
    <t>018184</t>
  </si>
  <si>
    <t>27059</t>
  </si>
  <si>
    <t>ZECCONE</t>
  </si>
  <si>
    <t>018185</t>
  </si>
  <si>
    <t>ZEME</t>
  </si>
  <si>
    <t>018186</t>
  </si>
  <si>
    <t>ZENEVREDO</t>
  </si>
  <si>
    <t>018187</t>
  </si>
  <si>
    <t>ZERBO</t>
  </si>
  <si>
    <t>018188</t>
  </si>
  <si>
    <t>ZERBOLÒ</t>
  </si>
  <si>
    <t>018189</t>
  </si>
  <si>
    <t>ZINASCO</t>
  </si>
  <si>
    <t>018190</t>
  </si>
  <si>
    <t>CORNALE E BASTIDA</t>
  </si>
  <si>
    <t>018191</t>
  </si>
  <si>
    <t>CORTEOLONA E GENZONE</t>
  </si>
  <si>
    <t>018192</t>
  </si>
  <si>
    <t>COLLI VERDI</t>
  </si>
  <si>
    <t>018193</t>
  </si>
  <si>
    <t>ACQUANEGRA CREMONESE</t>
  </si>
  <si>
    <t>019001</t>
  </si>
  <si>
    <t>CR</t>
  </si>
  <si>
    <t>26020</t>
  </si>
  <si>
    <t>AGNADELLO</t>
  </si>
  <si>
    <t>019002</t>
  </si>
  <si>
    <t>ANNICCO</t>
  </si>
  <si>
    <t>019003</t>
  </si>
  <si>
    <t>26021</t>
  </si>
  <si>
    <t>AZZANELLO</t>
  </si>
  <si>
    <t>019004</t>
  </si>
  <si>
    <t>26010</t>
  </si>
  <si>
    <t>BAGNOLO CREMASCO</t>
  </si>
  <si>
    <t>019005</t>
  </si>
  <si>
    <t>BONEMERSE</t>
  </si>
  <si>
    <t>019006</t>
  </si>
  <si>
    <t>26040</t>
  </si>
  <si>
    <t>BORDOLANO</t>
  </si>
  <si>
    <t>019007</t>
  </si>
  <si>
    <t>CALVATONE</t>
  </si>
  <si>
    <t>019009</t>
  </si>
  <si>
    <t>26030</t>
  </si>
  <si>
    <t>CAMISANO</t>
  </si>
  <si>
    <t>019010</t>
  </si>
  <si>
    <t>CAMPAGNOLA CREMASCA</t>
  </si>
  <si>
    <t>019011</t>
  </si>
  <si>
    <t>CAPERGNANICA</t>
  </si>
  <si>
    <t>019012</t>
  </si>
  <si>
    <t>CAPPELLA CANTONE</t>
  </si>
  <si>
    <t>019013</t>
  </si>
  <si>
    <t>CAPPELLA DE' PICENARDI</t>
  </si>
  <si>
    <t>019014</t>
  </si>
  <si>
    <t>CAPRALBA</t>
  </si>
  <si>
    <t>019015</t>
  </si>
  <si>
    <t>CASALBUTTANO ED UNITI</t>
  </si>
  <si>
    <t>019016</t>
  </si>
  <si>
    <t>26011</t>
  </si>
  <si>
    <t>CASALE CREMASCO-VIDOLASCO</t>
  </si>
  <si>
    <t>019017</t>
  </si>
  <si>
    <t>CASALETTO CEREDANO</t>
  </si>
  <si>
    <t>019018</t>
  </si>
  <si>
    <t>CASALETTO DI SOPRA</t>
  </si>
  <si>
    <t>019019</t>
  </si>
  <si>
    <t>26014</t>
  </si>
  <si>
    <t>CASALETTO VAPRIO</t>
  </si>
  <si>
    <t>019020</t>
  </si>
  <si>
    <t>CASALMAGGIORE</t>
  </si>
  <si>
    <t>019021</t>
  </si>
  <si>
    <t>26041</t>
  </si>
  <si>
    <t>CASALMORANO</t>
  </si>
  <si>
    <t>019022</t>
  </si>
  <si>
    <t>CASTELDIDONE</t>
  </si>
  <si>
    <t>019023</t>
  </si>
  <si>
    <t>CASTEL GABBIANO</t>
  </si>
  <si>
    <t>019024</t>
  </si>
  <si>
    <t>CASTELLEONE</t>
  </si>
  <si>
    <t>019025</t>
  </si>
  <si>
    <t>26012</t>
  </si>
  <si>
    <t>CASTELVERDE</t>
  </si>
  <si>
    <t>019026</t>
  </si>
  <si>
    <t>26022</t>
  </si>
  <si>
    <t>CASTELVISCONTI</t>
  </si>
  <si>
    <t>019027</t>
  </si>
  <si>
    <t>CELLA DATI</t>
  </si>
  <si>
    <t>019028</t>
  </si>
  <si>
    <t>CHIEVE</t>
  </si>
  <si>
    <t>019029</t>
  </si>
  <si>
    <t>CICOGNOLO</t>
  </si>
  <si>
    <t>019030</t>
  </si>
  <si>
    <t>CINGIA DE' BOTTI</t>
  </si>
  <si>
    <t>019031</t>
  </si>
  <si>
    <t>26042</t>
  </si>
  <si>
    <t>CORTE DE' CORTESI CON CIGNONE</t>
  </si>
  <si>
    <t>019032</t>
  </si>
  <si>
    <t>CORTE DE' FRATI</t>
  </si>
  <si>
    <t>019033</t>
  </si>
  <si>
    <t>CREDERA RUBBIANO</t>
  </si>
  <si>
    <t>019034</t>
  </si>
  <si>
    <t>CREMA</t>
  </si>
  <si>
    <t>019035</t>
  </si>
  <si>
    <t>26013</t>
  </si>
  <si>
    <t>CREMONA</t>
  </si>
  <si>
    <t>019036</t>
  </si>
  <si>
    <t>26100</t>
  </si>
  <si>
    <t>CREMOSANO</t>
  </si>
  <si>
    <t>019037</t>
  </si>
  <si>
    <t>CROTTA D'ADDA</t>
  </si>
  <si>
    <t>019038</t>
  </si>
  <si>
    <t>CUMIGNANO SUL NAVIGLIO</t>
  </si>
  <si>
    <t>019039</t>
  </si>
  <si>
    <t>DEROVERE</t>
  </si>
  <si>
    <t>019040</t>
  </si>
  <si>
    <t>DOVERA</t>
  </si>
  <si>
    <t>019041</t>
  </si>
  <si>
    <t>FIESCO</t>
  </si>
  <si>
    <t>019043</t>
  </si>
  <si>
    <t>FORMIGARA</t>
  </si>
  <si>
    <t>019044</t>
  </si>
  <si>
    <t>GABBIONETA-BINANUOVA</t>
  </si>
  <si>
    <t>019045</t>
  </si>
  <si>
    <t>GADESCO-PIEVE DELMONA</t>
  </si>
  <si>
    <t>019046</t>
  </si>
  <si>
    <t>GENIVOLTA</t>
  </si>
  <si>
    <t>019047</t>
  </si>
  <si>
    <t>GERRE DE' CAPRIOLI</t>
  </si>
  <si>
    <t>019048</t>
  </si>
  <si>
    <t>GOMBITO</t>
  </si>
  <si>
    <t>019049</t>
  </si>
  <si>
    <t>GRONTARDO</t>
  </si>
  <si>
    <t>019050</t>
  </si>
  <si>
    <t>26044</t>
  </si>
  <si>
    <t>GRUMELLO CREMONESE ED UNITI</t>
  </si>
  <si>
    <t>019051</t>
  </si>
  <si>
    <t>26023</t>
  </si>
  <si>
    <t>GUSSOLA</t>
  </si>
  <si>
    <t>019052</t>
  </si>
  <si>
    <t>ISOLA DOVARESE</t>
  </si>
  <si>
    <t>019053</t>
  </si>
  <si>
    <t>26031</t>
  </si>
  <si>
    <t>IZANO</t>
  </si>
  <si>
    <t>019054</t>
  </si>
  <si>
    <t>MADIGNANO</t>
  </si>
  <si>
    <t>019055</t>
  </si>
  <si>
    <t>MALAGNINO</t>
  </si>
  <si>
    <t>019056</t>
  </si>
  <si>
    <t>MARTIGNANA DI PO</t>
  </si>
  <si>
    <t>019057</t>
  </si>
  <si>
    <t>MONTE CREMASCO</t>
  </si>
  <si>
    <t>019058</t>
  </si>
  <si>
    <t>MONTODINE</t>
  </si>
  <si>
    <t>019059</t>
  </si>
  <si>
    <t>MOSCAZZANO</t>
  </si>
  <si>
    <t>019060</t>
  </si>
  <si>
    <t>MOTTA BALUFFI</t>
  </si>
  <si>
    <t>019061</t>
  </si>
  <si>
    <t>26045</t>
  </si>
  <si>
    <t>OFFANENGO</t>
  </si>
  <si>
    <t>019062</t>
  </si>
  <si>
    <t>OLMENETA</t>
  </si>
  <si>
    <t>019063</t>
  </si>
  <si>
    <t>OSTIANO</t>
  </si>
  <si>
    <t>019064</t>
  </si>
  <si>
    <t>26032</t>
  </si>
  <si>
    <t>PADERNO PONCHIELLI</t>
  </si>
  <si>
    <t>019065</t>
  </si>
  <si>
    <t>26024</t>
  </si>
  <si>
    <t>PALAZZO PIGNANO</t>
  </si>
  <si>
    <t>019066</t>
  </si>
  <si>
    <t>PANDINO</t>
  </si>
  <si>
    <t>019067</t>
  </si>
  <si>
    <t>26025</t>
  </si>
  <si>
    <t>PERSICO DOSIMO</t>
  </si>
  <si>
    <t>019068</t>
  </si>
  <si>
    <t>26043</t>
  </si>
  <si>
    <t>PESCAROLO ED UNITI</t>
  </si>
  <si>
    <t>019069</t>
  </si>
  <si>
    <t>26033</t>
  </si>
  <si>
    <t>PESSINA CREMONESE</t>
  </si>
  <si>
    <t>019070</t>
  </si>
  <si>
    <t>PIANENGO</t>
  </si>
  <si>
    <t>019072</t>
  </si>
  <si>
    <t>PIERANICA</t>
  </si>
  <si>
    <t>019073</t>
  </si>
  <si>
    <t>26017</t>
  </si>
  <si>
    <t>PIEVE D'OLMI</t>
  </si>
  <si>
    <t>019074</t>
  </si>
  <si>
    <t>PIEVE SAN GIACOMO</t>
  </si>
  <si>
    <t>019075</t>
  </si>
  <si>
    <t>26035</t>
  </si>
  <si>
    <t>PIZZIGHETTONE</t>
  </si>
  <si>
    <t>019076</t>
  </si>
  <si>
    <t>26026</t>
  </si>
  <si>
    <t>POZZAGLIO ED UNITI</t>
  </si>
  <si>
    <t>019077</t>
  </si>
  <si>
    <t>QUINTANO</t>
  </si>
  <si>
    <t>019078</t>
  </si>
  <si>
    <t>RICENGO</t>
  </si>
  <si>
    <t>019079</t>
  </si>
  <si>
    <t>RIPALTA ARPINA</t>
  </si>
  <si>
    <t>019080</t>
  </si>
  <si>
    <t>RIPALTA CREMASCA</t>
  </si>
  <si>
    <t>019081</t>
  </si>
  <si>
    <t>RIPALTA GUERINA</t>
  </si>
  <si>
    <t>019082</t>
  </si>
  <si>
    <t>RIVAROLO DEL RE ED UNITI</t>
  </si>
  <si>
    <t>019083</t>
  </si>
  <si>
    <t>26036</t>
  </si>
  <si>
    <t>RIVOLTA D'ADDA</t>
  </si>
  <si>
    <t>019084</t>
  </si>
  <si>
    <t>26027</t>
  </si>
  <si>
    <t>ROBECCO D'OGLIO</t>
  </si>
  <si>
    <t>019085</t>
  </si>
  <si>
    <t>ROMANENGO</t>
  </si>
  <si>
    <t>019086</t>
  </si>
  <si>
    <t>SALVIROLA</t>
  </si>
  <si>
    <t>019087</t>
  </si>
  <si>
    <t>SAN BASSANO</t>
  </si>
  <si>
    <t>019088</t>
  </si>
  <si>
    <t>SAN DANIELE PO</t>
  </si>
  <si>
    <t>019089</t>
  </si>
  <si>
    <t>26046</t>
  </si>
  <si>
    <t>SAN GIOVANNI IN CROCE</t>
  </si>
  <si>
    <t>019090</t>
  </si>
  <si>
    <t>26037</t>
  </si>
  <si>
    <t>SAN MARTINO DEL LAGO</t>
  </si>
  <si>
    <t>019091</t>
  </si>
  <si>
    <t>SCANDOLARA RAVARA</t>
  </si>
  <si>
    <t>019092</t>
  </si>
  <si>
    <t>SCANDOLARA RIPA D'OGLIO</t>
  </si>
  <si>
    <t>019093</t>
  </si>
  <si>
    <t>26047</t>
  </si>
  <si>
    <t>SERGNANO</t>
  </si>
  <si>
    <t>019094</t>
  </si>
  <si>
    <t>SESTO ED UNITI</t>
  </si>
  <si>
    <t>019095</t>
  </si>
  <si>
    <t>26028</t>
  </si>
  <si>
    <t>SOLAROLO RAINERIO</t>
  </si>
  <si>
    <t>019096</t>
  </si>
  <si>
    <t>SONCINO</t>
  </si>
  <si>
    <t>019097</t>
  </si>
  <si>
    <t>26029</t>
  </si>
  <si>
    <t>SORESINA</t>
  </si>
  <si>
    <t>019098</t>
  </si>
  <si>
    <t>26015</t>
  </si>
  <si>
    <t>SOSPIRO</t>
  </si>
  <si>
    <t>019099</t>
  </si>
  <si>
    <t>26048</t>
  </si>
  <si>
    <t>SPINADESCO</t>
  </si>
  <si>
    <t>019100</t>
  </si>
  <si>
    <t>SPINEDA</t>
  </si>
  <si>
    <t>019101</t>
  </si>
  <si>
    <t>SPINO D'ADDA</t>
  </si>
  <si>
    <t>019102</t>
  </si>
  <si>
    <t>26016</t>
  </si>
  <si>
    <t>STAGNO LOMBARDO</t>
  </si>
  <si>
    <t>019103</t>
  </si>
  <si>
    <t>26049</t>
  </si>
  <si>
    <t>TICENGO</t>
  </si>
  <si>
    <t>019104</t>
  </si>
  <si>
    <t>TORLINO VIMERCATI</t>
  </si>
  <si>
    <t>019105</t>
  </si>
  <si>
    <t>TORNATA</t>
  </si>
  <si>
    <t>019106</t>
  </si>
  <si>
    <t>TORRE DE' PICENARDI</t>
  </si>
  <si>
    <t>019107</t>
  </si>
  <si>
    <t>26038</t>
  </si>
  <si>
    <t>TORRICELLA DEL PIZZO</t>
  </si>
  <si>
    <t>019108</t>
  </si>
  <si>
    <t>TRESCORE CREMASCO</t>
  </si>
  <si>
    <t>019109</t>
  </si>
  <si>
    <t>TRIGOLO</t>
  </si>
  <si>
    <t>019110</t>
  </si>
  <si>
    <t>26018</t>
  </si>
  <si>
    <t>VAIANO CREMASCO</t>
  </si>
  <si>
    <t>019111</t>
  </si>
  <si>
    <t>VAILATE</t>
  </si>
  <si>
    <t>019112</t>
  </si>
  <si>
    <t>26019</t>
  </si>
  <si>
    <t>VESCOVATO</t>
  </si>
  <si>
    <t>019113</t>
  </si>
  <si>
    <t>26039</t>
  </si>
  <si>
    <t>VOLONGO</t>
  </si>
  <si>
    <t>019114</t>
  </si>
  <si>
    <t>VOLTIDO</t>
  </si>
  <si>
    <t>019115</t>
  </si>
  <si>
    <t>PIADENA DRIZZONA</t>
  </si>
  <si>
    <t>019116</t>
  </si>
  <si>
    <t>ACQUANEGRA SUL CHIESE</t>
  </si>
  <si>
    <t>020001</t>
  </si>
  <si>
    <t>MN</t>
  </si>
  <si>
    <t>46011</t>
  </si>
  <si>
    <t>ASOLA</t>
  </si>
  <si>
    <t>020002</t>
  </si>
  <si>
    <t>46041</t>
  </si>
  <si>
    <t>BAGNOLO SAN VITO</t>
  </si>
  <si>
    <t>020003</t>
  </si>
  <si>
    <t>46031</t>
  </si>
  <si>
    <t>BOZZOLO</t>
  </si>
  <si>
    <t>020007</t>
  </si>
  <si>
    <t>46012</t>
  </si>
  <si>
    <t>CANNETO SULL'OGLIO</t>
  </si>
  <si>
    <t>020008</t>
  </si>
  <si>
    <t>46013</t>
  </si>
  <si>
    <t>CASALMORO</t>
  </si>
  <si>
    <t>020010</t>
  </si>
  <si>
    <t>46040</t>
  </si>
  <si>
    <t>CASALOLDO</t>
  </si>
  <si>
    <t>020011</t>
  </si>
  <si>
    <t>CASALROMANO</t>
  </si>
  <si>
    <t>020012</t>
  </si>
  <si>
    <t>CASTELBELFORTE</t>
  </si>
  <si>
    <t>020013</t>
  </si>
  <si>
    <t>46032</t>
  </si>
  <si>
    <t>CASTEL D'ARIO</t>
  </si>
  <si>
    <t>020014</t>
  </si>
  <si>
    <t>46033</t>
  </si>
  <si>
    <t>CASTEL GOFFREDO</t>
  </si>
  <si>
    <t>020015</t>
  </si>
  <si>
    <t>46042</t>
  </si>
  <si>
    <t>CASTELLUCCHIO</t>
  </si>
  <si>
    <t>020016</t>
  </si>
  <si>
    <t>46014</t>
  </si>
  <si>
    <t>CASTIGLIONE DELLE STIVIERE</t>
  </si>
  <si>
    <t>020017</t>
  </si>
  <si>
    <t>46043</t>
  </si>
  <si>
    <t>CAVRIANA</t>
  </si>
  <si>
    <t>020018</t>
  </si>
  <si>
    <t>CERESARA</t>
  </si>
  <si>
    <t>020019</t>
  </si>
  <si>
    <t>COMMESSAGGIO</t>
  </si>
  <si>
    <t>020020</t>
  </si>
  <si>
    <t>46010</t>
  </si>
  <si>
    <t>CURTATONE</t>
  </si>
  <si>
    <t>020021</t>
  </si>
  <si>
    <t>DOSOLO</t>
  </si>
  <si>
    <t>020022</t>
  </si>
  <si>
    <t>46030</t>
  </si>
  <si>
    <t>GAZOLDO DEGLI IPPOLITI</t>
  </si>
  <si>
    <t>020024</t>
  </si>
  <si>
    <t>GAZZUOLO</t>
  </si>
  <si>
    <t>020025</t>
  </si>
  <si>
    <t>GOITO</t>
  </si>
  <si>
    <t>020026</t>
  </si>
  <si>
    <t>46044</t>
  </si>
  <si>
    <t>GONZAGA</t>
  </si>
  <si>
    <t>020027</t>
  </si>
  <si>
    <t>46023</t>
  </si>
  <si>
    <t>GUIDIZZOLO</t>
  </si>
  <si>
    <t>020028</t>
  </si>
  <si>
    <t>MAGNACAVALLO</t>
  </si>
  <si>
    <t>020029</t>
  </si>
  <si>
    <t>46020</t>
  </si>
  <si>
    <t>MANTOVA</t>
  </si>
  <si>
    <t>020030</t>
  </si>
  <si>
    <t>46100</t>
  </si>
  <si>
    <t>MARCARIA</t>
  </si>
  <si>
    <t>020031</t>
  </si>
  <si>
    <t>MARIANA MANTOVANA</t>
  </si>
  <si>
    <t>020032</t>
  </si>
  <si>
    <t>MARMIROLO</t>
  </si>
  <si>
    <t>020033</t>
  </si>
  <si>
    <t>46045</t>
  </si>
  <si>
    <t>MEDOLE</t>
  </si>
  <si>
    <t>020034</t>
  </si>
  <si>
    <t>46046</t>
  </si>
  <si>
    <t>MOGLIA</t>
  </si>
  <si>
    <t>020035</t>
  </si>
  <si>
    <t>46024</t>
  </si>
  <si>
    <t>MONZAMBANO</t>
  </si>
  <si>
    <t>020036</t>
  </si>
  <si>
    <t>MOTTEGGIANA</t>
  </si>
  <si>
    <t>020037</t>
  </si>
  <si>
    <t>OSTIGLIA</t>
  </si>
  <si>
    <t>020038</t>
  </si>
  <si>
    <t>46035</t>
  </si>
  <si>
    <t>PEGOGNAGA</t>
  </si>
  <si>
    <t>020039</t>
  </si>
  <si>
    <t>PIUBEGA</t>
  </si>
  <si>
    <t>020041</t>
  </si>
  <si>
    <t>POGGIO RUSCO</t>
  </si>
  <si>
    <t>020042</t>
  </si>
  <si>
    <t>46025</t>
  </si>
  <si>
    <t>POMPONESCO</t>
  </si>
  <si>
    <t>020043</t>
  </si>
  <si>
    <t>PONTI SUL MINCIO</t>
  </si>
  <si>
    <t>020044</t>
  </si>
  <si>
    <t>PORTO MANTOVANO</t>
  </si>
  <si>
    <t>020045</t>
  </si>
  <si>
    <t>46047</t>
  </si>
  <si>
    <t>QUINGENTOLE</t>
  </si>
  <si>
    <t>020046</t>
  </si>
  <si>
    <t>QUISTELLO</t>
  </si>
  <si>
    <t>020047</t>
  </si>
  <si>
    <t>46026</t>
  </si>
  <si>
    <t>REDONDESCO</t>
  </si>
  <si>
    <t>020048</t>
  </si>
  <si>
    <t>RIVAROLO MANTOVANO</t>
  </si>
  <si>
    <t>020050</t>
  </si>
  <si>
    <t>46017</t>
  </si>
  <si>
    <t>RODIGO</t>
  </si>
  <si>
    <t>020051</t>
  </si>
  <si>
    <t>RONCOFERRARO</t>
  </si>
  <si>
    <t>020052</t>
  </si>
  <si>
    <t>46037</t>
  </si>
  <si>
    <t>ROVERBELLA</t>
  </si>
  <si>
    <t>020053</t>
  </si>
  <si>
    <t>46048</t>
  </si>
  <si>
    <t>SABBIONETA</t>
  </si>
  <si>
    <t>020054</t>
  </si>
  <si>
    <t>46018</t>
  </si>
  <si>
    <t>SAN BENEDETTO PO</t>
  </si>
  <si>
    <t>020055</t>
  </si>
  <si>
    <t>46027</t>
  </si>
  <si>
    <t>SAN GIACOMO DELLE SEGNATE</t>
  </si>
  <si>
    <t>020056</t>
  </si>
  <si>
    <t>SAN GIORGIO BIGARELLO</t>
  </si>
  <si>
    <t>020057</t>
  </si>
  <si>
    <t>SAN GIOVANNI DEL DOSSO</t>
  </si>
  <si>
    <t>020058</t>
  </si>
  <si>
    <t>SAN MARTINO DALL'ARGINE</t>
  </si>
  <si>
    <t>020059</t>
  </si>
  <si>
    <t>SCHIVENOGLIA</t>
  </si>
  <si>
    <t>020060</t>
  </si>
  <si>
    <t>SERMIDE E FELONICA</t>
  </si>
  <si>
    <t>020061</t>
  </si>
  <si>
    <t>SERRAVALLE A PO</t>
  </si>
  <si>
    <t>020062</t>
  </si>
  <si>
    <t>SOLFERINO</t>
  </si>
  <si>
    <t>020063</t>
  </si>
  <si>
    <t>SUSTINENTE</t>
  </si>
  <si>
    <t>020064</t>
  </si>
  <si>
    <t>SUZZARA</t>
  </si>
  <si>
    <t>020065</t>
  </si>
  <si>
    <t>46029</t>
  </si>
  <si>
    <t>VIADANA</t>
  </si>
  <si>
    <t>020066</t>
  </si>
  <si>
    <t>46019</t>
  </si>
  <si>
    <t>VILLIMPENTA</t>
  </si>
  <si>
    <t>020068</t>
  </si>
  <si>
    <t>46039</t>
  </si>
  <si>
    <t>VOLTA MANTOVANA</t>
  </si>
  <si>
    <t>020070</t>
  </si>
  <si>
    <t>46049</t>
  </si>
  <si>
    <t>BORGO VIRGILIO</t>
  </si>
  <si>
    <t>020071</t>
  </si>
  <si>
    <t>BORGO MANTOVANO</t>
  </si>
  <si>
    <t>020072</t>
  </si>
  <si>
    <t>BORGOCARBONARA</t>
  </si>
  <si>
    <t>020073</t>
  </si>
  <si>
    <t>ALDINO</t>
  </si>
  <si>
    <t>021001</t>
  </si>
  <si>
    <t>BZ</t>
  </si>
  <si>
    <t>39040</t>
  </si>
  <si>
    <t>ANDRIANO</t>
  </si>
  <si>
    <t>021002</t>
  </si>
  <si>
    <t>39010</t>
  </si>
  <si>
    <t>ANTERIVO</t>
  </si>
  <si>
    <t>021003</t>
  </si>
  <si>
    <t>APPIANO SULLA STRADA DEL VINO</t>
  </si>
  <si>
    <t>021004</t>
  </si>
  <si>
    <t>39057</t>
  </si>
  <si>
    <t>AVELENGO</t>
  </si>
  <si>
    <t>021005</t>
  </si>
  <si>
    <t>BADIA</t>
  </si>
  <si>
    <t>021006</t>
  </si>
  <si>
    <t>39036</t>
  </si>
  <si>
    <t>BARBIANO</t>
  </si>
  <si>
    <t>021007</t>
  </si>
  <si>
    <t>BOLZANO</t>
  </si>
  <si>
    <t>021008</t>
  </si>
  <si>
    <t>39100</t>
  </si>
  <si>
    <t>BRAIES</t>
  </si>
  <si>
    <t>021009</t>
  </si>
  <si>
    <t>39030</t>
  </si>
  <si>
    <t>BRENNERO</t>
  </si>
  <si>
    <t>021010</t>
  </si>
  <si>
    <t>39041</t>
  </si>
  <si>
    <t>BRESSANONE</t>
  </si>
  <si>
    <t>021011</t>
  </si>
  <si>
    <t>39042</t>
  </si>
  <si>
    <t>BRONZOLO</t>
  </si>
  <si>
    <t>021012</t>
  </si>
  <si>
    <t>39051</t>
  </si>
  <si>
    <t>BRUNICO</t>
  </si>
  <si>
    <t>021013</t>
  </si>
  <si>
    <t>39031</t>
  </si>
  <si>
    <t>CAINES</t>
  </si>
  <si>
    <t>021014</t>
  </si>
  <si>
    <t>CALDARO SULLA STRADA DEL VINO</t>
  </si>
  <si>
    <t>021015</t>
  </si>
  <si>
    <t>39052</t>
  </si>
  <si>
    <t>CAMPO DI TRENS</t>
  </si>
  <si>
    <t>021016</t>
  </si>
  <si>
    <t>CAMPO TURES</t>
  </si>
  <si>
    <t>021017</t>
  </si>
  <si>
    <t>39032</t>
  </si>
  <si>
    <t>CASTELBELLO-CIARDES</t>
  </si>
  <si>
    <t>021018</t>
  </si>
  <si>
    <t>39020</t>
  </si>
  <si>
    <t>CASTELROTTO</t>
  </si>
  <si>
    <t>021019</t>
  </si>
  <si>
    <t>CERMES</t>
  </si>
  <si>
    <t>021020</t>
  </si>
  <si>
    <t>CHIENES</t>
  </si>
  <si>
    <t>021021</t>
  </si>
  <si>
    <t>CHIUSA</t>
  </si>
  <si>
    <t>021022</t>
  </si>
  <si>
    <t>39043</t>
  </si>
  <si>
    <t>CORNEDO ALL'ISARCO</t>
  </si>
  <si>
    <t>021023</t>
  </si>
  <si>
    <t>39053</t>
  </si>
  <si>
    <t>CORTACCIA SULLA STRADA DEL VINO</t>
  </si>
  <si>
    <t>021024</t>
  </si>
  <si>
    <t>CORTINA SULLA STRADA DEL VINO</t>
  </si>
  <si>
    <t>021025</t>
  </si>
  <si>
    <t>CORVARA IN BADIA</t>
  </si>
  <si>
    <t>021026</t>
  </si>
  <si>
    <t>39033</t>
  </si>
  <si>
    <t>CURON VENOSTA</t>
  </si>
  <si>
    <t>021027</t>
  </si>
  <si>
    <t>39027</t>
  </si>
  <si>
    <t>DOBBIACO</t>
  </si>
  <si>
    <t>021028</t>
  </si>
  <si>
    <t>39034</t>
  </si>
  <si>
    <t>EGNA</t>
  </si>
  <si>
    <t>021029</t>
  </si>
  <si>
    <t>39044</t>
  </si>
  <si>
    <t>FALZES</t>
  </si>
  <si>
    <t>021030</t>
  </si>
  <si>
    <t>FIÈ ALLO SCILIAR</t>
  </si>
  <si>
    <t>021031</t>
  </si>
  <si>
    <t>39050</t>
  </si>
  <si>
    <t>FORTEZZA</t>
  </si>
  <si>
    <t>021032</t>
  </si>
  <si>
    <t>39045</t>
  </si>
  <si>
    <t>FUNES</t>
  </si>
  <si>
    <t>021033</t>
  </si>
  <si>
    <t>GAIS</t>
  </si>
  <si>
    <t>021034</t>
  </si>
  <si>
    <t>GARGAZZONE</t>
  </si>
  <si>
    <t>021035</t>
  </si>
  <si>
    <t>GLORENZA</t>
  </si>
  <si>
    <t>021036</t>
  </si>
  <si>
    <t>LACES</t>
  </si>
  <si>
    <t>021037</t>
  </si>
  <si>
    <t>39021</t>
  </si>
  <si>
    <t>LAGUNDO</t>
  </si>
  <si>
    <t>021038</t>
  </si>
  <si>
    <t>39022</t>
  </si>
  <si>
    <t>LAION</t>
  </si>
  <si>
    <t>021039</t>
  </si>
  <si>
    <t>LAIVES</t>
  </si>
  <si>
    <t>021040</t>
  </si>
  <si>
    <t>39055</t>
  </si>
  <si>
    <t>LANA</t>
  </si>
  <si>
    <t>021041</t>
  </si>
  <si>
    <t>39011</t>
  </si>
  <si>
    <t>LASA</t>
  </si>
  <si>
    <t>021042</t>
  </si>
  <si>
    <t>39023</t>
  </si>
  <si>
    <t>LAUREGNO</t>
  </si>
  <si>
    <t>021043</t>
  </si>
  <si>
    <t>LUSON</t>
  </si>
  <si>
    <t>021044</t>
  </si>
  <si>
    <t>MAGRÈ SULLA STRADA DEL VINO</t>
  </si>
  <si>
    <t>021045</t>
  </si>
  <si>
    <t>MALLES VENOSTA</t>
  </si>
  <si>
    <t>021046</t>
  </si>
  <si>
    <t>39024</t>
  </si>
  <si>
    <t>MAREBBE</t>
  </si>
  <si>
    <t>021047</t>
  </si>
  <si>
    <t>MARLENGO</t>
  </si>
  <si>
    <t>021048</t>
  </si>
  <si>
    <t>MARTELLO</t>
  </si>
  <si>
    <t>021049</t>
  </si>
  <si>
    <t>MELTINA</t>
  </si>
  <si>
    <t>021050</t>
  </si>
  <si>
    <t>MERANO</t>
  </si>
  <si>
    <t>021051</t>
  </si>
  <si>
    <t>39012</t>
  </si>
  <si>
    <t>MONGUELFO-TESIDO</t>
  </si>
  <si>
    <t>021052</t>
  </si>
  <si>
    <t>39035</t>
  </si>
  <si>
    <t>MONTAGNA</t>
  </si>
  <si>
    <t>021053</t>
  </si>
  <si>
    <t>MOSO IN PASSIRIA</t>
  </si>
  <si>
    <t>021054</t>
  </si>
  <si>
    <t>39013</t>
  </si>
  <si>
    <t>NALLES</t>
  </si>
  <si>
    <t>021055</t>
  </si>
  <si>
    <t>NATURNO</t>
  </si>
  <si>
    <t>021056</t>
  </si>
  <si>
    <t>39025</t>
  </si>
  <si>
    <t>NAZ-SCIAVES</t>
  </si>
  <si>
    <t>021057</t>
  </si>
  <si>
    <t>NOVA LEVANTE</t>
  </si>
  <si>
    <t>021058</t>
  </si>
  <si>
    <t>39056</t>
  </si>
  <si>
    <t>NOVA PONENTE</t>
  </si>
  <si>
    <t>021059</t>
  </si>
  <si>
    <t>ORA</t>
  </si>
  <si>
    <t>021060</t>
  </si>
  <si>
    <t>ORTISEI</t>
  </si>
  <si>
    <t>021061</t>
  </si>
  <si>
    <t>39046</t>
  </si>
  <si>
    <t>PARCINES</t>
  </si>
  <si>
    <t>021062</t>
  </si>
  <si>
    <t>PERCA</t>
  </si>
  <si>
    <t>021063</t>
  </si>
  <si>
    <t>PLAUS</t>
  </si>
  <si>
    <t>021064</t>
  </si>
  <si>
    <t>PONTE GARDENA</t>
  </si>
  <si>
    <t>021065</t>
  </si>
  <si>
    <t>POSTAL</t>
  </si>
  <si>
    <t>021066</t>
  </si>
  <si>
    <t>39014</t>
  </si>
  <si>
    <t>PRATO ALLO STELVIO</t>
  </si>
  <si>
    <t>021067</t>
  </si>
  <si>
    <t>39026</t>
  </si>
  <si>
    <t>PREDOI</t>
  </si>
  <si>
    <t>021068</t>
  </si>
  <si>
    <t>PROVES</t>
  </si>
  <si>
    <t>021069</t>
  </si>
  <si>
    <t>RACINES</t>
  </si>
  <si>
    <t>021070</t>
  </si>
  <si>
    <t>RASUN-ANTERSELVA</t>
  </si>
  <si>
    <t>021071</t>
  </si>
  <si>
    <t>RENON</t>
  </si>
  <si>
    <t>021072</t>
  </si>
  <si>
    <t>39054</t>
  </si>
  <si>
    <t>RIFIANO</t>
  </si>
  <si>
    <t>021073</t>
  </si>
  <si>
    <t>RIO DI PUSTERIA</t>
  </si>
  <si>
    <t>021074</t>
  </si>
  <si>
    <t>39037</t>
  </si>
  <si>
    <t>RODENGO</t>
  </si>
  <si>
    <t>021075</t>
  </si>
  <si>
    <t>SALORNO SULLA STRADA DEL VINO</t>
  </si>
  <si>
    <t>021076</t>
  </si>
  <si>
    <t>SAN CANDIDO</t>
  </si>
  <si>
    <t>021077</t>
  </si>
  <si>
    <t>39038</t>
  </si>
  <si>
    <t>SAN GENESIO ATESINO</t>
  </si>
  <si>
    <t>021079</t>
  </si>
  <si>
    <t>SAN LEONARDO IN PASSIRIA</t>
  </si>
  <si>
    <t>021080</t>
  </si>
  <si>
    <t>39015</t>
  </si>
  <si>
    <t>SAN LORENZO DI SEBATO</t>
  </si>
  <si>
    <t>021081</t>
  </si>
  <si>
    <t>SAN MARTINO IN BADIA</t>
  </si>
  <si>
    <t>021082</t>
  </si>
  <si>
    <t>SAN MARTINO IN PASSIRIA</t>
  </si>
  <si>
    <t>021083</t>
  </si>
  <si>
    <t>SAN PANCRAZIO</t>
  </si>
  <si>
    <t>021084</t>
  </si>
  <si>
    <t>SANTA CRISTINA VALGARDENA</t>
  </si>
  <si>
    <t>021085</t>
  </si>
  <si>
    <t>39047</t>
  </si>
  <si>
    <t>SARENTINO</t>
  </si>
  <si>
    <t>021086</t>
  </si>
  <si>
    <t>39058</t>
  </si>
  <si>
    <t>SCENA</t>
  </si>
  <si>
    <t>021087</t>
  </si>
  <si>
    <t>39017</t>
  </si>
  <si>
    <t>SELVA DEI MOLINI</t>
  </si>
  <si>
    <t>021088</t>
  </si>
  <si>
    <t>SELVA DI VAL GARDENA</t>
  </si>
  <si>
    <t>021089</t>
  </si>
  <si>
    <t>39048</t>
  </si>
  <si>
    <t>SENALES</t>
  </si>
  <si>
    <t>021091</t>
  </si>
  <si>
    <t>SESTO</t>
  </si>
  <si>
    <t>021092</t>
  </si>
  <si>
    <t>SILANDRO</t>
  </si>
  <si>
    <t>021093</t>
  </si>
  <si>
    <t>39028</t>
  </si>
  <si>
    <t>SLUDERNO</t>
  </si>
  <si>
    <t>021094</t>
  </si>
  <si>
    <t>STELVIO</t>
  </si>
  <si>
    <t>021095</t>
  </si>
  <si>
    <t>39029</t>
  </si>
  <si>
    <t>TERENTO</t>
  </si>
  <si>
    <t>021096</t>
  </si>
  <si>
    <t>TERLANO</t>
  </si>
  <si>
    <t>021097</t>
  </si>
  <si>
    <t>39018</t>
  </si>
  <si>
    <t>TERMENO SULLA STRADA DEL VINO</t>
  </si>
  <si>
    <t>021098</t>
  </si>
  <si>
    <t>TESIMO</t>
  </si>
  <si>
    <t>021099</t>
  </si>
  <si>
    <t>TIRES</t>
  </si>
  <si>
    <t>021100</t>
  </si>
  <si>
    <t>TIROLO</t>
  </si>
  <si>
    <t>021101</t>
  </si>
  <si>
    <t>39019</t>
  </si>
  <si>
    <t>TRODENA NEL PARCO NATURALE</t>
  </si>
  <si>
    <t>021102</t>
  </si>
  <si>
    <t>TUBRE</t>
  </si>
  <si>
    <t>021103</t>
  </si>
  <si>
    <t>ULTIMO</t>
  </si>
  <si>
    <t>021104</t>
  </si>
  <si>
    <t>39016</t>
  </si>
  <si>
    <t>VADENA</t>
  </si>
  <si>
    <t>021105</t>
  </si>
  <si>
    <t>VALDAORA</t>
  </si>
  <si>
    <t>021106</t>
  </si>
  <si>
    <t>VAL DI VIZZE</t>
  </si>
  <si>
    <t>021107</t>
  </si>
  <si>
    <t>39049</t>
  </si>
  <si>
    <t>VALLE AURINA</t>
  </si>
  <si>
    <t>021108</t>
  </si>
  <si>
    <t>VALLE DI CASIES</t>
  </si>
  <si>
    <t>021109</t>
  </si>
  <si>
    <t>VANDOIES</t>
  </si>
  <si>
    <t>021110</t>
  </si>
  <si>
    <t>VARNA</t>
  </si>
  <si>
    <t>021111</t>
  </si>
  <si>
    <t>VERANO</t>
  </si>
  <si>
    <t>021112</t>
  </si>
  <si>
    <t>VILLABASSA</t>
  </si>
  <si>
    <t>021113</t>
  </si>
  <si>
    <t>39039</t>
  </si>
  <si>
    <t>VILLANDRO</t>
  </si>
  <si>
    <t>021114</t>
  </si>
  <si>
    <t>VIPITENO</t>
  </si>
  <si>
    <t>021115</t>
  </si>
  <si>
    <t>VELTURNO</t>
  </si>
  <si>
    <t>021116</t>
  </si>
  <si>
    <t>LA VALLE</t>
  </si>
  <si>
    <t>021117</t>
  </si>
  <si>
    <t>SENALE-SAN FELICE</t>
  </si>
  <si>
    <t>021118</t>
  </si>
  <si>
    <t>ALA</t>
  </si>
  <si>
    <t>022001</t>
  </si>
  <si>
    <t>38061</t>
  </si>
  <si>
    <t>ALBIANO</t>
  </si>
  <si>
    <t>022002</t>
  </si>
  <si>
    <t>38041</t>
  </si>
  <si>
    <t>ALDENO</t>
  </si>
  <si>
    <t>022003</t>
  </si>
  <si>
    <t>38060</t>
  </si>
  <si>
    <t>ANDALO</t>
  </si>
  <si>
    <t>022005</t>
  </si>
  <si>
    <t>38010</t>
  </si>
  <si>
    <t>ARCO</t>
  </si>
  <si>
    <t>022006</t>
  </si>
  <si>
    <t>38062</t>
  </si>
  <si>
    <t>AVIO</t>
  </si>
  <si>
    <t>022007</t>
  </si>
  <si>
    <t>38063</t>
  </si>
  <si>
    <t>BASELGA DI PINÈ</t>
  </si>
  <si>
    <t>022009</t>
  </si>
  <si>
    <t>38042</t>
  </si>
  <si>
    <t>BEDOLLO</t>
  </si>
  <si>
    <t>022011</t>
  </si>
  <si>
    <t>38043</t>
  </si>
  <si>
    <t>BESENELLO</t>
  </si>
  <si>
    <t>022013</t>
  </si>
  <si>
    <t>BIENO</t>
  </si>
  <si>
    <t>022015</t>
  </si>
  <si>
    <t>38050</t>
  </si>
  <si>
    <t>BLEGGIO SUPERIORE</t>
  </si>
  <si>
    <t>022017</t>
  </si>
  <si>
    <t>38071</t>
  </si>
  <si>
    <t>BOCENAGO</t>
  </si>
  <si>
    <t>022018</t>
  </si>
  <si>
    <t>38080</t>
  </si>
  <si>
    <t>BONDONE</t>
  </si>
  <si>
    <t>022021</t>
  </si>
  <si>
    <t>BORGO VALSUGANA</t>
  </si>
  <si>
    <t>022022</t>
  </si>
  <si>
    <t>38051</t>
  </si>
  <si>
    <t>BRENTONICO</t>
  </si>
  <si>
    <t>022025</t>
  </si>
  <si>
    <t>BRESIMO</t>
  </si>
  <si>
    <t>022026</t>
  </si>
  <si>
    <t>CADERZONE TERME</t>
  </si>
  <si>
    <t>022029</t>
  </si>
  <si>
    <t>CALCERANICA AL LAGO</t>
  </si>
  <si>
    <t>022032</t>
  </si>
  <si>
    <t>CALDES</t>
  </si>
  <si>
    <t>022033</t>
  </si>
  <si>
    <t>38022</t>
  </si>
  <si>
    <t>CALDONAZZO</t>
  </si>
  <si>
    <t>022034</t>
  </si>
  <si>
    <t>38052</t>
  </si>
  <si>
    <t>022035</t>
  </si>
  <si>
    <t>CAMPITELLO DI FASSA</t>
  </si>
  <si>
    <t>022036</t>
  </si>
  <si>
    <t>38031</t>
  </si>
  <si>
    <t>CAMPODENNO</t>
  </si>
  <si>
    <t>022037</t>
  </si>
  <si>
    <t>CANAL SAN BOVO</t>
  </si>
  <si>
    <t>022038</t>
  </si>
  <si>
    <t>CANAZEI</t>
  </si>
  <si>
    <t>022039</t>
  </si>
  <si>
    <t>38032</t>
  </si>
  <si>
    <t>CAPRIANA</t>
  </si>
  <si>
    <t>022040</t>
  </si>
  <si>
    <t>38030</t>
  </si>
  <si>
    <t>CARISOLO</t>
  </si>
  <si>
    <t>022042</t>
  </si>
  <si>
    <t>CARZANO</t>
  </si>
  <si>
    <t>022043</t>
  </si>
  <si>
    <t>CASTEL CONDINO</t>
  </si>
  <si>
    <t>022045</t>
  </si>
  <si>
    <t>38082</t>
  </si>
  <si>
    <t>CASTELLO-MOLINA DI FIEMME</t>
  </si>
  <si>
    <t>022047</t>
  </si>
  <si>
    <t>CASTELLO TESINO</t>
  </si>
  <si>
    <t>022048</t>
  </si>
  <si>
    <t>38053</t>
  </si>
  <si>
    <t>CASTELNUOVO</t>
  </si>
  <si>
    <t>022049</t>
  </si>
  <si>
    <t>CAVALESE</t>
  </si>
  <si>
    <t>022050</t>
  </si>
  <si>
    <t>38033</t>
  </si>
  <si>
    <t>CAVARENO</t>
  </si>
  <si>
    <t>022051</t>
  </si>
  <si>
    <t>38011</t>
  </si>
  <si>
    <t>CAVEDAGO</t>
  </si>
  <si>
    <t>022052</t>
  </si>
  <si>
    <t>CAVEDINE</t>
  </si>
  <si>
    <t>022053</t>
  </si>
  <si>
    <t>38073</t>
  </si>
  <si>
    <t>CAVIZZANA</t>
  </si>
  <si>
    <t>022054</t>
  </si>
  <si>
    <t>CIMONE</t>
  </si>
  <si>
    <t>022058</t>
  </si>
  <si>
    <t>CINTE TESINO</t>
  </si>
  <si>
    <t>022059</t>
  </si>
  <si>
    <t>CIS</t>
  </si>
  <si>
    <t>022060</t>
  </si>
  <si>
    <t>CIVEZZANO</t>
  </si>
  <si>
    <t>022061</t>
  </si>
  <si>
    <t>38045</t>
  </si>
  <si>
    <t>CLES</t>
  </si>
  <si>
    <t>022062</t>
  </si>
  <si>
    <t>38023</t>
  </si>
  <si>
    <t>COMMEZZADURA</t>
  </si>
  <si>
    <t>022064</t>
  </si>
  <si>
    <t>CROVIANA</t>
  </si>
  <si>
    <t>022068</t>
  </si>
  <si>
    <t>38027</t>
  </si>
  <si>
    <t>DAMBEL</t>
  </si>
  <si>
    <t>022071</t>
  </si>
  <si>
    <t>DENNO</t>
  </si>
  <si>
    <t>022074</t>
  </si>
  <si>
    <t>DRENA</t>
  </si>
  <si>
    <t>022078</t>
  </si>
  <si>
    <t>38074</t>
  </si>
  <si>
    <t>DRO</t>
  </si>
  <si>
    <t>022079</t>
  </si>
  <si>
    <t>FAI DELLA PAGANELLA</t>
  </si>
  <si>
    <t>022081</t>
  </si>
  <si>
    <t>FIAVÈ</t>
  </si>
  <si>
    <t>022083</t>
  </si>
  <si>
    <t>38075</t>
  </si>
  <si>
    <t>FIEROZZO</t>
  </si>
  <si>
    <t>022085</t>
  </si>
  <si>
    <t>FOLGARIA</t>
  </si>
  <si>
    <t>022087</t>
  </si>
  <si>
    <t>38064</t>
  </si>
  <si>
    <t>FORNACE</t>
  </si>
  <si>
    <t>022089</t>
  </si>
  <si>
    <t>38040</t>
  </si>
  <si>
    <t>FRASSILONGO</t>
  </si>
  <si>
    <t>022090</t>
  </si>
  <si>
    <t>GARNIGA TERME</t>
  </si>
  <si>
    <t>022091</t>
  </si>
  <si>
    <t>GIOVO</t>
  </si>
  <si>
    <t>022092</t>
  </si>
  <si>
    <t>GIUSTINO</t>
  </si>
  <si>
    <t>022093</t>
  </si>
  <si>
    <t>38086</t>
  </si>
  <si>
    <t>GRIGNO</t>
  </si>
  <si>
    <t>022095</t>
  </si>
  <si>
    <t>38055</t>
  </si>
  <si>
    <t>IMER</t>
  </si>
  <si>
    <t>022097</t>
  </si>
  <si>
    <t>ISERA</t>
  </si>
  <si>
    <t>022098</t>
  </si>
  <si>
    <t>LAVARONE</t>
  </si>
  <si>
    <t>022102</t>
  </si>
  <si>
    <t>38046</t>
  </si>
  <si>
    <t>LAVIS</t>
  </si>
  <si>
    <t>022103</t>
  </si>
  <si>
    <t>38015</t>
  </si>
  <si>
    <t>LEVICO TERME</t>
  </si>
  <si>
    <t>022104</t>
  </si>
  <si>
    <t>38056</t>
  </si>
  <si>
    <t>022106</t>
  </si>
  <si>
    <t>LONA-LASES</t>
  </si>
  <si>
    <t>022108</t>
  </si>
  <si>
    <t>LUSERNA</t>
  </si>
  <si>
    <t>022109</t>
  </si>
  <si>
    <t>MALÈ</t>
  </si>
  <si>
    <t>022110</t>
  </si>
  <si>
    <t>MASSIMENO</t>
  </si>
  <si>
    <t>022112</t>
  </si>
  <si>
    <t>MAZZIN</t>
  </si>
  <si>
    <t>022113</t>
  </si>
  <si>
    <t>MEZZANA</t>
  </si>
  <si>
    <t>022114</t>
  </si>
  <si>
    <t>MEZZANO</t>
  </si>
  <si>
    <t>022115</t>
  </si>
  <si>
    <t>MEZZOCORONA</t>
  </si>
  <si>
    <t>022116</t>
  </si>
  <si>
    <t>38016</t>
  </si>
  <si>
    <t>MEZZOLOMBARDO</t>
  </si>
  <si>
    <t>022117</t>
  </si>
  <si>
    <t>38017</t>
  </si>
  <si>
    <t>MOENA</t>
  </si>
  <si>
    <t>022118</t>
  </si>
  <si>
    <t>38035</t>
  </si>
  <si>
    <t>MOLVENO</t>
  </si>
  <si>
    <t>022120</t>
  </si>
  <si>
    <t>38018</t>
  </si>
  <si>
    <t>MORI</t>
  </si>
  <si>
    <t>022123</t>
  </si>
  <si>
    <t>38065</t>
  </si>
  <si>
    <t>NAGO-TORBOLE</t>
  </si>
  <si>
    <t>022124</t>
  </si>
  <si>
    <t>38069</t>
  </si>
  <si>
    <t>NOGAREDO</t>
  </si>
  <si>
    <t>022127</t>
  </si>
  <si>
    <t>NOMI</t>
  </si>
  <si>
    <t>022128</t>
  </si>
  <si>
    <t>NOVALEDO</t>
  </si>
  <si>
    <t>022129</t>
  </si>
  <si>
    <t>OSPEDALETTO</t>
  </si>
  <si>
    <t>022130</t>
  </si>
  <si>
    <t>OSSANA</t>
  </si>
  <si>
    <t>022131</t>
  </si>
  <si>
    <t>38026</t>
  </si>
  <si>
    <t>PALÙ DEL FERSINA</t>
  </si>
  <si>
    <t>022133</t>
  </si>
  <si>
    <t>PANCHIÀ</t>
  </si>
  <si>
    <t>022134</t>
  </si>
  <si>
    <t>RONZO-CHIENIS</t>
  </si>
  <si>
    <t>022135</t>
  </si>
  <si>
    <t>PEIO</t>
  </si>
  <si>
    <t>022136</t>
  </si>
  <si>
    <t>38024</t>
  </si>
  <si>
    <t>PELLIZZANO</t>
  </si>
  <si>
    <t>022137</t>
  </si>
  <si>
    <t>PELUGO</t>
  </si>
  <si>
    <t>022138</t>
  </si>
  <si>
    <t>38079</t>
  </si>
  <si>
    <t>PERGINE VALSUGANA</t>
  </si>
  <si>
    <t>022139</t>
  </si>
  <si>
    <t>38057</t>
  </si>
  <si>
    <t>PIEVE TESINO</t>
  </si>
  <si>
    <t>022142</t>
  </si>
  <si>
    <t>PINZOLO</t>
  </si>
  <si>
    <t>022143</t>
  </si>
  <si>
    <t>POMAROLO</t>
  </si>
  <si>
    <t>022144</t>
  </si>
  <si>
    <t>PREDAZZO</t>
  </si>
  <si>
    <t>022147</t>
  </si>
  <si>
    <t>38037</t>
  </si>
  <si>
    <t>RABBI</t>
  </si>
  <si>
    <t>022150</t>
  </si>
  <si>
    <t>RIVA DEL GARDA</t>
  </si>
  <si>
    <t>022153</t>
  </si>
  <si>
    <t>38066</t>
  </si>
  <si>
    <t>ROMENO</t>
  </si>
  <si>
    <t>022155</t>
  </si>
  <si>
    <t>RONCEGNO TERME</t>
  </si>
  <si>
    <t>022156</t>
  </si>
  <si>
    <t>RONCHI VALSUGANA</t>
  </si>
  <si>
    <t>022157</t>
  </si>
  <si>
    <t>RONZONE</t>
  </si>
  <si>
    <t>022159</t>
  </si>
  <si>
    <t>ROVERÈ DELLA LUNA</t>
  </si>
  <si>
    <t>022160</t>
  </si>
  <si>
    <t>ROVERETO</t>
  </si>
  <si>
    <t>022161</t>
  </si>
  <si>
    <t>38068</t>
  </si>
  <si>
    <t>RUFFRÈ-MENDOLA</t>
  </si>
  <si>
    <t>022162</t>
  </si>
  <si>
    <t>RUMO</t>
  </si>
  <si>
    <t>022163</t>
  </si>
  <si>
    <t>SAGRON MIS</t>
  </si>
  <si>
    <t>022164</t>
  </si>
  <si>
    <t>022165</t>
  </si>
  <si>
    <t>SAN MICHELE ALL'ADIGE</t>
  </si>
  <si>
    <t>022167</t>
  </si>
  <si>
    <t>SANT'ORSOLA TERME</t>
  </si>
  <si>
    <t>022168</t>
  </si>
  <si>
    <t>SANZENO</t>
  </si>
  <si>
    <t>022169</t>
  </si>
  <si>
    <t>SARNONICO</t>
  </si>
  <si>
    <t>022170</t>
  </si>
  <si>
    <t>SCURELLE</t>
  </si>
  <si>
    <t>022171</t>
  </si>
  <si>
    <t>SEGONZANO</t>
  </si>
  <si>
    <t>022172</t>
  </si>
  <si>
    <t>38047</t>
  </si>
  <si>
    <t>SFRUZ</t>
  </si>
  <si>
    <t>022173</t>
  </si>
  <si>
    <t>SORAGA DI FASSA</t>
  </si>
  <si>
    <t>022176</t>
  </si>
  <si>
    <t>SOVER</t>
  </si>
  <si>
    <t>022177</t>
  </si>
  <si>
    <t>38048</t>
  </si>
  <si>
    <t>SPIAZZO</t>
  </si>
  <si>
    <t>022179</t>
  </si>
  <si>
    <t>38088</t>
  </si>
  <si>
    <t>SPORMAGGIORE</t>
  </si>
  <si>
    <t>022180</t>
  </si>
  <si>
    <t>SPORMINORE</t>
  </si>
  <si>
    <t>022181</t>
  </si>
  <si>
    <t>STENICO</t>
  </si>
  <si>
    <t>022182</t>
  </si>
  <si>
    <t>38070</t>
  </si>
  <si>
    <t>STORO</t>
  </si>
  <si>
    <t>022183</t>
  </si>
  <si>
    <t>38089</t>
  </si>
  <si>
    <t>STREMBO</t>
  </si>
  <si>
    <t>022184</t>
  </si>
  <si>
    <t>TELVE</t>
  </si>
  <si>
    <t>022188</t>
  </si>
  <si>
    <t>TELVE DI SOPRA</t>
  </si>
  <si>
    <t>022189</t>
  </si>
  <si>
    <t>TENNA</t>
  </si>
  <si>
    <t>022190</t>
  </si>
  <si>
    <t>TENNO</t>
  </si>
  <si>
    <t>022191</t>
  </si>
  <si>
    <t>TERRAGNOLO</t>
  </si>
  <si>
    <t>022193</t>
  </si>
  <si>
    <t>TERZOLAS</t>
  </si>
  <si>
    <t>022195</t>
  </si>
  <si>
    <t>TESERO</t>
  </si>
  <si>
    <t>022196</t>
  </si>
  <si>
    <t>38038</t>
  </si>
  <si>
    <t>TIONE DI TRENTO</t>
  </si>
  <si>
    <t>022199</t>
  </si>
  <si>
    <t>TON</t>
  </si>
  <si>
    <t>022200</t>
  </si>
  <si>
    <t>TORCEGNO</t>
  </si>
  <si>
    <t>022202</t>
  </si>
  <si>
    <t>TRAMBILENO</t>
  </si>
  <si>
    <t>022203</t>
  </si>
  <si>
    <t>TRENTO</t>
  </si>
  <si>
    <t>022205</t>
  </si>
  <si>
    <t>3812x</t>
  </si>
  <si>
    <t>VALFLORIANA</t>
  </si>
  <si>
    <t>022209</t>
  </si>
  <si>
    <t>VALLARSA</t>
  </si>
  <si>
    <t>022210</t>
  </si>
  <si>
    <t>VERMIGLIO</t>
  </si>
  <si>
    <t>022213</t>
  </si>
  <si>
    <t>38029</t>
  </si>
  <si>
    <t>VIGNOLA-FALESINA</t>
  </si>
  <si>
    <t>022216</t>
  </si>
  <si>
    <t>VILLA LAGARINA</t>
  </si>
  <si>
    <t>022222</t>
  </si>
  <si>
    <t>VOLANO</t>
  </si>
  <si>
    <t>022224</t>
  </si>
  <si>
    <t>ZIANO DI FIEMME</t>
  </si>
  <si>
    <t>022226</t>
  </si>
  <si>
    <t>COMANO TERME</t>
  </si>
  <si>
    <t>022228</t>
  </si>
  <si>
    <t>38077</t>
  </si>
  <si>
    <t>LEDRO</t>
  </si>
  <si>
    <t>022229</t>
  </si>
  <si>
    <t>38067</t>
  </si>
  <si>
    <t>PREDAIA</t>
  </si>
  <si>
    <t>022230</t>
  </si>
  <si>
    <t>SAN LORENZO DORSINO</t>
  </si>
  <si>
    <t>022231</t>
  </si>
  <si>
    <t>VALDAONE</t>
  </si>
  <si>
    <t>022232</t>
  </si>
  <si>
    <t>DIMARO FOLGARIDA</t>
  </si>
  <si>
    <t>022233</t>
  </si>
  <si>
    <t>PIEVE DI BONO-PREZZO</t>
  </si>
  <si>
    <t>022234</t>
  </si>
  <si>
    <t>ALTAVALLE</t>
  </si>
  <si>
    <t>022235</t>
  </si>
  <si>
    <t>ALTOPIANO DELLA VIGOLANA</t>
  </si>
  <si>
    <t>022236</t>
  </si>
  <si>
    <t>AMBLAR-DON</t>
  </si>
  <si>
    <t>022237</t>
  </si>
  <si>
    <t>BORGO CHIESE</t>
  </si>
  <si>
    <t>022238</t>
  </si>
  <si>
    <t>BORGO LARES</t>
  </si>
  <si>
    <t>022239</t>
  </si>
  <si>
    <t>CASTEL IVANO</t>
  </si>
  <si>
    <t>022240</t>
  </si>
  <si>
    <t>CEMBRA LISIGNAGO</t>
  </si>
  <si>
    <t>022241</t>
  </si>
  <si>
    <t>CONTÀ</t>
  </si>
  <si>
    <t>022242</t>
  </si>
  <si>
    <t>MADRUZZO</t>
  </si>
  <si>
    <t>022243</t>
  </si>
  <si>
    <t>PORTE DI RENDENA</t>
  </si>
  <si>
    <t>022244</t>
  </si>
  <si>
    <t>PRIMIERO SAN MARTINO DI CASTROZZA</t>
  </si>
  <si>
    <t>022245</t>
  </si>
  <si>
    <t>SELLA GIUDICARIE</t>
  </si>
  <si>
    <t>022246</t>
  </si>
  <si>
    <t>TRE VILLE</t>
  </si>
  <si>
    <t>022247</t>
  </si>
  <si>
    <t>VALLELAGHI</t>
  </si>
  <si>
    <t>022248</t>
  </si>
  <si>
    <t>VILLE D'ANAUNIA</t>
  </si>
  <si>
    <t>022249</t>
  </si>
  <si>
    <t>SÈN JAN DI FASSA</t>
  </si>
  <si>
    <t>022250</t>
  </si>
  <si>
    <t>TERRE D'ADIGE</t>
  </si>
  <si>
    <t>022251</t>
  </si>
  <si>
    <t>BORGO D'ANAUNIA</t>
  </si>
  <si>
    <t>022252</t>
  </si>
  <si>
    <t>NOVELLA</t>
  </si>
  <si>
    <t>022253</t>
  </si>
  <si>
    <t>VILLE DI FIEMME</t>
  </si>
  <si>
    <t>022254</t>
  </si>
  <si>
    <t>AFFI</t>
  </si>
  <si>
    <t>023001</t>
  </si>
  <si>
    <t>VR</t>
  </si>
  <si>
    <t>37010</t>
  </si>
  <si>
    <t>ALBAREDO D'ADIGE</t>
  </si>
  <si>
    <t>023002</t>
  </si>
  <si>
    <t>37041</t>
  </si>
  <si>
    <t>ANGIARI</t>
  </si>
  <si>
    <t>023003</t>
  </si>
  <si>
    <t>37050</t>
  </si>
  <si>
    <t>ARCOLE</t>
  </si>
  <si>
    <t>023004</t>
  </si>
  <si>
    <t>37040</t>
  </si>
  <si>
    <t>BADIA CALAVENA</t>
  </si>
  <si>
    <t>023005</t>
  </si>
  <si>
    <t>37030</t>
  </si>
  <si>
    <t>BARDOLINO</t>
  </si>
  <si>
    <t>023006</t>
  </si>
  <si>
    <t>37011</t>
  </si>
  <si>
    <t>BELFIORE</t>
  </si>
  <si>
    <t>023007</t>
  </si>
  <si>
    <t>BEVILACQUA</t>
  </si>
  <si>
    <t>023008</t>
  </si>
  <si>
    <t>BONAVIGO</t>
  </si>
  <si>
    <t>023009</t>
  </si>
  <si>
    <t>BOSCHI SANT'ANNA</t>
  </si>
  <si>
    <t>023010</t>
  </si>
  <si>
    <t>BOSCO CHIESANUOVA</t>
  </si>
  <si>
    <t>023011</t>
  </si>
  <si>
    <t>37021</t>
  </si>
  <si>
    <t>BOVOLONE</t>
  </si>
  <si>
    <t>023012</t>
  </si>
  <si>
    <t>37051</t>
  </si>
  <si>
    <t>BRENTINO BELLUNO</t>
  </si>
  <si>
    <t>023013</t>
  </si>
  <si>
    <t>37020</t>
  </si>
  <si>
    <t>BRENZONE SUL GARDA</t>
  </si>
  <si>
    <t>023014</t>
  </si>
  <si>
    <t>BUSSOLENGO</t>
  </si>
  <si>
    <t>023015</t>
  </si>
  <si>
    <t>37012</t>
  </si>
  <si>
    <t>BUTTAPIETRA</t>
  </si>
  <si>
    <t>023016</t>
  </si>
  <si>
    <t>37060</t>
  </si>
  <si>
    <t>CALDIERO</t>
  </si>
  <si>
    <t>023017</t>
  </si>
  <si>
    <t>37042</t>
  </si>
  <si>
    <t>CAPRINO VERONESE</t>
  </si>
  <si>
    <t>023018</t>
  </si>
  <si>
    <t>37013</t>
  </si>
  <si>
    <t>CASALEONE</t>
  </si>
  <si>
    <t>023019</t>
  </si>
  <si>
    <t>37052</t>
  </si>
  <si>
    <t>CASTAGNARO</t>
  </si>
  <si>
    <t>023020</t>
  </si>
  <si>
    <t>37043</t>
  </si>
  <si>
    <t>CASTEL D'AZZANO</t>
  </si>
  <si>
    <t>023021</t>
  </si>
  <si>
    <t>CASTELNUOVO DEL GARDA</t>
  </si>
  <si>
    <t>023022</t>
  </si>
  <si>
    <t>37014</t>
  </si>
  <si>
    <t>CAVAION VERONESE</t>
  </si>
  <si>
    <t>023023</t>
  </si>
  <si>
    <t>CAZZANO DI TRAMIGNA</t>
  </si>
  <si>
    <t>023024</t>
  </si>
  <si>
    <t>CEREA</t>
  </si>
  <si>
    <t>023025</t>
  </si>
  <si>
    <t>37053</t>
  </si>
  <si>
    <t>CERRO VERONESE</t>
  </si>
  <si>
    <t>023026</t>
  </si>
  <si>
    <t>COLOGNA VENETA</t>
  </si>
  <si>
    <t>023027</t>
  </si>
  <si>
    <t>37044</t>
  </si>
  <si>
    <t>COLOGNOLA AI COLLI</t>
  </si>
  <si>
    <t>023028</t>
  </si>
  <si>
    <t>CONCAMARISE</t>
  </si>
  <si>
    <t>023029</t>
  </si>
  <si>
    <t>COSTERMANO SUL GARDA</t>
  </si>
  <si>
    <t>023030</t>
  </si>
  <si>
    <t>DOLCÈ</t>
  </si>
  <si>
    <t>023031</t>
  </si>
  <si>
    <t>ERBÈ</t>
  </si>
  <si>
    <t>023032</t>
  </si>
  <si>
    <t>ERBEZZO</t>
  </si>
  <si>
    <t>023033</t>
  </si>
  <si>
    <t>FERRARA DI MONTE BALDO</t>
  </si>
  <si>
    <t>023034</t>
  </si>
  <si>
    <t>FUMANE</t>
  </si>
  <si>
    <t>023035</t>
  </si>
  <si>
    <t>37022</t>
  </si>
  <si>
    <t>GARDA</t>
  </si>
  <si>
    <t>023036</t>
  </si>
  <si>
    <t>37016</t>
  </si>
  <si>
    <t>GAZZO VERONESE</t>
  </si>
  <si>
    <t>023037</t>
  </si>
  <si>
    <t>GREZZANA</t>
  </si>
  <si>
    <t>023038</t>
  </si>
  <si>
    <t>37023</t>
  </si>
  <si>
    <t>ILLASI</t>
  </si>
  <si>
    <t>023039</t>
  </si>
  <si>
    <t>37031</t>
  </si>
  <si>
    <t>ISOLA DELLA SCALA</t>
  </si>
  <si>
    <t>023040</t>
  </si>
  <si>
    <t>37063</t>
  </si>
  <si>
    <t>ISOLA RIZZA</t>
  </si>
  <si>
    <t>023041</t>
  </si>
  <si>
    <t>LAVAGNO</t>
  </si>
  <si>
    <t>023042</t>
  </si>
  <si>
    <t>LAZISE</t>
  </si>
  <si>
    <t>023043</t>
  </si>
  <si>
    <t>37017</t>
  </si>
  <si>
    <t>LEGNAGO</t>
  </si>
  <si>
    <t>023044</t>
  </si>
  <si>
    <t>37045</t>
  </si>
  <si>
    <t>MALCESINE</t>
  </si>
  <si>
    <t>023045</t>
  </si>
  <si>
    <t>37018</t>
  </si>
  <si>
    <t>MARANO DI VALPOLICELLA</t>
  </si>
  <si>
    <t>023046</t>
  </si>
  <si>
    <t>MEZZANE DI SOTTO</t>
  </si>
  <si>
    <t>023047</t>
  </si>
  <si>
    <t>MINERBE</t>
  </si>
  <si>
    <t>023048</t>
  </si>
  <si>
    <t>37046</t>
  </si>
  <si>
    <t>MONTECCHIA DI CROSARA</t>
  </si>
  <si>
    <t>023049</t>
  </si>
  <si>
    <t>MONTEFORTE D'ALPONE</t>
  </si>
  <si>
    <t>023050</t>
  </si>
  <si>
    <t>37032</t>
  </si>
  <si>
    <t>MOZZECANE</t>
  </si>
  <si>
    <t>023051</t>
  </si>
  <si>
    <t>NEGRAR DI VALPOLICELLA</t>
  </si>
  <si>
    <t>023052</t>
  </si>
  <si>
    <t>NOGARA</t>
  </si>
  <si>
    <t>023053</t>
  </si>
  <si>
    <t>37054</t>
  </si>
  <si>
    <t>NOGAROLE ROCCA</t>
  </si>
  <si>
    <t>023054</t>
  </si>
  <si>
    <t>OPPEANO</t>
  </si>
  <si>
    <t>023055</t>
  </si>
  <si>
    <t>PALÙ</t>
  </si>
  <si>
    <t>023056</t>
  </si>
  <si>
    <t>PASTRENGO</t>
  </si>
  <si>
    <t>023057</t>
  </si>
  <si>
    <t>PESCANTINA</t>
  </si>
  <si>
    <t>023058</t>
  </si>
  <si>
    <t>37026</t>
  </si>
  <si>
    <t>PESCHIERA DEL GARDA</t>
  </si>
  <si>
    <t>023059</t>
  </si>
  <si>
    <t>37019</t>
  </si>
  <si>
    <t>POVEGLIANO VERONESE</t>
  </si>
  <si>
    <t>023060</t>
  </si>
  <si>
    <t>37064</t>
  </si>
  <si>
    <t>PRESSANA</t>
  </si>
  <si>
    <t>023061</t>
  </si>
  <si>
    <t>RIVOLI VERONESE</t>
  </si>
  <si>
    <t>023062</t>
  </si>
  <si>
    <t>RONCÀ</t>
  </si>
  <si>
    <t>023063</t>
  </si>
  <si>
    <t>RONCO ALL'ADIGE</t>
  </si>
  <si>
    <t>023064</t>
  </si>
  <si>
    <t>37055</t>
  </si>
  <si>
    <t>ROVERCHIARA</t>
  </si>
  <si>
    <t>023065</t>
  </si>
  <si>
    <t>ROVEREDO DI GUÀ</t>
  </si>
  <si>
    <t>023066</t>
  </si>
  <si>
    <t>ROVERÈ VERONESE</t>
  </si>
  <si>
    <t>023067</t>
  </si>
  <si>
    <t>37028</t>
  </si>
  <si>
    <t>SALIZZOLE</t>
  </si>
  <si>
    <t>023068</t>
  </si>
  <si>
    <t>37056</t>
  </si>
  <si>
    <t>SAN BONIFACIO</t>
  </si>
  <si>
    <t>023069</t>
  </si>
  <si>
    <t>37047</t>
  </si>
  <si>
    <t>SAN GIOVANNI ILARIONE</t>
  </si>
  <si>
    <t>023070</t>
  </si>
  <si>
    <t>37035</t>
  </si>
  <si>
    <t>SAN GIOVANNI LUPATOTO</t>
  </si>
  <si>
    <t>023071</t>
  </si>
  <si>
    <t>37057</t>
  </si>
  <si>
    <t>SANGUINETTO</t>
  </si>
  <si>
    <t>023072</t>
  </si>
  <si>
    <t>37058</t>
  </si>
  <si>
    <t>SAN MARTINO BUON ALBERGO</t>
  </si>
  <si>
    <t>023073</t>
  </si>
  <si>
    <t>37036</t>
  </si>
  <si>
    <t>SAN MAURO DI SALINE</t>
  </si>
  <si>
    <t>023074</t>
  </si>
  <si>
    <t>SAN PIETRO DI MORUBIO</t>
  </si>
  <si>
    <t>023075</t>
  </si>
  <si>
    <t>SAN PIETRO IN CARIANO</t>
  </si>
  <si>
    <t>023076</t>
  </si>
  <si>
    <t>37029</t>
  </si>
  <si>
    <t>SANT'AMBROGIO DI VALPOLICELLA</t>
  </si>
  <si>
    <t>023077</t>
  </si>
  <si>
    <t>37015</t>
  </si>
  <si>
    <t>SANT'ANNA D'ALFAEDO</t>
  </si>
  <si>
    <t>023078</t>
  </si>
  <si>
    <t>SAN ZENO DI MONTAGNA</t>
  </si>
  <si>
    <t>023079</t>
  </si>
  <si>
    <t>SELVA DI PROGNO</t>
  </si>
  <si>
    <t>023080</t>
  </si>
  <si>
    <t>SOAVE</t>
  </si>
  <si>
    <t>023081</t>
  </si>
  <si>
    <t>37038</t>
  </si>
  <si>
    <t>SOMMACAMPAGNA</t>
  </si>
  <si>
    <t>023082</t>
  </si>
  <si>
    <t>37066</t>
  </si>
  <si>
    <t>SONA</t>
  </si>
  <si>
    <t>023083</t>
  </si>
  <si>
    <t>SORGÀ</t>
  </si>
  <si>
    <t>023084</t>
  </si>
  <si>
    <t>TERRAZZO</t>
  </si>
  <si>
    <t>023085</t>
  </si>
  <si>
    <t>TORRI DEL BENACO</t>
  </si>
  <si>
    <t>023086</t>
  </si>
  <si>
    <t>TREGNAGO</t>
  </si>
  <si>
    <t>023087</t>
  </si>
  <si>
    <t>37039</t>
  </si>
  <si>
    <t>TREVENZUOLO</t>
  </si>
  <si>
    <t>023088</t>
  </si>
  <si>
    <t>VALEGGIO SUL MINCIO</t>
  </si>
  <si>
    <t>023089</t>
  </si>
  <si>
    <t>37067</t>
  </si>
  <si>
    <t>VELO VERONESE</t>
  </si>
  <si>
    <t>023090</t>
  </si>
  <si>
    <t>VERONA</t>
  </si>
  <si>
    <t>023091</t>
  </si>
  <si>
    <t>371xx</t>
  </si>
  <si>
    <t>VERONELLA</t>
  </si>
  <si>
    <t>023092</t>
  </si>
  <si>
    <t>VESTENANOVA</t>
  </si>
  <si>
    <t>023093</t>
  </si>
  <si>
    <t>VIGASIO</t>
  </si>
  <si>
    <t>023094</t>
  </si>
  <si>
    <t>37068</t>
  </si>
  <si>
    <t>VILLA BARTOLOMEA</t>
  </si>
  <si>
    <t>023095</t>
  </si>
  <si>
    <t>37049</t>
  </si>
  <si>
    <t>VILLAFRANCA DI VERONA</t>
  </si>
  <si>
    <t>023096</t>
  </si>
  <si>
    <t>37069</t>
  </si>
  <si>
    <t>ZEVIO</t>
  </si>
  <si>
    <t>023097</t>
  </si>
  <si>
    <t>37059</t>
  </si>
  <si>
    <t>ZIMELLA</t>
  </si>
  <si>
    <t>023098</t>
  </si>
  <si>
    <t>AGUGLIARO</t>
  </si>
  <si>
    <t>024001</t>
  </si>
  <si>
    <t>VI</t>
  </si>
  <si>
    <t>36020</t>
  </si>
  <si>
    <t>ALBETTONE</t>
  </si>
  <si>
    <t>024002</t>
  </si>
  <si>
    <t>ALONTE</t>
  </si>
  <si>
    <t>024003</t>
  </si>
  <si>
    <t>36045</t>
  </si>
  <si>
    <t>ALTAVILLA VICENTINA</t>
  </si>
  <si>
    <t>024004</t>
  </si>
  <si>
    <t>36077</t>
  </si>
  <si>
    <t>ALTISSIMO</t>
  </si>
  <si>
    <t>024005</t>
  </si>
  <si>
    <t>36070</t>
  </si>
  <si>
    <t>ARCUGNANO</t>
  </si>
  <si>
    <t>024006</t>
  </si>
  <si>
    <t>36057</t>
  </si>
  <si>
    <t>ARSIERO</t>
  </si>
  <si>
    <t>024007</t>
  </si>
  <si>
    <t>36011</t>
  </si>
  <si>
    <t>ARZIGNANO</t>
  </si>
  <si>
    <t>024008</t>
  </si>
  <si>
    <t>36071</t>
  </si>
  <si>
    <t>ASIAGO</t>
  </si>
  <si>
    <t>024009</t>
  </si>
  <si>
    <t>36012</t>
  </si>
  <si>
    <t>ASIGLIANO VENETO</t>
  </si>
  <si>
    <t>024010</t>
  </si>
  <si>
    <t>BASSANO DEL GRAPPA</t>
  </si>
  <si>
    <t>024012</t>
  </si>
  <si>
    <t>36061</t>
  </si>
  <si>
    <t>BOLZANO VICENTINO</t>
  </si>
  <si>
    <t>024013</t>
  </si>
  <si>
    <t>36050</t>
  </si>
  <si>
    <t>BREGANZE</t>
  </si>
  <si>
    <t>024014</t>
  </si>
  <si>
    <t>36042</t>
  </si>
  <si>
    <t>BRENDOLA</t>
  </si>
  <si>
    <t>024015</t>
  </si>
  <si>
    <t>36040</t>
  </si>
  <si>
    <t>BRESSANVIDO</t>
  </si>
  <si>
    <t>024016</t>
  </si>
  <si>
    <t>BROGLIANO</t>
  </si>
  <si>
    <t>024017</t>
  </si>
  <si>
    <t>CALDOGNO</t>
  </si>
  <si>
    <t>024018</t>
  </si>
  <si>
    <t>36030</t>
  </si>
  <si>
    <t>CALTRANO</t>
  </si>
  <si>
    <t>024019</t>
  </si>
  <si>
    <t>CALVENE</t>
  </si>
  <si>
    <t>024020</t>
  </si>
  <si>
    <t>CAMISANO VICENTINO</t>
  </si>
  <si>
    <t>024021</t>
  </si>
  <si>
    <t>36043</t>
  </si>
  <si>
    <t>CAMPIGLIA DEI BERICI</t>
  </si>
  <si>
    <t>024022</t>
  </si>
  <si>
    <t>CARRÈ</t>
  </si>
  <si>
    <t>024024</t>
  </si>
  <si>
    <t>36010</t>
  </si>
  <si>
    <t>CARTIGLIANO</t>
  </si>
  <si>
    <t>024025</t>
  </si>
  <si>
    <t>CASSOLA</t>
  </si>
  <si>
    <t>024026</t>
  </si>
  <si>
    <t>36022</t>
  </si>
  <si>
    <t>CASTEGNERO</t>
  </si>
  <si>
    <t>024027</t>
  </si>
  <si>
    <t>CASTELGOMBERTO</t>
  </si>
  <si>
    <t>024028</t>
  </si>
  <si>
    <t>CHIAMPO</t>
  </si>
  <si>
    <t>024029</t>
  </si>
  <si>
    <t>36072</t>
  </si>
  <si>
    <t>CHIUPPANO</t>
  </si>
  <si>
    <t>024030</t>
  </si>
  <si>
    <t>COGOLLO DEL CENGIO</t>
  </si>
  <si>
    <t>024032</t>
  </si>
  <si>
    <t>CORNEDO VICENTINO</t>
  </si>
  <si>
    <t>024034</t>
  </si>
  <si>
    <t>36073</t>
  </si>
  <si>
    <t>COSTABISSARA</t>
  </si>
  <si>
    <t>024035</t>
  </si>
  <si>
    <t>CREAZZO</t>
  </si>
  <si>
    <t>024036</t>
  </si>
  <si>
    <t>36051</t>
  </si>
  <si>
    <t>CRESPADORO</t>
  </si>
  <si>
    <t>024037</t>
  </si>
  <si>
    <t>DUEVILLE</t>
  </si>
  <si>
    <t>024038</t>
  </si>
  <si>
    <t>36031</t>
  </si>
  <si>
    <t>ENEGO</t>
  </si>
  <si>
    <t>024039</t>
  </si>
  <si>
    <t>36052</t>
  </si>
  <si>
    <t>FARA VICENTINO</t>
  </si>
  <si>
    <t>024040</t>
  </si>
  <si>
    <t>FOZA</t>
  </si>
  <si>
    <t>024041</t>
  </si>
  <si>
    <t>GALLIO</t>
  </si>
  <si>
    <t>024042</t>
  </si>
  <si>
    <t>36032</t>
  </si>
  <si>
    <t>GAMBELLARA</t>
  </si>
  <si>
    <t>024043</t>
  </si>
  <si>
    <t>36053</t>
  </si>
  <si>
    <t>GAMBUGLIANO</t>
  </si>
  <si>
    <t>024044</t>
  </si>
  <si>
    <t>GRISIGNANO DI ZOCCO</t>
  </si>
  <si>
    <t>024046</t>
  </si>
  <si>
    <t>GRUMOLO DELLE ABBADESSE</t>
  </si>
  <si>
    <t>024047</t>
  </si>
  <si>
    <t>ISOLA VICENTINA</t>
  </si>
  <si>
    <t>024048</t>
  </si>
  <si>
    <t>36033</t>
  </si>
  <si>
    <t>LAGHI</t>
  </si>
  <si>
    <t>024049</t>
  </si>
  <si>
    <t>LASTEBASSE</t>
  </si>
  <si>
    <t>024050</t>
  </si>
  <si>
    <t>LONGARE</t>
  </si>
  <si>
    <t>024051</t>
  </si>
  <si>
    <t>36023</t>
  </si>
  <si>
    <t>LONIGO</t>
  </si>
  <si>
    <t>024052</t>
  </si>
  <si>
    <t>LUGO DI VICENZA</t>
  </si>
  <si>
    <t>024053</t>
  </si>
  <si>
    <t>MALO</t>
  </si>
  <si>
    <t>024055</t>
  </si>
  <si>
    <t>36034</t>
  </si>
  <si>
    <t>MARANO VICENTINO</t>
  </si>
  <si>
    <t>024056</t>
  </si>
  <si>
    <t>36035</t>
  </si>
  <si>
    <t>MAROSTICA</t>
  </si>
  <si>
    <t>024057</t>
  </si>
  <si>
    <t>36063</t>
  </si>
  <si>
    <t>MONTEBELLO VICENTINO</t>
  </si>
  <si>
    <t>024060</t>
  </si>
  <si>
    <t>36054</t>
  </si>
  <si>
    <t>MONTECCHIO MAGGIORE</t>
  </si>
  <si>
    <t>024061</t>
  </si>
  <si>
    <t>36075</t>
  </si>
  <si>
    <t>MONTECCHIO PRECALCINO</t>
  </si>
  <si>
    <t>024062</t>
  </si>
  <si>
    <t>MONTE DI MALO</t>
  </si>
  <si>
    <t>024063</t>
  </si>
  <si>
    <t>MONTEGALDA</t>
  </si>
  <si>
    <t>024064</t>
  </si>
  <si>
    <t>36047</t>
  </si>
  <si>
    <t>MONTEGALDELLA</t>
  </si>
  <si>
    <t>024065</t>
  </si>
  <si>
    <t>MONTEVIALE</t>
  </si>
  <si>
    <t>024066</t>
  </si>
  <si>
    <t>MONTICELLO CONTE OTTO</t>
  </si>
  <si>
    <t>024067</t>
  </si>
  <si>
    <t>MONTORSO VICENTINO</t>
  </si>
  <si>
    <t>024068</t>
  </si>
  <si>
    <t>MUSSOLENTE</t>
  </si>
  <si>
    <t>024070</t>
  </si>
  <si>
    <t>36065</t>
  </si>
  <si>
    <t>NANTO</t>
  </si>
  <si>
    <t>024071</t>
  </si>
  <si>
    <t>36024</t>
  </si>
  <si>
    <t>NOGAROLE VICENTINO</t>
  </si>
  <si>
    <t>024072</t>
  </si>
  <si>
    <t>NOVE</t>
  </si>
  <si>
    <t>024073</t>
  </si>
  <si>
    <t>36055</t>
  </si>
  <si>
    <t>NOVENTA VICENTINA</t>
  </si>
  <si>
    <t>024074</t>
  </si>
  <si>
    <t>36025</t>
  </si>
  <si>
    <t>ORGIANO</t>
  </si>
  <si>
    <t>024075</t>
  </si>
  <si>
    <t>PEDEMONTE</t>
  </si>
  <si>
    <t>024076</t>
  </si>
  <si>
    <t>PIANEZZE</t>
  </si>
  <si>
    <t>024077</t>
  </si>
  <si>
    <t>36060</t>
  </si>
  <si>
    <t>PIOVENE ROCCHETTE</t>
  </si>
  <si>
    <t>024078</t>
  </si>
  <si>
    <t>36013</t>
  </si>
  <si>
    <t>POJANA MAGGIORE</t>
  </si>
  <si>
    <t>024079</t>
  </si>
  <si>
    <t>36026</t>
  </si>
  <si>
    <t>POSINA</t>
  </si>
  <si>
    <t>024080</t>
  </si>
  <si>
    <t>POVE DEL GRAPPA</t>
  </si>
  <si>
    <t>024081</t>
  </si>
  <si>
    <t>POZZOLEONE</t>
  </si>
  <si>
    <t>024082</t>
  </si>
  <si>
    <t>QUINTO VICENTINO</t>
  </si>
  <si>
    <t>024083</t>
  </si>
  <si>
    <t>RECOARO TERME</t>
  </si>
  <si>
    <t>024084</t>
  </si>
  <si>
    <t>36076</t>
  </si>
  <si>
    <t>ROANA</t>
  </si>
  <si>
    <t>024085</t>
  </si>
  <si>
    <t>ROMANO D'EZZELINO</t>
  </si>
  <si>
    <t>024086</t>
  </si>
  <si>
    <t>ROSÀ</t>
  </si>
  <si>
    <t>024087</t>
  </si>
  <si>
    <t>36027</t>
  </si>
  <si>
    <t>ROSSANO VENETO</t>
  </si>
  <si>
    <t>024088</t>
  </si>
  <si>
    <t>36028</t>
  </si>
  <si>
    <t>ROTZO</t>
  </si>
  <si>
    <t>024089</t>
  </si>
  <si>
    <t>SALCEDO</t>
  </si>
  <si>
    <t>024090</t>
  </si>
  <si>
    <t>SANDRIGO</t>
  </si>
  <si>
    <t>024091</t>
  </si>
  <si>
    <t>36066</t>
  </si>
  <si>
    <t>SAN PIETRO MUSSOLINO</t>
  </si>
  <si>
    <t>024094</t>
  </si>
  <si>
    <t>SANTORSO</t>
  </si>
  <si>
    <t>024095</t>
  </si>
  <si>
    <t>36014</t>
  </si>
  <si>
    <t>SAN VITO DI LEGUZZANO</t>
  </si>
  <si>
    <t>024096</t>
  </si>
  <si>
    <t>SARCEDO</t>
  </si>
  <si>
    <t>024097</t>
  </si>
  <si>
    <t>SAREGO</t>
  </si>
  <si>
    <t>024098</t>
  </si>
  <si>
    <t>SCHIAVON</t>
  </si>
  <si>
    <t>024099</t>
  </si>
  <si>
    <t>SCHIO</t>
  </si>
  <si>
    <t>024100</t>
  </si>
  <si>
    <t>36015</t>
  </si>
  <si>
    <t>SOLAGNA</t>
  </si>
  <si>
    <t>024101</t>
  </si>
  <si>
    <t>SOSSANO</t>
  </si>
  <si>
    <t>024102</t>
  </si>
  <si>
    <t>SOVIZZO</t>
  </si>
  <si>
    <t>024103</t>
  </si>
  <si>
    <t>TEZZE SUL BRENTA</t>
  </si>
  <si>
    <t>024104</t>
  </si>
  <si>
    <t>36056</t>
  </si>
  <si>
    <t>THIENE</t>
  </si>
  <si>
    <t>024105</t>
  </si>
  <si>
    <t>36016</t>
  </si>
  <si>
    <t>TONEZZA DEL CIMONE</t>
  </si>
  <si>
    <t>024106</t>
  </si>
  <si>
    <t>TORREBELVICINO</t>
  </si>
  <si>
    <t>024107</t>
  </si>
  <si>
    <t>36036</t>
  </si>
  <si>
    <t>TORRI DI QUARTESOLO</t>
  </si>
  <si>
    <t>024108</t>
  </si>
  <si>
    <t>TRISSINO</t>
  </si>
  <si>
    <t>024110</t>
  </si>
  <si>
    <t>VALDAGNO</t>
  </si>
  <si>
    <t>024111</t>
  </si>
  <si>
    <t>36078</t>
  </si>
  <si>
    <t>VALDASTICO</t>
  </si>
  <si>
    <t>024112</t>
  </si>
  <si>
    <t>VALLI DEL PASUBIO</t>
  </si>
  <si>
    <t>024113</t>
  </si>
  <si>
    <t>VELO D'ASTICO</t>
  </si>
  <si>
    <t>024115</t>
  </si>
  <si>
    <t>VICENZA</t>
  </si>
  <si>
    <t>024116</t>
  </si>
  <si>
    <t>36100</t>
  </si>
  <si>
    <t>VILLAGA</t>
  </si>
  <si>
    <t>024117</t>
  </si>
  <si>
    <t>36021</t>
  </si>
  <si>
    <t>VILLAVERLA</t>
  </si>
  <si>
    <t>024118</t>
  </si>
  <si>
    <t>ZANÈ</t>
  </si>
  <si>
    <t>024119</t>
  </si>
  <si>
    <t>ZERMEGHEDO</t>
  </si>
  <si>
    <t>024120</t>
  </si>
  <si>
    <t>ZOVENCEDO</t>
  </si>
  <si>
    <t>024121</t>
  </si>
  <si>
    <t>ZUGLIANO</t>
  </si>
  <si>
    <t>024122</t>
  </si>
  <si>
    <t>VAL LIONA</t>
  </si>
  <si>
    <t>024123</t>
  </si>
  <si>
    <t>BARBARANO MOSSANO</t>
  </si>
  <si>
    <t>024124</t>
  </si>
  <si>
    <t>VALBRENTA</t>
  </si>
  <si>
    <t>024125</t>
  </si>
  <si>
    <t>COLCERESA</t>
  </si>
  <si>
    <t>024126</t>
  </si>
  <si>
    <t>LUSIANA CONCO</t>
  </si>
  <si>
    <t>024127</t>
  </si>
  <si>
    <t>AGORDO</t>
  </si>
  <si>
    <t>025001</t>
  </si>
  <si>
    <t>BL</t>
  </si>
  <si>
    <t>32021</t>
  </si>
  <si>
    <t>ALANO DI PIAVE</t>
  </si>
  <si>
    <t>025002</t>
  </si>
  <si>
    <t>32031</t>
  </si>
  <si>
    <t>ALLEGHE</t>
  </si>
  <si>
    <t>025003</t>
  </si>
  <si>
    <t>32022</t>
  </si>
  <si>
    <t>ARSIÈ</t>
  </si>
  <si>
    <t>025004</t>
  </si>
  <si>
    <t>32030</t>
  </si>
  <si>
    <t>AURONZO DI CADORE</t>
  </si>
  <si>
    <t>025005</t>
  </si>
  <si>
    <t>32041</t>
  </si>
  <si>
    <t>BELLUNO</t>
  </si>
  <si>
    <t>025006</t>
  </si>
  <si>
    <t>32100</t>
  </si>
  <si>
    <t>BORCA DI CADORE</t>
  </si>
  <si>
    <t>025007</t>
  </si>
  <si>
    <t>32040</t>
  </si>
  <si>
    <t>CALALZO DI CADORE</t>
  </si>
  <si>
    <t>025008</t>
  </si>
  <si>
    <t>32042</t>
  </si>
  <si>
    <t>CENCENIGHE AGORDINO</t>
  </si>
  <si>
    <t>025010</t>
  </si>
  <si>
    <t>32020</t>
  </si>
  <si>
    <t>CESIOMAGGIORE</t>
  </si>
  <si>
    <t>025011</t>
  </si>
  <si>
    <t>CHIES D'ALPAGO</t>
  </si>
  <si>
    <t>025012</t>
  </si>
  <si>
    <t>32010</t>
  </si>
  <si>
    <t>CIBIANA DI CADORE</t>
  </si>
  <si>
    <t>025013</t>
  </si>
  <si>
    <t>COLLE SANTA LUCIA</t>
  </si>
  <si>
    <t>025014</t>
  </si>
  <si>
    <t>COMELICO SUPERIORE</t>
  </si>
  <si>
    <t>025015</t>
  </si>
  <si>
    <t>CORTINA D'AMPEZZO</t>
  </si>
  <si>
    <t>025016</t>
  </si>
  <si>
    <t>32043</t>
  </si>
  <si>
    <t>DANTA DI CADORE</t>
  </si>
  <si>
    <t>025017</t>
  </si>
  <si>
    <t>DOMEGGE DI CADORE</t>
  </si>
  <si>
    <t>025018</t>
  </si>
  <si>
    <t>FALCADE</t>
  </si>
  <si>
    <t>025019</t>
  </si>
  <si>
    <t>FELTRE</t>
  </si>
  <si>
    <t>025021</t>
  </si>
  <si>
    <t>32032</t>
  </si>
  <si>
    <t>FONZASO</t>
  </si>
  <si>
    <t>025022</t>
  </si>
  <si>
    <t>CANALE D'AGORDO</t>
  </si>
  <si>
    <t>025023</t>
  </si>
  <si>
    <t>GOSALDO</t>
  </si>
  <si>
    <t>025025</t>
  </si>
  <si>
    <t>LAMON</t>
  </si>
  <si>
    <t>025026</t>
  </si>
  <si>
    <t>32033</t>
  </si>
  <si>
    <t>LA VALLE AGORDINA</t>
  </si>
  <si>
    <t>025027</t>
  </si>
  <si>
    <t>LIMANA</t>
  </si>
  <si>
    <t>025029</t>
  </si>
  <si>
    <t>LIVINALLONGO DEL COL DI LANA</t>
  </si>
  <si>
    <t>025030</t>
  </si>
  <si>
    <t>LORENZAGO DI CADORE</t>
  </si>
  <si>
    <t>025032</t>
  </si>
  <si>
    <t>LOZZO DI CADORE</t>
  </si>
  <si>
    <t>025033</t>
  </si>
  <si>
    <t>OSPITALE DI CADORE</t>
  </si>
  <si>
    <t>025035</t>
  </si>
  <si>
    <t>PEDAVENA</t>
  </si>
  <si>
    <t>025036</t>
  </si>
  <si>
    <t>32034</t>
  </si>
  <si>
    <t>PERAROLO DI CADORE</t>
  </si>
  <si>
    <t>025037</t>
  </si>
  <si>
    <t>PIEVE DI CADORE</t>
  </si>
  <si>
    <t>025039</t>
  </si>
  <si>
    <t>32044</t>
  </si>
  <si>
    <t>PONTE NELLE ALPI</t>
  </si>
  <si>
    <t>025040</t>
  </si>
  <si>
    <t>32014</t>
  </si>
  <si>
    <t>RIVAMONTE AGORDINO</t>
  </si>
  <si>
    <t>025043</t>
  </si>
  <si>
    <t>ROCCA PIETORE</t>
  </si>
  <si>
    <t>025044</t>
  </si>
  <si>
    <t>SAN GREGORIO NELLE ALPI</t>
  </si>
  <si>
    <t>025045</t>
  </si>
  <si>
    <t>SAN NICOLÒ DI COMELICO</t>
  </si>
  <si>
    <t>025046</t>
  </si>
  <si>
    <t>SAN PIETRO DI CADORE</t>
  </si>
  <si>
    <t>025047</t>
  </si>
  <si>
    <t>SANTA GIUSTINA</t>
  </si>
  <si>
    <t>025048</t>
  </si>
  <si>
    <t>32035</t>
  </si>
  <si>
    <t>SAN TOMASO AGORDINO</t>
  </si>
  <si>
    <t>025049</t>
  </si>
  <si>
    <t>SANTO STEFANO DI CADORE</t>
  </si>
  <si>
    <t>025050</t>
  </si>
  <si>
    <t>32045</t>
  </si>
  <si>
    <t>SAN VITO DI CADORE</t>
  </si>
  <si>
    <t>025051</t>
  </si>
  <si>
    <t>32046</t>
  </si>
  <si>
    <t>SEDICO</t>
  </si>
  <si>
    <t>025053</t>
  </si>
  <si>
    <t>32036</t>
  </si>
  <si>
    <t>SELVA DI CADORE</t>
  </si>
  <si>
    <t>025054</t>
  </si>
  <si>
    <t>SEREN DEL GRAPPA</t>
  </si>
  <si>
    <t>025055</t>
  </si>
  <si>
    <t>SOSPIROLO</t>
  </si>
  <si>
    <t>025056</t>
  </si>
  <si>
    <t>32037</t>
  </si>
  <si>
    <t>SOVERZENE</t>
  </si>
  <si>
    <t>025057</t>
  </si>
  <si>
    <t>SOVRAMONTE</t>
  </si>
  <si>
    <t>025058</t>
  </si>
  <si>
    <t>TAIBON AGORDINO</t>
  </si>
  <si>
    <t>025059</t>
  </si>
  <si>
    <t>32027</t>
  </si>
  <si>
    <t>TAMBRE</t>
  </si>
  <si>
    <t>025060</t>
  </si>
  <si>
    <t>VALLADA AGORDINA</t>
  </si>
  <si>
    <t>025062</t>
  </si>
  <si>
    <t>VALLE DI CADORE</t>
  </si>
  <si>
    <t>025063</t>
  </si>
  <si>
    <t>VIGO DI CADORE</t>
  </si>
  <si>
    <t>025065</t>
  </si>
  <si>
    <t>VODO CADORE</t>
  </si>
  <si>
    <t>025066</t>
  </si>
  <si>
    <t>VOLTAGO AGORDINO</t>
  </si>
  <si>
    <t>025067</t>
  </si>
  <si>
    <t>ZOPPÈ DI CADORE</t>
  </si>
  <si>
    <t>025069</t>
  </si>
  <si>
    <t>QUERO VAS</t>
  </si>
  <si>
    <t>025070</t>
  </si>
  <si>
    <t>LONGARONE</t>
  </si>
  <si>
    <t>025071</t>
  </si>
  <si>
    <t>32013</t>
  </si>
  <si>
    <t>ALPAGO</t>
  </si>
  <si>
    <t>025072</t>
  </si>
  <si>
    <t>VAL DI ZOLDO</t>
  </si>
  <si>
    <t>025073</t>
  </si>
  <si>
    <t>BORGO VALBELLUNA</t>
  </si>
  <si>
    <t>025074</t>
  </si>
  <si>
    <t>ALTIVOLE</t>
  </si>
  <si>
    <t>026001</t>
  </si>
  <si>
    <t>TV</t>
  </si>
  <si>
    <t>31030</t>
  </si>
  <si>
    <t>ARCADE</t>
  </si>
  <si>
    <t>026002</t>
  </si>
  <si>
    <t>ASOLO</t>
  </si>
  <si>
    <t>026003</t>
  </si>
  <si>
    <t>31011</t>
  </si>
  <si>
    <t>BORSO DEL GRAPPA</t>
  </si>
  <si>
    <t>026004</t>
  </si>
  <si>
    <t>BREDA DI PIAVE</t>
  </si>
  <si>
    <t>026005</t>
  </si>
  <si>
    <t>CAERANO DI SAN MARCO</t>
  </si>
  <si>
    <t>026006</t>
  </si>
  <si>
    <t>31031</t>
  </si>
  <si>
    <t>CAPPELLA MAGGIORE</t>
  </si>
  <si>
    <t>026007</t>
  </si>
  <si>
    <t>31012</t>
  </si>
  <si>
    <t>CARBONERA</t>
  </si>
  <si>
    <t>026008</t>
  </si>
  <si>
    <t>CASALE SUL SILE</t>
  </si>
  <si>
    <t>026009</t>
  </si>
  <si>
    <t>31032</t>
  </si>
  <si>
    <t>CASIER</t>
  </si>
  <si>
    <t>026010</t>
  </si>
  <si>
    <t>CASTELCUCCO</t>
  </si>
  <si>
    <t>026011</t>
  </si>
  <si>
    <t>CASTELFRANCO VENETO</t>
  </si>
  <si>
    <t>026012</t>
  </si>
  <si>
    <t>31033</t>
  </si>
  <si>
    <t>CASTELLO DI GODEGO</t>
  </si>
  <si>
    <t>026013</t>
  </si>
  <si>
    <t>CAVASO DEL TOMBA</t>
  </si>
  <si>
    <t>026014</t>
  </si>
  <si>
    <t>31034</t>
  </si>
  <si>
    <t>CESSALTO</t>
  </si>
  <si>
    <t>026015</t>
  </si>
  <si>
    <t>31040</t>
  </si>
  <si>
    <t>CHIARANO</t>
  </si>
  <si>
    <t>026016</t>
  </si>
  <si>
    <t>CIMADOLMO</t>
  </si>
  <si>
    <t>026017</t>
  </si>
  <si>
    <t>31010</t>
  </si>
  <si>
    <t>CISON DI VALMARINO</t>
  </si>
  <si>
    <t>026018</t>
  </si>
  <si>
    <t>CODOGNÈ</t>
  </si>
  <si>
    <t>026019</t>
  </si>
  <si>
    <t>31013</t>
  </si>
  <si>
    <t>COLLE UMBERTO</t>
  </si>
  <si>
    <t>026020</t>
  </si>
  <si>
    <t>31014</t>
  </si>
  <si>
    <t>CONEGLIANO</t>
  </si>
  <si>
    <t>026021</t>
  </si>
  <si>
    <t>31015</t>
  </si>
  <si>
    <t>CORDIGNANO</t>
  </si>
  <si>
    <t>026022</t>
  </si>
  <si>
    <t>31016</t>
  </si>
  <si>
    <t>CORNUDA</t>
  </si>
  <si>
    <t>026023</t>
  </si>
  <si>
    <t>31041</t>
  </si>
  <si>
    <t>CROCETTA DEL MONTELLO</t>
  </si>
  <si>
    <t>026025</t>
  </si>
  <si>
    <t>31035</t>
  </si>
  <si>
    <t>FARRA DI SOLIGO</t>
  </si>
  <si>
    <t>026026</t>
  </si>
  <si>
    <t>FOLLINA</t>
  </si>
  <si>
    <t>026027</t>
  </si>
  <si>
    <t>31051</t>
  </si>
  <si>
    <t>FONTANELLE</t>
  </si>
  <si>
    <t>026028</t>
  </si>
  <si>
    <t>31043</t>
  </si>
  <si>
    <t>FONTE</t>
  </si>
  <si>
    <t>026029</t>
  </si>
  <si>
    <t>FREGONA</t>
  </si>
  <si>
    <t>026030</t>
  </si>
  <si>
    <t>GAIARINE</t>
  </si>
  <si>
    <t>026031</t>
  </si>
  <si>
    <t>31018</t>
  </si>
  <si>
    <t>GIAVERA DEL MONTELLO</t>
  </si>
  <si>
    <t>026032</t>
  </si>
  <si>
    <t>GODEGA DI SANT'URBANO</t>
  </si>
  <si>
    <t>026033</t>
  </si>
  <si>
    <t>GORGO AL MONTICANO</t>
  </si>
  <si>
    <t>026034</t>
  </si>
  <si>
    <t>ISTRANA</t>
  </si>
  <si>
    <t>026035</t>
  </si>
  <si>
    <t>31036</t>
  </si>
  <si>
    <t>LORIA</t>
  </si>
  <si>
    <t>026036</t>
  </si>
  <si>
    <t>31037</t>
  </si>
  <si>
    <t>MANSUÈ</t>
  </si>
  <si>
    <t>026037</t>
  </si>
  <si>
    <t>MARENO DI PIAVE</t>
  </si>
  <si>
    <t>026038</t>
  </si>
  <si>
    <t>MASER</t>
  </si>
  <si>
    <t>026039</t>
  </si>
  <si>
    <t>MASERADA SUL PIAVE</t>
  </si>
  <si>
    <t>026040</t>
  </si>
  <si>
    <t>31052</t>
  </si>
  <si>
    <t>MEDUNA DI LIVENZA</t>
  </si>
  <si>
    <t>026041</t>
  </si>
  <si>
    <t>MIANE</t>
  </si>
  <si>
    <t>026042</t>
  </si>
  <si>
    <t>31050</t>
  </si>
  <si>
    <t>MOGLIANO VENETO</t>
  </si>
  <si>
    <t>026043</t>
  </si>
  <si>
    <t>31021</t>
  </si>
  <si>
    <t>MONASTIER DI TREVISO</t>
  </si>
  <si>
    <t>026044</t>
  </si>
  <si>
    <t>MONFUMO</t>
  </si>
  <si>
    <t>026045</t>
  </si>
  <si>
    <t>MONTEBELLUNA</t>
  </si>
  <si>
    <t>026046</t>
  </si>
  <si>
    <t>31044</t>
  </si>
  <si>
    <t>MORGANO</t>
  </si>
  <si>
    <t>026047</t>
  </si>
  <si>
    <t>MORIAGO DELLA BATTAGLIA</t>
  </si>
  <si>
    <t>026048</t>
  </si>
  <si>
    <t>MOTTA DI LIVENZA</t>
  </si>
  <si>
    <t>026049</t>
  </si>
  <si>
    <t>31045</t>
  </si>
  <si>
    <t>NERVESA DELLA BATTAGLIA</t>
  </si>
  <si>
    <t>026050</t>
  </si>
  <si>
    <t>ODERZO</t>
  </si>
  <si>
    <t>026051</t>
  </si>
  <si>
    <t>31046</t>
  </si>
  <si>
    <t>ORMELLE</t>
  </si>
  <si>
    <t>026052</t>
  </si>
  <si>
    <t>31024</t>
  </si>
  <si>
    <t>ORSAGO</t>
  </si>
  <si>
    <t>026053</t>
  </si>
  <si>
    <t>PAESE</t>
  </si>
  <si>
    <t>026055</t>
  </si>
  <si>
    <t>31038</t>
  </si>
  <si>
    <t>PEDEROBBA</t>
  </si>
  <si>
    <t>026056</t>
  </si>
  <si>
    <t>PIEVE DI SOLIGO</t>
  </si>
  <si>
    <t>026057</t>
  </si>
  <si>
    <t>31053</t>
  </si>
  <si>
    <t>PONTE DI PIAVE</t>
  </si>
  <si>
    <t>026058</t>
  </si>
  <si>
    <t>31047</t>
  </si>
  <si>
    <t>PONZANO VENETO</t>
  </si>
  <si>
    <t>026059</t>
  </si>
  <si>
    <t>PORTOBUFFOLÈ</t>
  </si>
  <si>
    <t>026060</t>
  </si>
  <si>
    <t>POSSAGNO</t>
  </si>
  <si>
    <t>026061</t>
  </si>
  <si>
    <t>31054</t>
  </si>
  <si>
    <t>POVEGLIANO</t>
  </si>
  <si>
    <t>026062</t>
  </si>
  <si>
    <t>PREGANZIOL</t>
  </si>
  <si>
    <t>026063</t>
  </si>
  <si>
    <t>31022</t>
  </si>
  <si>
    <t>QUINTO DI TREVISO</t>
  </si>
  <si>
    <t>026064</t>
  </si>
  <si>
    <t>31055</t>
  </si>
  <si>
    <t>REFRONTOLO</t>
  </si>
  <si>
    <t>026065</t>
  </si>
  <si>
    <t>31020</t>
  </si>
  <si>
    <t>RESANA</t>
  </si>
  <si>
    <t>026066</t>
  </si>
  <si>
    <t>31023</t>
  </si>
  <si>
    <t>REVINE LAGO</t>
  </si>
  <si>
    <t>026067</t>
  </si>
  <si>
    <t>RIESE PIO X</t>
  </si>
  <si>
    <t>026068</t>
  </si>
  <si>
    <t>31039</t>
  </si>
  <si>
    <t>RONCADE</t>
  </si>
  <si>
    <t>026069</t>
  </si>
  <si>
    <t>31056</t>
  </si>
  <si>
    <t>SALGAREDA</t>
  </si>
  <si>
    <t>026070</t>
  </si>
  <si>
    <t>SAN BIAGIO DI CALLALTA</t>
  </si>
  <si>
    <t>026071</t>
  </si>
  <si>
    <t>31048</t>
  </si>
  <si>
    <t>SAN FIOR</t>
  </si>
  <si>
    <t>026072</t>
  </si>
  <si>
    <t>SAN PIETRO DI FELETTO</t>
  </si>
  <si>
    <t>026073</t>
  </si>
  <si>
    <t>SAN POLO DI PIAVE</t>
  </si>
  <si>
    <t>026074</t>
  </si>
  <si>
    <t>SANTA LUCIA DI PIAVE</t>
  </si>
  <si>
    <t>026075</t>
  </si>
  <si>
    <t>31025</t>
  </si>
  <si>
    <t>SAN VENDEMIANO</t>
  </si>
  <si>
    <t>026076</t>
  </si>
  <si>
    <t>SAN ZENONE DEGLI EZZELINI</t>
  </si>
  <si>
    <t>026077</t>
  </si>
  <si>
    <t>SARMEDE</t>
  </si>
  <si>
    <t>026078</t>
  </si>
  <si>
    <t>31026</t>
  </si>
  <si>
    <t>SEGUSINO</t>
  </si>
  <si>
    <t>026079</t>
  </si>
  <si>
    <t>SERNAGLIA DELLA BATTAGLIA</t>
  </si>
  <si>
    <t>026080</t>
  </si>
  <si>
    <t>SILEA</t>
  </si>
  <si>
    <t>026081</t>
  </si>
  <si>
    <t>31057</t>
  </si>
  <si>
    <t>SPRESIANO</t>
  </si>
  <si>
    <t>026082</t>
  </si>
  <si>
    <t>31027</t>
  </si>
  <si>
    <t>SUSEGANA</t>
  </si>
  <si>
    <t>026083</t>
  </si>
  <si>
    <t>31058</t>
  </si>
  <si>
    <t>TARZO</t>
  </si>
  <si>
    <t>026084</t>
  </si>
  <si>
    <t>TREVIGNANO</t>
  </si>
  <si>
    <t>026085</t>
  </si>
  <si>
    <t>TREVISO</t>
  </si>
  <si>
    <t>026086</t>
  </si>
  <si>
    <t>31100</t>
  </si>
  <si>
    <t>VALDOBBIADENE</t>
  </si>
  <si>
    <t>026087</t>
  </si>
  <si>
    <t>31049</t>
  </si>
  <si>
    <t>VAZZOLA</t>
  </si>
  <si>
    <t>026088</t>
  </si>
  <si>
    <t>31028</t>
  </si>
  <si>
    <t>VEDELAGO</t>
  </si>
  <si>
    <t>026089</t>
  </si>
  <si>
    <t>VIDOR</t>
  </si>
  <si>
    <t>026090</t>
  </si>
  <si>
    <t>VILLORBA</t>
  </si>
  <si>
    <t>026091</t>
  </si>
  <si>
    <t>VITTORIO VENETO</t>
  </si>
  <si>
    <t>026092</t>
  </si>
  <si>
    <t>31029</t>
  </si>
  <si>
    <t>VOLPAGO DEL MONTELLO</t>
  </si>
  <si>
    <t>026093</t>
  </si>
  <si>
    <t>ZENSON DI PIAVE</t>
  </si>
  <si>
    <t>026094</t>
  </si>
  <si>
    <t>ZERO BRANCO</t>
  </si>
  <si>
    <t>026095</t>
  </si>
  <si>
    <t>31059</t>
  </si>
  <si>
    <t>PIEVE DEL GRAPPA</t>
  </si>
  <si>
    <t>026096</t>
  </si>
  <si>
    <t>ANNONE VENETO</t>
  </si>
  <si>
    <t>027001</t>
  </si>
  <si>
    <t>VE</t>
  </si>
  <si>
    <t>30020</t>
  </si>
  <si>
    <t>CAMPAGNA LUPIA</t>
  </si>
  <si>
    <t>027002</t>
  </si>
  <si>
    <t>30010</t>
  </si>
  <si>
    <t>CAMPOLONGO MAGGIORE</t>
  </si>
  <si>
    <t>027003</t>
  </si>
  <si>
    <t>CAMPONOGARA</t>
  </si>
  <si>
    <t>027004</t>
  </si>
  <si>
    <t>CAORLE</t>
  </si>
  <si>
    <t>027005</t>
  </si>
  <si>
    <t>30021</t>
  </si>
  <si>
    <t>CAVARZERE</t>
  </si>
  <si>
    <t>027006</t>
  </si>
  <si>
    <t>30014</t>
  </si>
  <si>
    <t>CEGGIA</t>
  </si>
  <si>
    <t>027007</t>
  </si>
  <si>
    <t>30022</t>
  </si>
  <si>
    <t>CHIOGGIA</t>
  </si>
  <si>
    <t>027008</t>
  </si>
  <si>
    <t>30015</t>
  </si>
  <si>
    <t>CINTO CAOMAGGIORE</t>
  </si>
  <si>
    <t>027009</t>
  </si>
  <si>
    <t>CONA</t>
  </si>
  <si>
    <t>027010</t>
  </si>
  <si>
    <t>CONCORDIA SAGITTARIA</t>
  </si>
  <si>
    <t>027011</t>
  </si>
  <si>
    <t>30023</t>
  </si>
  <si>
    <t>DOLO</t>
  </si>
  <si>
    <t>027012</t>
  </si>
  <si>
    <t>30031</t>
  </si>
  <si>
    <t>ERACLEA</t>
  </si>
  <si>
    <t>027013</t>
  </si>
  <si>
    <t>FIESSO D'ARTICO</t>
  </si>
  <si>
    <t>027014</t>
  </si>
  <si>
    <t>30032</t>
  </si>
  <si>
    <t>FOSSALTA DI PIAVE</t>
  </si>
  <si>
    <t>027015</t>
  </si>
  <si>
    <t>FOSSALTA DI PORTOGRUARO</t>
  </si>
  <si>
    <t>027016</t>
  </si>
  <si>
    <t>30025</t>
  </si>
  <si>
    <t>FOSSÒ</t>
  </si>
  <si>
    <t>027017</t>
  </si>
  <si>
    <t>30030</t>
  </si>
  <si>
    <t>GRUARO</t>
  </si>
  <si>
    <t>027018</t>
  </si>
  <si>
    <t>JESOLO</t>
  </si>
  <si>
    <t>027019</t>
  </si>
  <si>
    <t>30016</t>
  </si>
  <si>
    <t>MARCON</t>
  </si>
  <si>
    <t>027020</t>
  </si>
  <si>
    <t>MARTELLAGO</t>
  </si>
  <si>
    <t>027021</t>
  </si>
  <si>
    <t>MEOLO</t>
  </si>
  <si>
    <t>027022</t>
  </si>
  <si>
    <t>MIRA</t>
  </si>
  <si>
    <t>027023</t>
  </si>
  <si>
    <t>30034</t>
  </si>
  <si>
    <t>MIRANO</t>
  </si>
  <si>
    <t>027024</t>
  </si>
  <si>
    <t>30035</t>
  </si>
  <si>
    <t>MUSILE DI PIAVE</t>
  </si>
  <si>
    <t>027025</t>
  </si>
  <si>
    <t>30024</t>
  </si>
  <si>
    <t>NOALE</t>
  </si>
  <si>
    <t>027026</t>
  </si>
  <si>
    <t>30033</t>
  </si>
  <si>
    <t>NOVENTA DI PIAVE</t>
  </si>
  <si>
    <t>027027</t>
  </si>
  <si>
    <t>PIANIGA</t>
  </si>
  <si>
    <t>027028</t>
  </si>
  <si>
    <t>PORTOGRUARO</t>
  </si>
  <si>
    <t>027029</t>
  </si>
  <si>
    <t>30026</t>
  </si>
  <si>
    <t>PRAMAGGIORE</t>
  </si>
  <si>
    <t>027030</t>
  </si>
  <si>
    <t>QUARTO D'ALTINO</t>
  </si>
  <si>
    <t>027031</t>
  </si>
  <si>
    <t>SALZANO</t>
  </si>
  <si>
    <t>027032</t>
  </si>
  <si>
    <t>SAN DONÀ DI PIAVE</t>
  </si>
  <si>
    <t>027033</t>
  </si>
  <si>
    <t>30027</t>
  </si>
  <si>
    <t>SAN MICHELE AL TAGLIAMENTO</t>
  </si>
  <si>
    <t>027034</t>
  </si>
  <si>
    <t>30028</t>
  </si>
  <si>
    <t>SANTA MARIA DI SALA</t>
  </si>
  <si>
    <t>027035</t>
  </si>
  <si>
    <t>30036</t>
  </si>
  <si>
    <t>SAN STINO DI LIVENZA</t>
  </si>
  <si>
    <t>027036</t>
  </si>
  <si>
    <t>SCORZÈ</t>
  </si>
  <si>
    <t>027037</t>
  </si>
  <si>
    <t>30037</t>
  </si>
  <si>
    <t>SPINEA</t>
  </si>
  <si>
    <t>027038</t>
  </si>
  <si>
    <t>30038</t>
  </si>
  <si>
    <t>STRA</t>
  </si>
  <si>
    <t>027039</t>
  </si>
  <si>
    <t>30039</t>
  </si>
  <si>
    <t>TEGLIO VENETO</t>
  </si>
  <si>
    <t>027040</t>
  </si>
  <si>
    <t>TORRE DI MOSTO</t>
  </si>
  <si>
    <t>027041</t>
  </si>
  <si>
    <t>VENEZIA</t>
  </si>
  <si>
    <t>027042</t>
  </si>
  <si>
    <t>301xx</t>
  </si>
  <si>
    <t>VIGONOVO</t>
  </si>
  <si>
    <t>027043</t>
  </si>
  <si>
    <t>CAVALLINO-TREPORTI</t>
  </si>
  <si>
    <t>027044</t>
  </si>
  <si>
    <t>30013</t>
  </si>
  <si>
    <t>ABANO TERME</t>
  </si>
  <si>
    <t>028001</t>
  </si>
  <si>
    <t>PD</t>
  </si>
  <si>
    <t>35031</t>
  </si>
  <si>
    <t>AGNA</t>
  </si>
  <si>
    <t>028002</t>
  </si>
  <si>
    <t>35021</t>
  </si>
  <si>
    <t>ALBIGNASEGO</t>
  </si>
  <si>
    <t>028003</t>
  </si>
  <si>
    <t>35020</t>
  </si>
  <si>
    <t>ANGUILLARA VENETA</t>
  </si>
  <si>
    <t>028004</t>
  </si>
  <si>
    <t>35022</t>
  </si>
  <si>
    <t>ARQUÀ PETRARCA</t>
  </si>
  <si>
    <t>028005</t>
  </si>
  <si>
    <t>35032</t>
  </si>
  <si>
    <t>ARRE</t>
  </si>
  <si>
    <t>028006</t>
  </si>
  <si>
    <t>ARZERGRANDE</t>
  </si>
  <si>
    <t>028007</t>
  </si>
  <si>
    <t>BAGNOLI DI SOPRA</t>
  </si>
  <si>
    <t>028008</t>
  </si>
  <si>
    <t>35023</t>
  </si>
  <si>
    <t>BAONE</t>
  </si>
  <si>
    <t>028009</t>
  </si>
  <si>
    <t>35030</t>
  </si>
  <si>
    <t>BARBONA</t>
  </si>
  <si>
    <t>028010</t>
  </si>
  <si>
    <t>35040</t>
  </si>
  <si>
    <t>BATTAGLIA TERME</t>
  </si>
  <si>
    <t>028011</t>
  </si>
  <si>
    <t>35041</t>
  </si>
  <si>
    <t>BOARA PISANI</t>
  </si>
  <si>
    <t>028012</t>
  </si>
  <si>
    <t>BORGORICCO</t>
  </si>
  <si>
    <t>028013</t>
  </si>
  <si>
    <t>35010</t>
  </si>
  <si>
    <t>BOVOLENTA</t>
  </si>
  <si>
    <t>028014</t>
  </si>
  <si>
    <t>35024</t>
  </si>
  <si>
    <t>BRUGINE</t>
  </si>
  <si>
    <t>028015</t>
  </si>
  <si>
    <t>CADONEGHE</t>
  </si>
  <si>
    <t>028016</t>
  </si>
  <si>
    <t>CAMPODARSEGO</t>
  </si>
  <si>
    <t>028017</t>
  </si>
  <si>
    <t>35011</t>
  </si>
  <si>
    <t>CAMPODORO</t>
  </si>
  <si>
    <t>028018</t>
  </si>
  <si>
    <t>CAMPOSAMPIERO</t>
  </si>
  <si>
    <t>028019</t>
  </si>
  <si>
    <t>35012</t>
  </si>
  <si>
    <t>CAMPO SAN MARTINO</t>
  </si>
  <si>
    <t>028020</t>
  </si>
  <si>
    <t>CANDIANA</t>
  </si>
  <si>
    <t>028021</t>
  </si>
  <si>
    <t>CARCERI</t>
  </si>
  <si>
    <t>028022</t>
  </si>
  <si>
    <t>CARMIGNANO DI BRENTA</t>
  </si>
  <si>
    <t>028023</t>
  </si>
  <si>
    <t>CARTURA</t>
  </si>
  <si>
    <t>028026</t>
  </si>
  <si>
    <t>35025</t>
  </si>
  <si>
    <t>CASALE DI SCODOSIA</t>
  </si>
  <si>
    <t>028027</t>
  </si>
  <si>
    <t>CASALSERUGO</t>
  </si>
  <si>
    <t>028028</t>
  </si>
  <si>
    <t>CASTELBALDO</t>
  </si>
  <si>
    <t>028029</t>
  </si>
  <si>
    <t>CERVARESE SANTA CROCE</t>
  </si>
  <si>
    <t>028030</t>
  </si>
  <si>
    <t>CINTO EUGANEO</t>
  </si>
  <si>
    <t>028031</t>
  </si>
  <si>
    <t>CITTADELLA</t>
  </si>
  <si>
    <t>028032</t>
  </si>
  <si>
    <t>35013</t>
  </si>
  <si>
    <t>CODEVIGO</t>
  </si>
  <si>
    <t>028033</t>
  </si>
  <si>
    <t>CONSELVE</t>
  </si>
  <si>
    <t>028034</t>
  </si>
  <si>
    <t>35026</t>
  </si>
  <si>
    <t>CORREZZOLA</t>
  </si>
  <si>
    <t>028035</t>
  </si>
  <si>
    <t>CURTAROLO</t>
  </si>
  <si>
    <t>028036</t>
  </si>
  <si>
    <t>ESTE</t>
  </si>
  <si>
    <t>028037</t>
  </si>
  <si>
    <t>35042</t>
  </si>
  <si>
    <t>FONTANIVA</t>
  </si>
  <si>
    <t>028038</t>
  </si>
  <si>
    <t>35014</t>
  </si>
  <si>
    <t>GALLIERA VENETA</t>
  </si>
  <si>
    <t>028039</t>
  </si>
  <si>
    <t>35015</t>
  </si>
  <si>
    <t>GALZIGNANO TERME</t>
  </si>
  <si>
    <t>028040</t>
  </si>
  <si>
    <t>GAZZO</t>
  </si>
  <si>
    <t>028041</t>
  </si>
  <si>
    <t>GRANTORTO</t>
  </si>
  <si>
    <t>028042</t>
  </si>
  <si>
    <t>GRANZE</t>
  </si>
  <si>
    <t>028043</t>
  </si>
  <si>
    <t>LEGNARO</t>
  </si>
  <si>
    <t>028044</t>
  </si>
  <si>
    <t>LIMENA</t>
  </si>
  <si>
    <t>028045</t>
  </si>
  <si>
    <t>LOREGGIA</t>
  </si>
  <si>
    <t>028046</t>
  </si>
  <si>
    <t>LOZZO ATESTINO</t>
  </si>
  <si>
    <t>028047</t>
  </si>
  <si>
    <t>35034</t>
  </si>
  <si>
    <t>MASERÀ DI PADOVA</t>
  </si>
  <si>
    <t>028048</t>
  </si>
  <si>
    <t>MASI</t>
  </si>
  <si>
    <t>028049</t>
  </si>
  <si>
    <t>MASSANZAGO</t>
  </si>
  <si>
    <t>028050</t>
  </si>
  <si>
    <t>MEGLIADINO SAN VITALE</t>
  </si>
  <si>
    <t>028052</t>
  </si>
  <si>
    <t>MERLARA</t>
  </si>
  <si>
    <t>028053</t>
  </si>
  <si>
    <t>MESTRINO</t>
  </si>
  <si>
    <t>028054</t>
  </si>
  <si>
    <t>35035</t>
  </si>
  <si>
    <t>MONSELICE</t>
  </si>
  <si>
    <t>028055</t>
  </si>
  <si>
    <t>35043</t>
  </si>
  <si>
    <t>MONTAGNANA</t>
  </si>
  <si>
    <t>028056</t>
  </si>
  <si>
    <t>35044</t>
  </si>
  <si>
    <t>MONTEGROTTO TERME</t>
  </si>
  <si>
    <t>028057</t>
  </si>
  <si>
    <t>35036</t>
  </si>
  <si>
    <t>NOVENTA PADOVANA</t>
  </si>
  <si>
    <t>028058</t>
  </si>
  <si>
    <t>35027</t>
  </si>
  <si>
    <t>OSPEDALETTO EUGANEO</t>
  </si>
  <si>
    <t>028059</t>
  </si>
  <si>
    <t>35045</t>
  </si>
  <si>
    <t>PADOVA</t>
  </si>
  <si>
    <t>028060</t>
  </si>
  <si>
    <t>351xx</t>
  </si>
  <si>
    <t>PERNUMIA</t>
  </si>
  <si>
    <t>028061</t>
  </si>
  <si>
    <t>PIACENZA D'ADIGE</t>
  </si>
  <si>
    <t>028062</t>
  </si>
  <si>
    <t>PIAZZOLA SUL BRENTA</t>
  </si>
  <si>
    <t>028063</t>
  </si>
  <si>
    <t>35016</t>
  </si>
  <si>
    <t>PIOMBINO DESE</t>
  </si>
  <si>
    <t>028064</t>
  </si>
  <si>
    <t>35017</t>
  </si>
  <si>
    <t>PIOVE DI SACCO</t>
  </si>
  <si>
    <t>028065</t>
  </si>
  <si>
    <t>35028</t>
  </si>
  <si>
    <t>POLVERARA</t>
  </si>
  <si>
    <t>028066</t>
  </si>
  <si>
    <t>PONSO</t>
  </si>
  <si>
    <t>028067</t>
  </si>
  <si>
    <t>PONTELONGO</t>
  </si>
  <si>
    <t>028068</t>
  </si>
  <si>
    <t>35029</t>
  </si>
  <si>
    <t>PONTE SAN NICOLÒ</t>
  </si>
  <si>
    <t>028069</t>
  </si>
  <si>
    <t>POZZONOVO</t>
  </si>
  <si>
    <t>028070</t>
  </si>
  <si>
    <t>ROVOLON</t>
  </si>
  <si>
    <t>028071</t>
  </si>
  <si>
    <t>RUBANO</t>
  </si>
  <si>
    <t>028072</t>
  </si>
  <si>
    <t>SACCOLONGO</t>
  </si>
  <si>
    <t>028073</t>
  </si>
  <si>
    <t>SAN GIORGIO DELLE PERTICHE</t>
  </si>
  <si>
    <t>028075</t>
  </si>
  <si>
    <t>SAN GIORGIO IN BOSCO</t>
  </si>
  <si>
    <t>028076</t>
  </si>
  <si>
    <t>SAN MARTINO DI LUPARI</t>
  </si>
  <si>
    <t>028077</t>
  </si>
  <si>
    <t>35018</t>
  </si>
  <si>
    <t>SAN PIETRO IN GU</t>
  </si>
  <si>
    <t>028078</t>
  </si>
  <si>
    <t>SAN PIETRO VIMINARIO</t>
  </si>
  <si>
    <t>028079</t>
  </si>
  <si>
    <t>SANTA GIUSTINA IN COLLE</t>
  </si>
  <si>
    <t>028080</t>
  </si>
  <si>
    <t>SANT'ANGELO DI PIOVE DI SACCO</t>
  </si>
  <si>
    <t>028082</t>
  </si>
  <si>
    <t>SANT'ELENA</t>
  </si>
  <si>
    <t>028083</t>
  </si>
  <si>
    <t>SANT'URBANO</t>
  </si>
  <si>
    <t>028084</t>
  </si>
  <si>
    <t>SAONARA</t>
  </si>
  <si>
    <t>028085</t>
  </si>
  <si>
    <t>SELVAZZANO DENTRO</t>
  </si>
  <si>
    <t>028086</t>
  </si>
  <si>
    <t>SOLESINO</t>
  </si>
  <si>
    <t>028087</t>
  </si>
  <si>
    <t>35047</t>
  </si>
  <si>
    <t>STANGHELLA</t>
  </si>
  <si>
    <t>028088</t>
  </si>
  <si>
    <t>35048</t>
  </si>
  <si>
    <t>TEOLO</t>
  </si>
  <si>
    <t>028089</t>
  </si>
  <si>
    <t>35037</t>
  </si>
  <si>
    <t>TERRASSA PADOVANA</t>
  </si>
  <si>
    <t>028090</t>
  </si>
  <si>
    <t>TOMBOLO</t>
  </si>
  <si>
    <t>028091</t>
  </si>
  <si>
    <t>35019</t>
  </si>
  <si>
    <t>TORREGLIA</t>
  </si>
  <si>
    <t>028092</t>
  </si>
  <si>
    <t>35038</t>
  </si>
  <si>
    <t>TREBASELEGHE</t>
  </si>
  <si>
    <t>028093</t>
  </si>
  <si>
    <t>TRIBANO</t>
  </si>
  <si>
    <t>028094</t>
  </si>
  <si>
    <t>URBANA</t>
  </si>
  <si>
    <t>028095</t>
  </si>
  <si>
    <t>VEGGIANO</t>
  </si>
  <si>
    <t>028096</t>
  </si>
  <si>
    <t>VESCOVANA</t>
  </si>
  <si>
    <t>028097</t>
  </si>
  <si>
    <t>VIGHIZZOLO D'ESTE</t>
  </si>
  <si>
    <t>028098</t>
  </si>
  <si>
    <t>VIGODARZERE</t>
  </si>
  <si>
    <t>028099</t>
  </si>
  <si>
    <t>VIGONZA</t>
  </si>
  <si>
    <t>028100</t>
  </si>
  <si>
    <t>VILLA DEL CONTE</t>
  </si>
  <si>
    <t>028101</t>
  </si>
  <si>
    <t>VILLA ESTENSE</t>
  </si>
  <si>
    <t>028102</t>
  </si>
  <si>
    <t>VILLAFRANCA PADOVANA</t>
  </si>
  <si>
    <t>028103</t>
  </si>
  <si>
    <t>VILLANOVA DI CAMPOSAMPIERO</t>
  </si>
  <si>
    <t>028104</t>
  </si>
  <si>
    <t>VO'</t>
  </si>
  <si>
    <t>028105</t>
  </si>
  <si>
    <t>DUE CARRARE</t>
  </si>
  <si>
    <t>028106</t>
  </si>
  <si>
    <t>BORGO VENETO</t>
  </si>
  <si>
    <t>028107</t>
  </si>
  <si>
    <t>ADRIA</t>
  </si>
  <si>
    <t>029001</t>
  </si>
  <si>
    <t>RO</t>
  </si>
  <si>
    <t>45011</t>
  </si>
  <si>
    <t>ARIANO NEL POLESINE</t>
  </si>
  <si>
    <t>029002</t>
  </si>
  <si>
    <t>45012</t>
  </si>
  <si>
    <t>ARQUÀ POLESINE</t>
  </si>
  <si>
    <t>029003</t>
  </si>
  <si>
    <t>45031</t>
  </si>
  <si>
    <t>BADIA POLESINE</t>
  </si>
  <si>
    <t>029004</t>
  </si>
  <si>
    <t>45021</t>
  </si>
  <si>
    <t>BAGNOLO DI PO</t>
  </si>
  <si>
    <t>029005</t>
  </si>
  <si>
    <t>45022</t>
  </si>
  <si>
    <t>BERGANTINO</t>
  </si>
  <si>
    <t>029006</t>
  </si>
  <si>
    <t>45032</t>
  </si>
  <si>
    <t>BOSARO</t>
  </si>
  <si>
    <t>029007</t>
  </si>
  <si>
    <t>45033</t>
  </si>
  <si>
    <t>CALTO</t>
  </si>
  <si>
    <t>029008</t>
  </si>
  <si>
    <t>45030</t>
  </si>
  <si>
    <t>CANARO</t>
  </si>
  <si>
    <t>029009</t>
  </si>
  <si>
    <t>45034</t>
  </si>
  <si>
    <t>CANDA</t>
  </si>
  <si>
    <t>029010</t>
  </si>
  <si>
    <t>45020</t>
  </si>
  <si>
    <t>CASTELGUGLIELMO</t>
  </si>
  <si>
    <t>029011</t>
  </si>
  <si>
    <t>CASTELMASSA</t>
  </si>
  <si>
    <t>029012</t>
  </si>
  <si>
    <t>45035</t>
  </si>
  <si>
    <t>CASTELNOVO BARIANO</t>
  </si>
  <si>
    <t>029013</t>
  </si>
  <si>
    <t>CENESELLI</t>
  </si>
  <si>
    <t>029014</t>
  </si>
  <si>
    <t>CEREGNANO</t>
  </si>
  <si>
    <t>029015</t>
  </si>
  <si>
    <t>45010</t>
  </si>
  <si>
    <t>CORBOLA</t>
  </si>
  <si>
    <t>029017</t>
  </si>
  <si>
    <t>45015</t>
  </si>
  <si>
    <t>COSTA DI ROVIGO</t>
  </si>
  <si>
    <t>029018</t>
  </si>
  <si>
    <t>45023</t>
  </si>
  <si>
    <t>CRESPINO</t>
  </si>
  <si>
    <t>029019</t>
  </si>
  <si>
    <t>FICAROLO</t>
  </si>
  <si>
    <t>029021</t>
  </si>
  <si>
    <t>45036</t>
  </si>
  <si>
    <t>FIESSO UMBERTIANO</t>
  </si>
  <si>
    <t>029022</t>
  </si>
  <si>
    <t>45024</t>
  </si>
  <si>
    <t>FRASSINELLE POLESINE</t>
  </si>
  <si>
    <t>029023</t>
  </si>
  <si>
    <t>FRATTA POLESINE</t>
  </si>
  <si>
    <t>029024</t>
  </si>
  <si>
    <t>45025</t>
  </si>
  <si>
    <t>GAIBA</t>
  </si>
  <si>
    <t>029025</t>
  </si>
  <si>
    <t>GAVELLO</t>
  </si>
  <si>
    <t>029026</t>
  </si>
  <si>
    <t>GIACCIANO CON BARUCHELLA</t>
  </si>
  <si>
    <t>029027</t>
  </si>
  <si>
    <t>GUARDA VENETA</t>
  </si>
  <si>
    <t>029028</t>
  </si>
  <si>
    <t>LENDINARA</t>
  </si>
  <si>
    <t>029029</t>
  </si>
  <si>
    <t>45026</t>
  </si>
  <si>
    <t>LOREO</t>
  </si>
  <si>
    <t>029030</t>
  </si>
  <si>
    <t>45017</t>
  </si>
  <si>
    <t>LUSIA</t>
  </si>
  <si>
    <t>029031</t>
  </si>
  <si>
    <t>MELARA</t>
  </si>
  <si>
    <t>029032</t>
  </si>
  <si>
    <t>45037</t>
  </si>
  <si>
    <t>OCCHIOBELLO</t>
  </si>
  <si>
    <t>029033</t>
  </si>
  <si>
    <t>PAPOZZE</t>
  </si>
  <si>
    <t>029034</t>
  </si>
  <si>
    <t>PETTORAZZA GRIMANI</t>
  </si>
  <si>
    <t>029035</t>
  </si>
  <si>
    <t>PINCARA</t>
  </si>
  <si>
    <t>029036</t>
  </si>
  <si>
    <t>POLESELLA</t>
  </si>
  <si>
    <t>029037</t>
  </si>
  <si>
    <t>45038</t>
  </si>
  <si>
    <t>PONTECCHIO POLESINE</t>
  </si>
  <si>
    <t>029038</t>
  </si>
  <si>
    <t>PORTO TOLLE</t>
  </si>
  <si>
    <t>029039</t>
  </si>
  <si>
    <t>45018</t>
  </si>
  <si>
    <t>ROSOLINA</t>
  </si>
  <si>
    <t>029040</t>
  </si>
  <si>
    <t>ROVIGO</t>
  </si>
  <si>
    <t>029041</t>
  </si>
  <si>
    <t>45100</t>
  </si>
  <si>
    <t>SALARA</t>
  </si>
  <si>
    <t>029042</t>
  </si>
  <si>
    <t>SAN BELLINO</t>
  </si>
  <si>
    <t>029043</t>
  </si>
  <si>
    <t>SAN MARTINO DI VENEZZE</t>
  </si>
  <si>
    <t>029044</t>
  </si>
  <si>
    <t>STIENTA</t>
  </si>
  <si>
    <t>029045</t>
  </si>
  <si>
    <t>45039</t>
  </si>
  <si>
    <t>TAGLIO DI PO</t>
  </si>
  <si>
    <t>029046</t>
  </si>
  <si>
    <t>45019</t>
  </si>
  <si>
    <t>TRECENTA</t>
  </si>
  <si>
    <t>029047</t>
  </si>
  <si>
    <t>45027</t>
  </si>
  <si>
    <t>VILLADOSE</t>
  </si>
  <si>
    <t>029048</t>
  </si>
  <si>
    <t>VILLAMARZANA</t>
  </si>
  <si>
    <t>029049</t>
  </si>
  <si>
    <t>VILLANOVA DEL GHEBBO</t>
  </si>
  <si>
    <t>029050</t>
  </si>
  <si>
    <t>VILLANOVA MARCHESANA</t>
  </si>
  <si>
    <t>029051</t>
  </si>
  <si>
    <t>PORTO VIRO</t>
  </si>
  <si>
    <t>029052</t>
  </si>
  <si>
    <t>45014</t>
  </si>
  <si>
    <t>AIELLO DEL FRIULI</t>
  </si>
  <si>
    <t>030001</t>
  </si>
  <si>
    <t>33041</t>
  </si>
  <si>
    <t>AMARO</t>
  </si>
  <si>
    <t>030002</t>
  </si>
  <si>
    <t>33020</t>
  </si>
  <si>
    <t>AMPEZZO</t>
  </si>
  <si>
    <t>030003</t>
  </si>
  <si>
    <t>33021</t>
  </si>
  <si>
    <t>AQUILEIA</t>
  </si>
  <si>
    <t>030004</t>
  </si>
  <si>
    <t>33051</t>
  </si>
  <si>
    <t>ARTA TERME</t>
  </si>
  <si>
    <t>030005</t>
  </si>
  <si>
    <t>33022</t>
  </si>
  <si>
    <t>ARTEGNA</t>
  </si>
  <si>
    <t>030006</t>
  </si>
  <si>
    <t>33011</t>
  </si>
  <si>
    <t>ATTIMIS</t>
  </si>
  <si>
    <t>030007</t>
  </si>
  <si>
    <t>33040</t>
  </si>
  <si>
    <t>BAGNARIA ARSA</t>
  </si>
  <si>
    <t>030008</t>
  </si>
  <si>
    <t>33050</t>
  </si>
  <si>
    <t>BASILIANO</t>
  </si>
  <si>
    <t>030009</t>
  </si>
  <si>
    <t>33031</t>
  </si>
  <si>
    <t>BERTIOLO</t>
  </si>
  <si>
    <t>030010</t>
  </si>
  <si>
    <t>33032</t>
  </si>
  <si>
    <t>BICINICCO</t>
  </si>
  <si>
    <t>030011</t>
  </si>
  <si>
    <t>BORDANO</t>
  </si>
  <si>
    <t>030012</t>
  </si>
  <si>
    <t>33010</t>
  </si>
  <si>
    <t>BUJA</t>
  </si>
  <si>
    <t>030013</t>
  </si>
  <si>
    <t>33030</t>
  </si>
  <si>
    <t>BUTTRIO</t>
  </si>
  <si>
    <t>030014</t>
  </si>
  <si>
    <t>33042</t>
  </si>
  <si>
    <t>CAMINO AL TAGLIAMENTO</t>
  </si>
  <si>
    <t>030015</t>
  </si>
  <si>
    <t>CAMPOFORMIDO</t>
  </si>
  <si>
    <t>030016</t>
  </si>
  <si>
    <t>CARLINO</t>
  </si>
  <si>
    <t>030018</t>
  </si>
  <si>
    <t>CASSACCO</t>
  </si>
  <si>
    <t>030019</t>
  </si>
  <si>
    <t>CASTIONS DI STRADA</t>
  </si>
  <si>
    <t>030020</t>
  </si>
  <si>
    <t>CAVAZZO CARNICO</t>
  </si>
  <si>
    <t>030021</t>
  </si>
  <si>
    <t>CERCIVENTO</t>
  </si>
  <si>
    <t>030022</t>
  </si>
  <si>
    <t>CERVIGNANO DEL FRIULI</t>
  </si>
  <si>
    <t>030023</t>
  </si>
  <si>
    <t>33052</t>
  </si>
  <si>
    <t>CHIOPRIS-VISCONE</t>
  </si>
  <si>
    <t>030024</t>
  </si>
  <si>
    <t>33048</t>
  </si>
  <si>
    <t>CHIUSAFORTE</t>
  </si>
  <si>
    <t>030025</t>
  </si>
  <si>
    <t>CIVIDALE DEL FRIULI</t>
  </si>
  <si>
    <t>030026</t>
  </si>
  <si>
    <t>33043</t>
  </si>
  <si>
    <t>CODROIPO</t>
  </si>
  <si>
    <t>030027</t>
  </si>
  <si>
    <t>33033</t>
  </si>
  <si>
    <t>COLLOREDO DI MONTE ALBANO</t>
  </si>
  <si>
    <t>030028</t>
  </si>
  <si>
    <t>COMEGLIANS</t>
  </si>
  <si>
    <t>030029</t>
  </si>
  <si>
    <t>33023</t>
  </si>
  <si>
    <t>CORNO DI ROSAZZO</t>
  </si>
  <si>
    <t>030030</t>
  </si>
  <si>
    <t>COSEANO</t>
  </si>
  <si>
    <t>030031</t>
  </si>
  <si>
    <t>DIGNANO</t>
  </si>
  <si>
    <t>030032</t>
  </si>
  <si>
    <t>DOGNA</t>
  </si>
  <si>
    <t>030033</t>
  </si>
  <si>
    <t>DRENCHIA</t>
  </si>
  <si>
    <t>030034</t>
  </si>
  <si>
    <t>ENEMONZO</t>
  </si>
  <si>
    <t>030035</t>
  </si>
  <si>
    <t>FAEDIS</t>
  </si>
  <si>
    <t>030036</t>
  </si>
  <si>
    <t>FAGAGNA</t>
  </si>
  <si>
    <t>030037</t>
  </si>
  <si>
    <t>33034</t>
  </si>
  <si>
    <t>FLAIBANO</t>
  </si>
  <si>
    <t>030039</t>
  </si>
  <si>
    <t>FORNI AVOLTRI</t>
  </si>
  <si>
    <t>030040</t>
  </si>
  <si>
    <t>FORNI DI SOPRA</t>
  </si>
  <si>
    <t>030041</t>
  </si>
  <si>
    <t>33024</t>
  </si>
  <si>
    <t>FORNI DI SOTTO</t>
  </si>
  <si>
    <t>030042</t>
  </si>
  <si>
    <t>GEMONA DEL FRIULI</t>
  </si>
  <si>
    <t>030043</t>
  </si>
  <si>
    <t>33013</t>
  </si>
  <si>
    <t>GONARS</t>
  </si>
  <si>
    <t>030044</t>
  </si>
  <si>
    <t>GRIMACCO</t>
  </si>
  <si>
    <t>030045</t>
  </si>
  <si>
    <t>LATISANA</t>
  </si>
  <si>
    <t>030046</t>
  </si>
  <si>
    <t>33053</t>
  </si>
  <si>
    <t>LAUCO</t>
  </si>
  <si>
    <t>030047</t>
  </si>
  <si>
    <t>33029</t>
  </si>
  <si>
    <t>LESTIZZA</t>
  </si>
  <si>
    <t>030048</t>
  </si>
  <si>
    <t>LIGNANO SABBIADORO</t>
  </si>
  <si>
    <t>030049</t>
  </si>
  <si>
    <t>33054</t>
  </si>
  <si>
    <t>LUSEVERA</t>
  </si>
  <si>
    <t>030051</t>
  </si>
  <si>
    <t>MAGNANO IN RIVIERA</t>
  </si>
  <si>
    <t>030052</t>
  </si>
  <si>
    <t>MAJANO</t>
  </si>
  <si>
    <t>030053</t>
  </si>
  <si>
    <t>MALBORGHETTO VALBRUNA</t>
  </si>
  <si>
    <t>030054</t>
  </si>
  <si>
    <t>MANZANO</t>
  </si>
  <si>
    <t>030055</t>
  </si>
  <si>
    <t>33044</t>
  </si>
  <si>
    <t>MARANO LAGUNARE</t>
  </si>
  <si>
    <t>030056</t>
  </si>
  <si>
    <t>MARTIGNACCO</t>
  </si>
  <si>
    <t>030057</t>
  </si>
  <si>
    <t>33035</t>
  </si>
  <si>
    <t>MERETO DI TOMBA</t>
  </si>
  <si>
    <t>030058</t>
  </si>
  <si>
    <t>33036</t>
  </si>
  <si>
    <t>MOGGIO UDINESE</t>
  </si>
  <si>
    <t>030059</t>
  </si>
  <si>
    <t>33015</t>
  </si>
  <si>
    <t>MOIMACCO</t>
  </si>
  <si>
    <t>030060</t>
  </si>
  <si>
    <t>MONTENARS</t>
  </si>
  <si>
    <t>030061</t>
  </si>
  <si>
    <t>MORTEGLIANO</t>
  </si>
  <si>
    <t>030062</t>
  </si>
  <si>
    <t>MORUZZO</t>
  </si>
  <si>
    <t>030063</t>
  </si>
  <si>
    <t>MUZZANA DEL TURGNANO</t>
  </si>
  <si>
    <t>030064</t>
  </si>
  <si>
    <t>33055</t>
  </si>
  <si>
    <t>NIMIS</t>
  </si>
  <si>
    <t>030065</t>
  </si>
  <si>
    <t>33045</t>
  </si>
  <si>
    <t>OSOPPO</t>
  </si>
  <si>
    <t>030066</t>
  </si>
  <si>
    <t>OVARO</t>
  </si>
  <si>
    <t>030067</t>
  </si>
  <si>
    <t>33025</t>
  </si>
  <si>
    <t>PAGNACCO</t>
  </si>
  <si>
    <t>030068</t>
  </si>
  <si>
    <t>PALAZZOLO DELLO STELLA</t>
  </si>
  <si>
    <t>030069</t>
  </si>
  <si>
    <t>33056</t>
  </si>
  <si>
    <t>PALMANOVA</t>
  </si>
  <si>
    <t>030070</t>
  </si>
  <si>
    <t>33057</t>
  </si>
  <si>
    <t>PALUZZA</t>
  </si>
  <si>
    <t>030071</t>
  </si>
  <si>
    <t>33026</t>
  </si>
  <si>
    <t>PASIAN DI PRATO</t>
  </si>
  <si>
    <t>030072</t>
  </si>
  <si>
    <t>33037</t>
  </si>
  <si>
    <t>PAULARO</t>
  </si>
  <si>
    <t>030073</t>
  </si>
  <si>
    <t>33027</t>
  </si>
  <si>
    <t>PAVIA DI UDINE</t>
  </si>
  <si>
    <t>030074</t>
  </si>
  <si>
    <t>POCENIA</t>
  </si>
  <si>
    <t>030075</t>
  </si>
  <si>
    <t>PONTEBBA</t>
  </si>
  <si>
    <t>030076</t>
  </si>
  <si>
    <t>33016</t>
  </si>
  <si>
    <t>PORPETTO</t>
  </si>
  <si>
    <t>030077</t>
  </si>
  <si>
    <t>POVOLETTO</t>
  </si>
  <si>
    <t>030078</t>
  </si>
  <si>
    <t>POZZUOLO DEL FRIULI</t>
  </si>
  <si>
    <t>030079</t>
  </si>
  <si>
    <t>PRADAMANO</t>
  </si>
  <si>
    <t>030080</t>
  </si>
  <si>
    <t>PRATO CARNICO</t>
  </si>
  <si>
    <t>030081</t>
  </si>
  <si>
    <t>PRECENICCO</t>
  </si>
  <si>
    <t>030082</t>
  </si>
  <si>
    <t>PREMARIACCO</t>
  </si>
  <si>
    <t>030083</t>
  </si>
  <si>
    <t>PREONE</t>
  </si>
  <si>
    <t>030084</t>
  </si>
  <si>
    <t>PREPOTTO</t>
  </si>
  <si>
    <t>030085</t>
  </si>
  <si>
    <t>PULFERO</t>
  </si>
  <si>
    <t>030086</t>
  </si>
  <si>
    <t>33046</t>
  </si>
  <si>
    <t>RAGOGNA</t>
  </si>
  <si>
    <t>030087</t>
  </si>
  <si>
    <t>RAVASCLETTO</t>
  </si>
  <si>
    <t>030088</t>
  </si>
  <si>
    <t>RAVEO</t>
  </si>
  <si>
    <t>030089</t>
  </si>
  <si>
    <t>REANA DEL ROJALE</t>
  </si>
  <si>
    <t>030090</t>
  </si>
  <si>
    <t>REMANZACCO</t>
  </si>
  <si>
    <t>030091</t>
  </si>
  <si>
    <t>33047</t>
  </si>
  <si>
    <t>RESIA</t>
  </si>
  <si>
    <t>030092</t>
  </si>
  <si>
    <t>RESIUTTA</t>
  </si>
  <si>
    <t>030093</t>
  </si>
  <si>
    <t>RIGOLATO</t>
  </si>
  <si>
    <t>030094</t>
  </si>
  <si>
    <t>RIVE D'ARCANO</t>
  </si>
  <si>
    <t>030095</t>
  </si>
  <si>
    <t>RONCHIS</t>
  </si>
  <si>
    <t>030097</t>
  </si>
  <si>
    <t>RUDA</t>
  </si>
  <si>
    <t>030098</t>
  </si>
  <si>
    <t>SAN DANIELE DEL FRIULI</t>
  </si>
  <si>
    <t>030099</t>
  </si>
  <si>
    <t>33038</t>
  </si>
  <si>
    <t>SAN GIORGIO DI NOGARO</t>
  </si>
  <si>
    <t>030100</t>
  </si>
  <si>
    <t>33058</t>
  </si>
  <si>
    <t>SAN GIOVANNI AL NATISONE</t>
  </si>
  <si>
    <t>030101</t>
  </si>
  <si>
    <t>SAN LEONARDO</t>
  </si>
  <si>
    <t>030102</t>
  </si>
  <si>
    <t>SAN PIETRO AL NATISONE</t>
  </si>
  <si>
    <t>030103</t>
  </si>
  <si>
    <t>33049</t>
  </si>
  <si>
    <t>SANTA MARIA LA LONGA</t>
  </si>
  <si>
    <t>030104</t>
  </si>
  <si>
    <t>SAN VITO AL TORRE</t>
  </si>
  <si>
    <t>030105</t>
  </si>
  <si>
    <t>SAN VITO DI FAGAGNA</t>
  </si>
  <si>
    <t>030106</t>
  </si>
  <si>
    <t>SAURIS</t>
  </si>
  <si>
    <t>030107</t>
  </si>
  <si>
    <t>SAVOGNA</t>
  </si>
  <si>
    <t>030108</t>
  </si>
  <si>
    <t>SEDEGLIANO</t>
  </si>
  <si>
    <t>030109</t>
  </si>
  <si>
    <t>33039</t>
  </si>
  <si>
    <t>SOCCHIEVE</t>
  </si>
  <si>
    <t>030110</t>
  </si>
  <si>
    <t>STREGNA</t>
  </si>
  <si>
    <t>030111</t>
  </si>
  <si>
    <t>SUTRIO</t>
  </si>
  <si>
    <t>030112</t>
  </si>
  <si>
    <t>TAIPANA</t>
  </si>
  <si>
    <t>030113</t>
  </si>
  <si>
    <t>TALMASSONS</t>
  </si>
  <si>
    <t>030114</t>
  </si>
  <si>
    <t>TARCENTO</t>
  </si>
  <si>
    <t>030116</t>
  </si>
  <si>
    <t>33017</t>
  </si>
  <si>
    <t>TARVISIO</t>
  </si>
  <si>
    <t>030117</t>
  </si>
  <si>
    <t>33018</t>
  </si>
  <si>
    <t>TAVAGNACCO</t>
  </si>
  <si>
    <t>030118</t>
  </si>
  <si>
    <t>TERZO D'AQUILEIA</t>
  </si>
  <si>
    <t>030120</t>
  </si>
  <si>
    <t>TOLMEZZO</t>
  </si>
  <si>
    <t>030121</t>
  </si>
  <si>
    <t>33028</t>
  </si>
  <si>
    <t>TORREANO</t>
  </si>
  <si>
    <t>030122</t>
  </si>
  <si>
    <t>TORVISCOSA</t>
  </si>
  <si>
    <t>030123</t>
  </si>
  <si>
    <t>TRASAGHIS</t>
  </si>
  <si>
    <t>030124</t>
  </si>
  <si>
    <t>TREPPO GRANDE</t>
  </si>
  <si>
    <t>030126</t>
  </si>
  <si>
    <t>TRICESIMO</t>
  </si>
  <si>
    <t>030127</t>
  </si>
  <si>
    <t>33019</t>
  </si>
  <si>
    <t>TRIVIGNANO UDINESE</t>
  </si>
  <si>
    <t>030128</t>
  </si>
  <si>
    <t>030129</t>
  </si>
  <si>
    <t>33100</t>
  </si>
  <si>
    <t>VARMO</t>
  </si>
  <si>
    <t>030130</t>
  </si>
  <si>
    <t>VENZONE</t>
  </si>
  <si>
    <t>030131</t>
  </si>
  <si>
    <t>VERZEGNIS</t>
  </si>
  <si>
    <t>030132</t>
  </si>
  <si>
    <t>VILLA SANTINA</t>
  </si>
  <si>
    <t>030133</t>
  </si>
  <si>
    <t>VISCO</t>
  </si>
  <si>
    <t>030135</t>
  </si>
  <si>
    <t>ZUGLIO</t>
  </si>
  <si>
    <t>030136</t>
  </si>
  <si>
    <t>FORGARIA NEL FRIULI</t>
  </si>
  <si>
    <t>030137</t>
  </si>
  <si>
    <t>CAMPOLONGO TAPOGLIANO</t>
  </si>
  <si>
    <t>030138</t>
  </si>
  <si>
    <t>RIVIGNANO TEOR</t>
  </si>
  <si>
    <t>030188</t>
  </si>
  <si>
    <t>SAPPADA</t>
  </si>
  <si>
    <t>030189</t>
  </si>
  <si>
    <t>32047</t>
  </si>
  <si>
    <t>FIUMICELLO VILLA VICENTINA</t>
  </si>
  <si>
    <t>030190</t>
  </si>
  <si>
    <t>TREPPO LIGOSULLO</t>
  </si>
  <si>
    <t>030191</t>
  </si>
  <si>
    <t>CAPRIVA DEL FRIULI</t>
  </si>
  <si>
    <t>031001</t>
  </si>
  <si>
    <t>GO</t>
  </si>
  <si>
    <t>34070</t>
  </si>
  <si>
    <t>CORMONS</t>
  </si>
  <si>
    <t>031002</t>
  </si>
  <si>
    <t>34071</t>
  </si>
  <si>
    <t>DOBERDÒ DEL LAGO</t>
  </si>
  <si>
    <t>031003</t>
  </si>
  <si>
    <t>DOLEGNA DEL COLLIO</t>
  </si>
  <si>
    <t>031004</t>
  </si>
  <si>
    <t>FARRA D'ISONZO</t>
  </si>
  <si>
    <t>031005</t>
  </si>
  <si>
    <t>34072</t>
  </si>
  <si>
    <t>FOGLIANO REDIPUGLIA</t>
  </si>
  <si>
    <t>031006</t>
  </si>
  <si>
    <t>GORIZIA</t>
  </si>
  <si>
    <t>031007</t>
  </si>
  <si>
    <t>34170</t>
  </si>
  <si>
    <t>GRADISCA D'ISONZO</t>
  </si>
  <si>
    <t>031008</t>
  </si>
  <si>
    <t>GRADO</t>
  </si>
  <si>
    <t>031009</t>
  </si>
  <si>
    <t>34073</t>
  </si>
  <si>
    <t>MARIANO DEL FRIULI</t>
  </si>
  <si>
    <t>031010</t>
  </si>
  <si>
    <t>MEDEA</t>
  </si>
  <si>
    <t>031011</t>
  </si>
  <si>
    <t>34076</t>
  </si>
  <si>
    <t>MONFALCONE</t>
  </si>
  <si>
    <t>031012</t>
  </si>
  <si>
    <t>34074</t>
  </si>
  <si>
    <t>MORARO</t>
  </si>
  <si>
    <t>031013</t>
  </si>
  <si>
    <t>MOSSA</t>
  </si>
  <si>
    <t>031014</t>
  </si>
  <si>
    <t>ROMANS D'ISONZO</t>
  </si>
  <si>
    <t>031015</t>
  </si>
  <si>
    <t>RONCHI DEI LEGIONARI</t>
  </si>
  <si>
    <t>031016</t>
  </si>
  <si>
    <t>34077</t>
  </si>
  <si>
    <t>SAGRADO</t>
  </si>
  <si>
    <t>031017</t>
  </si>
  <si>
    <t>34078</t>
  </si>
  <si>
    <t>SAN CANZIAN D'ISONZO</t>
  </si>
  <si>
    <t>031018</t>
  </si>
  <si>
    <t>34075</t>
  </si>
  <si>
    <t>SAN FLORIANO DEL COLLIO</t>
  </si>
  <si>
    <t>031019</t>
  </si>
  <si>
    <t>SAN LORENZO ISONTINO</t>
  </si>
  <si>
    <t>031020</t>
  </si>
  <si>
    <t>SAN PIER D'ISONZO</t>
  </si>
  <si>
    <t>031021</t>
  </si>
  <si>
    <t>SAVOGNA D'ISONZO</t>
  </si>
  <si>
    <t>031022</t>
  </si>
  <si>
    <t>STARANZANO</t>
  </si>
  <si>
    <t>031023</t>
  </si>
  <si>
    <t>34079</t>
  </si>
  <si>
    <t>TURRIACO</t>
  </si>
  <si>
    <t>031024</t>
  </si>
  <si>
    <t>VILLESSE</t>
  </si>
  <si>
    <t>031025</t>
  </si>
  <si>
    <t>DUINO-AURISINA</t>
  </si>
  <si>
    <t>032001</t>
  </si>
  <si>
    <t>TS</t>
  </si>
  <si>
    <t>34011</t>
  </si>
  <si>
    <t>MONRUPINO</t>
  </si>
  <si>
    <t>032002</t>
  </si>
  <si>
    <t>34016</t>
  </si>
  <si>
    <t>MUGGIA</t>
  </si>
  <si>
    <t>032003</t>
  </si>
  <si>
    <t>34015</t>
  </si>
  <si>
    <t>SAN DORLIGO DELLA VALLE-DOLINA</t>
  </si>
  <si>
    <t>032004</t>
  </si>
  <si>
    <t>SGONICO</t>
  </si>
  <si>
    <t>032005</t>
  </si>
  <si>
    <t>34010</t>
  </si>
  <si>
    <t>TRIESTE</t>
  </si>
  <si>
    <t>032006</t>
  </si>
  <si>
    <t>341xx</t>
  </si>
  <si>
    <t>AGAZZANO</t>
  </si>
  <si>
    <t>033001</t>
  </si>
  <si>
    <t>PC</t>
  </si>
  <si>
    <t>29010</t>
  </si>
  <si>
    <t>ALSENO</t>
  </si>
  <si>
    <t>033002</t>
  </si>
  <si>
    <t>BESENZONE</t>
  </si>
  <si>
    <t>033003</t>
  </si>
  <si>
    <t>BETTOLA</t>
  </si>
  <si>
    <t>033004</t>
  </si>
  <si>
    <t>29021</t>
  </si>
  <si>
    <t>BOBBIO</t>
  </si>
  <si>
    <t>033005</t>
  </si>
  <si>
    <t>29022</t>
  </si>
  <si>
    <t>BORGONOVO VAL TIDONE</t>
  </si>
  <si>
    <t>033006</t>
  </si>
  <si>
    <t>29011</t>
  </si>
  <si>
    <t>CADEO</t>
  </si>
  <si>
    <t>033007</t>
  </si>
  <si>
    <t>CALENDASCO</t>
  </si>
  <si>
    <t>033008</t>
  </si>
  <si>
    <t>CAORSO</t>
  </si>
  <si>
    <t>033010</t>
  </si>
  <si>
    <t>29012</t>
  </si>
  <si>
    <t>CARPANETO PIACENTINO</t>
  </si>
  <si>
    <t>033011</t>
  </si>
  <si>
    <t>29013</t>
  </si>
  <si>
    <t>CASTELL'ARQUATO</t>
  </si>
  <si>
    <t>033012</t>
  </si>
  <si>
    <t>29014</t>
  </si>
  <si>
    <t>CASTEL SAN GIOVANNI</t>
  </si>
  <si>
    <t>033013</t>
  </si>
  <si>
    <t>29015</t>
  </si>
  <si>
    <t>CASTELVETRO PIACENTINO</t>
  </si>
  <si>
    <t>033014</t>
  </si>
  <si>
    <t>CERIGNALE</t>
  </si>
  <si>
    <t>033015</t>
  </si>
  <si>
    <t>29020</t>
  </si>
  <si>
    <t>COLI</t>
  </si>
  <si>
    <t>033016</t>
  </si>
  <si>
    <t>CORTE BRUGNATELLA</t>
  </si>
  <si>
    <t>033017</t>
  </si>
  <si>
    <t>CORTEMAGGIORE</t>
  </si>
  <si>
    <t>033018</t>
  </si>
  <si>
    <t>29016</t>
  </si>
  <si>
    <t>FARINI</t>
  </si>
  <si>
    <t>033019</t>
  </si>
  <si>
    <t>29023</t>
  </si>
  <si>
    <t>FERRIERE</t>
  </si>
  <si>
    <t>033020</t>
  </si>
  <si>
    <t>29024</t>
  </si>
  <si>
    <t>FIORENZUOLA D'ARDA</t>
  </si>
  <si>
    <t>033021</t>
  </si>
  <si>
    <t>29017</t>
  </si>
  <si>
    <t>GAZZOLA</t>
  </si>
  <si>
    <t>033022</t>
  </si>
  <si>
    <t>GOSSOLENGO</t>
  </si>
  <si>
    <t>033023</t>
  </si>
  <si>
    <t>GRAGNANO TREBBIENSE</t>
  </si>
  <si>
    <t>033024</t>
  </si>
  <si>
    <t>GROPPARELLO</t>
  </si>
  <si>
    <t>033025</t>
  </si>
  <si>
    <t>29025</t>
  </si>
  <si>
    <t>LUGAGNANO VAL D'ARDA</t>
  </si>
  <si>
    <t>033026</t>
  </si>
  <si>
    <t>29018</t>
  </si>
  <si>
    <t>MONTICELLI D'ONGINA</t>
  </si>
  <si>
    <t>033027</t>
  </si>
  <si>
    <t>MORFASSO</t>
  </si>
  <si>
    <t>033028</t>
  </si>
  <si>
    <t>OTTONE</t>
  </si>
  <si>
    <t>033030</t>
  </si>
  <si>
    <t>29026</t>
  </si>
  <si>
    <t>PIACENZA</t>
  </si>
  <si>
    <t>033032</t>
  </si>
  <si>
    <t>2912x</t>
  </si>
  <si>
    <t>PIANELLO VAL TIDONE</t>
  </si>
  <si>
    <t>033033</t>
  </si>
  <si>
    <t>PIOZZANO</t>
  </si>
  <si>
    <t>033034</t>
  </si>
  <si>
    <t>PODENZANO</t>
  </si>
  <si>
    <t>033035</t>
  </si>
  <si>
    <t>29027</t>
  </si>
  <si>
    <t>PONTE DELL'OLIO</t>
  </si>
  <si>
    <t>033036</t>
  </si>
  <si>
    <t>29028</t>
  </si>
  <si>
    <t>PONTENURE</t>
  </si>
  <si>
    <t>033037</t>
  </si>
  <si>
    <t>RIVERGARO</t>
  </si>
  <si>
    <t>033038</t>
  </si>
  <si>
    <t>29029</t>
  </si>
  <si>
    <t>ROTTOFRENO</t>
  </si>
  <si>
    <t>033039</t>
  </si>
  <si>
    <t>SAN GIORGIO PIACENTINO</t>
  </si>
  <si>
    <t>033040</t>
  </si>
  <si>
    <t>29019</t>
  </si>
  <si>
    <t>SAN PIETRO IN CERRO</t>
  </si>
  <si>
    <t>033041</t>
  </si>
  <si>
    <t>SARMATO</t>
  </si>
  <si>
    <t>033042</t>
  </si>
  <si>
    <t>TRAVO</t>
  </si>
  <si>
    <t>033043</t>
  </si>
  <si>
    <t>VERNASCA</t>
  </si>
  <si>
    <t>033044</t>
  </si>
  <si>
    <t>VIGOLZONE</t>
  </si>
  <si>
    <t>033045</t>
  </si>
  <si>
    <t>VILLANOVA SULL'ARDA</t>
  </si>
  <si>
    <t>033046</t>
  </si>
  <si>
    <t>ZERBA</t>
  </si>
  <si>
    <t>033047</t>
  </si>
  <si>
    <t>ZIANO PIACENTINO</t>
  </si>
  <si>
    <t>033048</t>
  </si>
  <si>
    <t>ALTA VAL TIDONE</t>
  </si>
  <si>
    <t>033049</t>
  </si>
  <si>
    <t>ALBARETO</t>
  </si>
  <si>
    <t>034001</t>
  </si>
  <si>
    <t>PR</t>
  </si>
  <si>
    <t>43051</t>
  </si>
  <si>
    <t>BARDI</t>
  </si>
  <si>
    <t>034002</t>
  </si>
  <si>
    <t>43032</t>
  </si>
  <si>
    <t>BEDONIA</t>
  </si>
  <si>
    <t>034003</t>
  </si>
  <si>
    <t>43041</t>
  </si>
  <si>
    <t>BERCETO</t>
  </si>
  <si>
    <t>034004</t>
  </si>
  <si>
    <t>43042</t>
  </si>
  <si>
    <t>BORE</t>
  </si>
  <si>
    <t>034005</t>
  </si>
  <si>
    <t>43030</t>
  </si>
  <si>
    <t>BORGO VAL DI TARO</t>
  </si>
  <si>
    <t>034006</t>
  </si>
  <si>
    <t>43043</t>
  </si>
  <si>
    <t>BUSSETO</t>
  </si>
  <si>
    <t>034007</t>
  </si>
  <si>
    <t>43011</t>
  </si>
  <si>
    <t>CALESTANO</t>
  </si>
  <si>
    <t>034008</t>
  </si>
  <si>
    <t>COLLECCHIO</t>
  </si>
  <si>
    <t>034009</t>
  </si>
  <si>
    <t>43044</t>
  </si>
  <si>
    <t>COLORNO</t>
  </si>
  <si>
    <t>034010</t>
  </si>
  <si>
    <t>43052</t>
  </si>
  <si>
    <t>COMPIANO</t>
  </si>
  <si>
    <t>034011</t>
  </si>
  <si>
    <t>43053</t>
  </si>
  <si>
    <t>CORNIGLIO</t>
  </si>
  <si>
    <t>034012</t>
  </si>
  <si>
    <t>43021</t>
  </si>
  <si>
    <t>FELINO</t>
  </si>
  <si>
    <t>034013</t>
  </si>
  <si>
    <t>43035</t>
  </si>
  <si>
    <t>FIDENZA</t>
  </si>
  <si>
    <t>034014</t>
  </si>
  <si>
    <t>43036</t>
  </si>
  <si>
    <t>FONTANELLATO</t>
  </si>
  <si>
    <t>034015</t>
  </si>
  <si>
    <t>43012</t>
  </si>
  <si>
    <t>FONTEVIVO</t>
  </si>
  <si>
    <t>034016</t>
  </si>
  <si>
    <t>43010</t>
  </si>
  <si>
    <t>FORNOVO DI TARO</t>
  </si>
  <si>
    <t>034017</t>
  </si>
  <si>
    <t>43045</t>
  </si>
  <si>
    <t>LANGHIRANO</t>
  </si>
  <si>
    <t>034018</t>
  </si>
  <si>
    <t>43013</t>
  </si>
  <si>
    <t>LESIGNANO DE' BAGNI</t>
  </si>
  <si>
    <t>034019</t>
  </si>
  <si>
    <t>43037</t>
  </si>
  <si>
    <t>MEDESANO</t>
  </si>
  <si>
    <t>034020</t>
  </si>
  <si>
    <t>43014</t>
  </si>
  <si>
    <t>MONCHIO DELLE CORTI</t>
  </si>
  <si>
    <t>034022</t>
  </si>
  <si>
    <t>MONTECHIARUGOLO</t>
  </si>
  <si>
    <t>034023</t>
  </si>
  <si>
    <t>43022</t>
  </si>
  <si>
    <t>NEVIANO DEGLI ARDUINI</t>
  </si>
  <si>
    <t>034024</t>
  </si>
  <si>
    <t>43024</t>
  </si>
  <si>
    <t>NOCETO</t>
  </si>
  <si>
    <t>034025</t>
  </si>
  <si>
    <t>43015</t>
  </si>
  <si>
    <t>PALANZANO</t>
  </si>
  <si>
    <t>034026</t>
  </si>
  <si>
    <t>43025</t>
  </si>
  <si>
    <t>PARMA</t>
  </si>
  <si>
    <t>034027</t>
  </si>
  <si>
    <t>4312x</t>
  </si>
  <si>
    <t>PELLEGRINO PARMENSE</t>
  </si>
  <si>
    <t>034028</t>
  </si>
  <si>
    <t>43047</t>
  </si>
  <si>
    <t>ROCCABIANCA</t>
  </si>
  <si>
    <t>034030</t>
  </si>
  <si>
    <t>SALA BAGANZA</t>
  </si>
  <si>
    <t>034031</t>
  </si>
  <si>
    <t>43038</t>
  </si>
  <si>
    <t>SALSOMAGGIORE TERME</t>
  </si>
  <si>
    <t>034032</t>
  </si>
  <si>
    <t>43039</t>
  </si>
  <si>
    <t>SAN SECONDO PARMENSE</t>
  </si>
  <si>
    <t>034033</t>
  </si>
  <si>
    <t>43017</t>
  </si>
  <si>
    <t>SOLIGNANO</t>
  </si>
  <si>
    <t>034035</t>
  </si>
  <si>
    <t>43040</t>
  </si>
  <si>
    <t>SORAGNA</t>
  </si>
  <si>
    <t>034036</t>
  </si>
  <si>
    <t>43019</t>
  </si>
  <si>
    <t>TERENZO</t>
  </si>
  <si>
    <t>034038</t>
  </si>
  <si>
    <t>TIZZANO VAL PARMA</t>
  </si>
  <si>
    <t>034039</t>
  </si>
  <si>
    <t>43028</t>
  </si>
  <si>
    <t>TORNOLO</t>
  </si>
  <si>
    <t>034040</t>
  </si>
  <si>
    <t>43059</t>
  </si>
  <si>
    <t>TORRILE</t>
  </si>
  <si>
    <t>034041</t>
  </si>
  <si>
    <t>43056</t>
  </si>
  <si>
    <t>TRAVERSETOLO</t>
  </si>
  <si>
    <t>034042</t>
  </si>
  <si>
    <t>43029</t>
  </si>
  <si>
    <t>VALMOZZOLA</t>
  </si>
  <si>
    <t>034044</t>
  </si>
  <si>
    <t>43050</t>
  </si>
  <si>
    <t>VARANO DE' MELEGARI</t>
  </si>
  <si>
    <t>034045</t>
  </si>
  <si>
    <t>VARSI</t>
  </si>
  <si>
    <t>034046</t>
  </si>
  <si>
    <t>43049</t>
  </si>
  <si>
    <t>SISSA TRECASALI</t>
  </si>
  <si>
    <t>034049</t>
  </si>
  <si>
    <t>POLESINE ZIBELLO</t>
  </si>
  <si>
    <t>034050</t>
  </si>
  <si>
    <t>SORBOLO MEZZANI</t>
  </si>
  <si>
    <t>034051</t>
  </si>
  <si>
    <t>ALBINEA</t>
  </si>
  <si>
    <t>035001</t>
  </si>
  <si>
    <t>RE</t>
  </si>
  <si>
    <t>42020</t>
  </si>
  <si>
    <t>BAGNOLO IN PIANO</t>
  </si>
  <si>
    <t>035002</t>
  </si>
  <si>
    <t>42011</t>
  </si>
  <si>
    <t>BAISO</t>
  </si>
  <si>
    <t>035003</t>
  </si>
  <si>
    <t>42031</t>
  </si>
  <si>
    <t>BIBBIANO</t>
  </si>
  <si>
    <t>035004</t>
  </si>
  <si>
    <t>42021</t>
  </si>
  <si>
    <t>BORETTO</t>
  </si>
  <si>
    <t>035005</t>
  </si>
  <si>
    <t>42022</t>
  </si>
  <si>
    <t>BRESCELLO</t>
  </si>
  <si>
    <t>035006</t>
  </si>
  <si>
    <t>42041</t>
  </si>
  <si>
    <t>CADELBOSCO DI SOPRA</t>
  </si>
  <si>
    <t>035008</t>
  </si>
  <si>
    <t>42023</t>
  </si>
  <si>
    <t>CAMPAGNOLA EMILIA</t>
  </si>
  <si>
    <t>035009</t>
  </si>
  <si>
    <t>42012</t>
  </si>
  <si>
    <t>CAMPEGINE</t>
  </si>
  <si>
    <t>035010</t>
  </si>
  <si>
    <t>42040</t>
  </si>
  <si>
    <t>CARPINETI</t>
  </si>
  <si>
    <t>035011</t>
  </si>
  <si>
    <t>42033</t>
  </si>
  <si>
    <t>CASALGRANDE</t>
  </si>
  <si>
    <t>035012</t>
  </si>
  <si>
    <t>42013</t>
  </si>
  <si>
    <t>CASINA</t>
  </si>
  <si>
    <t>035013</t>
  </si>
  <si>
    <t>42034</t>
  </si>
  <si>
    <t>CASTELLARANO</t>
  </si>
  <si>
    <t>035014</t>
  </si>
  <si>
    <t>42014</t>
  </si>
  <si>
    <t>CASTELNOVO DI SOTTO</t>
  </si>
  <si>
    <t>035015</t>
  </si>
  <si>
    <t>42024</t>
  </si>
  <si>
    <t>CASTELNOVO NE' MONTI</t>
  </si>
  <si>
    <t>035016</t>
  </si>
  <si>
    <t>42035</t>
  </si>
  <si>
    <t>CAVRIAGO</t>
  </si>
  <si>
    <t>035017</t>
  </si>
  <si>
    <t>42025</t>
  </si>
  <si>
    <t>CANOSSA</t>
  </si>
  <si>
    <t>035018</t>
  </si>
  <si>
    <t>42026</t>
  </si>
  <si>
    <t>CORREGGIO</t>
  </si>
  <si>
    <t>035020</t>
  </si>
  <si>
    <t>42015</t>
  </si>
  <si>
    <t>FABBRICO</t>
  </si>
  <si>
    <t>035021</t>
  </si>
  <si>
    <t>42042</t>
  </si>
  <si>
    <t>GATTATICO</t>
  </si>
  <si>
    <t>035022</t>
  </si>
  <si>
    <t>42043</t>
  </si>
  <si>
    <t>GUALTIERI</t>
  </si>
  <si>
    <t>035023</t>
  </si>
  <si>
    <t>42044</t>
  </si>
  <si>
    <t>GUASTALLA</t>
  </si>
  <si>
    <t>035024</t>
  </si>
  <si>
    <t>42016</t>
  </si>
  <si>
    <t>LUZZARA</t>
  </si>
  <si>
    <t>035026</t>
  </si>
  <si>
    <t>42045</t>
  </si>
  <si>
    <t>MONTECCHIO EMILIA</t>
  </si>
  <si>
    <t>035027</t>
  </si>
  <si>
    <t>42027</t>
  </si>
  <si>
    <t>NOVELLARA</t>
  </si>
  <si>
    <t>035028</t>
  </si>
  <si>
    <t>42017</t>
  </si>
  <si>
    <t>POVIGLIO</t>
  </si>
  <si>
    <t>035029</t>
  </si>
  <si>
    <t>42028</t>
  </si>
  <si>
    <t>QUATTRO CASTELLA</t>
  </si>
  <si>
    <t>035030</t>
  </si>
  <si>
    <t>REGGIOLO</t>
  </si>
  <si>
    <t>035032</t>
  </si>
  <si>
    <t>42046</t>
  </si>
  <si>
    <t>REGGIO NELL'EMILIA</t>
  </si>
  <si>
    <t>035033</t>
  </si>
  <si>
    <t>RIO SALICETO</t>
  </si>
  <si>
    <t>035034</t>
  </si>
  <si>
    <t>42010</t>
  </si>
  <si>
    <t>ROLO</t>
  </si>
  <si>
    <t>035035</t>
  </si>
  <si>
    <t>42047</t>
  </si>
  <si>
    <t>RUBIERA</t>
  </si>
  <si>
    <t>035036</t>
  </si>
  <si>
    <t>42048</t>
  </si>
  <si>
    <t>SAN MARTINO IN RIO</t>
  </si>
  <si>
    <t>035037</t>
  </si>
  <si>
    <t>42018</t>
  </si>
  <si>
    <t>SAN POLO D'ENZA</t>
  </si>
  <si>
    <t>035038</t>
  </si>
  <si>
    <t>SANT'ILARIO D'ENZA</t>
  </si>
  <si>
    <t>035039</t>
  </si>
  <si>
    <t>42049</t>
  </si>
  <si>
    <t>SCANDIANO</t>
  </si>
  <si>
    <t>035040</t>
  </si>
  <si>
    <t>42019</t>
  </si>
  <si>
    <t>TOANO</t>
  </si>
  <si>
    <t>035041</t>
  </si>
  <si>
    <t>VETTO</t>
  </si>
  <si>
    <t>035042</t>
  </si>
  <si>
    <t>VEZZANO SUL CROSTOLO</t>
  </si>
  <si>
    <t>035043</t>
  </si>
  <si>
    <t>42030</t>
  </si>
  <si>
    <t>VIANO</t>
  </si>
  <si>
    <t>035044</t>
  </si>
  <si>
    <t>VILLA MINOZZO</t>
  </si>
  <si>
    <t>035045</t>
  </si>
  <si>
    <t>VENTASSO</t>
  </si>
  <si>
    <t>035046</t>
  </si>
  <si>
    <t>BASTIGLIA</t>
  </si>
  <si>
    <t>036001</t>
  </si>
  <si>
    <t>MO</t>
  </si>
  <si>
    <t>41030</t>
  </si>
  <si>
    <t>BOMPORTO</t>
  </si>
  <si>
    <t>036002</t>
  </si>
  <si>
    <t>CAMPOGALLIANO</t>
  </si>
  <si>
    <t>036003</t>
  </si>
  <si>
    <t>41011</t>
  </si>
  <si>
    <t>CAMPOSANTO</t>
  </si>
  <si>
    <t>036004</t>
  </si>
  <si>
    <t>41031</t>
  </si>
  <si>
    <t>CARPI</t>
  </si>
  <si>
    <t>036005</t>
  </si>
  <si>
    <t>41012</t>
  </si>
  <si>
    <t>CASTELFRANCO EMILIA</t>
  </si>
  <si>
    <t>036006</t>
  </si>
  <si>
    <t>41013</t>
  </si>
  <si>
    <t>CASTELNUOVO RANGONE</t>
  </si>
  <si>
    <t>036007</t>
  </si>
  <si>
    <t>41051</t>
  </si>
  <si>
    <t>CASTELVETRO DI MODENA</t>
  </si>
  <si>
    <t>036008</t>
  </si>
  <si>
    <t>41014</t>
  </si>
  <si>
    <t>CAVEZZO</t>
  </si>
  <si>
    <t>036009</t>
  </si>
  <si>
    <t>41032</t>
  </si>
  <si>
    <t>CONCORDIA SULLA SECCHIA</t>
  </si>
  <si>
    <t>036010</t>
  </si>
  <si>
    <t>41033</t>
  </si>
  <si>
    <t>FANANO</t>
  </si>
  <si>
    <t>036011</t>
  </si>
  <si>
    <t>41021</t>
  </si>
  <si>
    <t>FINALE EMILIA</t>
  </si>
  <si>
    <t>036012</t>
  </si>
  <si>
    <t>41034</t>
  </si>
  <si>
    <t>FIORANO MODENESE</t>
  </si>
  <si>
    <t>036013</t>
  </si>
  <si>
    <t>41042</t>
  </si>
  <si>
    <t>FIUMALBO</t>
  </si>
  <si>
    <t>036014</t>
  </si>
  <si>
    <t>41022</t>
  </si>
  <si>
    <t>FORMIGINE</t>
  </si>
  <si>
    <t>036015</t>
  </si>
  <si>
    <t>41043</t>
  </si>
  <si>
    <t>FRASSINORO</t>
  </si>
  <si>
    <t>036016</t>
  </si>
  <si>
    <t>41044</t>
  </si>
  <si>
    <t>GUIGLIA</t>
  </si>
  <si>
    <t>036017</t>
  </si>
  <si>
    <t>41052</t>
  </si>
  <si>
    <t>LAMA MOCOGNO</t>
  </si>
  <si>
    <t>036018</t>
  </si>
  <si>
    <t>41023</t>
  </si>
  <si>
    <t>MARANELLO</t>
  </si>
  <si>
    <t>036019</t>
  </si>
  <si>
    <t>41053</t>
  </si>
  <si>
    <t>MARANO SUL PANARO</t>
  </si>
  <si>
    <t>036020</t>
  </si>
  <si>
    <t>41054</t>
  </si>
  <si>
    <t>MEDOLLA</t>
  </si>
  <si>
    <t>036021</t>
  </si>
  <si>
    <t>41036</t>
  </si>
  <si>
    <t>MIRANDOLA</t>
  </si>
  <si>
    <t>036022</t>
  </si>
  <si>
    <t>41037</t>
  </si>
  <si>
    <t>MODENA</t>
  </si>
  <si>
    <t>036023</t>
  </si>
  <si>
    <t>4112x</t>
  </si>
  <si>
    <t>MONTECRETO</t>
  </si>
  <si>
    <t>036024</t>
  </si>
  <si>
    <t>41025</t>
  </si>
  <si>
    <t>MONTEFIORINO</t>
  </si>
  <si>
    <t>036025</t>
  </si>
  <si>
    <t>41045</t>
  </si>
  <si>
    <t>MONTESE</t>
  </si>
  <si>
    <t>036026</t>
  </si>
  <si>
    <t>41055</t>
  </si>
  <si>
    <t>NONANTOLA</t>
  </si>
  <si>
    <t>036027</t>
  </si>
  <si>
    <t>41015</t>
  </si>
  <si>
    <t>NOVI DI MODENA</t>
  </si>
  <si>
    <t>036028</t>
  </si>
  <si>
    <t>41016</t>
  </si>
  <si>
    <t>PALAGANO</t>
  </si>
  <si>
    <t>036029</t>
  </si>
  <si>
    <t>41046</t>
  </si>
  <si>
    <t>PAVULLO NEL FRIGNANO</t>
  </si>
  <si>
    <t>036030</t>
  </si>
  <si>
    <t>41026</t>
  </si>
  <si>
    <t>PIEVEPELAGO</t>
  </si>
  <si>
    <t>036031</t>
  </si>
  <si>
    <t>41027</t>
  </si>
  <si>
    <t>POLINAGO</t>
  </si>
  <si>
    <t>036032</t>
  </si>
  <si>
    <t>41040</t>
  </si>
  <si>
    <t>PRIGNANO SULLA SECCHIA</t>
  </si>
  <si>
    <t>036033</t>
  </si>
  <si>
    <t>41048</t>
  </si>
  <si>
    <t>RAVARINO</t>
  </si>
  <si>
    <t>036034</t>
  </si>
  <si>
    <t>41017</t>
  </si>
  <si>
    <t>RIOLUNATO</t>
  </si>
  <si>
    <t>036035</t>
  </si>
  <si>
    <t>41020</t>
  </si>
  <si>
    <t>SAN CESARIO SUL PANARO</t>
  </si>
  <si>
    <t>036036</t>
  </si>
  <si>
    <t>41018</t>
  </si>
  <si>
    <t>SAN FELICE SUL PANARO</t>
  </si>
  <si>
    <t>036037</t>
  </si>
  <si>
    <t>41038</t>
  </si>
  <si>
    <t>SAN POSSIDONIO</t>
  </si>
  <si>
    <t>036038</t>
  </si>
  <si>
    <t>41039</t>
  </si>
  <si>
    <t>SAN PROSPERO</t>
  </si>
  <si>
    <t>036039</t>
  </si>
  <si>
    <t>SASSUOLO</t>
  </si>
  <si>
    <t>036040</t>
  </si>
  <si>
    <t>41049</t>
  </si>
  <si>
    <t>SAVIGNANO SUL PANARO</t>
  </si>
  <si>
    <t>036041</t>
  </si>
  <si>
    <t>41056</t>
  </si>
  <si>
    <t>SERRAMAZZONI</t>
  </si>
  <si>
    <t>036042</t>
  </si>
  <si>
    <t>41028</t>
  </si>
  <si>
    <t>SESTOLA</t>
  </si>
  <si>
    <t>036043</t>
  </si>
  <si>
    <t>41029</t>
  </si>
  <si>
    <t>SOLIERA</t>
  </si>
  <si>
    <t>036044</t>
  </si>
  <si>
    <t>41019</t>
  </si>
  <si>
    <t>SPILAMBERTO</t>
  </si>
  <si>
    <t>036045</t>
  </si>
  <si>
    <t>41057</t>
  </si>
  <si>
    <t>VIGNOLA</t>
  </si>
  <si>
    <t>036046</t>
  </si>
  <si>
    <t>41058</t>
  </si>
  <si>
    <t>ZOCCA</t>
  </si>
  <si>
    <t>036047</t>
  </si>
  <si>
    <t>41059</t>
  </si>
  <si>
    <t>ANZOLA DELL'EMILIA</t>
  </si>
  <si>
    <t>037001</t>
  </si>
  <si>
    <t>BO</t>
  </si>
  <si>
    <t>40011</t>
  </si>
  <si>
    <t>ARGELATO</t>
  </si>
  <si>
    <t>037002</t>
  </si>
  <si>
    <t>40050</t>
  </si>
  <si>
    <t>BARICELLA</t>
  </si>
  <si>
    <t>037003</t>
  </si>
  <si>
    <t>40052</t>
  </si>
  <si>
    <t>BENTIVOGLIO</t>
  </si>
  <si>
    <t>037005</t>
  </si>
  <si>
    <t>40010</t>
  </si>
  <si>
    <t>BOLOGNA</t>
  </si>
  <si>
    <t>037006</t>
  </si>
  <si>
    <t>401xx</t>
  </si>
  <si>
    <t>BORGO TOSSIGNANO</t>
  </si>
  <si>
    <t>037007</t>
  </si>
  <si>
    <t>40021</t>
  </si>
  <si>
    <t>BUDRIO</t>
  </si>
  <si>
    <t>037008</t>
  </si>
  <si>
    <t>40054</t>
  </si>
  <si>
    <t>CALDERARA DI RENO</t>
  </si>
  <si>
    <t>037009</t>
  </si>
  <si>
    <t>40012</t>
  </si>
  <si>
    <t>CAMUGNANO</t>
  </si>
  <si>
    <t>037010</t>
  </si>
  <si>
    <t>40032</t>
  </si>
  <si>
    <t>CASALECCHIO DI RENO</t>
  </si>
  <si>
    <t>037011</t>
  </si>
  <si>
    <t>40033</t>
  </si>
  <si>
    <t>CASALFIUMANESE</t>
  </si>
  <si>
    <t>037012</t>
  </si>
  <si>
    <t>40020</t>
  </si>
  <si>
    <t>CASTEL D'AIANO</t>
  </si>
  <si>
    <t>037013</t>
  </si>
  <si>
    <t>40034</t>
  </si>
  <si>
    <t>CASTEL DEL RIO</t>
  </si>
  <si>
    <t>037014</t>
  </si>
  <si>
    <t>40022</t>
  </si>
  <si>
    <t>CASTEL DI CASIO</t>
  </si>
  <si>
    <t>037015</t>
  </si>
  <si>
    <t>40030</t>
  </si>
  <si>
    <t>CASTEL GUELFO DI BOLOGNA</t>
  </si>
  <si>
    <t>037016</t>
  </si>
  <si>
    <t>40023</t>
  </si>
  <si>
    <t>CASTELLO D'ARGILE</t>
  </si>
  <si>
    <t>037017</t>
  </si>
  <si>
    <t>CASTEL MAGGIORE</t>
  </si>
  <si>
    <t>037019</t>
  </si>
  <si>
    <t>40013</t>
  </si>
  <si>
    <t>CASTEL SAN PIETRO TERME</t>
  </si>
  <si>
    <t>037020</t>
  </si>
  <si>
    <t>40024</t>
  </si>
  <si>
    <t>CASTENASO</t>
  </si>
  <si>
    <t>037021</t>
  </si>
  <si>
    <t>40055</t>
  </si>
  <si>
    <t>CASTIGLIONE DEI PEPOLI</t>
  </si>
  <si>
    <t>037022</t>
  </si>
  <si>
    <t>40035</t>
  </si>
  <si>
    <t>CREVALCORE</t>
  </si>
  <si>
    <t>037024</t>
  </si>
  <si>
    <t>40014</t>
  </si>
  <si>
    <t>DOZZA</t>
  </si>
  <si>
    <t>037025</t>
  </si>
  <si>
    <t>40060</t>
  </si>
  <si>
    <t>FONTANELICE</t>
  </si>
  <si>
    <t>037026</t>
  </si>
  <si>
    <t>40025</t>
  </si>
  <si>
    <t>GAGGIO MONTANO</t>
  </si>
  <si>
    <t>037027</t>
  </si>
  <si>
    <t>40041</t>
  </si>
  <si>
    <t>GALLIERA</t>
  </si>
  <si>
    <t>037028</t>
  </si>
  <si>
    <t>40015</t>
  </si>
  <si>
    <t>GRANAROLO DELL'EMILIA</t>
  </si>
  <si>
    <t>037030</t>
  </si>
  <si>
    <t>40057</t>
  </si>
  <si>
    <t>GRIZZANA MORANDI</t>
  </si>
  <si>
    <t>037031</t>
  </si>
  <si>
    <t>IMOLA</t>
  </si>
  <si>
    <t>037032</t>
  </si>
  <si>
    <t>40026</t>
  </si>
  <si>
    <t>LIZZANO IN BELVEDERE</t>
  </si>
  <si>
    <t>037033</t>
  </si>
  <si>
    <t>40042</t>
  </si>
  <si>
    <t>LOIANO</t>
  </si>
  <si>
    <t>037034</t>
  </si>
  <si>
    <t>MALALBERGO</t>
  </si>
  <si>
    <t>037035</t>
  </si>
  <si>
    <t>40051</t>
  </si>
  <si>
    <t>MARZABOTTO</t>
  </si>
  <si>
    <t>037036</t>
  </si>
  <si>
    <t>40043</t>
  </si>
  <si>
    <t>MEDICINA</t>
  </si>
  <si>
    <t>037037</t>
  </si>
  <si>
    <t>40059</t>
  </si>
  <si>
    <t>MINERBIO</t>
  </si>
  <si>
    <t>037038</t>
  </si>
  <si>
    <t>40061</t>
  </si>
  <si>
    <t>MOLINELLA</t>
  </si>
  <si>
    <t>037039</t>
  </si>
  <si>
    <t>40062</t>
  </si>
  <si>
    <t>MONGHIDORO</t>
  </si>
  <si>
    <t>037040</t>
  </si>
  <si>
    <t>40063</t>
  </si>
  <si>
    <t>MONTERENZIO</t>
  </si>
  <si>
    <t>037041</t>
  </si>
  <si>
    <t>MONTE SAN PIETRO</t>
  </si>
  <si>
    <t>037042</t>
  </si>
  <si>
    <t>MONZUNO</t>
  </si>
  <si>
    <t>037044</t>
  </si>
  <si>
    <t>40036</t>
  </si>
  <si>
    <t>MORDANO</t>
  </si>
  <si>
    <t>037045</t>
  </si>
  <si>
    <t>40027</t>
  </si>
  <si>
    <t>OZZANO DELL'EMILIA</t>
  </si>
  <si>
    <t>037046</t>
  </si>
  <si>
    <t>40064</t>
  </si>
  <si>
    <t>PIANORO</t>
  </si>
  <si>
    <t>037047</t>
  </si>
  <si>
    <t>40065</t>
  </si>
  <si>
    <t>PIEVE DI CENTO</t>
  </si>
  <si>
    <t>037048</t>
  </si>
  <si>
    <t>40066</t>
  </si>
  <si>
    <t>SALA BOLOGNESE</t>
  </si>
  <si>
    <t>037050</t>
  </si>
  <si>
    <t>SAN BENEDETTO VAL DI SAMBRO</t>
  </si>
  <si>
    <t>037051</t>
  </si>
  <si>
    <t>40048</t>
  </si>
  <si>
    <t>SAN GIORGIO DI PIANO</t>
  </si>
  <si>
    <t>037052</t>
  </si>
  <si>
    <t>40016</t>
  </si>
  <si>
    <t>SAN GIOVANNI IN PERSICETO</t>
  </si>
  <si>
    <t>037053</t>
  </si>
  <si>
    <t>40017</t>
  </si>
  <si>
    <t>SAN LAZZARO DI SAVENA</t>
  </si>
  <si>
    <t>037054</t>
  </si>
  <si>
    <t>40068</t>
  </si>
  <si>
    <t>SAN PIETRO IN CASALE</t>
  </si>
  <si>
    <t>037055</t>
  </si>
  <si>
    <t>40018</t>
  </si>
  <si>
    <t>SANT'AGATA BOLOGNESE</t>
  </si>
  <si>
    <t>037056</t>
  </si>
  <si>
    <t>40019</t>
  </si>
  <si>
    <t>SASSO MARCONI</t>
  </si>
  <si>
    <t>037057</t>
  </si>
  <si>
    <t>40037</t>
  </si>
  <si>
    <t>VERGATO</t>
  </si>
  <si>
    <t>037059</t>
  </si>
  <si>
    <t>40038</t>
  </si>
  <si>
    <t>ZOLA PREDOSA</t>
  </si>
  <si>
    <t>037060</t>
  </si>
  <si>
    <t>40069</t>
  </si>
  <si>
    <t>VALSAMOGGIA</t>
  </si>
  <si>
    <t>037061</t>
  </si>
  <si>
    <t>ALTO RENO TERME</t>
  </si>
  <si>
    <t>037062</t>
  </si>
  <si>
    <t>ARGENTA</t>
  </si>
  <si>
    <t>038001</t>
  </si>
  <si>
    <t>FE</t>
  </si>
  <si>
    <t>44011</t>
  </si>
  <si>
    <t>BONDENO</t>
  </si>
  <si>
    <t>038003</t>
  </si>
  <si>
    <t>44012</t>
  </si>
  <si>
    <t>CENTO</t>
  </si>
  <si>
    <t>038004</t>
  </si>
  <si>
    <t>44042</t>
  </si>
  <si>
    <t>CODIGORO</t>
  </si>
  <si>
    <t>038005</t>
  </si>
  <si>
    <t>44021</t>
  </si>
  <si>
    <t>COMACCHIO</t>
  </si>
  <si>
    <t>038006</t>
  </si>
  <si>
    <t>44022</t>
  </si>
  <si>
    <t>COPPARO</t>
  </si>
  <si>
    <t>038007</t>
  </si>
  <si>
    <t>44034</t>
  </si>
  <si>
    <t>FERRARA</t>
  </si>
  <si>
    <t>038008</t>
  </si>
  <si>
    <t>4412x</t>
  </si>
  <si>
    <t>JOLANDA DI SAVOIA</t>
  </si>
  <si>
    <t>038010</t>
  </si>
  <si>
    <t>44037</t>
  </si>
  <si>
    <t>LAGOSANTO</t>
  </si>
  <si>
    <t>038011</t>
  </si>
  <si>
    <t>44023</t>
  </si>
  <si>
    <t>MASI TORELLO</t>
  </si>
  <si>
    <t>038012</t>
  </si>
  <si>
    <t>44020</t>
  </si>
  <si>
    <t>MESOLA</t>
  </si>
  <si>
    <t>038014</t>
  </si>
  <si>
    <t>44026</t>
  </si>
  <si>
    <t>OSTELLATO</t>
  </si>
  <si>
    <t>038017</t>
  </si>
  <si>
    <t>POGGIO RENATICO</t>
  </si>
  <si>
    <t>038018</t>
  </si>
  <si>
    <t>44028</t>
  </si>
  <si>
    <t>PORTOMAGGIORE</t>
  </si>
  <si>
    <t>038019</t>
  </si>
  <si>
    <t>44015</t>
  </si>
  <si>
    <t>VIGARANO MAINARDA</t>
  </si>
  <si>
    <t>038022</t>
  </si>
  <si>
    <t>44049</t>
  </si>
  <si>
    <t>VOGHIERA</t>
  </si>
  <si>
    <t>038023</t>
  </si>
  <si>
    <t>44019</t>
  </si>
  <si>
    <t>GORO</t>
  </si>
  <si>
    <t>038025</t>
  </si>
  <si>
    <t>FISCAGLIA</t>
  </si>
  <si>
    <t>038027</t>
  </si>
  <si>
    <t>TERRE DEL RENO</t>
  </si>
  <si>
    <t>038028</t>
  </si>
  <si>
    <t>RIVA DEL PO</t>
  </si>
  <si>
    <t>038029</t>
  </si>
  <si>
    <t>TRESIGNANA</t>
  </si>
  <si>
    <t>038030</t>
  </si>
  <si>
    <t>ALFONSINE</t>
  </si>
  <si>
    <t>039001</t>
  </si>
  <si>
    <t>RA</t>
  </si>
  <si>
    <t>48011</t>
  </si>
  <si>
    <t>BAGNACAVALLO</t>
  </si>
  <si>
    <t>039002</t>
  </si>
  <si>
    <t>48012</t>
  </si>
  <si>
    <t>BAGNARA DI ROMAGNA</t>
  </si>
  <si>
    <t>039003</t>
  </si>
  <si>
    <t>48010</t>
  </si>
  <si>
    <t>BRISIGHELLA</t>
  </si>
  <si>
    <t>039004</t>
  </si>
  <si>
    <t>48013</t>
  </si>
  <si>
    <t>CASOLA VALSENIO</t>
  </si>
  <si>
    <t>039005</t>
  </si>
  <si>
    <t>CASTEL BOLOGNESE</t>
  </si>
  <si>
    <t>039006</t>
  </si>
  <si>
    <t>48014</t>
  </si>
  <si>
    <t>CERVIA</t>
  </si>
  <si>
    <t>039007</t>
  </si>
  <si>
    <t>48015</t>
  </si>
  <si>
    <t>CONSELICE</t>
  </si>
  <si>
    <t>039008</t>
  </si>
  <si>
    <t>48017</t>
  </si>
  <si>
    <t>COTIGNOLA</t>
  </si>
  <si>
    <t>039009</t>
  </si>
  <si>
    <t>FAENZA</t>
  </si>
  <si>
    <t>039010</t>
  </si>
  <si>
    <t>48018</t>
  </si>
  <si>
    <t>FUSIGNANO</t>
  </si>
  <si>
    <t>039011</t>
  </si>
  <si>
    <t>LUGO</t>
  </si>
  <si>
    <t>039012</t>
  </si>
  <si>
    <t>48022</t>
  </si>
  <si>
    <t>MASSA LOMBARDA</t>
  </si>
  <si>
    <t>039013</t>
  </si>
  <si>
    <t>48024</t>
  </si>
  <si>
    <t>RAVENNA</t>
  </si>
  <si>
    <t>039014</t>
  </si>
  <si>
    <t>4812x</t>
  </si>
  <si>
    <t>RIOLO TERME</t>
  </si>
  <si>
    <t>039015</t>
  </si>
  <si>
    <t>48025</t>
  </si>
  <si>
    <t>RUSSI</t>
  </si>
  <si>
    <t>039016</t>
  </si>
  <si>
    <t>48026</t>
  </si>
  <si>
    <t>SANT'AGATA SUL SANTERNO</t>
  </si>
  <si>
    <t>039017</t>
  </si>
  <si>
    <t>48020</t>
  </si>
  <si>
    <t>SOLAROLO</t>
  </si>
  <si>
    <t>039018</t>
  </si>
  <si>
    <t>48027</t>
  </si>
  <si>
    <t>BAGNO DI ROMAGNA</t>
  </si>
  <si>
    <t>040001</t>
  </si>
  <si>
    <t>FC</t>
  </si>
  <si>
    <t>47021</t>
  </si>
  <si>
    <t>BERTINORO</t>
  </si>
  <si>
    <t>040003</t>
  </si>
  <si>
    <t>47032</t>
  </si>
  <si>
    <t>BORGHI</t>
  </si>
  <si>
    <t>040004</t>
  </si>
  <si>
    <t>47030</t>
  </si>
  <si>
    <t>CASTROCARO TERME E TERRA DEL SOLE</t>
  </si>
  <si>
    <t>040005</t>
  </si>
  <si>
    <t>47011</t>
  </si>
  <si>
    <t>CESENA</t>
  </si>
  <si>
    <t>040007</t>
  </si>
  <si>
    <t>4752x</t>
  </si>
  <si>
    <t>CESENATICO</t>
  </si>
  <si>
    <t>040008</t>
  </si>
  <si>
    <t>47042</t>
  </si>
  <si>
    <t>CIVITELLA DI ROMAGNA</t>
  </si>
  <si>
    <t>040009</t>
  </si>
  <si>
    <t>47012</t>
  </si>
  <si>
    <t>DOVADOLA</t>
  </si>
  <si>
    <t>040011</t>
  </si>
  <si>
    <t>47013</t>
  </si>
  <si>
    <t>FORLÌ</t>
  </si>
  <si>
    <t>040012</t>
  </si>
  <si>
    <t>4712x</t>
  </si>
  <si>
    <t>FORLIMPOPOLI</t>
  </si>
  <si>
    <t>040013</t>
  </si>
  <si>
    <t>47034</t>
  </si>
  <si>
    <t>GALEATA</t>
  </si>
  <si>
    <t>040014</t>
  </si>
  <si>
    <t>47010</t>
  </si>
  <si>
    <t>GAMBETTOLA</t>
  </si>
  <si>
    <t>040015</t>
  </si>
  <si>
    <t>47035</t>
  </si>
  <si>
    <t>GATTEO</t>
  </si>
  <si>
    <t>040016</t>
  </si>
  <si>
    <t>47043</t>
  </si>
  <si>
    <t>LONGIANO</t>
  </si>
  <si>
    <t>040018</t>
  </si>
  <si>
    <t>47020</t>
  </si>
  <si>
    <t>MELDOLA</t>
  </si>
  <si>
    <t>040019</t>
  </si>
  <si>
    <t>47014</t>
  </si>
  <si>
    <t>MERCATO SARACENO</t>
  </si>
  <si>
    <t>040020</t>
  </si>
  <si>
    <t>47025</t>
  </si>
  <si>
    <t>MODIGLIANA</t>
  </si>
  <si>
    <t>040022</t>
  </si>
  <si>
    <t>47015</t>
  </si>
  <si>
    <t>MONTIANO</t>
  </si>
  <si>
    <t>040028</t>
  </si>
  <si>
    <t>PORTICO E SAN BENEDETTO</t>
  </si>
  <si>
    <t>040031</t>
  </si>
  <si>
    <t>PREDAPPIO</t>
  </si>
  <si>
    <t>040032</t>
  </si>
  <si>
    <t>47016</t>
  </si>
  <si>
    <t>PREMILCUORE</t>
  </si>
  <si>
    <t>040033</t>
  </si>
  <si>
    <t>ROCCA SAN CASCIANO</t>
  </si>
  <si>
    <t>040036</t>
  </si>
  <si>
    <t>47017</t>
  </si>
  <si>
    <t>RONCOFREDDO</t>
  </si>
  <si>
    <t>040037</t>
  </si>
  <si>
    <t>SAN MAURO PASCOLI</t>
  </si>
  <si>
    <t>040041</t>
  </si>
  <si>
    <t>SANTA SOFIA</t>
  </si>
  <si>
    <t>040043</t>
  </si>
  <si>
    <t>47018</t>
  </si>
  <si>
    <t>SARSINA</t>
  </si>
  <si>
    <t>040044</t>
  </si>
  <si>
    <t>47027</t>
  </si>
  <si>
    <t>SAVIGNANO SUL RUBICONE</t>
  </si>
  <si>
    <t>040045</t>
  </si>
  <si>
    <t>47039</t>
  </si>
  <si>
    <t>SOGLIANO AL RUBICONE</t>
  </si>
  <si>
    <t>040046</t>
  </si>
  <si>
    <t>TREDOZIO</t>
  </si>
  <si>
    <t>040049</t>
  </si>
  <si>
    <t>47019</t>
  </si>
  <si>
    <t>VERGHERETO</t>
  </si>
  <si>
    <t>040050</t>
  </si>
  <si>
    <t>47028</t>
  </si>
  <si>
    <t>ACQUALAGNA</t>
  </si>
  <si>
    <t>041001</t>
  </si>
  <si>
    <t>PU</t>
  </si>
  <si>
    <t>61041</t>
  </si>
  <si>
    <t>APECCHIO</t>
  </si>
  <si>
    <t>041002</t>
  </si>
  <si>
    <t>61042</t>
  </si>
  <si>
    <t>BELFORTE ALL'ISAURO</t>
  </si>
  <si>
    <t>041005</t>
  </si>
  <si>
    <t>61026</t>
  </si>
  <si>
    <t>BORGO PACE</t>
  </si>
  <si>
    <t>041006</t>
  </si>
  <si>
    <t>61040</t>
  </si>
  <si>
    <t>CAGLI</t>
  </si>
  <si>
    <t>041007</t>
  </si>
  <si>
    <t>61043</t>
  </si>
  <si>
    <t>CANTIANO</t>
  </si>
  <si>
    <t>041008</t>
  </si>
  <si>
    <t>61044</t>
  </si>
  <si>
    <t>CARPEGNA</t>
  </si>
  <si>
    <t>041009</t>
  </si>
  <si>
    <t>61021</t>
  </si>
  <si>
    <t>CARTOCETO</t>
  </si>
  <si>
    <t>041010</t>
  </si>
  <si>
    <t>61030</t>
  </si>
  <si>
    <t>FANO</t>
  </si>
  <si>
    <t>041013</t>
  </si>
  <si>
    <t>61032</t>
  </si>
  <si>
    <t>FERMIGNANO</t>
  </si>
  <si>
    <t>041014</t>
  </si>
  <si>
    <t>61033</t>
  </si>
  <si>
    <t>FOSSOMBRONE</t>
  </si>
  <si>
    <t>041015</t>
  </si>
  <si>
    <t>61034</t>
  </si>
  <si>
    <t>FRATTE ROSA</t>
  </si>
  <si>
    <t>041016</t>
  </si>
  <si>
    <t>FRONTINO</t>
  </si>
  <si>
    <t>041017</t>
  </si>
  <si>
    <t>FRONTONE</t>
  </si>
  <si>
    <t>041018</t>
  </si>
  <si>
    <t>GABICCE MARE</t>
  </si>
  <si>
    <t>041019</t>
  </si>
  <si>
    <t>61011</t>
  </si>
  <si>
    <t>GRADARA</t>
  </si>
  <si>
    <t>041020</t>
  </si>
  <si>
    <t>61012</t>
  </si>
  <si>
    <t>ISOLA DEL PIANO</t>
  </si>
  <si>
    <t>041021</t>
  </si>
  <si>
    <t>LUNANO</t>
  </si>
  <si>
    <t>041022</t>
  </si>
  <si>
    <t>MACERATA FELTRIA</t>
  </si>
  <si>
    <t>041023</t>
  </si>
  <si>
    <t>61023</t>
  </si>
  <si>
    <t>MERCATELLO SUL METAURO</t>
  </si>
  <si>
    <t>041025</t>
  </si>
  <si>
    <t>MERCATINO CONCA</t>
  </si>
  <si>
    <t>041026</t>
  </si>
  <si>
    <t>61013</t>
  </si>
  <si>
    <t>MOMBAROCCIO</t>
  </si>
  <si>
    <t>041027</t>
  </si>
  <si>
    <t>61024</t>
  </si>
  <si>
    <t>MONDAVIO</t>
  </si>
  <si>
    <t>041028</t>
  </si>
  <si>
    <t>MONDOLFO</t>
  </si>
  <si>
    <t>041029</t>
  </si>
  <si>
    <t>61037</t>
  </si>
  <si>
    <t>MONTECALVO IN FOGLIA</t>
  </si>
  <si>
    <t>041030</t>
  </si>
  <si>
    <t>61020</t>
  </si>
  <si>
    <t>MONTE CERIGNONE</t>
  </si>
  <si>
    <t>041031</t>
  </si>
  <si>
    <t>61010</t>
  </si>
  <si>
    <t>MONTEFELCINO</t>
  </si>
  <si>
    <t>041034</t>
  </si>
  <si>
    <t>MONTE GRIMANO TERME</t>
  </si>
  <si>
    <t>041035</t>
  </si>
  <si>
    <t>MONTELABBATE</t>
  </si>
  <si>
    <t>041036</t>
  </si>
  <si>
    <t>61025</t>
  </si>
  <si>
    <t>MONTE PORZIO</t>
  </si>
  <si>
    <t>041038</t>
  </si>
  <si>
    <t>041041</t>
  </si>
  <si>
    <t>PERGOLA</t>
  </si>
  <si>
    <t>041043</t>
  </si>
  <si>
    <t>61045</t>
  </si>
  <si>
    <t>PESARO</t>
  </si>
  <si>
    <t>041044</t>
  </si>
  <si>
    <t>6112x</t>
  </si>
  <si>
    <t>PETRIANO</t>
  </si>
  <si>
    <t>041045</t>
  </si>
  <si>
    <t>PIANDIMELETO</t>
  </si>
  <si>
    <t>041047</t>
  </si>
  <si>
    <t>PIETRARUBBIA</t>
  </si>
  <si>
    <t>041048</t>
  </si>
  <si>
    <t>PIOBBICO</t>
  </si>
  <si>
    <t>041049</t>
  </si>
  <si>
    <t>61046</t>
  </si>
  <si>
    <t>SAN COSTANZO</t>
  </si>
  <si>
    <t>041051</t>
  </si>
  <si>
    <t>61039</t>
  </si>
  <si>
    <t>SAN LORENZO IN CAMPO</t>
  </si>
  <si>
    <t>041054</t>
  </si>
  <si>
    <t>61047</t>
  </si>
  <si>
    <t>SANT'ANGELO IN VADO</t>
  </si>
  <si>
    <t>041057</t>
  </si>
  <si>
    <t>61048</t>
  </si>
  <si>
    <t>SANT'IPPOLITO</t>
  </si>
  <si>
    <t>041058</t>
  </si>
  <si>
    <t>SERRA SANT'ABBONDIO</t>
  </si>
  <si>
    <t>041061</t>
  </si>
  <si>
    <t>TAVOLETO</t>
  </si>
  <si>
    <t>041064</t>
  </si>
  <si>
    <t>TAVULLIA</t>
  </si>
  <si>
    <t>041065</t>
  </si>
  <si>
    <t>URBANIA</t>
  </si>
  <si>
    <t>041066</t>
  </si>
  <si>
    <t>61049</t>
  </si>
  <si>
    <t>URBINO</t>
  </si>
  <si>
    <t>041067</t>
  </si>
  <si>
    <t>61029</t>
  </si>
  <si>
    <t>VALLEFOGLIA</t>
  </si>
  <si>
    <t>041068</t>
  </si>
  <si>
    <t>COLLI AL METAURO</t>
  </si>
  <si>
    <t>041069</t>
  </si>
  <si>
    <t>TERRE ROVERESCHE</t>
  </si>
  <si>
    <t>041070</t>
  </si>
  <si>
    <t>SASSOCORVARO AUDITORE</t>
  </si>
  <si>
    <t>041071</t>
  </si>
  <si>
    <t>AGUGLIANO</t>
  </si>
  <si>
    <t>042001</t>
  </si>
  <si>
    <t>AN</t>
  </si>
  <si>
    <t>60020</t>
  </si>
  <si>
    <t>ANCONA</t>
  </si>
  <si>
    <t>042002</t>
  </si>
  <si>
    <t>601xx</t>
  </si>
  <si>
    <t>ARCEVIA</t>
  </si>
  <si>
    <t>042003</t>
  </si>
  <si>
    <t>60011</t>
  </si>
  <si>
    <t>BARBARA</t>
  </si>
  <si>
    <t>042004</t>
  </si>
  <si>
    <t>60010</t>
  </si>
  <si>
    <t>BELVEDERE OSTRENSE</t>
  </si>
  <si>
    <t>042005</t>
  </si>
  <si>
    <t>60030</t>
  </si>
  <si>
    <t>CAMERANO</t>
  </si>
  <si>
    <t>042006</t>
  </si>
  <si>
    <t>60021</t>
  </si>
  <si>
    <t>CAMERATA PICENA</t>
  </si>
  <si>
    <t>042007</t>
  </si>
  <si>
    <t>CASTELBELLINO</t>
  </si>
  <si>
    <t>042008</t>
  </si>
  <si>
    <t>CASTELFIDARDO</t>
  </si>
  <si>
    <t>042010</t>
  </si>
  <si>
    <t>60022</t>
  </si>
  <si>
    <t>CASTELLEONE DI SUASA</t>
  </si>
  <si>
    <t>042011</t>
  </si>
  <si>
    <t>CASTELPLANIO</t>
  </si>
  <si>
    <t>042012</t>
  </si>
  <si>
    <t>60031</t>
  </si>
  <si>
    <t>CERRETO D'ESI</t>
  </si>
  <si>
    <t>042013</t>
  </si>
  <si>
    <t>60043</t>
  </si>
  <si>
    <t>CHIARAVALLE</t>
  </si>
  <si>
    <t>042014</t>
  </si>
  <si>
    <t>60033</t>
  </si>
  <si>
    <t>CORINALDO</t>
  </si>
  <si>
    <t>042015</t>
  </si>
  <si>
    <t>60013</t>
  </si>
  <si>
    <t>CUPRAMONTANA</t>
  </si>
  <si>
    <t>042016</t>
  </si>
  <si>
    <t>60034</t>
  </si>
  <si>
    <t>FABRIANO</t>
  </si>
  <si>
    <t>042017</t>
  </si>
  <si>
    <t>60044</t>
  </si>
  <si>
    <t>FALCONARA MARITTIMA</t>
  </si>
  <si>
    <t>042018</t>
  </si>
  <si>
    <t>60015</t>
  </si>
  <si>
    <t>FILOTTRANO</t>
  </si>
  <si>
    <t>042019</t>
  </si>
  <si>
    <t>60024</t>
  </si>
  <si>
    <t>GENGA</t>
  </si>
  <si>
    <t>042020</t>
  </si>
  <si>
    <t>60040</t>
  </si>
  <si>
    <t>JESI</t>
  </si>
  <si>
    <t>042021</t>
  </si>
  <si>
    <t>60035</t>
  </si>
  <si>
    <t>LORETO</t>
  </si>
  <si>
    <t>042022</t>
  </si>
  <si>
    <t>60025</t>
  </si>
  <si>
    <t>MAIOLATI SPONTINI</t>
  </si>
  <si>
    <t>042023</t>
  </si>
  <si>
    <t>MERGO</t>
  </si>
  <si>
    <t>042024</t>
  </si>
  <si>
    <t>MONSANO</t>
  </si>
  <si>
    <t>042025</t>
  </si>
  <si>
    <t>MONTECAROTTO</t>
  </si>
  <si>
    <t>042026</t>
  </si>
  <si>
    <t>60036</t>
  </si>
  <si>
    <t>MONTEMARCIANO</t>
  </si>
  <si>
    <t>042027</t>
  </si>
  <si>
    <t>60018</t>
  </si>
  <si>
    <t>MONTE ROBERTO</t>
  </si>
  <si>
    <t>042029</t>
  </si>
  <si>
    <t>MONTE SAN VITO</t>
  </si>
  <si>
    <t>042030</t>
  </si>
  <si>
    <t>60037</t>
  </si>
  <si>
    <t>MORRO D'ALBA</t>
  </si>
  <si>
    <t>042031</t>
  </si>
  <si>
    <t>NUMANA</t>
  </si>
  <si>
    <t>042032</t>
  </si>
  <si>
    <t>60026</t>
  </si>
  <si>
    <t>OFFAGNA</t>
  </si>
  <si>
    <t>042033</t>
  </si>
  <si>
    <t>OSIMO</t>
  </si>
  <si>
    <t>042034</t>
  </si>
  <si>
    <t>60027</t>
  </si>
  <si>
    <t>OSTRA</t>
  </si>
  <si>
    <t>042035</t>
  </si>
  <si>
    <t>OSTRA VETERE</t>
  </si>
  <si>
    <t>042036</t>
  </si>
  <si>
    <t>POGGIO SAN MARCELLO</t>
  </si>
  <si>
    <t>042037</t>
  </si>
  <si>
    <t>POLVERIGI</t>
  </si>
  <si>
    <t>042038</t>
  </si>
  <si>
    <t>ROSORA</t>
  </si>
  <si>
    <t>042040</t>
  </si>
  <si>
    <t>SAN MARCELLO</t>
  </si>
  <si>
    <t>042041</t>
  </si>
  <si>
    <t>SAN PAOLO DI JESI</t>
  </si>
  <si>
    <t>042042</t>
  </si>
  <si>
    <t>60038</t>
  </si>
  <si>
    <t>SANTA MARIA NUOVA</t>
  </si>
  <si>
    <t>042043</t>
  </si>
  <si>
    <t>SASSOFERRATO</t>
  </si>
  <si>
    <t>042044</t>
  </si>
  <si>
    <t>60041</t>
  </si>
  <si>
    <t>SENIGALLIA</t>
  </si>
  <si>
    <t>042045</t>
  </si>
  <si>
    <t>60019</t>
  </si>
  <si>
    <t>SERRA DE' CONTI</t>
  </si>
  <si>
    <t>042046</t>
  </si>
  <si>
    <t>SERRA SAN QUIRICO</t>
  </si>
  <si>
    <t>042047</t>
  </si>
  <si>
    <t>60048</t>
  </si>
  <si>
    <t>SIROLO</t>
  </si>
  <si>
    <t>042048</t>
  </si>
  <si>
    <t>STAFFOLO</t>
  </si>
  <si>
    <t>042049</t>
  </si>
  <si>
    <t>60039</t>
  </si>
  <si>
    <t>TRECASTELLI</t>
  </si>
  <si>
    <t>042050</t>
  </si>
  <si>
    <t>APIRO</t>
  </si>
  <si>
    <t>043002</t>
  </si>
  <si>
    <t>MC</t>
  </si>
  <si>
    <t>62021</t>
  </si>
  <si>
    <t>APPIGNANO</t>
  </si>
  <si>
    <t>043003</t>
  </si>
  <si>
    <t>62010</t>
  </si>
  <si>
    <t>BELFORTE DEL CHIENTI</t>
  </si>
  <si>
    <t>043004</t>
  </si>
  <si>
    <t>62020</t>
  </si>
  <si>
    <t>BOLOGNOLA</t>
  </si>
  <si>
    <t>043005</t>
  </si>
  <si>
    <t>62035</t>
  </si>
  <si>
    <t>CALDAROLA</t>
  </si>
  <si>
    <t>043006</t>
  </si>
  <si>
    <t>CAMERINO</t>
  </si>
  <si>
    <t>043007</t>
  </si>
  <si>
    <t>62032</t>
  </si>
  <si>
    <t>CAMPOROTONDO DI FIASTRONE</t>
  </si>
  <si>
    <t>043008</t>
  </si>
  <si>
    <t>CASTELRAIMONDO</t>
  </si>
  <si>
    <t>043009</t>
  </si>
  <si>
    <t>62022</t>
  </si>
  <si>
    <t>CASTELSANTANGELO SUL NERA</t>
  </si>
  <si>
    <t>043010</t>
  </si>
  <si>
    <t>62039</t>
  </si>
  <si>
    <t>CESSAPALOMBO</t>
  </si>
  <si>
    <t>043011</t>
  </si>
  <si>
    <t>CINGOLI</t>
  </si>
  <si>
    <t>043012</t>
  </si>
  <si>
    <t>62011</t>
  </si>
  <si>
    <t>CIVITANOVA MARCHE</t>
  </si>
  <si>
    <t>043013</t>
  </si>
  <si>
    <t>62012</t>
  </si>
  <si>
    <t>COLMURANO</t>
  </si>
  <si>
    <t>043014</t>
  </si>
  <si>
    <t>CORRIDONIA</t>
  </si>
  <si>
    <t>043015</t>
  </si>
  <si>
    <t>62014</t>
  </si>
  <si>
    <t>ESANATOGLIA</t>
  </si>
  <si>
    <t>043016</t>
  </si>
  <si>
    <t>62024</t>
  </si>
  <si>
    <t>FIASTRA</t>
  </si>
  <si>
    <t>043017</t>
  </si>
  <si>
    <t>FIUMINATA</t>
  </si>
  <si>
    <t>043019</t>
  </si>
  <si>
    <t>62025</t>
  </si>
  <si>
    <t>GAGLIOLE</t>
  </si>
  <si>
    <t>043020</t>
  </si>
  <si>
    <t>GUALDO</t>
  </si>
  <si>
    <t>043021</t>
  </si>
  <si>
    <t>LORO PICENO</t>
  </si>
  <si>
    <t>043022</t>
  </si>
  <si>
    <t>MACERATA</t>
  </si>
  <si>
    <t>043023</t>
  </si>
  <si>
    <t>62100</t>
  </si>
  <si>
    <t>MATELICA</t>
  </si>
  <si>
    <t>043024</t>
  </si>
  <si>
    <t>MOGLIANO</t>
  </si>
  <si>
    <t>043025</t>
  </si>
  <si>
    <t>MONTECASSIANO</t>
  </si>
  <si>
    <t>043026</t>
  </si>
  <si>
    <t>MONTE CAVALLO</t>
  </si>
  <si>
    <t>043027</t>
  </si>
  <si>
    <t>62036</t>
  </si>
  <si>
    <t>MONTECOSARO</t>
  </si>
  <si>
    <t>043028</t>
  </si>
  <si>
    <t>MONTEFANO</t>
  </si>
  <si>
    <t>043029</t>
  </si>
  <si>
    <t>MONTELUPONE</t>
  </si>
  <si>
    <t>043030</t>
  </si>
  <si>
    <t>MONTE SAN GIUSTO</t>
  </si>
  <si>
    <t>043031</t>
  </si>
  <si>
    <t>62015</t>
  </si>
  <si>
    <t>MONTE SAN MARTINO</t>
  </si>
  <si>
    <t>043032</t>
  </si>
  <si>
    <t>MORROVALLE</t>
  </si>
  <si>
    <t>043033</t>
  </si>
  <si>
    <t>MUCCIA</t>
  </si>
  <si>
    <t>043034</t>
  </si>
  <si>
    <t>62034</t>
  </si>
  <si>
    <t>PENNA SAN GIOVANNI</t>
  </si>
  <si>
    <t>043035</t>
  </si>
  <si>
    <t>PETRIOLO</t>
  </si>
  <si>
    <t>043036</t>
  </si>
  <si>
    <t>PIEVE TORINA</t>
  </si>
  <si>
    <t>043038</t>
  </si>
  <si>
    <t>PIORACO</t>
  </si>
  <si>
    <t>043039</t>
  </si>
  <si>
    <t>POGGIO SAN VICINO</t>
  </si>
  <si>
    <t>043040</t>
  </si>
  <si>
    <t>POLLENZA</t>
  </si>
  <si>
    <t>043041</t>
  </si>
  <si>
    <t>PORTO RECANATI</t>
  </si>
  <si>
    <t>043042</t>
  </si>
  <si>
    <t>62017</t>
  </si>
  <si>
    <t>POTENZA PICENA</t>
  </si>
  <si>
    <t>043043</t>
  </si>
  <si>
    <t>62018</t>
  </si>
  <si>
    <t>RECANATI</t>
  </si>
  <si>
    <t>043044</t>
  </si>
  <si>
    <t>62019</t>
  </si>
  <si>
    <t>RIPE SAN GINESIO</t>
  </si>
  <si>
    <t>043045</t>
  </si>
  <si>
    <t>SAN GINESIO</t>
  </si>
  <si>
    <t>043046</t>
  </si>
  <si>
    <t>62026</t>
  </si>
  <si>
    <t>SAN SEVERINO MARCHE</t>
  </si>
  <si>
    <t>043047</t>
  </si>
  <si>
    <t>62027</t>
  </si>
  <si>
    <t>SANT'ANGELO IN PONTANO</t>
  </si>
  <si>
    <t>043048</t>
  </si>
  <si>
    <t>SARNANO</t>
  </si>
  <si>
    <t>043049</t>
  </si>
  <si>
    <t>62028</t>
  </si>
  <si>
    <t>SEFRO</t>
  </si>
  <si>
    <t>043050</t>
  </si>
  <si>
    <t>SERRAPETRONA</t>
  </si>
  <si>
    <t>043051</t>
  </si>
  <si>
    <t>SERRAVALLE DI CHIENTI</t>
  </si>
  <si>
    <t>043052</t>
  </si>
  <si>
    <t>62038</t>
  </si>
  <si>
    <t>TOLENTINO</t>
  </si>
  <si>
    <t>043053</t>
  </si>
  <si>
    <t>62029</t>
  </si>
  <si>
    <t>TREIA</t>
  </si>
  <si>
    <t>043054</t>
  </si>
  <si>
    <t>URBISAGLIA</t>
  </si>
  <si>
    <t>043055</t>
  </si>
  <si>
    <t>USSITA</t>
  </si>
  <si>
    <t>043056</t>
  </si>
  <si>
    <t>VISSO</t>
  </si>
  <si>
    <t>043057</t>
  </si>
  <si>
    <t>VALFORNACE</t>
  </si>
  <si>
    <t>043058</t>
  </si>
  <si>
    <t>ACQUASANTA TERME</t>
  </si>
  <si>
    <t>044001</t>
  </si>
  <si>
    <t>AP</t>
  </si>
  <si>
    <t>63095</t>
  </si>
  <si>
    <t>ACQUAVIVA PICENA</t>
  </si>
  <si>
    <t>044002</t>
  </si>
  <si>
    <t>63075</t>
  </si>
  <si>
    <t>APPIGNANO DEL TRONTO</t>
  </si>
  <si>
    <t>044005</t>
  </si>
  <si>
    <t>63083</t>
  </si>
  <si>
    <t>ARQUATA DEL TRONTO</t>
  </si>
  <si>
    <t>044006</t>
  </si>
  <si>
    <t>63096</t>
  </si>
  <si>
    <t>ASCOLI PICENO</t>
  </si>
  <si>
    <t>044007</t>
  </si>
  <si>
    <t>63100</t>
  </si>
  <si>
    <t>CARASSAI</t>
  </si>
  <si>
    <t>044010</t>
  </si>
  <si>
    <t>63063</t>
  </si>
  <si>
    <t>CASTEL DI LAMA</t>
  </si>
  <si>
    <t>044011</t>
  </si>
  <si>
    <t>63082</t>
  </si>
  <si>
    <t>CASTIGNANO</t>
  </si>
  <si>
    <t>044012</t>
  </si>
  <si>
    <t>63072</t>
  </si>
  <si>
    <t>CASTORANO</t>
  </si>
  <si>
    <t>044013</t>
  </si>
  <si>
    <t>63081</t>
  </si>
  <si>
    <t>COLLI DEL TRONTO</t>
  </si>
  <si>
    <t>044014</t>
  </si>
  <si>
    <t>63079</t>
  </si>
  <si>
    <t>COMUNANZA</t>
  </si>
  <si>
    <t>044015</t>
  </si>
  <si>
    <t>63087</t>
  </si>
  <si>
    <t>COSSIGNANO</t>
  </si>
  <si>
    <t>044016</t>
  </si>
  <si>
    <t>63067</t>
  </si>
  <si>
    <t>CUPRA MARITTIMA</t>
  </si>
  <si>
    <t>044017</t>
  </si>
  <si>
    <t>63064</t>
  </si>
  <si>
    <t>FOLIGNANO</t>
  </si>
  <si>
    <t>044020</t>
  </si>
  <si>
    <t>63084</t>
  </si>
  <si>
    <t>FORCE</t>
  </si>
  <si>
    <t>044021</t>
  </si>
  <si>
    <t>63086</t>
  </si>
  <si>
    <t>GROTTAMMARE</t>
  </si>
  <si>
    <t>044023</t>
  </si>
  <si>
    <t>63066</t>
  </si>
  <si>
    <t>MALTIGNANO</t>
  </si>
  <si>
    <t>044027</t>
  </si>
  <si>
    <t>63085</t>
  </si>
  <si>
    <t>MASSIGNANO</t>
  </si>
  <si>
    <t>044029</t>
  </si>
  <si>
    <t>63061</t>
  </si>
  <si>
    <t>MONSAMPOLO DEL TRONTO</t>
  </si>
  <si>
    <t>044031</t>
  </si>
  <si>
    <t>63077</t>
  </si>
  <si>
    <t>MONTALTO DELLE MARCHE</t>
  </si>
  <si>
    <t>044032</t>
  </si>
  <si>
    <t>63068</t>
  </si>
  <si>
    <t>MONTEDINOVE</t>
  </si>
  <si>
    <t>044034</t>
  </si>
  <si>
    <t>63069</t>
  </si>
  <si>
    <t>MONTEFIORE DELL'ASO</t>
  </si>
  <si>
    <t>044036</t>
  </si>
  <si>
    <t>63062</t>
  </si>
  <si>
    <t>MONTEGALLO</t>
  </si>
  <si>
    <t>044038</t>
  </si>
  <si>
    <t>63094</t>
  </si>
  <si>
    <t>MONTEMONACO</t>
  </si>
  <si>
    <t>044044</t>
  </si>
  <si>
    <t>63088</t>
  </si>
  <si>
    <t>MONTEPRANDONE</t>
  </si>
  <si>
    <t>044045</t>
  </si>
  <si>
    <t>63076</t>
  </si>
  <si>
    <t>OFFIDA</t>
  </si>
  <si>
    <t>044054</t>
  </si>
  <si>
    <t>63073</t>
  </si>
  <si>
    <t>PALMIANO</t>
  </si>
  <si>
    <t>044056</t>
  </si>
  <si>
    <t>63092</t>
  </si>
  <si>
    <t>RIPATRANSONE</t>
  </si>
  <si>
    <t>044063</t>
  </si>
  <si>
    <t>63065</t>
  </si>
  <si>
    <t>ROCCAFLUVIONE</t>
  </si>
  <si>
    <t>044064</t>
  </si>
  <si>
    <t>63093</t>
  </si>
  <si>
    <t>ROTELLA</t>
  </si>
  <si>
    <t>044065</t>
  </si>
  <si>
    <t>63071</t>
  </si>
  <si>
    <t>SAN BENEDETTO DEL TRONTO</t>
  </si>
  <si>
    <t>044066</t>
  </si>
  <si>
    <t>63074</t>
  </si>
  <si>
    <t>SPINETOLI</t>
  </si>
  <si>
    <t>044071</t>
  </si>
  <si>
    <t>63078</t>
  </si>
  <si>
    <t>VENAROTTA</t>
  </si>
  <si>
    <t>044073</t>
  </si>
  <si>
    <t>63091</t>
  </si>
  <si>
    <t>AULLA</t>
  </si>
  <si>
    <t>045001</t>
  </si>
  <si>
    <t>MS</t>
  </si>
  <si>
    <t>54011</t>
  </si>
  <si>
    <t>BAGNONE</t>
  </si>
  <si>
    <t>045002</t>
  </si>
  <si>
    <t>54021</t>
  </si>
  <si>
    <t>CARRARA</t>
  </si>
  <si>
    <t>045003</t>
  </si>
  <si>
    <t>54033</t>
  </si>
  <si>
    <t>CASOLA IN LUNIGIANA</t>
  </si>
  <si>
    <t>045004</t>
  </si>
  <si>
    <t>54014</t>
  </si>
  <si>
    <t>COMANO</t>
  </si>
  <si>
    <t>045005</t>
  </si>
  <si>
    <t>54015</t>
  </si>
  <si>
    <t>FILATTIERA</t>
  </si>
  <si>
    <t>045006</t>
  </si>
  <si>
    <t>54023</t>
  </si>
  <si>
    <t>FIVIZZANO</t>
  </si>
  <si>
    <t>045007</t>
  </si>
  <si>
    <t>54013</t>
  </si>
  <si>
    <t>FOSDINOVO</t>
  </si>
  <si>
    <t>045008</t>
  </si>
  <si>
    <t>54035</t>
  </si>
  <si>
    <t>LICCIANA NARDI</t>
  </si>
  <si>
    <t>045009</t>
  </si>
  <si>
    <t>54016</t>
  </si>
  <si>
    <t>MASSA</t>
  </si>
  <si>
    <t>045010</t>
  </si>
  <si>
    <t>54100</t>
  </si>
  <si>
    <t>MONTIGNOSO</t>
  </si>
  <si>
    <t>045011</t>
  </si>
  <si>
    <t>54038</t>
  </si>
  <si>
    <t>MULAZZO</t>
  </si>
  <si>
    <t>045012</t>
  </si>
  <si>
    <t>54026</t>
  </si>
  <si>
    <t>PODENZANA</t>
  </si>
  <si>
    <t>045013</t>
  </si>
  <si>
    <t>54010</t>
  </si>
  <si>
    <t>PONTREMOLI</t>
  </si>
  <si>
    <t>045014</t>
  </si>
  <si>
    <t>54027</t>
  </si>
  <si>
    <t>TRESANA</t>
  </si>
  <si>
    <t>045015</t>
  </si>
  <si>
    <t>54012</t>
  </si>
  <si>
    <t>VILLAFRANCA IN LUNIGIANA</t>
  </si>
  <si>
    <t>045016</t>
  </si>
  <si>
    <t>54028</t>
  </si>
  <si>
    <t>ZERI</t>
  </si>
  <si>
    <t>045017</t>
  </si>
  <si>
    <t>54029</t>
  </si>
  <si>
    <t>ALTOPASCIO</t>
  </si>
  <si>
    <t>046001</t>
  </si>
  <si>
    <t>LU</t>
  </si>
  <si>
    <t>55011</t>
  </si>
  <si>
    <t>BAGNI DI LUCCA</t>
  </si>
  <si>
    <t>046002</t>
  </si>
  <si>
    <t>55022</t>
  </si>
  <si>
    <t>BARGA</t>
  </si>
  <si>
    <t>046003</t>
  </si>
  <si>
    <t>55051</t>
  </si>
  <si>
    <t>BORGO A MOZZANO</t>
  </si>
  <si>
    <t>046004</t>
  </si>
  <si>
    <t>55023</t>
  </si>
  <si>
    <t>CAMAIORE</t>
  </si>
  <si>
    <t>046005</t>
  </si>
  <si>
    <t>55041</t>
  </si>
  <si>
    <t>CAMPORGIANO</t>
  </si>
  <si>
    <t>046006</t>
  </si>
  <si>
    <t>55031</t>
  </si>
  <si>
    <t>CAPANNORI</t>
  </si>
  <si>
    <t>046007</t>
  </si>
  <si>
    <t>55012</t>
  </si>
  <si>
    <t>CAREGGINE</t>
  </si>
  <si>
    <t>046008</t>
  </si>
  <si>
    <t>55030</t>
  </si>
  <si>
    <t>CASTELNUOVO DI GARFAGNANA</t>
  </si>
  <si>
    <t>046009</t>
  </si>
  <si>
    <t>55032</t>
  </si>
  <si>
    <t>CASTIGLIONE DI GARFAGNANA</t>
  </si>
  <si>
    <t>046010</t>
  </si>
  <si>
    <t>55033</t>
  </si>
  <si>
    <t>COREGLIA ANTELMINELLI</t>
  </si>
  <si>
    <t>046011</t>
  </si>
  <si>
    <t>55025</t>
  </si>
  <si>
    <t>FORTE DEI MARMI</t>
  </si>
  <si>
    <t>046013</t>
  </si>
  <si>
    <t>55042</t>
  </si>
  <si>
    <t>FOSCIANDORA</t>
  </si>
  <si>
    <t>046014</t>
  </si>
  <si>
    <t>55020</t>
  </si>
  <si>
    <t>GALLICANO</t>
  </si>
  <si>
    <t>046015</t>
  </si>
  <si>
    <t>55027</t>
  </si>
  <si>
    <t>LUCCA</t>
  </si>
  <si>
    <t>046017</t>
  </si>
  <si>
    <t>55100</t>
  </si>
  <si>
    <t>MASSAROSA</t>
  </si>
  <si>
    <t>046018</t>
  </si>
  <si>
    <t>55054</t>
  </si>
  <si>
    <t>MINUCCIANO</t>
  </si>
  <si>
    <t>046019</t>
  </si>
  <si>
    <t>55034</t>
  </si>
  <si>
    <t>MOLAZZANA</t>
  </si>
  <si>
    <t>046020</t>
  </si>
  <si>
    <t>MONTECARLO</t>
  </si>
  <si>
    <t>046021</t>
  </si>
  <si>
    <t>55015</t>
  </si>
  <si>
    <t>PESCAGLIA</t>
  </si>
  <si>
    <t>046022</t>
  </si>
  <si>
    <t>55064</t>
  </si>
  <si>
    <t>PIAZZA AL SERCHIO</t>
  </si>
  <si>
    <t>046023</t>
  </si>
  <si>
    <t>55035</t>
  </si>
  <si>
    <t>PIETRASANTA</t>
  </si>
  <si>
    <t>046024</t>
  </si>
  <si>
    <t>55045</t>
  </si>
  <si>
    <t>PIEVE FOSCIANA</t>
  </si>
  <si>
    <t>046025</t>
  </si>
  <si>
    <t>55036</t>
  </si>
  <si>
    <t>PORCARI</t>
  </si>
  <si>
    <t>046026</t>
  </si>
  <si>
    <t>55016</t>
  </si>
  <si>
    <t>SAN ROMANO IN GARFAGNANA</t>
  </si>
  <si>
    <t>046027</t>
  </si>
  <si>
    <t>55038</t>
  </si>
  <si>
    <t>SERAVEZZA</t>
  </si>
  <si>
    <t>046028</t>
  </si>
  <si>
    <t>55047</t>
  </si>
  <si>
    <t>STAZZEMA</t>
  </si>
  <si>
    <t>046030</t>
  </si>
  <si>
    <t>55040</t>
  </si>
  <si>
    <t>VAGLI SOTTO</t>
  </si>
  <si>
    <t>046031</t>
  </si>
  <si>
    <t>VIAREGGIO</t>
  </si>
  <si>
    <t>046033</t>
  </si>
  <si>
    <t>55049</t>
  </si>
  <si>
    <t>VILLA BASILICA</t>
  </si>
  <si>
    <t>046034</t>
  </si>
  <si>
    <t>55019</t>
  </si>
  <si>
    <t>VILLA COLLEMANDINA</t>
  </si>
  <si>
    <t>046035</t>
  </si>
  <si>
    <t>FABBRICHE DI VERGEMOLI</t>
  </si>
  <si>
    <t>046036</t>
  </si>
  <si>
    <t>SILLANO GIUNCUGNANO</t>
  </si>
  <si>
    <t>046037</t>
  </si>
  <si>
    <t>AGLIANA</t>
  </si>
  <si>
    <t>047002</t>
  </si>
  <si>
    <t>PT</t>
  </si>
  <si>
    <t>51031</t>
  </si>
  <si>
    <t>BUGGIANO</t>
  </si>
  <si>
    <t>047003</t>
  </si>
  <si>
    <t>51011</t>
  </si>
  <si>
    <t>LAMPORECCHIO</t>
  </si>
  <si>
    <t>047005</t>
  </si>
  <si>
    <t>51035</t>
  </si>
  <si>
    <t>LARCIANO</t>
  </si>
  <si>
    <t>047006</t>
  </si>
  <si>
    <t>51036</t>
  </si>
  <si>
    <t>MARLIANA</t>
  </si>
  <si>
    <t>047007</t>
  </si>
  <si>
    <t>51010</t>
  </si>
  <si>
    <t>MASSA E COZZILE</t>
  </si>
  <si>
    <t>047008</t>
  </si>
  <si>
    <t>MONSUMMANO TERME</t>
  </si>
  <si>
    <t>047009</t>
  </si>
  <si>
    <t>51015</t>
  </si>
  <si>
    <t>MONTALE</t>
  </si>
  <si>
    <t>047010</t>
  </si>
  <si>
    <t>51037</t>
  </si>
  <si>
    <t>MONTECATINI-TERME</t>
  </si>
  <si>
    <t>047011</t>
  </si>
  <si>
    <t>51016</t>
  </si>
  <si>
    <t>PESCIA</t>
  </si>
  <si>
    <t>047012</t>
  </si>
  <si>
    <t>51017</t>
  </si>
  <si>
    <t>PIEVE A NIEVOLE</t>
  </si>
  <si>
    <t>047013</t>
  </si>
  <si>
    <t>51018</t>
  </si>
  <si>
    <t>PISTOIA</t>
  </si>
  <si>
    <t>047014</t>
  </si>
  <si>
    <t>51100</t>
  </si>
  <si>
    <t>PONTE BUGGIANESE</t>
  </si>
  <si>
    <t>047016</t>
  </si>
  <si>
    <t>51019</t>
  </si>
  <si>
    <t>QUARRATA</t>
  </si>
  <si>
    <t>047017</t>
  </si>
  <si>
    <t>51039</t>
  </si>
  <si>
    <t>SAMBUCA PISTOIESE</t>
  </si>
  <si>
    <t>047018</t>
  </si>
  <si>
    <t>51020</t>
  </si>
  <si>
    <t>SERRAVALLE PISTOIESE</t>
  </si>
  <si>
    <t>047020</t>
  </si>
  <si>
    <t>51030</t>
  </si>
  <si>
    <t>UZZANO</t>
  </si>
  <si>
    <t>047021</t>
  </si>
  <si>
    <t>CHIESINA UZZANESE</t>
  </si>
  <si>
    <t>047022</t>
  </si>
  <si>
    <t>51013</t>
  </si>
  <si>
    <t>ABETONE CUTIGLIANO</t>
  </si>
  <si>
    <t>047023</t>
  </si>
  <si>
    <t>SAN MARCELLO PITEGLIO</t>
  </si>
  <si>
    <t>047024</t>
  </si>
  <si>
    <t>BAGNO A RIPOLI</t>
  </si>
  <si>
    <t>048001</t>
  </si>
  <si>
    <t>FI</t>
  </si>
  <si>
    <t>50012</t>
  </si>
  <si>
    <t>BARBERINO DI MUGELLO</t>
  </si>
  <si>
    <t>048002</t>
  </si>
  <si>
    <t>50031</t>
  </si>
  <si>
    <t>BORGO SAN LORENZO</t>
  </si>
  <si>
    <t>048004</t>
  </si>
  <si>
    <t>50032</t>
  </si>
  <si>
    <t>CALENZANO</t>
  </si>
  <si>
    <t>048005</t>
  </si>
  <si>
    <t>50041</t>
  </si>
  <si>
    <t>CAMPI BISENZIO</t>
  </si>
  <si>
    <t>048006</t>
  </si>
  <si>
    <t>50013</t>
  </si>
  <si>
    <t>CAPRAIA E LIMITE</t>
  </si>
  <si>
    <t>048008</t>
  </si>
  <si>
    <t>50050</t>
  </si>
  <si>
    <t>CASTELFIORENTINO</t>
  </si>
  <si>
    <t>048010</t>
  </si>
  <si>
    <t>50051</t>
  </si>
  <si>
    <t>CERRETO GUIDI</t>
  </si>
  <si>
    <t>048011</t>
  </si>
  <si>
    <t>CERTALDO</t>
  </si>
  <si>
    <t>048012</t>
  </si>
  <si>
    <t>50052</t>
  </si>
  <si>
    <t>DICOMANO</t>
  </si>
  <si>
    <t>048013</t>
  </si>
  <si>
    <t>50062</t>
  </si>
  <si>
    <t>EMPOLI</t>
  </si>
  <si>
    <t>048014</t>
  </si>
  <si>
    <t>50053</t>
  </si>
  <si>
    <t>FIESOLE</t>
  </si>
  <si>
    <t>048015</t>
  </si>
  <si>
    <t>50014</t>
  </si>
  <si>
    <t>FIRENZE</t>
  </si>
  <si>
    <t>048017</t>
  </si>
  <si>
    <t>501xx</t>
  </si>
  <si>
    <t>FIRENZUOLA</t>
  </si>
  <si>
    <t>048018</t>
  </si>
  <si>
    <t>50033</t>
  </si>
  <si>
    <t>FUCECCHIO</t>
  </si>
  <si>
    <t>048019</t>
  </si>
  <si>
    <t>50054</t>
  </si>
  <si>
    <t>GAMBASSI TERME</t>
  </si>
  <si>
    <t>048020</t>
  </si>
  <si>
    <t>GREVE IN CHIANTI</t>
  </si>
  <si>
    <t>048021</t>
  </si>
  <si>
    <t>50022</t>
  </si>
  <si>
    <t>IMPRUNETA</t>
  </si>
  <si>
    <t>048022</t>
  </si>
  <si>
    <t>50023</t>
  </si>
  <si>
    <t>LASTRA A SIGNA</t>
  </si>
  <si>
    <t>048024</t>
  </si>
  <si>
    <t>50055</t>
  </si>
  <si>
    <t>LONDA</t>
  </si>
  <si>
    <t>048025</t>
  </si>
  <si>
    <t>50060</t>
  </si>
  <si>
    <t>MARRADI</t>
  </si>
  <si>
    <t>048026</t>
  </si>
  <si>
    <t>50034</t>
  </si>
  <si>
    <t>MONTAIONE</t>
  </si>
  <si>
    <t>048027</t>
  </si>
  <si>
    <t>MONTELUPO FIORENTINO</t>
  </si>
  <si>
    <t>048028</t>
  </si>
  <si>
    <t>50056</t>
  </si>
  <si>
    <t>MONTESPERTOLI</t>
  </si>
  <si>
    <t>048030</t>
  </si>
  <si>
    <t>50025</t>
  </si>
  <si>
    <t>PALAZZUOLO SUL SENIO</t>
  </si>
  <si>
    <t>048031</t>
  </si>
  <si>
    <t>50035</t>
  </si>
  <si>
    <t>PELAGO</t>
  </si>
  <si>
    <t>048032</t>
  </si>
  <si>
    <t>PONTASSIEVE</t>
  </si>
  <si>
    <t>048033</t>
  </si>
  <si>
    <t>50065</t>
  </si>
  <si>
    <t>REGGELLO</t>
  </si>
  <si>
    <t>048035</t>
  </si>
  <si>
    <t>50066</t>
  </si>
  <si>
    <t>RIGNANO SULL'ARNO</t>
  </si>
  <si>
    <t>048036</t>
  </si>
  <si>
    <t>50067</t>
  </si>
  <si>
    <t>RUFINA</t>
  </si>
  <si>
    <t>048037</t>
  </si>
  <si>
    <t>50068</t>
  </si>
  <si>
    <t>SAN CASCIANO IN VAL DI PESA</t>
  </si>
  <si>
    <t>048038</t>
  </si>
  <si>
    <t>50026</t>
  </si>
  <si>
    <t>SAN GODENZO</t>
  </si>
  <si>
    <t>048039</t>
  </si>
  <si>
    <t>SCANDICCI</t>
  </si>
  <si>
    <t>048041</t>
  </si>
  <si>
    <t>50018</t>
  </si>
  <si>
    <t>SESTO FIORENTINO</t>
  </si>
  <si>
    <t>048043</t>
  </si>
  <si>
    <t>50019</t>
  </si>
  <si>
    <t>SIGNA</t>
  </si>
  <si>
    <t>048044</t>
  </si>
  <si>
    <t>50058</t>
  </si>
  <si>
    <t>VAGLIA</t>
  </si>
  <si>
    <t>048046</t>
  </si>
  <si>
    <t>50036</t>
  </si>
  <si>
    <t>VICCHIO</t>
  </si>
  <si>
    <t>048049</t>
  </si>
  <si>
    <t>50039</t>
  </si>
  <si>
    <t>VINCI</t>
  </si>
  <si>
    <t>048050</t>
  </si>
  <si>
    <t>50059</t>
  </si>
  <si>
    <t>FIGLINE E INCISA VALDARNO</t>
  </si>
  <si>
    <t>048052</t>
  </si>
  <si>
    <t>SCARPERIA E SAN PIERO</t>
  </si>
  <si>
    <t>048053</t>
  </si>
  <si>
    <t>BARBERINO TAVARNELLE</t>
  </si>
  <si>
    <t>048054</t>
  </si>
  <si>
    <t>BIBBONA</t>
  </si>
  <si>
    <t>049001</t>
  </si>
  <si>
    <t>LI</t>
  </si>
  <si>
    <t>57020</t>
  </si>
  <si>
    <t>CAMPIGLIA MARITTIMA</t>
  </si>
  <si>
    <t>049002</t>
  </si>
  <si>
    <t>57021</t>
  </si>
  <si>
    <t>CAMPO NELL'ELBA</t>
  </si>
  <si>
    <t>049003</t>
  </si>
  <si>
    <t>57034</t>
  </si>
  <si>
    <t>CAPOLIVERI</t>
  </si>
  <si>
    <t>049004</t>
  </si>
  <si>
    <t>57031</t>
  </si>
  <si>
    <t>CAPRAIA ISOLA</t>
  </si>
  <si>
    <t>049005</t>
  </si>
  <si>
    <t>57032</t>
  </si>
  <si>
    <t>CASTAGNETO CARDUCCI</t>
  </si>
  <si>
    <t>049006</t>
  </si>
  <si>
    <t>57022</t>
  </si>
  <si>
    <t>CECINA</t>
  </si>
  <si>
    <t>049007</t>
  </si>
  <si>
    <t>57023</t>
  </si>
  <si>
    <t>COLLESALVETTI</t>
  </si>
  <si>
    <t>049008</t>
  </si>
  <si>
    <t>57014</t>
  </si>
  <si>
    <t>LIVORNO</t>
  </si>
  <si>
    <t>049009</t>
  </si>
  <si>
    <t>571xx</t>
  </si>
  <si>
    <t>MARCIANA</t>
  </si>
  <si>
    <t>049010</t>
  </si>
  <si>
    <t>57030</t>
  </si>
  <si>
    <t>MARCIANA MARINA</t>
  </si>
  <si>
    <t>049011</t>
  </si>
  <si>
    <t>57033</t>
  </si>
  <si>
    <t>PIOMBINO</t>
  </si>
  <si>
    <t>049012</t>
  </si>
  <si>
    <t>57025</t>
  </si>
  <si>
    <t>PORTO AZZURRO</t>
  </si>
  <si>
    <t>049013</t>
  </si>
  <si>
    <t>57036</t>
  </si>
  <si>
    <t>PORTOFERRAIO</t>
  </si>
  <si>
    <t>049014</t>
  </si>
  <si>
    <t>57037</t>
  </si>
  <si>
    <t>ROSIGNANO MARITTIMO</t>
  </si>
  <si>
    <t>049017</t>
  </si>
  <si>
    <t>57016</t>
  </si>
  <si>
    <t>SAN VINCENZO</t>
  </si>
  <si>
    <t>049018</t>
  </si>
  <si>
    <t>57027</t>
  </si>
  <si>
    <t>SASSETTA</t>
  </si>
  <si>
    <t>049019</t>
  </si>
  <si>
    <t>SUVERETO</t>
  </si>
  <si>
    <t>049020</t>
  </si>
  <si>
    <t>57028</t>
  </si>
  <si>
    <t>RIO</t>
  </si>
  <si>
    <t>049021</t>
  </si>
  <si>
    <t>BIENTINA</t>
  </si>
  <si>
    <t>050001</t>
  </si>
  <si>
    <t>PI</t>
  </si>
  <si>
    <t>56031</t>
  </si>
  <si>
    <t>BUTI</t>
  </si>
  <si>
    <t>050002</t>
  </si>
  <si>
    <t>56032</t>
  </si>
  <si>
    <t>CALCI</t>
  </si>
  <si>
    <t>050003</t>
  </si>
  <si>
    <t>56011</t>
  </si>
  <si>
    <t>CALCINAIA</t>
  </si>
  <si>
    <t>050004</t>
  </si>
  <si>
    <t>56012</t>
  </si>
  <si>
    <t>CAPANNOLI</t>
  </si>
  <si>
    <t>050005</t>
  </si>
  <si>
    <t>56033</t>
  </si>
  <si>
    <t>CASALE MARITTIMO</t>
  </si>
  <si>
    <t>050006</t>
  </si>
  <si>
    <t>56040</t>
  </si>
  <si>
    <t>CASCINA</t>
  </si>
  <si>
    <t>050008</t>
  </si>
  <si>
    <t>56021</t>
  </si>
  <si>
    <t>CASTELFRANCO DI SOTTO</t>
  </si>
  <si>
    <t>050009</t>
  </si>
  <si>
    <t>56022</t>
  </si>
  <si>
    <t>CASTELLINA MARITTIMA</t>
  </si>
  <si>
    <t>050010</t>
  </si>
  <si>
    <t>CASTELNUOVO DI VAL DI CECINA</t>
  </si>
  <si>
    <t>050011</t>
  </si>
  <si>
    <t>56041</t>
  </si>
  <si>
    <t>CHIANNI</t>
  </si>
  <si>
    <t>050012</t>
  </si>
  <si>
    <t>56034</t>
  </si>
  <si>
    <t>FAUGLIA</t>
  </si>
  <si>
    <t>050014</t>
  </si>
  <si>
    <t>56043</t>
  </si>
  <si>
    <t>GUARDISTALLO</t>
  </si>
  <si>
    <t>050015</t>
  </si>
  <si>
    <t>LAJATICO</t>
  </si>
  <si>
    <t>050016</t>
  </si>
  <si>
    <t>56030</t>
  </si>
  <si>
    <t>MONTECATINI VAL DI CECINA</t>
  </si>
  <si>
    <t>050019</t>
  </si>
  <si>
    <t>MONTESCUDAIO</t>
  </si>
  <si>
    <t>050020</t>
  </si>
  <si>
    <t>MONTEVERDI MARITTIMO</t>
  </si>
  <si>
    <t>050021</t>
  </si>
  <si>
    <t>MONTOPOLI IN VAL D'ARNO</t>
  </si>
  <si>
    <t>050022</t>
  </si>
  <si>
    <t>56020</t>
  </si>
  <si>
    <t>ORCIANO PISANO</t>
  </si>
  <si>
    <t>050023</t>
  </si>
  <si>
    <t>PALAIA</t>
  </si>
  <si>
    <t>050024</t>
  </si>
  <si>
    <t>56036</t>
  </si>
  <si>
    <t>PECCIOLI</t>
  </si>
  <si>
    <t>050025</t>
  </si>
  <si>
    <t>56037</t>
  </si>
  <si>
    <t>PISA</t>
  </si>
  <si>
    <t>050026</t>
  </si>
  <si>
    <t>5612x</t>
  </si>
  <si>
    <t>POMARANCE</t>
  </si>
  <si>
    <t>050027</t>
  </si>
  <si>
    <t>56045</t>
  </si>
  <si>
    <t>PONSACCO</t>
  </si>
  <si>
    <t>050028</t>
  </si>
  <si>
    <t>56038</t>
  </si>
  <si>
    <t>PONTEDERA</t>
  </si>
  <si>
    <t>050029</t>
  </si>
  <si>
    <t>56025</t>
  </si>
  <si>
    <t>RIPARBELLA</t>
  </si>
  <si>
    <t>050030</t>
  </si>
  <si>
    <t>56046</t>
  </si>
  <si>
    <t>SAN GIULIANO TERME</t>
  </si>
  <si>
    <t>050031</t>
  </si>
  <si>
    <t>56017</t>
  </si>
  <si>
    <t>SAN MINIATO</t>
  </si>
  <si>
    <t>050032</t>
  </si>
  <si>
    <t>56028</t>
  </si>
  <si>
    <t>SANTA CROCE SULL'ARNO</t>
  </si>
  <si>
    <t>050033</t>
  </si>
  <si>
    <t>56029</t>
  </si>
  <si>
    <t>SANTA LUCE</t>
  </si>
  <si>
    <t>050034</t>
  </si>
  <si>
    <t>SANTA MARIA A MONTE</t>
  </si>
  <si>
    <t>050035</t>
  </si>
  <si>
    <t>TERRICCIOLA</t>
  </si>
  <si>
    <t>050036</t>
  </si>
  <si>
    <t>VECCHIANO</t>
  </si>
  <si>
    <t>050037</t>
  </si>
  <si>
    <t>56019</t>
  </si>
  <si>
    <t>VICOPISANO</t>
  </si>
  <si>
    <t>050038</t>
  </si>
  <si>
    <t>56010</t>
  </si>
  <si>
    <t>VOLTERRA</t>
  </si>
  <si>
    <t>050039</t>
  </si>
  <si>
    <t>56048</t>
  </si>
  <si>
    <t>CASCIANA TERME LARI</t>
  </si>
  <si>
    <t>050040</t>
  </si>
  <si>
    <t>CRESPINA LORENZANA</t>
  </si>
  <si>
    <t>050041</t>
  </si>
  <si>
    <t>ANGHIARI</t>
  </si>
  <si>
    <t>051001</t>
  </si>
  <si>
    <t>AR</t>
  </si>
  <si>
    <t>52031</t>
  </si>
  <si>
    <t>AREZZO</t>
  </si>
  <si>
    <t>051002</t>
  </si>
  <si>
    <t>52100</t>
  </si>
  <si>
    <t>BADIA TEDALDA</t>
  </si>
  <si>
    <t>051003</t>
  </si>
  <si>
    <t>52032</t>
  </si>
  <si>
    <t>BIBBIENA</t>
  </si>
  <si>
    <t>051004</t>
  </si>
  <si>
    <t>52011</t>
  </si>
  <si>
    <t>BUCINE</t>
  </si>
  <si>
    <t>051005</t>
  </si>
  <si>
    <t>52021</t>
  </si>
  <si>
    <t>CAPOLONA</t>
  </si>
  <si>
    <t>051006</t>
  </si>
  <si>
    <t>52010</t>
  </si>
  <si>
    <t>CAPRESE MICHELANGELO</t>
  </si>
  <si>
    <t>051007</t>
  </si>
  <si>
    <t>52033</t>
  </si>
  <si>
    <t>CASTEL FOCOGNANO</t>
  </si>
  <si>
    <t>051008</t>
  </si>
  <si>
    <t>52016</t>
  </si>
  <si>
    <t>CASTEL SAN NICCOLÒ</t>
  </si>
  <si>
    <t>051010</t>
  </si>
  <si>
    <t>52018</t>
  </si>
  <si>
    <t>CASTIGLION FIBOCCHI</t>
  </si>
  <si>
    <t>051011</t>
  </si>
  <si>
    <t>52029</t>
  </si>
  <si>
    <t>CASTIGLION FIORENTINO</t>
  </si>
  <si>
    <t>051012</t>
  </si>
  <si>
    <t>52043</t>
  </si>
  <si>
    <t>CAVRIGLIA</t>
  </si>
  <si>
    <t>051013</t>
  </si>
  <si>
    <t>52022</t>
  </si>
  <si>
    <t>CHITIGNANO</t>
  </si>
  <si>
    <t>051014</t>
  </si>
  <si>
    <t>CHIUSI DELLA VERNA</t>
  </si>
  <si>
    <t>051015</t>
  </si>
  <si>
    <t>CIVITELLA IN VAL DI CHIANA</t>
  </si>
  <si>
    <t>051016</t>
  </si>
  <si>
    <t>52041</t>
  </si>
  <si>
    <t>CORTONA</t>
  </si>
  <si>
    <t>051017</t>
  </si>
  <si>
    <t>52044</t>
  </si>
  <si>
    <t>FOIANO DELLA CHIANA</t>
  </si>
  <si>
    <t>051018</t>
  </si>
  <si>
    <t>52045</t>
  </si>
  <si>
    <t>LORO CIUFFENNA</t>
  </si>
  <si>
    <t>051020</t>
  </si>
  <si>
    <t>52024</t>
  </si>
  <si>
    <t>LUCIGNANO</t>
  </si>
  <si>
    <t>051021</t>
  </si>
  <si>
    <t>52046</t>
  </si>
  <si>
    <t>MARCIANO DELLA CHIANA</t>
  </si>
  <si>
    <t>051022</t>
  </si>
  <si>
    <t>52047</t>
  </si>
  <si>
    <t>MONTEMIGNAIO</t>
  </si>
  <si>
    <t>051023</t>
  </si>
  <si>
    <t>MONTERCHI</t>
  </si>
  <si>
    <t>051024</t>
  </si>
  <si>
    <t>52035</t>
  </si>
  <si>
    <t>MONTE SAN SAVINO</t>
  </si>
  <si>
    <t>051025</t>
  </si>
  <si>
    <t>52048</t>
  </si>
  <si>
    <t>MONTEVARCHI</t>
  </si>
  <si>
    <t>051026</t>
  </si>
  <si>
    <t>52025</t>
  </si>
  <si>
    <t>ORTIGNANO RAGGIOLO</t>
  </si>
  <si>
    <t>051027</t>
  </si>
  <si>
    <t>PIEVE SANTO STEFANO</t>
  </si>
  <si>
    <t>051030</t>
  </si>
  <si>
    <t>52036</t>
  </si>
  <si>
    <t>POPPI</t>
  </si>
  <si>
    <t>051031</t>
  </si>
  <si>
    <t>52014</t>
  </si>
  <si>
    <t>SAN GIOVANNI VALDARNO</t>
  </si>
  <si>
    <t>051033</t>
  </si>
  <si>
    <t>52027</t>
  </si>
  <si>
    <t>SANSEPOLCRO</t>
  </si>
  <si>
    <t>051034</t>
  </si>
  <si>
    <t>52037</t>
  </si>
  <si>
    <t>SESTINO</t>
  </si>
  <si>
    <t>051035</t>
  </si>
  <si>
    <t>52038</t>
  </si>
  <si>
    <t>SUBBIANO</t>
  </si>
  <si>
    <t>051037</t>
  </si>
  <si>
    <t>TALLA</t>
  </si>
  <si>
    <t>051038</t>
  </si>
  <si>
    <t>TERRANUOVA BRACCIOLINI</t>
  </si>
  <si>
    <t>051039</t>
  </si>
  <si>
    <t>52028</t>
  </si>
  <si>
    <t>CASTELFRANCO PIANDISCÒ</t>
  </si>
  <si>
    <t>051040</t>
  </si>
  <si>
    <t>PRATOVECCHIO STIA</t>
  </si>
  <si>
    <t>051041</t>
  </si>
  <si>
    <t>LATERINA PERGINE VALDARNO</t>
  </si>
  <si>
    <t>051042</t>
  </si>
  <si>
    <t>ABBADIA SAN SALVATORE</t>
  </si>
  <si>
    <t>052001</t>
  </si>
  <si>
    <t>SI</t>
  </si>
  <si>
    <t>53021</t>
  </si>
  <si>
    <t>ASCIANO</t>
  </si>
  <si>
    <t>052002</t>
  </si>
  <si>
    <t>53041</t>
  </si>
  <si>
    <t>BUONCONVENTO</t>
  </si>
  <si>
    <t>052003</t>
  </si>
  <si>
    <t>53022</t>
  </si>
  <si>
    <t>CASOLE D'ELSA</t>
  </si>
  <si>
    <t>052004</t>
  </si>
  <si>
    <t>53031</t>
  </si>
  <si>
    <t>CASTELLINA IN CHIANTI</t>
  </si>
  <si>
    <t>052005</t>
  </si>
  <si>
    <t>53011</t>
  </si>
  <si>
    <t>CASTELNUOVO BERARDENGA</t>
  </si>
  <si>
    <t>052006</t>
  </si>
  <si>
    <t>53019</t>
  </si>
  <si>
    <t>CASTIGLIONE D'ORCIA</t>
  </si>
  <si>
    <t>052007</t>
  </si>
  <si>
    <t>53023</t>
  </si>
  <si>
    <t>CETONA</t>
  </si>
  <si>
    <t>052008</t>
  </si>
  <si>
    <t>53040</t>
  </si>
  <si>
    <t>CHIANCIANO TERME</t>
  </si>
  <si>
    <t>052009</t>
  </si>
  <si>
    <t>53042</t>
  </si>
  <si>
    <t>CHIUSDINO</t>
  </si>
  <si>
    <t>052010</t>
  </si>
  <si>
    <t>53012</t>
  </si>
  <si>
    <t>CHIUSI</t>
  </si>
  <si>
    <t>052011</t>
  </si>
  <si>
    <t>53043</t>
  </si>
  <si>
    <t>COLLE DI VAL D'ELSA</t>
  </si>
  <si>
    <t>052012</t>
  </si>
  <si>
    <t>53034</t>
  </si>
  <si>
    <t>GAIOLE IN CHIANTI</t>
  </si>
  <si>
    <t>052013</t>
  </si>
  <si>
    <t>53013</t>
  </si>
  <si>
    <t>MONTEPULCIANO</t>
  </si>
  <si>
    <t>052015</t>
  </si>
  <si>
    <t>53045</t>
  </si>
  <si>
    <t>MONTERIGGIONI</t>
  </si>
  <si>
    <t>052016</t>
  </si>
  <si>
    <t>53035</t>
  </si>
  <si>
    <t>MONTERONI D'ARBIA</t>
  </si>
  <si>
    <t>052017</t>
  </si>
  <si>
    <t>53014</t>
  </si>
  <si>
    <t>MONTICIANO</t>
  </si>
  <si>
    <t>052018</t>
  </si>
  <si>
    <t>53015</t>
  </si>
  <si>
    <t>MURLO</t>
  </si>
  <si>
    <t>052019</t>
  </si>
  <si>
    <t>53016</t>
  </si>
  <si>
    <t>PIANCASTAGNAIO</t>
  </si>
  <si>
    <t>052020</t>
  </si>
  <si>
    <t>53025</t>
  </si>
  <si>
    <t>PIENZA</t>
  </si>
  <si>
    <t>052021</t>
  </si>
  <si>
    <t>53026</t>
  </si>
  <si>
    <t>POGGIBONSI</t>
  </si>
  <si>
    <t>052022</t>
  </si>
  <si>
    <t>53036</t>
  </si>
  <si>
    <t>RADDA IN CHIANTI</t>
  </si>
  <si>
    <t>052023</t>
  </si>
  <si>
    <t>53017</t>
  </si>
  <si>
    <t>RADICOFANI</t>
  </si>
  <si>
    <t>052024</t>
  </si>
  <si>
    <t>RADICONDOLI</t>
  </si>
  <si>
    <t>052025</t>
  </si>
  <si>
    <t>53030</t>
  </si>
  <si>
    <t>RAPOLANO TERME</t>
  </si>
  <si>
    <t>052026</t>
  </si>
  <si>
    <t>SAN CASCIANO DEI BAGNI</t>
  </si>
  <si>
    <t>052027</t>
  </si>
  <si>
    <t>SAN GIMIGNANO</t>
  </si>
  <si>
    <t>052028</t>
  </si>
  <si>
    <t>53037</t>
  </si>
  <si>
    <t>SAN QUIRICO D'ORCIA</t>
  </si>
  <si>
    <t>052030</t>
  </si>
  <si>
    <t>53027</t>
  </si>
  <si>
    <t>SARTEANO</t>
  </si>
  <si>
    <t>052031</t>
  </si>
  <si>
    <t>53047</t>
  </si>
  <si>
    <t>SIENA</t>
  </si>
  <si>
    <t>052032</t>
  </si>
  <si>
    <t>53100</t>
  </si>
  <si>
    <t>SINALUNGA</t>
  </si>
  <si>
    <t>052033</t>
  </si>
  <si>
    <t>53048</t>
  </si>
  <si>
    <t>SOVICILLE</t>
  </si>
  <si>
    <t>052034</t>
  </si>
  <si>
    <t>53018</t>
  </si>
  <si>
    <t>TORRITA DI SIENA</t>
  </si>
  <si>
    <t>052035</t>
  </si>
  <si>
    <t>53049</t>
  </si>
  <si>
    <t>TREQUANDA</t>
  </si>
  <si>
    <t>052036</t>
  </si>
  <si>
    <t>53020</t>
  </si>
  <si>
    <t>MONTALCINO</t>
  </si>
  <si>
    <t>052037</t>
  </si>
  <si>
    <t>53024</t>
  </si>
  <si>
    <t>ARCIDOSSO</t>
  </si>
  <si>
    <t>053001</t>
  </si>
  <si>
    <t>GR</t>
  </si>
  <si>
    <t>58031</t>
  </si>
  <si>
    <t>CAMPAGNATICO</t>
  </si>
  <si>
    <t>053002</t>
  </si>
  <si>
    <t>58042</t>
  </si>
  <si>
    <t>CAPALBIO</t>
  </si>
  <si>
    <t>053003</t>
  </si>
  <si>
    <t>58011</t>
  </si>
  <si>
    <t>CASTEL DEL PIANO</t>
  </si>
  <si>
    <t>053004</t>
  </si>
  <si>
    <t>58033</t>
  </si>
  <si>
    <t>CASTELL'AZZARA</t>
  </si>
  <si>
    <t>053005</t>
  </si>
  <si>
    <t>58034</t>
  </si>
  <si>
    <t>CASTIGLIONE DELLA PESCAIA</t>
  </si>
  <si>
    <t>053006</t>
  </si>
  <si>
    <t>58043</t>
  </si>
  <si>
    <t>CINIGIANO</t>
  </si>
  <si>
    <t>053007</t>
  </si>
  <si>
    <t>58044</t>
  </si>
  <si>
    <t>CIVITELLA PAGANICO</t>
  </si>
  <si>
    <t>053008</t>
  </si>
  <si>
    <t>58045</t>
  </si>
  <si>
    <t>FOLLONICA</t>
  </si>
  <si>
    <t>053009</t>
  </si>
  <si>
    <t>58022</t>
  </si>
  <si>
    <t>GAVORRANO</t>
  </si>
  <si>
    <t>053010</t>
  </si>
  <si>
    <t>58023</t>
  </si>
  <si>
    <t>GROSSETO</t>
  </si>
  <si>
    <t>053011</t>
  </si>
  <si>
    <t>58100</t>
  </si>
  <si>
    <t>ISOLA DEL GIGLIO</t>
  </si>
  <si>
    <t>053012</t>
  </si>
  <si>
    <t>58012</t>
  </si>
  <si>
    <t>MAGLIANO IN TOSCANA</t>
  </si>
  <si>
    <t>053013</t>
  </si>
  <si>
    <t>58051</t>
  </si>
  <si>
    <t>MANCIANO</t>
  </si>
  <si>
    <t>053014</t>
  </si>
  <si>
    <t>58014</t>
  </si>
  <si>
    <t>MASSA MARITTIMA</t>
  </si>
  <si>
    <t>053015</t>
  </si>
  <si>
    <t>58024</t>
  </si>
  <si>
    <t>MONTE ARGENTARIO</t>
  </si>
  <si>
    <t>053016</t>
  </si>
  <si>
    <t>58019</t>
  </si>
  <si>
    <t>MONTIERI</t>
  </si>
  <si>
    <t>053017</t>
  </si>
  <si>
    <t>58026</t>
  </si>
  <si>
    <t>ORBETELLO</t>
  </si>
  <si>
    <t>053018</t>
  </si>
  <si>
    <t>58015</t>
  </si>
  <si>
    <t>PITIGLIANO</t>
  </si>
  <si>
    <t>053019</t>
  </si>
  <si>
    <t>58017</t>
  </si>
  <si>
    <t>ROCCALBEGNA</t>
  </si>
  <si>
    <t>053020</t>
  </si>
  <si>
    <t>58053</t>
  </si>
  <si>
    <t>ROCCASTRADA</t>
  </si>
  <si>
    <t>053021</t>
  </si>
  <si>
    <t>58036</t>
  </si>
  <si>
    <t>SANTA FIORA</t>
  </si>
  <si>
    <t>053022</t>
  </si>
  <si>
    <t>58037</t>
  </si>
  <si>
    <t>SCANSANO</t>
  </si>
  <si>
    <t>053023</t>
  </si>
  <si>
    <t>58054</t>
  </si>
  <si>
    <t>SCARLINO</t>
  </si>
  <si>
    <t>053024</t>
  </si>
  <si>
    <t>58020</t>
  </si>
  <si>
    <t>SEGGIANO</t>
  </si>
  <si>
    <t>053025</t>
  </si>
  <si>
    <t>58038</t>
  </si>
  <si>
    <t>SORANO</t>
  </si>
  <si>
    <t>053026</t>
  </si>
  <si>
    <t>58010</t>
  </si>
  <si>
    <t>MONTEROTONDO MARITTIMO</t>
  </si>
  <si>
    <t>053027</t>
  </si>
  <si>
    <t>58025</t>
  </si>
  <si>
    <t>SEMPRONIANO</t>
  </si>
  <si>
    <t>053028</t>
  </si>
  <si>
    <t>58055</t>
  </si>
  <si>
    <t>ASSISI</t>
  </si>
  <si>
    <t>054001</t>
  </si>
  <si>
    <t>PG</t>
  </si>
  <si>
    <t>06081</t>
  </si>
  <si>
    <t>BASTIA UMBRA</t>
  </si>
  <si>
    <t>054002</t>
  </si>
  <si>
    <t>06083</t>
  </si>
  <si>
    <t>BETTONA</t>
  </si>
  <si>
    <t>054003</t>
  </si>
  <si>
    <t>06084</t>
  </si>
  <si>
    <t>BEVAGNA</t>
  </si>
  <si>
    <t>054004</t>
  </si>
  <si>
    <t>06031</t>
  </si>
  <si>
    <t>CAMPELLO SUL CLITUNNO</t>
  </si>
  <si>
    <t>054005</t>
  </si>
  <si>
    <t>06042</t>
  </si>
  <si>
    <t>CANNARA</t>
  </si>
  <si>
    <t>054006</t>
  </si>
  <si>
    <t>06033</t>
  </si>
  <si>
    <t>CASCIA</t>
  </si>
  <si>
    <t>054007</t>
  </si>
  <si>
    <t>06043</t>
  </si>
  <si>
    <t>CASTEL RITALDI</t>
  </si>
  <si>
    <t>054008</t>
  </si>
  <si>
    <t>06044</t>
  </si>
  <si>
    <t>CASTIGLIONE DEL LAGO</t>
  </si>
  <si>
    <t>054009</t>
  </si>
  <si>
    <t>06061</t>
  </si>
  <si>
    <t>CERRETO DI SPOLETO</t>
  </si>
  <si>
    <t>054010</t>
  </si>
  <si>
    <t>06041</t>
  </si>
  <si>
    <t>CITERNA</t>
  </si>
  <si>
    <t>054011</t>
  </si>
  <si>
    <t>06010</t>
  </si>
  <si>
    <t>CITTÀ DELLA PIEVE</t>
  </si>
  <si>
    <t>054012</t>
  </si>
  <si>
    <t>06062</t>
  </si>
  <si>
    <t>CITTÀ DI CASTELLO</t>
  </si>
  <si>
    <t>054013</t>
  </si>
  <si>
    <t>06012</t>
  </si>
  <si>
    <t>COLLAZZONE</t>
  </si>
  <si>
    <t>054014</t>
  </si>
  <si>
    <t>06050</t>
  </si>
  <si>
    <t>CORCIANO</t>
  </si>
  <si>
    <t>054015</t>
  </si>
  <si>
    <t>06073</t>
  </si>
  <si>
    <t>COSTACCIARO</t>
  </si>
  <si>
    <t>054016</t>
  </si>
  <si>
    <t>06021</t>
  </si>
  <si>
    <t>DERUTA</t>
  </si>
  <si>
    <t>054017</t>
  </si>
  <si>
    <t>06053</t>
  </si>
  <si>
    <t>FOLIGNO</t>
  </si>
  <si>
    <t>054018</t>
  </si>
  <si>
    <t>06034</t>
  </si>
  <si>
    <t>FOSSATO DI VICO</t>
  </si>
  <si>
    <t>054019</t>
  </si>
  <si>
    <t>06022</t>
  </si>
  <si>
    <t>FRATTA TODINA</t>
  </si>
  <si>
    <t>054020</t>
  </si>
  <si>
    <t>06054</t>
  </si>
  <si>
    <t>GIANO DELL'UMBRIA</t>
  </si>
  <si>
    <t>054021</t>
  </si>
  <si>
    <t>06030</t>
  </si>
  <si>
    <t>GUALDO CATTANEO</t>
  </si>
  <si>
    <t>054022</t>
  </si>
  <si>
    <t>06035</t>
  </si>
  <si>
    <t>GUALDO TADINO</t>
  </si>
  <si>
    <t>054023</t>
  </si>
  <si>
    <t>06023</t>
  </si>
  <si>
    <t>GUBBIO</t>
  </si>
  <si>
    <t>054024</t>
  </si>
  <si>
    <t>06024</t>
  </si>
  <si>
    <t>LISCIANO NICCONE</t>
  </si>
  <si>
    <t>054025</t>
  </si>
  <si>
    <t>06060</t>
  </si>
  <si>
    <t>MAGIONE</t>
  </si>
  <si>
    <t>054026</t>
  </si>
  <si>
    <t>06063</t>
  </si>
  <si>
    <t>MARSCIANO</t>
  </si>
  <si>
    <t>054027</t>
  </si>
  <si>
    <t>06055</t>
  </si>
  <si>
    <t>MASSA MARTANA</t>
  </si>
  <si>
    <t>054028</t>
  </si>
  <si>
    <t>06056</t>
  </si>
  <si>
    <t>MONTE CASTELLO DI VIBIO</t>
  </si>
  <si>
    <t>054029</t>
  </si>
  <si>
    <t>06057</t>
  </si>
  <si>
    <t>MONTEFALCO</t>
  </si>
  <si>
    <t>054030</t>
  </si>
  <si>
    <t>06036</t>
  </si>
  <si>
    <t>MONTELEONE DI SPOLETO</t>
  </si>
  <si>
    <t>054031</t>
  </si>
  <si>
    <t>06045</t>
  </si>
  <si>
    <t>MONTE SANTA MARIA TIBERINA</t>
  </si>
  <si>
    <t>054032</t>
  </si>
  <si>
    <t>MONTONE</t>
  </si>
  <si>
    <t>054033</t>
  </si>
  <si>
    <t>06014</t>
  </si>
  <si>
    <t>NOCERA UMBRA</t>
  </si>
  <si>
    <t>054034</t>
  </si>
  <si>
    <t>06025</t>
  </si>
  <si>
    <t>NORCIA</t>
  </si>
  <si>
    <t>054035</t>
  </si>
  <si>
    <t>06046</t>
  </si>
  <si>
    <t>PACIANO</t>
  </si>
  <si>
    <t>054036</t>
  </si>
  <si>
    <t>PANICALE</t>
  </si>
  <si>
    <t>054037</t>
  </si>
  <si>
    <t>06064</t>
  </si>
  <si>
    <t>PASSIGNANO SUL TRASIMENO</t>
  </si>
  <si>
    <t>054038</t>
  </si>
  <si>
    <t>06065</t>
  </si>
  <si>
    <t>PERUGIA</t>
  </si>
  <si>
    <t>054039</t>
  </si>
  <si>
    <t>061xx</t>
  </si>
  <si>
    <t>PIEGARO</t>
  </si>
  <si>
    <t>054040</t>
  </si>
  <si>
    <t>06066</t>
  </si>
  <si>
    <t>PIETRALUNGA</t>
  </si>
  <si>
    <t>054041</t>
  </si>
  <si>
    <t>06026</t>
  </si>
  <si>
    <t>POGGIODOMO</t>
  </si>
  <si>
    <t>054042</t>
  </si>
  <si>
    <t>06040</t>
  </si>
  <si>
    <t>PRECI</t>
  </si>
  <si>
    <t>054043</t>
  </si>
  <si>
    <t>06047</t>
  </si>
  <si>
    <t>SAN GIUSTINO</t>
  </si>
  <si>
    <t>054044</t>
  </si>
  <si>
    <t>06016</t>
  </si>
  <si>
    <t>SANT'ANATOLIA DI NARCO</t>
  </si>
  <si>
    <t>054045</t>
  </si>
  <si>
    <t>SCHEGGIA E PASCELUPO</t>
  </si>
  <si>
    <t>054046</t>
  </si>
  <si>
    <t>06027</t>
  </si>
  <si>
    <t>SCHEGGINO</t>
  </si>
  <si>
    <t>054047</t>
  </si>
  <si>
    <t>SELLANO</t>
  </si>
  <si>
    <t>054048</t>
  </si>
  <si>
    <t>SIGILLO</t>
  </si>
  <si>
    <t>054049</t>
  </si>
  <si>
    <t>06028</t>
  </si>
  <si>
    <t>SPELLO</t>
  </si>
  <si>
    <t>054050</t>
  </si>
  <si>
    <t>06038</t>
  </si>
  <si>
    <t>SPOLETO</t>
  </si>
  <si>
    <t>054051</t>
  </si>
  <si>
    <t>06049</t>
  </si>
  <si>
    <t>TODI</t>
  </si>
  <si>
    <t>054052</t>
  </si>
  <si>
    <t>06059</t>
  </si>
  <si>
    <t>TORGIANO</t>
  </si>
  <si>
    <t>054053</t>
  </si>
  <si>
    <t>06089</t>
  </si>
  <si>
    <t>TREVI</t>
  </si>
  <si>
    <t>054054</t>
  </si>
  <si>
    <t>06039</t>
  </si>
  <si>
    <t>TUORO SUL TRASIMENO</t>
  </si>
  <si>
    <t>054055</t>
  </si>
  <si>
    <t>06069</t>
  </si>
  <si>
    <t>UMBERTIDE</t>
  </si>
  <si>
    <t>054056</t>
  </si>
  <si>
    <t>06019</t>
  </si>
  <si>
    <t>VALFABBRICA</t>
  </si>
  <si>
    <t>054057</t>
  </si>
  <si>
    <t>06029</t>
  </si>
  <si>
    <t>VALLO DI NERA</t>
  </si>
  <si>
    <t>054058</t>
  </si>
  <si>
    <t>VALTOPINA</t>
  </si>
  <si>
    <t>054059</t>
  </si>
  <si>
    <t>ACQUASPARTA</t>
  </si>
  <si>
    <t>055001</t>
  </si>
  <si>
    <t>TR</t>
  </si>
  <si>
    <t>05021</t>
  </si>
  <si>
    <t>ALLERONA</t>
  </si>
  <si>
    <t>055002</t>
  </si>
  <si>
    <t>05011</t>
  </si>
  <si>
    <t>ALVIANO</t>
  </si>
  <si>
    <t>055003</t>
  </si>
  <si>
    <t>05020</t>
  </si>
  <si>
    <t>AMELIA</t>
  </si>
  <si>
    <t>055004</t>
  </si>
  <si>
    <t>05022</t>
  </si>
  <si>
    <t>ARRONE</t>
  </si>
  <si>
    <t>055005</t>
  </si>
  <si>
    <t>05031</t>
  </si>
  <si>
    <t>ATTIGLIANO</t>
  </si>
  <si>
    <t>055006</t>
  </si>
  <si>
    <t>05012</t>
  </si>
  <si>
    <t>BASCHI</t>
  </si>
  <si>
    <t>055007</t>
  </si>
  <si>
    <t>05023</t>
  </si>
  <si>
    <t>CALVI DELL'UMBRIA</t>
  </si>
  <si>
    <t>055008</t>
  </si>
  <si>
    <t>05032</t>
  </si>
  <si>
    <t>CASTEL GIORGIO</t>
  </si>
  <si>
    <t>055009</t>
  </si>
  <si>
    <t>05013</t>
  </si>
  <si>
    <t>CASTEL VISCARDO</t>
  </si>
  <si>
    <t>055010</t>
  </si>
  <si>
    <t>05014</t>
  </si>
  <si>
    <t>FABRO</t>
  </si>
  <si>
    <t>055011</t>
  </si>
  <si>
    <t>05015</t>
  </si>
  <si>
    <t>FERENTILLO</t>
  </si>
  <si>
    <t>055012</t>
  </si>
  <si>
    <t>05034</t>
  </si>
  <si>
    <t>FICULLE</t>
  </si>
  <si>
    <t>055013</t>
  </si>
  <si>
    <t>05016</t>
  </si>
  <si>
    <t>GIOVE</t>
  </si>
  <si>
    <t>055014</t>
  </si>
  <si>
    <t>05024</t>
  </si>
  <si>
    <t>GUARDEA</t>
  </si>
  <si>
    <t>055015</t>
  </si>
  <si>
    <t>05025</t>
  </si>
  <si>
    <t>LUGNANO IN TEVERINA</t>
  </si>
  <si>
    <t>055016</t>
  </si>
  <si>
    <t>MONTECASTRILLI</t>
  </si>
  <si>
    <t>055017</t>
  </si>
  <si>
    <t>05026</t>
  </si>
  <si>
    <t>MONTECCHIO</t>
  </si>
  <si>
    <t>055018</t>
  </si>
  <si>
    <t>MONTEFRANCO</t>
  </si>
  <si>
    <t>055019</t>
  </si>
  <si>
    <t>05030</t>
  </si>
  <si>
    <t>MONTEGABBIONE</t>
  </si>
  <si>
    <t>055020</t>
  </si>
  <si>
    <t>05010</t>
  </si>
  <si>
    <t>MONTELEONE D'ORVIETO</t>
  </si>
  <si>
    <t>055021</t>
  </si>
  <si>
    <t>05017</t>
  </si>
  <si>
    <t>NARNI</t>
  </si>
  <si>
    <t>055022</t>
  </si>
  <si>
    <t>05035</t>
  </si>
  <si>
    <t>ORVIETO</t>
  </si>
  <si>
    <t>055023</t>
  </si>
  <si>
    <t>05018</t>
  </si>
  <si>
    <t>OTRICOLI</t>
  </si>
  <si>
    <t>055024</t>
  </si>
  <si>
    <t>PARRANO</t>
  </si>
  <si>
    <t>055025</t>
  </si>
  <si>
    <t>PENNA IN TEVERINA</t>
  </si>
  <si>
    <t>055026</t>
  </si>
  <si>
    <t>05028</t>
  </si>
  <si>
    <t>POLINO</t>
  </si>
  <si>
    <t>055027</t>
  </si>
  <si>
    <t>PORANO</t>
  </si>
  <si>
    <t>055028</t>
  </si>
  <si>
    <t>SAN GEMINI</t>
  </si>
  <si>
    <t>055029</t>
  </si>
  <si>
    <t>05029</t>
  </si>
  <si>
    <t>SAN VENANZO</t>
  </si>
  <si>
    <t>055030</t>
  </si>
  <si>
    <t>STRONCONE</t>
  </si>
  <si>
    <t>055031</t>
  </si>
  <si>
    <t>05039</t>
  </si>
  <si>
    <t>TERNI</t>
  </si>
  <si>
    <t>055032</t>
  </si>
  <si>
    <t>05100</t>
  </si>
  <si>
    <t>AVIGLIANO UMBRO</t>
  </si>
  <si>
    <t>055033</t>
  </si>
  <si>
    <t>ACQUAPENDENTE</t>
  </si>
  <si>
    <t>056001</t>
  </si>
  <si>
    <t>VT</t>
  </si>
  <si>
    <t>01021</t>
  </si>
  <si>
    <t>ARLENA DI CASTRO</t>
  </si>
  <si>
    <t>056002</t>
  </si>
  <si>
    <t>01010</t>
  </si>
  <si>
    <t>BAGNOREGIO</t>
  </si>
  <si>
    <t>056003</t>
  </si>
  <si>
    <t>01022</t>
  </si>
  <si>
    <t>BARBARANO ROMANO</t>
  </si>
  <si>
    <t>056004</t>
  </si>
  <si>
    <t>BASSANO ROMANO</t>
  </si>
  <si>
    <t>056005</t>
  </si>
  <si>
    <t>01030</t>
  </si>
  <si>
    <t>BASSANO IN TEVERINA</t>
  </si>
  <si>
    <t>056006</t>
  </si>
  <si>
    <t>BLERA</t>
  </si>
  <si>
    <t>056007</t>
  </si>
  <si>
    <t>BOLSENA</t>
  </si>
  <si>
    <t>056008</t>
  </si>
  <si>
    <t>BOMARZO</t>
  </si>
  <si>
    <t>056009</t>
  </si>
  <si>
    <t>01020</t>
  </si>
  <si>
    <t>CALCATA</t>
  </si>
  <si>
    <t>056010</t>
  </si>
  <si>
    <t>CANEPINA</t>
  </si>
  <si>
    <t>056011</t>
  </si>
  <si>
    <t>CANINO</t>
  </si>
  <si>
    <t>056012</t>
  </si>
  <si>
    <t>01011</t>
  </si>
  <si>
    <t>CAPODIMONTE</t>
  </si>
  <si>
    <t>056013</t>
  </si>
  <si>
    <t>CAPRANICA</t>
  </si>
  <si>
    <t>056014</t>
  </si>
  <si>
    <t>01012</t>
  </si>
  <si>
    <t>CAPRAROLA</t>
  </si>
  <si>
    <t>056015</t>
  </si>
  <si>
    <t>01032</t>
  </si>
  <si>
    <t>CARBOGNANO</t>
  </si>
  <si>
    <t>056016</t>
  </si>
  <si>
    <t>CASTEL SANT'ELIA</t>
  </si>
  <si>
    <t>056017</t>
  </si>
  <si>
    <t>CASTIGLIONE IN TEVERINA</t>
  </si>
  <si>
    <t>056018</t>
  </si>
  <si>
    <t>01024</t>
  </si>
  <si>
    <t>CELLENO</t>
  </si>
  <si>
    <t>056019</t>
  </si>
  <si>
    <t>CELLERE</t>
  </si>
  <si>
    <t>056020</t>
  </si>
  <si>
    <t>CIVITA CASTELLANA</t>
  </si>
  <si>
    <t>056021</t>
  </si>
  <si>
    <t>01033</t>
  </si>
  <si>
    <t>CIVITELLA D'AGLIANO</t>
  </si>
  <si>
    <t>056022</t>
  </si>
  <si>
    <t>CORCHIANO</t>
  </si>
  <si>
    <t>056023</t>
  </si>
  <si>
    <t>FABRICA DI ROMA</t>
  </si>
  <si>
    <t>056024</t>
  </si>
  <si>
    <t>01034</t>
  </si>
  <si>
    <t>FALERIA</t>
  </si>
  <si>
    <t>056025</t>
  </si>
  <si>
    <t>FARNESE</t>
  </si>
  <si>
    <t>056026</t>
  </si>
  <si>
    <t>GALLESE</t>
  </si>
  <si>
    <t>056027</t>
  </si>
  <si>
    <t>01035</t>
  </si>
  <si>
    <t>GRADOLI</t>
  </si>
  <si>
    <t>056028</t>
  </si>
  <si>
    <t>GRAFFIGNANO</t>
  </si>
  <si>
    <t>056029</t>
  </si>
  <si>
    <t>GROTTE DI CASTRO</t>
  </si>
  <si>
    <t>056030</t>
  </si>
  <si>
    <t>01025</t>
  </si>
  <si>
    <t>ISCHIA DI CASTRO</t>
  </si>
  <si>
    <t>056031</t>
  </si>
  <si>
    <t>LATERA</t>
  </si>
  <si>
    <t>056032</t>
  </si>
  <si>
    <t>LUBRIANO</t>
  </si>
  <si>
    <t>056033</t>
  </si>
  <si>
    <t>MARTA</t>
  </si>
  <si>
    <t>056034</t>
  </si>
  <si>
    <t>MONTALTO DI CASTRO</t>
  </si>
  <si>
    <t>056035</t>
  </si>
  <si>
    <t>01014</t>
  </si>
  <si>
    <t>MONTEFIASCONE</t>
  </si>
  <si>
    <t>056036</t>
  </si>
  <si>
    <t>01027</t>
  </si>
  <si>
    <t>MONTE ROMANO</t>
  </si>
  <si>
    <t>056037</t>
  </si>
  <si>
    <t>MONTEROSI</t>
  </si>
  <si>
    <t>056038</t>
  </si>
  <si>
    <t>NEPI</t>
  </si>
  <si>
    <t>056039</t>
  </si>
  <si>
    <t>01036</t>
  </si>
  <si>
    <t>ONANO</t>
  </si>
  <si>
    <t>056040</t>
  </si>
  <si>
    <t>ORIOLO ROMANO</t>
  </si>
  <si>
    <t>056041</t>
  </si>
  <si>
    <t>ORTE</t>
  </si>
  <si>
    <t>056042</t>
  </si>
  <si>
    <t>01028</t>
  </si>
  <si>
    <t>PIANSANO</t>
  </si>
  <si>
    <t>056043</t>
  </si>
  <si>
    <t>PROCENO</t>
  </si>
  <si>
    <t>056044</t>
  </si>
  <si>
    <t>RONCIGLIONE</t>
  </si>
  <si>
    <t>056045</t>
  </si>
  <si>
    <t>01037</t>
  </si>
  <si>
    <t>VILLA SAN GIOVANNI IN TUSCIA</t>
  </si>
  <si>
    <t>056046</t>
  </si>
  <si>
    <t>SAN LORENZO NUOVO</t>
  </si>
  <si>
    <t>056047</t>
  </si>
  <si>
    <t>SORIANO NEL CIMINO</t>
  </si>
  <si>
    <t>056048</t>
  </si>
  <si>
    <t>01038</t>
  </si>
  <si>
    <t>SUTRI</t>
  </si>
  <si>
    <t>056049</t>
  </si>
  <si>
    <t>01015</t>
  </si>
  <si>
    <t>TARQUINIA</t>
  </si>
  <si>
    <t>056050</t>
  </si>
  <si>
    <t>01016</t>
  </si>
  <si>
    <t>TESSENNANO</t>
  </si>
  <si>
    <t>056051</t>
  </si>
  <si>
    <t>TUSCANIA</t>
  </si>
  <si>
    <t>056052</t>
  </si>
  <si>
    <t>01017</t>
  </si>
  <si>
    <t>VALENTANO</t>
  </si>
  <si>
    <t>056053</t>
  </si>
  <si>
    <t>01018</t>
  </si>
  <si>
    <t>VALLERANO</t>
  </si>
  <si>
    <t>056054</t>
  </si>
  <si>
    <t>VASANELLO</t>
  </si>
  <si>
    <t>056055</t>
  </si>
  <si>
    <t>VEJANO</t>
  </si>
  <si>
    <t>056056</t>
  </si>
  <si>
    <t>VETRALLA</t>
  </si>
  <si>
    <t>056057</t>
  </si>
  <si>
    <t>01019</t>
  </si>
  <si>
    <t>VIGNANELLO</t>
  </si>
  <si>
    <t>056058</t>
  </si>
  <si>
    <t>01039</t>
  </si>
  <si>
    <t>VITERBO</t>
  </si>
  <si>
    <t>056059</t>
  </si>
  <si>
    <t>01100</t>
  </si>
  <si>
    <t>VITORCHIANO</t>
  </si>
  <si>
    <t>056060</t>
  </si>
  <si>
    <t>ACCUMOLI</t>
  </si>
  <si>
    <t>057001</t>
  </si>
  <si>
    <t>RI</t>
  </si>
  <si>
    <t>02011</t>
  </si>
  <si>
    <t>AMATRICE</t>
  </si>
  <si>
    <t>057002</t>
  </si>
  <si>
    <t>02012</t>
  </si>
  <si>
    <t>ANTRODOCO</t>
  </si>
  <si>
    <t>057003</t>
  </si>
  <si>
    <t>02013</t>
  </si>
  <si>
    <t>ASCREA</t>
  </si>
  <si>
    <t>057004</t>
  </si>
  <si>
    <t>02020</t>
  </si>
  <si>
    <t>BELMONTE IN SABINA</t>
  </si>
  <si>
    <t>057005</t>
  </si>
  <si>
    <t>BORBONA</t>
  </si>
  <si>
    <t>057006</t>
  </si>
  <si>
    <t>02010</t>
  </si>
  <si>
    <t>BORGOROSE</t>
  </si>
  <si>
    <t>057007</t>
  </si>
  <si>
    <t>02021</t>
  </si>
  <si>
    <t>BORGO VELINO</t>
  </si>
  <si>
    <t>057008</t>
  </si>
  <si>
    <t>CANTALICE</t>
  </si>
  <si>
    <t>057009</t>
  </si>
  <si>
    <t>02014</t>
  </si>
  <si>
    <t>CANTALUPO IN SABINA</t>
  </si>
  <si>
    <t>057010</t>
  </si>
  <si>
    <t>02040</t>
  </si>
  <si>
    <t>CASAPROTA</t>
  </si>
  <si>
    <t>057011</t>
  </si>
  <si>
    <t>02030</t>
  </si>
  <si>
    <t>CASPERIA</t>
  </si>
  <si>
    <t>057012</t>
  </si>
  <si>
    <t>02041</t>
  </si>
  <si>
    <t>CASTEL DI TORA</t>
  </si>
  <si>
    <t>057013</t>
  </si>
  <si>
    <t>CASTELNUOVO DI FARFA</t>
  </si>
  <si>
    <t>057014</t>
  </si>
  <si>
    <t>02031</t>
  </si>
  <si>
    <t>CASTEL SANT'ANGELO</t>
  </si>
  <si>
    <t>057015</t>
  </si>
  <si>
    <t>CITTADUCALE</t>
  </si>
  <si>
    <t>057016</t>
  </si>
  <si>
    <t>02015</t>
  </si>
  <si>
    <t>CITTAREALE</t>
  </si>
  <si>
    <t>057017</t>
  </si>
  <si>
    <t>COLLALTO SABINO</t>
  </si>
  <si>
    <t>057018</t>
  </si>
  <si>
    <t>02022</t>
  </si>
  <si>
    <t>COLLE DI TORA</t>
  </si>
  <si>
    <t>057019</t>
  </si>
  <si>
    <t>COLLEGIOVE</t>
  </si>
  <si>
    <t>057020</t>
  </si>
  <si>
    <t>COLLEVECCHIO</t>
  </si>
  <si>
    <t>057021</t>
  </si>
  <si>
    <t>02042</t>
  </si>
  <si>
    <t>COLLI SUL VELINO</t>
  </si>
  <si>
    <t>057022</t>
  </si>
  <si>
    <t>CONCERVIANO</t>
  </si>
  <si>
    <t>057023</t>
  </si>
  <si>
    <t>CONFIGNI</t>
  </si>
  <si>
    <t>057024</t>
  </si>
  <si>
    <t>CONTIGLIANO</t>
  </si>
  <si>
    <t>057025</t>
  </si>
  <si>
    <t>02043</t>
  </si>
  <si>
    <t>COTTANELLO</t>
  </si>
  <si>
    <t>057026</t>
  </si>
  <si>
    <t>FARA IN SABINA</t>
  </si>
  <si>
    <t>057027</t>
  </si>
  <si>
    <t>02032</t>
  </si>
  <si>
    <t>FIAMIGNANO</t>
  </si>
  <si>
    <t>057028</t>
  </si>
  <si>
    <t>02023</t>
  </si>
  <si>
    <t>FORANO</t>
  </si>
  <si>
    <t>057029</t>
  </si>
  <si>
    <t>02044</t>
  </si>
  <si>
    <t>FRASSO SABINO</t>
  </si>
  <si>
    <t>057030</t>
  </si>
  <si>
    <t>GRECCIO</t>
  </si>
  <si>
    <t>057031</t>
  </si>
  <si>
    <t>02045</t>
  </si>
  <si>
    <t>LABRO</t>
  </si>
  <si>
    <t>057032</t>
  </si>
  <si>
    <t>LEONESSA</t>
  </si>
  <si>
    <t>057033</t>
  </si>
  <si>
    <t>02016</t>
  </si>
  <si>
    <t>LONGONE SABINO</t>
  </si>
  <si>
    <t>057034</t>
  </si>
  <si>
    <t>MAGLIANO SABINA</t>
  </si>
  <si>
    <t>057035</t>
  </si>
  <si>
    <t>02046</t>
  </si>
  <si>
    <t>MARCETELLI</t>
  </si>
  <si>
    <t>057036</t>
  </si>
  <si>
    <t>MICIGLIANO</t>
  </si>
  <si>
    <t>057037</t>
  </si>
  <si>
    <t>MOMPEO</t>
  </si>
  <si>
    <t>057038</t>
  </si>
  <si>
    <t>MONTASOLA</t>
  </si>
  <si>
    <t>057039</t>
  </si>
  <si>
    <t>MONTEBUONO</t>
  </si>
  <si>
    <t>057040</t>
  </si>
  <si>
    <t>MONTELEONE SABINO</t>
  </si>
  <si>
    <t>057041</t>
  </si>
  <si>
    <t>02033</t>
  </si>
  <si>
    <t>MONTENERO SABINO</t>
  </si>
  <si>
    <t>057042</t>
  </si>
  <si>
    <t>MONTE SAN GIOVANNI IN SABINA</t>
  </si>
  <si>
    <t>057043</t>
  </si>
  <si>
    <t>MONTOPOLI DI SABINA</t>
  </si>
  <si>
    <t>057044</t>
  </si>
  <si>
    <t>02034</t>
  </si>
  <si>
    <t>MORRO REATINO</t>
  </si>
  <si>
    <t>057045</t>
  </si>
  <si>
    <t>NESPOLO</t>
  </si>
  <si>
    <t>057046</t>
  </si>
  <si>
    <t>ORVINIO</t>
  </si>
  <si>
    <t>057047</t>
  </si>
  <si>
    <t>02035</t>
  </si>
  <si>
    <t>PAGANICO SABINO</t>
  </si>
  <si>
    <t>057048</t>
  </si>
  <si>
    <t>PESCOROCCHIANO</t>
  </si>
  <si>
    <t>057049</t>
  </si>
  <si>
    <t>02024</t>
  </si>
  <si>
    <t>PETRELLA SALTO</t>
  </si>
  <si>
    <t>057050</t>
  </si>
  <si>
    <t>02025</t>
  </si>
  <si>
    <t>POGGIO BUSTONE</t>
  </si>
  <si>
    <t>057051</t>
  </si>
  <si>
    <t>02018</t>
  </si>
  <si>
    <t>POGGIO CATINO</t>
  </si>
  <si>
    <t>057052</t>
  </si>
  <si>
    <t>POGGIO MIRTETO</t>
  </si>
  <si>
    <t>057053</t>
  </si>
  <si>
    <t>02047</t>
  </si>
  <si>
    <t>POGGIO MOIANO</t>
  </si>
  <si>
    <t>057054</t>
  </si>
  <si>
    <t>02037</t>
  </si>
  <si>
    <t>POGGIO NATIVO</t>
  </si>
  <si>
    <t>057055</t>
  </si>
  <si>
    <t>POGGIO SAN LORENZO</t>
  </si>
  <si>
    <t>057056</t>
  </si>
  <si>
    <t>POSTA</t>
  </si>
  <si>
    <t>057057</t>
  </si>
  <si>
    <t>02019</t>
  </si>
  <si>
    <t>POZZAGLIA SABINA</t>
  </si>
  <si>
    <t>057058</t>
  </si>
  <si>
    <t>RIETI</t>
  </si>
  <si>
    <t>057059</t>
  </si>
  <si>
    <t>02100</t>
  </si>
  <si>
    <t>RIVODUTRI</t>
  </si>
  <si>
    <t>057060</t>
  </si>
  <si>
    <t>ROCCANTICA</t>
  </si>
  <si>
    <t>057061</t>
  </si>
  <si>
    <t>ROCCA SINIBALDA</t>
  </si>
  <si>
    <t>057062</t>
  </si>
  <si>
    <t>02026</t>
  </si>
  <si>
    <t>SALISANO</t>
  </si>
  <si>
    <t>057063</t>
  </si>
  <si>
    <t>SCANDRIGLIA</t>
  </si>
  <si>
    <t>057064</t>
  </si>
  <si>
    <t>02038</t>
  </si>
  <si>
    <t>SELCI</t>
  </si>
  <si>
    <t>057065</t>
  </si>
  <si>
    <t>STIMIGLIANO</t>
  </si>
  <si>
    <t>057066</t>
  </si>
  <si>
    <t>02048</t>
  </si>
  <si>
    <t>TARANO</t>
  </si>
  <si>
    <t>057067</t>
  </si>
  <si>
    <t>TOFFIA</t>
  </si>
  <si>
    <t>057068</t>
  </si>
  <si>
    <t>02039</t>
  </si>
  <si>
    <t>TORRICELLA IN SABINA</t>
  </si>
  <si>
    <t>057069</t>
  </si>
  <si>
    <t>TORRI IN SABINA</t>
  </si>
  <si>
    <t>057070</t>
  </si>
  <si>
    <t>02049</t>
  </si>
  <si>
    <t>TURANIA</t>
  </si>
  <si>
    <t>057071</t>
  </si>
  <si>
    <t>VACONE</t>
  </si>
  <si>
    <t>057072</t>
  </si>
  <si>
    <t>VARCO SABINO</t>
  </si>
  <si>
    <t>057073</t>
  </si>
  <si>
    <t>AFFILE</t>
  </si>
  <si>
    <t>058001</t>
  </si>
  <si>
    <t>RM</t>
  </si>
  <si>
    <t>00021</t>
  </si>
  <si>
    <t>AGOSTA</t>
  </si>
  <si>
    <t>058002</t>
  </si>
  <si>
    <t>00020</t>
  </si>
  <si>
    <t>ALBANO LAZIALE</t>
  </si>
  <si>
    <t>058003</t>
  </si>
  <si>
    <t>00041</t>
  </si>
  <si>
    <t>ALLUMIERE</t>
  </si>
  <si>
    <t>058004</t>
  </si>
  <si>
    <t>00051</t>
  </si>
  <si>
    <t>ANGUILLARA SABAZIA</t>
  </si>
  <si>
    <t>058005</t>
  </si>
  <si>
    <t>00061</t>
  </si>
  <si>
    <t>ANTICOLI CORRADO</t>
  </si>
  <si>
    <t>058006</t>
  </si>
  <si>
    <t>00022</t>
  </si>
  <si>
    <t>ANZIO</t>
  </si>
  <si>
    <t>058007</t>
  </si>
  <si>
    <t>00042</t>
  </si>
  <si>
    <t>ARCINAZZO ROMANO</t>
  </si>
  <si>
    <t>058008</t>
  </si>
  <si>
    <t>ARICCIA</t>
  </si>
  <si>
    <t>058009</t>
  </si>
  <si>
    <t>00040</t>
  </si>
  <si>
    <t>ARSOLI</t>
  </si>
  <si>
    <t>058010</t>
  </si>
  <si>
    <t>00023</t>
  </si>
  <si>
    <t>ARTENA</t>
  </si>
  <si>
    <t>058011</t>
  </si>
  <si>
    <t>00031</t>
  </si>
  <si>
    <t>BELLEGRA</t>
  </si>
  <si>
    <t>058012</t>
  </si>
  <si>
    <t>00030</t>
  </si>
  <si>
    <t>BRACCIANO</t>
  </si>
  <si>
    <t>058013</t>
  </si>
  <si>
    <t>00062</t>
  </si>
  <si>
    <t>CAMERATA NUOVA</t>
  </si>
  <si>
    <t>058014</t>
  </si>
  <si>
    <t>CAMPAGNANO DI ROMA</t>
  </si>
  <si>
    <t>058015</t>
  </si>
  <si>
    <t>00063</t>
  </si>
  <si>
    <t>CANALE MONTERANO</t>
  </si>
  <si>
    <t>058016</t>
  </si>
  <si>
    <t>00060</t>
  </si>
  <si>
    <t>CANTERANO</t>
  </si>
  <si>
    <t>058017</t>
  </si>
  <si>
    <t>CAPENA</t>
  </si>
  <si>
    <t>058018</t>
  </si>
  <si>
    <t>CAPRANICA PRENESTINA</t>
  </si>
  <si>
    <t>058019</t>
  </si>
  <si>
    <t>CARPINETO ROMANO</t>
  </si>
  <si>
    <t>058020</t>
  </si>
  <si>
    <t>00032</t>
  </si>
  <si>
    <t>CASAPE</t>
  </si>
  <si>
    <t>058021</t>
  </si>
  <si>
    <t>00010</t>
  </si>
  <si>
    <t>CASTEL GANDOLFO</t>
  </si>
  <si>
    <t>058022</t>
  </si>
  <si>
    <t>CASTEL MADAMA</t>
  </si>
  <si>
    <t>058023</t>
  </si>
  <si>
    <t>00024</t>
  </si>
  <si>
    <t>CASTELNUOVO DI PORTO</t>
  </si>
  <si>
    <t>058024</t>
  </si>
  <si>
    <t>CASTEL SAN PIETRO ROMANO</t>
  </si>
  <si>
    <t>058025</t>
  </si>
  <si>
    <t>CAVE</t>
  </si>
  <si>
    <t>058026</t>
  </si>
  <si>
    <t>00033</t>
  </si>
  <si>
    <t>CERRETO LAZIALE</t>
  </si>
  <si>
    <t>058027</t>
  </si>
  <si>
    <t>CERVARA DI ROMA</t>
  </si>
  <si>
    <t>058028</t>
  </si>
  <si>
    <t>CERVETERI</t>
  </si>
  <si>
    <t>058029</t>
  </si>
  <si>
    <t>00052</t>
  </si>
  <si>
    <t>CICILIANO</t>
  </si>
  <si>
    <t>058030</t>
  </si>
  <si>
    <t>CINETO ROMANO</t>
  </si>
  <si>
    <t>058031</t>
  </si>
  <si>
    <t>CIVITAVECCHIA</t>
  </si>
  <si>
    <t>058032</t>
  </si>
  <si>
    <t>00053</t>
  </si>
  <si>
    <t>CIVITELLA SAN PAOLO</t>
  </si>
  <si>
    <t>058033</t>
  </si>
  <si>
    <t>COLLEFERRO</t>
  </si>
  <si>
    <t>058034</t>
  </si>
  <si>
    <t>00034</t>
  </si>
  <si>
    <t>COLONNA</t>
  </si>
  <si>
    <t>058035</t>
  </si>
  <si>
    <t>FIANO ROMANO</t>
  </si>
  <si>
    <t>058036</t>
  </si>
  <si>
    <t>00065</t>
  </si>
  <si>
    <t>FILACCIANO</t>
  </si>
  <si>
    <t>058037</t>
  </si>
  <si>
    <t>FORMELLO</t>
  </si>
  <si>
    <t>058038</t>
  </si>
  <si>
    <t>FRASCATI</t>
  </si>
  <si>
    <t>058039</t>
  </si>
  <si>
    <t>00044</t>
  </si>
  <si>
    <t>GALLICANO NEL LAZIO</t>
  </si>
  <si>
    <t>058040</t>
  </si>
  <si>
    <t>GAVIGNANO</t>
  </si>
  <si>
    <t>058041</t>
  </si>
  <si>
    <t>GENAZZANO</t>
  </si>
  <si>
    <t>058042</t>
  </si>
  <si>
    <t>GENZANO DI ROMA</t>
  </si>
  <si>
    <t>058043</t>
  </si>
  <si>
    <t>00045</t>
  </si>
  <si>
    <t>GERANO</t>
  </si>
  <si>
    <t>058044</t>
  </si>
  <si>
    <t>00025</t>
  </si>
  <si>
    <t>GORGA</t>
  </si>
  <si>
    <t>058045</t>
  </si>
  <si>
    <t>GROTTAFERRATA</t>
  </si>
  <si>
    <t>058046</t>
  </si>
  <si>
    <t>00046</t>
  </si>
  <si>
    <t>GUIDONIA MONTECELIO</t>
  </si>
  <si>
    <t>058047</t>
  </si>
  <si>
    <t>00012</t>
  </si>
  <si>
    <t>JENNE</t>
  </si>
  <si>
    <t>058048</t>
  </si>
  <si>
    <t>LABICO</t>
  </si>
  <si>
    <t>058049</t>
  </si>
  <si>
    <t>LANUVIO</t>
  </si>
  <si>
    <t>058050</t>
  </si>
  <si>
    <t>LICENZA</t>
  </si>
  <si>
    <t>058051</t>
  </si>
  <si>
    <t>00026</t>
  </si>
  <si>
    <t>MAGLIANO ROMANO</t>
  </si>
  <si>
    <t>058052</t>
  </si>
  <si>
    <t>MANDELA</t>
  </si>
  <si>
    <t>058053</t>
  </si>
  <si>
    <t>MANZIANA</t>
  </si>
  <si>
    <t>058054</t>
  </si>
  <si>
    <t>00066</t>
  </si>
  <si>
    <t>MARANO EQUO</t>
  </si>
  <si>
    <t>058055</t>
  </si>
  <si>
    <t>MARCELLINA</t>
  </si>
  <si>
    <t>058056</t>
  </si>
  <si>
    <t>MARINO</t>
  </si>
  <si>
    <t>058057</t>
  </si>
  <si>
    <t>00047</t>
  </si>
  <si>
    <t>MAZZANO ROMANO</t>
  </si>
  <si>
    <t>058058</t>
  </si>
  <si>
    <t>MENTANA</t>
  </si>
  <si>
    <t>058059</t>
  </si>
  <si>
    <t>00013</t>
  </si>
  <si>
    <t>MONTE COMPATRI</t>
  </si>
  <si>
    <t>058060</t>
  </si>
  <si>
    <t>MONTEFLAVIO</t>
  </si>
  <si>
    <t>058061</t>
  </si>
  <si>
    <t>MONTELANICO</t>
  </si>
  <si>
    <t>058062</t>
  </si>
  <si>
    <t>MONTELIBRETTI</t>
  </si>
  <si>
    <t>058063</t>
  </si>
  <si>
    <t>MONTE PORZIO CATONE</t>
  </si>
  <si>
    <t>058064</t>
  </si>
  <si>
    <t>MONTEROTONDO</t>
  </si>
  <si>
    <t>058065</t>
  </si>
  <si>
    <t>00015</t>
  </si>
  <si>
    <t>MONTORIO ROMANO</t>
  </si>
  <si>
    <t>058066</t>
  </si>
  <si>
    <t>MORICONE</t>
  </si>
  <si>
    <t>058067</t>
  </si>
  <si>
    <t>MORLUPO</t>
  </si>
  <si>
    <t>058068</t>
  </si>
  <si>
    <t>00067</t>
  </si>
  <si>
    <t>NAZZANO</t>
  </si>
  <si>
    <t>058069</t>
  </si>
  <si>
    <t>NEMI</t>
  </si>
  <si>
    <t>058070</t>
  </si>
  <si>
    <t>NEROLA</t>
  </si>
  <si>
    <t>058071</t>
  </si>
  <si>
    <t>00017</t>
  </si>
  <si>
    <t>NETTUNO</t>
  </si>
  <si>
    <t>058072</t>
  </si>
  <si>
    <t>00048</t>
  </si>
  <si>
    <t>OLEVANO ROMANO</t>
  </si>
  <si>
    <t>058073</t>
  </si>
  <si>
    <t>00035</t>
  </si>
  <si>
    <t>PALESTRINA</t>
  </si>
  <si>
    <t>058074</t>
  </si>
  <si>
    <t>00036</t>
  </si>
  <si>
    <t>PALOMBARA SABINA</t>
  </si>
  <si>
    <t>058075</t>
  </si>
  <si>
    <t>00018</t>
  </si>
  <si>
    <t>PERCILE</t>
  </si>
  <si>
    <t>058076</t>
  </si>
  <si>
    <t>PISONIANO</t>
  </si>
  <si>
    <t>058077</t>
  </si>
  <si>
    <t>POLI</t>
  </si>
  <si>
    <t>058078</t>
  </si>
  <si>
    <t>POMEZIA</t>
  </si>
  <si>
    <t>058079</t>
  </si>
  <si>
    <t>PONZANO ROMANO</t>
  </si>
  <si>
    <t>058080</t>
  </si>
  <si>
    <t>RIANO</t>
  </si>
  <si>
    <t>058081</t>
  </si>
  <si>
    <t>RIGNANO FLAMINIO</t>
  </si>
  <si>
    <t>058082</t>
  </si>
  <si>
    <t>00068</t>
  </si>
  <si>
    <t>RIOFREDDO</t>
  </si>
  <si>
    <t>058083</t>
  </si>
  <si>
    <t>ROCCA CANTERANO</t>
  </si>
  <si>
    <t>058084</t>
  </si>
  <si>
    <t>ROCCA DI CAVE</t>
  </si>
  <si>
    <t>058085</t>
  </si>
  <si>
    <t>ROCCA DI PAPA</t>
  </si>
  <si>
    <t>058086</t>
  </si>
  <si>
    <t>ROCCAGIOVINE</t>
  </si>
  <si>
    <t>058087</t>
  </si>
  <si>
    <t>ROCCA PRIORA</t>
  </si>
  <si>
    <t>058088</t>
  </si>
  <si>
    <t>ROCCA SANTO STEFANO</t>
  </si>
  <si>
    <t>058089</t>
  </si>
  <si>
    <t>ROIATE</t>
  </si>
  <si>
    <t>058090</t>
  </si>
  <si>
    <t>ROMA</t>
  </si>
  <si>
    <t>058091</t>
  </si>
  <si>
    <t>001xx</t>
  </si>
  <si>
    <t>ROVIANO</t>
  </si>
  <si>
    <t>058092</t>
  </si>
  <si>
    <t>00027</t>
  </si>
  <si>
    <t>SACROFANO</t>
  </si>
  <si>
    <t>058093</t>
  </si>
  <si>
    <t>SAMBUCI</t>
  </si>
  <si>
    <t>058094</t>
  </si>
  <si>
    <t>SAN GREGORIO DA SASSOLA</t>
  </si>
  <si>
    <t>058095</t>
  </si>
  <si>
    <t>SAN POLO DEI CAVALIERI</t>
  </si>
  <si>
    <t>058096</t>
  </si>
  <si>
    <t>SANTA MARINELLA</t>
  </si>
  <si>
    <t>058097</t>
  </si>
  <si>
    <t>00058</t>
  </si>
  <si>
    <t>SANT'ANGELO ROMANO</t>
  </si>
  <si>
    <t>058098</t>
  </si>
  <si>
    <t>SANT'ORESTE</t>
  </si>
  <si>
    <t>058099</t>
  </si>
  <si>
    <t>SAN VITO ROMANO</t>
  </si>
  <si>
    <t>058100</t>
  </si>
  <si>
    <t>SARACINESCO</t>
  </si>
  <si>
    <t>058101</t>
  </si>
  <si>
    <t>SEGNI</t>
  </si>
  <si>
    <t>058102</t>
  </si>
  <si>
    <t>00037</t>
  </si>
  <si>
    <t>SUBIACO</t>
  </si>
  <si>
    <t>058103</t>
  </si>
  <si>
    <t>00028</t>
  </si>
  <si>
    <t>TIVOLI</t>
  </si>
  <si>
    <t>058104</t>
  </si>
  <si>
    <t>00019</t>
  </si>
  <si>
    <t>TOLFA</t>
  </si>
  <si>
    <t>058105</t>
  </si>
  <si>
    <t>00059</t>
  </si>
  <si>
    <t>TORRITA TIBERINA</t>
  </si>
  <si>
    <t>058106</t>
  </si>
  <si>
    <t>TREVIGNANO ROMANO</t>
  </si>
  <si>
    <t>058107</t>
  </si>
  <si>
    <t>00069</t>
  </si>
  <si>
    <t>VALLEPIETRA</t>
  </si>
  <si>
    <t>058108</t>
  </si>
  <si>
    <t>VALLINFREDA</t>
  </si>
  <si>
    <t>058109</t>
  </si>
  <si>
    <t>VALMONTONE</t>
  </si>
  <si>
    <t>058110</t>
  </si>
  <si>
    <t>00038</t>
  </si>
  <si>
    <t>VELLETRI</t>
  </si>
  <si>
    <t>058111</t>
  </si>
  <si>
    <t>00049</t>
  </si>
  <si>
    <t>VICOVARO</t>
  </si>
  <si>
    <t>058112</t>
  </si>
  <si>
    <t>00029</t>
  </si>
  <si>
    <t>VIVARO ROMANO</t>
  </si>
  <si>
    <t>058113</t>
  </si>
  <si>
    <t>ZAGAROLO</t>
  </si>
  <si>
    <t>058114</t>
  </si>
  <si>
    <t>00039</t>
  </si>
  <si>
    <t>LARIANO</t>
  </si>
  <si>
    <t>058115</t>
  </si>
  <si>
    <t>LADISPOLI</t>
  </si>
  <si>
    <t>058116</t>
  </si>
  <si>
    <t>00055</t>
  </si>
  <si>
    <t>ARDEA</t>
  </si>
  <si>
    <t>058117</t>
  </si>
  <si>
    <t>CIAMPINO</t>
  </si>
  <si>
    <t>058118</t>
  </si>
  <si>
    <t>00043</t>
  </si>
  <si>
    <t>SAN CESAREO</t>
  </si>
  <si>
    <t>058119</t>
  </si>
  <si>
    <t>FIUMICINO</t>
  </si>
  <si>
    <t>058120</t>
  </si>
  <si>
    <t>00054</t>
  </si>
  <si>
    <t>FONTE NUOVA</t>
  </si>
  <si>
    <t>058122</t>
  </si>
  <si>
    <t>APRILIA</t>
  </si>
  <si>
    <t>059001</t>
  </si>
  <si>
    <t>LT</t>
  </si>
  <si>
    <t>04011</t>
  </si>
  <si>
    <t>BASSIANO</t>
  </si>
  <si>
    <t>059002</t>
  </si>
  <si>
    <t>04010</t>
  </si>
  <si>
    <t>CAMPODIMELE</t>
  </si>
  <si>
    <t>059003</t>
  </si>
  <si>
    <t>04020</t>
  </si>
  <si>
    <t>CASTELFORTE</t>
  </si>
  <si>
    <t>059004</t>
  </si>
  <si>
    <t>04021</t>
  </si>
  <si>
    <t>CISTERNA DI LATINA</t>
  </si>
  <si>
    <t>059005</t>
  </si>
  <si>
    <t>04012</t>
  </si>
  <si>
    <t>CORI</t>
  </si>
  <si>
    <t>059006</t>
  </si>
  <si>
    <t>FONDI</t>
  </si>
  <si>
    <t>059007</t>
  </si>
  <si>
    <t>04022</t>
  </si>
  <si>
    <t>FORMIA</t>
  </si>
  <si>
    <t>059008</t>
  </si>
  <si>
    <t>04023</t>
  </si>
  <si>
    <t>GAETA</t>
  </si>
  <si>
    <t>059009</t>
  </si>
  <si>
    <t>04024</t>
  </si>
  <si>
    <t>ITRI</t>
  </si>
  <si>
    <t>059010</t>
  </si>
  <si>
    <t>LATINA</t>
  </si>
  <si>
    <t>059011</t>
  </si>
  <si>
    <t>04100</t>
  </si>
  <si>
    <t>LENOLA</t>
  </si>
  <si>
    <t>059012</t>
  </si>
  <si>
    <t>04025</t>
  </si>
  <si>
    <t>MAENZA</t>
  </si>
  <si>
    <t>059013</t>
  </si>
  <si>
    <t>MINTURNO</t>
  </si>
  <si>
    <t>059014</t>
  </si>
  <si>
    <t>04026</t>
  </si>
  <si>
    <t>MONTE SAN BIAGIO</t>
  </si>
  <si>
    <t>059015</t>
  </si>
  <si>
    <t>NORMA</t>
  </si>
  <si>
    <t>059016</t>
  </si>
  <si>
    <t>PONTINIA</t>
  </si>
  <si>
    <t>059017</t>
  </si>
  <si>
    <t>04014</t>
  </si>
  <si>
    <t>PONZA</t>
  </si>
  <si>
    <t>059018</t>
  </si>
  <si>
    <t>04027</t>
  </si>
  <si>
    <t>PRIVERNO</t>
  </si>
  <si>
    <t>059019</t>
  </si>
  <si>
    <t>04015</t>
  </si>
  <si>
    <t>PROSSEDI</t>
  </si>
  <si>
    <t>059020</t>
  </si>
  <si>
    <t>ROCCAGORGA</t>
  </si>
  <si>
    <t>059021</t>
  </si>
  <si>
    <t>ROCCA MASSIMA</t>
  </si>
  <si>
    <t>059022</t>
  </si>
  <si>
    <t>ROCCASECCA DEI VOLSCI</t>
  </si>
  <si>
    <t>059023</t>
  </si>
  <si>
    <t>SABAUDIA</t>
  </si>
  <si>
    <t>059024</t>
  </si>
  <si>
    <t>04016</t>
  </si>
  <si>
    <t>SAN FELICE CIRCEO</t>
  </si>
  <si>
    <t>059025</t>
  </si>
  <si>
    <t>04017</t>
  </si>
  <si>
    <t>SANTI COSMA E DAMIANO</t>
  </si>
  <si>
    <t>059026</t>
  </si>
  <si>
    <t>SERMONETA</t>
  </si>
  <si>
    <t>059027</t>
  </si>
  <si>
    <t>04013</t>
  </si>
  <si>
    <t>SEZZE</t>
  </si>
  <si>
    <t>059028</t>
  </si>
  <si>
    <t>04018</t>
  </si>
  <si>
    <t>SONNINO</t>
  </si>
  <si>
    <t>059029</t>
  </si>
  <si>
    <t>SPERLONGA</t>
  </si>
  <si>
    <t>059030</t>
  </si>
  <si>
    <t>04029</t>
  </si>
  <si>
    <t>SPIGNO SATURNIA</t>
  </si>
  <si>
    <t>059031</t>
  </si>
  <si>
    <t>TERRACINA</t>
  </si>
  <si>
    <t>059032</t>
  </si>
  <si>
    <t>04019</t>
  </si>
  <si>
    <t>VENTOTENE</t>
  </si>
  <si>
    <t>059033</t>
  </si>
  <si>
    <t>ACQUAFONDATA</t>
  </si>
  <si>
    <t>060001</t>
  </si>
  <si>
    <t>FR</t>
  </si>
  <si>
    <t>03040</t>
  </si>
  <si>
    <t>ACUTO</t>
  </si>
  <si>
    <t>060002</t>
  </si>
  <si>
    <t>03010</t>
  </si>
  <si>
    <t>ALATRI</t>
  </si>
  <si>
    <t>060003</t>
  </si>
  <si>
    <t>03011</t>
  </si>
  <si>
    <t>ALVITO</t>
  </si>
  <si>
    <t>060004</t>
  </si>
  <si>
    <t>03041</t>
  </si>
  <si>
    <t>AMASENO</t>
  </si>
  <si>
    <t>060005</t>
  </si>
  <si>
    <t>03021</t>
  </si>
  <si>
    <t>ANAGNI</t>
  </si>
  <si>
    <t>060006</t>
  </si>
  <si>
    <t>03012</t>
  </si>
  <si>
    <t>AQUINO</t>
  </si>
  <si>
    <t>060007</t>
  </si>
  <si>
    <t>03031</t>
  </si>
  <si>
    <t>ARCE</t>
  </si>
  <si>
    <t>060008</t>
  </si>
  <si>
    <t>03032</t>
  </si>
  <si>
    <t>ARNARA</t>
  </si>
  <si>
    <t>060009</t>
  </si>
  <si>
    <t>03020</t>
  </si>
  <si>
    <t>ARPINO</t>
  </si>
  <si>
    <t>060010</t>
  </si>
  <si>
    <t>03033</t>
  </si>
  <si>
    <t>ATINA</t>
  </si>
  <si>
    <t>060011</t>
  </si>
  <si>
    <t>03042</t>
  </si>
  <si>
    <t>AUSONIA</t>
  </si>
  <si>
    <t>060012</t>
  </si>
  <si>
    <t>BELMONTE CASTELLO</t>
  </si>
  <si>
    <t>060013</t>
  </si>
  <si>
    <t>BOVILLE ERNICA</t>
  </si>
  <si>
    <t>060014</t>
  </si>
  <si>
    <t>03022</t>
  </si>
  <si>
    <t>BROCCOSTELLA</t>
  </si>
  <si>
    <t>060015</t>
  </si>
  <si>
    <t>03030</t>
  </si>
  <si>
    <t>CAMPOLI APPENNINO</t>
  </si>
  <si>
    <t>060016</t>
  </si>
  <si>
    <t>CASALATTICO</t>
  </si>
  <si>
    <t>060017</t>
  </si>
  <si>
    <t>CASALVIERI</t>
  </si>
  <si>
    <t>060018</t>
  </si>
  <si>
    <t>03034</t>
  </si>
  <si>
    <t>CASSINO</t>
  </si>
  <si>
    <t>060019</t>
  </si>
  <si>
    <t>03043</t>
  </si>
  <si>
    <t>CASTELLIRI</t>
  </si>
  <si>
    <t>060020</t>
  </si>
  <si>
    <t>CASTELNUOVO PARANO</t>
  </si>
  <si>
    <t>060021</t>
  </si>
  <si>
    <t>CASTROCIELO</t>
  </si>
  <si>
    <t>060022</t>
  </si>
  <si>
    <t>CASTRO DEI VOLSCI</t>
  </si>
  <si>
    <t>060023</t>
  </si>
  <si>
    <t>CECCANO</t>
  </si>
  <si>
    <t>060024</t>
  </si>
  <si>
    <t>03023</t>
  </si>
  <si>
    <t>CEPRANO</t>
  </si>
  <si>
    <t>060025</t>
  </si>
  <si>
    <t>03024</t>
  </si>
  <si>
    <t>CERVARO</t>
  </si>
  <si>
    <t>060026</t>
  </si>
  <si>
    <t>03044</t>
  </si>
  <si>
    <t>COLFELICE</t>
  </si>
  <si>
    <t>060027</t>
  </si>
  <si>
    <t>COLLEPARDO</t>
  </si>
  <si>
    <t>060028</t>
  </si>
  <si>
    <t>COLLE SAN MAGNO</t>
  </si>
  <si>
    <t>060029</t>
  </si>
  <si>
    <t>CORENO AUSONIO</t>
  </si>
  <si>
    <t>060030</t>
  </si>
  <si>
    <t>ESPERIA</t>
  </si>
  <si>
    <t>060031</t>
  </si>
  <si>
    <t>03045</t>
  </si>
  <si>
    <t>FALVATERRA</t>
  </si>
  <si>
    <t>060032</t>
  </si>
  <si>
    <t>FERENTINO</t>
  </si>
  <si>
    <t>060033</t>
  </si>
  <si>
    <t>03013</t>
  </si>
  <si>
    <t>FILETTINO</t>
  </si>
  <si>
    <t>060034</t>
  </si>
  <si>
    <t>FIUGGI</t>
  </si>
  <si>
    <t>060035</t>
  </si>
  <si>
    <t>03014</t>
  </si>
  <si>
    <t>FONTANA LIRI</t>
  </si>
  <si>
    <t>060036</t>
  </si>
  <si>
    <t>03035</t>
  </si>
  <si>
    <t>FONTECHIARI</t>
  </si>
  <si>
    <t>060037</t>
  </si>
  <si>
    <t>FROSINONE</t>
  </si>
  <si>
    <t>060038</t>
  </si>
  <si>
    <t>03100</t>
  </si>
  <si>
    <t>FUMONE</t>
  </si>
  <si>
    <t>060039</t>
  </si>
  <si>
    <t>GALLINARO</t>
  </si>
  <si>
    <t>060040</t>
  </si>
  <si>
    <t>GIULIANO DI ROMA</t>
  </si>
  <si>
    <t>060041</t>
  </si>
  <si>
    <t>GUARCINO</t>
  </si>
  <si>
    <t>060042</t>
  </si>
  <si>
    <t>03016</t>
  </si>
  <si>
    <t>ISOLA DEL LIRI</t>
  </si>
  <si>
    <t>060043</t>
  </si>
  <si>
    <t>03036</t>
  </si>
  <si>
    <t>MONTE SAN GIOVANNI CAMPANO</t>
  </si>
  <si>
    <t>060044</t>
  </si>
  <si>
    <t>03025</t>
  </si>
  <si>
    <t>MOROLO</t>
  </si>
  <si>
    <t>060045</t>
  </si>
  <si>
    <t>03017</t>
  </si>
  <si>
    <t>PALIANO</t>
  </si>
  <si>
    <t>060046</t>
  </si>
  <si>
    <t>03018</t>
  </si>
  <si>
    <t>PASTENA</t>
  </si>
  <si>
    <t>060047</t>
  </si>
  <si>
    <t>PATRICA</t>
  </si>
  <si>
    <t>060048</t>
  </si>
  <si>
    <t>PESCOSOLIDO</t>
  </si>
  <si>
    <t>060049</t>
  </si>
  <si>
    <t>PICINISCO</t>
  </si>
  <si>
    <t>060050</t>
  </si>
  <si>
    <t>PICO</t>
  </si>
  <si>
    <t>060051</t>
  </si>
  <si>
    <t>PIEDIMONTE SAN GERMANO</t>
  </si>
  <si>
    <t>060052</t>
  </si>
  <si>
    <t>PIGLIO</t>
  </si>
  <si>
    <t>060053</t>
  </si>
  <si>
    <t>PIGNATARO INTERAMNA</t>
  </si>
  <si>
    <t>060054</t>
  </si>
  <si>
    <t>POFI</t>
  </si>
  <si>
    <t>060055</t>
  </si>
  <si>
    <t>03026</t>
  </si>
  <si>
    <t>PONTECORVO</t>
  </si>
  <si>
    <t>060056</t>
  </si>
  <si>
    <t>03037</t>
  </si>
  <si>
    <t>POSTA FIBRENO</t>
  </si>
  <si>
    <t>060057</t>
  </si>
  <si>
    <t>RIPI</t>
  </si>
  <si>
    <t>060058</t>
  </si>
  <si>
    <t>03027</t>
  </si>
  <si>
    <t>ROCCA D'ARCE</t>
  </si>
  <si>
    <t>060059</t>
  </si>
  <si>
    <t>ROCCASECCA</t>
  </si>
  <si>
    <t>060060</t>
  </si>
  <si>
    <t>03038</t>
  </si>
  <si>
    <t>SAN BIAGIO SARACINISCO</t>
  </si>
  <si>
    <t>060061</t>
  </si>
  <si>
    <t>SAN DONATO VAL DI COMINO</t>
  </si>
  <si>
    <t>060062</t>
  </si>
  <si>
    <t>03046</t>
  </si>
  <si>
    <t>SAN GIORGIO A LIRI</t>
  </si>
  <si>
    <t>060063</t>
  </si>
  <si>
    <t>03047</t>
  </si>
  <si>
    <t>SAN GIOVANNI INCARICO</t>
  </si>
  <si>
    <t>060064</t>
  </si>
  <si>
    <t>03028</t>
  </si>
  <si>
    <t>SANT'AMBROGIO SUL GARIGLIANO</t>
  </si>
  <si>
    <t>060065</t>
  </si>
  <si>
    <t>SANT'ANDREA DEL GARIGLIANO</t>
  </si>
  <si>
    <t>060066</t>
  </si>
  <si>
    <t>SANT'APOLLINARE</t>
  </si>
  <si>
    <t>060067</t>
  </si>
  <si>
    <t>03048</t>
  </si>
  <si>
    <t>SANT'ELIA FIUMERAPIDO</t>
  </si>
  <si>
    <t>060068</t>
  </si>
  <si>
    <t>03049</t>
  </si>
  <si>
    <t>SANTOPADRE</t>
  </si>
  <si>
    <t>060069</t>
  </si>
  <si>
    <t>SAN VITTORE DEL LAZIO</t>
  </si>
  <si>
    <t>060070</t>
  </si>
  <si>
    <t>SERRONE</t>
  </si>
  <si>
    <t>060071</t>
  </si>
  <si>
    <t>SETTEFRATI</t>
  </si>
  <si>
    <t>060072</t>
  </si>
  <si>
    <t>SGURGOLA</t>
  </si>
  <si>
    <t>060073</t>
  </si>
  <si>
    <t>SORA</t>
  </si>
  <si>
    <t>060074</t>
  </si>
  <si>
    <t>03039</t>
  </si>
  <si>
    <t>STRANGOLAGALLI</t>
  </si>
  <si>
    <t>060075</t>
  </si>
  <si>
    <t>SUPINO</t>
  </si>
  <si>
    <t>060076</t>
  </si>
  <si>
    <t>03019</t>
  </si>
  <si>
    <t>TERELLE</t>
  </si>
  <si>
    <t>060077</t>
  </si>
  <si>
    <t>TORRE CAJETANI</t>
  </si>
  <si>
    <t>060078</t>
  </si>
  <si>
    <t>TORRICE</t>
  </si>
  <si>
    <t>060079</t>
  </si>
  <si>
    <t>TREVI NEL LAZIO</t>
  </si>
  <si>
    <t>060080</t>
  </si>
  <si>
    <t>TRIVIGLIANO</t>
  </si>
  <si>
    <t>060081</t>
  </si>
  <si>
    <t>VALLECORSA</t>
  </si>
  <si>
    <t>060082</t>
  </si>
  <si>
    <t>VALLEMAIO</t>
  </si>
  <si>
    <t>060083</t>
  </si>
  <si>
    <t>VALLEROTONDA</t>
  </si>
  <si>
    <t>060084</t>
  </si>
  <si>
    <t>VEROLI</t>
  </si>
  <si>
    <t>060085</t>
  </si>
  <si>
    <t>03029</t>
  </si>
  <si>
    <t>VICALVI</t>
  </si>
  <si>
    <t>060086</t>
  </si>
  <si>
    <t>VICO NEL LAZIO</t>
  </si>
  <si>
    <t>060087</t>
  </si>
  <si>
    <t>VILLA LATINA</t>
  </si>
  <si>
    <t>060088</t>
  </si>
  <si>
    <t>VILLA SANTA LUCIA</t>
  </si>
  <si>
    <t>060089</t>
  </si>
  <si>
    <t>VILLA SANTO STEFANO</t>
  </si>
  <si>
    <t>060090</t>
  </si>
  <si>
    <t>VITICUSO</t>
  </si>
  <si>
    <t>060091</t>
  </si>
  <si>
    <t>AILANO</t>
  </si>
  <si>
    <t>061001</t>
  </si>
  <si>
    <t>CE</t>
  </si>
  <si>
    <t>81010</t>
  </si>
  <si>
    <t>ALIFE</t>
  </si>
  <si>
    <t>061002</t>
  </si>
  <si>
    <t>81011</t>
  </si>
  <si>
    <t>ALVIGNANO</t>
  </si>
  <si>
    <t>061003</t>
  </si>
  <si>
    <t>81012</t>
  </si>
  <si>
    <t>ARIENZO</t>
  </si>
  <si>
    <t>061004</t>
  </si>
  <si>
    <t>81021</t>
  </si>
  <si>
    <t>AVERSA</t>
  </si>
  <si>
    <t>061005</t>
  </si>
  <si>
    <t>81031</t>
  </si>
  <si>
    <t>BAIA E LATINA</t>
  </si>
  <si>
    <t>061006</t>
  </si>
  <si>
    <t>BELLONA</t>
  </si>
  <si>
    <t>061007</t>
  </si>
  <si>
    <t>81041</t>
  </si>
  <si>
    <t>CAIANELLO</t>
  </si>
  <si>
    <t>061008</t>
  </si>
  <si>
    <t>81059</t>
  </si>
  <si>
    <t>CAIAZZO</t>
  </si>
  <si>
    <t>061009</t>
  </si>
  <si>
    <t>81013</t>
  </si>
  <si>
    <t>CALVI RISORTA</t>
  </si>
  <si>
    <t>061010</t>
  </si>
  <si>
    <t>81042</t>
  </si>
  <si>
    <t>CAMIGLIANO</t>
  </si>
  <si>
    <t>061011</t>
  </si>
  <si>
    <t>81050</t>
  </si>
  <si>
    <t>CANCELLO ED ARNONE</t>
  </si>
  <si>
    <t>061012</t>
  </si>
  <si>
    <t>81030</t>
  </si>
  <si>
    <t>CAPODRISE</t>
  </si>
  <si>
    <t>061013</t>
  </si>
  <si>
    <t>81020</t>
  </si>
  <si>
    <t>CAPRIATI A VOLTURNO</t>
  </si>
  <si>
    <t>061014</t>
  </si>
  <si>
    <t>81014</t>
  </si>
  <si>
    <t>CAPUA</t>
  </si>
  <si>
    <t>061015</t>
  </si>
  <si>
    <t>81043</t>
  </si>
  <si>
    <t>CARINARO</t>
  </si>
  <si>
    <t>061016</t>
  </si>
  <si>
    <t>81032</t>
  </si>
  <si>
    <t>CARINOLA</t>
  </si>
  <si>
    <t>061017</t>
  </si>
  <si>
    <t>CASAGIOVE</t>
  </si>
  <si>
    <t>061018</t>
  </si>
  <si>
    <t>81022</t>
  </si>
  <si>
    <t>CASAL DI PRINCIPE</t>
  </si>
  <si>
    <t>061019</t>
  </si>
  <si>
    <t>81033</t>
  </si>
  <si>
    <t>CASALUCE</t>
  </si>
  <si>
    <t>061020</t>
  </si>
  <si>
    <t>CASAPULLA</t>
  </si>
  <si>
    <t>061021</t>
  </si>
  <si>
    <t>CASERTA</t>
  </si>
  <si>
    <t>061022</t>
  </si>
  <si>
    <t>81100</t>
  </si>
  <si>
    <t>CASTEL CAMPAGNANO</t>
  </si>
  <si>
    <t>061023</t>
  </si>
  <si>
    <t>CASTEL DI SASSO</t>
  </si>
  <si>
    <t>061024</t>
  </si>
  <si>
    <t>81040</t>
  </si>
  <si>
    <t>CASTELLO DEL MATESE</t>
  </si>
  <si>
    <t>061025</t>
  </si>
  <si>
    <t>81016</t>
  </si>
  <si>
    <t>CASTEL MORRONE</t>
  </si>
  <si>
    <t>061026</t>
  </si>
  <si>
    <t>CASTEL VOLTURNO</t>
  </si>
  <si>
    <t>061027</t>
  </si>
  <si>
    <t>CERVINO</t>
  </si>
  <si>
    <t>061028</t>
  </si>
  <si>
    <t>81023</t>
  </si>
  <si>
    <t>CESA</t>
  </si>
  <si>
    <t>061029</t>
  </si>
  <si>
    <t>CIORLANO</t>
  </si>
  <si>
    <t>061030</t>
  </si>
  <si>
    <t>CONCA DELLA CAMPANIA</t>
  </si>
  <si>
    <t>061031</t>
  </si>
  <si>
    <t>81044</t>
  </si>
  <si>
    <t>CURTI</t>
  </si>
  <si>
    <t>061032</t>
  </si>
  <si>
    <t>DRAGONI</t>
  </si>
  <si>
    <t>061033</t>
  </si>
  <si>
    <t>FONTEGRECA</t>
  </si>
  <si>
    <t>061034</t>
  </si>
  <si>
    <t>FORMICOLA</t>
  </si>
  <si>
    <t>061035</t>
  </si>
  <si>
    <t>FRANCOLISE</t>
  </si>
  <si>
    <t>061036</t>
  </si>
  <si>
    <t>FRIGNANO</t>
  </si>
  <si>
    <t>061037</t>
  </si>
  <si>
    <t>GALLO MATESE</t>
  </si>
  <si>
    <t>061038</t>
  </si>
  <si>
    <t>GALLUCCIO</t>
  </si>
  <si>
    <t>061039</t>
  </si>
  <si>
    <t>GIANO VETUSTO</t>
  </si>
  <si>
    <t>061040</t>
  </si>
  <si>
    <t>GIOIA SANNITICA</t>
  </si>
  <si>
    <t>061041</t>
  </si>
  <si>
    <t>GRAZZANISE</t>
  </si>
  <si>
    <t>061042</t>
  </si>
  <si>
    <t>81046</t>
  </si>
  <si>
    <t>GRICIGNANO DI AVERSA</t>
  </si>
  <si>
    <t>061043</t>
  </si>
  <si>
    <t>LETINO</t>
  </si>
  <si>
    <t>061044</t>
  </si>
  <si>
    <t>LIBERI</t>
  </si>
  <si>
    <t>061045</t>
  </si>
  <si>
    <t>LUSCIANO</t>
  </si>
  <si>
    <t>061046</t>
  </si>
  <si>
    <t>MACERATA CAMPANIA</t>
  </si>
  <si>
    <t>061047</t>
  </si>
  <si>
    <t>81047</t>
  </si>
  <si>
    <t>MADDALONI</t>
  </si>
  <si>
    <t>061048</t>
  </si>
  <si>
    <t>81024</t>
  </si>
  <si>
    <t>MARCIANISE</t>
  </si>
  <si>
    <t>061049</t>
  </si>
  <si>
    <t>81025</t>
  </si>
  <si>
    <t>MARZANO APPIO</t>
  </si>
  <si>
    <t>061050</t>
  </si>
  <si>
    <t>81035</t>
  </si>
  <si>
    <t>MIGNANO MONTE LUNGO</t>
  </si>
  <si>
    <t>061051</t>
  </si>
  <si>
    <t>81049</t>
  </si>
  <si>
    <t>MONDRAGONE</t>
  </si>
  <si>
    <t>061052</t>
  </si>
  <si>
    <t>81034</t>
  </si>
  <si>
    <t>ORTA DI ATELLA</t>
  </si>
  <si>
    <t>061053</t>
  </si>
  <si>
    <t>PARETE</t>
  </si>
  <si>
    <t>061054</t>
  </si>
  <si>
    <t>PASTORANO</t>
  </si>
  <si>
    <t>061055</t>
  </si>
  <si>
    <t>PIANA DI MONTE VERNA</t>
  </si>
  <si>
    <t>061056</t>
  </si>
  <si>
    <t>PIEDIMONTE MATESE</t>
  </si>
  <si>
    <t>061057</t>
  </si>
  <si>
    <t>PIETRAMELARA</t>
  </si>
  <si>
    <t>061058</t>
  </si>
  <si>
    <t>81051</t>
  </si>
  <si>
    <t>PIETRAVAIRANO</t>
  </si>
  <si>
    <t>061059</t>
  </si>
  <si>
    <t>PIGNATARO MAGGIORE</t>
  </si>
  <si>
    <t>061060</t>
  </si>
  <si>
    <t>81052</t>
  </si>
  <si>
    <t>PONTELATONE</t>
  </si>
  <si>
    <t>061061</t>
  </si>
  <si>
    <t>PORTICO DI CASERTA</t>
  </si>
  <si>
    <t>061062</t>
  </si>
  <si>
    <t>PRATA SANNITA</t>
  </si>
  <si>
    <t>061063</t>
  </si>
  <si>
    <t>PRATELLA</t>
  </si>
  <si>
    <t>061064</t>
  </si>
  <si>
    <t>PRESENZANO</t>
  </si>
  <si>
    <t>061065</t>
  </si>
  <si>
    <t>RAVISCANINA</t>
  </si>
  <si>
    <t>061066</t>
  </si>
  <si>
    <t>81017</t>
  </si>
  <si>
    <t>RECALE</t>
  </si>
  <si>
    <t>061067</t>
  </si>
  <si>
    <t>RIARDO</t>
  </si>
  <si>
    <t>061068</t>
  </si>
  <si>
    <t>81053</t>
  </si>
  <si>
    <t>ROCCA D'EVANDRO</t>
  </si>
  <si>
    <t>061069</t>
  </si>
  <si>
    <t>ROCCAMONFINA</t>
  </si>
  <si>
    <t>061070</t>
  </si>
  <si>
    <t>ROCCAROMANA</t>
  </si>
  <si>
    <t>061071</t>
  </si>
  <si>
    <t>ROCCHETTA E CROCE</t>
  </si>
  <si>
    <t>061072</t>
  </si>
  <si>
    <t>RUVIANO</t>
  </si>
  <si>
    <t>061073</t>
  </si>
  <si>
    <t>SAN CIPRIANO D'AVERSA</t>
  </si>
  <si>
    <t>061074</t>
  </si>
  <si>
    <t>81036</t>
  </si>
  <si>
    <t>SAN FELICE A CANCELLO</t>
  </si>
  <si>
    <t>061075</t>
  </si>
  <si>
    <t>81027</t>
  </si>
  <si>
    <t>SAN GREGORIO MATESE</t>
  </si>
  <si>
    <t>061076</t>
  </si>
  <si>
    <t>SAN MARCELLINO</t>
  </si>
  <si>
    <t>061077</t>
  </si>
  <si>
    <t>SAN NICOLA LA STRADA</t>
  </si>
  <si>
    <t>061078</t>
  </si>
  <si>
    <t>SAN PIETRO INFINE</t>
  </si>
  <si>
    <t>061079</t>
  </si>
  <si>
    <t>SAN POTITO SANNITICO</t>
  </si>
  <si>
    <t>061080</t>
  </si>
  <si>
    <t>SAN PRISCO</t>
  </si>
  <si>
    <t>061081</t>
  </si>
  <si>
    <t>81054</t>
  </si>
  <si>
    <t>SANTA MARIA A VICO</t>
  </si>
  <si>
    <t>061082</t>
  </si>
  <si>
    <t>81028</t>
  </si>
  <si>
    <t>SANTA MARIA CAPUA VETERE</t>
  </si>
  <si>
    <t>061083</t>
  </si>
  <si>
    <t>81055</t>
  </si>
  <si>
    <t>SANTA MARIA LA FOSSA</t>
  </si>
  <si>
    <t>061084</t>
  </si>
  <si>
    <t>SAN TAMMARO</t>
  </si>
  <si>
    <t>061085</t>
  </si>
  <si>
    <t>SANT'ANGELO D'ALIFE</t>
  </si>
  <si>
    <t>061086</t>
  </si>
  <si>
    <t>SANT'ARPINO</t>
  </si>
  <si>
    <t>061087</t>
  </si>
  <si>
    <t>SESSA AURUNCA</t>
  </si>
  <si>
    <t>061088</t>
  </si>
  <si>
    <t>81037</t>
  </si>
  <si>
    <t>SPARANISE</t>
  </si>
  <si>
    <t>061089</t>
  </si>
  <si>
    <t>81056</t>
  </si>
  <si>
    <t>SUCCIVO</t>
  </si>
  <si>
    <t>061090</t>
  </si>
  <si>
    <t>TEANO</t>
  </si>
  <si>
    <t>061091</t>
  </si>
  <si>
    <t>81057</t>
  </si>
  <si>
    <t>TEVEROLA</t>
  </si>
  <si>
    <t>061092</t>
  </si>
  <si>
    <t>TORA E PICCILLI</t>
  </si>
  <si>
    <t>061093</t>
  </si>
  <si>
    <t>TRENTOLA DUCENTA</t>
  </si>
  <si>
    <t>061094</t>
  </si>
  <si>
    <t>VAIRANO PATENORA</t>
  </si>
  <si>
    <t>061095</t>
  </si>
  <si>
    <t>81058</t>
  </si>
  <si>
    <t>VALLE AGRICOLA</t>
  </si>
  <si>
    <t>061096</t>
  </si>
  <si>
    <t>VALLE DI MADDALONI</t>
  </si>
  <si>
    <t>061097</t>
  </si>
  <si>
    <t>VILLA DI BRIANO</t>
  </si>
  <si>
    <t>061098</t>
  </si>
  <si>
    <t>VILLA LITERNO</t>
  </si>
  <si>
    <t>061099</t>
  </si>
  <si>
    <t>81039</t>
  </si>
  <si>
    <t>VITULAZIO</t>
  </si>
  <si>
    <t>061100</t>
  </si>
  <si>
    <t>FALCIANO DEL MASSICO</t>
  </si>
  <si>
    <t>061101</t>
  </si>
  <si>
    <t>CELLOLE</t>
  </si>
  <si>
    <t>061102</t>
  </si>
  <si>
    <t>CASAPESENNA</t>
  </si>
  <si>
    <t>061103</t>
  </si>
  <si>
    <t>SAN MARCO EVANGELISTA</t>
  </si>
  <si>
    <t>061104</t>
  </si>
  <si>
    <t>AIROLA</t>
  </si>
  <si>
    <t>062001</t>
  </si>
  <si>
    <t>BN</t>
  </si>
  <si>
    <t>82011</t>
  </si>
  <si>
    <t>AMOROSI</t>
  </si>
  <si>
    <t>062002</t>
  </si>
  <si>
    <t>82031</t>
  </si>
  <si>
    <t>APICE</t>
  </si>
  <si>
    <t>062003</t>
  </si>
  <si>
    <t>82021</t>
  </si>
  <si>
    <t>APOLLOSA</t>
  </si>
  <si>
    <t>062004</t>
  </si>
  <si>
    <t>82030</t>
  </si>
  <si>
    <t>ARPAIA</t>
  </si>
  <si>
    <t>062005</t>
  </si>
  <si>
    <t>ARPAISE</t>
  </si>
  <si>
    <t>062006</t>
  </si>
  <si>
    <t>82010</t>
  </si>
  <si>
    <t>BASELICE</t>
  </si>
  <si>
    <t>062007</t>
  </si>
  <si>
    <t>82020</t>
  </si>
  <si>
    <t>BENEVENTO</t>
  </si>
  <si>
    <t>062008</t>
  </si>
  <si>
    <t>82100</t>
  </si>
  <si>
    <t>BONEA</t>
  </si>
  <si>
    <t>062009</t>
  </si>
  <si>
    <t>82013</t>
  </si>
  <si>
    <t>BUCCIANO</t>
  </si>
  <si>
    <t>062010</t>
  </si>
  <si>
    <t>BUONALBERGO</t>
  </si>
  <si>
    <t>062011</t>
  </si>
  <si>
    <t>CALVI</t>
  </si>
  <si>
    <t>062012</t>
  </si>
  <si>
    <t>82018</t>
  </si>
  <si>
    <t>CAMPOLATTARO</t>
  </si>
  <si>
    <t>062013</t>
  </si>
  <si>
    <t>CAMPOLI DEL MONTE TABURNO</t>
  </si>
  <si>
    <t>062014</t>
  </si>
  <si>
    <t>CASALDUNI</t>
  </si>
  <si>
    <t>062015</t>
  </si>
  <si>
    <t>82027</t>
  </si>
  <si>
    <t>CASTELFRANCO IN MISCANO</t>
  </si>
  <si>
    <t>062016</t>
  </si>
  <si>
    <t>82022</t>
  </si>
  <si>
    <t>CASTELPAGANO</t>
  </si>
  <si>
    <t>062017</t>
  </si>
  <si>
    <t>82024</t>
  </si>
  <si>
    <t>CASTELPOTO</t>
  </si>
  <si>
    <t>062018</t>
  </si>
  <si>
    <t>CASTELVENERE</t>
  </si>
  <si>
    <t>062019</t>
  </si>
  <si>
    <t>82037</t>
  </si>
  <si>
    <t>CASTELVETERE IN VAL FORTORE</t>
  </si>
  <si>
    <t>062020</t>
  </si>
  <si>
    <t>82023</t>
  </si>
  <si>
    <t>CAUTANO</t>
  </si>
  <si>
    <t>062021</t>
  </si>
  <si>
    <t>CEPPALONI</t>
  </si>
  <si>
    <t>062022</t>
  </si>
  <si>
    <t>CERRETO SANNITA</t>
  </si>
  <si>
    <t>062023</t>
  </si>
  <si>
    <t>82032</t>
  </si>
  <si>
    <t>CIRCELLO</t>
  </si>
  <si>
    <t>062024</t>
  </si>
  <si>
    <t>COLLE SANNITA</t>
  </si>
  <si>
    <t>062025</t>
  </si>
  <si>
    <t>CUSANO MUTRI</t>
  </si>
  <si>
    <t>062026</t>
  </si>
  <si>
    <t>82033</t>
  </si>
  <si>
    <t>DUGENTA</t>
  </si>
  <si>
    <t>062027</t>
  </si>
  <si>
    <t>DURAZZANO</t>
  </si>
  <si>
    <t>062028</t>
  </si>
  <si>
    <t>82015</t>
  </si>
  <si>
    <t>FAICCHIO</t>
  </si>
  <si>
    <t>062029</t>
  </si>
  <si>
    <t>FOGLIANISE</t>
  </si>
  <si>
    <t>062030</t>
  </si>
  <si>
    <t>FOIANO DI VAL FORTORE</t>
  </si>
  <si>
    <t>062031</t>
  </si>
  <si>
    <t>FORCHIA</t>
  </si>
  <si>
    <t>062032</t>
  </si>
  <si>
    <t>FRAGNETO L'ABATE</t>
  </si>
  <si>
    <t>062033</t>
  </si>
  <si>
    <t>FRAGNETO MONFORTE</t>
  </si>
  <si>
    <t>062034</t>
  </si>
  <si>
    <t>FRASSO TELESINO</t>
  </si>
  <si>
    <t>062035</t>
  </si>
  <si>
    <t>GINESTRA DEGLI SCHIAVONI</t>
  </si>
  <si>
    <t>062036</t>
  </si>
  <si>
    <t>GUARDIA SANFRAMONDI</t>
  </si>
  <si>
    <t>062037</t>
  </si>
  <si>
    <t>82034</t>
  </si>
  <si>
    <t>LIMATOLA</t>
  </si>
  <si>
    <t>062038</t>
  </si>
  <si>
    <t>MELIZZANO</t>
  </si>
  <si>
    <t>062039</t>
  </si>
  <si>
    <t>MOIANO</t>
  </si>
  <si>
    <t>062040</t>
  </si>
  <si>
    <t>MOLINARA</t>
  </si>
  <si>
    <t>062041</t>
  </si>
  <si>
    <t>MONTEFALCONE DI VAL FORTORE</t>
  </si>
  <si>
    <t>062042</t>
  </si>
  <si>
    <t>82025</t>
  </si>
  <si>
    <t>MONTESARCHIO</t>
  </si>
  <si>
    <t>062043</t>
  </si>
  <si>
    <t>82016</t>
  </si>
  <si>
    <t>MORCONE</t>
  </si>
  <si>
    <t>062044</t>
  </si>
  <si>
    <t>82026</t>
  </si>
  <si>
    <t>PADULI</t>
  </si>
  <si>
    <t>062045</t>
  </si>
  <si>
    <t>PAGO VEIANO</t>
  </si>
  <si>
    <t>062046</t>
  </si>
  <si>
    <t>PANNARANO</t>
  </si>
  <si>
    <t>062047</t>
  </si>
  <si>
    <t>82017</t>
  </si>
  <si>
    <t>PAOLISI</t>
  </si>
  <si>
    <t>062048</t>
  </si>
  <si>
    <t>PAUPISI</t>
  </si>
  <si>
    <t>062049</t>
  </si>
  <si>
    <t>PESCO SANNITA</t>
  </si>
  <si>
    <t>062050</t>
  </si>
  <si>
    <t>PIETRAROJA</t>
  </si>
  <si>
    <t>062051</t>
  </si>
  <si>
    <t>PIETRELCINA</t>
  </si>
  <si>
    <t>062052</t>
  </si>
  <si>
    <t>PONTE</t>
  </si>
  <si>
    <t>062053</t>
  </si>
  <si>
    <t>PONTELANDOLFO</t>
  </si>
  <si>
    <t>062054</t>
  </si>
  <si>
    <t>PUGLIANELLO</t>
  </si>
  <si>
    <t>062055</t>
  </si>
  <si>
    <t>REINO</t>
  </si>
  <si>
    <t>062056</t>
  </si>
  <si>
    <t>SAN BARTOLOMEO IN GALDO</t>
  </si>
  <si>
    <t>062057</t>
  </si>
  <si>
    <t>82028</t>
  </si>
  <si>
    <t>SAN GIORGIO DEL SANNIO</t>
  </si>
  <si>
    <t>062058</t>
  </si>
  <si>
    <t>SAN GIORGIO LA MOLARA</t>
  </si>
  <si>
    <t>062059</t>
  </si>
  <si>
    <t>SAN LEUCIO DEL SANNIO</t>
  </si>
  <si>
    <t>062060</t>
  </si>
  <si>
    <t>SAN LORENZELLO</t>
  </si>
  <si>
    <t>062061</t>
  </si>
  <si>
    <t>SAN LORENZO MAGGIORE</t>
  </si>
  <si>
    <t>062062</t>
  </si>
  <si>
    <t>SAN LUPO</t>
  </si>
  <si>
    <t>062063</t>
  </si>
  <si>
    <t>SAN MARCO DEI CAVOTI</t>
  </si>
  <si>
    <t>062064</t>
  </si>
  <si>
    <t>82029</t>
  </si>
  <si>
    <t>SAN MARTINO SANNITA</t>
  </si>
  <si>
    <t>062065</t>
  </si>
  <si>
    <t>SAN NAZZARO</t>
  </si>
  <si>
    <t>062066</t>
  </si>
  <si>
    <t>SAN NICOLA MANFREDI</t>
  </si>
  <si>
    <t>062067</t>
  </si>
  <si>
    <t>SAN SALVATORE TELESINO</t>
  </si>
  <si>
    <t>062068</t>
  </si>
  <si>
    <t>SANTA CROCE DEL SANNIO</t>
  </si>
  <si>
    <t>062069</t>
  </si>
  <si>
    <t>SANT'AGATA DE' GOTI</t>
  </si>
  <si>
    <t>062070</t>
  </si>
  <si>
    <t>82019</t>
  </si>
  <si>
    <t>SANT'ANGELO A CUPOLO</t>
  </si>
  <si>
    <t>062071</t>
  </si>
  <si>
    <t>SASSINORO</t>
  </si>
  <si>
    <t>062072</t>
  </si>
  <si>
    <t>SOLOPACA</t>
  </si>
  <si>
    <t>062073</t>
  </si>
  <si>
    <t>82036</t>
  </si>
  <si>
    <t>TELESE TERME</t>
  </si>
  <si>
    <t>062074</t>
  </si>
  <si>
    <t>TOCCO CAUDIO</t>
  </si>
  <si>
    <t>062075</t>
  </si>
  <si>
    <t>TORRECUSO</t>
  </si>
  <si>
    <t>062076</t>
  </si>
  <si>
    <t>VITULANO</t>
  </si>
  <si>
    <t>062077</t>
  </si>
  <si>
    <t>82038</t>
  </si>
  <si>
    <t>SANT'ARCANGELO TRIMONTE</t>
  </si>
  <si>
    <t>062078</t>
  </si>
  <si>
    <t>ACERRA</t>
  </si>
  <si>
    <t>063001</t>
  </si>
  <si>
    <t>NA</t>
  </si>
  <si>
    <t>80011</t>
  </si>
  <si>
    <t>AFRAGOLA</t>
  </si>
  <si>
    <t>063002</t>
  </si>
  <si>
    <t>80021</t>
  </si>
  <si>
    <t>AGEROLA</t>
  </si>
  <si>
    <t>063003</t>
  </si>
  <si>
    <t>80051</t>
  </si>
  <si>
    <t>ANACAPRI</t>
  </si>
  <si>
    <t>063004</t>
  </si>
  <si>
    <t>80071</t>
  </si>
  <si>
    <t>ARZANO</t>
  </si>
  <si>
    <t>063005</t>
  </si>
  <si>
    <t>80022</t>
  </si>
  <si>
    <t>BACOLI</t>
  </si>
  <si>
    <t>063006</t>
  </si>
  <si>
    <t>80070</t>
  </si>
  <si>
    <t>BARANO D'ISCHIA</t>
  </si>
  <si>
    <t>063007</t>
  </si>
  <si>
    <t>BOSCOREALE</t>
  </si>
  <si>
    <t>063008</t>
  </si>
  <si>
    <t>80041</t>
  </si>
  <si>
    <t>BOSCOTRECASE</t>
  </si>
  <si>
    <t>063009</t>
  </si>
  <si>
    <t>80042</t>
  </si>
  <si>
    <t>BRUSCIANO</t>
  </si>
  <si>
    <t>063010</t>
  </si>
  <si>
    <t>80031</t>
  </si>
  <si>
    <t>CAIVANO</t>
  </si>
  <si>
    <t>063011</t>
  </si>
  <si>
    <t>80023</t>
  </si>
  <si>
    <t>CALVIZZANO</t>
  </si>
  <si>
    <t>063012</t>
  </si>
  <si>
    <t>80012</t>
  </si>
  <si>
    <t>CAMPOSANO</t>
  </si>
  <si>
    <t>063013</t>
  </si>
  <si>
    <t>80030</t>
  </si>
  <si>
    <t>CAPRI</t>
  </si>
  <si>
    <t>063014</t>
  </si>
  <si>
    <t>80073</t>
  </si>
  <si>
    <t>CARBONARA DI NOLA</t>
  </si>
  <si>
    <t>063015</t>
  </si>
  <si>
    <t>CARDITO</t>
  </si>
  <si>
    <t>063016</t>
  </si>
  <si>
    <t>80024</t>
  </si>
  <si>
    <t>CASALNUOVO DI NAPOLI</t>
  </si>
  <si>
    <t>063017</t>
  </si>
  <si>
    <t>80013</t>
  </si>
  <si>
    <t>CASAMARCIANO</t>
  </si>
  <si>
    <t>063018</t>
  </si>
  <si>
    <t>80032</t>
  </si>
  <si>
    <t>CASAMICCIOLA TERME</t>
  </si>
  <si>
    <t>063019</t>
  </si>
  <si>
    <t>80074</t>
  </si>
  <si>
    <t>CASANDRINO</t>
  </si>
  <si>
    <t>063020</t>
  </si>
  <si>
    <t>80025</t>
  </si>
  <si>
    <t>CASAVATORE</t>
  </si>
  <si>
    <t>063021</t>
  </si>
  <si>
    <t>80020</t>
  </si>
  <si>
    <t>CASOLA DI NAPOLI</t>
  </si>
  <si>
    <t>063022</t>
  </si>
  <si>
    <t>80050</t>
  </si>
  <si>
    <t>CASORIA</t>
  </si>
  <si>
    <t>063023</t>
  </si>
  <si>
    <t>80026</t>
  </si>
  <si>
    <t>CASTELLAMMARE DI STABIA</t>
  </si>
  <si>
    <t>063024</t>
  </si>
  <si>
    <t>80053</t>
  </si>
  <si>
    <t>CASTELLO DI CISTERNA</t>
  </si>
  <si>
    <t>063025</t>
  </si>
  <si>
    <t>CERCOLA</t>
  </si>
  <si>
    <t>063026</t>
  </si>
  <si>
    <t>80040</t>
  </si>
  <si>
    <t>CICCIANO</t>
  </si>
  <si>
    <t>063027</t>
  </si>
  <si>
    <t>80033</t>
  </si>
  <si>
    <t>CIMITILE</t>
  </si>
  <si>
    <t>063028</t>
  </si>
  <si>
    <t>COMIZIANO</t>
  </si>
  <si>
    <t>063029</t>
  </si>
  <si>
    <t>CRISPANO</t>
  </si>
  <si>
    <t>063030</t>
  </si>
  <si>
    <t>FORIO</t>
  </si>
  <si>
    <t>063031</t>
  </si>
  <si>
    <t>80075</t>
  </si>
  <si>
    <t>FRATTAMAGGIORE</t>
  </si>
  <si>
    <t>063032</t>
  </si>
  <si>
    <t>80027</t>
  </si>
  <si>
    <t>FRATTAMINORE</t>
  </si>
  <si>
    <t>063033</t>
  </si>
  <si>
    <t>GIUGLIANO IN CAMPANIA</t>
  </si>
  <si>
    <t>063034</t>
  </si>
  <si>
    <t>80014</t>
  </si>
  <si>
    <t>GRAGNANO</t>
  </si>
  <si>
    <t>063035</t>
  </si>
  <si>
    <t>80054</t>
  </si>
  <si>
    <t>GRUMO NEVANO</t>
  </si>
  <si>
    <t>063036</t>
  </si>
  <si>
    <t>80028</t>
  </si>
  <si>
    <t>ISCHIA</t>
  </si>
  <si>
    <t>063037</t>
  </si>
  <si>
    <t>80077</t>
  </si>
  <si>
    <t>LACCO AMENO</t>
  </si>
  <si>
    <t>063038</t>
  </si>
  <si>
    <t>80076</t>
  </si>
  <si>
    <t>LETTERE</t>
  </si>
  <si>
    <t>063039</t>
  </si>
  <si>
    <t>LIVERI</t>
  </si>
  <si>
    <t>063040</t>
  </si>
  <si>
    <t>MARANO DI NAPOLI</t>
  </si>
  <si>
    <t>063041</t>
  </si>
  <si>
    <t>80016</t>
  </si>
  <si>
    <t>MARIGLIANELLA</t>
  </si>
  <si>
    <t>063042</t>
  </si>
  <si>
    <t>MARIGLIANO</t>
  </si>
  <si>
    <t>063043</t>
  </si>
  <si>
    <t>80034</t>
  </si>
  <si>
    <t>MASSA LUBRENSE</t>
  </si>
  <si>
    <t>063044</t>
  </si>
  <si>
    <t>80061</t>
  </si>
  <si>
    <t>MELITO DI NAPOLI</t>
  </si>
  <si>
    <t>063045</t>
  </si>
  <si>
    <t>80017</t>
  </si>
  <si>
    <t>META</t>
  </si>
  <si>
    <t>063046</t>
  </si>
  <si>
    <t>80062</t>
  </si>
  <si>
    <t>MONTE DI PROCIDA</t>
  </si>
  <si>
    <t>063047</t>
  </si>
  <si>
    <t>MUGNANO DI NAPOLI</t>
  </si>
  <si>
    <t>063048</t>
  </si>
  <si>
    <t>80018</t>
  </si>
  <si>
    <t>NAPOLI</t>
  </si>
  <si>
    <t>063049</t>
  </si>
  <si>
    <t>801xx</t>
  </si>
  <si>
    <t>NOLA</t>
  </si>
  <si>
    <t>063050</t>
  </si>
  <si>
    <t>80035</t>
  </si>
  <si>
    <t>OTTAVIANO</t>
  </si>
  <si>
    <t>063051</t>
  </si>
  <si>
    <t>80044</t>
  </si>
  <si>
    <t>PALMA CAMPANIA</t>
  </si>
  <si>
    <t>063052</t>
  </si>
  <si>
    <t>80036</t>
  </si>
  <si>
    <t>PIANO DI SORRENTO</t>
  </si>
  <si>
    <t>063053</t>
  </si>
  <si>
    <t>80063</t>
  </si>
  <si>
    <t>PIMONTE</t>
  </si>
  <si>
    <t>063054</t>
  </si>
  <si>
    <t>POGGIOMARINO</t>
  </si>
  <si>
    <t>063055</t>
  </si>
  <si>
    <t>POLLENA TROCCHIA</t>
  </si>
  <si>
    <t>063056</t>
  </si>
  <si>
    <t>POMIGLIANO D'ARCO</t>
  </si>
  <si>
    <t>063057</t>
  </si>
  <si>
    <t>80038</t>
  </si>
  <si>
    <t>POMPEI</t>
  </si>
  <si>
    <t>063058</t>
  </si>
  <si>
    <t>80045</t>
  </si>
  <si>
    <t>PORTICI</t>
  </si>
  <si>
    <t>063059</t>
  </si>
  <si>
    <t>80055</t>
  </si>
  <si>
    <t>POZZUOLI</t>
  </si>
  <si>
    <t>063060</t>
  </si>
  <si>
    <t>80078</t>
  </si>
  <si>
    <t>PROCIDA</t>
  </si>
  <si>
    <t>063061</t>
  </si>
  <si>
    <t>80079</t>
  </si>
  <si>
    <t>QUALIANO</t>
  </si>
  <si>
    <t>063062</t>
  </si>
  <si>
    <t>80019</t>
  </si>
  <si>
    <t>QUARTO</t>
  </si>
  <si>
    <t>063063</t>
  </si>
  <si>
    <t>80010</t>
  </si>
  <si>
    <t>ERCOLANO</t>
  </si>
  <si>
    <t>063064</t>
  </si>
  <si>
    <t>80056</t>
  </si>
  <si>
    <t>ROCCARAINOLA</t>
  </si>
  <si>
    <t>063065</t>
  </si>
  <si>
    <t>SAN GENNARO VESUVIANO</t>
  </si>
  <si>
    <t>063066</t>
  </si>
  <si>
    <t>SAN GIORGIO A CREMANO</t>
  </si>
  <si>
    <t>063067</t>
  </si>
  <si>
    <t>80046</t>
  </si>
  <si>
    <t>SAN GIUSEPPE VESUVIANO</t>
  </si>
  <si>
    <t>063068</t>
  </si>
  <si>
    <t>80047</t>
  </si>
  <si>
    <t>SAN PAOLO BEL SITO</t>
  </si>
  <si>
    <t>063069</t>
  </si>
  <si>
    <t>SAN SEBASTIANO AL VESUVIO</t>
  </si>
  <si>
    <t>063070</t>
  </si>
  <si>
    <t>SANT'AGNELLO</t>
  </si>
  <si>
    <t>063071</t>
  </si>
  <si>
    <t>80065</t>
  </si>
  <si>
    <t>SANT'ANASTASIA</t>
  </si>
  <si>
    <t>063072</t>
  </si>
  <si>
    <t>80048</t>
  </si>
  <si>
    <t>SANT'ANTIMO</t>
  </si>
  <si>
    <t>063073</t>
  </si>
  <si>
    <t>80029</t>
  </si>
  <si>
    <t>SANT'ANTONIO ABATE</t>
  </si>
  <si>
    <t>063074</t>
  </si>
  <si>
    <t>80057</t>
  </si>
  <si>
    <t>SAN VITALIANO</t>
  </si>
  <si>
    <t>063075</t>
  </si>
  <si>
    <t>SAVIANO</t>
  </si>
  <si>
    <t>063076</t>
  </si>
  <si>
    <t>80039</t>
  </si>
  <si>
    <t>SCISCIANO</t>
  </si>
  <si>
    <t>063077</t>
  </si>
  <si>
    <t>SERRARA FONTANA</t>
  </si>
  <si>
    <t>063078</t>
  </si>
  <si>
    <t>SOMMA VESUVIANA</t>
  </si>
  <si>
    <t>063079</t>
  </si>
  <si>
    <t>80049</t>
  </si>
  <si>
    <t>SORRENTO</t>
  </si>
  <si>
    <t>063080</t>
  </si>
  <si>
    <t>80067</t>
  </si>
  <si>
    <t>STRIANO</t>
  </si>
  <si>
    <t>063081</t>
  </si>
  <si>
    <t>TERZIGNO</t>
  </si>
  <si>
    <t>063082</t>
  </si>
  <si>
    <t>TORRE ANNUNZIATA</t>
  </si>
  <si>
    <t>063083</t>
  </si>
  <si>
    <t>80058</t>
  </si>
  <si>
    <t>TORRE DEL GRECO</t>
  </si>
  <si>
    <t>063084</t>
  </si>
  <si>
    <t>80059</t>
  </si>
  <si>
    <t>TUFINO</t>
  </si>
  <si>
    <t>063085</t>
  </si>
  <si>
    <t>VICO EQUENSE</t>
  </si>
  <si>
    <t>063086</t>
  </si>
  <si>
    <t>80069</t>
  </si>
  <si>
    <t>VILLARICCA</t>
  </si>
  <si>
    <t>063087</t>
  </si>
  <si>
    <t>VISCIANO</t>
  </si>
  <si>
    <t>063088</t>
  </si>
  <si>
    <t>VOLLA</t>
  </si>
  <si>
    <t>063089</t>
  </si>
  <si>
    <t>SANTA MARIA LA CARITÀ</t>
  </si>
  <si>
    <t>063090</t>
  </si>
  <si>
    <t>TRECASE</t>
  </si>
  <si>
    <t>063091</t>
  </si>
  <si>
    <t>MASSA DI SOMMA</t>
  </si>
  <si>
    <t>063092</t>
  </si>
  <si>
    <t>AIELLO DEL SABATO</t>
  </si>
  <si>
    <t>064001</t>
  </si>
  <si>
    <t>AV</t>
  </si>
  <si>
    <t>83020</t>
  </si>
  <si>
    <t>ALTAVILLA IRPINA</t>
  </si>
  <si>
    <t>064002</t>
  </si>
  <si>
    <t>83011</t>
  </si>
  <si>
    <t>ANDRETTA</t>
  </si>
  <si>
    <t>064003</t>
  </si>
  <si>
    <t>83040</t>
  </si>
  <si>
    <t>AQUILONIA</t>
  </si>
  <si>
    <t>064004</t>
  </si>
  <si>
    <t>83041</t>
  </si>
  <si>
    <t>ARIANO IRPINO</t>
  </si>
  <si>
    <t>064005</t>
  </si>
  <si>
    <t>83031</t>
  </si>
  <si>
    <t>ATRIPALDA</t>
  </si>
  <si>
    <t>064006</t>
  </si>
  <si>
    <t>83042</t>
  </si>
  <si>
    <t>AVELLA</t>
  </si>
  <si>
    <t>064007</t>
  </si>
  <si>
    <t>83021</t>
  </si>
  <si>
    <t>AVELLINO</t>
  </si>
  <si>
    <t>064008</t>
  </si>
  <si>
    <t>83100</t>
  </si>
  <si>
    <t>BAGNOLI IRPINO</t>
  </si>
  <si>
    <t>064009</t>
  </si>
  <si>
    <t>83043</t>
  </si>
  <si>
    <t>BAIANO</t>
  </si>
  <si>
    <t>064010</t>
  </si>
  <si>
    <t>83022</t>
  </si>
  <si>
    <t>BISACCIA</t>
  </si>
  <si>
    <t>064011</t>
  </si>
  <si>
    <t>83044</t>
  </si>
  <si>
    <t>BONITO</t>
  </si>
  <si>
    <t>064012</t>
  </si>
  <si>
    <t>83032</t>
  </si>
  <si>
    <t>CAIRANO</t>
  </si>
  <si>
    <t>064013</t>
  </si>
  <si>
    <t>CALABRITTO</t>
  </si>
  <si>
    <t>064014</t>
  </si>
  <si>
    <t>CALITRI</t>
  </si>
  <si>
    <t>064015</t>
  </si>
  <si>
    <t>83045</t>
  </si>
  <si>
    <t>CANDIDA</t>
  </si>
  <si>
    <t>064016</t>
  </si>
  <si>
    <t>CAPOSELE</t>
  </si>
  <si>
    <t>064017</t>
  </si>
  <si>
    <t>CAPRIGLIA IRPINA</t>
  </si>
  <si>
    <t>064018</t>
  </si>
  <si>
    <t>83010</t>
  </si>
  <si>
    <t>CARIFE</t>
  </si>
  <si>
    <t>064019</t>
  </si>
  <si>
    <t>CASALBORE</t>
  </si>
  <si>
    <t>064020</t>
  </si>
  <si>
    <t>83034</t>
  </si>
  <si>
    <t>CASSANO IRPINO</t>
  </si>
  <si>
    <t>064021</t>
  </si>
  <si>
    <t>CASTEL BARONIA</t>
  </si>
  <si>
    <t>064022</t>
  </si>
  <si>
    <t>CASTELFRANCI</t>
  </si>
  <si>
    <t>064023</t>
  </si>
  <si>
    <t>CASTELVETERE SUL CALORE</t>
  </si>
  <si>
    <t>064024</t>
  </si>
  <si>
    <t>CERVINARA</t>
  </si>
  <si>
    <t>064025</t>
  </si>
  <si>
    <t>83012</t>
  </si>
  <si>
    <t>CESINALI</t>
  </si>
  <si>
    <t>064026</t>
  </si>
  <si>
    <t>CHIANCHE</t>
  </si>
  <si>
    <t>064027</t>
  </si>
  <si>
    <t>CHIUSANO DI SAN DOMENICO</t>
  </si>
  <si>
    <t>064028</t>
  </si>
  <si>
    <t>CONTRADA</t>
  </si>
  <si>
    <t>064029</t>
  </si>
  <si>
    <t>CONZA DELLA CAMPANIA</t>
  </si>
  <si>
    <t>064030</t>
  </si>
  <si>
    <t>DOMICELLA</t>
  </si>
  <si>
    <t>064031</t>
  </si>
  <si>
    <t>FLUMERI</t>
  </si>
  <si>
    <t>064032</t>
  </si>
  <si>
    <t>FONTANAROSA</t>
  </si>
  <si>
    <t>064033</t>
  </si>
  <si>
    <t>FORINO</t>
  </si>
  <si>
    <t>064034</t>
  </si>
  <si>
    <t>FRIGENTO</t>
  </si>
  <si>
    <t>064035</t>
  </si>
  <si>
    <t>GESUALDO</t>
  </si>
  <si>
    <t>064036</t>
  </si>
  <si>
    <t>GRECI</t>
  </si>
  <si>
    <t>064037</t>
  </si>
  <si>
    <t>83030</t>
  </si>
  <si>
    <t>GROTTAMINARDA</t>
  </si>
  <si>
    <t>064038</t>
  </si>
  <si>
    <t>83035</t>
  </si>
  <si>
    <t>GROTTOLELLA</t>
  </si>
  <si>
    <t>064039</t>
  </si>
  <si>
    <t>GUARDIA LOMBARDI</t>
  </si>
  <si>
    <t>064040</t>
  </si>
  <si>
    <t>LACEDONIA</t>
  </si>
  <si>
    <t>064041</t>
  </si>
  <si>
    <t>83046</t>
  </si>
  <si>
    <t>LAPIO</t>
  </si>
  <si>
    <t>064042</t>
  </si>
  <si>
    <t>LAURO</t>
  </si>
  <si>
    <t>064043</t>
  </si>
  <si>
    <t>83023</t>
  </si>
  <si>
    <t>LIONI</t>
  </si>
  <si>
    <t>064044</t>
  </si>
  <si>
    <t>83047</t>
  </si>
  <si>
    <t>LUOGOSANO</t>
  </si>
  <si>
    <t>064045</t>
  </si>
  <si>
    <t>MANOCALZATI</t>
  </si>
  <si>
    <t>064046</t>
  </si>
  <si>
    <t>MARZANO DI NOLA</t>
  </si>
  <si>
    <t>064047</t>
  </si>
  <si>
    <t>MELITO IRPINO</t>
  </si>
  <si>
    <t>064048</t>
  </si>
  <si>
    <t>MERCOGLIANO</t>
  </si>
  <si>
    <t>064049</t>
  </si>
  <si>
    <t>83013</t>
  </si>
  <si>
    <t>MIRABELLA ECLANO</t>
  </si>
  <si>
    <t>064050</t>
  </si>
  <si>
    <t>83036</t>
  </si>
  <si>
    <t>MONTAGUTO</t>
  </si>
  <si>
    <t>064051</t>
  </si>
  <si>
    <t>MONTECALVO IRPINO</t>
  </si>
  <si>
    <t>064052</t>
  </si>
  <si>
    <t>83037</t>
  </si>
  <si>
    <t>MONTEFALCIONE</t>
  </si>
  <si>
    <t>064053</t>
  </si>
  <si>
    <t>MONTEFORTE IRPINO</t>
  </si>
  <si>
    <t>064054</t>
  </si>
  <si>
    <t>83024</t>
  </si>
  <si>
    <t>MONTEFREDANE</t>
  </si>
  <si>
    <t>064055</t>
  </si>
  <si>
    <t>MONTEFUSCO</t>
  </si>
  <si>
    <t>064056</t>
  </si>
  <si>
    <t>MONTELLA</t>
  </si>
  <si>
    <t>064057</t>
  </si>
  <si>
    <t>83048</t>
  </si>
  <si>
    <t>MONTEMARANO</t>
  </si>
  <si>
    <t>064058</t>
  </si>
  <si>
    <t>MONTEMILETTO</t>
  </si>
  <si>
    <t>064059</t>
  </si>
  <si>
    <t>83038</t>
  </si>
  <si>
    <t>MONTEVERDE</t>
  </si>
  <si>
    <t>064060</t>
  </si>
  <si>
    <t>83049</t>
  </si>
  <si>
    <t>MORRA DE SANCTIS</t>
  </si>
  <si>
    <t>064063</t>
  </si>
  <si>
    <t>MOSCHIANO</t>
  </si>
  <si>
    <t>064064</t>
  </si>
  <si>
    <t>MUGNANO DEL CARDINALE</t>
  </si>
  <si>
    <t>064065</t>
  </si>
  <si>
    <t>83027</t>
  </si>
  <si>
    <t>NUSCO</t>
  </si>
  <si>
    <t>064066</t>
  </si>
  <si>
    <t>83051</t>
  </si>
  <si>
    <t>OSPEDALETTO D'ALPINOLO</t>
  </si>
  <si>
    <t>064067</t>
  </si>
  <si>
    <t>83014</t>
  </si>
  <si>
    <t>PAGO DEL VALLO DI LAURO</t>
  </si>
  <si>
    <t>064068</t>
  </si>
  <si>
    <t>PAROLISE</t>
  </si>
  <si>
    <t>064069</t>
  </si>
  <si>
    <t>83050</t>
  </si>
  <si>
    <t>PATERNOPOLI</t>
  </si>
  <si>
    <t>064070</t>
  </si>
  <si>
    <t>83052</t>
  </si>
  <si>
    <t>PETRURO IRPINO</t>
  </si>
  <si>
    <t>064071</t>
  </si>
  <si>
    <t>PIETRADEFUSI</t>
  </si>
  <si>
    <t>064072</t>
  </si>
  <si>
    <t>PIETRASTORNINA</t>
  </si>
  <si>
    <t>064073</t>
  </si>
  <si>
    <t>83015</t>
  </si>
  <si>
    <t>PRATA DI PRINCIPATO ULTRA</t>
  </si>
  <si>
    <t>064074</t>
  </si>
  <si>
    <t>PRATOLA SERRA</t>
  </si>
  <si>
    <t>064075</t>
  </si>
  <si>
    <t>83039</t>
  </si>
  <si>
    <t>QUADRELLE</t>
  </si>
  <si>
    <t>064076</t>
  </si>
  <si>
    <t>QUINDICI</t>
  </si>
  <si>
    <t>064077</t>
  </si>
  <si>
    <t>ROCCABASCERANA</t>
  </si>
  <si>
    <t>064078</t>
  </si>
  <si>
    <t>83016</t>
  </si>
  <si>
    <t>ROCCA SAN FELICE</t>
  </si>
  <si>
    <t>064079</t>
  </si>
  <si>
    <t>ROTONDI</t>
  </si>
  <si>
    <t>064080</t>
  </si>
  <si>
    <t>83017</t>
  </si>
  <si>
    <t>SALZA IRPINA</t>
  </si>
  <si>
    <t>064081</t>
  </si>
  <si>
    <t>SAN MANGO SUL CALORE</t>
  </si>
  <si>
    <t>064082</t>
  </si>
  <si>
    <t>SAN MARTINO VALLE CAUDINA</t>
  </si>
  <si>
    <t>064083</t>
  </si>
  <si>
    <t>83018</t>
  </si>
  <si>
    <t>SAN MICHELE DI SERINO</t>
  </si>
  <si>
    <t>064084</t>
  </si>
  <si>
    <t>SAN NICOLA BARONIA</t>
  </si>
  <si>
    <t>064085</t>
  </si>
  <si>
    <t>SAN POTITO ULTRA</t>
  </si>
  <si>
    <t>064086</t>
  </si>
  <si>
    <t>SAN SOSSIO BARONIA</t>
  </si>
  <si>
    <t>064087</t>
  </si>
  <si>
    <t>SANTA LUCIA DI SERINO</t>
  </si>
  <si>
    <t>064088</t>
  </si>
  <si>
    <t>SANT'ANDREA DI CONZA</t>
  </si>
  <si>
    <t>064089</t>
  </si>
  <si>
    <t>83053</t>
  </si>
  <si>
    <t>SANT'ANGELO ALL'ESCA</t>
  </si>
  <si>
    <t>064090</t>
  </si>
  <si>
    <t>SANT'ANGELO A SCALA</t>
  </si>
  <si>
    <t>064091</t>
  </si>
  <si>
    <t>SANT'ANGELO DEI LOMBARDI</t>
  </si>
  <si>
    <t>064092</t>
  </si>
  <si>
    <t>83054</t>
  </si>
  <si>
    <t>SANTA PAOLINA</t>
  </si>
  <si>
    <t>064093</t>
  </si>
  <si>
    <t>SANTO STEFANO DEL SOLE</t>
  </si>
  <si>
    <t>064095</t>
  </si>
  <si>
    <t>SAVIGNANO IRPINO</t>
  </si>
  <si>
    <t>064096</t>
  </si>
  <si>
    <t>SCAMPITELLA</t>
  </si>
  <si>
    <t>064097</t>
  </si>
  <si>
    <t>SENERCHIA</t>
  </si>
  <si>
    <t>064098</t>
  </si>
  <si>
    <t>SERINO</t>
  </si>
  <si>
    <t>064099</t>
  </si>
  <si>
    <t>83028</t>
  </si>
  <si>
    <t>SIRIGNANO</t>
  </si>
  <si>
    <t>064100</t>
  </si>
  <si>
    <t>SOLOFRA</t>
  </si>
  <si>
    <t>064101</t>
  </si>
  <si>
    <t>83029</t>
  </si>
  <si>
    <t>SORBO SERPICO</t>
  </si>
  <si>
    <t>064102</t>
  </si>
  <si>
    <t>SPERONE</t>
  </si>
  <si>
    <t>064103</t>
  </si>
  <si>
    <t>STURNO</t>
  </si>
  <si>
    <t>064104</t>
  </si>
  <si>
    <t>83055</t>
  </si>
  <si>
    <t>SUMMONTE</t>
  </si>
  <si>
    <t>064105</t>
  </si>
  <si>
    <t>TAURANO</t>
  </si>
  <si>
    <t>064106</t>
  </si>
  <si>
    <t>TAURASI</t>
  </si>
  <si>
    <t>064107</t>
  </si>
  <si>
    <t>TEORA</t>
  </si>
  <si>
    <t>064108</t>
  </si>
  <si>
    <t>83056</t>
  </si>
  <si>
    <t>TORELLA DEI LOMBARDI</t>
  </si>
  <si>
    <t>064109</t>
  </si>
  <si>
    <t>83057</t>
  </si>
  <si>
    <t>TORRE LE NOCELLE</t>
  </si>
  <si>
    <t>064110</t>
  </si>
  <si>
    <t>TORRIONI</t>
  </si>
  <si>
    <t>064111</t>
  </si>
  <si>
    <t>TREVICO</t>
  </si>
  <si>
    <t>064112</t>
  </si>
  <si>
    <t>83058</t>
  </si>
  <si>
    <t>TUFO</t>
  </si>
  <si>
    <t>064113</t>
  </si>
  <si>
    <t>VALLATA</t>
  </si>
  <si>
    <t>064114</t>
  </si>
  <si>
    <t>83059</t>
  </si>
  <si>
    <t>VALLESACCARDA</t>
  </si>
  <si>
    <t>064115</t>
  </si>
  <si>
    <t>VENTICANO</t>
  </si>
  <si>
    <t>064116</t>
  </si>
  <si>
    <t>VILLAMAINA</t>
  </si>
  <si>
    <t>064117</t>
  </si>
  <si>
    <t>VILLANOVA DEL BATTISTA</t>
  </si>
  <si>
    <t>064118</t>
  </si>
  <si>
    <t>VOLTURARA IRPINA</t>
  </si>
  <si>
    <t>064119</t>
  </si>
  <si>
    <t>ZUNGOLI</t>
  </si>
  <si>
    <t>064120</t>
  </si>
  <si>
    <t>MONTORO</t>
  </si>
  <si>
    <t>064121</t>
  </si>
  <si>
    <t>ACERNO</t>
  </si>
  <si>
    <t>065001</t>
  </si>
  <si>
    <t>SA</t>
  </si>
  <si>
    <t>84042</t>
  </si>
  <si>
    <t>AGROPOLI</t>
  </si>
  <si>
    <t>065002</t>
  </si>
  <si>
    <t>84043</t>
  </si>
  <si>
    <t>ALBANELLA</t>
  </si>
  <si>
    <t>065003</t>
  </si>
  <si>
    <t>84044</t>
  </si>
  <si>
    <t>ALFANO</t>
  </si>
  <si>
    <t>065004</t>
  </si>
  <si>
    <t>84040</t>
  </si>
  <si>
    <t>ALTAVILLA SILENTINA</t>
  </si>
  <si>
    <t>065005</t>
  </si>
  <si>
    <t>84045</t>
  </si>
  <si>
    <t>AMALFI</t>
  </si>
  <si>
    <t>065006</t>
  </si>
  <si>
    <t>84011</t>
  </si>
  <si>
    <t>ANGRI</t>
  </si>
  <si>
    <t>065007</t>
  </si>
  <si>
    <t>84012</t>
  </si>
  <si>
    <t>AQUARA</t>
  </si>
  <si>
    <t>065008</t>
  </si>
  <si>
    <t>84020</t>
  </si>
  <si>
    <t>ASCEA</t>
  </si>
  <si>
    <t>065009</t>
  </si>
  <si>
    <t>84046</t>
  </si>
  <si>
    <t>ATENA LUCANA</t>
  </si>
  <si>
    <t>065010</t>
  </si>
  <si>
    <t>84030</t>
  </si>
  <si>
    <t>ATRANI</t>
  </si>
  <si>
    <t>065011</t>
  </si>
  <si>
    <t>84010</t>
  </si>
  <si>
    <t>AULETTA</t>
  </si>
  <si>
    <t>065012</t>
  </si>
  <si>
    <t>84031</t>
  </si>
  <si>
    <t>BARONISSI</t>
  </si>
  <si>
    <t>065013</t>
  </si>
  <si>
    <t>84081</t>
  </si>
  <si>
    <t>BATTIPAGLIA</t>
  </si>
  <si>
    <t>065014</t>
  </si>
  <si>
    <t>84091</t>
  </si>
  <si>
    <t>BELLOSGUARDO</t>
  </si>
  <si>
    <t>065015</t>
  </si>
  <si>
    <t>BRACIGLIANO</t>
  </si>
  <si>
    <t>065016</t>
  </si>
  <si>
    <t>84082</t>
  </si>
  <si>
    <t>BUCCINO</t>
  </si>
  <si>
    <t>065017</t>
  </si>
  <si>
    <t>84021</t>
  </si>
  <si>
    <t>BUONABITACOLO</t>
  </si>
  <si>
    <t>065018</t>
  </si>
  <si>
    <t>84032</t>
  </si>
  <si>
    <t>CAGGIANO</t>
  </si>
  <si>
    <t>065019</t>
  </si>
  <si>
    <t>CALVANICO</t>
  </si>
  <si>
    <t>065020</t>
  </si>
  <si>
    <t>84080</t>
  </si>
  <si>
    <t>CAMEROTA</t>
  </si>
  <si>
    <t>065021</t>
  </si>
  <si>
    <t>CAMPAGNA</t>
  </si>
  <si>
    <t>065022</t>
  </si>
  <si>
    <t>84022</t>
  </si>
  <si>
    <t>CAMPORA</t>
  </si>
  <si>
    <t>065023</t>
  </si>
  <si>
    <t>CANNALONGA</t>
  </si>
  <si>
    <t>065024</t>
  </si>
  <si>
    <t>CAPACCIO PAESTUM</t>
  </si>
  <si>
    <t>065025</t>
  </si>
  <si>
    <t>CASALBUONO</t>
  </si>
  <si>
    <t>065026</t>
  </si>
  <si>
    <t>CASALETTO SPARTANO</t>
  </si>
  <si>
    <t>065027</t>
  </si>
  <si>
    <t>CASAL VELINO</t>
  </si>
  <si>
    <t>065028</t>
  </si>
  <si>
    <t>CASELLE IN PITTARI</t>
  </si>
  <si>
    <t>065029</t>
  </si>
  <si>
    <t>CASTELCIVITA</t>
  </si>
  <si>
    <t>065030</t>
  </si>
  <si>
    <t>CASTELLABATE</t>
  </si>
  <si>
    <t>065031</t>
  </si>
  <si>
    <t>84048</t>
  </si>
  <si>
    <t>CASTELNUOVO CILENTO</t>
  </si>
  <si>
    <t>065032</t>
  </si>
  <si>
    <t>CASTELNUOVO DI CONZA</t>
  </si>
  <si>
    <t>065033</t>
  </si>
  <si>
    <t>CASTEL SAN GIORGIO</t>
  </si>
  <si>
    <t>065034</t>
  </si>
  <si>
    <t>84083</t>
  </si>
  <si>
    <t>CASTEL SAN LORENZO</t>
  </si>
  <si>
    <t>065035</t>
  </si>
  <si>
    <t>84049</t>
  </si>
  <si>
    <t>CASTIGLIONE DEL GENOVESI</t>
  </si>
  <si>
    <t>065036</t>
  </si>
  <si>
    <t>84090</t>
  </si>
  <si>
    <t>CAVA DE' TIRRENI</t>
  </si>
  <si>
    <t>065037</t>
  </si>
  <si>
    <t>84013</t>
  </si>
  <si>
    <t>CELLE DI BULGHERIA</t>
  </si>
  <si>
    <t>065038</t>
  </si>
  <si>
    <t>CENTOLA</t>
  </si>
  <si>
    <t>065039</t>
  </si>
  <si>
    <t>84051</t>
  </si>
  <si>
    <t>CERASO</t>
  </si>
  <si>
    <t>065040</t>
  </si>
  <si>
    <t>84052</t>
  </si>
  <si>
    <t>CETARA</t>
  </si>
  <si>
    <t>065041</t>
  </si>
  <si>
    <t>CICERALE</t>
  </si>
  <si>
    <t>065042</t>
  </si>
  <si>
    <t>84053</t>
  </si>
  <si>
    <t>COLLIANO</t>
  </si>
  <si>
    <t>065043</t>
  </si>
  <si>
    <t>CONCA DEI MARINI</t>
  </si>
  <si>
    <t>065044</t>
  </si>
  <si>
    <t>CONTRONE</t>
  </si>
  <si>
    <t>065045</t>
  </si>
  <si>
    <t>CONTURSI TERME</t>
  </si>
  <si>
    <t>065046</t>
  </si>
  <si>
    <t>84024</t>
  </si>
  <si>
    <t>CORBARA</t>
  </si>
  <si>
    <t>065047</t>
  </si>
  <si>
    <t>CORLETO MONFORTE</t>
  </si>
  <si>
    <t>065048</t>
  </si>
  <si>
    <t>CUCCARO VETERE</t>
  </si>
  <si>
    <t>065049</t>
  </si>
  <si>
    <t>84050</t>
  </si>
  <si>
    <t>EBOLI</t>
  </si>
  <si>
    <t>065050</t>
  </si>
  <si>
    <t>84025</t>
  </si>
  <si>
    <t>FELITTO</t>
  </si>
  <si>
    <t>065051</t>
  </si>
  <si>
    <t>84055</t>
  </si>
  <si>
    <t>FISCIANO</t>
  </si>
  <si>
    <t>065052</t>
  </si>
  <si>
    <t>84084</t>
  </si>
  <si>
    <t>FURORE</t>
  </si>
  <si>
    <t>065053</t>
  </si>
  <si>
    <t>FUTANI</t>
  </si>
  <si>
    <t>065054</t>
  </si>
  <si>
    <t>GIFFONI SEI CASALI</t>
  </si>
  <si>
    <t>065055</t>
  </si>
  <si>
    <t>GIFFONI VALLE PIANA</t>
  </si>
  <si>
    <t>065056</t>
  </si>
  <si>
    <t>84095</t>
  </si>
  <si>
    <t>GIOI</t>
  </si>
  <si>
    <t>065057</t>
  </si>
  <si>
    <t>84056</t>
  </si>
  <si>
    <t>GIUNGANO</t>
  </si>
  <si>
    <t>065058</t>
  </si>
  <si>
    <t>ISPANI</t>
  </si>
  <si>
    <t>065059</t>
  </si>
  <si>
    <t>LAUREANA CILENTO</t>
  </si>
  <si>
    <t>065060</t>
  </si>
  <si>
    <t>LAURINO</t>
  </si>
  <si>
    <t>065061</t>
  </si>
  <si>
    <t>84057</t>
  </si>
  <si>
    <t>LAURITO</t>
  </si>
  <si>
    <t>065062</t>
  </si>
  <si>
    <t>LAVIANO</t>
  </si>
  <si>
    <t>065063</t>
  </si>
  <si>
    <t>LUSTRA</t>
  </si>
  <si>
    <t>065064</t>
  </si>
  <si>
    <t>MAGLIANO VETERE</t>
  </si>
  <si>
    <t>065065</t>
  </si>
  <si>
    <t>MAIORI</t>
  </si>
  <si>
    <t>065066</t>
  </si>
  <si>
    <t>MERCATO SAN SEVERINO</t>
  </si>
  <si>
    <t>065067</t>
  </si>
  <si>
    <t>84085</t>
  </si>
  <si>
    <t>MINORI</t>
  </si>
  <si>
    <t>065068</t>
  </si>
  <si>
    <t>MOIO DELLA CIVITELLA</t>
  </si>
  <si>
    <t>065069</t>
  </si>
  <si>
    <t>84060</t>
  </si>
  <si>
    <t>MONTANO ANTILIA</t>
  </si>
  <si>
    <t>065070</t>
  </si>
  <si>
    <t>MONTECORICE</t>
  </si>
  <si>
    <t>065071</t>
  </si>
  <si>
    <t>MONTECORVINO PUGLIANO</t>
  </si>
  <si>
    <t>065072</t>
  </si>
  <si>
    <t>MONTECORVINO ROVELLA</t>
  </si>
  <si>
    <t>065073</t>
  </si>
  <si>
    <t>84096</t>
  </si>
  <si>
    <t>MONTEFORTE CILENTO</t>
  </si>
  <si>
    <t>065074</t>
  </si>
  <si>
    <t>MONTE SAN GIACOMO</t>
  </si>
  <si>
    <t>065075</t>
  </si>
  <si>
    <t>MONTESANO SULLA MARCELLANA</t>
  </si>
  <si>
    <t>065076</t>
  </si>
  <si>
    <t>84033</t>
  </si>
  <si>
    <t>MORIGERATI</t>
  </si>
  <si>
    <t>065077</t>
  </si>
  <si>
    <t>NOCERA INFERIORE</t>
  </si>
  <si>
    <t>065078</t>
  </si>
  <si>
    <t>84014</t>
  </si>
  <si>
    <t>NOCERA SUPERIORE</t>
  </si>
  <si>
    <t>065079</t>
  </si>
  <si>
    <t>84015</t>
  </si>
  <si>
    <t>NOVI VELIA</t>
  </si>
  <si>
    <t>065080</t>
  </si>
  <si>
    <t>OGLIASTRO CILENTO</t>
  </si>
  <si>
    <t>065081</t>
  </si>
  <si>
    <t>84061</t>
  </si>
  <si>
    <t>OLEVANO SUL TUSCIANO</t>
  </si>
  <si>
    <t>065082</t>
  </si>
  <si>
    <t>84062</t>
  </si>
  <si>
    <t>OLIVETO CITRA</t>
  </si>
  <si>
    <t>065083</t>
  </si>
  <si>
    <t>OMIGNANO</t>
  </si>
  <si>
    <t>065084</t>
  </si>
  <si>
    <t>ORRIA</t>
  </si>
  <si>
    <t>065085</t>
  </si>
  <si>
    <t>OTTATI</t>
  </si>
  <si>
    <t>065086</t>
  </si>
  <si>
    <t>PADULA</t>
  </si>
  <si>
    <t>065087</t>
  </si>
  <si>
    <t>84034</t>
  </si>
  <si>
    <t>PAGANI</t>
  </si>
  <si>
    <t>065088</t>
  </si>
  <si>
    <t>84016</t>
  </si>
  <si>
    <t>PALOMONTE</t>
  </si>
  <si>
    <t>065089</t>
  </si>
  <si>
    <t>PELLEZZANO</t>
  </si>
  <si>
    <t>065090</t>
  </si>
  <si>
    <t>PERDIFUMO</t>
  </si>
  <si>
    <t>065091</t>
  </si>
  <si>
    <t>PERITO</t>
  </si>
  <si>
    <t>065092</t>
  </si>
  <si>
    <t>PERTOSA</t>
  </si>
  <si>
    <t>065093</t>
  </si>
  <si>
    <t>PETINA</t>
  </si>
  <si>
    <t>065094</t>
  </si>
  <si>
    <t>PIAGGINE</t>
  </si>
  <si>
    <t>065095</t>
  </si>
  <si>
    <t>84065</t>
  </si>
  <si>
    <t>PISCIOTTA</t>
  </si>
  <si>
    <t>065096</t>
  </si>
  <si>
    <t>84066</t>
  </si>
  <si>
    <t>POLLA</t>
  </si>
  <si>
    <t>065097</t>
  </si>
  <si>
    <t>84035</t>
  </si>
  <si>
    <t>POLLICA</t>
  </si>
  <si>
    <t>065098</t>
  </si>
  <si>
    <t>84068</t>
  </si>
  <si>
    <t>PONTECAGNANO FAIANO</t>
  </si>
  <si>
    <t>065099</t>
  </si>
  <si>
    <t>84098</t>
  </si>
  <si>
    <t>POSITANO</t>
  </si>
  <si>
    <t>065100</t>
  </si>
  <si>
    <t>84017</t>
  </si>
  <si>
    <t>POSTIGLIONE</t>
  </si>
  <si>
    <t>065101</t>
  </si>
  <si>
    <t>84026</t>
  </si>
  <si>
    <t>PRAIANO</t>
  </si>
  <si>
    <t>065102</t>
  </si>
  <si>
    <t>PRIGNANO CILENTO</t>
  </si>
  <si>
    <t>065103</t>
  </si>
  <si>
    <t>RAVELLO</t>
  </si>
  <si>
    <t>065104</t>
  </si>
  <si>
    <t>RICIGLIANO</t>
  </si>
  <si>
    <t>065105</t>
  </si>
  <si>
    <t>ROCCADASPIDE</t>
  </si>
  <si>
    <t>065106</t>
  </si>
  <si>
    <t>84069</t>
  </si>
  <si>
    <t>ROCCAGLORIOSA</t>
  </si>
  <si>
    <t>065107</t>
  </si>
  <si>
    <t>ROCCAPIEMONTE</t>
  </si>
  <si>
    <t>065108</t>
  </si>
  <si>
    <t>84086</t>
  </si>
  <si>
    <t>ROFRANO</t>
  </si>
  <si>
    <t>065109</t>
  </si>
  <si>
    <t>84070</t>
  </si>
  <si>
    <t>ROMAGNANO AL MONTE</t>
  </si>
  <si>
    <t>065110</t>
  </si>
  <si>
    <t>ROSCIGNO</t>
  </si>
  <si>
    <t>065111</t>
  </si>
  <si>
    <t>RUTINO</t>
  </si>
  <si>
    <t>065112</t>
  </si>
  <si>
    <t>SACCO</t>
  </si>
  <si>
    <t>065113</t>
  </si>
  <si>
    <t>SALA CONSILINA</t>
  </si>
  <si>
    <t>065114</t>
  </si>
  <si>
    <t>84036</t>
  </si>
  <si>
    <t>SALENTO</t>
  </si>
  <si>
    <t>065115</t>
  </si>
  <si>
    <t>SALERNO</t>
  </si>
  <si>
    <t>065116</t>
  </si>
  <si>
    <t>841xx</t>
  </si>
  <si>
    <t>SALVITELLE</t>
  </si>
  <si>
    <t>065117</t>
  </si>
  <si>
    <t>SAN CIPRIANO PICENTINO</t>
  </si>
  <si>
    <t>065118</t>
  </si>
  <si>
    <t>84099</t>
  </si>
  <si>
    <t>SAN GIOVANNI A PIRO</t>
  </si>
  <si>
    <t>065119</t>
  </si>
  <si>
    <t>SAN GREGORIO MAGNO</t>
  </si>
  <si>
    <t>065120</t>
  </si>
  <si>
    <t>SAN MANGO PIEMONTE</t>
  </si>
  <si>
    <t>065121</t>
  </si>
  <si>
    <t>SAN MARZANO SUL SARNO</t>
  </si>
  <si>
    <t>065122</t>
  </si>
  <si>
    <t>SAN MAURO CILENTO</t>
  </si>
  <si>
    <t>065123</t>
  </si>
  <si>
    <t>SAN MAURO LA BRUCA</t>
  </si>
  <si>
    <t>065124</t>
  </si>
  <si>
    <t>SAN PIETRO AL TANAGRO</t>
  </si>
  <si>
    <t>065125</t>
  </si>
  <si>
    <t>SAN RUFO</t>
  </si>
  <si>
    <t>065126</t>
  </si>
  <si>
    <t>SANTA MARINA</t>
  </si>
  <si>
    <t>065127</t>
  </si>
  <si>
    <t>SANT'ANGELO A FASANELLA</t>
  </si>
  <si>
    <t>065128</t>
  </si>
  <si>
    <t>84027</t>
  </si>
  <si>
    <t>SANT'ARSENIO</t>
  </si>
  <si>
    <t>065129</t>
  </si>
  <si>
    <t>84037</t>
  </si>
  <si>
    <t>SANT'EGIDIO DEL MONTE ALBINO</t>
  </si>
  <si>
    <t>065130</t>
  </si>
  <si>
    <t>SANTOMENNA</t>
  </si>
  <si>
    <t>065131</t>
  </si>
  <si>
    <t>SAN VALENTINO TORIO</t>
  </si>
  <si>
    <t>065132</t>
  </si>
  <si>
    <t>SANZA</t>
  </si>
  <si>
    <t>065133</t>
  </si>
  <si>
    <t>SAPRI</t>
  </si>
  <si>
    <t>065134</t>
  </si>
  <si>
    <t>84073</t>
  </si>
  <si>
    <t>SARNO</t>
  </si>
  <si>
    <t>065135</t>
  </si>
  <si>
    <t>84087</t>
  </si>
  <si>
    <t>SASSANO</t>
  </si>
  <si>
    <t>065136</t>
  </si>
  <si>
    <t>84038</t>
  </si>
  <si>
    <t>SCAFATI</t>
  </si>
  <si>
    <t>065137</t>
  </si>
  <si>
    <t>84018</t>
  </si>
  <si>
    <t>SCALA</t>
  </si>
  <si>
    <t>065138</t>
  </si>
  <si>
    <t>SERRAMEZZANA</t>
  </si>
  <si>
    <t>065139</t>
  </si>
  <si>
    <t>SERRE</t>
  </si>
  <si>
    <t>065140</t>
  </si>
  <si>
    <t>84028</t>
  </si>
  <si>
    <t>SESSA CILENTO</t>
  </si>
  <si>
    <t>065141</t>
  </si>
  <si>
    <t>84074</t>
  </si>
  <si>
    <t>SIANO</t>
  </si>
  <si>
    <t>065142</t>
  </si>
  <si>
    <t>84088</t>
  </si>
  <si>
    <t>SICIGNANO DEGLI ALBURNI</t>
  </si>
  <si>
    <t>065143</t>
  </si>
  <si>
    <t>84029</t>
  </si>
  <si>
    <t>STELLA CILENTO</t>
  </si>
  <si>
    <t>065144</t>
  </si>
  <si>
    <t>STIO</t>
  </si>
  <si>
    <t>065145</t>
  </si>
  <si>
    <t>84075</t>
  </si>
  <si>
    <t>TEGGIANO</t>
  </si>
  <si>
    <t>065146</t>
  </si>
  <si>
    <t>84039</t>
  </si>
  <si>
    <t>TORCHIARA</t>
  </si>
  <si>
    <t>065147</t>
  </si>
  <si>
    <t>84076</t>
  </si>
  <si>
    <t>TORRACA</t>
  </si>
  <si>
    <t>065148</t>
  </si>
  <si>
    <t>TORRE ORSAIA</t>
  </si>
  <si>
    <t>065149</t>
  </si>
  <si>
    <t>84077</t>
  </si>
  <si>
    <t>TORTORELLA</t>
  </si>
  <si>
    <t>065150</t>
  </si>
  <si>
    <t>TRAMONTI</t>
  </si>
  <si>
    <t>065151</t>
  </si>
  <si>
    <t>TRENTINARA</t>
  </si>
  <si>
    <t>065152</t>
  </si>
  <si>
    <t>VALLE DELL'ANGELO</t>
  </si>
  <si>
    <t>065153</t>
  </si>
  <si>
    <t>VALLO DELLA LUCANIA</t>
  </si>
  <si>
    <t>065154</t>
  </si>
  <si>
    <t>84078</t>
  </si>
  <si>
    <t>VALVA</t>
  </si>
  <si>
    <t>065155</t>
  </si>
  <si>
    <t>VIBONATI</t>
  </si>
  <si>
    <t>065156</t>
  </si>
  <si>
    <t>84079</t>
  </si>
  <si>
    <t>VIETRI SUL MARE</t>
  </si>
  <si>
    <t>065157</t>
  </si>
  <si>
    <t>84019</t>
  </si>
  <si>
    <t>BELLIZZI</t>
  </si>
  <si>
    <t>065158</t>
  </si>
  <si>
    <t>84092</t>
  </si>
  <si>
    <t>ACCIANO</t>
  </si>
  <si>
    <t>066001</t>
  </si>
  <si>
    <t>AQ</t>
  </si>
  <si>
    <t>67020</t>
  </si>
  <si>
    <t>AIELLI</t>
  </si>
  <si>
    <t>066002</t>
  </si>
  <si>
    <t>67041</t>
  </si>
  <si>
    <t>ALFEDENA</t>
  </si>
  <si>
    <t>066003</t>
  </si>
  <si>
    <t>67030</t>
  </si>
  <si>
    <t>ANVERSA DEGLI ABRUZZI</t>
  </si>
  <si>
    <t>066004</t>
  </si>
  <si>
    <t>ATELETA</t>
  </si>
  <si>
    <t>066005</t>
  </si>
  <si>
    <t>AVEZZANO</t>
  </si>
  <si>
    <t>066006</t>
  </si>
  <si>
    <t>67051</t>
  </si>
  <si>
    <t>BALSORANO</t>
  </si>
  <si>
    <t>066007</t>
  </si>
  <si>
    <t>67052</t>
  </si>
  <si>
    <t>BARETE</t>
  </si>
  <si>
    <t>066008</t>
  </si>
  <si>
    <t>67010</t>
  </si>
  <si>
    <t>BARISCIANO</t>
  </si>
  <si>
    <t>066009</t>
  </si>
  <si>
    <t>67021</t>
  </si>
  <si>
    <t>BARREA</t>
  </si>
  <si>
    <t>066010</t>
  </si>
  <si>
    <t>BISEGNA</t>
  </si>
  <si>
    <t>066011</t>
  </si>
  <si>
    <t>67050</t>
  </si>
  <si>
    <t>BUGNARA</t>
  </si>
  <si>
    <t>066012</t>
  </si>
  <si>
    <t>CAGNANO AMITERNO</t>
  </si>
  <si>
    <t>066013</t>
  </si>
  <si>
    <t>67012</t>
  </si>
  <si>
    <t>CALASCIO</t>
  </si>
  <si>
    <t>066014</t>
  </si>
  <si>
    <t>CAMPO DI GIOVE</t>
  </si>
  <si>
    <t>066015</t>
  </si>
  <si>
    <t>CAMPOTOSTO</t>
  </si>
  <si>
    <t>066016</t>
  </si>
  <si>
    <t>67013</t>
  </si>
  <si>
    <t>CANISTRO</t>
  </si>
  <si>
    <t>066017</t>
  </si>
  <si>
    <t>CANSANO</t>
  </si>
  <si>
    <t>066018</t>
  </si>
  <si>
    <t>CAPESTRANO</t>
  </si>
  <si>
    <t>066019</t>
  </si>
  <si>
    <t>67022</t>
  </si>
  <si>
    <t>CAPISTRELLO</t>
  </si>
  <si>
    <t>066020</t>
  </si>
  <si>
    <t>67053</t>
  </si>
  <si>
    <t>CAPITIGNANO</t>
  </si>
  <si>
    <t>066021</t>
  </si>
  <si>
    <t>67014</t>
  </si>
  <si>
    <t>CAPORCIANO</t>
  </si>
  <si>
    <t>066022</t>
  </si>
  <si>
    <t>CAPPADOCIA</t>
  </si>
  <si>
    <t>066023</t>
  </si>
  <si>
    <t>67060</t>
  </si>
  <si>
    <t>CARAPELLE CALVISIO</t>
  </si>
  <si>
    <t>066024</t>
  </si>
  <si>
    <t>CARSOLI</t>
  </si>
  <si>
    <t>066025</t>
  </si>
  <si>
    <t>67061</t>
  </si>
  <si>
    <t>CASTEL DEL MONTE</t>
  </si>
  <si>
    <t>066026</t>
  </si>
  <si>
    <t>67023</t>
  </si>
  <si>
    <t>CASTEL DI IERI</t>
  </si>
  <si>
    <t>066027</t>
  </si>
  <si>
    <t>CASTEL DI SANGRO</t>
  </si>
  <si>
    <t>066028</t>
  </si>
  <si>
    <t>67031</t>
  </si>
  <si>
    <t>CASTELLAFIUME</t>
  </si>
  <si>
    <t>066029</t>
  </si>
  <si>
    <t>CASTELVECCHIO CALVISIO</t>
  </si>
  <si>
    <t>066030</t>
  </si>
  <si>
    <t>CASTELVECCHIO SUBEQUO</t>
  </si>
  <si>
    <t>066031</t>
  </si>
  <si>
    <t>67024</t>
  </si>
  <si>
    <t>CELANO</t>
  </si>
  <si>
    <t>066032</t>
  </si>
  <si>
    <t>67043</t>
  </si>
  <si>
    <t>CERCHIO</t>
  </si>
  <si>
    <t>066033</t>
  </si>
  <si>
    <t>67044</t>
  </si>
  <si>
    <t>CIVITA D'ANTINO</t>
  </si>
  <si>
    <t>066034</t>
  </si>
  <si>
    <t>CIVITELLA ALFEDENA</t>
  </si>
  <si>
    <t>066035</t>
  </si>
  <si>
    <t>CIVITELLA ROVETO</t>
  </si>
  <si>
    <t>066036</t>
  </si>
  <si>
    <t>67054</t>
  </si>
  <si>
    <t>COCULLO</t>
  </si>
  <si>
    <t>066037</t>
  </si>
  <si>
    <t>COLLARMELE</t>
  </si>
  <si>
    <t>066038</t>
  </si>
  <si>
    <t>67040</t>
  </si>
  <si>
    <t>COLLELONGO</t>
  </si>
  <si>
    <t>066039</t>
  </si>
  <si>
    <t>COLLEPIETRO</t>
  </si>
  <si>
    <t>066040</t>
  </si>
  <si>
    <t>CORFINIO</t>
  </si>
  <si>
    <t>066041</t>
  </si>
  <si>
    <t>FAGNANO ALTO</t>
  </si>
  <si>
    <t>066042</t>
  </si>
  <si>
    <t>FONTECCHIO</t>
  </si>
  <si>
    <t>066043</t>
  </si>
  <si>
    <t>FOSSA</t>
  </si>
  <si>
    <t>066044</t>
  </si>
  <si>
    <t>GAGLIANO ATERNO</t>
  </si>
  <si>
    <t>066045</t>
  </si>
  <si>
    <t>GIOIA DEI MARSI</t>
  </si>
  <si>
    <t>066046</t>
  </si>
  <si>
    <t>67055</t>
  </si>
  <si>
    <t>GORIANO SICOLI</t>
  </si>
  <si>
    <t>066047</t>
  </si>
  <si>
    <t>INTRODACQUA</t>
  </si>
  <si>
    <t>066048</t>
  </si>
  <si>
    <t>L'AQUILA</t>
  </si>
  <si>
    <t>066049</t>
  </si>
  <si>
    <t>67100</t>
  </si>
  <si>
    <t>LECCE NEI MARSI</t>
  </si>
  <si>
    <t>066050</t>
  </si>
  <si>
    <t>LUCO DEI MARSI</t>
  </si>
  <si>
    <t>066051</t>
  </si>
  <si>
    <t>67056</t>
  </si>
  <si>
    <t>LUCOLI</t>
  </si>
  <si>
    <t>066052</t>
  </si>
  <si>
    <t>67045</t>
  </si>
  <si>
    <t>MAGLIANO DE' MARSI</t>
  </si>
  <si>
    <t>066053</t>
  </si>
  <si>
    <t>67062</t>
  </si>
  <si>
    <t>MASSA D'ALBE</t>
  </si>
  <si>
    <t>066054</t>
  </si>
  <si>
    <t>MOLINA ATERNO</t>
  </si>
  <si>
    <t>066055</t>
  </si>
  <si>
    <t>MONTEREALE</t>
  </si>
  <si>
    <t>066056</t>
  </si>
  <si>
    <t>67015</t>
  </si>
  <si>
    <t>MORINO</t>
  </si>
  <si>
    <t>066057</t>
  </si>
  <si>
    <t>NAVELLI</t>
  </si>
  <si>
    <t>066058</t>
  </si>
  <si>
    <t>OCRE</t>
  </si>
  <si>
    <t>066059</t>
  </si>
  <si>
    <t>OFENA</t>
  </si>
  <si>
    <t>066060</t>
  </si>
  <si>
    <t>67025</t>
  </si>
  <si>
    <t>OPI</t>
  </si>
  <si>
    <t>066061</t>
  </si>
  <si>
    <t>ORICOLA</t>
  </si>
  <si>
    <t>066062</t>
  </si>
  <si>
    <t>67063</t>
  </si>
  <si>
    <t>ORTONA DEI MARSI</t>
  </si>
  <si>
    <t>066063</t>
  </si>
  <si>
    <t>ORTUCCHIO</t>
  </si>
  <si>
    <t>066064</t>
  </si>
  <si>
    <t>OVINDOLI</t>
  </si>
  <si>
    <t>066065</t>
  </si>
  <si>
    <t>67046</t>
  </si>
  <si>
    <t>PACENTRO</t>
  </si>
  <si>
    <t>066066</t>
  </si>
  <si>
    <t>PERETO</t>
  </si>
  <si>
    <t>066067</t>
  </si>
  <si>
    <t>67064</t>
  </si>
  <si>
    <t>PESCASSEROLI</t>
  </si>
  <si>
    <t>066068</t>
  </si>
  <si>
    <t>67032</t>
  </si>
  <si>
    <t>PESCINA</t>
  </si>
  <si>
    <t>066069</t>
  </si>
  <si>
    <t>67057</t>
  </si>
  <si>
    <t>PESCOCOSTANZO</t>
  </si>
  <si>
    <t>066070</t>
  </si>
  <si>
    <t>67033</t>
  </si>
  <si>
    <t>PETTORANO SUL GIZIO</t>
  </si>
  <si>
    <t>066071</t>
  </si>
  <si>
    <t>67034</t>
  </si>
  <si>
    <t>PIZZOLI</t>
  </si>
  <si>
    <t>066072</t>
  </si>
  <si>
    <t>67017</t>
  </si>
  <si>
    <t>POGGIO PICENZE</t>
  </si>
  <si>
    <t>066073</t>
  </si>
  <si>
    <t>67026</t>
  </si>
  <si>
    <t>PRATA D'ANSIDONIA</t>
  </si>
  <si>
    <t>066074</t>
  </si>
  <si>
    <t>PRATOLA PELIGNA</t>
  </si>
  <si>
    <t>066075</t>
  </si>
  <si>
    <t>67035</t>
  </si>
  <si>
    <t>PREZZA</t>
  </si>
  <si>
    <t>066076</t>
  </si>
  <si>
    <t>RAIANO</t>
  </si>
  <si>
    <t>066077</t>
  </si>
  <si>
    <t>67027</t>
  </si>
  <si>
    <t>RIVISONDOLI</t>
  </si>
  <si>
    <t>066078</t>
  </si>
  <si>
    <t>67036</t>
  </si>
  <si>
    <t>ROCCACASALE</t>
  </si>
  <si>
    <t>066079</t>
  </si>
  <si>
    <t>ROCCA DI BOTTE</t>
  </si>
  <si>
    <t>066080</t>
  </si>
  <si>
    <t>67066</t>
  </si>
  <si>
    <t>ROCCA DI CAMBIO</t>
  </si>
  <si>
    <t>066081</t>
  </si>
  <si>
    <t>67047</t>
  </si>
  <si>
    <t>ROCCA DI MEZZO</t>
  </si>
  <si>
    <t>066082</t>
  </si>
  <si>
    <t>67048</t>
  </si>
  <si>
    <t>ROCCA PIA</t>
  </si>
  <si>
    <t>066083</t>
  </si>
  <si>
    <t>ROCCARASO</t>
  </si>
  <si>
    <t>066084</t>
  </si>
  <si>
    <t>67037</t>
  </si>
  <si>
    <t>SAN BENEDETTO DEI MARSI</t>
  </si>
  <si>
    <t>066085</t>
  </si>
  <si>
    <t>67058</t>
  </si>
  <si>
    <t>SAN BENEDETTO IN PERILLIS</t>
  </si>
  <si>
    <t>066086</t>
  </si>
  <si>
    <t>SAN DEMETRIO NE' VESTINI</t>
  </si>
  <si>
    <t>066087</t>
  </si>
  <si>
    <t>67028</t>
  </si>
  <si>
    <t>SAN PIO DELLE CAMERE</t>
  </si>
  <si>
    <t>066088</t>
  </si>
  <si>
    <t>SANTE MARIE</t>
  </si>
  <si>
    <t>066089</t>
  </si>
  <si>
    <t>67067</t>
  </si>
  <si>
    <t>SANT'EUSANIO FORCONESE</t>
  </si>
  <si>
    <t>066090</t>
  </si>
  <si>
    <t>SANTO STEFANO DI SESSANIO</t>
  </si>
  <si>
    <t>066091</t>
  </si>
  <si>
    <t>SAN VINCENZO VALLE ROVETO</t>
  </si>
  <si>
    <t>066092</t>
  </si>
  <si>
    <t>SCANNO</t>
  </si>
  <si>
    <t>066093</t>
  </si>
  <si>
    <t>67038</t>
  </si>
  <si>
    <t>SCONTRONE</t>
  </si>
  <si>
    <t>066094</t>
  </si>
  <si>
    <t>SCOPPITO</t>
  </si>
  <si>
    <t>066095</t>
  </si>
  <si>
    <t>67019</t>
  </si>
  <si>
    <t>SCURCOLA MARSICANA</t>
  </si>
  <si>
    <t>066096</t>
  </si>
  <si>
    <t>67068</t>
  </si>
  <si>
    <t>SECINARO</t>
  </si>
  <si>
    <t>066097</t>
  </si>
  <si>
    <t>67029</t>
  </si>
  <si>
    <t>SULMONA</t>
  </si>
  <si>
    <t>066098</t>
  </si>
  <si>
    <t>67039</t>
  </si>
  <si>
    <t>TAGLIACOZZO</t>
  </si>
  <si>
    <t>066099</t>
  </si>
  <si>
    <t>67069</t>
  </si>
  <si>
    <t>TIONE DEGLI ABRUZZI</t>
  </si>
  <si>
    <t>066100</t>
  </si>
  <si>
    <t>TORNIMPARTE</t>
  </si>
  <si>
    <t>066101</t>
  </si>
  <si>
    <t>67049</t>
  </si>
  <si>
    <t>TRASACCO</t>
  </si>
  <si>
    <t>066102</t>
  </si>
  <si>
    <t>67059</t>
  </si>
  <si>
    <t>VILLALAGO</t>
  </si>
  <si>
    <t>066103</t>
  </si>
  <si>
    <t>VILLA SANTA LUCIA DEGLI ABRUZZI</t>
  </si>
  <si>
    <t>066104</t>
  </si>
  <si>
    <t>VILLA SANT'ANGELO</t>
  </si>
  <si>
    <t>066105</t>
  </si>
  <si>
    <t>VILLAVALLELONGA</t>
  </si>
  <si>
    <t>066106</t>
  </si>
  <si>
    <t>VILLETTA BARREA</t>
  </si>
  <si>
    <t>066107</t>
  </si>
  <si>
    <t>VITTORITO</t>
  </si>
  <si>
    <t>066108</t>
  </si>
  <si>
    <t>ALBA ADRIATICA</t>
  </si>
  <si>
    <t>067001</t>
  </si>
  <si>
    <t>TE</t>
  </si>
  <si>
    <t>64011</t>
  </si>
  <si>
    <t>ANCARANO</t>
  </si>
  <si>
    <t>067002</t>
  </si>
  <si>
    <t>64010</t>
  </si>
  <si>
    <t>ARSITA</t>
  </si>
  <si>
    <t>067003</t>
  </si>
  <si>
    <t>64031</t>
  </si>
  <si>
    <t>ATRI</t>
  </si>
  <si>
    <t>067004</t>
  </si>
  <si>
    <t>64032</t>
  </si>
  <si>
    <t>BASCIANO</t>
  </si>
  <si>
    <t>067005</t>
  </si>
  <si>
    <t>64030</t>
  </si>
  <si>
    <t>BELLANTE</t>
  </si>
  <si>
    <t>067006</t>
  </si>
  <si>
    <t>64020</t>
  </si>
  <si>
    <t>BISENTI</t>
  </si>
  <si>
    <t>067007</t>
  </si>
  <si>
    <t>64033</t>
  </si>
  <si>
    <t>CAMPLI</t>
  </si>
  <si>
    <t>067008</t>
  </si>
  <si>
    <t>64012</t>
  </si>
  <si>
    <t>CANZANO</t>
  </si>
  <si>
    <t>067009</t>
  </si>
  <si>
    <t>CASTEL CASTAGNA</t>
  </si>
  <si>
    <t>067010</t>
  </si>
  <si>
    <t>CASTELLALTO</t>
  </si>
  <si>
    <t>067011</t>
  </si>
  <si>
    <t>CASTELLI</t>
  </si>
  <si>
    <t>067012</t>
  </si>
  <si>
    <t>64041</t>
  </si>
  <si>
    <t>CASTIGLIONE MESSER RAIMONDO</t>
  </si>
  <si>
    <t>067013</t>
  </si>
  <si>
    <t>64034</t>
  </si>
  <si>
    <t>CASTILENTI</t>
  </si>
  <si>
    <t>067014</t>
  </si>
  <si>
    <t>64035</t>
  </si>
  <si>
    <t>CELLINO ATTANASIO</t>
  </si>
  <si>
    <t>067015</t>
  </si>
  <si>
    <t>64036</t>
  </si>
  <si>
    <t>CERMIGNANO</t>
  </si>
  <si>
    <t>067016</t>
  </si>
  <si>
    <t>64037</t>
  </si>
  <si>
    <t>CIVITELLA DEL TRONTO</t>
  </si>
  <si>
    <t>067017</t>
  </si>
  <si>
    <t>COLLEDARA</t>
  </si>
  <si>
    <t>067018</t>
  </si>
  <si>
    <t>64042</t>
  </si>
  <si>
    <t>COLONNELLA</t>
  </si>
  <si>
    <t>067019</t>
  </si>
  <si>
    <t>CONTROGUERRA</t>
  </si>
  <si>
    <t>067020</t>
  </si>
  <si>
    <t>CORROPOLI</t>
  </si>
  <si>
    <t>067021</t>
  </si>
  <si>
    <t>64013</t>
  </si>
  <si>
    <t>CORTINO</t>
  </si>
  <si>
    <t>067022</t>
  </si>
  <si>
    <t>64040</t>
  </si>
  <si>
    <t>CROGNALETO</t>
  </si>
  <si>
    <t>067023</t>
  </si>
  <si>
    <t>64043</t>
  </si>
  <si>
    <t>FANO ADRIANO</t>
  </si>
  <si>
    <t>067024</t>
  </si>
  <si>
    <t>64044</t>
  </si>
  <si>
    <t>GIULIANOVA</t>
  </si>
  <si>
    <t>067025</t>
  </si>
  <si>
    <t>64021</t>
  </si>
  <si>
    <t>ISOLA DEL GRAN SASSO D'ITALIA</t>
  </si>
  <si>
    <t>067026</t>
  </si>
  <si>
    <t>64045</t>
  </si>
  <si>
    <t>MONTEFINO</t>
  </si>
  <si>
    <t>067027</t>
  </si>
  <si>
    <t>MONTORIO AL VOMANO</t>
  </si>
  <si>
    <t>067028</t>
  </si>
  <si>
    <t>64046</t>
  </si>
  <si>
    <t>MORRO D'ORO</t>
  </si>
  <si>
    <t>067029</t>
  </si>
  <si>
    <t>MOSCIANO SANT'ANGELO</t>
  </si>
  <si>
    <t>067030</t>
  </si>
  <si>
    <t>64023</t>
  </si>
  <si>
    <t>NERETO</t>
  </si>
  <si>
    <t>067031</t>
  </si>
  <si>
    <t>64015</t>
  </si>
  <si>
    <t>NOTARESCO</t>
  </si>
  <si>
    <t>067032</t>
  </si>
  <si>
    <t>64024</t>
  </si>
  <si>
    <t>PENNA SANT'ANDREA</t>
  </si>
  <si>
    <t>067033</t>
  </si>
  <si>
    <t>64039</t>
  </si>
  <si>
    <t>PIETRACAMELA</t>
  </si>
  <si>
    <t>067034</t>
  </si>
  <si>
    <t>64047</t>
  </si>
  <si>
    <t>PINETO</t>
  </si>
  <si>
    <t>067035</t>
  </si>
  <si>
    <t>64025</t>
  </si>
  <si>
    <t>ROCCA SANTA MARIA</t>
  </si>
  <si>
    <t>067036</t>
  </si>
  <si>
    <t>ROSETO DEGLI ABRUZZI</t>
  </si>
  <si>
    <t>067037</t>
  </si>
  <si>
    <t>64026</t>
  </si>
  <si>
    <t>SANT'EGIDIO ALLA VIBRATA</t>
  </si>
  <si>
    <t>067038</t>
  </si>
  <si>
    <t>64016</t>
  </si>
  <si>
    <t>SANT'OMERO</t>
  </si>
  <si>
    <t>067039</t>
  </si>
  <si>
    <t>64027</t>
  </si>
  <si>
    <t>SILVI</t>
  </si>
  <si>
    <t>067040</t>
  </si>
  <si>
    <t>64028</t>
  </si>
  <si>
    <t>TERAMO</t>
  </si>
  <si>
    <t>067041</t>
  </si>
  <si>
    <t>64100</t>
  </si>
  <si>
    <t>TORANO NUOVO</t>
  </si>
  <si>
    <t>067042</t>
  </si>
  <si>
    <t>TORRICELLA SICURA</t>
  </si>
  <si>
    <t>067043</t>
  </si>
  <si>
    <t>TORTORETO</t>
  </si>
  <si>
    <t>067044</t>
  </si>
  <si>
    <t>64018</t>
  </si>
  <si>
    <t>TOSSICIA</t>
  </si>
  <si>
    <t>067045</t>
  </si>
  <si>
    <t>64049</t>
  </si>
  <si>
    <t>VALLE CASTELLANA</t>
  </si>
  <si>
    <t>067046</t>
  </si>
  <si>
    <t>MARTINSICURO</t>
  </si>
  <si>
    <t>067047</t>
  </si>
  <si>
    <t>64014</t>
  </si>
  <si>
    <t>ABBATEGGIO</t>
  </si>
  <si>
    <t>068001</t>
  </si>
  <si>
    <t>PE</t>
  </si>
  <si>
    <t>65020</t>
  </si>
  <si>
    <t>ALANNO</t>
  </si>
  <si>
    <t>068002</t>
  </si>
  <si>
    <t>BOLOGNANO</t>
  </si>
  <si>
    <t>068003</t>
  </si>
  <si>
    <t>BRITTOLI</t>
  </si>
  <si>
    <t>068004</t>
  </si>
  <si>
    <t>65010</t>
  </si>
  <si>
    <t>BUSSI SUL TIRINO</t>
  </si>
  <si>
    <t>068005</t>
  </si>
  <si>
    <t>65022</t>
  </si>
  <si>
    <t>CAPPELLE SUL TAVO</t>
  </si>
  <si>
    <t>068006</t>
  </si>
  <si>
    <t>CARAMANICO TERME</t>
  </si>
  <si>
    <t>068007</t>
  </si>
  <si>
    <t>65023</t>
  </si>
  <si>
    <t>CARPINETO DELLA NORA</t>
  </si>
  <si>
    <t>068008</t>
  </si>
  <si>
    <t>CASTIGLIONE A CASAURIA</t>
  </si>
  <si>
    <t>068009</t>
  </si>
  <si>
    <t>CATIGNANO</t>
  </si>
  <si>
    <t>068010</t>
  </si>
  <si>
    <t>65011</t>
  </si>
  <si>
    <t>CEPAGATTI</t>
  </si>
  <si>
    <t>068011</t>
  </si>
  <si>
    <t>65012</t>
  </si>
  <si>
    <t>CITTÀ SANT'ANGELO</t>
  </si>
  <si>
    <t>068012</t>
  </si>
  <si>
    <t>65013</t>
  </si>
  <si>
    <t>CIVITAQUANA</t>
  </si>
  <si>
    <t>068013</t>
  </si>
  <si>
    <t>CIVITELLA CASANOVA</t>
  </si>
  <si>
    <t>068014</t>
  </si>
  <si>
    <t>COLLECORVINO</t>
  </si>
  <si>
    <t>068015</t>
  </si>
  <si>
    <t>CORVARA</t>
  </si>
  <si>
    <t>068016</t>
  </si>
  <si>
    <t>CUGNOLI</t>
  </si>
  <si>
    <t>068017</t>
  </si>
  <si>
    <t>ELICE</t>
  </si>
  <si>
    <t>068018</t>
  </si>
  <si>
    <t>FARINDOLA</t>
  </si>
  <si>
    <t>068019</t>
  </si>
  <si>
    <t>LETTOMANOPPELLO</t>
  </si>
  <si>
    <t>068020</t>
  </si>
  <si>
    <t>LORETO APRUTINO</t>
  </si>
  <si>
    <t>068021</t>
  </si>
  <si>
    <t>65014</t>
  </si>
  <si>
    <t>MANOPPELLO</t>
  </si>
  <si>
    <t>068022</t>
  </si>
  <si>
    <t>65024</t>
  </si>
  <si>
    <t>MONTEBELLO DI BERTONA</t>
  </si>
  <si>
    <t>068023</t>
  </si>
  <si>
    <t>MONTESILVANO</t>
  </si>
  <si>
    <t>068024</t>
  </si>
  <si>
    <t>65015</t>
  </si>
  <si>
    <t>MOSCUFO</t>
  </si>
  <si>
    <t>068025</t>
  </si>
  <si>
    <t>NOCCIANO</t>
  </si>
  <si>
    <t>068026</t>
  </si>
  <si>
    <t>PENNE</t>
  </si>
  <si>
    <t>068027</t>
  </si>
  <si>
    <t>65017</t>
  </si>
  <si>
    <t>PESCARA</t>
  </si>
  <si>
    <t>068028</t>
  </si>
  <si>
    <t>6512x</t>
  </si>
  <si>
    <t>PESCOSANSONESCO</t>
  </si>
  <si>
    <t>068029</t>
  </si>
  <si>
    <t>PIANELLA</t>
  </si>
  <si>
    <t>068030</t>
  </si>
  <si>
    <t>65019</t>
  </si>
  <si>
    <t>PICCIANO</t>
  </si>
  <si>
    <t>068031</t>
  </si>
  <si>
    <t>PIETRANICO</t>
  </si>
  <si>
    <t>068032</t>
  </si>
  <si>
    <t>POPOLI</t>
  </si>
  <si>
    <t>068033</t>
  </si>
  <si>
    <t>65026</t>
  </si>
  <si>
    <t>ROCCAMORICE</t>
  </si>
  <si>
    <t>068034</t>
  </si>
  <si>
    <t>ROSCIANO</t>
  </si>
  <si>
    <t>068035</t>
  </si>
  <si>
    <t>SALLE</t>
  </si>
  <si>
    <t>068036</t>
  </si>
  <si>
    <t>SANT'EUFEMIA A MAIELLA</t>
  </si>
  <si>
    <t>068037</t>
  </si>
  <si>
    <t>SAN VALENTINO IN ABRUZZO CITERIORE</t>
  </si>
  <si>
    <t>068038</t>
  </si>
  <si>
    <t>SCAFA</t>
  </si>
  <si>
    <t>068039</t>
  </si>
  <si>
    <t>65027</t>
  </si>
  <si>
    <t>SERRAMONACESCA</t>
  </si>
  <si>
    <t>068040</t>
  </si>
  <si>
    <t>65025</t>
  </si>
  <si>
    <t>SPOLTORE</t>
  </si>
  <si>
    <t>068041</t>
  </si>
  <si>
    <t>TOCCO DA CASAURIA</t>
  </si>
  <si>
    <t>068042</t>
  </si>
  <si>
    <t>65028</t>
  </si>
  <si>
    <t>TORRE DE' PASSERI</t>
  </si>
  <si>
    <t>068043</t>
  </si>
  <si>
    <t>65029</t>
  </si>
  <si>
    <t>TURRIVALIGNANI</t>
  </si>
  <si>
    <t>068044</t>
  </si>
  <si>
    <t>VICOLI</t>
  </si>
  <si>
    <t>068045</t>
  </si>
  <si>
    <t>VILLA CELIERA</t>
  </si>
  <si>
    <t>068046</t>
  </si>
  <si>
    <t>ALTINO</t>
  </si>
  <si>
    <t>069001</t>
  </si>
  <si>
    <t>CH</t>
  </si>
  <si>
    <t>66040</t>
  </si>
  <si>
    <t>ARCHI</t>
  </si>
  <si>
    <t>069002</t>
  </si>
  <si>
    <t>66044</t>
  </si>
  <si>
    <t>ARI</t>
  </si>
  <si>
    <t>069003</t>
  </si>
  <si>
    <t>66010</t>
  </si>
  <si>
    <t>ARIELLI</t>
  </si>
  <si>
    <t>069004</t>
  </si>
  <si>
    <t>66030</t>
  </si>
  <si>
    <t>ATESSA</t>
  </si>
  <si>
    <t>069005</t>
  </si>
  <si>
    <t>66041</t>
  </si>
  <si>
    <t>BOMBA</t>
  </si>
  <si>
    <t>069006</t>
  </si>
  <si>
    <t>66042</t>
  </si>
  <si>
    <t>BORRELLO</t>
  </si>
  <si>
    <t>069007</t>
  </si>
  <si>
    <t>BUCCHIANICO</t>
  </si>
  <si>
    <t>069008</t>
  </si>
  <si>
    <t>66011</t>
  </si>
  <si>
    <t>MONTEBELLO SUL SANGRO</t>
  </si>
  <si>
    <t>069009</t>
  </si>
  <si>
    <t>CANOSA SANNITA</t>
  </si>
  <si>
    <t>069010</t>
  </si>
  <si>
    <t>CARPINETO SINELLO</t>
  </si>
  <si>
    <t>069011</t>
  </si>
  <si>
    <t>CARUNCHIO</t>
  </si>
  <si>
    <t>069012</t>
  </si>
  <si>
    <t>66050</t>
  </si>
  <si>
    <t>CASACANDITELLA</t>
  </si>
  <si>
    <t>069013</t>
  </si>
  <si>
    <t>CASALANGUIDA</t>
  </si>
  <si>
    <t>069014</t>
  </si>
  <si>
    <t>66031</t>
  </si>
  <si>
    <t>CASALBORDINO</t>
  </si>
  <si>
    <t>069015</t>
  </si>
  <si>
    <t>66021</t>
  </si>
  <si>
    <t>CASALINCONTRADA</t>
  </si>
  <si>
    <t>069016</t>
  </si>
  <si>
    <t>66012</t>
  </si>
  <si>
    <t>CASOLI</t>
  </si>
  <si>
    <t>069017</t>
  </si>
  <si>
    <t>66043</t>
  </si>
  <si>
    <t>CASTEL FRENTANO</t>
  </si>
  <si>
    <t>069018</t>
  </si>
  <si>
    <t>66032</t>
  </si>
  <si>
    <t>CASTELGUIDONE</t>
  </si>
  <si>
    <t>069019</t>
  </si>
  <si>
    <t>CASTIGLIONE MESSER MARINO</t>
  </si>
  <si>
    <t>069020</t>
  </si>
  <si>
    <t>66033</t>
  </si>
  <si>
    <t>CELENZA SUL TRIGNO</t>
  </si>
  <si>
    <t>069021</t>
  </si>
  <si>
    <t>CHIETI</t>
  </si>
  <si>
    <t>069022</t>
  </si>
  <si>
    <t>66100</t>
  </si>
  <si>
    <t>CIVITALUPARELLA</t>
  </si>
  <si>
    <t>069023</t>
  </si>
  <si>
    <t>CIVITELLA MESSER RAIMONDO</t>
  </si>
  <si>
    <t>069024</t>
  </si>
  <si>
    <t>COLLEDIMACINE</t>
  </si>
  <si>
    <t>069025</t>
  </si>
  <si>
    <t>COLLEDIMEZZO</t>
  </si>
  <si>
    <t>069026</t>
  </si>
  <si>
    <t>CRECCHIO</t>
  </si>
  <si>
    <t>069027</t>
  </si>
  <si>
    <t>66014</t>
  </si>
  <si>
    <t>CUPELLO</t>
  </si>
  <si>
    <t>069028</t>
  </si>
  <si>
    <t>66051</t>
  </si>
  <si>
    <t>DOGLIOLA</t>
  </si>
  <si>
    <t>069029</t>
  </si>
  <si>
    <t>FARA FILIORUM PETRI</t>
  </si>
  <si>
    <t>069030</t>
  </si>
  <si>
    <t>FARA SAN MARTINO</t>
  </si>
  <si>
    <t>069031</t>
  </si>
  <si>
    <t>66015</t>
  </si>
  <si>
    <t>FILETTO</t>
  </si>
  <si>
    <t>069032</t>
  </si>
  <si>
    <t>FOSSACESIA</t>
  </si>
  <si>
    <t>069033</t>
  </si>
  <si>
    <t>66022</t>
  </si>
  <si>
    <t>FRAINE</t>
  </si>
  <si>
    <t>069034</t>
  </si>
  <si>
    <t>FRANCAVILLA AL MARE</t>
  </si>
  <si>
    <t>069035</t>
  </si>
  <si>
    <t>66023</t>
  </si>
  <si>
    <t>FRESAGRANDINARIA</t>
  </si>
  <si>
    <t>069036</t>
  </si>
  <si>
    <t>FRISA</t>
  </si>
  <si>
    <t>069037</t>
  </si>
  <si>
    <t>FURCI</t>
  </si>
  <si>
    <t>069038</t>
  </si>
  <si>
    <t>GAMBERALE</t>
  </si>
  <si>
    <t>069039</t>
  </si>
  <si>
    <t>GESSOPALENA</t>
  </si>
  <si>
    <t>069040</t>
  </si>
  <si>
    <t>GISSI</t>
  </si>
  <si>
    <t>069041</t>
  </si>
  <si>
    <t>66052</t>
  </si>
  <si>
    <t>GIULIANO TEATINO</t>
  </si>
  <si>
    <t>069042</t>
  </si>
  <si>
    <t>GUARDIAGRELE</t>
  </si>
  <si>
    <t>069043</t>
  </si>
  <si>
    <t>66016</t>
  </si>
  <si>
    <t>GUILMI</t>
  </si>
  <si>
    <t>069044</t>
  </si>
  <si>
    <t>LAMA DEI PELIGNI</t>
  </si>
  <si>
    <t>069045</t>
  </si>
  <si>
    <t>LANCIANO</t>
  </si>
  <si>
    <t>069046</t>
  </si>
  <si>
    <t>66034</t>
  </si>
  <si>
    <t>LENTELLA</t>
  </si>
  <si>
    <t>069047</t>
  </si>
  <si>
    <t>LETTOPALENA</t>
  </si>
  <si>
    <t>069048</t>
  </si>
  <si>
    <t>LISCIA</t>
  </si>
  <si>
    <t>069049</t>
  </si>
  <si>
    <t>MIGLIANICO</t>
  </si>
  <si>
    <t>069050</t>
  </si>
  <si>
    <t>MONTAZZOLI</t>
  </si>
  <si>
    <t>069051</t>
  </si>
  <si>
    <t>MONTEFERRANTE</t>
  </si>
  <si>
    <t>069052</t>
  </si>
  <si>
    <t>MONTELAPIANO</t>
  </si>
  <si>
    <t>069053</t>
  </si>
  <si>
    <t>MONTENERODOMO</t>
  </si>
  <si>
    <t>069054</t>
  </si>
  <si>
    <t>MONTEODORISIO</t>
  </si>
  <si>
    <t>069055</t>
  </si>
  <si>
    <t>MOZZAGROGNA</t>
  </si>
  <si>
    <t>069056</t>
  </si>
  <si>
    <t>ORSOGNA</t>
  </si>
  <si>
    <t>069057</t>
  </si>
  <si>
    <t>66036</t>
  </si>
  <si>
    <t>ORTONA</t>
  </si>
  <si>
    <t>069058</t>
  </si>
  <si>
    <t>66026</t>
  </si>
  <si>
    <t>PAGLIETA</t>
  </si>
  <si>
    <t>069059</t>
  </si>
  <si>
    <t>66020</t>
  </si>
  <si>
    <t>PALENA</t>
  </si>
  <si>
    <t>069060</t>
  </si>
  <si>
    <t>66017</t>
  </si>
  <si>
    <t>PALMOLI</t>
  </si>
  <si>
    <t>069061</t>
  </si>
  <si>
    <t>PALOMBARO</t>
  </si>
  <si>
    <t>069062</t>
  </si>
  <si>
    <t>PENNADOMO</t>
  </si>
  <si>
    <t>069063</t>
  </si>
  <si>
    <t>PENNAPIEDIMONTE</t>
  </si>
  <si>
    <t>069064</t>
  </si>
  <si>
    <t>PERANO</t>
  </si>
  <si>
    <t>069065</t>
  </si>
  <si>
    <t>PIZZOFERRATO</t>
  </si>
  <si>
    <t>069066</t>
  </si>
  <si>
    <t>POGGIOFIORITO</t>
  </si>
  <si>
    <t>069067</t>
  </si>
  <si>
    <t>POLLUTRI</t>
  </si>
  <si>
    <t>069068</t>
  </si>
  <si>
    <t>PRETORO</t>
  </si>
  <si>
    <t>069069</t>
  </si>
  <si>
    <t>QUADRI</t>
  </si>
  <si>
    <t>069070</t>
  </si>
  <si>
    <t>RAPINO</t>
  </si>
  <si>
    <t>069071</t>
  </si>
  <si>
    <t>RIPA TEATINA</t>
  </si>
  <si>
    <t>069072</t>
  </si>
  <si>
    <t>ROCCAMONTEPIANO</t>
  </si>
  <si>
    <t>069073</t>
  </si>
  <si>
    <t>ROCCA SAN GIOVANNI</t>
  </si>
  <si>
    <t>069074</t>
  </si>
  <si>
    <t>ROCCASCALEGNA</t>
  </si>
  <si>
    <t>069075</t>
  </si>
  <si>
    <t>ROCCASPINALVETI</t>
  </si>
  <si>
    <t>069076</t>
  </si>
  <si>
    <t>ROIO DEL SANGRO</t>
  </si>
  <si>
    <t>069077</t>
  </si>
  <si>
    <t>ROSELLO</t>
  </si>
  <si>
    <t>069078</t>
  </si>
  <si>
    <t>SAN BUONO</t>
  </si>
  <si>
    <t>069079</t>
  </si>
  <si>
    <t>SAN GIOVANNI LIPIONI</t>
  </si>
  <si>
    <t>069080</t>
  </si>
  <si>
    <t>SAN GIOVANNI TEATINO</t>
  </si>
  <si>
    <t>069081</t>
  </si>
  <si>
    <t>SAN MARTINO SULLA MARRUCINA</t>
  </si>
  <si>
    <t>069082</t>
  </si>
  <si>
    <t>SAN SALVO</t>
  </si>
  <si>
    <t>069083</t>
  </si>
  <si>
    <t>SANTA MARIA IMBARO</t>
  </si>
  <si>
    <t>069084</t>
  </si>
  <si>
    <t>SANT'EUSANIO DEL SANGRO</t>
  </si>
  <si>
    <t>069085</t>
  </si>
  <si>
    <t>66037</t>
  </si>
  <si>
    <t>SAN VITO CHIETINO</t>
  </si>
  <si>
    <t>069086</t>
  </si>
  <si>
    <t>66038</t>
  </si>
  <si>
    <t>SCERNI</t>
  </si>
  <si>
    <t>069087</t>
  </si>
  <si>
    <t>SCHIAVI DI ABRUZZO</t>
  </si>
  <si>
    <t>069088</t>
  </si>
  <si>
    <t>66045</t>
  </si>
  <si>
    <t>TARANTA PELIGNA</t>
  </si>
  <si>
    <t>069089</t>
  </si>
  <si>
    <t>66018</t>
  </si>
  <si>
    <t>TOLLO</t>
  </si>
  <si>
    <t>069090</t>
  </si>
  <si>
    <t>TORINO DI SANGRO</t>
  </si>
  <si>
    <t>069091</t>
  </si>
  <si>
    <t>TORNARECCIO</t>
  </si>
  <si>
    <t>069092</t>
  </si>
  <si>
    <t>66046</t>
  </si>
  <si>
    <t>TORREBRUNA</t>
  </si>
  <si>
    <t>069093</t>
  </si>
  <si>
    <t>TORREVECCHIA TEATINA</t>
  </si>
  <si>
    <t>069094</t>
  </si>
  <si>
    <t>TORRICELLA PELIGNA</t>
  </si>
  <si>
    <t>069095</t>
  </si>
  <si>
    <t>66019</t>
  </si>
  <si>
    <t>TREGLIO</t>
  </si>
  <si>
    <t>069096</t>
  </si>
  <si>
    <t>TUFILLO</t>
  </si>
  <si>
    <t>069097</t>
  </si>
  <si>
    <t>VACRI</t>
  </si>
  <si>
    <t>069098</t>
  </si>
  <si>
    <t>VASTO</t>
  </si>
  <si>
    <t>069099</t>
  </si>
  <si>
    <t>66054</t>
  </si>
  <si>
    <t>VILLALFONSINA</t>
  </si>
  <si>
    <t>069100</t>
  </si>
  <si>
    <t>VILLAMAGNA</t>
  </si>
  <si>
    <t>069101</t>
  </si>
  <si>
    <t>VILLA SANTA MARIA</t>
  </si>
  <si>
    <t>069102</t>
  </si>
  <si>
    <t>66047</t>
  </si>
  <si>
    <t>PIETRAFERRAZZANA</t>
  </si>
  <si>
    <t>069103</t>
  </si>
  <si>
    <t>FALLO</t>
  </si>
  <si>
    <t>069104</t>
  </si>
  <si>
    <t>ACQUAVIVA COLLECROCE</t>
  </si>
  <si>
    <t>070001</t>
  </si>
  <si>
    <t>CB</t>
  </si>
  <si>
    <t>86030</t>
  </si>
  <si>
    <t>BARANELLO</t>
  </si>
  <si>
    <t>070002</t>
  </si>
  <si>
    <t>86011</t>
  </si>
  <si>
    <t>BOJANO</t>
  </si>
  <si>
    <t>070003</t>
  </si>
  <si>
    <t>86021</t>
  </si>
  <si>
    <t>BONEFRO</t>
  </si>
  <si>
    <t>070004</t>
  </si>
  <si>
    <t>86041</t>
  </si>
  <si>
    <t>BUSSO</t>
  </si>
  <si>
    <t>070005</t>
  </si>
  <si>
    <t>86010</t>
  </si>
  <si>
    <t>CAMPOBASSO</t>
  </si>
  <si>
    <t>070006</t>
  </si>
  <si>
    <t>86100</t>
  </si>
  <si>
    <t>CAMPOCHIARO</t>
  </si>
  <si>
    <t>070007</t>
  </si>
  <si>
    <t>86020</t>
  </si>
  <si>
    <t>CAMPODIPIETRA</t>
  </si>
  <si>
    <t>070008</t>
  </si>
  <si>
    <t>CAMPOLIETO</t>
  </si>
  <si>
    <t>070009</t>
  </si>
  <si>
    <t>86040</t>
  </si>
  <si>
    <t>CAMPOMARINO</t>
  </si>
  <si>
    <t>070010</t>
  </si>
  <si>
    <t>86042</t>
  </si>
  <si>
    <t>CASACALENDA</t>
  </si>
  <si>
    <t>070011</t>
  </si>
  <si>
    <t>86043</t>
  </si>
  <si>
    <t>CASALCIPRANO</t>
  </si>
  <si>
    <t>070012</t>
  </si>
  <si>
    <t>CASTELBOTTACCIO</t>
  </si>
  <si>
    <t>070013</t>
  </si>
  <si>
    <t>CASTELLINO DEL BIFERNO</t>
  </si>
  <si>
    <t>070014</t>
  </si>
  <si>
    <t>CASTELMAURO</t>
  </si>
  <si>
    <t>070015</t>
  </si>
  <si>
    <t>86031</t>
  </si>
  <si>
    <t>CASTROPIGNANO</t>
  </si>
  <si>
    <t>070016</t>
  </si>
  <si>
    <t>CERCEMAGGIORE</t>
  </si>
  <si>
    <t>070017</t>
  </si>
  <si>
    <t>86012</t>
  </si>
  <si>
    <t>CERCEPICCOLA</t>
  </si>
  <si>
    <t>070018</t>
  </si>
  <si>
    <t>CIVITACAMPOMARANO</t>
  </si>
  <si>
    <t>070019</t>
  </si>
  <si>
    <t>COLLE D'ANCHISE</t>
  </si>
  <si>
    <t>070020</t>
  </si>
  <si>
    <t>COLLETORTO</t>
  </si>
  <si>
    <t>070021</t>
  </si>
  <si>
    <t>86044</t>
  </si>
  <si>
    <t>DURONIA</t>
  </si>
  <si>
    <t>070022</t>
  </si>
  <si>
    <t>FERRAZZANO</t>
  </si>
  <si>
    <t>070023</t>
  </si>
  <si>
    <t>FOSSALTO</t>
  </si>
  <si>
    <t>070024</t>
  </si>
  <si>
    <t>GAMBATESA</t>
  </si>
  <si>
    <t>070025</t>
  </si>
  <si>
    <t>86013</t>
  </si>
  <si>
    <t>GILDONE</t>
  </si>
  <si>
    <t>070026</t>
  </si>
  <si>
    <t>GUARDIALFIERA</t>
  </si>
  <si>
    <t>070027</t>
  </si>
  <si>
    <t>GUARDIAREGIA</t>
  </si>
  <si>
    <t>070028</t>
  </si>
  <si>
    <t>86014</t>
  </si>
  <si>
    <t>GUGLIONESI</t>
  </si>
  <si>
    <t>070029</t>
  </si>
  <si>
    <t>86034</t>
  </si>
  <si>
    <t>JELSI</t>
  </si>
  <si>
    <t>070030</t>
  </si>
  <si>
    <t>86015</t>
  </si>
  <si>
    <t>LARINO</t>
  </si>
  <si>
    <t>070031</t>
  </si>
  <si>
    <t>86035</t>
  </si>
  <si>
    <t>LIMOSANO</t>
  </si>
  <si>
    <t>070032</t>
  </si>
  <si>
    <t>86022</t>
  </si>
  <si>
    <t>LUCITO</t>
  </si>
  <si>
    <t>070033</t>
  </si>
  <si>
    <t>LUPARA</t>
  </si>
  <si>
    <t>070034</t>
  </si>
  <si>
    <t>MACCHIA VALFORTORE</t>
  </si>
  <si>
    <t>070035</t>
  </si>
  <si>
    <t>MAFALDA</t>
  </si>
  <si>
    <t>070036</t>
  </si>
  <si>
    <t>MATRICE</t>
  </si>
  <si>
    <t>070037</t>
  </si>
  <si>
    <t>MIRABELLO SANNITICO</t>
  </si>
  <si>
    <t>070038</t>
  </si>
  <si>
    <t>MOLISE</t>
  </si>
  <si>
    <t>070039</t>
  </si>
  <si>
    <t>MONACILIONI</t>
  </si>
  <si>
    <t>070040</t>
  </si>
  <si>
    <t>MONTAGANO</t>
  </si>
  <si>
    <t>070041</t>
  </si>
  <si>
    <t>86023</t>
  </si>
  <si>
    <t>MONTECILFONE</t>
  </si>
  <si>
    <t>070042</t>
  </si>
  <si>
    <t>86032</t>
  </si>
  <si>
    <t>MONTEFALCONE NEL SANNIO</t>
  </si>
  <si>
    <t>070043</t>
  </si>
  <si>
    <t>86033</t>
  </si>
  <si>
    <t>MONTELONGO</t>
  </si>
  <si>
    <t>070044</t>
  </si>
  <si>
    <t>MONTEMITRO</t>
  </si>
  <si>
    <t>070045</t>
  </si>
  <si>
    <t>MONTENERO DI BISACCIA</t>
  </si>
  <si>
    <t>070046</t>
  </si>
  <si>
    <t>86036</t>
  </si>
  <si>
    <t>MONTORIO NEI FRENTANI</t>
  </si>
  <si>
    <t>070047</t>
  </si>
  <si>
    <t>MORRONE DEL SANNIO</t>
  </si>
  <si>
    <t>070048</t>
  </si>
  <si>
    <t>ORATINO</t>
  </si>
  <si>
    <t>070049</t>
  </si>
  <si>
    <t>PALATA</t>
  </si>
  <si>
    <t>070050</t>
  </si>
  <si>
    <t>86037</t>
  </si>
  <si>
    <t>PETACCIATO</t>
  </si>
  <si>
    <t>070051</t>
  </si>
  <si>
    <t>86038</t>
  </si>
  <si>
    <t>PETRELLA TIFERNINA</t>
  </si>
  <si>
    <t>070052</t>
  </si>
  <si>
    <t>86024</t>
  </si>
  <si>
    <t>PIETRACATELLA</t>
  </si>
  <si>
    <t>070053</t>
  </si>
  <si>
    <t>PIETRACUPA</t>
  </si>
  <si>
    <t>070054</t>
  </si>
  <si>
    <t>PORTOCANNONE</t>
  </si>
  <si>
    <t>070055</t>
  </si>
  <si>
    <t>86045</t>
  </si>
  <si>
    <t>PROVVIDENTI</t>
  </si>
  <si>
    <t>070056</t>
  </si>
  <si>
    <t>RICCIA</t>
  </si>
  <si>
    <t>070057</t>
  </si>
  <si>
    <t>86016</t>
  </si>
  <si>
    <t>RIPABOTTONI</t>
  </si>
  <si>
    <t>070058</t>
  </si>
  <si>
    <t>RIPALIMOSANI</t>
  </si>
  <si>
    <t>070059</t>
  </si>
  <si>
    <t>86025</t>
  </si>
  <si>
    <t>ROCCAVIVARA</t>
  </si>
  <si>
    <t>070060</t>
  </si>
  <si>
    <t>ROTELLO</t>
  </si>
  <si>
    <t>070061</t>
  </si>
  <si>
    <t>SALCITO</t>
  </si>
  <si>
    <t>070062</t>
  </si>
  <si>
    <t>86026</t>
  </si>
  <si>
    <t>SAN BIASE</t>
  </si>
  <si>
    <t>070063</t>
  </si>
  <si>
    <t>SAN FELICE DEL MOLISE</t>
  </si>
  <si>
    <t>070064</t>
  </si>
  <si>
    <t>SAN GIACOMO DEGLI SCHIAVONI</t>
  </si>
  <si>
    <t>070065</t>
  </si>
  <si>
    <t>SAN GIOVANNI IN GALDO</t>
  </si>
  <si>
    <t>070066</t>
  </si>
  <si>
    <t>SAN GIULIANO DEL SANNIO</t>
  </si>
  <si>
    <t>070067</t>
  </si>
  <si>
    <t>SAN GIULIANO DI PUGLIA</t>
  </si>
  <si>
    <t>070068</t>
  </si>
  <si>
    <t>SAN MARTINO IN PENSILIS</t>
  </si>
  <si>
    <t>070069</t>
  </si>
  <si>
    <t>86046</t>
  </si>
  <si>
    <t>SAN MASSIMO</t>
  </si>
  <si>
    <t>070070</t>
  </si>
  <si>
    <t>86027</t>
  </si>
  <si>
    <t>SAN POLO MATESE</t>
  </si>
  <si>
    <t>070071</t>
  </si>
  <si>
    <t>SANTA CROCE DI MAGLIANO</t>
  </si>
  <si>
    <t>070072</t>
  </si>
  <si>
    <t>86047</t>
  </si>
  <si>
    <t>SANT'ANGELO LIMOSANO</t>
  </si>
  <si>
    <t>070073</t>
  </si>
  <si>
    <t>SANT'ELIA A PIANISI</t>
  </si>
  <si>
    <t>070074</t>
  </si>
  <si>
    <t>86048</t>
  </si>
  <si>
    <t>SEPINO</t>
  </si>
  <si>
    <t>070075</t>
  </si>
  <si>
    <t>86017</t>
  </si>
  <si>
    <t>SPINETE</t>
  </si>
  <si>
    <t>070076</t>
  </si>
  <si>
    <t>TAVENNA</t>
  </si>
  <si>
    <t>070077</t>
  </si>
  <si>
    <t>TERMOLI</t>
  </si>
  <si>
    <t>070078</t>
  </si>
  <si>
    <t>86039</t>
  </si>
  <si>
    <t>TORELLA DEL SANNIO</t>
  </si>
  <si>
    <t>070079</t>
  </si>
  <si>
    <t>86028</t>
  </si>
  <si>
    <t>TORO</t>
  </si>
  <si>
    <t>070080</t>
  </si>
  <si>
    <t>86018</t>
  </si>
  <si>
    <t>TRIVENTO</t>
  </si>
  <si>
    <t>070081</t>
  </si>
  <si>
    <t>86029</t>
  </si>
  <si>
    <t>TUFARA</t>
  </si>
  <si>
    <t>070082</t>
  </si>
  <si>
    <t>URURI</t>
  </si>
  <si>
    <t>070083</t>
  </si>
  <si>
    <t>86049</t>
  </si>
  <si>
    <t>VINCHIATURO</t>
  </si>
  <si>
    <t>070084</t>
  </si>
  <si>
    <t>86019</t>
  </si>
  <si>
    <t>ACCADIA</t>
  </si>
  <si>
    <t>071001</t>
  </si>
  <si>
    <t>FG</t>
  </si>
  <si>
    <t>71021</t>
  </si>
  <si>
    <t>ALBERONA</t>
  </si>
  <si>
    <t>071002</t>
  </si>
  <si>
    <t>71031</t>
  </si>
  <si>
    <t>ANZANO DI PUGLIA</t>
  </si>
  <si>
    <t>071003</t>
  </si>
  <si>
    <t>71020</t>
  </si>
  <si>
    <t>APRICENA</t>
  </si>
  <si>
    <t>071004</t>
  </si>
  <si>
    <t>71011</t>
  </si>
  <si>
    <t>ASCOLI SATRIANO</t>
  </si>
  <si>
    <t>071005</t>
  </si>
  <si>
    <t>71022</t>
  </si>
  <si>
    <t>BICCARI</t>
  </si>
  <si>
    <t>071006</t>
  </si>
  <si>
    <t>71032</t>
  </si>
  <si>
    <t>BOVINO</t>
  </si>
  <si>
    <t>071007</t>
  </si>
  <si>
    <t>71023</t>
  </si>
  <si>
    <t>CAGNANO VARANO</t>
  </si>
  <si>
    <t>071008</t>
  </si>
  <si>
    <t>71010</t>
  </si>
  <si>
    <t>CANDELA</t>
  </si>
  <si>
    <t>071009</t>
  </si>
  <si>
    <t>71024</t>
  </si>
  <si>
    <t>CARAPELLE</t>
  </si>
  <si>
    <t>071010</t>
  </si>
  <si>
    <t>71041</t>
  </si>
  <si>
    <t>CARLANTINO</t>
  </si>
  <si>
    <t>071011</t>
  </si>
  <si>
    <t>71030</t>
  </si>
  <si>
    <t>CARPINO</t>
  </si>
  <si>
    <t>071012</t>
  </si>
  <si>
    <t>CASALNUOVO MONTEROTARO</t>
  </si>
  <si>
    <t>071013</t>
  </si>
  <si>
    <t>71033</t>
  </si>
  <si>
    <t>CASALVECCHIO DI PUGLIA</t>
  </si>
  <si>
    <t>071014</t>
  </si>
  <si>
    <t>CASTELLUCCIO DEI SAURI</t>
  </si>
  <si>
    <t>071015</t>
  </si>
  <si>
    <t>71025</t>
  </si>
  <si>
    <t>CASTELLUCCIO VALMAGGIORE</t>
  </si>
  <si>
    <t>071016</t>
  </si>
  <si>
    <t>CASTELNUOVO DELLA DAUNIA</t>
  </si>
  <si>
    <t>071017</t>
  </si>
  <si>
    <t>71034</t>
  </si>
  <si>
    <t>CELENZA VALFORTORE</t>
  </si>
  <si>
    <t>071018</t>
  </si>
  <si>
    <t>71035</t>
  </si>
  <si>
    <t>CELLE DI SAN VITO</t>
  </si>
  <si>
    <t>071019</t>
  </si>
  <si>
    <t>CERIGNOLA</t>
  </si>
  <si>
    <t>071020</t>
  </si>
  <si>
    <t>71042</t>
  </si>
  <si>
    <t>CHIEUTI</t>
  </si>
  <si>
    <t>071021</t>
  </si>
  <si>
    <t>DELICETO</t>
  </si>
  <si>
    <t>071022</t>
  </si>
  <si>
    <t>71026</t>
  </si>
  <si>
    <t>FAETO</t>
  </si>
  <si>
    <t>071023</t>
  </si>
  <si>
    <t>FOGGIA</t>
  </si>
  <si>
    <t>071024</t>
  </si>
  <si>
    <t>7112x</t>
  </si>
  <si>
    <t>ISCHITELLA</t>
  </si>
  <si>
    <t>071025</t>
  </si>
  <si>
    <t>ISOLE TREMITI</t>
  </si>
  <si>
    <t>071026</t>
  </si>
  <si>
    <t>71040</t>
  </si>
  <si>
    <t>LESINA</t>
  </si>
  <si>
    <t>071027</t>
  </si>
  <si>
    <t>LUCERA</t>
  </si>
  <si>
    <t>071028</t>
  </si>
  <si>
    <t>71036</t>
  </si>
  <si>
    <t>MANFREDONIA</t>
  </si>
  <si>
    <t>071029</t>
  </si>
  <si>
    <t>71043</t>
  </si>
  <si>
    <t>MATTINATA</t>
  </si>
  <si>
    <t>071031</t>
  </si>
  <si>
    <t>MONTELEONE DI PUGLIA</t>
  </si>
  <si>
    <t>071032</t>
  </si>
  <si>
    <t>MONTE SANT'ANGELO</t>
  </si>
  <si>
    <t>071033</t>
  </si>
  <si>
    <t>71037</t>
  </si>
  <si>
    <t>MOTTA MONTECORVINO</t>
  </si>
  <si>
    <t>071034</t>
  </si>
  <si>
    <t>ORSARA DI PUGLIA</t>
  </si>
  <si>
    <t>071035</t>
  </si>
  <si>
    <t>71027</t>
  </si>
  <si>
    <t>ORTA NOVA</t>
  </si>
  <si>
    <t>071036</t>
  </si>
  <si>
    <t>71045</t>
  </si>
  <si>
    <t>PANNI</t>
  </si>
  <si>
    <t>071037</t>
  </si>
  <si>
    <t>PESCHICI</t>
  </si>
  <si>
    <t>071038</t>
  </si>
  <si>
    <t>PIETRAMONTECORVINO</t>
  </si>
  <si>
    <t>071039</t>
  </si>
  <si>
    <t>71038</t>
  </si>
  <si>
    <t>POGGIO IMPERIALE</t>
  </si>
  <si>
    <t>071040</t>
  </si>
  <si>
    <t>RIGNANO GARGANICO</t>
  </si>
  <si>
    <t>071041</t>
  </si>
  <si>
    <t>ROCCHETTA SANT'ANTONIO</t>
  </si>
  <si>
    <t>071042</t>
  </si>
  <si>
    <t>RODI GARGANICO</t>
  </si>
  <si>
    <t>071043</t>
  </si>
  <si>
    <t>71012</t>
  </si>
  <si>
    <t>ROSETO VALFORTORE</t>
  </si>
  <si>
    <t>071044</t>
  </si>
  <si>
    <t>71039</t>
  </si>
  <si>
    <t>SAN GIOVANNI ROTONDO</t>
  </si>
  <si>
    <t>071046</t>
  </si>
  <si>
    <t>71013</t>
  </si>
  <si>
    <t>SAN MARCO IN LAMIS</t>
  </si>
  <si>
    <t>071047</t>
  </si>
  <si>
    <t>71014</t>
  </si>
  <si>
    <t>SAN MARCO LA CATOLA</t>
  </si>
  <si>
    <t>071048</t>
  </si>
  <si>
    <t>SAN NICANDRO GARGANICO</t>
  </si>
  <si>
    <t>071049</t>
  </si>
  <si>
    <t>71015</t>
  </si>
  <si>
    <t>SAN PAOLO DI CIVITATE</t>
  </si>
  <si>
    <t>071050</t>
  </si>
  <si>
    <t>SAN SEVERO</t>
  </si>
  <si>
    <t>071051</t>
  </si>
  <si>
    <t>71016</t>
  </si>
  <si>
    <t>SANT'AGATA DI PUGLIA</t>
  </si>
  <si>
    <t>071052</t>
  </si>
  <si>
    <t>71028</t>
  </si>
  <si>
    <t>SERRACAPRIOLA</t>
  </si>
  <si>
    <t>071053</t>
  </si>
  <si>
    <t>STORNARA</t>
  </si>
  <si>
    <t>071054</t>
  </si>
  <si>
    <t>71047</t>
  </si>
  <si>
    <t>STORNARELLA</t>
  </si>
  <si>
    <t>071055</t>
  </si>
  <si>
    <t>71048</t>
  </si>
  <si>
    <t>TORREMAGGIORE</t>
  </si>
  <si>
    <t>071056</t>
  </si>
  <si>
    <t>71017</t>
  </si>
  <si>
    <t>TROIA</t>
  </si>
  <si>
    <t>071058</t>
  </si>
  <si>
    <t>71029</t>
  </si>
  <si>
    <t>VICO DEL GARGANO</t>
  </si>
  <si>
    <t>071059</t>
  </si>
  <si>
    <t>71018</t>
  </si>
  <si>
    <t>VIESTE</t>
  </si>
  <si>
    <t>071060</t>
  </si>
  <si>
    <t>71019</t>
  </si>
  <si>
    <t>VOLTURARA APPULA</t>
  </si>
  <si>
    <t>071061</t>
  </si>
  <si>
    <t>VOLTURINO</t>
  </si>
  <si>
    <t>071062</t>
  </si>
  <si>
    <t>ORDONA</t>
  </si>
  <si>
    <t>071063</t>
  </si>
  <si>
    <t>ZAPPONETA</t>
  </si>
  <si>
    <t>071064</t>
  </si>
  <si>
    <t>ACQUAVIVA DELLE FONTI</t>
  </si>
  <si>
    <t>072001</t>
  </si>
  <si>
    <t>BA</t>
  </si>
  <si>
    <t>70021</t>
  </si>
  <si>
    <t>ADELFIA</t>
  </si>
  <si>
    <t>072002</t>
  </si>
  <si>
    <t>70010</t>
  </si>
  <si>
    <t>ALBEROBELLO</t>
  </si>
  <si>
    <t>072003</t>
  </si>
  <si>
    <t>70011</t>
  </si>
  <si>
    <t>ALTAMURA</t>
  </si>
  <si>
    <t>072004</t>
  </si>
  <si>
    <t>70022</t>
  </si>
  <si>
    <t>BARI</t>
  </si>
  <si>
    <t>072006</t>
  </si>
  <si>
    <t>701xx</t>
  </si>
  <si>
    <t>BINETTO</t>
  </si>
  <si>
    <t>072008</t>
  </si>
  <si>
    <t>70020</t>
  </si>
  <si>
    <t>BITETTO</t>
  </si>
  <si>
    <t>072010</t>
  </si>
  <si>
    <t>BITONTO</t>
  </si>
  <si>
    <t>072011</t>
  </si>
  <si>
    <t>70032</t>
  </si>
  <si>
    <t>BITRITTO</t>
  </si>
  <si>
    <t>072012</t>
  </si>
  <si>
    <t>CAPURSO</t>
  </si>
  <si>
    <t>072014</t>
  </si>
  <si>
    <t>CASAMASSIMA</t>
  </si>
  <si>
    <t>072015</t>
  </si>
  <si>
    <t>CASSANO DELLE MURGE</t>
  </si>
  <si>
    <t>072016</t>
  </si>
  <si>
    <t>CASTELLANA GROTTE</t>
  </si>
  <si>
    <t>072017</t>
  </si>
  <si>
    <t>70013</t>
  </si>
  <si>
    <t>CELLAMARE</t>
  </si>
  <si>
    <t>072018</t>
  </si>
  <si>
    <t>CONVERSANO</t>
  </si>
  <si>
    <t>072019</t>
  </si>
  <si>
    <t>70014</t>
  </si>
  <si>
    <t>CORATO</t>
  </si>
  <si>
    <t>072020</t>
  </si>
  <si>
    <t>70033</t>
  </si>
  <si>
    <t>GIOIA DEL COLLE</t>
  </si>
  <si>
    <t>072021</t>
  </si>
  <si>
    <t>70023</t>
  </si>
  <si>
    <t>GIOVINAZZO</t>
  </si>
  <si>
    <t>072022</t>
  </si>
  <si>
    <t>70054</t>
  </si>
  <si>
    <t>GRAVINA IN PUGLIA</t>
  </si>
  <si>
    <t>072023</t>
  </si>
  <si>
    <t>70024</t>
  </si>
  <si>
    <t>GRUMO APPULA</t>
  </si>
  <si>
    <t>072024</t>
  </si>
  <si>
    <t>70025</t>
  </si>
  <si>
    <t>LOCOROTONDO</t>
  </si>
  <si>
    <t>072025</t>
  </si>
  <si>
    <t>MODUGNO</t>
  </si>
  <si>
    <t>072027</t>
  </si>
  <si>
    <t>70026</t>
  </si>
  <si>
    <t>MOLA DI BARI</t>
  </si>
  <si>
    <t>072028</t>
  </si>
  <si>
    <t>70042</t>
  </si>
  <si>
    <t>MOLFETTA</t>
  </si>
  <si>
    <t>072029</t>
  </si>
  <si>
    <t>70056</t>
  </si>
  <si>
    <t>MONOPOLI</t>
  </si>
  <si>
    <t>072030</t>
  </si>
  <si>
    <t>70043</t>
  </si>
  <si>
    <t>NOCI</t>
  </si>
  <si>
    <t>072031</t>
  </si>
  <si>
    <t>70015</t>
  </si>
  <si>
    <t>NOICATTARO</t>
  </si>
  <si>
    <t>072032</t>
  </si>
  <si>
    <t>PALO DEL COLLE</t>
  </si>
  <si>
    <t>072033</t>
  </si>
  <si>
    <t>70027</t>
  </si>
  <si>
    <t>POGGIORSINI</t>
  </si>
  <si>
    <t>072034</t>
  </si>
  <si>
    <t>POLIGNANO A MARE</t>
  </si>
  <si>
    <t>072035</t>
  </si>
  <si>
    <t>70044</t>
  </si>
  <si>
    <t>PUTIGNANO</t>
  </si>
  <si>
    <t>072036</t>
  </si>
  <si>
    <t>70017</t>
  </si>
  <si>
    <t>RUTIGLIANO</t>
  </si>
  <si>
    <t>072037</t>
  </si>
  <si>
    <t>70018</t>
  </si>
  <si>
    <t>RUVO DI PUGLIA</t>
  </si>
  <si>
    <t>072038</t>
  </si>
  <si>
    <t>70037</t>
  </si>
  <si>
    <t>SAMMICHELE DI BARI</t>
  </si>
  <si>
    <t>072039</t>
  </si>
  <si>
    <t>SANNICANDRO DI BARI</t>
  </si>
  <si>
    <t>072040</t>
  </si>
  <si>
    <t>70028</t>
  </si>
  <si>
    <t>SANTERAMO IN COLLE</t>
  </si>
  <si>
    <t>072041</t>
  </si>
  <si>
    <t>70029</t>
  </si>
  <si>
    <t>TERLIZZI</t>
  </si>
  <si>
    <t>072043</t>
  </si>
  <si>
    <t>70038</t>
  </si>
  <si>
    <t>TORITTO</t>
  </si>
  <si>
    <t>072044</t>
  </si>
  <si>
    <t>TRIGGIANO</t>
  </si>
  <si>
    <t>072046</t>
  </si>
  <si>
    <t>70019</t>
  </si>
  <si>
    <t>TURI</t>
  </si>
  <si>
    <t>072047</t>
  </si>
  <si>
    <t>VALENZANO</t>
  </si>
  <si>
    <t>072048</t>
  </si>
  <si>
    <t>AVETRANA</t>
  </si>
  <si>
    <t>073001</t>
  </si>
  <si>
    <t>TA</t>
  </si>
  <si>
    <t>74020</t>
  </si>
  <si>
    <t>CAROSINO</t>
  </si>
  <si>
    <t>073002</t>
  </si>
  <si>
    <t>74021</t>
  </si>
  <si>
    <t>CASTELLANETA</t>
  </si>
  <si>
    <t>073003</t>
  </si>
  <si>
    <t>74011</t>
  </si>
  <si>
    <t>CRISPIANO</t>
  </si>
  <si>
    <t>073004</t>
  </si>
  <si>
    <t>74012</t>
  </si>
  <si>
    <t>FAGGIANO</t>
  </si>
  <si>
    <t>073005</t>
  </si>
  <si>
    <t>FRAGAGNANO</t>
  </si>
  <si>
    <t>073006</t>
  </si>
  <si>
    <t>74022</t>
  </si>
  <si>
    <t>GINOSA</t>
  </si>
  <si>
    <t>073007</t>
  </si>
  <si>
    <t>74013</t>
  </si>
  <si>
    <t>GROTTAGLIE</t>
  </si>
  <si>
    <t>073008</t>
  </si>
  <si>
    <t>74023</t>
  </si>
  <si>
    <t>LATERZA</t>
  </si>
  <si>
    <t>073009</t>
  </si>
  <si>
    <t>74014</t>
  </si>
  <si>
    <t>LEPORANO</t>
  </si>
  <si>
    <t>073010</t>
  </si>
  <si>
    <t>LIZZANO</t>
  </si>
  <si>
    <t>073011</t>
  </si>
  <si>
    <t>MANDURIA</t>
  </si>
  <si>
    <t>073012</t>
  </si>
  <si>
    <t>74024</t>
  </si>
  <si>
    <t>MARTINA FRANCA</t>
  </si>
  <si>
    <t>073013</t>
  </si>
  <si>
    <t>74015</t>
  </si>
  <si>
    <t>MARUGGIO</t>
  </si>
  <si>
    <t>073014</t>
  </si>
  <si>
    <t>MASSAFRA</t>
  </si>
  <si>
    <t>073015</t>
  </si>
  <si>
    <t>74016</t>
  </si>
  <si>
    <t>MONTEIASI</t>
  </si>
  <si>
    <t>073016</t>
  </si>
  <si>
    <t>MONTEMESOLA</t>
  </si>
  <si>
    <t>073017</t>
  </si>
  <si>
    <t>MONTEPARANO</t>
  </si>
  <si>
    <t>073018</t>
  </si>
  <si>
    <t>MOTTOLA</t>
  </si>
  <si>
    <t>073019</t>
  </si>
  <si>
    <t>74017</t>
  </si>
  <si>
    <t>PALAGIANELLO</t>
  </si>
  <si>
    <t>073020</t>
  </si>
  <si>
    <t>74018</t>
  </si>
  <si>
    <t>PALAGIANO</t>
  </si>
  <si>
    <t>073021</t>
  </si>
  <si>
    <t>74019</t>
  </si>
  <si>
    <t>PULSANO</t>
  </si>
  <si>
    <t>073022</t>
  </si>
  <si>
    <t>74026</t>
  </si>
  <si>
    <t>ROCCAFORZATA</t>
  </si>
  <si>
    <t>073023</t>
  </si>
  <si>
    <t>SAN GIORGIO IONICO</t>
  </si>
  <si>
    <t>073024</t>
  </si>
  <si>
    <t>74027</t>
  </si>
  <si>
    <t>SAN MARZANO DI SAN GIUSEPPE</t>
  </si>
  <si>
    <t>073025</t>
  </si>
  <si>
    <t>SAVA</t>
  </si>
  <si>
    <t>073026</t>
  </si>
  <si>
    <t>74028</t>
  </si>
  <si>
    <t>TARANTO</t>
  </si>
  <si>
    <t>073027</t>
  </si>
  <si>
    <t>7412x</t>
  </si>
  <si>
    <t>TORRICELLA</t>
  </si>
  <si>
    <t>073028</t>
  </si>
  <si>
    <t>STATTE</t>
  </si>
  <si>
    <t>073029</t>
  </si>
  <si>
    <t>74010</t>
  </si>
  <si>
    <t>BRINDISI</t>
  </si>
  <si>
    <t>074001</t>
  </si>
  <si>
    <t>BR</t>
  </si>
  <si>
    <t>72100</t>
  </si>
  <si>
    <t>CAROVIGNO</t>
  </si>
  <si>
    <t>074002</t>
  </si>
  <si>
    <t>72012</t>
  </si>
  <si>
    <t>CEGLIE MESSAPICA</t>
  </si>
  <si>
    <t>074003</t>
  </si>
  <si>
    <t>72013</t>
  </si>
  <si>
    <t>CELLINO SAN MARCO</t>
  </si>
  <si>
    <t>074004</t>
  </si>
  <si>
    <t>72020</t>
  </si>
  <si>
    <t>CISTERNINO</t>
  </si>
  <si>
    <t>074005</t>
  </si>
  <si>
    <t>72014</t>
  </si>
  <si>
    <t>ERCHIE</t>
  </si>
  <si>
    <t>074006</t>
  </si>
  <si>
    <t>FASANO</t>
  </si>
  <si>
    <t>074007</t>
  </si>
  <si>
    <t>72015</t>
  </si>
  <si>
    <t>FRANCAVILLA FONTANA</t>
  </si>
  <si>
    <t>074008</t>
  </si>
  <si>
    <t>72021</t>
  </si>
  <si>
    <t>LATIANO</t>
  </si>
  <si>
    <t>074009</t>
  </si>
  <si>
    <t>72022</t>
  </si>
  <si>
    <t>MESAGNE</t>
  </si>
  <si>
    <t>074010</t>
  </si>
  <si>
    <t>72023</t>
  </si>
  <si>
    <t>ORIA</t>
  </si>
  <si>
    <t>074011</t>
  </si>
  <si>
    <t>72024</t>
  </si>
  <si>
    <t>OSTUNI</t>
  </si>
  <si>
    <t>074012</t>
  </si>
  <si>
    <t>72017</t>
  </si>
  <si>
    <t>SAN DONACI</t>
  </si>
  <si>
    <t>074013</t>
  </si>
  <si>
    <t>72025</t>
  </si>
  <si>
    <t>SAN MICHELE SALENTINO</t>
  </si>
  <si>
    <t>074014</t>
  </si>
  <si>
    <t>72018</t>
  </si>
  <si>
    <t>SAN PANCRAZIO SALENTINO</t>
  </si>
  <si>
    <t>074015</t>
  </si>
  <si>
    <t>72026</t>
  </si>
  <si>
    <t>SAN PIETRO VERNOTICO</t>
  </si>
  <si>
    <t>074016</t>
  </si>
  <si>
    <t>72027</t>
  </si>
  <si>
    <t>SAN VITO DEI NORMANNI</t>
  </si>
  <si>
    <t>074017</t>
  </si>
  <si>
    <t>72019</t>
  </si>
  <si>
    <t>TORCHIAROLO</t>
  </si>
  <si>
    <t>074018</t>
  </si>
  <si>
    <t>TORRE SANTA SUSANNA</t>
  </si>
  <si>
    <t>074019</t>
  </si>
  <si>
    <t>72028</t>
  </si>
  <si>
    <t>VILLA CASTELLI</t>
  </si>
  <si>
    <t>074020</t>
  </si>
  <si>
    <t>72029</t>
  </si>
  <si>
    <t>ALESSANO</t>
  </si>
  <si>
    <t>075002</t>
  </si>
  <si>
    <t>LE</t>
  </si>
  <si>
    <t>73031</t>
  </si>
  <si>
    <t>ALEZIO</t>
  </si>
  <si>
    <t>075003</t>
  </si>
  <si>
    <t>73011</t>
  </si>
  <si>
    <t>ALLISTE</t>
  </si>
  <si>
    <t>075004</t>
  </si>
  <si>
    <t>73040</t>
  </si>
  <si>
    <t>ANDRANO</t>
  </si>
  <si>
    <t>075005</t>
  </si>
  <si>
    <t>73032</t>
  </si>
  <si>
    <t>ARADEO</t>
  </si>
  <si>
    <t>075006</t>
  </si>
  <si>
    <t>ARNESANO</t>
  </si>
  <si>
    <t>075007</t>
  </si>
  <si>
    <t>73010</t>
  </si>
  <si>
    <t>BAGNOLO DEL SALENTO</t>
  </si>
  <si>
    <t>075008</t>
  </si>
  <si>
    <t>73020</t>
  </si>
  <si>
    <t>BOTRUGNO</t>
  </si>
  <si>
    <t>075009</t>
  </si>
  <si>
    <t>CALIMERA</t>
  </si>
  <si>
    <t>075010</t>
  </si>
  <si>
    <t>73021</t>
  </si>
  <si>
    <t>CAMPI SALENTINA</t>
  </si>
  <si>
    <t>075011</t>
  </si>
  <si>
    <t>73012</t>
  </si>
  <si>
    <t>CANNOLE</t>
  </si>
  <si>
    <t>075012</t>
  </si>
  <si>
    <t>CAPRARICA DI LECCE</t>
  </si>
  <si>
    <t>075013</t>
  </si>
  <si>
    <t>CARMIANO</t>
  </si>
  <si>
    <t>075014</t>
  </si>
  <si>
    <t>73041</t>
  </si>
  <si>
    <t>CARPIGNANO SALENTINO</t>
  </si>
  <si>
    <t>075015</t>
  </si>
  <si>
    <t>CASARANO</t>
  </si>
  <si>
    <t>075016</t>
  </si>
  <si>
    <t>73042</t>
  </si>
  <si>
    <t>CASTRI DI LECCE</t>
  </si>
  <si>
    <t>075017</t>
  </si>
  <si>
    <t>CASTRIGNANO DE' GRECI</t>
  </si>
  <si>
    <t>075018</t>
  </si>
  <si>
    <t>CASTRIGNANO DEL CAPO</t>
  </si>
  <si>
    <t>075019</t>
  </si>
  <si>
    <t>CAVALLINO</t>
  </si>
  <si>
    <t>075020</t>
  </si>
  <si>
    <t>COLLEPASSO</t>
  </si>
  <si>
    <t>075021</t>
  </si>
  <si>
    <t>COPERTINO</t>
  </si>
  <si>
    <t>075022</t>
  </si>
  <si>
    <t>73043</t>
  </si>
  <si>
    <t>CORIGLIANO D'OTRANTO</t>
  </si>
  <si>
    <t>075023</t>
  </si>
  <si>
    <t>73022</t>
  </si>
  <si>
    <t>CORSANO</t>
  </si>
  <si>
    <t>075024</t>
  </si>
  <si>
    <t>73033</t>
  </si>
  <si>
    <t>CURSI</t>
  </si>
  <si>
    <t>075025</t>
  </si>
  <si>
    <t>CUTROFIANO</t>
  </si>
  <si>
    <t>075026</t>
  </si>
  <si>
    <t>DISO</t>
  </si>
  <si>
    <t>075027</t>
  </si>
  <si>
    <t>73030</t>
  </si>
  <si>
    <t>GAGLIANO DEL CAPO</t>
  </si>
  <si>
    <t>075028</t>
  </si>
  <si>
    <t>73034</t>
  </si>
  <si>
    <t>GALATINA</t>
  </si>
  <si>
    <t>075029</t>
  </si>
  <si>
    <t>73013</t>
  </si>
  <si>
    <t>GALATONE</t>
  </si>
  <si>
    <t>075030</t>
  </si>
  <si>
    <t>73044</t>
  </si>
  <si>
    <t>GALLIPOLI</t>
  </si>
  <si>
    <t>075031</t>
  </si>
  <si>
    <t>73014</t>
  </si>
  <si>
    <t>GIUGGIANELLO</t>
  </si>
  <si>
    <t>075032</t>
  </si>
  <si>
    <t>GIURDIGNANO</t>
  </si>
  <si>
    <t>075033</t>
  </si>
  <si>
    <t>GUAGNANO</t>
  </si>
  <si>
    <t>075034</t>
  </si>
  <si>
    <t>LECCE</t>
  </si>
  <si>
    <t>075035</t>
  </si>
  <si>
    <t>73100</t>
  </si>
  <si>
    <t>LEQUILE</t>
  </si>
  <si>
    <t>075036</t>
  </si>
  <si>
    <t>LEVERANO</t>
  </si>
  <si>
    <t>075037</t>
  </si>
  <si>
    <t>73045</t>
  </si>
  <si>
    <t>LIZZANELLO</t>
  </si>
  <si>
    <t>075038</t>
  </si>
  <si>
    <t>73023</t>
  </si>
  <si>
    <t>MAGLIE</t>
  </si>
  <si>
    <t>075039</t>
  </si>
  <si>
    <t>73024</t>
  </si>
  <si>
    <t>MARTANO</t>
  </si>
  <si>
    <t>075040</t>
  </si>
  <si>
    <t>73025</t>
  </si>
  <si>
    <t>MARTIGNANO</t>
  </si>
  <si>
    <t>075041</t>
  </si>
  <si>
    <t>MATINO</t>
  </si>
  <si>
    <t>075042</t>
  </si>
  <si>
    <t>73046</t>
  </si>
  <si>
    <t>MELENDUGNO</t>
  </si>
  <si>
    <t>075043</t>
  </si>
  <si>
    <t>73026</t>
  </si>
  <si>
    <t>MELISSANO</t>
  </si>
  <si>
    <t>075044</t>
  </si>
  <si>
    <t>MELPIGNANO</t>
  </si>
  <si>
    <t>075045</t>
  </si>
  <si>
    <t>MIGGIANO</t>
  </si>
  <si>
    <t>075046</t>
  </si>
  <si>
    <t>73035</t>
  </si>
  <si>
    <t>MINERVINO DI LECCE</t>
  </si>
  <si>
    <t>075047</t>
  </si>
  <si>
    <t>73027</t>
  </si>
  <si>
    <t>MONTERONI DI LECCE</t>
  </si>
  <si>
    <t>075048</t>
  </si>
  <si>
    <t>73047</t>
  </si>
  <si>
    <t>MONTESANO SALENTINO</t>
  </si>
  <si>
    <t>075049</t>
  </si>
  <si>
    <t>MORCIANO DI LEUCA</t>
  </si>
  <si>
    <t>075050</t>
  </si>
  <si>
    <t>MURO LECCESE</t>
  </si>
  <si>
    <t>075051</t>
  </si>
  <si>
    <t>73036</t>
  </si>
  <si>
    <t>NARDÒ</t>
  </si>
  <si>
    <t>075052</t>
  </si>
  <si>
    <t>73048</t>
  </si>
  <si>
    <t>NEVIANO</t>
  </si>
  <si>
    <t>075053</t>
  </si>
  <si>
    <t>NOCIGLIA</t>
  </si>
  <si>
    <t>075054</t>
  </si>
  <si>
    <t>NOVOLI</t>
  </si>
  <si>
    <t>075055</t>
  </si>
  <si>
    <t>73051</t>
  </si>
  <si>
    <t>ORTELLE</t>
  </si>
  <si>
    <t>075056</t>
  </si>
  <si>
    <t>OTRANTO</t>
  </si>
  <si>
    <t>075057</t>
  </si>
  <si>
    <t>73028</t>
  </si>
  <si>
    <t>PALMARIGGI</t>
  </si>
  <si>
    <t>075058</t>
  </si>
  <si>
    <t>PARABITA</t>
  </si>
  <si>
    <t>075059</t>
  </si>
  <si>
    <t>73052</t>
  </si>
  <si>
    <t>PATÙ</t>
  </si>
  <si>
    <t>075060</t>
  </si>
  <si>
    <t>73053</t>
  </si>
  <si>
    <t>POGGIARDO</t>
  </si>
  <si>
    <t>075061</t>
  </si>
  <si>
    <t>73037</t>
  </si>
  <si>
    <t>RACALE</t>
  </si>
  <si>
    <t>075063</t>
  </si>
  <si>
    <t>73055</t>
  </si>
  <si>
    <t>RUFFANO</t>
  </si>
  <si>
    <t>075064</t>
  </si>
  <si>
    <t>73049</t>
  </si>
  <si>
    <t>SALICE SALENTINO</t>
  </si>
  <si>
    <t>075065</t>
  </si>
  <si>
    <t>73015</t>
  </si>
  <si>
    <t>SALVE</t>
  </si>
  <si>
    <t>075066</t>
  </si>
  <si>
    <t>73050</t>
  </si>
  <si>
    <t>SANARICA</t>
  </si>
  <si>
    <t>075067</t>
  </si>
  <si>
    <t>SAN CESARIO DI LECCE</t>
  </si>
  <si>
    <t>075068</t>
  </si>
  <si>
    <t>73016</t>
  </si>
  <si>
    <t>SAN DONATO DI LECCE</t>
  </si>
  <si>
    <t>075069</t>
  </si>
  <si>
    <t>SANNICOLA</t>
  </si>
  <si>
    <t>075070</t>
  </si>
  <si>
    <t>73017</t>
  </si>
  <si>
    <t>SAN PIETRO IN LAMA</t>
  </si>
  <si>
    <t>075071</t>
  </si>
  <si>
    <t>SANTA CESAREA TERME</t>
  </si>
  <si>
    <t>075072</t>
  </si>
  <si>
    <t>SCORRANO</t>
  </si>
  <si>
    <t>075073</t>
  </si>
  <si>
    <t>SECLÌ</t>
  </si>
  <si>
    <t>075074</t>
  </si>
  <si>
    <t>SOGLIANO CAVOUR</t>
  </si>
  <si>
    <t>075075</t>
  </si>
  <si>
    <t>SOLETO</t>
  </si>
  <si>
    <t>075076</t>
  </si>
  <si>
    <t>SPECCHIA</t>
  </si>
  <si>
    <t>075077</t>
  </si>
  <si>
    <t>SPONGANO</t>
  </si>
  <si>
    <t>075078</t>
  </si>
  <si>
    <t>73038</t>
  </si>
  <si>
    <t>SQUINZANO</t>
  </si>
  <si>
    <t>075079</t>
  </si>
  <si>
    <t>73018</t>
  </si>
  <si>
    <t>STERNATIA</t>
  </si>
  <si>
    <t>075080</t>
  </si>
  <si>
    <t>SUPERSANO</t>
  </si>
  <si>
    <t>075081</t>
  </si>
  <si>
    <t>SURANO</t>
  </si>
  <si>
    <t>075082</t>
  </si>
  <si>
    <t>SURBO</t>
  </si>
  <si>
    <t>075083</t>
  </si>
  <si>
    <t>TAURISANO</t>
  </si>
  <si>
    <t>075084</t>
  </si>
  <si>
    <t>73056</t>
  </si>
  <si>
    <t>TAVIANO</t>
  </si>
  <si>
    <t>075085</t>
  </si>
  <si>
    <t>73057</t>
  </si>
  <si>
    <t>TIGGIANO</t>
  </si>
  <si>
    <t>075086</t>
  </si>
  <si>
    <t>TREPUZZI</t>
  </si>
  <si>
    <t>075087</t>
  </si>
  <si>
    <t>73019</t>
  </si>
  <si>
    <t>TRICASE</t>
  </si>
  <si>
    <t>075088</t>
  </si>
  <si>
    <t>73039</t>
  </si>
  <si>
    <t>TUGLIE</t>
  </si>
  <si>
    <t>075089</t>
  </si>
  <si>
    <t>73058</t>
  </si>
  <si>
    <t>UGENTO</t>
  </si>
  <si>
    <t>075090</t>
  </si>
  <si>
    <t>73059</t>
  </si>
  <si>
    <t>UGGIANO LA CHIESA</t>
  </si>
  <si>
    <t>075091</t>
  </si>
  <si>
    <t>VEGLIE</t>
  </si>
  <si>
    <t>075092</t>
  </si>
  <si>
    <t>VERNOLE</t>
  </si>
  <si>
    <t>075093</t>
  </si>
  <si>
    <t>73029</t>
  </si>
  <si>
    <t>ZOLLINO</t>
  </si>
  <si>
    <t>075094</t>
  </si>
  <si>
    <t>SAN CASSIANO</t>
  </si>
  <si>
    <t>075095</t>
  </si>
  <si>
    <t>075096</t>
  </si>
  <si>
    <t>PORTO CESAREO</t>
  </si>
  <si>
    <t>075097</t>
  </si>
  <si>
    <t>PRESICCE-ACQUARICA</t>
  </si>
  <si>
    <t>075098</t>
  </si>
  <si>
    <t>ABRIOLA</t>
  </si>
  <si>
    <t>076001</t>
  </si>
  <si>
    <t>PZ</t>
  </si>
  <si>
    <t>85010</t>
  </si>
  <si>
    <t>ACERENZA</t>
  </si>
  <si>
    <t>076002</t>
  </si>
  <si>
    <t>85011</t>
  </si>
  <si>
    <t>ALBANO DI LUCANIA</t>
  </si>
  <si>
    <t>076003</t>
  </si>
  <si>
    <t>ANZI</t>
  </si>
  <si>
    <t>076004</t>
  </si>
  <si>
    <t>ARMENTO</t>
  </si>
  <si>
    <t>076005</t>
  </si>
  <si>
    <t>ATELLA</t>
  </si>
  <si>
    <t>076006</t>
  </si>
  <si>
    <t>85020</t>
  </si>
  <si>
    <t>AVIGLIANO</t>
  </si>
  <si>
    <t>076007</t>
  </si>
  <si>
    <t>85021</t>
  </si>
  <si>
    <t>BALVANO</t>
  </si>
  <si>
    <t>076008</t>
  </si>
  <si>
    <t>85050</t>
  </si>
  <si>
    <t>BANZI</t>
  </si>
  <si>
    <t>076009</t>
  </si>
  <si>
    <t>BARAGIANO</t>
  </si>
  <si>
    <t>076010</t>
  </si>
  <si>
    <t>BARILE</t>
  </si>
  <si>
    <t>076011</t>
  </si>
  <si>
    <t>85022</t>
  </si>
  <si>
    <t>BELLA</t>
  </si>
  <si>
    <t>076012</t>
  </si>
  <si>
    <t>85051</t>
  </si>
  <si>
    <t>BRIENZA</t>
  </si>
  <si>
    <t>076013</t>
  </si>
  <si>
    <t>BRINDISI MONTAGNA</t>
  </si>
  <si>
    <t>076014</t>
  </si>
  <si>
    <t>CALVELLO</t>
  </si>
  <si>
    <t>076015</t>
  </si>
  <si>
    <t>CALVERA</t>
  </si>
  <si>
    <t>076016</t>
  </si>
  <si>
    <t>85030</t>
  </si>
  <si>
    <t>CAMPOMAGGIORE</t>
  </si>
  <si>
    <t>076017</t>
  </si>
  <si>
    <t>CANCELLARA</t>
  </si>
  <si>
    <t>076018</t>
  </si>
  <si>
    <t>CARBONE</t>
  </si>
  <si>
    <t>076019</t>
  </si>
  <si>
    <t>SAN PAOLO ALBANESE</t>
  </si>
  <si>
    <t>076020</t>
  </si>
  <si>
    <t>CASTELGRANDE</t>
  </si>
  <si>
    <t>076021</t>
  </si>
  <si>
    <t>CASTELLUCCIO INFERIORE</t>
  </si>
  <si>
    <t>076022</t>
  </si>
  <si>
    <t>85040</t>
  </si>
  <si>
    <t>CASTELLUCCIO SUPERIORE</t>
  </si>
  <si>
    <t>076023</t>
  </si>
  <si>
    <t>CASTELMEZZANO</t>
  </si>
  <si>
    <t>076024</t>
  </si>
  <si>
    <t>CASTELSARACENO</t>
  </si>
  <si>
    <t>076025</t>
  </si>
  <si>
    <t>85031</t>
  </si>
  <si>
    <t>CASTRONUOVO DI SANT'ANDREA</t>
  </si>
  <si>
    <t>076026</t>
  </si>
  <si>
    <t>CERSOSIMO</t>
  </si>
  <si>
    <t>076027</t>
  </si>
  <si>
    <t>CHIAROMONTE</t>
  </si>
  <si>
    <t>076028</t>
  </si>
  <si>
    <t>85032</t>
  </si>
  <si>
    <t>CORLETO PERTICARA</t>
  </si>
  <si>
    <t>076029</t>
  </si>
  <si>
    <t>85012</t>
  </si>
  <si>
    <t>EPISCOPIA</t>
  </si>
  <si>
    <t>076030</t>
  </si>
  <si>
    <t>85033</t>
  </si>
  <si>
    <t>FARDELLA</t>
  </si>
  <si>
    <t>076031</t>
  </si>
  <si>
    <t>85034</t>
  </si>
  <si>
    <t>FILIANO</t>
  </si>
  <si>
    <t>076032</t>
  </si>
  <si>
    <t>FORENZA</t>
  </si>
  <si>
    <t>076033</t>
  </si>
  <si>
    <t>85023</t>
  </si>
  <si>
    <t>FRANCAVILLA IN SINNI</t>
  </si>
  <si>
    <t>076034</t>
  </si>
  <si>
    <t>GALLICCHIO</t>
  </si>
  <si>
    <t>076035</t>
  </si>
  <si>
    <t>GENZANO DI LUCANIA</t>
  </si>
  <si>
    <t>076036</t>
  </si>
  <si>
    <t>85013</t>
  </si>
  <si>
    <t>GRUMENTO NOVA</t>
  </si>
  <si>
    <t>076037</t>
  </si>
  <si>
    <t>GUARDIA PERTICARA</t>
  </si>
  <si>
    <t>076038</t>
  </si>
  <si>
    <t>LAGONEGRO</t>
  </si>
  <si>
    <t>076039</t>
  </si>
  <si>
    <t>85042</t>
  </si>
  <si>
    <t>LATRONICO</t>
  </si>
  <si>
    <t>076040</t>
  </si>
  <si>
    <t>85043</t>
  </si>
  <si>
    <t>LAURENZANA</t>
  </si>
  <si>
    <t>076041</t>
  </si>
  <si>
    <t>85014</t>
  </si>
  <si>
    <t>LAURIA</t>
  </si>
  <si>
    <t>076042</t>
  </si>
  <si>
    <t>85044</t>
  </si>
  <si>
    <t>LAVELLO</t>
  </si>
  <si>
    <t>076043</t>
  </si>
  <si>
    <t>85024</t>
  </si>
  <si>
    <t>MARATEA</t>
  </si>
  <si>
    <t>076044</t>
  </si>
  <si>
    <t>85046</t>
  </si>
  <si>
    <t>MARSICO NUOVO</t>
  </si>
  <si>
    <t>076045</t>
  </si>
  <si>
    <t>85052</t>
  </si>
  <si>
    <t>MARSICOVETERE</t>
  </si>
  <si>
    <t>076046</t>
  </si>
  <si>
    <t>MASCHITO</t>
  </si>
  <si>
    <t>076047</t>
  </si>
  <si>
    <t>MELFI</t>
  </si>
  <si>
    <t>076048</t>
  </si>
  <si>
    <t>85025</t>
  </si>
  <si>
    <t>MISSANELLO</t>
  </si>
  <si>
    <t>076049</t>
  </si>
  <si>
    <t>MOLITERNO</t>
  </si>
  <si>
    <t>076050</t>
  </si>
  <si>
    <t>85047</t>
  </si>
  <si>
    <t>MONTEMILONE</t>
  </si>
  <si>
    <t>076051</t>
  </si>
  <si>
    <t>MONTEMURRO</t>
  </si>
  <si>
    <t>076052</t>
  </si>
  <si>
    <t>85053</t>
  </si>
  <si>
    <t>MURO LUCANO</t>
  </si>
  <si>
    <t>076053</t>
  </si>
  <si>
    <t>85054</t>
  </si>
  <si>
    <t>NEMOLI</t>
  </si>
  <si>
    <t>076054</t>
  </si>
  <si>
    <t>NOEPOLI</t>
  </si>
  <si>
    <t>076055</t>
  </si>
  <si>
    <t>85035</t>
  </si>
  <si>
    <t>OPPIDO LUCANO</t>
  </si>
  <si>
    <t>076056</t>
  </si>
  <si>
    <t>85015</t>
  </si>
  <si>
    <t>PALAZZO SAN GERVASIO</t>
  </si>
  <si>
    <t>076057</t>
  </si>
  <si>
    <t>85026</t>
  </si>
  <si>
    <t>PESCOPAGANO</t>
  </si>
  <si>
    <t>076058</t>
  </si>
  <si>
    <t>PICERNO</t>
  </si>
  <si>
    <t>076059</t>
  </si>
  <si>
    <t>85055</t>
  </si>
  <si>
    <t>PIETRAGALLA</t>
  </si>
  <si>
    <t>076060</t>
  </si>
  <si>
    <t>85016</t>
  </si>
  <si>
    <t>PIETRAPERTOSA</t>
  </si>
  <si>
    <t>076061</t>
  </si>
  <si>
    <t>PIGNOLA</t>
  </si>
  <si>
    <t>076062</t>
  </si>
  <si>
    <t>POTENZA</t>
  </si>
  <si>
    <t>076063</t>
  </si>
  <si>
    <t>85100</t>
  </si>
  <si>
    <t>RAPOLLA</t>
  </si>
  <si>
    <t>076064</t>
  </si>
  <si>
    <t>85027</t>
  </si>
  <si>
    <t>RAPONE</t>
  </si>
  <si>
    <t>076065</t>
  </si>
  <si>
    <t>RIONERO IN VULTURE</t>
  </si>
  <si>
    <t>076066</t>
  </si>
  <si>
    <t>85028</t>
  </si>
  <si>
    <t>RIPACANDIDA</t>
  </si>
  <si>
    <t>076067</t>
  </si>
  <si>
    <t>RIVELLO</t>
  </si>
  <si>
    <t>076068</t>
  </si>
  <si>
    <t>ROCCANOVA</t>
  </si>
  <si>
    <t>076069</t>
  </si>
  <si>
    <t>85036</t>
  </si>
  <si>
    <t>ROTONDA</t>
  </si>
  <si>
    <t>076070</t>
  </si>
  <si>
    <t>85048</t>
  </si>
  <si>
    <t>RUOTI</t>
  </si>
  <si>
    <t>076071</t>
  </si>
  <si>
    <t>85056</t>
  </si>
  <si>
    <t>RUVO DEL MONTE</t>
  </si>
  <si>
    <t>076072</t>
  </si>
  <si>
    <t>SAN CHIRICO NUOVO</t>
  </si>
  <si>
    <t>076073</t>
  </si>
  <si>
    <t>SAN CHIRICO RAPARO</t>
  </si>
  <si>
    <t>076074</t>
  </si>
  <si>
    <t>SAN COSTANTINO ALBANESE</t>
  </si>
  <si>
    <t>076075</t>
  </si>
  <si>
    <t>SAN FELE</t>
  </si>
  <si>
    <t>076076</t>
  </si>
  <si>
    <t>SAN MARTINO D'AGRI</t>
  </si>
  <si>
    <t>076077</t>
  </si>
  <si>
    <t>SAN SEVERINO LUCANO</t>
  </si>
  <si>
    <t>076078</t>
  </si>
  <si>
    <t>SANT'ANGELO LE FRATTE</t>
  </si>
  <si>
    <t>076079</t>
  </si>
  <si>
    <t>SANT'ARCANGELO</t>
  </si>
  <si>
    <t>076080</t>
  </si>
  <si>
    <t>85037</t>
  </si>
  <si>
    <t>SARCONI</t>
  </si>
  <si>
    <t>076081</t>
  </si>
  <si>
    <t>SASSO DI CASTALDA</t>
  </si>
  <si>
    <t>076082</t>
  </si>
  <si>
    <t>SATRIANO DI LUCANIA</t>
  </si>
  <si>
    <t>076083</t>
  </si>
  <si>
    <t>SAVOIA DI LUCANIA</t>
  </si>
  <si>
    <t>076084</t>
  </si>
  <si>
    <t>SENISE</t>
  </si>
  <si>
    <t>076085</t>
  </si>
  <si>
    <t>85038</t>
  </si>
  <si>
    <t>SPINOSO</t>
  </si>
  <si>
    <t>076086</t>
  </si>
  <si>
    <t>85039</t>
  </si>
  <si>
    <t>TEANA</t>
  </si>
  <si>
    <t>076087</t>
  </si>
  <si>
    <t>TERRANOVA DI POLLINO</t>
  </si>
  <si>
    <t>076088</t>
  </si>
  <si>
    <t>TITO</t>
  </si>
  <si>
    <t>076089</t>
  </si>
  <si>
    <t>TOLVE</t>
  </si>
  <si>
    <t>076090</t>
  </si>
  <si>
    <t>85017</t>
  </si>
  <si>
    <t>TRAMUTOLA</t>
  </si>
  <si>
    <t>076091</t>
  </si>
  <si>
    <t>85057</t>
  </si>
  <si>
    <t>TRECCHINA</t>
  </si>
  <si>
    <t>076092</t>
  </si>
  <si>
    <t>85049</t>
  </si>
  <si>
    <t>TRIVIGNO</t>
  </si>
  <si>
    <t>076093</t>
  </si>
  <si>
    <t>85018</t>
  </si>
  <si>
    <t>VAGLIO BASILICATA</t>
  </si>
  <si>
    <t>076094</t>
  </si>
  <si>
    <t>VENOSA</t>
  </si>
  <si>
    <t>076095</t>
  </si>
  <si>
    <t>85029</t>
  </si>
  <si>
    <t>VIETRI DI POTENZA</t>
  </si>
  <si>
    <t>076096</t>
  </si>
  <si>
    <t>85058</t>
  </si>
  <si>
    <t>VIGGIANELLO</t>
  </si>
  <si>
    <t>076097</t>
  </si>
  <si>
    <t>VIGGIANO</t>
  </si>
  <si>
    <t>076098</t>
  </si>
  <si>
    <t>85059</t>
  </si>
  <si>
    <t>GINESTRA</t>
  </si>
  <si>
    <t>076099</t>
  </si>
  <si>
    <t>PATERNO</t>
  </si>
  <si>
    <t>076100</t>
  </si>
  <si>
    <t>ACCETTURA</t>
  </si>
  <si>
    <t>077001</t>
  </si>
  <si>
    <t>MT</t>
  </si>
  <si>
    <t>75011</t>
  </si>
  <si>
    <t>ALIANO</t>
  </si>
  <si>
    <t>077002</t>
  </si>
  <si>
    <t>75010</t>
  </si>
  <si>
    <t>BERNALDA</t>
  </si>
  <si>
    <t>077003</t>
  </si>
  <si>
    <t>75012</t>
  </si>
  <si>
    <t>CALCIANO</t>
  </si>
  <si>
    <t>077004</t>
  </si>
  <si>
    <t>CIRIGLIANO</t>
  </si>
  <si>
    <t>077005</t>
  </si>
  <si>
    <t>COLOBRARO</t>
  </si>
  <si>
    <t>077006</t>
  </si>
  <si>
    <t>75021</t>
  </si>
  <si>
    <t>CRACO</t>
  </si>
  <si>
    <t>077007</t>
  </si>
  <si>
    <t>FERRANDINA</t>
  </si>
  <si>
    <t>077008</t>
  </si>
  <si>
    <t>75013</t>
  </si>
  <si>
    <t>GARAGUSO</t>
  </si>
  <si>
    <t>077009</t>
  </si>
  <si>
    <t>GORGOGLIONE</t>
  </si>
  <si>
    <t>077010</t>
  </si>
  <si>
    <t>GRASSANO</t>
  </si>
  <si>
    <t>077011</t>
  </si>
  <si>
    <t>75014</t>
  </si>
  <si>
    <t>GROTTOLE</t>
  </si>
  <si>
    <t>077012</t>
  </si>
  <si>
    <t>IRSINA</t>
  </si>
  <si>
    <t>077013</t>
  </si>
  <si>
    <t>75022</t>
  </si>
  <si>
    <t>MATERA</t>
  </si>
  <si>
    <t>077014</t>
  </si>
  <si>
    <t>75100</t>
  </si>
  <si>
    <t>MIGLIONICO</t>
  </si>
  <si>
    <t>077015</t>
  </si>
  <si>
    <t>MONTALBANO JONICO</t>
  </si>
  <si>
    <t>077016</t>
  </si>
  <si>
    <t>75023</t>
  </si>
  <si>
    <t>MONTESCAGLIOSO</t>
  </si>
  <si>
    <t>077017</t>
  </si>
  <si>
    <t>75024</t>
  </si>
  <si>
    <t>NOVA SIRI</t>
  </si>
  <si>
    <t>077018</t>
  </si>
  <si>
    <t>75020</t>
  </si>
  <si>
    <t>OLIVETO LUCANO</t>
  </si>
  <si>
    <t>077019</t>
  </si>
  <si>
    <t>PISTICCI</t>
  </si>
  <si>
    <t>077020</t>
  </si>
  <si>
    <t>75015</t>
  </si>
  <si>
    <t>POLICORO</t>
  </si>
  <si>
    <t>077021</t>
  </si>
  <si>
    <t>75025</t>
  </si>
  <si>
    <t>POMARICO</t>
  </si>
  <si>
    <t>077022</t>
  </si>
  <si>
    <t>75016</t>
  </si>
  <si>
    <t>ROTONDELLA</t>
  </si>
  <si>
    <t>077023</t>
  </si>
  <si>
    <t>75026</t>
  </si>
  <si>
    <t>SALANDRA</t>
  </si>
  <si>
    <t>077024</t>
  </si>
  <si>
    <t>75017</t>
  </si>
  <si>
    <t>SAN GIORGIO LUCANO</t>
  </si>
  <si>
    <t>077025</t>
  </si>
  <si>
    <t>75027</t>
  </si>
  <si>
    <t>SAN MAURO FORTE</t>
  </si>
  <si>
    <t>077026</t>
  </si>
  <si>
    <t>STIGLIANO</t>
  </si>
  <si>
    <t>077027</t>
  </si>
  <si>
    <t>75018</t>
  </si>
  <si>
    <t>TRICARICO</t>
  </si>
  <si>
    <t>077028</t>
  </si>
  <si>
    <t>75019</t>
  </si>
  <si>
    <t>TURSI</t>
  </si>
  <si>
    <t>077029</t>
  </si>
  <si>
    <t>75028</t>
  </si>
  <si>
    <t>VALSINNI</t>
  </si>
  <si>
    <t>077030</t>
  </si>
  <si>
    <t>75029</t>
  </si>
  <si>
    <t>SCANZANO JONICO</t>
  </si>
  <si>
    <t>077031</t>
  </si>
  <si>
    <t>ACQUAFORMOSA</t>
  </si>
  <si>
    <t>078001</t>
  </si>
  <si>
    <t>CS</t>
  </si>
  <si>
    <t>87010</t>
  </si>
  <si>
    <t>ACQUAPPESA</t>
  </si>
  <si>
    <t>078002</t>
  </si>
  <si>
    <t>87020</t>
  </si>
  <si>
    <t>ACRI</t>
  </si>
  <si>
    <t>078003</t>
  </si>
  <si>
    <t>87041</t>
  </si>
  <si>
    <t>AIELLO CALABRO</t>
  </si>
  <si>
    <t>078004</t>
  </si>
  <si>
    <t>87031</t>
  </si>
  <si>
    <t>AIETA</t>
  </si>
  <si>
    <t>078005</t>
  </si>
  <si>
    <t>ALBIDONA</t>
  </si>
  <si>
    <t>078006</t>
  </si>
  <si>
    <t>87070</t>
  </si>
  <si>
    <t>ALESSANDRIA DEL CARRETTO</t>
  </si>
  <si>
    <t>078007</t>
  </si>
  <si>
    <t>ALTILIA</t>
  </si>
  <si>
    <t>078008</t>
  </si>
  <si>
    <t>87040</t>
  </si>
  <si>
    <t>ALTOMONTE</t>
  </si>
  <si>
    <t>078009</t>
  </si>
  <si>
    <t>87042</t>
  </si>
  <si>
    <t>AMANTEA</t>
  </si>
  <si>
    <t>078010</t>
  </si>
  <si>
    <t>87032</t>
  </si>
  <si>
    <t>AMENDOLARA</t>
  </si>
  <si>
    <t>078011</t>
  </si>
  <si>
    <t>87071</t>
  </si>
  <si>
    <t>APRIGLIANO</t>
  </si>
  <si>
    <t>078012</t>
  </si>
  <si>
    <t>87051</t>
  </si>
  <si>
    <t>BELMONTE CALABRO</t>
  </si>
  <si>
    <t>078013</t>
  </si>
  <si>
    <t>87033</t>
  </si>
  <si>
    <t>BELSITO</t>
  </si>
  <si>
    <t>078014</t>
  </si>
  <si>
    <t>87030</t>
  </si>
  <si>
    <t>BELVEDERE MARITTIMO</t>
  </si>
  <si>
    <t>078015</t>
  </si>
  <si>
    <t>87021</t>
  </si>
  <si>
    <t>BIANCHI</t>
  </si>
  <si>
    <t>078016</t>
  </si>
  <si>
    <t>87050</t>
  </si>
  <si>
    <t>BISIGNANO</t>
  </si>
  <si>
    <t>078017</t>
  </si>
  <si>
    <t>87043</t>
  </si>
  <si>
    <t>BOCCHIGLIERO</t>
  </si>
  <si>
    <t>078018</t>
  </si>
  <si>
    <t>87060</t>
  </si>
  <si>
    <t>BONIFATI</t>
  </si>
  <si>
    <t>078019</t>
  </si>
  <si>
    <t>BUONVICINO</t>
  </si>
  <si>
    <t>078020</t>
  </si>
  <si>
    <t>CALOPEZZATI</t>
  </si>
  <si>
    <t>078021</t>
  </si>
  <si>
    <t>CALOVETO</t>
  </si>
  <si>
    <t>078022</t>
  </si>
  <si>
    <t>CAMPANA</t>
  </si>
  <si>
    <t>078023</t>
  </si>
  <si>
    <t>87061</t>
  </si>
  <si>
    <t>CANNA</t>
  </si>
  <si>
    <t>078024</t>
  </si>
  <si>
    <t>CARIATI</t>
  </si>
  <si>
    <t>078025</t>
  </si>
  <si>
    <t>87062</t>
  </si>
  <si>
    <t>CAROLEI</t>
  </si>
  <si>
    <t>078026</t>
  </si>
  <si>
    <t>CARPANZANO</t>
  </si>
  <si>
    <t>078027</t>
  </si>
  <si>
    <t>CASSANO ALL'IONIO</t>
  </si>
  <si>
    <t>078029</t>
  </si>
  <si>
    <t>87011</t>
  </si>
  <si>
    <t>CASTIGLIONE COSENTINO</t>
  </si>
  <si>
    <t>078030</t>
  </si>
  <si>
    <t>CASTROLIBERO</t>
  </si>
  <si>
    <t>078031</t>
  </si>
  <si>
    <t>CASTROREGIO</t>
  </si>
  <si>
    <t>078032</t>
  </si>
  <si>
    <t>CASTROVILLARI</t>
  </si>
  <si>
    <t>078033</t>
  </si>
  <si>
    <t>87012</t>
  </si>
  <si>
    <t>CELICO</t>
  </si>
  <si>
    <t>078034</t>
  </si>
  <si>
    <t>87053</t>
  </si>
  <si>
    <t>CELLARA</t>
  </si>
  <si>
    <t>078035</t>
  </si>
  <si>
    <t>CERCHIARA DI CALABRIA</t>
  </si>
  <si>
    <t>078036</t>
  </si>
  <si>
    <t>CERISANO</t>
  </si>
  <si>
    <t>078037</t>
  </si>
  <si>
    <t>87044</t>
  </si>
  <si>
    <t>CERVICATI</t>
  </si>
  <si>
    <t>078038</t>
  </si>
  <si>
    <t>CERZETO</t>
  </si>
  <si>
    <t>078039</t>
  </si>
  <si>
    <t>CETRARO</t>
  </si>
  <si>
    <t>078040</t>
  </si>
  <si>
    <t>87022</t>
  </si>
  <si>
    <t>CIVITA</t>
  </si>
  <si>
    <t>078041</t>
  </si>
  <si>
    <t>CLETO</t>
  </si>
  <si>
    <t>078042</t>
  </si>
  <si>
    <t>COLOSIMI</t>
  </si>
  <si>
    <t>078043</t>
  </si>
  <si>
    <t>COSENZA</t>
  </si>
  <si>
    <t>078045</t>
  </si>
  <si>
    <t>87100</t>
  </si>
  <si>
    <t>CROPALATI</t>
  </si>
  <si>
    <t>078046</t>
  </si>
  <si>
    <t>CROSIA</t>
  </si>
  <si>
    <t>078047</t>
  </si>
  <si>
    <t>DIAMANTE</t>
  </si>
  <si>
    <t>078048</t>
  </si>
  <si>
    <t>87023</t>
  </si>
  <si>
    <t>DIPIGNANO</t>
  </si>
  <si>
    <t>078049</t>
  </si>
  <si>
    <t>87045</t>
  </si>
  <si>
    <t>DOMANICO</t>
  </si>
  <si>
    <t>078050</t>
  </si>
  <si>
    <t>FAGNANO CASTELLO</t>
  </si>
  <si>
    <t>078051</t>
  </si>
  <si>
    <t>87013</t>
  </si>
  <si>
    <t>FALCONARA ALBANESE</t>
  </si>
  <si>
    <t>078052</t>
  </si>
  <si>
    <t>FIGLINE VEGLIATURO</t>
  </si>
  <si>
    <t>078053</t>
  </si>
  <si>
    <t>FIRMO</t>
  </si>
  <si>
    <t>078054</t>
  </si>
  <si>
    <t>FIUMEFREDDO BRUZIO</t>
  </si>
  <si>
    <t>078055</t>
  </si>
  <si>
    <t>FRANCAVILLA MARITTIMA</t>
  </si>
  <si>
    <t>078056</t>
  </si>
  <si>
    <t>87072</t>
  </si>
  <si>
    <t>FRASCINETO</t>
  </si>
  <si>
    <t>078057</t>
  </si>
  <si>
    <t>FUSCALDO</t>
  </si>
  <si>
    <t>078058</t>
  </si>
  <si>
    <t>87024</t>
  </si>
  <si>
    <t>GRIMALDI</t>
  </si>
  <si>
    <t>078059</t>
  </si>
  <si>
    <t>87034</t>
  </si>
  <si>
    <t>GRISOLIA</t>
  </si>
  <si>
    <t>078060</t>
  </si>
  <si>
    <t>GUARDIA PIEMONTESE</t>
  </si>
  <si>
    <t>078061</t>
  </si>
  <si>
    <t>LAGO</t>
  </si>
  <si>
    <t>078062</t>
  </si>
  <si>
    <t>87035</t>
  </si>
  <si>
    <t>LAINO BORGO</t>
  </si>
  <si>
    <t>078063</t>
  </si>
  <si>
    <t>87014</t>
  </si>
  <si>
    <t>LAINO CASTELLO</t>
  </si>
  <si>
    <t>078064</t>
  </si>
  <si>
    <t>87015</t>
  </si>
  <si>
    <t>LAPPANO</t>
  </si>
  <si>
    <t>078065</t>
  </si>
  <si>
    <t>LATTARICO</t>
  </si>
  <si>
    <t>078066</t>
  </si>
  <si>
    <t>LONGOBARDI</t>
  </si>
  <si>
    <t>078067</t>
  </si>
  <si>
    <t>LONGOBUCCO</t>
  </si>
  <si>
    <t>078068</t>
  </si>
  <si>
    <t>87066</t>
  </si>
  <si>
    <t>LUNGRO</t>
  </si>
  <si>
    <t>078069</t>
  </si>
  <si>
    <t>LUZZI</t>
  </si>
  <si>
    <t>078070</t>
  </si>
  <si>
    <t>MAIERÀ</t>
  </si>
  <si>
    <t>078071</t>
  </si>
  <si>
    <t>MALITO</t>
  </si>
  <si>
    <t>078072</t>
  </si>
  <si>
    <t>MALVITO</t>
  </si>
  <si>
    <t>078073</t>
  </si>
  <si>
    <t>MANDATORICCIO</t>
  </si>
  <si>
    <t>078074</t>
  </si>
  <si>
    <t>MANGONE</t>
  </si>
  <si>
    <t>078075</t>
  </si>
  <si>
    <t>MARANO MARCHESATO</t>
  </si>
  <si>
    <t>078076</t>
  </si>
  <si>
    <t>MARANO PRINCIPATO</t>
  </si>
  <si>
    <t>078077</t>
  </si>
  <si>
    <t>MARZI</t>
  </si>
  <si>
    <t>078078</t>
  </si>
  <si>
    <t>MENDICINO</t>
  </si>
  <si>
    <t>078079</t>
  </si>
  <si>
    <t>MONGRASSANO</t>
  </si>
  <si>
    <t>078080</t>
  </si>
  <si>
    <t>MONTALTO UFFUGO</t>
  </si>
  <si>
    <t>078081</t>
  </si>
  <si>
    <t>87046</t>
  </si>
  <si>
    <t>MONTEGIORDANO</t>
  </si>
  <si>
    <t>078082</t>
  </si>
  <si>
    <t>MORANO CALABRO</t>
  </si>
  <si>
    <t>078083</t>
  </si>
  <si>
    <t>87016</t>
  </si>
  <si>
    <t>MORMANNO</t>
  </si>
  <si>
    <t>078084</t>
  </si>
  <si>
    <t>87026</t>
  </si>
  <si>
    <t>MOTTAFOLLONE</t>
  </si>
  <si>
    <t>078085</t>
  </si>
  <si>
    <t>NOCARA</t>
  </si>
  <si>
    <t>078086</t>
  </si>
  <si>
    <t>ORIOLO</t>
  </si>
  <si>
    <t>078087</t>
  </si>
  <si>
    <t>87073</t>
  </si>
  <si>
    <t>ORSOMARSO</t>
  </si>
  <si>
    <t>078088</t>
  </si>
  <si>
    <t>PALUDI</t>
  </si>
  <si>
    <t>078089</t>
  </si>
  <si>
    <t>PANETTIERI</t>
  </si>
  <si>
    <t>078090</t>
  </si>
  <si>
    <t>PAOLA</t>
  </si>
  <si>
    <t>078091</t>
  </si>
  <si>
    <t>87027</t>
  </si>
  <si>
    <t>PAPASIDERO</t>
  </si>
  <si>
    <t>078092</t>
  </si>
  <si>
    <t>PARENTI</t>
  </si>
  <si>
    <t>078093</t>
  </si>
  <si>
    <t>PATERNO CALABRO</t>
  </si>
  <si>
    <t>078094</t>
  </si>
  <si>
    <t>PEDIVIGLIANO</t>
  </si>
  <si>
    <t>078096</t>
  </si>
  <si>
    <t>PIANE CRATI</t>
  </si>
  <si>
    <t>078097</t>
  </si>
  <si>
    <t>PIETRAFITTA</t>
  </si>
  <si>
    <t>078098</t>
  </si>
  <si>
    <t>PIETRAPAOLA</t>
  </si>
  <si>
    <t>078099</t>
  </si>
  <si>
    <t>PLATACI</t>
  </si>
  <si>
    <t>078100</t>
  </si>
  <si>
    <t>PRAIA A MARE</t>
  </si>
  <si>
    <t>078101</t>
  </si>
  <si>
    <t>87028</t>
  </si>
  <si>
    <t>RENDE</t>
  </si>
  <si>
    <t>078102</t>
  </si>
  <si>
    <t>87036</t>
  </si>
  <si>
    <t>ROCCA IMPERIALE</t>
  </si>
  <si>
    <t>078103</t>
  </si>
  <si>
    <t>87074</t>
  </si>
  <si>
    <t>ROGGIANO GRAVINA</t>
  </si>
  <si>
    <t>078104</t>
  </si>
  <si>
    <t>87017</t>
  </si>
  <si>
    <t>ROGLIANO</t>
  </si>
  <si>
    <t>078105</t>
  </si>
  <si>
    <t>87054</t>
  </si>
  <si>
    <t>ROSE</t>
  </si>
  <si>
    <t>078106</t>
  </si>
  <si>
    <t>ROSETO CAPO SPULICO</t>
  </si>
  <si>
    <t>078107</t>
  </si>
  <si>
    <t>ROTA GRECA</t>
  </si>
  <si>
    <t>078109</t>
  </si>
  <si>
    <t>ROVITO</t>
  </si>
  <si>
    <t>078110</t>
  </si>
  <si>
    <t>SAN BASILE</t>
  </si>
  <si>
    <t>078111</t>
  </si>
  <si>
    <t>SAN BENEDETTO ULLANO</t>
  </si>
  <si>
    <t>078112</t>
  </si>
  <si>
    <t>SAN COSMO ALBANESE</t>
  </si>
  <si>
    <t>078113</t>
  </si>
  <si>
    <t>SAN DEMETRIO CORONE</t>
  </si>
  <si>
    <t>078114</t>
  </si>
  <si>
    <t>87069</t>
  </si>
  <si>
    <t>SAN DONATO DI NINEA</t>
  </si>
  <si>
    <t>078115</t>
  </si>
  <si>
    <t>SAN FILI</t>
  </si>
  <si>
    <t>078116</t>
  </si>
  <si>
    <t>87037</t>
  </si>
  <si>
    <t>SANGINETO</t>
  </si>
  <si>
    <t>078117</t>
  </si>
  <si>
    <t>SAN GIORGIO ALBANESE</t>
  </si>
  <si>
    <t>078118</t>
  </si>
  <si>
    <t>SAN GIOVANNI IN FIORE</t>
  </si>
  <si>
    <t>078119</t>
  </si>
  <si>
    <t>87055</t>
  </si>
  <si>
    <t>SAN LORENZO BELLIZZI</t>
  </si>
  <si>
    <t>078120</t>
  </si>
  <si>
    <t>SAN LORENZO DEL VALLO</t>
  </si>
  <si>
    <t>078121</t>
  </si>
  <si>
    <t>SAN LUCIDO</t>
  </si>
  <si>
    <t>078122</t>
  </si>
  <si>
    <t>87038</t>
  </si>
  <si>
    <t>SAN MARCO ARGENTANO</t>
  </si>
  <si>
    <t>078123</t>
  </si>
  <si>
    <t>87018</t>
  </si>
  <si>
    <t>SAN MARTINO DI FINITA</t>
  </si>
  <si>
    <t>078124</t>
  </si>
  <si>
    <t>SAN NICOLA ARCELLA</t>
  </si>
  <si>
    <t>078125</t>
  </si>
  <si>
    <t>SAN PIETRO IN AMANTEA</t>
  </si>
  <si>
    <t>078126</t>
  </si>
  <si>
    <t>SAN PIETRO IN GUARANO</t>
  </si>
  <si>
    <t>078127</t>
  </si>
  <si>
    <t>87047</t>
  </si>
  <si>
    <t>SAN SOSTI</t>
  </si>
  <si>
    <t>078128</t>
  </si>
  <si>
    <t>SANTA CATERINA ALBANESE</t>
  </si>
  <si>
    <t>078129</t>
  </si>
  <si>
    <t>SANTA DOMENICA TALAO</t>
  </si>
  <si>
    <t>078130</t>
  </si>
  <si>
    <t>SANT'AGATA DI ESARO</t>
  </si>
  <si>
    <t>078131</t>
  </si>
  <si>
    <t>SANTA MARIA DEL CEDRO</t>
  </si>
  <si>
    <t>078132</t>
  </si>
  <si>
    <t>SANTA SOFIA D'EPIRO</t>
  </si>
  <si>
    <t>078133</t>
  </si>
  <si>
    <t>87048</t>
  </si>
  <si>
    <t>SANTO STEFANO DI ROGLIANO</t>
  </si>
  <si>
    <t>078134</t>
  </si>
  <si>
    <t>87056</t>
  </si>
  <si>
    <t>SAN VINCENZO LA COSTA</t>
  </si>
  <si>
    <t>078135</t>
  </si>
  <si>
    <t>SARACENA</t>
  </si>
  <si>
    <t>078136</t>
  </si>
  <si>
    <t>SCALA COELI</t>
  </si>
  <si>
    <t>078137</t>
  </si>
  <si>
    <t>SCALEA</t>
  </si>
  <si>
    <t>078138</t>
  </si>
  <si>
    <t>87029</t>
  </si>
  <si>
    <t>SCIGLIANO</t>
  </si>
  <si>
    <t>078139</t>
  </si>
  <si>
    <t>87057</t>
  </si>
  <si>
    <t>SERRA D'AIELLO</t>
  </si>
  <si>
    <t>078140</t>
  </si>
  <si>
    <t>SPEZZANO ALBANESE</t>
  </si>
  <si>
    <t>078142</t>
  </si>
  <si>
    <t>87019</t>
  </si>
  <si>
    <t>SPEZZANO DELLA SILA</t>
  </si>
  <si>
    <t>078143</t>
  </si>
  <si>
    <t>87058</t>
  </si>
  <si>
    <t>TARSIA</t>
  </si>
  <si>
    <t>078145</t>
  </si>
  <si>
    <t>TERRANOVA DA SIBARI</t>
  </si>
  <si>
    <t>078146</t>
  </si>
  <si>
    <t>TERRAVECCHIA</t>
  </si>
  <si>
    <t>078147</t>
  </si>
  <si>
    <t>TORANO CASTELLO</t>
  </si>
  <si>
    <t>078148</t>
  </si>
  <si>
    <t>TORTORA</t>
  </si>
  <si>
    <t>078149</t>
  </si>
  <si>
    <t>TREBISACCE</t>
  </si>
  <si>
    <t>078150</t>
  </si>
  <si>
    <t>87075</t>
  </si>
  <si>
    <t>VACCARIZZO ALBANESE</t>
  </si>
  <si>
    <t>078152</t>
  </si>
  <si>
    <t>VERBICARO</t>
  </si>
  <si>
    <t>078153</t>
  </si>
  <si>
    <t>VILLAPIANA</t>
  </si>
  <si>
    <t>078154</t>
  </si>
  <si>
    <t>87076</t>
  </si>
  <si>
    <t>ZUMPANO</t>
  </si>
  <si>
    <t>078155</t>
  </si>
  <si>
    <t>CASALI DEL MANCO</t>
  </si>
  <si>
    <t>078156</t>
  </si>
  <si>
    <t>CORIGLIANO-ROSSANO</t>
  </si>
  <si>
    <t>078157</t>
  </si>
  <si>
    <t>ALBI</t>
  </si>
  <si>
    <t>079002</t>
  </si>
  <si>
    <t>CZ</t>
  </si>
  <si>
    <t>88055</t>
  </si>
  <si>
    <t>AMARONI</t>
  </si>
  <si>
    <t>079003</t>
  </si>
  <si>
    <t>88050</t>
  </si>
  <si>
    <t>AMATO</t>
  </si>
  <si>
    <t>079004</t>
  </si>
  <si>
    <t>88040</t>
  </si>
  <si>
    <t>ANDALI</t>
  </si>
  <si>
    <t>079005</t>
  </si>
  <si>
    <t>ARGUSTO</t>
  </si>
  <si>
    <t>079007</t>
  </si>
  <si>
    <t>88060</t>
  </si>
  <si>
    <t>BADOLATO</t>
  </si>
  <si>
    <t>079008</t>
  </si>
  <si>
    <t>BELCASTRO</t>
  </si>
  <si>
    <t>079009</t>
  </si>
  <si>
    <t>BORGIA</t>
  </si>
  <si>
    <t>079011</t>
  </si>
  <si>
    <t>88021</t>
  </si>
  <si>
    <t>BOTRICELLO</t>
  </si>
  <si>
    <t>079012</t>
  </si>
  <si>
    <t>88070</t>
  </si>
  <si>
    <t>CARAFFA DI CATANZARO</t>
  </si>
  <si>
    <t>079017</t>
  </si>
  <si>
    <t>CARDINALE</t>
  </si>
  <si>
    <t>079018</t>
  </si>
  <si>
    <t>88062</t>
  </si>
  <si>
    <t>CARLOPOLI</t>
  </si>
  <si>
    <t>079020</t>
  </si>
  <si>
    <t>CATANZARO</t>
  </si>
  <si>
    <t>079023</t>
  </si>
  <si>
    <t>88100</t>
  </si>
  <si>
    <t>CENADI</t>
  </si>
  <si>
    <t>079024</t>
  </si>
  <si>
    <t>88067</t>
  </si>
  <si>
    <t>CENTRACHE</t>
  </si>
  <si>
    <t>079025</t>
  </si>
  <si>
    <t>CERVA</t>
  </si>
  <si>
    <t>079027</t>
  </si>
  <si>
    <t>CHIARAVALLE CENTRALE</t>
  </si>
  <si>
    <t>079029</t>
  </si>
  <si>
    <t>88064</t>
  </si>
  <si>
    <t>CICALA</t>
  </si>
  <si>
    <t>079030</t>
  </si>
  <si>
    <t>CONFLENTI</t>
  </si>
  <si>
    <t>079033</t>
  </si>
  <si>
    <t>CORTALE</t>
  </si>
  <si>
    <t>079034</t>
  </si>
  <si>
    <t>88020</t>
  </si>
  <si>
    <t>CROPANI</t>
  </si>
  <si>
    <t>079036</t>
  </si>
  <si>
    <t>88051</t>
  </si>
  <si>
    <t>CURINGA</t>
  </si>
  <si>
    <t>079039</t>
  </si>
  <si>
    <t>88022</t>
  </si>
  <si>
    <t>DAVOLI</t>
  </si>
  <si>
    <t>079042</t>
  </si>
  <si>
    <t>DECOLLATURA</t>
  </si>
  <si>
    <t>079043</t>
  </si>
  <si>
    <t>88041</t>
  </si>
  <si>
    <t>FALERNA</t>
  </si>
  <si>
    <t>079047</t>
  </si>
  <si>
    <t>88042</t>
  </si>
  <si>
    <t>FEROLETO ANTICO</t>
  </si>
  <si>
    <t>079048</t>
  </si>
  <si>
    <t>FOSSATO SERRALTA</t>
  </si>
  <si>
    <t>079052</t>
  </si>
  <si>
    <t>GAGLIATO</t>
  </si>
  <si>
    <t>079055</t>
  </si>
  <si>
    <t>GASPERINA</t>
  </si>
  <si>
    <t>079056</t>
  </si>
  <si>
    <t>GIMIGLIANO</t>
  </si>
  <si>
    <t>079058</t>
  </si>
  <si>
    <t>88045</t>
  </si>
  <si>
    <t>GIRIFALCO</t>
  </si>
  <si>
    <t>079059</t>
  </si>
  <si>
    <t>88024</t>
  </si>
  <si>
    <t>GIZZERIA</t>
  </si>
  <si>
    <t>079060</t>
  </si>
  <si>
    <t>GUARDAVALLE</t>
  </si>
  <si>
    <t>079061</t>
  </si>
  <si>
    <t>88065</t>
  </si>
  <si>
    <t>ISCA SULLO IONIO</t>
  </si>
  <si>
    <t>079063</t>
  </si>
  <si>
    <t>JACURSO</t>
  </si>
  <si>
    <t>079065</t>
  </si>
  <si>
    <t>MAGISANO</t>
  </si>
  <si>
    <t>079068</t>
  </si>
  <si>
    <t>MAIDA</t>
  </si>
  <si>
    <t>079069</t>
  </si>
  <si>
    <t>88025</t>
  </si>
  <si>
    <t>MARCEDUSA</t>
  </si>
  <si>
    <t>079071</t>
  </si>
  <si>
    <t>MARCELLINARA</t>
  </si>
  <si>
    <t>079072</t>
  </si>
  <si>
    <t>88044</t>
  </si>
  <si>
    <t>MARTIRANO</t>
  </si>
  <si>
    <t>079073</t>
  </si>
  <si>
    <t>MARTIRANO LOMBARDO</t>
  </si>
  <si>
    <t>079074</t>
  </si>
  <si>
    <t>MIGLIERINA</t>
  </si>
  <si>
    <t>079077</t>
  </si>
  <si>
    <t>MONTAURO</t>
  </si>
  <si>
    <t>079080</t>
  </si>
  <si>
    <t>MONTEPAONE</t>
  </si>
  <si>
    <t>079081</t>
  </si>
  <si>
    <t>MOTTA SANTA LUCIA</t>
  </si>
  <si>
    <t>079083</t>
  </si>
  <si>
    <t>NOCERA TERINESE</t>
  </si>
  <si>
    <t>079087</t>
  </si>
  <si>
    <t>88047</t>
  </si>
  <si>
    <t>OLIVADI</t>
  </si>
  <si>
    <t>079088</t>
  </si>
  <si>
    <t>PALERMITI</t>
  </si>
  <si>
    <t>079089</t>
  </si>
  <si>
    <t>PENTONE</t>
  </si>
  <si>
    <t>079092</t>
  </si>
  <si>
    <t>PETRIZZI</t>
  </si>
  <si>
    <t>079094</t>
  </si>
  <si>
    <t>PETRONÀ</t>
  </si>
  <si>
    <t>079095</t>
  </si>
  <si>
    <t>PIANOPOLI</t>
  </si>
  <si>
    <t>079096</t>
  </si>
  <si>
    <t>PLATANIA</t>
  </si>
  <si>
    <t>079099</t>
  </si>
  <si>
    <t>SAN FLORO</t>
  </si>
  <si>
    <t>079108</t>
  </si>
  <si>
    <t>SAN MANGO D'AQUINO</t>
  </si>
  <si>
    <t>079110</t>
  </si>
  <si>
    <t>SAN PIETRO A MAIDA</t>
  </si>
  <si>
    <t>079114</t>
  </si>
  <si>
    <t>SAN PIETRO APOSTOLO</t>
  </si>
  <si>
    <t>079115</t>
  </si>
  <si>
    <t>SAN SOSTENE</t>
  </si>
  <si>
    <t>079116</t>
  </si>
  <si>
    <t>SANTA CATERINA DELLO IONIO</t>
  </si>
  <si>
    <t>079117</t>
  </si>
  <si>
    <t>SANT'ANDREA APOSTOLO DELLO IONIO</t>
  </si>
  <si>
    <t>079118</t>
  </si>
  <si>
    <t>SAN VITO SULLO IONIO</t>
  </si>
  <si>
    <t>079122</t>
  </si>
  <si>
    <t>SATRIANO</t>
  </si>
  <si>
    <t>079123</t>
  </si>
  <si>
    <t>SELLIA</t>
  </si>
  <si>
    <t>079126</t>
  </si>
  <si>
    <t>SELLIA MARINA</t>
  </si>
  <si>
    <t>079127</t>
  </si>
  <si>
    <t>SERRASTRETTA</t>
  </si>
  <si>
    <t>079129</t>
  </si>
  <si>
    <t>SERSALE</t>
  </si>
  <si>
    <t>079130</t>
  </si>
  <si>
    <t>88054</t>
  </si>
  <si>
    <t>SETTINGIANO</t>
  </si>
  <si>
    <t>079131</t>
  </si>
  <si>
    <t>SIMERI CRICHI</t>
  </si>
  <si>
    <t>079133</t>
  </si>
  <si>
    <t>SORBO SAN BASILE</t>
  </si>
  <si>
    <t>079134</t>
  </si>
  <si>
    <t>SOVERATO</t>
  </si>
  <si>
    <t>079137</t>
  </si>
  <si>
    <t>88068</t>
  </si>
  <si>
    <t>SOVERIA MANNELLI</t>
  </si>
  <si>
    <t>079138</t>
  </si>
  <si>
    <t>88049</t>
  </si>
  <si>
    <t>SOVERIA SIMERI</t>
  </si>
  <si>
    <t>079139</t>
  </si>
  <si>
    <t>SQUILLACE</t>
  </si>
  <si>
    <t>079142</t>
  </si>
  <si>
    <t>88069</t>
  </si>
  <si>
    <t>STALETTÌ</t>
  </si>
  <si>
    <t>079143</t>
  </si>
  <si>
    <t>TAVERNA</t>
  </si>
  <si>
    <t>079146</t>
  </si>
  <si>
    <t>TIRIOLO</t>
  </si>
  <si>
    <t>079147</t>
  </si>
  <si>
    <t>88056</t>
  </si>
  <si>
    <t>TORRE DI RUGGIERO</t>
  </si>
  <si>
    <t>079148</t>
  </si>
  <si>
    <t>VALLEFIORITA</t>
  </si>
  <si>
    <t>079151</t>
  </si>
  <si>
    <t>ZAGARISE</t>
  </si>
  <si>
    <t>079157</t>
  </si>
  <si>
    <t>LAMEZIA TERME</t>
  </si>
  <si>
    <t>079160</t>
  </si>
  <si>
    <t>88046</t>
  </si>
  <si>
    <t>AFRICO</t>
  </si>
  <si>
    <t>080001</t>
  </si>
  <si>
    <t>RC</t>
  </si>
  <si>
    <t>89030</t>
  </si>
  <si>
    <t>AGNANA CALABRA</t>
  </si>
  <si>
    <t>080002</t>
  </si>
  <si>
    <t>89040</t>
  </si>
  <si>
    <t>ANOIA</t>
  </si>
  <si>
    <t>080003</t>
  </si>
  <si>
    <t>89020</t>
  </si>
  <si>
    <t>ANTONIMINA</t>
  </si>
  <si>
    <t>080004</t>
  </si>
  <si>
    <t>ARDORE</t>
  </si>
  <si>
    <t>080005</t>
  </si>
  <si>
    <t>89031</t>
  </si>
  <si>
    <t>BAGALADI</t>
  </si>
  <si>
    <t>080006</t>
  </si>
  <si>
    <t>89060</t>
  </si>
  <si>
    <t>BAGNARA CALABRA</t>
  </si>
  <si>
    <t>080007</t>
  </si>
  <si>
    <t>89011</t>
  </si>
  <si>
    <t>BENESTARE</t>
  </si>
  <si>
    <t>080008</t>
  </si>
  <si>
    <t>BIANCO</t>
  </si>
  <si>
    <t>080009</t>
  </si>
  <si>
    <t>89032</t>
  </si>
  <si>
    <t>BIVONGI</t>
  </si>
  <si>
    <t>080010</t>
  </si>
  <si>
    <t>BOVA</t>
  </si>
  <si>
    <t>080011</t>
  </si>
  <si>
    <t>89033</t>
  </si>
  <si>
    <t>BOVALINO</t>
  </si>
  <si>
    <t>080012</t>
  </si>
  <si>
    <t>89034</t>
  </si>
  <si>
    <t>BOVA MARINA</t>
  </si>
  <si>
    <t>080013</t>
  </si>
  <si>
    <t>89035</t>
  </si>
  <si>
    <t>BRANCALEONE</t>
  </si>
  <si>
    <t>080014</t>
  </si>
  <si>
    <t>89036</t>
  </si>
  <si>
    <t>BRUZZANO ZEFFIRIO</t>
  </si>
  <si>
    <t>080015</t>
  </si>
  <si>
    <t>CALANNA</t>
  </si>
  <si>
    <t>080016</t>
  </si>
  <si>
    <t>89050</t>
  </si>
  <si>
    <t>CAMINI</t>
  </si>
  <si>
    <t>080017</t>
  </si>
  <si>
    <t>CAMPO CALABRO</t>
  </si>
  <si>
    <t>080018</t>
  </si>
  <si>
    <t>89052</t>
  </si>
  <si>
    <t>CANDIDONI</t>
  </si>
  <si>
    <t>080019</t>
  </si>
  <si>
    <t>CANOLO</t>
  </si>
  <si>
    <t>080020</t>
  </si>
  <si>
    <t>CARAFFA DEL BIANCO</t>
  </si>
  <si>
    <t>080021</t>
  </si>
  <si>
    <t>CARDETO</t>
  </si>
  <si>
    <t>080022</t>
  </si>
  <si>
    <t>CARERI</t>
  </si>
  <si>
    <t>080023</t>
  </si>
  <si>
    <t>CASIGNANA</t>
  </si>
  <si>
    <t>080024</t>
  </si>
  <si>
    <t>CAULONIA</t>
  </si>
  <si>
    <t>080025</t>
  </si>
  <si>
    <t>89041</t>
  </si>
  <si>
    <t>CIMINÀ</t>
  </si>
  <si>
    <t>080026</t>
  </si>
  <si>
    <t>CINQUEFRONDI</t>
  </si>
  <si>
    <t>080027</t>
  </si>
  <si>
    <t>89021</t>
  </si>
  <si>
    <t>CITTANOVA</t>
  </si>
  <si>
    <t>080028</t>
  </si>
  <si>
    <t>89022</t>
  </si>
  <si>
    <t>CONDOFURI</t>
  </si>
  <si>
    <t>080029</t>
  </si>
  <si>
    <t>COSOLETO</t>
  </si>
  <si>
    <t>080030</t>
  </si>
  <si>
    <t>DELIANUOVA</t>
  </si>
  <si>
    <t>080031</t>
  </si>
  <si>
    <t>89012</t>
  </si>
  <si>
    <t>FEROLETO DELLA CHIESA</t>
  </si>
  <si>
    <t>080032</t>
  </si>
  <si>
    <t>FERRUZZANO</t>
  </si>
  <si>
    <t>080033</t>
  </si>
  <si>
    <t>FIUMARA</t>
  </si>
  <si>
    <t>080034</t>
  </si>
  <si>
    <t>GALATRO</t>
  </si>
  <si>
    <t>080035</t>
  </si>
  <si>
    <t>89054</t>
  </si>
  <si>
    <t>GERACE</t>
  </si>
  <si>
    <t>080036</t>
  </si>
  <si>
    <t>GIFFONE</t>
  </si>
  <si>
    <t>080037</t>
  </si>
  <si>
    <t>GIOIA TAURO</t>
  </si>
  <si>
    <t>080038</t>
  </si>
  <si>
    <t>89013</t>
  </si>
  <si>
    <t>GIOIOSA IONICA</t>
  </si>
  <si>
    <t>080039</t>
  </si>
  <si>
    <t>89042</t>
  </si>
  <si>
    <t>GROTTERIA</t>
  </si>
  <si>
    <t>080040</t>
  </si>
  <si>
    <t>89043</t>
  </si>
  <si>
    <t>LAGANADI</t>
  </si>
  <si>
    <t>080041</t>
  </si>
  <si>
    <t>LAUREANA DI BORRELLO</t>
  </si>
  <si>
    <t>080042</t>
  </si>
  <si>
    <t>89023</t>
  </si>
  <si>
    <t>LOCRI</t>
  </si>
  <si>
    <t>080043</t>
  </si>
  <si>
    <t>89044</t>
  </si>
  <si>
    <t>MAMMOLA</t>
  </si>
  <si>
    <t>080044</t>
  </si>
  <si>
    <t>89045</t>
  </si>
  <si>
    <t>MARINA DI GIOIOSA IONICA</t>
  </si>
  <si>
    <t>080045</t>
  </si>
  <si>
    <t>89046</t>
  </si>
  <si>
    <t>MAROPATI</t>
  </si>
  <si>
    <t>080046</t>
  </si>
  <si>
    <t>MARTONE</t>
  </si>
  <si>
    <t>080047</t>
  </si>
  <si>
    <t>MELICUCCÀ</t>
  </si>
  <si>
    <t>080048</t>
  </si>
  <si>
    <t>MELICUCCO</t>
  </si>
  <si>
    <t>080049</t>
  </si>
  <si>
    <t>MELITO DI PORTO SALVO</t>
  </si>
  <si>
    <t>080050</t>
  </si>
  <si>
    <t>89063</t>
  </si>
  <si>
    <t>MOLOCHIO</t>
  </si>
  <si>
    <t>080051</t>
  </si>
  <si>
    <t>89010</t>
  </si>
  <si>
    <t>MONASTERACE</t>
  </si>
  <si>
    <t>080052</t>
  </si>
  <si>
    <t>MONTEBELLO JONICO</t>
  </si>
  <si>
    <t>080053</t>
  </si>
  <si>
    <t>MOTTA SAN GIOVANNI</t>
  </si>
  <si>
    <t>080054</t>
  </si>
  <si>
    <t>89065</t>
  </si>
  <si>
    <t>OPPIDO MAMERTINA</t>
  </si>
  <si>
    <t>080055</t>
  </si>
  <si>
    <t>89014</t>
  </si>
  <si>
    <t>PALIZZI</t>
  </si>
  <si>
    <t>080056</t>
  </si>
  <si>
    <t>89038</t>
  </si>
  <si>
    <t>PALMI</t>
  </si>
  <si>
    <t>080057</t>
  </si>
  <si>
    <t>89015</t>
  </si>
  <si>
    <t>PAZZANO</t>
  </si>
  <si>
    <t>080058</t>
  </si>
  <si>
    <t>PLACANICA</t>
  </si>
  <si>
    <t>080059</t>
  </si>
  <si>
    <t>PLATÌ</t>
  </si>
  <si>
    <t>080060</t>
  </si>
  <si>
    <t>89039</t>
  </si>
  <si>
    <t>POLISTENA</t>
  </si>
  <si>
    <t>080061</t>
  </si>
  <si>
    <t>89024</t>
  </si>
  <si>
    <t>PORTIGLIOLA</t>
  </si>
  <si>
    <t>080062</t>
  </si>
  <si>
    <t>REGGIO DI CALABRIA</t>
  </si>
  <si>
    <t>080063</t>
  </si>
  <si>
    <t>RIACE</t>
  </si>
  <si>
    <t>080064</t>
  </si>
  <si>
    <t>RIZZICONI</t>
  </si>
  <si>
    <t>080065</t>
  </si>
  <si>
    <t>89016</t>
  </si>
  <si>
    <t>ROCCAFORTE DEL GRECO</t>
  </si>
  <si>
    <t>080066</t>
  </si>
  <si>
    <t>ROCCELLA IONICA</t>
  </si>
  <si>
    <t>080067</t>
  </si>
  <si>
    <t>89047</t>
  </si>
  <si>
    <t>ROGHUDI</t>
  </si>
  <si>
    <t>080068</t>
  </si>
  <si>
    <t>ROSARNO</t>
  </si>
  <si>
    <t>080069</t>
  </si>
  <si>
    <t>89025</t>
  </si>
  <si>
    <t>SAMO</t>
  </si>
  <si>
    <t>080070</t>
  </si>
  <si>
    <t>SAN GIORGIO MORGETO</t>
  </si>
  <si>
    <t>080071</t>
  </si>
  <si>
    <t>89017</t>
  </si>
  <si>
    <t>SAN GIOVANNI DI GERACE</t>
  </si>
  <si>
    <t>080072</t>
  </si>
  <si>
    <t>SAN LORENZO</t>
  </si>
  <si>
    <t>080073</t>
  </si>
  <si>
    <t>89069</t>
  </si>
  <si>
    <t>SAN LUCA</t>
  </si>
  <si>
    <t>080074</t>
  </si>
  <si>
    <t>SAN PIETRO DI CARIDÀ</t>
  </si>
  <si>
    <t>080075</t>
  </si>
  <si>
    <t>SAN PROCOPIO</t>
  </si>
  <si>
    <t>080076</t>
  </si>
  <si>
    <t>SAN ROBERTO</t>
  </si>
  <si>
    <t>080077</t>
  </si>
  <si>
    <t>SANTA CRISTINA D'ASPROMONTE</t>
  </si>
  <si>
    <t>080078</t>
  </si>
  <si>
    <t>89056</t>
  </si>
  <si>
    <t>SANT'AGATA DEL BIANCO</t>
  </si>
  <si>
    <t>080079</t>
  </si>
  <si>
    <t>SANT'ALESSIO IN ASPROMONTE</t>
  </si>
  <si>
    <t>080080</t>
  </si>
  <si>
    <t>SANT'EUFEMIA D'ASPROMONTE</t>
  </si>
  <si>
    <t>080081</t>
  </si>
  <si>
    <t>89027</t>
  </si>
  <si>
    <t>SANT'ILARIO DELLO IONIO</t>
  </si>
  <si>
    <t>080082</t>
  </si>
  <si>
    <t>SANTO STEFANO IN ASPROMONTE</t>
  </si>
  <si>
    <t>080083</t>
  </si>
  <si>
    <t>89057</t>
  </si>
  <si>
    <t>SCIDO</t>
  </si>
  <si>
    <t>080084</t>
  </si>
  <si>
    <t>SCILLA</t>
  </si>
  <si>
    <t>080085</t>
  </si>
  <si>
    <t>89058</t>
  </si>
  <si>
    <t>SEMINARA</t>
  </si>
  <si>
    <t>080086</t>
  </si>
  <si>
    <t>89028</t>
  </si>
  <si>
    <t>SERRATA</t>
  </si>
  <si>
    <t>080087</t>
  </si>
  <si>
    <t>SIDERNO</t>
  </si>
  <si>
    <t>080088</t>
  </si>
  <si>
    <t>89048</t>
  </si>
  <si>
    <t>SINOPOLI</t>
  </si>
  <si>
    <t>080089</t>
  </si>
  <si>
    <t>STAITI</t>
  </si>
  <si>
    <t>080090</t>
  </si>
  <si>
    <t>STIGNANO</t>
  </si>
  <si>
    <t>080091</t>
  </si>
  <si>
    <t>STILO</t>
  </si>
  <si>
    <t>080092</t>
  </si>
  <si>
    <t>89049</t>
  </si>
  <si>
    <t>TAURIANOVA</t>
  </si>
  <si>
    <t>080093</t>
  </si>
  <si>
    <t>89029</t>
  </si>
  <si>
    <t>TERRANOVA SAPPO MINULIO</t>
  </si>
  <si>
    <t>080094</t>
  </si>
  <si>
    <t>VARAPODIO</t>
  </si>
  <si>
    <t>080095</t>
  </si>
  <si>
    <t>VILLA SAN GIOVANNI</t>
  </si>
  <si>
    <t>080096</t>
  </si>
  <si>
    <t>89018</t>
  </si>
  <si>
    <t>SAN FERDINANDO</t>
  </si>
  <si>
    <t>080097</t>
  </si>
  <si>
    <t>89026</t>
  </si>
  <si>
    <t>ALCAMO</t>
  </si>
  <si>
    <t>081001</t>
  </si>
  <si>
    <t>TP</t>
  </si>
  <si>
    <t>91011</t>
  </si>
  <si>
    <t>BUSETO PALIZZOLO</t>
  </si>
  <si>
    <t>081002</t>
  </si>
  <si>
    <t>91012</t>
  </si>
  <si>
    <t>CALATAFIMI-SEGESTA</t>
  </si>
  <si>
    <t>081003</t>
  </si>
  <si>
    <t>CAMPOBELLO DI MAZARA</t>
  </si>
  <si>
    <t>081004</t>
  </si>
  <si>
    <t>91021</t>
  </si>
  <si>
    <t>CASTELLAMMARE DEL GOLFO</t>
  </si>
  <si>
    <t>081005</t>
  </si>
  <si>
    <t>91014</t>
  </si>
  <si>
    <t>CASTELVETRANO</t>
  </si>
  <si>
    <t>081006</t>
  </si>
  <si>
    <t>91022</t>
  </si>
  <si>
    <t>CUSTONACI</t>
  </si>
  <si>
    <t>081007</t>
  </si>
  <si>
    <t>91015</t>
  </si>
  <si>
    <t>ERICE</t>
  </si>
  <si>
    <t>081008</t>
  </si>
  <si>
    <t>91016</t>
  </si>
  <si>
    <t>FAVIGNANA</t>
  </si>
  <si>
    <t>081009</t>
  </si>
  <si>
    <t>91023</t>
  </si>
  <si>
    <t>GIBELLINA</t>
  </si>
  <si>
    <t>081010</t>
  </si>
  <si>
    <t>91024</t>
  </si>
  <si>
    <t>MARSALA</t>
  </si>
  <si>
    <t>081011</t>
  </si>
  <si>
    <t>91025</t>
  </si>
  <si>
    <t>MAZARA DEL VALLO</t>
  </si>
  <si>
    <t>081012</t>
  </si>
  <si>
    <t>91026</t>
  </si>
  <si>
    <t>PACECO</t>
  </si>
  <si>
    <t>081013</t>
  </si>
  <si>
    <t>91027</t>
  </si>
  <si>
    <t>PANTELLERIA</t>
  </si>
  <si>
    <t>081014</t>
  </si>
  <si>
    <t>91017</t>
  </si>
  <si>
    <t>PARTANNA</t>
  </si>
  <si>
    <t>081015</t>
  </si>
  <si>
    <t>91028</t>
  </si>
  <si>
    <t>POGGIOREALE</t>
  </si>
  <si>
    <t>081016</t>
  </si>
  <si>
    <t>91020</t>
  </si>
  <si>
    <t>SALAPARUTA</t>
  </si>
  <si>
    <t>081017</t>
  </si>
  <si>
    <t>SALEMI</t>
  </si>
  <si>
    <t>081018</t>
  </si>
  <si>
    <t>91018</t>
  </si>
  <si>
    <t>SANTA NINFA</t>
  </si>
  <si>
    <t>081019</t>
  </si>
  <si>
    <t>91029</t>
  </si>
  <si>
    <t>SAN VITO LO CAPO</t>
  </si>
  <si>
    <t>081020</t>
  </si>
  <si>
    <t>91010</t>
  </si>
  <si>
    <t>TRAPANI</t>
  </si>
  <si>
    <t>081021</t>
  </si>
  <si>
    <t>91100</t>
  </si>
  <si>
    <t>VALDERICE</t>
  </si>
  <si>
    <t>081022</t>
  </si>
  <si>
    <t>91019</t>
  </si>
  <si>
    <t>VITA</t>
  </si>
  <si>
    <t>081023</t>
  </si>
  <si>
    <t>PETROSINO</t>
  </si>
  <si>
    <t>081024</t>
  </si>
  <si>
    <t>MISILISCEMI</t>
  </si>
  <si>
    <t>081025</t>
  </si>
  <si>
    <t>ALIA</t>
  </si>
  <si>
    <t>082001</t>
  </si>
  <si>
    <t>PA</t>
  </si>
  <si>
    <t>90021</t>
  </si>
  <si>
    <t>ALIMENA</t>
  </si>
  <si>
    <t>082002</t>
  </si>
  <si>
    <t>90020</t>
  </si>
  <si>
    <t>ALIMINUSA</t>
  </si>
  <si>
    <t>082003</t>
  </si>
  <si>
    <t>ALTAVILLA MILICIA</t>
  </si>
  <si>
    <t>082004</t>
  </si>
  <si>
    <t>90010</t>
  </si>
  <si>
    <t>ALTOFONTE</t>
  </si>
  <si>
    <t>082005</t>
  </si>
  <si>
    <t>90030</t>
  </si>
  <si>
    <t>BAGHERIA</t>
  </si>
  <si>
    <t>082006</t>
  </si>
  <si>
    <t>90011</t>
  </si>
  <si>
    <t>BALESTRATE</t>
  </si>
  <si>
    <t>082007</t>
  </si>
  <si>
    <t>90041</t>
  </si>
  <si>
    <t>BAUCINA</t>
  </si>
  <si>
    <t>082008</t>
  </si>
  <si>
    <t>BELMONTE MEZZAGNO</t>
  </si>
  <si>
    <t>082009</t>
  </si>
  <si>
    <t>90031</t>
  </si>
  <si>
    <t>BISACQUINO</t>
  </si>
  <si>
    <t>082010</t>
  </si>
  <si>
    <t>90032</t>
  </si>
  <si>
    <t>BOLOGNETTA</t>
  </si>
  <si>
    <t>082011</t>
  </si>
  <si>
    <t>BOMPIETRO</t>
  </si>
  <si>
    <t>082012</t>
  </si>
  <si>
    <t>BORGETTO</t>
  </si>
  <si>
    <t>082013</t>
  </si>
  <si>
    <t>90042</t>
  </si>
  <si>
    <t>CACCAMO</t>
  </si>
  <si>
    <t>082014</t>
  </si>
  <si>
    <t>90012</t>
  </si>
  <si>
    <t>CALTAVUTURO</t>
  </si>
  <si>
    <t>082015</t>
  </si>
  <si>
    <t>90022</t>
  </si>
  <si>
    <t>CAMPOFELICE DI FITALIA</t>
  </si>
  <si>
    <t>082016</t>
  </si>
  <si>
    <t>CAMPOFELICE DI ROCCELLA</t>
  </si>
  <si>
    <t>082017</t>
  </si>
  <si>
    <t>CAMPOFIORITO</t>
  </si>
  <si>
    <t>082018</t>
  </si>
  <si>
    <t>CAMPOREALE</t>
  </si>
  <si>
    <t>082019</t>
  </si>
  <si>
    <t>90043</t>
  </si>
  <si>
    <t>CAPACI</t>
  </si>
  <si>
    <t>082020</t>
  </si>
  <si>
    <t>90040</t>
  </si>
  <si>
    <t>CARINI</t>
  </si>
  <si>
    <t>082021</t>
  </si>
  <si>
    <t>90044</t>
  </si>
  <si>
    <t>CASTELBUONO</t>
  </si>
  <si>
    <t>082022</t>
  </si>
  <si>
    <t>90013</t>
  </si>
  <si>
    <t>CASTELDACCIA</t>
  </si>
  <si>
    <t>082023</t>
  </si>
  <si>
    <t>90014</t>
  </si>
  <si>
    <t>CASTELLANA SICULA</t>
  </si>
  <si>
    <t>082024</t>
  </si>
  <si>
    <t>CASTRONOVO DI SICILIA</t>
  </si>
  <si>
    <t>082025</t>
  </si>
  <si>
    <t>CEFALÀ DIANA</t>
  </si>
  <si>
    <t>082026</t>
  </si>
  <si>
    <t>CEFALÙ</t>
  </si>
  <si>
    <t>082027</t>
  </si>
  <si>
    <t>90015</t>
  </si>
  <si>
    <t>CERDA</t>
  </si>
  <si>
    <t>082028</t>
  </si>
  <si>
    <t>CHIUSA SCLAFANI</t>
  </si>
  <si>
    <t>082029</t>
  </si>
  <si>
    <t>90033</t>
  </si>
  <si>
    <t>CIMINNA</t>
  </si>
  <si>
    <t>082030</t>
  </si>
  <si>
    <t>90023</t>
  </si>
  <si>
    <t>CINISI</t>
  </si>
  <si>
    <t>082031</t>
  </si>
  <si>
    <t>90045</t>
  </si>
  <si>
    <t>COLLESANO</t>
  </si>
  <si>
    <t>082032</t>
  </si>
  <si>
    <t>90016</t>
  </si>
  <si>
    <t>CONTESSA ENTELLINA</t>
  </si>
  <si>
    <t>082033</t>
  </si>
  <si>
    <t>CORLEONE</t>
  </si>
  <si>
    <t>082034</t>
  </si>
  <si>
    <t>90034</t>
  </si>
  <si>
    <t>FICARAZZI</t>
  </si>
  <si>
    <t>082035</t>
  </si>
  <si>
    <t>GANGI</t>
  </si>
  <si>
    <t>082036</t>
  </si>
  <si>
    <t>90024</t>
  </si>
  <si>
    <t>GERACI SICULO</t>
  </si>
  <si>
    <t>082037</t>
  </si>
  <si>
    <t>GIARDINELLO</t>
  </si>
  <si>
    <t>082038</t>
  </si>
  <si>
    <t>GIULIANA</t>
  </si>
  <si>
    <t>082039</t>
  </si>
  <si>
    <t>GODRANO</t>
  </si>
  <si>
    <t>082040</t>
  </si>
  <si>
    <t>GRATTERI</t>
  </si>
  <si>
    <t>082041</t>
  </si>
  <si>
    <t>ISNELLO</t>
  </si>
  <si>
    <t>082042</t>
  </si>
  <si>
    <t>ISOLA DELLE FEMMINE</t>
  </si>
  <si>
    <t>082043</t>
  </si>
  <si>
    <t>LASCARI</t>
  </si>
  <si>
    <t>082044</t>
  </si>
  <si>
    <t>LERCARA FRIDDI</t>
  </si>
  <si>
    <t>082045</t>
  </si>
  <si>
    <t>90025</t>
  </si>
  <si>
    <t>MARINEO</t>
  </si>
  <si>
    <t>082046</t>
  </si>
  <si>
    <t>90035</t>
  </si>
  <si>
    <t>MEZZOJUSO</t>
  </si>
  <si>
    <t>082047</t>
  </si>
  <si>
    <t>MISILMERI</t>
  </si>
  <si>
    <t>082048</t>
  </si>
  <si>
    <t>90036</t>
  </si>
  <si>
    <t>MONREALE</t>
  </si>
  <si>
    <t>082049</t>
  </si>
  <si>
    <t>90046</t>
  </si>
  <si>
    <t>MONTELEPRE</t>
  </si>
  <si>
    <t>082050</t>
  </si>
  <si>
    <t>MONTEMAGGIORE BELSITO</t>
  </si>
  <si>
    <t>082051</t>
  </si>
  <si>
    <t>PALAZZO ADRIANO</t>
  </si>
  <si>
    <t>082052</t>
  </si>
  <si>
    <t>PALERMO</t>
  </si>
  <si>
    <t>082053</t>
  </si>
  <si>
    <t>901xx</t>
  </si>
  <si>
    <t>PARTINICO</t>
  </si>
  <si>
    <t>082054</t>
  </si>
  <si>
    <t>90047</t>
  </si>
  <si>
    <t>PETRALIA SOPRANA</t>
  </si>
  <si>
    <t>082055</t>
  </si>
  <si>
    <t>90026</t>
  </si>
  <si>
    <t>PETRALIA SOTTANA</t>
  </si>
  <si>
    <t>082056</t>
  </si>
  <si>
    <t>90027</t>
  </si>
  <si>
    <t>PIANA DEGLI ALBANESI</t>
  </si>
  <si>
    <t>082057</t>
  </si>
  <si>
    <t>90037</t>
  </si>
  <si>
    <t>POLIZZI GENEROSA</t>
  </si>
  <si>
    <t>082058</t>
  </si>
  <si>
    <t>90028</t>
  </si>
  <si>
    <t>POLLINA</t>
  </si>
  <si>
    <t>082059</t>
  </si>
  <si>
    <t>PRIZZI</t>
  </si>
  <si>
    <t>082060</t>
  </si>
  <si>
    <t>90038</t>
  </si>
  <si>
    <t>ROCCAMENA</t>
  </si>
  <si>
    <t>082061</t>
  </si>
  <si>
    <t>ROCCAPALUMBA</t>
  </si>
  <si>
    <t>082062</t>
  </si>
  <si>
    <t>SAN CIPIRELLO</t>
  </si>
  <si>
    <t>082063</t>
  </si>
  <si>
    <t>SAN GIUSEPPE JATO</t>
  </si>
  <si>
    <t>082064</t>
  </si>
  <si>
    <t>90048</t>
  </si>
  <si>
    <t>SAN MAURO CASTELVERDE</t>
  </si>
  <si>
    <t>082065</t>
  </si>
  <si>
    <t>SANTA CRISTINA GELA</t>
  </si>
  <si>
    <t>082066</t>
  </si>
  <si>
    <t>SANTA FLAVIA</t>
  </si>
  <si>
    <t>082067</t>
  </si>
  <si>
    <t>90017</t>
  </si>
  <si>
    <t>SCIARA</t>
  </si>
  <si>
    <t>082068</t>
  </si>
  <si>
    <t>SCLAFANI BAGNI</t>
  </si>
  <si>
    <t>082069</t>
  </si>
  <si>
    <t>TERMINI IMERESE</t>
  </si>
  <si>
    <t>082070</t>
  </si>
  <si>
    <t>90018</t>
  </si>
  <si>
    <t>TERRASINI</t>
  </si>
  <si>
    <t>082071</t>
  </si>
  <si>
    <t>90049</t>
  </si>
  <si>
    <t>TORRETTA</t>
  </si>
  <si>
    <t>082072</t>
  </si>
  <si>
    <t>TRABIA</t>
  </si>
  <si>
    <t>082073</t>
  </si>
  <si>
    <t>90019</t>
  </si>
  <si>
    <t>TRAPPETO</t>
  </si>
  <si>
    <t>082074</t>
  </si>
  <si>
    <t>USTICA</t>
  </si>
  <si>
    <t>082075</t>
  </si>
  <si>
    <t>VALLEDOLMO</t>
  </si>
  <si>
    <t>082076</t>
  </si>
  <si>
    <t>90029</t>
  </si>
  <si>
    <t>VENTIMIGLIA DI SICILIA</t>
  </si>
  <si>
    <t>082077</t>
  </si>
  <si>
    <t>VICARI</t>
  </si>
  <si>
    <t>082078</t>
  </si>
  <si>
    <t>VILLABATE</t>
  </si>
  <si>
    <t>082079</t>
  </si>
  <si>
    <t>90039</t>
  </si>
  <si>
    <t>VILLAFRATI</t>
  </si>
  <si>
    <t>082080</t>
  </si>
  <si>
    <t>SCILLATO</t>
  </si>
  <si>
    <t>082081</t>
  </si>
  <si>
    <t>BLUFI</t>
  </si>
  <si>
    <t>082082</t>
  </si>
  <si>
    <t>ALCARA LI FUSI</t>
  </si>
  <si>
    <t>083001</t>
  </si>
  <si>
    <t>ME</t>
  </si>
  <si>
    <t>98070</t>
  </si>
  <si>
    <t>ALÌ</t>
  </si>
  <si>
    <t>083002</t>
  </si>
  <si>
    <t>98020</t>
  </si>
  <si>
    <t>ALÌ TERME</t>
  </si>
  <si>
    <t>083003</t>
  </si>
  <si>
    <t>98021</t>
  </si>
  <si>
    <t>ANTILLO</t>
  </si>
  <si>
    <t>083004</t>
  </si>
  <si>
    <t>98030</t>
  </si>
  <si>
    <t>BARCELLONA POZZO DI GOTTO</t>
  </si>
  <si>
    <t>083005</t>
  </si>
  <si>
    <t>98051</t>
  </si>
  <si>
    <t>BASICÒ</t>
  </si>
  <si>
    <t>083006</t>
  </si>
  <si>
    <t>98060</t>
  </si>
  <si>
    <t>BROLO</t>
  </si>
  <si>
    <t>083007</t>
  </si>
  <si>
    <t>98061</t>
  </si>
  <si>
    <t>CAPIZZI</t>
  </si>
  <si>
    <t>083008</t>
  </si>
  <si>
    <t>98031</t>
  </si>
  <si>
    <t>CAPO D'ORLANDO</t>
  </si>
  <si>
    <t>083009</t>
  </si>
  <si>
    <t>98071</t>
  </si>
  <si>
    <t>CAPRI LEONE</t>
  </si>
  <si>
    <t>083010</t>
  </si>
  <si>
    <t>CARONIA</t>
  </si>
  <si>
    <t>083011</t>
  </si>
  <si>
    <t>98072</t>
  </si>
  <si>
    <t>CASALVECCHIO SICULO</t>
  </si>
  <si>
    <t>083012</t>
  </si>
  <si>
    <t>98032</t>
  </si>
  <si>
    <t>CASTEL DI LUCIO</t>
  </si>
  <si>
    <t>083013</t>
  </si>
  <si>
    <t>CASTELL'UMBERTO</t>
  </si>
  <si>
    <t>083014</t>
  </si>
  <si>
    <t>CASTELMOLA</t>
  </si>
  <si>
    <t>083015</t>
  </si>
  <si>
    <t>CASTROREALE</t>
  </si>
  <si>
    <t>083016</t>
  </si>
  <si>
    <t>98053</t>
  </si>
  <si>
    <t>CESARÒ</t>
  </si>
  <si>
    <t>083017</t>
  </si>
  <si>
    <t>98033</t>
  </si>
  <si>
    <t>CONDRÒ</t>
  </si>
  <si>
    <t>083018</t>
  </si>
  <si>
    <t>98040</t>
  </si>
  <si>
    <t>FALCONE</t>
  </si>
  <si>
    <t>083019</t>
  </si>
  <si>
    <t>FICARRA</t>
  </si>
  <si>
    <t>083020</t>
  </si>
  <si>
    <t>98062</t>
  </si>
  <si>
    <t>FIUMEDINISI</t>
  </si>
  <si>
    <t>083021</t>
  </si>
  <si>
    <t>98022</t>
  </si>
  <si>
    <t>FLORESTA</t>
  </si>
  <si>
    <t>083022</t>
  </si>
  <si>
    <t>FONDACHELLI-FANTINA</t>
  </si>
  <si>
    <t>083023</t>
  </si>
  <si>
    <t>98050</t>
  </si>
  <si>
    <t>FORZA D'AGRÒ</t>
  </si>
  <si>
    <t>083024</t>
  </si>
  <si>
    <t>FRANCAVILLA DI SICILIA</t>
  </si>
  <si>
    <t>083025</t>
  </si>
  <si>
    <t>98034</t>
  </si>
  <si>
    <t>FRAZZANÒ</t>
  </si>
  <si>
    <t>083026</t>
  </si>
  <si>
    <t>FURCI SICULO</t>
  </si>
  <si>
    <t>083027</t>
  </si>
  <si>
    <t>98023</t>
  </si>
  <si>
    <t>FURNARI</t>
  </si>
  <si>
    <t>083028</t>
  </si>
  <si>
    <t>98054</t>
  </si>
  <si>
    <t>GAGGI</t>
  </si>
  <si>
    <t>083029</t>
  </si>
  <si>
    <t>GALATI MAMERTINO</t>
  </si>
  <si>
    <t>083030</t>
  </si>
  <si>
    <t>GALLODORO</t>
  </si>
  <si>
    <t>083031</t>
  </si>
  <si>
    <t>GIARDINI-NAXOS</t>
  </si>
  <si>
    <t>083032</t>
  </si>
  <si>
    <t>98035</t>
  </si>
  <si>
    <t>GIOIOSA MAREA</t>
  </si>
  <si>
    <t>083033</t>
  </si>
  <si>
    <t>98063</t>
  </si>
  <si>
    <t>GRANITI</t>
  </si>
  <si>
    <t>083034</t>
  </si>
  <si>
    <t>98036</t>
  </si>
  <si>
    <t>GUALTIERI SICAMINÒ</t>
  </si>
  <si>
    <t>083035</t>
  </si>
  <si>
    <t>ITALA</t>
  </si>
  <si>
    <t>083036</t>
  </si>
  <si>
    <t>98025</t>
  </si>
  <si>
    <t>LENI</t>
  </si>
  <si>
    <t>083037</t>
  </si>
  <si>
    <t>LETOJANNI</t>
  </si>
  <si>
    <t>083038</t>
  </si>
  <si>
    <t>98037</t>
  </si>
  <si>
    <t>LIBRIZZI</t>
  </si>
  <si>
    <t>083039</t>
  </si>
  <si>
    <t>98064</t>
  </si>
  <si>
    <t>LIMINA</t>
  </si>
  <si>
    <t>083040</t>
  </si>
  <si>
    <t>LIPARI</t>
  </si>
  <si>
    <t>083041</t>
  </si>
  <si>
    <t>98055</t>
  </si>
  <si>
    <t>LONGI</t>
  </si>
  <si>
    <t>083042</t>
  </si>
  <si>
    <t>MALFA</t>
  </si>
  <si>
    <t>083043</t>
  </si>
  <si>
    <t>MALVAGNA</t>
  </si>
  <si>
    <t>083044</t>
  </si>
  <si>
    <t>MANDANICI</t>
  </si>
  <si>
    <t>083045</t>
  </si>
  <si>
    <t>MAZZARRÀ SANT'ANDREA</t>
  </si>
  <si>
    <t>083046</t>
  </si>
  <si>
    <t>98056</t>
  </si>
  <si>
    <t>MERÌ</t>
  </si>
  <si>
    <t>083047</t>
  </si>
  <si>
    <t>MESSINA</t>
  </si>
  <si>
    <t>083048</t>
  </si>
  <si>
    <t>981xx</t>
  </si>
  <si>
    <t>MILAZZO</t>
  </si>
  <si>
    <t>083049</t>
  </si>
  <si>
    <t>98057</t>
  </si>
  <si>
    <t>MILITELLO ROSMARINO</t>
  </si>
  <si>
    <t>083050</t>
  </si>
  <si>
    <t>MIRTO</t>
  </si>
  <si>
    <t>083051</t>
  </si>
  <si>
    <t>MISTRETTA</t>
  </si>
  <si>
    <t>083052</t>
  </si>
  <si>
    <t>98073</t>
  </si>
  <si>
    <t>MOIO ALCANTARA</t>
  </si>
  <si>
    <t>083053</t>
  </si>
  <si>
    <t>MONFORTE SAN GIORGIO</t>
  </si>
  <si>
    <t>083054</t>
  </si>
  <si>
    <t>98041</t>
  </si>
  <si>
    <t>MONGIUFFI MELIA</t>
  </si>
  <si>
    <t>083055</t>
  </si>
  <si>
    <t>MONTAGNAREALE</t>
  </si>
  <si>
    <t>083056</t>
  </si>
  <si>
    <t>MONTALBANO ELICONA</t>
  </si>
  <si>
    <t>083057</t>
  </si>
  <si>
    <t>98065</t>
  </si>
  <si>
    <t>MOTTA CAMASTRA</t>
  </si>
  <si>
    <t>083058</t>
  </si>
  <si>
    <t>MOTTA D'AFFERMO</t>
  </si>
  <si>
    <t>083059</t>
  </si>
  <si>
    <t>NASO</t>
  </si>
  <si>
    <t>083060</t>
  </si>
  <si>
    <t>98074</t>
  </si>
  <si>
    <t>NIZZA DI SICILIA</t>
  </si>
  <si>
    <t>083061</t>
  </si>
  <si>
    <t>98026</t>
  </si>
  <si>
    <t>NOVARA DI SICILIA</t>
  </si>
  <si>
    <t>083062</t>
  </si>
  <si>
    <t>98058</t>
  </si>
  <si>
    <t>OLIVERI</t>
  </si>
  <si>
    <t>083063</t>
  </si>
  <si>
    <t>PACE DEL MELA</t>
  </si>
  <si>
    <t>083064</t>
  </si>
  <si>
    <t>98042</t>
  </si>
  <si>
    <t>PAGLIARA</t>
  </si>
  <si>
    <t>083065</t>
  </si>
  <si>
    <t>PATTI</t>
  </si>
  <si>
    <t>083066</t>
  </si>
  <si>
    <t>98066</t>
  </si>
  <si>
    <t>PETTINEO</t>
  </si>
  <si>
    <t>083067</t>
  </si>
  <si>
    <t>PIRAINO</t>
  </si>
  <si>
    <t>083068</t>
  </si>
  <si>
    <t>RACCUJA</t>
  </si>
  <si>
    <t>083069</t>
  </si>
  <si>
    <t>98067</t>
  </si>
  <si>
    <t>REITANO</t>
  </si>
  <si>
    <t>083070</t>
  </si>
  <si>
    <t>ROCCAFIORITA</t>
  </si>
  <si>
    <t>083071</t>
  </si>
  <si>
    <t>ROCCALUMERA</t>
  </si>
  <si>
    <t>083072</t>
  </si>
  <si>
    <t>98027</t>
  </si>
  <si>
    <t>ROCCAVALDINA</t>
  </si>
  <si>
    <t>083073</t>
  </si>
  <si>
    <t>ROCCELLA VALDEMONE</t>
  </si>
  <si>
    <t>083074</t>
  </si>
  <si>
    <t>RODÌ MILICI</t>
  </si>
  <si>
    <t>083075</t>
  </si>
  <si>
    <t>98059</t>
  </si>
  <si>
    <t>ROMETTA</t>
  </si>
  <si>
    <t>083076</t>
  </si>
  <si>
    <t>98043</t>
  </si>
  <si>
    <t>SAN FILIPPO DEL MELA</t>
  </si>
  <si>
    <t>083077</t>
  </si>
  <si>
    <t>98044</t>
  </si>
  <si>
    <t>SAN FRATELLO</t>
  </si>
  <si>
    <t>083078</t>
  </si>
  <si>
    <t>98075</t>
  </si>
  <si>
    <t>SAN MARCO D'ALUNZIO</t>
  </si>
  <si>
    <t>083079</t>
  </si>
  <si>
    <t>SAN PIER NICETO</t>
  </si>
  <si>
    <t>083080</t>
  </si>
  <si>
    <t>98045</t>
  </si>
  <si>
    <t>SAN PIERO PATTI</t>
  </si>
  <si>
    <t>083081</t>
  </si>
  <si>
    <t>98068</t>
  </si>
  <si>
    <t>SAN SALVATORE DI FITALIA</t>
  </si>
  <si>
    <t>083082</t>
  </si>
  <si>
    <t>SANTA DOMENICA VITTORIA</t>
  </si>
  <si>
    <t>083083</t>
  </si>
  <si>
    <t>SANT'AGATA DI MILITELLO</t>
  </si>
  <si>
    <t>083084</t>
  </si>
  <si>
    <t>98076</t>
  </si>
  <si>
    <t>SANT'ALESSIO SICULO</t>
  </si>
  <si>
    <t>083085</t>
  </si>
  <si>
    <t>SANTA LUCIA DEL MELA</t>
  </si>
  <si>
    <t>083086</t>
  </si>
  <si>
    <t>98046</t>
  </si>
  <si>
    <t>SANTA MARINA SALINA</t>
  </si>
  <si>
    <t>083087</t>
  </si>
  <si>
    <t>SANT'ANGELO DI BROLO</t>
  </si>
  <si>
    <t>083088</t>
  </si>
  <si>
    <t>SANTA TERESA DI RIVA</t>
  </si>
  <si>
    <t>083089</t>
  </si>
  <si>
    <t>98028</t>
  </si>
  <si>
    <t>SAN TEODORO</t>
  </si>
  <si>
    <t>083090</t>
  </si>
  <si>
    <t>SANTO STEFANO DI CAMASTRA</t>
  </si>
  <si>
    <t>083091</t>
  </si>
  <si>
    <t>98077</t>
  </si>
  <si>
    <t>SAPONARA</t>
  </si>
  <si>
    <t>083092</t>
  </si>
  <si>
    <t>98047</t>
  </si>
  <si>
    <t>SAVOCA</t>
  </si>
  <si>
    <t>083093</t>
  </si>
  <si>
    <t>98038</t>
  </si>
  <si>
    <t>SCALETTA ZANCLEA</t>
  </si>
  <si>
    <t>083094</t>
  </si>
  <si>
    <t>98029</t>
  </si>
  <si>
    <t>SINAGRA</t>
  </si>
  <si>
    <t>083095</t>
  </si>
  <si>
    <t>98069</t>
  </si>
  <si>
    <t>SPADAFORA</t>
  </si>
  <si>
    <t>083096</t>
  </si>
  <si>
    <t>98048</t>
  </si>
  <si>
    <t>TAORMINA</t>
  </si>
  <si>
    <t>083097</t>
  </si>
  <si>
    <t>98039</t>
  </si>
  <si>
    <t>TORREGROTTA</t>
  </si>
  <si>
    <t>083098</t>
  </si>
  <si>
    <t>TORTORICI</t>
  </si>
  <si>
    <t>083099</t>
  </si>
  <si>
    <t>98078</t>
  </si>
  <si>
    <t>TRIPI</t>
  </si>
  <si>
    <t>083100</t>
  </si>
  <si>
    <t>TUSA</t>
  </si>
  <si>
    <t>083101</t>
  </si>
  <si>
    <t>98079</t>
  </si>
  <si>
    <t>UCRIA</t>
  </si>
  <si>
    <t>083102</t>
  </si>
  <si>
    <t>VALDINA</t>
  </si>
  <si>
    <t>083103</t>
  </si>
  <si>
    <t>VENETICO</t>
  </si>
  <si>
    <t>083104</t>
  </si>
  <si>
    <t>VILLAFRANCA TIRRENA</t>
  </si>
  <si>
    <t>083105</t>
  </si>
  <si>
    <t>98049</t>
  </si>
  <si>
    <t>TERME VIGLIATORE</t>
  </si>
  <si>
    <t>083106</t>
  </si>
  <si>
    <t>ACQUEDOLCI</t>
  </si>
  <si>
    <t>083107</t>
  </si>
  <si>
    <t>TORRENOVA</t>
  </si>
  <si>
    <t>083108</t>
  </si>
  <si>
    <t>AGRIGENTO</t>
  </si>
  <si>
    <t>084001</t>
  </si>
  <si>
    <t>AG</t>
  </si>
  <si>
    <t>92100</t>
  </si>
  <si>
    <t>ALESSANDRIA DELLA ROCCA</t>
  </si>
  <si>
    <t>084002</t>
  </si>
  <si>
    <t>92010</t>
  </si>
  <si>
    <t>ARAGONA</t>
  </si>
  <si>
    <t>084003</t>
  </si>
  <si>
    <t>92021</t>
  </si>
  <si>
    <t>BIVONA</t>
  </si>
  <si>
    <t>084004</t>
  </si>
  <si>
    <t>BURGIO</t>
  </si>
  <si>
    <t>084005</t>
  </si>
  <si>
    <t>CALAMONACI</t>
  </si>
  <si>
    <t>084006</t>
  </si>
  <si>
    <t>CALTABELLOTTA</t>
  </si>
  <si>
    <t>084007</t>
  </si>
  <si>
    <t>CAMASTRA</t>
  </si>
  <si>
    <t>084008</t>
  </si>
  <si>
    <t>92020</t>
  </si>
  <si>
    <t>CAMMARATA</t>
  </si>
  <si>
    <t>084009</t>
  </si>
  <si>
    <t>92022</t>
  </si>
  <si>
    <t>CAMPOBELLO DI LICATA</t>
  </si>
  <si>
    <t>084010</t>
  </si>
  <si>
    <t>92023</t>
  </si>
  <si>
    <t>CANICATTÌ</t>
  </si>
  <si>
    <t>084011</t>
  </si>
  <si>
    <t>92024</t>
  </si>
  <si>
    <t>CASTELTERMINI</t>
  </si>
  <si>
    <t>084012</t>
  </si>
  <si>
    <t>92025</t>
  </si>
  <si>
    <t>CASTROFILIPPO</t>
  </si>
  <si>
    <t>084013</t>
  </si>
  <si>
    <t>CATTOLICA ERACLEA</t>
  </si>
  <si>
    <t>084014</t>
  </si>
  <si>
    <t>92011</t>
  </si>
  <si>
    <t>CIANCIANA</t>
  </si>
  <si>
    <t>084015</t>
  </si>
  <si>
    <t>92012</t>
  </si>
  <si>
    <t>COMITINI</t>
  </si>
  <si>
    <t>084016</t>
  </si>
  <si>
    <t>FAVARA</t>
  </si>
  <si>
    <t>084017</t>
  </si>
  <si>
    <t>92026</t>
  </si>
  <si>
    <t>GROTTE</t>
  </si>
  <si>
    <t>084018</t>
  </si>
  <si>
    <t>JOPPOLO GIANCAXIO</t>
  </si>
  <si>
    <t>084019</t>
  </si>
  <si>
    <t>LAMPEDUSA E LINOSA</t>
  </si>
  <si>
    <t>084020</t>
  </si>
  <si>
    <t>LICATA</t>
  </si>
  <si>
    <t>084021</t>
  </si>
  <si>
    <t>92027</t>
  </si>
  <si>
    <t>LUCCA SICULA</t>
  </si>
  <si>
    <t>084022</t>
  </si>
  <si>
    <t>MENFI</t>
  </si>
  <si>
    <t>084023</t>
  </si>
  <si>
    <t>92013</t>
  </si>
  <si>
    <t>MONTALLEGRO</t>
  </si>
  <si>
    <t>084024</t>
  </si>
  <si>
    <t>MONTEVAGO</t>
  </si>
  <si>
    <t>084025</t>
  </si>
  <si>
    <t>NARO</t>
  </si>
  <si>
    <t>084026</t>
  </si>
  <si>
    <t>92028</t>
  </si>
  <si>
    <t>PALMA DI MONTECHIARO</t>
  </si>
  <si>
    <t>084027</t>
  </si>
  <si>
    <t>PORTO EMPEDOCLE</t>
  </si>
  <si>
    <t>084028</t>
  </si>
  <si>
    <t>92014</t>
  </si>
  <si>
    <t>RACALMUTO</t>
  </si>
  <si>
    <t>084029</t>
  </si>
  <si>
    <t>RAFFADALI</t>
  </si>
  <si>
    <t>084030</t>
  </si>
  <si>
    <t>92015</t>
  </si>
  <si>
    <t>RAVANUSA</t>
  </si>
  <si>
    <t>084031</t>
  </si>
  <si>
    <t>92029</t>
  </si>
  <si>
    <t>REALMONTE</t>
  </si>
  <si>
    <t>084032</t>
  </si>
  <si>
    <t>RIBERA</t>
  </si>
  <si>
    <t>084033</t>
  </si>
  <si>
    <t>92016</t>
  </si>
  <si>
    <t>SAMBUCA DI SICILIA</t>
  </si>
  <si>
    <t>084034</t>
  </si>
  <si>
    <t>92017</t>
  </si>
  <si>
    <t>SAN BIAGIO PLATANI</t>
  </si>
  <si>
    <t>084035</t>
  </si>
  <si>
    <t>SAN GIOVANNI GEMINI</t>
  </si>
  <si>
    <t>084036</t>
  </si>
  <si>
    <t>SANTA ELISABETTA</t>
  </si>
  <si>
    <t>084037</t>
  </si>
  <si>
    <t>SANTA MARGHERITA DI BELICE</t>
  </si>
  <si>
    <t>084038</t>
  </si>
  <si>
    <t>92018</t>
  </si>
  <si>
    <t>SANT'ANGELO MUXARO</t>
  </si>
  <si>
    <t>084039</t>
  </si>
  <si>
    <t>SANTO STEFANO QUISQUINA</t>
  </si>
  <si>
    <t>084040</t>
  </si>
  <si>
    <t>SCIACCA</t>
  </si>
  <si>
    <t>084041</t>
  </si>
  <si>
    <t>92019</t>
  </si>
  <si>
    <t>SICULIANA</t>
  </si>
  <si>
    <t>084042</t>
  </si>
  <si>
    <t>VILLAFRANCA SICULA</t>
  </si>
  <si>
    <t>084043</t>
  </si>
  <si>
    <t>ACQUAVIVA PLATANI</t>
  </si>
  <si>
    <t>085001</t>
  </si>
  <si>
    <t>CL</t>
  </si>
  <si>
    <t>93010</t>
  </si>
  <si>
    <t>BOMPENSIERE</t>
  </si>
  <si>
    <t>085002</t>
  </si>
  <si>
    <t>BUTERA</t>
  </si>
  <si>
    <t>085003</t>
  </si>
  <si>
    <t>93011</t>
  </si>
  <si>
    <t>CALTANISSETTA</t>
  </si>
  <si>
    <t>085004</t>
  </si>
  <si>
    <t>93100</t>
  </si>
  <si>
    <t>CAMPOFRANCO</t>
  </si>
  <si>
    <t>085005</t>
  </si>
  <si>
    <t>DELIA</t>
  </si>
  <si>
    <t>085006</t>
  </si>
  <si>
    <t>GELA</t>
  </si>
  <si>
    <t>085007</t>
  </si>
  <si>
    <t>93012</t>
  </si>
  <si>
    <t>MARIANOPOLI</t>
  </si>
  <si>
    <t>085008</t>
  </si>
  <si>
    <t>MAZZARINO</t>
  </si>
  <si>
    <t>085009</t>
  </si>
  <si>
    <t>93013</t>
  </si>
  <si>
    <t>MILENA</t>
  </si>
  <si>
    <t>085010</t>
  </si>
  <si>
    <t>MONTEDORO</t>
  </si>
  <si>
    <t>085011</t>
  </si>
  <si>
    <t>MUSSOMELI</t>
  </si>
  <si>
    <t>085012</t>
  </si>
  <si>
    <t>93014</t>
  </si>
  <si>
    <t>NISCEMI</t>
  </si>
  <si>
    <t>085013</t>
  </si>
  <si>
    <t>93015</t>
  </si>
  <si>
    <t>RESUTTANO</t>
  </si>
  <si>
    <t>085014</t>
  </si>
  <si>
    <t>RIESI</t>
  </si>
  <si>
    <t>085015</t>
  </si>
  <si>
    <t>93016</t>
  </si>
  <si>
    <t>SAN CATALDO</t>
  </si>
  <si>
    <t>085016</t>
  </si>
  <si>
    <t>93017</t>
  </si>
  <si>
    <t>SANTA CATERINA VILLARMOSA</t>
  </si>
  <si>
    <t>085017</t>
  </si>
  <si>
    <t>93018</t>
  </si>
  <si>
    <t>SERRADIFALCO</t>
  </si>
  <si>
    <t>085018</t>
  </si>
  <si>
    <t>SOMMATINO</t>
  </si>
  <si>
    <t>085019</t>
  </si>
  <si>
    <t>93019</t>
  </si>
  <si>
    <t>SUTERA</t>
  </si>
  <si>
    <t>085020</t>
  </si>
  <si>
    <t>VALLELUNGA PRATAMENO</t>
  </si>
  <si>
    <t>085021</t>
  </si>
  <si>
    <t>VILLALBA</t>
  </si>
  <si>
    <t>085022</t>
  </si>
  <si>
    <t>AGIRA</t>
  </si>
  <si>
    <t>086001</t>
  </si>
  <si>
    <t>EN</t>
  </si>
  <si>
    <t>94011</t>
  </si>
  <si>
    <t>AIDONE</t>
  </si>
  <si>
    <t>086002</t>
  </si>
  <si>
    <t>94010</t>
  </si>
  <si>
    <t>ASSORO</t>
  </si>
  <si>
    <t>086003</t>
  </si>
  <si>
    <t>BARRAFRANCA</t>
  </si>
  <si>
    <t>086004</t>
  </si>
  <si>
    <t>94012</t>
  </si>
  <si>
    <t>CALASCIBETTA</t>
  </si>
  <si>
    <t>086005</t>
  </si>
  <si>
    <t>CATENANUOVA</t>
  </si>
  <si>
    <t>086006</t>
  </si>
  <si>
    <t>CENTURIPE</t>
  </si>
  <si>
    <t>086007</t>
  </si>
  <si>
    <t>CERAMI</t>
  </si>
  <si>
    <t>086008</t>
  </si>
  <si>
    <t>ENNA</t>
  </si>
  <si>
    <t>086009</t>
  </si>
  <si>
    <t>94100</t>
  </si>
  <si>
    <t>GAGLIANO CASTELFERRATO</t>
  </si>
  <si>
    <t>086010</t>
  </si>
  <si>
    <t>LEONFORTE</t>
  </si>
  <si>
    <t>086011</t>
  </si>
  <si>
    <t>94013</t>
  </si>
  <si>
    <t>NICOSIA</t>
  </si>
  <si>
    <t>086012</t>
  </si>
  <si>
    <t>94014</t>
  </si>
  <si>
    <t>NISSORIA</t>
  </si>
  <si>
    <t>086013</t>
  </si>
  <si>
    <t>PIAZZA ARMERINA</t>
  </si>
  <si>
    <t>086014</t>
  </si>
  <si>
    <t>94015</t>
  </si>
  <si>
    <t>PIETRAPERZIA</t>
  </si>
  <si>
    <t>086015</t>
  </si>
  <si>
    <t>94016</t>
  </si>
  <si>
    <t>REGALBUTO</t>
  </si>
  <si>
    <t>086016</t>
  </si>
  <si>
    <t>94017</t>
  </si>
  <si>
    <t>SPERLINGA</t>
  </si>
  <si>
    <t>086017</t>
  </si>
  <si>
    <t>TROINA</t>
  </si>
  <si>
    <t>086018</t>
  </si>
  <si>
    <t>94018</t>
  </si>
  <si>
    <t>VALGUARNERA CAROPEPE</t>
  </si>
  <si>
    <t>086019</t>
  </si>
  <si>
    <t>94019</t>
  </si>
  <si>
    <t>VILLAROSA</t>
  </si>
  <si>
    <t>086020</t>
  </si>
  <si>
    <t>ACI BONACCORSI</t>
  </si>
  <si>
    <t>087001</t>
  </si>
  <si>
    <t>CT</t>
  </si>
  <si>
    <t>95020</t>
  </si>
  <si>
    <t>ACI CASTELLO</t>
  </si>
  <si>
    <t>087002</t>
  </si>
  <si>
    <t>95021</t>
  </si>
  <si>
    <t>ACI CATENA</t>
  </si>
  <si>
    <t>087003</t>
  </si>
  <si>
    <t>95022</t>
  </si>
  <si>
    <t>ACIREALE</t>
  </si>
  <si>
    <t>087004</t>
  </si>
  <si>
    <t>95024</t>
  </si>
  <si>
    <t>ACI SANT'ANTONIO</t>
  </si>
  <si>
    <t>087005</t>
  </si>
  <si>
    <t>95025</t>
  </si>
  <si>
    <t>ADRANO</t>
  </si>
  <si>
    <t>087006</t>
  </si>
  <si>
    <t>95031</t>
  </si>
  <si>
    <t>BELPASSO</t>
  </si>
  <si>
    <t>087007</t>
  </si>
  <si>
    <t>95032</t>
  </si>
  <si>
    <t>BIANCAVILLA</t>
  </si>
  <si>
    <t>087008</t>
  </si>
  <si>
    <t>95033</t>
  </si>
  <si>
    <t>BRONTE</t>
  </si>
  <si>
    <t>087009</t>
  </si>
  <si>
    <t>95034</t>
  </si>
  <si>
    <t>CALATABIANO</t>
  </si>
  <si>
    <t>087010</t>
  </si>
  <si>
    <t>95011</t>
  </si>
  <si>
    <t>CALTAGIRONE</t>
  </si>
  <si>
    <t>087011</t>
  </si>
  <si>
    <t>95041</t>
  </si>
  <si>
    <t>CAMPOROTONDO ETNEO</t>
  </si>
  <si>
    <t>087012</t>
  </si>
  <si>
    <t>95040</t>
  </si>
  <si>
    <t>CASTEL DI IUDICA</t>
  </si>
  <si>
    <t>087013</t>
  </si>
  <si>
    <t>CASTIGLIONE DI SICILIA</t>
  </si>
  <si>
    <t>087014</t>
  </si>
  <si>
    <t>95012</t>
  </si>
  <si>
    <t>CATANIA</t>
  </si>
  <si>
    <t>087015</t>
  </si>
  <si>
    <t>951xx</t>
  </si>
  <si>
    <t>FIUMEFREDDO DI SICILIA</t>
  </si>
  <si>
    <t>087016</t>
  </si>
  <si>
    <t>95013</t>
  </si>
  <si>
    <t>GIARRE</t>
  </si>
  <si>
    <t>087017</t>
  </si>
  <si>
    <t>95014</t>
  </si>
  <si>
    <t>GRAMMICHELE</t>
  </si>
  <si>
    <t>087018</t>
  </si>
  <si>
    <t>95042</t>
  </si>
  <si>
    <t>GRAVINA DI CATANIA</t>
  </si>
  <si>
    <t>087019</t>
  </si>
  <si>
    <t>95030</t>
  </si>
  <si>
    <t>LICODIA EUBEA</t>
  </si>
  <si>
    <t>087020</t>
  </si>
  <si>
    <t>LINGUAGLOSSA</t>
  </si>
  <si>
    <t>087021</t>
  </si>
  <si>
    <t>95015</t>
  </si>
  <si>
    <t>MALETTO</t>
  </si>
  <si>
    <t>087022</t>
  </si>
  <si>
    <t>95035</t>
  </si>
  <si>
    <t>MASCALI</t>
  </si>
  <si>
    <t>087023</t>
  </si>
  <si>
    <t>95016</t>
  </si>
  <si>
    <t>MASCALUCIA</t>
  </si>
  <si>
    <t>087024</t>
  </si>
  <si>
    <t>MILITELLO IN VAL DI CATANIA</t>
  </si>
  <si>
    <t>087025</t>
  </si>
  <si>
    <t>95043</t>
  </si>
  <si>
    <t>MILO</t>
  </si>
  <si>
    <t>087026</t>
  </si>
  <si>
    <t>95010</t>
  </si>
  <si>
    <t>MINEO</t>
  </si>
  <si>
    <t>087027</t>
  </si>
  <si>
    <t>95044</t>
  </si>
  <si>
    <t>MIRABELLA IMBACCARI</t>
  </si>
  <si>
    <t>087028</t>
  </si>
  <si>
    <t>MISTERBIANCO</t>
  </si>
  <si>
    <t>087029</t>
  </si>
  <si>
    <t>95045</t>
  </si>
  <si>
    <t>MOTTA SANT'ANASTASIA</t>
  </si>
  <si>
    <t>087030</t>
  </si>
  <si>
    <t>NICOLOSI</t>
  </si>
  <si>
    <t>087031</t>
  </si>
  <si>
    <t>PALAGONIA</t>
  </si>
  <si>
    <t>087032</t>
  </si>
  <si>
    <t>95046</t>
  </si>
  <si>
    <t>PATERNÒ</t>
  </si>
  <si>
    <t>087033</t>
  </si>
  <si>
    <t>95047</t>
  </si>
  <si>
    <t>PEDARA</t>
  </si>
  <si>
    <t>087034</t>
  </si>
  <si>
    <t>PIEDIMONTE ETNEO</t>
  </si>
  <si>
    <t>087035</t>
  </si>
  <si>
    <t>95017</t>
  </si>
  <si>
    <t>RADDUSA</t>
  </si>
  <si>
    <t>087036</t>
  </si>
  <si>
    <t>RAMACCA</t>
  </si>
  <si>
    <t>087037</t>
  </si>
  <si>
    <t>RANDAZZO</t>
  </si>
  <si>
    <t>087038</t>
  </si>
  <si>
    <t>95036</t>
  </si>
  <si>
    <t>RIPOSTO</t>
  </si>
  <si>
    <t>087039</t>
  </si>
  <si>
    <t>95018</t>
  </si>
  <si>
    <t>SAN CONO</t>
  </si>
  <si>
    <t>087040</t>
  </si>
  <si>
    <t>SAN GIOVANNI LA PUNTA</t>
  </si>
  <si>
    <t>087041</t>
  </si>
  <si>
    <t>95037</t>
  </si>
  <si>
    <t>SAN GREGORIO DI CATANIA</t>
  </si>
  <si>
    <t>087042</t>
  </si>
  <si>
    <t>95027</t>
  </si>
  <si>
    <t>SAN MICHELE DI GANZARIA</t>
  </si>
  <si>
    <t>087043</t>
  </si>
  <si>
    <t>SAN PIETRO CLARENZA</t>
  </si>
  <si>
    <t>087044</t>
  </si>
  <si>
    <t>SANT'AGATA LI BATTIATI</t>
  </si>
  <si>
    <t>087045</t>
  </si>
  <si>
    <t>SANT'ALFIO</t>
  </si>
  <si>
    <t>087046</t>
  </si>
  <si>
    <t>SANTA MARIA DI LICODIA</t>
  </si>
  <si>
    <t>087047</t>
  </si>
  <si>
    <t>95038</t>
  </si>
  <si>
    <t>SANTA VENERINA</t>
  </si>
  <si>
    <t>087048</t>
  </si>
  <si>
    <t>SCORDIA</t>
  </si>
  <si>
    <t>087049</t>
  </si>
  <si>
    <t>95048</t>
  </si>
  <si>
    <t>TRECASTAGNI</t>
  </si>
  <si>
    <t>087050</t>
  </si>
  <si>
    <t>95039</t>
  </si>
  <si>
    <t>TREMESTIERI ETNEO</t>
  </si>
  <si>
    <t>087051</t>
  </si>
  <si>
    <t>VALVERDE</t>
  </si>
  <si>
    <t>087052</t>
  </si>
  <si>
    <t>VIAGRANDE</t>
  </si>
  <si>
    <t>087053</t>
  </si>
  <si>
    <t>95029</t>
  </si>
  <si>
    <t>VIZZINI</t>
  </si>
  <si>
    <t>087054</t>
  </si>
  <si>
    <t>95049</t>
  </si>
  <si>
    <t>ZAFFERANA ETNEA</t>
  </si>
  <si>
    <t>087055</t>
  </si>
  <si>
    <t>95019</t>
  </si>
  <si>
    <t>MAZZARRONE</t>
  </si>
  <si>
    <t>087056</t>
  </si>
  <si>
    <t>MANIACE</t>
  </si>
  <si>
    <t>087057</t>
  </si>
  <si>
    <t>RAGALNA</t>
  </si>
  <si>
    <t>087058</t>
  </si>
  <si>
    <t>ACATE</t>
  </si>
  <si>
    <t>088001</t>
  </si>
  <si>
    <t>RG</t>
  </si>
  <si>
    <t>97011</t>
  </si>
  <si>
    <t>CHIARAMONTE GULFI</t>
  </si>
  <si>
    <t>088002</t>
  </si>
  <si>
    <t>97012</t>
  </si>
  <si>
    <t>COMISO</t>
  </si>
  <si>
    <t>088003</t>
  </si>
  <si>
    <t>97013</t>
  </si>
  <si>
    <t>GIARRATANA</t>
  </si>
  <si>
    <t>088004</t>
  </si>
  <si>
    <t>97010</t>
  </si>
  <si>
    <t>ISPICA</t>
  </si>
  <si>
    <t>088005</t>
  </si>
  <si>
    <t>97014</t>
  </si>
  <si>
    <t>MODICA</t>
  </si>
  <si>
    <t>088006</t>
  </si>
  <si>
    <t>97015</t>
  </si>
  <si>
    <t>MONTEROSSO ALMO</t>
  </si>
  <si>
    <t>088007</t>
  </si>
  <si>
    <t>POZZALLO</t>
  </si>
  <si>
    <t>088008</t>
  </si>
  <si>
    <t>97016</t>
  </si>
  <si>
    <t>RAGUSA</t>
  </si>
  <si>
    <t>088009</t>
  </si>
  <si>
    <t>97100</t>
  </si>
  <si>
    <t>SANTA CROCE CAMERINA</t>
  </si>
  <si>
    <t>088010</t>
  </si>
  <si>
    <t>97017</t>
  </si>
  <si>
    <t>SCICLI</t>
  </si>
  <si>
    <t>088011</t>
  </si>
  <si>
    <t>97018</t>
  </si>
  <si>
    <t>VITTORIA</t>
  </si>
  <si>
    <t>088012</t>
  </si>
  <si>
    <t>97019</t>
  </si>
  <si>
    <t>AUGUSTA</t>
  </si>
  <si>
    <t>089001</t>
  </si>
  <si>
    <t>SR</t>
  </si>
  <si>
    <t>96011</t>
  </si>
  <si>
    <t>AVOLA</t>
  </si>
  <si>
    <t>089002</t>
  </si>
  <si>
    <t>96012</t>
  </si>
  <si>
    <t>BUCCHERI</t>
  </si>
  <si>
    <t>089003</t>
  </si>
  <si>
    <t>96010</t>
  </si>
  <si>
    <t>BUSCEMI</t>
  </si>
  <si>
    <t>089004</t>
  </si>
  <si>
    <t>CANICATTINI BAGNI</t>
  </si>
  <si>
    <t>089005</t>
  </si>
  <si>
    <t>CARLENTINI</t>
  </si>
  <si>
    <t>089006</t>
  </si>
  <si>
    <t>96013</t>
  </si>
  <si>
    <t>CASSARO</t>
  </si>
  <si>
    <t>089007</t>
  </si>
  <si>
    <t>FERLA</t>
  </si>
  <si>
    <t>089008</t>
  </si>
  <si>
    <t>FLORIDIA</t>
  </si>
  <si>
    <t>089009</t>
  </si>
  <si>
    <t>96014</t>
  </si>
  <si>
    <t>FRANCOFONTE</t>
  </si>
  <si>
    <t>089010</t>
  </si>
  <si>
    <t>96015</t>
  </si>
  <si>
    <t>LENTINI</t>
  </si>
  <si>
    <t>089011</t>
  </si>
  <si>
    <t>96016</t>
  </si>
  <si>
    <t>MELILLI</t>
  </si>
  <si>
    <t>089012</t>
  </si>
  <si>
    <t>NOTO</t>
  </si>
  <si>
    <t>089013</t>
  </si>
  <si>
    <t>96017</t>
  </si>
  <si>
    <t>PACHINO</t>
  </si>
  <si>
    <t>089014</t>
  </si>
  <si>
    <t>96018</t>
  </si>
  <si>
    <t>PALAZZOLO ACREIDE</t>
  </si>
  <si>
    <t>089015</t>
  </si>
  <si>
    <t>ROSOLINI</t>
  </si>
  <si>
    <t>089016</t>
  </si>
  <si>
    <t>96019</t>
  </si>
  <si>
    <t>SIRACUSA</t>
  </si>
  <si>
    <t>089017</t>
  </si>
  <si>
    <t>96100</t>
  </si>
  <si>
    <t>SOLARINO</t>
  </si>
  <si>
    <t>089018</t>
  </si>
  <si>
    <t>SORTINO</t>
  </si>
  <si>
    <t>089019</t>
  </si>
  <si>
    <t>PORTOPALO DI CAPO PASSERO</t>
  </si>
  <si>
    <t>089020</t>
  </si>
  <si>
    <t>PRIOLO GARGALLO</t>
  </si>
  <si>
    <t>089021</t>
  </si>
  <si>
    <t>AGGIUS</t>
  </si>
  <si>
    <t>090001</t>
  </si>
  <si>
    <t>SS</t>
  </si>
  <si>
    <t>OT</t>
  </si>
  <si>
    <t>07020</t>
  </si>
  <si>
    <t>ALÀ DEI SARDI</t>
  </si>
  <si>
    <t>090002</t>
  </si>
  <si>
    <t>ALGHERO</t>
  </si>
  <si>
    <t>090003</t>
  </si>
  <si>
    <t>07041</t>
  </si>
  <si>
    <t>ANELA</t>
  </si>
  <si>
    <t>090004</t>
  </si>
  <si>
    <t>07010</t>
  </si>
  <si>
    <t>ARDARA</t>
  </si>
  <si>
    <t>090005</t>
  </si>
  <si>
    <t>ARZACHENA</t>
  </si>
  <si>
    <t>090006</t>
  </si>
  <si>
    <t>07021</t>
  </si>
  <si>
    <t>BANARI</t>
  </si>
  <si>
    <t>090007</t>
  </si>
  <si>
    <t>07040</t>
  </si>
  <si>
    <t>BENETUTTI</t>
  </si>
  <si>
    <t>090008</t>
  </si>
  <si>
    <t>BERCHIDDA</t>
  </si>
  <si>
    <t>090009</t>
  </si>
  <si>
    <t>07022</t>
  </si>
  <si>
    <t>BESSUDE</t>
  </si>
  <si>
    <t>090010</t>
  </si>
  <si>
    <t>BONNANARO</t>
  </si>
  <si>
    <t>090011</t>
  </si>
  <si>
    <t>07043</t>
  </si>
  <si>
    <t>BONO</t>
  </si>
  <si>
    <t>090012</t>
  </si>
  <si>
    <t>07011</t>
  </si>
  <si>
    <t>BONORVA</t>
  </si>
  <si>
    <t>090013</t>
  </si>
  <si>
    <t>07012</t>
  </si>
  <si>
    <t>BORTIGIADAS</t>
  </si>
  <si>
    <t>090014</t>
  </si>
  <si>
    <t>07030</t>
  </si>
  <si>
    <t>BORUTTA</t>
  </si>
  <si>
    <t>090015</t>
  </si>
  <si>
    <t>BOTTIDDA</t>
  </si>
  <si>
    <t>090016</t>
  </si>
  <si>
    <t>BUDDUSÒ</t>
  </si>
  <si>
    <t>090017</t>
  </si>
  <si>
    <t>BULTEI</t>
  </si>
  <si>
    <t>090018</t>
  </si>
  <si>
    <t>BULZI</t>
  </si>
  <si>
    <t>090019</t>
  </si>
  <si>
    <t>BURGOS</t>
  </si>
  <si>
    <t>090020</t>
  </si>
  <si>
    <t>CALANGIANUS</t>
  </si>
  <si>
    <t>090021</t>
  </si>
  <si>
    <t>07023</t>
  </si>
  <si>
    <t>CARGEGHE</t>
  </si>
  <si>
    <t>090022</t>
  </si>
  <si>
    <t>CASTELSARDO</t>
  </si>
  <si>
    <t>090023</t>
  </si>
  <si>
    <t>07031</t>
  </si>
  <si>
    <t>CHEREMULE</t>
  </si>
  <si>
    <t>090024</t>
  </si>
  <si>
    <t>CHIARAMONTI</t>
  </si>
  <si>
    <t>090025</t>
  </si>
  <si>
    <t>CODRONGIANOS</t>
  </si>
  <si>
    <t>090026</t>
  </si>
  <si>
    <t>COSSOINE</t>
  </si>
  <si>
    <t>090027</t>
  </si>
  <si>
    <t>ESPORLATU</t>
  </si>
  <si>
    <t>090028</t>
  </si>
  <si>
    <t>FLORINAS</t>
  </si>
  <si>
    <t>090029</t>
  </si>
  <si>
    <t>GIAVE</t>
  </si>
  <si>
    <t>090030</t>
  </si>
  <si>
    <t>ILLORAI</t>
  </si>
  <si>
    <t>090031</t>
  </si>
  <si>
    <t>ITTIREDDU</t>
  </si>
  <si>
    <t>090032</t>
  </si>
  <si>
    <t>ITTIRI</t>
  </si>
  <si>
    <t>090033</t>
  </si>
  <si>
    <t>07044</t>
  </si>
  <si>
    <t>LAERRU</t>
  </si>
  <si>
    <t>090034</t>
  </si>
  <si>
    <t>LA MADDALENA</t>
  </si>
  <si>
    <t>090035</t>
  </si>
  <si>
    <t>07024</t>
  </si>
  <si>
    <t>LUOGOSANTO</t>
  </si>
  <si>
    <t>090036</t>
  </si>
  <si>
    <t>LURAS</t>
  </si>
  <si>
    <t>090037</t>
  </si>
  <si>
    <t>07025</t>
  </si>
  <si>
    <t>MARA</t>
  </si>
  <si>
    <t>090038</t>
  </si>
  <si>
    <t>MARTIS</t>
  </si>
  <si>
    <t>090039</t>
  </si>
  <si>
    <t>MONTELEONE ROCCA DORIA</t>
  </si>
  <si>
    <t>090040</t>
  </si>
  <si>
    <t>MONTI</t>
  </si>
  <si>
    <t>090041</t>
  </si>
  <si>
    <t>MORES</t>
  </si>
  <si>
    <t>090042</t>
  </si>
  <si>
    <t>07013</t>
  </si>
  <si>
    <t>MUROS</t>
  </si>
  <si>
    <t>090043</t>
  </si>
  <si>
    <t>NUGHEDU SAN NICOLÒ</t>
  </si>
  <si>
    <t>090044</t>
  </si>
  <si>
    <t>NULE</t>
  </si>
  <si>
    <t>090045</t>
  </si>
  <si>
    <t>NULVI</t>
  </si>
  <si>
    <t>090046</t>
  </si>
  <si>
    <t>07032</t>
  </si>
  <si>
    <t>OLBIA</t>
  </si>
  <si>
    <t>090047</t>
  </si>
  <si>
    <t>07026</t>
  </si>
  <si>
    <t>OLMEDO</t>
  </si>
  <si>
    <t>090048</t>
  </si>
  <si>
    <t>OSCHIRI</t>
  </si>
  <si>
    <t>090049</t>
  </si>
  <si>
    <t>07027</t>
  </si>
  <si>
    <t>OSILO</t>
  </si>
  <si>
    <t>090050</t>
  </si>
  <si>
    <t>07033</t>
  </si>
  <si>
    <t>OSSI</t>
  </si>
  <si>
    <t>090051</t>
  </si>
  <si>
    <t>07045</t>
  </si>
  <si>
    <t>OZIERI</t>
  </si>
  <si>
    <t>090052</t>
  </si>
  <si>
    <t>07014</t>
  </si>
  <si>
    <t>PADRIA</t>
  </si>
  <si>
    <t>090053</t>
  </si>
  <si>
    <t>07015</t>
  </si>
  <si>
    <t>PALAU</t>
  </si>
  <si>
    <t>090054</t>
  </si>
  <si>
    <t>PATTADA</t>
  </si>
  <si>
    <t>090055</t>
  </si>
  <si>
    <t>07016</t>
  </si>
  <si>
    <t>PERFUGAS</t>
  </si>
  <si>
    <t>090056</t>
  </si>
  <si>
    <t>07034</t>
  </si>
  <si>
    <t>PLOAGHE</t>
  </si>
  <si>
    <t>090057</t>
  </si>
  <si>
    <t>07017</t>
  </si>
  <si>
    <t>PORTO TORRES</t>
  </si>
  <si>
    <t>090058</t>
  </si>
  <si>
    <t>07046</t>
  </si>
  <si>
    <t>POZZOMAGGIORE</t>
  </si>
  <si>
    <t>090059</t>
  </si>
  <si>
    <t>07018</t>
  </si>
  <si>
    <t>PUTIFIGARI</t>
  </si>
  <si>
    <t>090060</t>
  </si>
  <si>
    <t>ROMANA</t>
  </si>
  <si>
    <t>090061</t>
  </si>
  <si>
    <t>AGLIENTU</t>
  </si>
  <si>
    <t>090062</t>
  </si>
  <si>
    <t>SANTA TERESA GALLURA</t>
  </si>
  <si>
    <t>090063</t>
  </si>
  <si>
    <t>07028</t>
  </si>
  <si>
    <t>SASSARI</t>
  </si>
  <si>
    <t>090064</t>
  </si>
  <si>
    <t>07100</t>
  </si>
  <si>
    <t>SEDINI</t>
  </si>
  <si>
    <t>090065</t>
  </si>
  <si>
    <t>07035</t>
  </si>
  <si>
    <t>SEMESTENE</t>
  </si>
  <si>
    <t>090066</t>
  </si>
  <si>
    <t>SENNORI</t>
  </si>
  <si>
    <t>090067</t>
  </si>
  <si>
    <t>07036</t>
  </si>
  <si>
    <t>SILIGO</t>
  </si>
  <si>
    <t>090068</t>
  </si>
  <si>
    <t>SORSO</t>
  </si>
  <si>
    <t>090069</t>
  </si>
  <si>
    <t>07037</t>
  </si>
  <si>
    <t>TEMPIO PAUSANIA</t>
  </si>
  <si>
    <t>090070</t>
  </si>
  <si>
    <t>07029</t>
  </si>
  <si>
    <t>THIESI</t>
  </si>
  <si>
    <t>090071</t>
  </si>
  <si>
    <t>07047</t>
  </si>
  <si>
    <t>TISSI</t>
  </si>
  <si>
    <t>090072</t>
  </si>
  <si>
    <t>TORRALBA</t>
  </si>
  <si>
    <t>090073</t>
  </si>
  <si>
    <t>07048</t>
  </si>
  <si>
    <t>TRINITÀ D'AGULTU E VIGNOLA</t>
  </si>
  <si>
    <t>090074</t>
  </si>
  <si>
    <t>07038</t>
  </si>
  <si>
    <t>TULA</t>
  </si>
  <si>
    <t>090075</t>
  </si>
  <si>
    <t>URI</t>
  </si>
  <si>
    <t>090076</t>
  </si>
  <si>
    <t>USINI</t>
  </si>
  <si>
    <t>090077</t>
  </si>
  <si>
    <t>07049</t>
  </si>
  <si>
    <t>VILLANOVA MONTELEONE</t>
  </si>
  <si>
    <t>090078</t>
  </si>
  <si>
    <t>07019</t>
  </si>
  <si>
    <t>VALLEDORIA</t>
  </si>
  <si>
    <t>090079</t>
  </si>
  <si>
    <t>07039</t>
  </si>
  <si>
    <t>TELTI</t>
  </si>
  <si>
    <t>090080</t>
  </si>
  <si>
    <t>BADESI</t>
  </si>
  <si>
    <t>090081</t>
  </si>
  <si>
    <t>VIDDALBA</t>
  </si>
  <si>
    <t>090082</t>
  </si>
  <si>
    <t>GOLFO ARANCI</t>
  </si>
  <si>
    <t>090083</t>
  </si>
  <si>
    <t>LOIRI PORTO SAN PAOLO</t>
  </si>
  <si>
    <t>090084</t>
  </si>
  <si>
    <t>SANT'ANTONIO DI GALLURA</t>
  </si>
  <si>
    <t>090085</t>
  </si>
  <si>
    <t>TERGU</t>
  </si>
  <si>
    <t>090086</t>
  </si>
  <si>
    <t>SANTA MARIA COGHINAS</t>
  </si>
  <si>
    <t>090087</t>
  </si>
  <si>
    <t>ERULA</t>
  </si>
  <si>
    <t>090088</t>
  </si>
  <si>
    <t>STINTINO</t>
  </si>
  <si>
    <t>090089</t>
  </si>
  <si>
    <t>PADRU</t>
  </si>
  <si>
    <t>090090</t>
  </si>
  <si>
    <t>BUDONI</t>
  </si>
  <si>
    <t>090091</t>
  </si>
  <si>
    <t>08020</t>
  </si>
  <si>
    <t>090092</t>
  </si>
  <si>
    <t>ARITZO</t>
  </si>
  <si>
    <t>091001</t>
  </si>
  <si>
    <t>NU</t>
  </si>
  <si>
    <t>08031</t>
  </si>
  <si>
    <t>ARZANA</t>
  </si>
  <si>
    <t>091002</t>
  </si>
  <si>
    <t>OG</t>
  </si>
  <si>
    <t>08040</t>
  </si>
  <si>
    <t>ATZARA</t>
  </si>
  <si>
    <t>091003</t>
  </si>
  <si>
    <t>08030</t>
  </si>
  <si>
    <t>AUSTIS</t>
  </si>
  <si>
    <t>091004</t>
  </si>
  <si>
    <t>BARI SARDO</t>
  </si>
  <si>
    <t>091005</t>
  </si>
  <si>
    <t>08042</t>
  </si>
  <si>
    <t>BAUNEI</t>
  </si>
  <si>
    <t>091006</t>
  </si>
  <si>
    <t>BELVÌ</t>
  </si>
  <si>
    <t>091007</t>
  </si>
  <si>
    <t>BIRORI</t>
  </si>
  <si>
    <t>091008</t>
  </si>
  <si>
    <t>08010</t>
  </si>
  <si>
    <t>BITTI</t>
  </si>
  <si>
    <t>091009</t>
  </si>
  <si>
    <t>08021</t>
  </si>
  <si>
    <t>BOLOTANA</t>
  </si>
  <si>
    <t>091010</t>
  </si>
  <si>
    <t>08011</t>
  </si>
  <si>
    <t>BORORE</t>
  </si>
  <si>
    <t>091011</t>
  </si>
  <si>
    <t>08016</t>
  </si>
  <si>
    <t>BORTIGALI</t>
  </si>
  <si>
    <t>091012</t>
  </si>
  <si>
    <t>08012</t>
  </si>
  <si>
    <t>DESULO</t>
  </si>
  <si>
    <t>091016</t>
  </si>
  <si>
    <t>08032</t>
  </si>
  <si>
    <t>DORGALI</t>
  </si>
  <si>
    <t>091017</t>
  </si>
  <si>
    <t>08022</t>
  </si>
  <si>
    <t>DUALCHI</t>
  </si>
  <si>
    <t>091018</t>
  </si>
  <si>
    <t>ELINI</t>
  </si>
  <si>
    <t>091019</t>
  </si>
  <si>
    <t>FONNI</t>
  </si>
  <si>
    <t>091024</t>
  </si>
  <si>
    <t>08023</t>
  </si>
  <si>
    <t>GADONI</t>
  </si>
  <si>
    <t>091025</t>
  </si>
  <si>
    <t>GAIRO</t>
  </si>
  <si>
    <t>091026</t>
  </si>
  <si>
    <t>GALTELLÌ</t>
  </si>
  <si>
    <t>091027</t>
  </si>
  <si>
    <t>GAVOI</t>
  </si>
  <si>
    <t>091028</t>
  </si>
  <si>
    <t>GIRASOLE</t>
  </si>
  <si>
    <t>091031</t>
  </si>
  <si>
    <t>ILBONO</t>
  </si>
  <si>
    <t>091032</t>
  </si>
  <si>
    <t>IRGOLI</t>
  </si>
  <si>
    <t>091033</t>
  </si>
  <si>
    <t>JERZU</t>
  </si>
  <si>
    <t>091035</t>
  </si>
  <si>
    <t>08044</t>
  </si>
  <si>
    <t>LANUSEI</t>
  </si>
  <si>
    <t>091037</t>
  </si>
  <si>
    <t>08045</t>
  </si>
  <si>
    <t>LEI</t>
  </si>
  <si>
    <t>091038</t>
  </si>
  <si>
    <t>LOCERI</t>
  </si>
  <si>
    <t>091039</t>
  </si>
  <si>
    <t>LOCULI</t>
  </si>
  <si>
    <t>091040</t>
  </si>
  <si>
    <t>LODÈ</t>
  </si>
  <si>
    <t>091041</t>
  </si>
  <si>
    <t>LOTZORAI</t>
  </si>
  <si>
    <t>091042</t>
  </si>
  <si>
    <t>LULA</t>
  </si>
  <si>
    <t>091043</t>
  </si>
  <si>
    <t>MACOMER</t>
  </si>
  <si>
    <t>091044</t>
  </si>
  <si>
    <t>08015</t>
  </si>
  <si>
    <t>MAMOIADA</t>
  </si>
  <si>
    <t>091046</t>
  </si>
  <si>
    <t>08024</t>
  </si>
  <si>
    <t>MEANA SARDO</t>
  </si>
  <si>
    <t>091047</t>
  </si>
  <si>
    <t>NORAGUGUME</t>
  </si>
  <si>
    <t>091050</t>
  </si>
  <si>
    <t>NUORO</t>
  </si>
  <si>
    <t>091051</t>
  </si>
  <si>
    <t>08100</t>
  </si>
  <si>
    <t>OLIENA</t>
  </si>
  <si>
    <t>091055</t>
  </si>
  <si>
    <t>08025</t>
  </si>
  <si>
    <t>OLLOLAI</t>
  </si>
  <si>
    <t>091056</t>
  </si>
  <si>
    <t>OLZAI</t>
  </si>
  <si>
    <t>091057</t>
  </si>
  <si>
    <t>ONANÌ</t>
  </si>
  <si>
    <t>091058</t>
  </si>
  <si>
    <t>ONIFAI</t>
  </si>
  <si>
    <t>091059</t>
  </si>
  <si>
    <t>ONIFERI</t>
  </si>
  <si>
    <t>091060</t>
  </si>
  <si>
    <t>ORANI</t>
  </si>
  <si>
    <t>091061</t>
  </si>
  <si>
    <t>08026</t>
  </si>
  <si>
    <t>ORGOSOLO</t>
  </si>
  <si>
    <t>091062</t>
  </si>
  <si>
    <t>08027</t>
  </si>
  <si>
    <t>OROSEI</t>
  </si>
  <si>
    <t>091063</t>
  </si>
  <si>
    <t>08028</t>
  </si>
  <si>
    <t>OROTELLI</t>
  </si>
  <si>
    <t>091064</t>
  </si>
  <si>
    <t>ORTUERI</t>
  </si>
  <si>
    <t>091066</t>
  </si>
  <si>
    <t>08036</t>
  </si>
  <si>
    <t>ORUNE</t>
  </si>
  <si>
    <t>091067</t>
  </si>
  <si>
    <t>OSIDDA</t>
  </si>
  <si>
    <t>091068</t>
  </si>
  <si>
    <t>OSINI</t>
  </si>
  <si>
    <t>091069</t>
  </si>
  <si>
    <t>OTTANA</t>
  </si>
  <si>
    <t>091070</t>
  </si>
  <si>
    <t>OVODDA</t>
  </si>
  <si>
    <t>091071</t>
  </si>
  <si>
    <t>PERDASDEFOGU</t>
  </si>
  <si>
    <t>091072</t>
  </si>
  <si>
    <t>08046</t>
  </si>
  <si>
    <t>POSADA</t>
  </si>
  <si>
    <t>091073</t>
  </si>
  <si>
    <t>SARULE</t>
  </si>
  <si>
    <t>091077</t>
  </si>
  <si>
    <t>SILANUS</t>
  </si>
  <si>
    <t>091083</t>
  </si>
  <si>
    <t>08017</t>
  </si>
  <si>
    <t>SINDIA</t>
  </si>
  <si>
    <t>091084</t>
  </si>
  <si>
    <t>08018</t>
  </si>
  <si>
    <t>SINISCOLA</t>
  </si>
  <si>
    <t>091085</t>
  </si>
  <si>
    <t>08029</t>
  </si>
  <si>
    <t>SORGONO</t>
  </si>
  <si>
    <t>091086</t>
  </si>
  <si>
    <t>08038</t>
  </si>
  <si>
    <t>TALANA</t>
  </si>
  <si>
    <t>091088</t>
  </si>
  <si>
    <t>TERTENIA</t>
  </si>
  <si>
    <t>091089</t>
  </si>
  <si>
    <t>08047</t>
  </si>
  <si>
    <t>TETI</t>
  </si>
  <si>
    <t>091090</t>
  </si>
  <si>
    <t>TIANA</t>
  </si>
  <si>
    <t>091091</t>
  </si>
  <si>
    <t>TONARA</t>
  </si>
  <si>
    <t>091093</t>
  </si>
  <si>
    <t>08039</t>
  </si>
  <si>
    <t>TORPÈ</t>
  </si>
  <si>
    <t>091094</t>
  </si>
  <si>
    <t>TORTOLÌ</t>
  </si>
  <si>
    <t>091095</t>
  </si>
  <si>
    <t>08048</t>
  </si>
  <si>
    <t>TRIEI</t>
  </si>
  <si>
    <t>091097</t>
  </si>
  <si>
    <t>ULASSAI</t>
  </si>
  <si>
    <t>091098</t>
  </si>
  <si>
    <t>URZULEI</t>
  </si>
  <si>
    <t>091099</t>
  </si>
  <si>
    <t>USSASSAI</t>
  </si>
  <si>
    <t>091100</t>
  </si>
  <si>
    <t>VILLAGRANDE STRISAILI</t>
  </si>
  <si>
    <t>091101</t>
  </si>
  <si>
    <t>08049</t>
  </si>
  <si>
    <t>CARDEDU</t>
  </si>
  <si>
    <t>091103</t>
  </si>
  <si>
    <t>LODINE</t>
  </si>
  <si>
    <t>091104</t>
  </si>
  <si>
    <t>ASSEMINI</t>
  </si>
  <si>
    <t>092003</t>
  </si>
  <si>
    <t>CA</t>
  </si>
  <si>
    <t>09032</t>
  </si>
  <si>
    <t>CAGLIARI</t>
  </si>
  <si>
    <t>092009</t>
  </si>
  <si>
    <t>091xx</t>
  </si>
  <si>
    <t>CAPOTERRA</t>
  </si>
  <si>
    <t>092011</t>
  </si>
  <si>
    <t>09012</t>
  </si>
  <si>
    <t>DECIMOMANNU</t>
  </si>
  <si>
    <t>092015</t>
  </si>
  <si>
    <t>09033</t>
  </si>
  <si>
    <t>MARACALAGONIS</t>
  </si>
  <si>
    <t>092037</t>
  </si>
  <si>
    <t>09040</t>
  </si>
  <si>
    <t>PULA</t>
  </si>
  <si>
    <t>092050</t>
  </si>
  <si>
    <t>09010</t>
  </si>
  <si>
    <t>QUARTU SANT'ELENA</t>
  </si>
  <si>
    <t>092051</t>
  </si>
  <si>
    <t>09045</t>
  </si>
  <si>
    <t>SARROCH</t>
  </si>
  <si>
    <t>092066</t>
  </si>
  <si>
    <t>09018</t>
  </si>
  <si>
    <t>SELARGIUS</t>
  </si>
  <si>
    <t>092068</t>
  </si>
  <si>
    <t>09047</t>
  </si>
  <si>
    <t>SESTU</t>
  </si>
  <si>
    <t>092074</t>
  </si>
  <si>
    <t>09028</t>
  </si>
  <si>
    <t>SETTIMO SAN PIETRO</t>
  </si>
  <si>
    <t>092075</t>
  </si>
  <si>
    <t>SINNAI</t>
  </si>
  <si>
    <t>092080</t>
  </si>
  <si>
    <t>09048</t>
  </si>
  <si>
    <t>UTA</t>
  </si>
  <si>
    <t>092090</t>
  </si>
  <si>
    <t>VILLA SAN PIETRO</t>
  </si>
  <si>
    <t>092099</t>
  </si>
  <si>
    <t>QUARTUCCIU</t>
  </si>
  <si>
    <t>092105</t>
  </si>
  <si>
    <t>09044</t>
  </si>
  <si>
    <t>ELMAS</t>
  </si>
  <si>
    <t>092108</t>
  </si>
  <si>
    <t>09030</t>
  </si>
  <si>
    <t>MONSERRATO</t>
  </si>
  <si>
    <t>092109</t>
  </si>
  <si>
    <t>09042</t>
  </si>
  <si>
    <t>ANDREIS</t>
  </si>
  <si>
    <t>093001</t>
  </si>
  <si>
    <t>PN</t>
  </si>
  <si>
    <t>33080</t>
  </si>
  <si>
    <t>ARBA</t>
  </si>
  <si>
    <t>093002</t>
  </si>
  <si>
    <t>33090</t>
  </si>
  <si>
    <t>AVIANO</t>
  </si>
  <si>
    <t>093004</t>
  </si>
  <si>
    <t>33081</t>
  </si>
  <si>
    <t>AZZANO DECIMO</t>
  </si>
  <si>
    <t>093005</t>
  </si>
  <si>
    <t>33082</t>
  </si>
  <si>
    <t>BARCIS</t>
  </si>
  <si>
    <t>093006</t>
  </si>
  <si>
    <t>BRUGNERA</t>
  </si>
  <si>
    <t>093007</t>
  </si>
  <si>
    <t>33070</t>
  </si>
  <si>
    <t>BUDOIA</t>
  </si>
  <si>
    <t>093008</t>
  </si>
  <si>
    <t>CANEVA</t>
  </si>
  <si>
    <t>093009</t>
  </si>
  <si>
    <t>CASARSA DELLA DELIZIA</t>
  </si>
  <si>
    <t>093010</t>
  </si>
  <si>
    <t>33072</t>
  </si>
  <si>
    <t>CASTELNOVO DEL FRIULI</t>
  </si>
  <si>
    <t>093011</t>
  </si>
  <si>
    <t>CAVASSO NUOVO</t>
  </si>
  <si>
    <t>093012</t>
  </si>
  <si>
    <t>33092</t>
  </si>
  <si>
    <t>CHIONS</t>
  </si>
  <si>
    <t>093013</t>
  </si>
  <si>
    <t>33083</t>
  </si>
  <si>
    <t>CIMOLAIS</t>
  </si>
  <si>
    <t>093014</t>
  </si>
  <si>
    <t>CLAUT</t>
  </si>
  <si>
    <t>093015</t>
  </si>
  <si>
    <t>CLAUZETTO</t>
  </si>
  <si>
    <t>093016</t>
  </si>
  <si>
    <t>CORDENONS</t>
  </si>
  <si>
    <t>093017</t>
  </si>
  <si>
    <t>33084</t>
  </si>
  <si>
    <t>CORDOVADO</t>
  </si>
  <si>
    <t>093018</t>
  </si>
  <si>
    <t>33075</t>
  </si>
  <si>
    <t>ERTO E CASSO</t>
  </si>
  <si>
    <t>093019</t>
  </si>
  <si>
    <t>FANNA</t>
  </si>
  <si>
    <t>093020</t>
  </si>
  <si>
    <t>FIUME VENETO</t>
  </si>
  <si>
    <t>093021</t>
  </si>
  <si>
    <t>FONTANAFREDDA</t>
  </si>
  <si>
    <t>093022</t>
  </si>
  <si>
    <t>33074</t>
  </si>
  <si>
    <t>FRISANCO</t>
  </si>
  <si>
    <t>093024</t>
  </si>
  <si>
    <t>MANIAGO</t>
  </si>
  <si>
    <t>093025</t>
  </si>
  <si>
    <t>33085</t>
  </si>
  <si>
    <t>MEDUNO</t>
  </si>
  <si>
    <t>093026</t>
  </si>
  <si>
    <t>MONTEREALE VALCELLINA</t>
  </si>
  <si>
    <t>093027</t>
  </si>
  <si>
    <t>33086</t>
  </si>
  <si>
    <t>MORSANO AL TAGLIAMENTO</t>
  </si>
  <si>
    <t>093028</t>
  </si>
  <si>
    <t>PASIANO DI PORDENONE</t>
  </si>
  <si>
    <t>093029</t>
  </si>
  <si>
    <t>33087</t>
  </si>
  <si>
    <t>PINZANO AL TAGLIAMENTO</t>
  </si>
  <si>
    <t>093030</t>
  </si>
  <si>
    <t>33094</t>
  </si>
  <si>
    <t>POLCENIGO</t>
  </si>
  <si>
    <t>093031</t>
  </si>
  <si>
    <t>PORCIA</t>
  </si>
  <si>
    <t>093032</t>
  </si>
  <si>
    <t>PORDENONE</t>
  </si>
  <si>
    <t>093033</t>
  </si>
  <si>
    <t>33170</t>
  </si>
  <si>
    <t>PRATA DI PORDENONE</t>
  </si>
  <si>
    <t>093034</t>
  </si>
  <si>
    <t>PRAVISDOMINI</t>
  </si>
  <si>
    <t>093035</t>
  </si>
  <si>
    <t>33076</t>
  </si>
  <si>
    <t>ROVEREDO IN PIANO</t>
  </si>
  <si>
    <t>093036</t>
  </si>
  <si>
    <t>SACILE</t>
  </si>
  <si>
    <t>093037</t>
  </si>
  <si>
    <t>33077</t>
  </si>
  <si>
    <t>SAN GIORGIO DELLA RICHINVELDA</t>
  </si>
  <si>
    <t>093038</t>
  </si>
  <si>
    <t>33095</t>
  </si>
  <si>
    <t>SAN MARTINO AL TAGLIAMENTO</t>
  </si>
  <si>
    <t>093039</t>
  </si>
  <si>
    <t>33098</t>
  </si>
  <si>
    <t>SAN QUIRINO</t>
  </si>
  <si>
    <t>093040</t>
  </si>
  <si>
    <t>SAN VITO AL TAGLIAMENTO</t>
  </si>
  <si>
    <t>093041</t>
  </si>
  <si>
    <t>33078</t>
  </si>
  <si>
    <t>SEQUALS</t>
  </si>
  <si>
    <t>093042</t>
  </si>
  <si>
    <t>SESTO AL REGHENA</t>
  </si>
  <si>
    <t>093043</t>
  </si>
  <si>
    <t>33079</t>
  </si>
  <si>
    <t>SPILIMBERGO</t>
  </si>
  <si>
    <t>093044</t>
  </si>
  <si>
    <t>33097</t>
  </si>
  <si>
    <t>TRAMONTI DI SOPRA</t>
  </si>
  <si>
    <t>093045</t>
  </si>
  <si>
    <t>TRAMONTI DI SOTTO</t>
  </si>
  <si>
    <t>093046</t>
  </si>
  <si>
    <t>TRAVESIO</t>
  </si>
  <si>
    <t>093047</t>
  </si>
  <si>
    <t>VITO D'ASIO</t>
  </si>
  <si>
    <t>093049</t>
  </si>
  <si>
    <t>VIVARO</t>
  </si>
  <si>
    <t>093050</t>
  </si>
  <si>
    <t>33099</t>
  </si>
  <si>
    <t>ZOPPOLA</t>
  </si>
  <si>
    <t>093051</t>
  </si>
  <si>
    <t>VAJONT</t>
  </si>
  <si>
    <t>093052</t>
  </si>
  <si>
    <t>VALVASONE ARZENE</t>
  </si>
  <si>
    <t>093053</t>
  </si>
  <si>
    <t>ACQUAVIVA D'ISERNIA</t>
  </si>
  <si>
    <t>094001</t>
  </si>
  <si>
    <t>IS</t>
  </si>
  <si>
    <t>86080</t>
  </si>
  <si>
    <t>AGNONE</t>
  </si>
  <si>
    <t>094002</t>
  </si>
  <si>
    <t>86081</t>
  </si>
  <si>
    <t>BAGNOLI DEL TRIGNO</t>
  </si>
  <si>
    <t>094003</t>
  </si>
  <si>
    <t>86091</t>
  </si>
  <si>
    <t>BELMONTE DEL SANNIO</t>
  </si>
  <si>
    <t>094004</t>
  </si>
  <si>
    <t>CANTALUPO NEL SANNIO</t>
  </si>
  <si>
    <t>094005</t>
  </si>
  <si>
    <t>86092</t>
  </si>
  <si>
    <t>CAPRACOTTA</t>
  </si>
  <si>
    <t>094006</t>
  </si>
  <si>
    <t>86082</t>
  </si>
  <si>
    <t>CAROVILLI</t>
  </si>
  <si>
    <t>094007</t>
  </si>
  <si>
    <t>86083</t>
  </si>
  <si>
    <t>CARPINONE</t>
  </si>
  <si>
    <t>094008</t>
  </si>
  <si>
    <t>86093</t>
  </si>
  <si>
    <t>CASTEL DEL GIUDICE</t>
  </si>
  <si>
    <t>094009</t>
  </si>
  <si>
    <t>CASTELPETROSO</t>
  </si>
  <si>
    <t>094010</t>
  </si>
  <si>
    <t>86090</t>
  </si>
  <si>
    <t>CASTELPIZZUTO</t>
  </si>
  <si>
    <t>094011</t>
  </si>
  <si>
    <t>CASTEL SAN VINCENZO</t>
  </si>
  <si>
    <t>094012</t>
  </si>
  <si>
    <t>86071</t>
  </si>
  <si>
    <t>CASTELVERRINO</t>
  </si>
  <si>
    <t>094013</t>
  </si>
  <si>
    <t>CERRO AL VOLTURNO</t>
  </si>
  <si>
    <t>094014</t>
  </si>
  <si>
    <t>86072</t>
  </si>
  <si>
    <t>CHIAUCI</t>
  </si>
  <si>
    <t>094015</t>
  </si>
  <si>
    <t>86097</t>
  </si>
  <si>
    <t>CIVITANOVA DEL SANNIO</t>
  </si>
  <si>
    <t>094016</t>
  </si>
  <si>
    <t>86094</t>
  </si>
  <si>
    <t>COLLI A VOLTURNO</t>
  </si>
  <si>
    <t>094017</t>
  </si>
  <si>
    <t>86073</t>
  </si>
  <si>
    <t>CONCA CASALE</t>
  </si>
  <si>
    <t>094018</t>
  </si>
  <si>
    <t>86070</t>
  </si>
  <si>
    <t>FILIGNANO</t>
  </si>
  <si>
    <t>094019</t>
  </si>
  <si>
    <t>86074</t>
  </si>
  <si>
    <t>FORLÌ DEL SANNIO</t>
  </si>
  <si>
    <t>094020</t>
  </si>
  <si>
    <t>86084</t>
  </si>
  <si>
    <t>FORNELLI</t>
  </si>
  <si>
    <t>094021</t>
  </si>
  <si>
    <t>FROSOLONE</t>
  </si>
  <si>
    <t>094022</t>
  </si>
  <si>
    <t>86095</t>
  </si>
  <si>
    <t>ISERNIA</t>
  </si>
  <si>
    <t>094023</t>
  </si>
  <si>
    <t>86170</t>
  </si>
  <si>
    <t>LONGANO</t>
  </si>
  <si>
    <t>094024</t>
  </si>
  <si>
    <t>MACCHIA D'ISERNIA</t>
  </si>
  <si>
    <t>094025</t>
  </si>
  <si>
    <t>MACCHIAGODENA</t>
  </si>
  <si>
    <t>094026</t>
  </si>
  <si>
    <t>86096</t>
  </si>
  <si>
    <t>MIRANDA</t>
  </si>
  <si>
    <t>094027</t>
  </si>
  <si>
    <t>MONTAQUILA</t>
  </si>
  <si>
    <t>094028</t>
  </si>
  <si>
    <t>MONTENERO VAL COCCHIARA</t>
  </si>
  <si>
    <t>094029</t>
  </si>
  <si>
    <t>MONTERODUNI</t>
  </si>
  <si>
    <t>094030</t>
  </si>
  <si>
    <t>86075</t>
  </si>
  <si>
    <t>PESCHE</t>
  </si>
  <si>
    <t>094031</t>
  </si>
  <si>
    <t>PESCOLANCIANO</t>
  </si>
  <si>
    <t>094032</t>
  </si>
  <si>
    <t>PESCOPENNATARO</t>
  </si>
  <si>
    <t>094033</t>
  </si>
  <si>
    <t>PETTORANELLO DEL MOLISE</t>
  </si>
  <si>
    <t>094034</t>
  </si>
  <si>
    <t>PIETRABBONDANTE</t>
  </si>
  <si>
    <t>094035</t>
  </si>
  <si>
    <t>86085</t>
  </si>
  <si>
    <t>PIZZONE</t>
  </si>
  <si>
    <t>094036</t>
  </si>
  <si>
    <t>POGGIO SANNITA</t>
  </si>
  <si>
    <t>094037</t>
  </si>
  <si>
    <t>86086</t>
  </si>
  <si>
    <t>POZZILLI</t>
  </si>
  <si>
    <t>094038</t>
  </si>
  <si>
    <t>86077</t>
  </si>
  <si>
    <t>RIONERO SANNITICO</t>
  </si>
  <si>
    <t>094039</t>
  </si>
  <si>
    <t>86087</t>
  </si>
  <si>
    <t>ROCCAMANDOLFI</t>
  </si>
  <si>
    <t>094040</t>
  </si>
  <si>
    <t>ROCCASICURA</t>
  </si>
  <si>
    <t>094041</t>
  </si>
  <si>
    <t>ROCCHETTA A VOLTURNO</t>
  </si>
  <si>
    <t>094042</t>
  </si>
  <si>
    <t>SAN PIETRO AVELLANA</t>
  </si>
  <si>
    <t>094043</t>
  </si>
  <si>
    <t>86088</t>
  </si>
  <si>
    <t>SANT'AGAPITO</t>
  </si>
  <si>
    <t>094044</t>
  </si>
  <si>
    <t>SANTA MARIA DEL MOLISE</t>
  </si>
  <si>
    <t>094045</t>
  </si>
  <si>
    <t>SANT'ANGELO DEL PESCO</t>
  </si>
  <si>
    <t>094046</t>
  </si>
  <si>
    <t>SANT'ELENA SANNITA</t>
  </si>
  <si>
    <t>094047</t>
  </si>
  <si>
    <t>SCAPOLI</t>
  </si>
  <si>
    <t>094048</t>
  </si>
  <si>
    <t>SESSANO DEL MOLISE</t>
  </si>
  <si>
    <t>094049</t>
  </si>
  <si>
    <t>SESTO CAMPANO</t>
  </si>
  <si>
    <t>094050</t>
  </si>
  <si>
    <t>86078</t>
  </si>
  <si>
    <t>VASTOGIRARDI</t>
  </si>
  <si>
    <t>094051</t>
  </si>
  <si>
    <t>86089</t>
  </si>
  <si>
    <t>VENAFRO</t>
  </si>
  <si>
    <t>094052</t>
  </si>
  <si>
    <t>86079</t>
  </si>
  <si>
    <t>ABBASANTA</t>
  </si>
  <si>
    <t>095001</t>
  </si>
  <si>
    <t>OR</t>
  </si>
  <si>
    <t>09071</t>
  </si>
  <si>
    <t>AIDOMAGGIORE</t>
  </si>
  <si>
    <t>095002</t>
  </si>
  <si>
    <t>09070</t>
  </si>
  <si>
    <t>ALBAGIARA</t>
  </si>
  <si>
    <t>095003</t>
  </si>
  <si>
    <t>09090</t>
  </si>
  <si>
    <t>ALES</t>
  </si>
  <si>
    <t>095004</t>
  </si>
  <si>
    <t>09091</t>
  </si>
  <si>
    <t>ALLAI</t>
  </si>
  <si>
    <t>095005</t>
  </si>
  <si>
    <t>09080</t>
  </si>
  <si>
    <t>ARBOREA</t>
  </si>
  <si>
    <t>095006</t>
  </si>
  <si>
    <t>09092</t>
  </si>
  <si>
    <t>ARDAULI</t>
  </si>
  <si>
    <t>095007</t>
  </si>
  <si>
    <t>09081</t>
  </si>
  <si>
    <t>ASSOLO</t>
  </si>
  <si>
    <t>095008</t>
  </si>
  <si>
    <t>ASUNI</t>
  </si>
  <si>
    <t>095009</t>
  </si>
  <si>
    <t>BARADILI</t>
  </si>
  <si>
    <t>095010</t>
  </si>
  <si>
    <t>BARATILI SAN PIETRO</t>
  </si>
  <si>
    <t>095011</t>
  </si>
  <si>
    <t>BARESSA</t>
  </si>
  <si>
    <t>095012</t>
  </si>
  <si>
    <t>BAULADU</t>
  </si>
  <si>
    <t>095013</t>
  </si>
  <si>
    <t>BIDONÌ</t>
  </si>
  <si>
    <t>095014</t>
  </si>
  <si>
    <t>BONARCADO</t>
  </si>
  <si>
    <t>095015</t>
  </si>
  <si>
    <t>BORONEDDU</t>
  </si>
  <si>
    <t>095016</t>
  </si>
  <si>
    <t>BUSACHI</t>
  </si>
  <si>
    <t>095017</t>
  </si>
  <si>
    <t>09082</t>
  </si>
  <si>
    <t>CABRAS</t>
  </si>
  <si>
    <t>095018</t>
  </si>
  <si>
    <t>09072</t>
  </si>
  <si>
    <t>CUGLIERI</t>
  </si>
  <si>
    <t>095019</t>
  </si>
  <si>
    <t>09073</t>
  </si>
  <si>
    <t>FORDONGIANUS</t>
  </si>
  <si>
    <t>095020</t>
  </si>
  <si>
    <t>09083</t>
  </si>
  <si>
    <t>GHILARZA</t>
  </si>
  <si>
    <t>095021</t>
  </si>
  <si>
    <t>09074</t>
  </si>
  <si>
    <t>GONNOSCODINA</t>
  </si>
  <si>
    <t>095022</t>
  </si>
  <si>
    <t>GONNOSNÒ</t>
  </si>
  <si>
    <t>095023</t>
  </si>
  <si>
    <t>GONNOSTRAMATZA</t>
  </si>
  <si>
    <t>095024</t>
  </si>
  <si>
    <t>09093</t>
  </si>
  <si>
    <t>MARRUBIU</t>
  </si>
  <si>
    <t>095025</t>
  </si>
  <si>
    <t>09094</t>
  </si>
  <si>
    <t>MASULLAS</t>
  </si>
  <si>
    <t>095026</t>
  </si>
  <si>
    <t>MILIS</t>
  </si>
  <si>
    <t>095027</t>
  </si>
  <si>
    <t>MOGORELLA</t>
  </si>
  <si>
    <t>095028</t>
  </si>
  <si>
    <t>MOGORO</t>
  </si>
  <si>
    <t>095029</t>
  </si>
  <si>
    <t>09095</t>
  </si>
  <si>
    <t>MORGONGIORI</t>
  </si>
  <si>
    <t>095030</t>
  </si>
  <si>
    <t>NARBOLIA</t>
  </si>
  <si>
    <t>095031</t>
  </si>
  <si>
    <t>NEONELI</t>
  </si>
  <si>
    <t>095032</t>
  </si>
  <si>
    <t>NORBELLO</t>
  </si>
  <si>
    <t>095033</t>
  </si>
  <si>
    <t>NUGHEDU SANTA VITTORIA</t>
  </si>
  <si>
    <t>095034</t>
  </si>
  <si>
    <t>NURACHI</t>
  </si>
  <si>
    <t>095035</t>
  </si>
  <si>
    <t>NURECI</t>
  </si>
  <si>
    <t>095036</t>
  </si>
  <si>
    <t>OLLASTRA</t>
  </si>
  <si>
    <t>095037</t>
  </si>
  <si>
    <t>09088</t>
  </si>
  <si>
    <t>ORISTANO</t>
  </si>
  <si>
    <t>095038</t>
  </si>
  <si>
    <t>09170</t>
  </si>
  <si>
    <t>PALMAS ARBOREA</t>
  </si>
  <si>
    <t>095039</t>
  </si>
  <si>
    <t>PAU</t>
  </si>
  <si>
    <t>095040</t>
  </si>
  <si>
    <t>PAULILATINO</t>
  </si>
  <si>
    <t>095041</t>
  </si>
  <si>
    <t>POMPU</t>
  </si>
  <si>
    <t>095042</t>
  </si>
  <si>
    <t>RIOLA SARDO</t>
  </si>
  <si>
    <t>095043</t>
  </si>
  <si>
    <t>RUINAS</t>
  </si>
  <si>
    <t>095044</t>
  </si>
  <si>
    <t>09085</t>
  </si>
  <si>
    <t>SAMUGHEO</t>
  </si>
  <si>
    <t>095045</t>
  </si>
  <si>
    <t>09086</t>
  </si>
  <si>
    <t>SAN NICOLÒ D'ARCIDANO</t>
  </si>
  <si>
    <t>095046</t>
  </si>
  <si>
    <t>09097</t>
  </si>
  <si>
    <t>SANTA GIUSTA</t>
  </si>
  <si>
    <t>095047</t>
  </si>
  <si>
    <t>09096</t>
  </si>
  <si>
    <t>VILLA SANT'ANTONIO</t>
  </si>
  <si>
    <t>095048</t>
  </si>
  <si>
    <t>SANTU LUSSURGIU</t>
  </si>
  <si>
    <t>095049</t>
  </si>
  <si>
    <t>09075</t>
  </si>
  <si>
    <t>SAN VERO MILIS</t>
  </si>
  <si>
    <t>095050</t>
  </si>
  <si>
    <t>SCANO DI MONTIFERRO</t>
  </si>
  <si>
    <t>095051</t>
  </si>
  <si>
    <t>09078</t>
  </si>
  <si>
    <t>SEDILO</t>
  </si>
  <si>
    <t>095052</t>
  </si>
  <si>
    <t>09076</t>
  </si>
  <si>
    <t>SENEGHE</t>
  </si>
  <si>
    <t>095053</t>
  </si>
  <si>
    <t>SENIS</t>
  </si>
  <si>
    <t>095054</t>
  </si>
  <si>
    <t>SENNARIOLO</t>
  </si>
  <si>
    <t>095055</t>
  </si>
  <si>
    <t>SIAMAGGIORE</t>
  </si>
  <si>
    <t>095056</t>
  </si>
  <si>
    <t>SIAMANNA</t>
  </si>
  <si>
    <t>095057</t>
  </si>
  <si>
    <t>SIMALA</t>
  </si>
  <si>
    <t>095058</t>
  </si>
  <si>
    <t>SIMAXIS</t>
  </si>
  <si>
    <t>095059</t>
  </si>
  <si>
    <t>SINI</t>
  </si>
  <si>
    <t>095060</t>
  </si>
  <si>
    <t>SIRIS</t>
  </si>
  <si>
    <t>095061</t>
  </si>
  <si>
    <t>SOLARUSSA</t>
  </si>
  <si>
    <t>095062</t>
  </si>
  <si>
    <t>09077</t>
  </si>
  <si>
    <t>SORRADILE</t>
  </si>
  <si>
    <t>095063</t>
  </si>
  <si>
    <t>TADASUNI</t>
  </si>
  <si>
    <t>095064</t>
  </si>
  <si>
    <t>TERRALBA</t>
  </si>
  <si>
    <t>095065</t>
  </si>
  <si>
    <t>09098</t>
  </si>
  <si>
    <t>TRAMATZA</t>
  </si>
  <si>
    <t>095066</t>
  </si>
  <si>
    <t>TRESNURAGHES</t>
  </si>
  <si>
    <t>095067</t>
  </si>
  <si>
    <t>09079</t>
  </si>
  <si>
    <t>ULÀ TIRSO</t>
  </si>
  <si>
    <t>095068</t>
  </si>
  <si>
    <t>URAS</t>
  </si>
  <si>
    <t>095069</t>
  </si>
  <si>
    <t>09099</t>
  </si>
  <si>
    <t>USELLUS</t>
  </si>
  <si>
    <t>095070</t>
  </si>
  <si>
    <t>VILLANOVA TRUSCHEDU</t>
  </si>
  <si>
    <t>095071</t>
  </si>
  <si>
    <t>09084</t>
  </si>
  <si>
    <t>VILLAURBANA</t>
  </si>
  <si>
    <t>095072</t>
  </si>
  <si>
    <t>VILLA VERDE</t>
  </si>
  <si>
    <t>095073</t>
  </si>
  <si>
    <t>ZEDDIANI</t>
  </si>
  <si>
    <t>095074</t>
  </si>
  <si>
    <t>ZERFALIU</t>
  </si>
  <si>
    <t>095075</t>
  </si>
  <si>
    <t>SIAPICCIA</t>
  </si>
  <si>
    <t>095076</t>
  </si>
  <si>
    <t>CURCURIS</t>
  </si>
  <si>
    <t>095077</t>
  </si>
  <si>
    <t>SODDÌ</t>
  </si>
  <si>
    <t>095078</t>
  </si>
  <si>
    <t>BOSA</t>
  </si>
  <si>
    <t>095079</t>
  </si>
  <si>
    <t>08013</t>
  </si>
  <si>
    <t>FLUSSIO</t>
  </si>
  <si>
    <t>095080</t>
  </si>
  <si>
    <t>LACONI</t>
  </si>
  <si>
    <t>095082</t>
  </si>
  <si>
    <t>08034</t>
  </si>
  <si>
    <t>MAGOMADAS</t>
  </si>
  <si>
    <t>095083</t>
  </si>
  <si>
    <t>MODOLO</t>
  </si>
  <si>
    <t>095084</t>
  </si>
  <si>
    <t>08019</t>
  </si>
  <si>
    <t>MONTRESTA</t>
  </si>
  <si>
    <t>095085</t>
  </si>
  <si>
    <t>SAGAMA</t>
  </si>
  <si>
    <t>095086</t>
  </si>
  <si>
    <t>SUNI</t>
  </si>
  <si>
    <t>095087</t>
  </si>
  <si>
    <t>TINNURA</t>
  </si>
  <si>
    <t>095088</t>
  </si>
  <si>
    <t>AILOCHE</t>
  </si>
  <si>
    <t>096001</t>
  </si>
  <si>
    <t>BI</t>
  </si>
  <si>
    <t>13861</t>
  </si>
  <si>
    <t>ANDORNO MICCA</t>
  </si>
  <si>
    <t>096002</t>
  </si>
  <si>
    <t>13811</t>
  </si>
  <si>
    <t>BENNA</t>
  </si>
  <si>
    <t>096003</t>
  </si>
  <si>
    <t>13871</t>
  </si>
  <si>
    <t>BIELLA</t>
  </si>
  <si>
    <t>096004</t>
  </si>
  <si>
    <t>13900</t>
  </si>
  <si>
    <t>BIOGLIO</t>
  </si>
  <si>
    <t>096005</t>
  </si>
  <si>
    <t>13841</t>
  </si>
  <si>
    <t>BORRIANA</t>
  </si>
  <si>
    <t>096006</t>
  </si>
  <si>
    <t>13872</t>
  </si>
  <si>
    <t>BRUSNENGO</t>
  </si>
  <si>
    <t>096007</t>
  </si>
  <si>
    <t>13862</t>
  </si>
  <si>
    <t>CALLABIANA</t>
  </si>
  <si>
    <t>096008</t>
  </si>
  <si>
    <t>13821</t>
  </si>
  <si>
    <t>CAMANDONA</t>
  </si>
  <si>
    <t>096009</t>
  </si>
  <si>
    <t>CAMBURZANO</t>
  </si>
  <si>
    <t>096010</t>
  </si>
  <si>
    <t>13891</t>
  </si>
  <si>
    <t>CANDELO</t>
  </si>
  <si>
    <t>096012</t>
  </si>
  <si>
    <t>13878</t>
  </si>
  <si>
    <t>CAPRILE</t>
  </si>
  <si>
    <t>096013</t>
  </si>
  <si>
    <t>13864</t>
  </si>
  <si>
    <t>CASAPINTA</t>
  </si>
  <si>
    <t>096014</t>
  </si>
  <si>
    <t>13866</t>
  </si>
  <si>
    <t>CASTELLETTO CERVO</t>
  </si>
  <si>
    <t>096015</t>
  </si>
  <si>
    <t>13851</t>
  </si>
  <si>
    <t>CAVAGLIÀ</t>
  </si>
  <si>
    <t>096016</t>
  </si>
  <si>
    <t>13881</t>
  </si>
  <si>
    <t>CERRIONE</t>
  </si>
  <si>
    <t>096018</t>
  </si>
  <si>
    <t>13882</t>
  </si>
  <si>
    <t>COGGIOLA</t>
  </si>
  <si>
    <t>096019</t>
  </si>
  <si>
    <t>13863</t>
  </si>
  <si>
    <t>COSSATO</t>
  </si>
  <si>
    <t>096020</t>
  </si>
  <si>
    <t>13836</t>
  </si>
  <si>
    <t>CREVACUORE</t>
  </si>
  <si>
    <t>096021</t>
  </si>
  <si>
    <t>CURINO</t>
  </si>
  <si>
    <t>096023</t>
  </si>
  <si>
    <t>13865</t>
  </si>
  <si>
    <t>DONATO</t>
  </si>
  <si>
    <t>096024</t>
  </si>
  <si>
    <t>13893</t>
  </si>
  <si>
    <t>DORZANO</t>
  </si>
  <si>
    <t>096025</t>
  </si>
  <si>
    <t>GAGLIANICO</t>
  </si>
  <si>
    <t>096026</t>
  </si>
  <si>
    <t>13894</t>
  </si>
  <si>
    <t>GIFFLENGA</t>
  </si>
  <si>
    <t>096027</t>
  </si>
  <si>
    <t>13874</t>
  </si>
  <si>
    <t>GRAGLIA</t>
  </si>
  <si>
    <t>096028</t>
  </si>
  <si>
    <t>13895</t>
  </si>
  <si>
    <t>MAGNANO</t>
  </si>
  <si>
    <t>096030</t>
  </si>
  <si>
    <t>13887</t>
  </si>
  <si>
    <t>MASSAZZA</t>
  </si>
  <si>
    <t>096031</t>
  </si>
  <si>
    <t>13873</t>
  </si>
  <si>
    <t>MASSERANO</t>
  </si>
  <si>
    <t>096032</t>
  </si>
  <si>
    <t>MEZZANA MORTIGLIENGO</t>
  </si>
  <si>
    <t>096033</t>
  </si>
  <si>
    <t>13831</t>
  </si>
  <si>
    <t>MIAGLIANO</t>
  </si>
  <si>
    <t>096034</t>
  </si>
  <si>
    <t>13816</t>
  </si>
  <si>
    <t>MONGRANDO</t>
  </si>
  <si>
    <t>096035</t>
  </si>
  <si>
    <t>13888</t>
  </si>
  <si>
    <t>MOTTALCIATA</t>
  </si>
  <si>
    <t>096037</t>
  </si>
  <si>
    <t>MUZZANO</t>
  </si>
  <si>
    <t>096038</t>
  </si>
  <si>
    <t>NETRO</t>
  </si>
  <si>
    <t>096039</t>
  </si>
  <si>
    <t>13896</t>
  </si>
  <si>
    <t>OCCHIEPPO INFERIORE</t>
  </si>
  <si>
    <t>096040</t>
  </si>
  <si>
    <t>13897</t>
  </si>
  <si>
    <t>OCCHIEPPO SUPERIORE</t>
  </si>
  <si>
    <t>096041</t>
  </si>
  <si>
    <t>13898</t>
  </si>
  <si>
    <t>PETTINENGO</t>
  </si>
  <si>
    <t>096042</t>
  </si>
  <si>
    <t>13843</t>
  </si>
  <si>
    <t>PIATTO</t>
  </si>
  <si>
    <t>096043</t>
  </si>
  <si>
    <t>13844</t>
  </si>
  <si>
    <t>PIEDICAVALLO</t>
  </si>
  <si>
    <t>096044</t>
  </si>
  <si>
    <t>13812</t>
  </si>
  <si>
    <t>POLLONE</t>
  </si>
  <si>
    <t>096046</t>
  </si>
  <si>
    <t>13814</t>
  </si>
  <si>
    <t>PONDERANO</t>
  </si>
  <si>
    <t>096047</t>
  </si>
  <si>
    <t>13875</t>
  </si>
  <si>
    <t>PORTULA</t>
  </si>
  <si>
    <t>096048</t>
  </si>
  <si>
    <t>13833</t>
  </si>
  <si>
    <t>PRALUNGO</t>
  </si>
  <si>
    <t>096049</t>
  </si>
  <si>
    <t>13899</t>
  </si>
  <si>
    <t>PRAY</t>
  </si>
  <si>
    <t>096050</t>
  </si>
  <si>
    <t>13867</t>
  </si>
  <si>
    <t>RONCO BIELLESE</t>
  </si>
  <si>
    <t>096053</t>
  </si>
  <si>
    <t>13845</t>
  </si>
  <si>
    <t>ROPPOLO</t>
  </si>
  <si>
    <t>096054</t>
  </si>
  <si>
    <t>13883</t>
  </si>
  <si>
    <t>ROSAZZA</t>
  </si>
  <si>
    <t>096055</t>
  </si>
  <si>
    <t>13815</t>
  </si>
  <si>
    <t>SAGLIANO MICCA</t>
  </si>
  <si>
    <t>096056</t>
  </si>
  <si>
    <t>SALA BIELLESE</t>
  </si>
  <si>
    <t>096057</t>
  </si>
  <si>
    <t>13884</t>
  </si>
  <si>
    <t>SALUSSOLA</t>
  </si>
  <si>
    <t>096058</t>
  </si>
  <si>
    <t>13885</t>
  </si>
  <si>
    <t>SANDIGLIANO</t>
  </si>
  <si>
    <t>096059</t>
  </si>
  <si>
    <t>13876</t>
  </si>
  <si>
    <t>SORDEVOLO</t>
  </si>
  <si>
    <t>096063</t>
  </si>
  <si>
    <t>13817</t>
  </si>
  <si>
    <t>SOSTEGNO</t>
  </si>
  <si>
    <t>096064</t>
  </si>
  <si>
    <t>13868</t>
  </si>
  <si>
    <t>STRONA</t>
  </si>
  <si>
    <t>096065</t>
  </si>
  <si>
    <t>13823</t>
  </si>
  <si>
    <t>TAVIGLIANO</t>
  </si>
  <si>
    <t>096066</t>
  </si>
  <si>
    <t>TERNENGO</t>
  </si>
  <si>
    <t>096067</t>
  </si>
  <si>
    <t>TOLLEGNO</t>
  </si>
  <si>
    <t>096068</t>
  </si>
  <si>
    <t>13818</t>
  </si>
  <si>
    <t>TORRAZZO</t>
  </si>
  <si>
    <t>096069</t>
  </si>
  <si>
    <t>VALDENGO</t>
  </si>
  <si>
    <t>096071</t>
  </si>
  <si>
    <t>13855</t>
  </si>
  <si>
    <t>VALLANZENGO</t>
  </si>
  <si>
    <t>096072</t>
  </si>
  <si>
    <t>13847</t>
  </si>
  <si>
    <t>VALLE SAN NICOLAO</t>
  </si>
  <si>
    <t>096074</t>
  </si>
  <si>
    <t>VEGLIO</t>
  </si>
  <si>
    <t>096075</t>
  </si>
  <si>
    <t>13824</t>
  </si>
  <si>
    <t>VERRONE</t>
  </si>
  <si>
    <t>096076</t>
  </si>
  <si>
    <t>VIGLIANO BIELLESE</t>
  </si>
  <si>
    <t>096077</t>
  </si>
  <si>
    <t>13856</t>
  </si>
  <si>
    <t>VILLA DEL BOSCO</t>
  </si>
  <si>
    <t>096078</t>
  </si>
  <si>
    <t>VILLANOVA BIELLESE</t>
  </si>
  <si>
    <t>096079</t>
  </si>
  <si>
    <t>13877</t>
  </si>
  <si>
    <t>VIVERONE</t>
  </si>
  <si>
    <t>096080</t>
  </si>
  <si>
    <t>13886</t>
  </si>
  <si>
    <t>ZIMONE</t>
  </si>
  <si>
    <t>096081</t>
  </si>
  <si>
    <t>ZUBIENA</t>
  </si>
  <si>
    <t>096082</t>
  </si>
  <si>
    <t>ZUMAGLIA</t>
  </si>
  <si>
    <t>096083</t>
  </si>
  <si>
    <t>13848</t>
  </si>
  <si>
    <t>LESSONA</t>
  </si>
  <si>
    <t>096085</t>
  </si>
  <si>
    <t>13853</t>
  </si>
  <si>
    <t>CAMPIGLIA CERVO</t>
  </si>
  <si>
    <t>096086</t>
  </si>
  <si>
    <t>QUAREGNA CERRETO</t>
  </si>
  <si>
    <t>096087</t>
  </si>
  <si>
    <t>VALDILANA</t>
  </si>
  <si>
    <t>096088</t>
  </si>
  <si>
    <t>ABBADIA LARIANA</t>
  </si>
  <si>
    <t>097001</t>
  </si>
  <si>
    <t>23821</t>
  </si>
  <si>
    <t>AIRUNO</t>
  </si>
  <si>
    <t>097002</t>
  </si>
  <si>
    <t>23881</t>
  </si>
  <si>
    <t>ANNONE DI BRIANZA</t>
  </si>
  <si>
    <t>097003</t>
  </si>
  <si>
    <t>23841</t>
  </si>
  <si>
    <t>BALLABIO</t>
  </si>
  <si>
    <t>097004</t>
  </si>
  <si>
    <t>23811</t>
  </si>
  <si>
    <t>BARZAGO</t>
  </si>
  <si>
    <t>097005</t>
  </si>
  <si>
    <t>23890</t>
  </si>
  <si>
    <t>BARZANÒ</t>
  </si>
  <si>
    <t>097006</t>
  </si>
  <si>
    <t>23891</t>
  </si>
  <si>
    <t>BARZIO</t>
  </si>
  <si>
    <t>097007</t>
  </si>
  <si>
    <t>23816</t>
  </si>
  <si>
    <t>BELLANO</t>
  </si>
  <si>
    <t>097008</t>
  </si>
  <si>
    <t>23822</t>
  </si>
  <si>
    <t>BOSISIO PARINI</t>
  </si>
  <si>
    <t>097009</t>
  </si>
  <si>
    <t>23842</t>
  </si>
  <si>
    <t>BRIVIO</t>
  </si>
  <si>
    <t>097010</t>
  </si>
  <si>
    <t>23883</t>
  </si>
  <si>
    <t>BULCIAGO</t>
  </si>
  <si>
    <t>097011</t>
  </si>
  <si>
    <t>23892</t>
  </si>
  <si>
    <t>CALCO</t>
  </si>
  <si>
    <t>097012</t>
  </si>
  <si>
    <t>23885</t>
  </si>
  <si>
    <t>CALOLZIOCORTE</t>
  </si>
  <si>
    <t>097013</t>
  </si>
  <si>
    <t>23801</t>
  </si>
  <si>
    <t>CARENNO</t>
  </si>
  <si>
    <t>097014</t>
  </si>
  <si>
    <t>23802</t>
  </si>
  <si>
    <t>CASARGO</t>
  </si>
  <si>
    <t>097015</t>
  </si>
  <si>
    <t>23831</t>
  </si>
  <si>
    <t>CASATENOVO</t>
  </si>
  <si>
    <t>097016</t>
  </si>
  <si>
    <t>23880</t>
  </si>
  <si>
    <t>CASSAGO BRIANZA</t>
  </si>
  <si>
    <t>097017</t>
  </si>
  <si>
    <t>23893</t>
  </si>
  <si>
    <t>CASSINA VALSASSINA</t>
  </si>
  <si>
    <t>097018</t>
  </si>
  <si>
    <t>23817</t>
  </si>
  <si>
    <t>CASTELLO DI BRIANZA</t>
  </si>
  <si>
    <t>097019</t>
  </si>
  <si>
    <t>23884</t>
  </si>
  <si>
    <t>CERNUSCO LOMBARDONE</t>
  </si>
  <si>
    <t>097020</t>
  </si>
  <si>
    <t>23870</t>
  </si>
  <si>
    <t>CESANA BRIANZA</t>
  </si>
  <si>
    <t>097021</t>
  </si>
  <si>
    <t>23861</t>
  </si>
  <si>
    <t>CIVATE</t>
  </si>
  <si>
    <t>097022</t>
  </si>
  <si>
    <t>23862</t>
  </si>
  <si>
    <t>COLICO</t>
  </si>
  <si>
    <t>097023</t>
  </si>
  <si>
    <t>23823</t>
  </si>
  <si>
    <t>COLLE BRIANZA</t>
  </si>
  <si>
    <t>097024</t>
  </si>
  <si>
    <t>23886</t>
  </si>
  <si>
    <t>CORTENOVA</t>
  </si>
  <si>
    <t>097025</t>
  </si>
  <si>
    <t>23813</t>
  </si>
  <si>
    <t>COSTA MASNAGA</t>
  </si>
  <si>
    <t>097026</t>
  </si>
  <si>
    <t>23845</t>
  </si>
  <si>
    <t>CRANDOLA VALSASSINA</t>
  </si>
  <si>
    <t>097027</t>
  </si>
  <si>
    <t>23832</t>
  </si>
  <si>
    <t>CREMELLA</t>
  </si>
  <si>
    <t>097028</t>
  </si>
  <si>
    <t>23894</t>
  </si>
  <si>
    <t>CREMENO</t>
  </si>
  <si>
    <t>097029</t>
  </si>
  <si>
    <t>23814</t>
  </si>
  <si>
    <t>DERVIO</t>
  </si>
  <si>
    <t>097030</t>
  </si>
  <si>
    <t>23824</t>
  </si>
  <si>
    <t>DOLZAGO</t>
  </si>
  <si>
    <t>097031</t>
  </si>
  <si>
    <t>23843</t>
  </si>
  <si>
    <t>DORIO</t>
  </si>
  <si>
    <t>097032</t>
  </si>
  <si>
    <t>ELLO</t>
  </si>
  <si>
    <t>097033</t>
  </si>
  <si>
    <t>23848</t>
  </si>
  <si>
    <t>ERVE</t>
  </si>
  <si>
    <t>097034</t>
  </si>
  <si>
    <t>23805</t>
  </si>
  <si>
    <t>ESINO LARIO</t>
  </si>
  <si>
    <t>097035</t>
  </si>
  <si>
    <t>23825</t>
  </si>
  <si>
    <t>GALBIATE</t>
  </si>
  <si>
    <t>097036</t>
  </si>
  <si>
    <t>23851</t>
  </si>
  <si>
    <t>GARBAGNATE MONASTERO</t>
  </si>
  <si>
    <t>097037</t>
  </si>
  <si>
    <t>23846</t>
  </si>
  <si>
    <t>GARLATE</t>
  </si>
  <si>
    <t>097038</t>
  </si>
  <si>
    <t>23852</t>
  </si>
  <si>
    <t>IMBERSAGO</t>
  </si>
  <si>
    <t>097039</t>
  </si>
  <si>
    <t>23898</t>
  </si>
  <si>
    <t>INTROBIO</t>
  </si>
  <si>
    <t>097040</t>
  </si>
  <si>
    <t>23815</t>
  </si>
  <si>
    <t>LECCO</t>
  </si>
  <si>
    <t>097042</t>
  </si>
  <si>
    <t>23900</t>
  </si>
  <si>
    <t>LIERNA</t>
  </si>
  <si>
    <t>097043</t>
  </si>
  <si>
    <t>23827</t>
  </si>
  <si>
    <t>LOMAGNA</t>
  </si>
  <si>
    <t>097044</t>
  </si>
  <si>
    <t>23871</t>
  </si>
  <si>
    <t>MALGRATE</t>
  </si>
  <si>
    <t>097045</t>
  </si>
  <si>
    <t>23864</t>
  </si>
  <si>
    <t>MANDELLO DEL LARIO</t>
  </si>
  <si>
    <t>097046</t>
  </si>
  <si>
    <t>23826</t>
  </si>
  <si>
    <t>MARGNO</t>
  </si>
  <si>
    <t>097047</t>
  </si>
  <si>
    <t>MERATE</t>
  </si>
  <si>
    <t>097048</t>
  </si>
  <si>
    <t>23807</t>
  </si>
  <si>
    <t>MISSAGLIA</t>
  </si>
  <si>
    <t>097049</t>
  </si>
  <si>
    <t>23873</t>
  </si>
  <si>
    <t>MOGGIO</t>
  </si>
  <si>
    <t>097050</t>
  </si>
  <si>
    <t>MOLTENO</t>
  </si>
  <si>
    <t>097051</t>
  </si>
  <si>
    <t>23847</t>
  </si>
  <si>
    <t>MONTE MARENZO</t>
  </si>
  <si>
    <t>097052</t>
  </si>
  <si>
    <t>23804</t>
  </si>
  <si>
    <t>MONTEVECCHIA</t>
  </si>
  <si>
    <t>097053</t>
  </si>
  <si>
    <t>23874</t>
  </si>
  <si>
    <t>MONTICELLO BRIANZA</t>
  </si>
  <si>
    <t>097054</t>
  </si>
  <si>
    <t>23876</t>
  </si>
  <si>
    <t>MORTERONE</t>
  </si>
  <si>
    <t>097055</t>
  </si>
  <si>
    <t>NIBIONNO</t>
  </si>
  <si>
    <t>097056</t>
  </si>
  <si>
    <t>23895</t>
  </si>
  <si>
    <t>OGGIONO</t>
  </si>
  <si>
    <t>097057</t>
  </si>
  <si>
    <t>OLGIATE MOLGORA</t>
  </si>
  <si>
    <t>097058</t>
  </si>
  <si>
    <t>23887</t>
  </si>
  <si>
    <t>OLGINATE</t>
  </si>
  <si>
    <t>097059</t>
  </si>
  <si>
    <t>23854</t>
  </si>
  <si>
    <t>OLIVETO LARIO</t>
  </si>
  <si>
    <t>097060</t>
  </si>
  <si>
    <t>23865</t>
  </si>
  <si>
    <t>OSNAGO</t>
  </si>
  <si>
    <t>097061</t>
  </si>
  <si>
    <t>23875</t>
  </si>
  <si>
    <t>PADERNO D'ADDA</t>
  </si>
  <si>
    <t>097062</t>
  </si>
  <si>
    <t>23877</t>
  </si>
  <si>
    <t>PAGNONA</t>
  </si>
  <si>
    <t>097063</t>
  </si>
  <si>
    <t>23833</t>
  </si>
  <si>
    <t>PARLASCO</t>
  </si>
  <si>
    <t>097064</t>
  </si>
  <si>
    <t>23837</t>
  </si>
  <si>
    <t>PASTURO</t>
  </si>
  <si>
    <t>097065</t>
  </si>
  <si>
    <t>23818</t>
  </si>
  <si>
    <t>PERLEDO</t>
  </si>
  <si>
    <t>097067</t>
  </si>
  <si>
    <t>23828</t>
  </si>
  <si>
    <t>PESCATE</t>
  </si>
  <si>
    <t>097068</t>
  </si>
  <si>
    <t>23855</t>
  </si>
  <si>
    <t>PREMANA</t>
  </si>
  <si>
    <t>097069</t>
  </si>
  <si>
    <t>23834</t>
  </si>
  <si>
    <t>PRIMALUNA</t>
  </si>
  <si>
    <t>097070</t>
  </si>
  <si>
    <t>23819</t>
  </si>
  <si>
    <t>ROBBIATE</t>
  </si>
  <si>
    <t>097071</t>
  </si>
  <si>
    <t>23899</t>
  </si>
  <si>
    <t>ROGENO</t>
  </si>
  <si>
    <t>097072</t>
  </si>
  <si>
    <t>23849</t>
  </si>
  <si>
    <t>SANTA MARIA HOÈ</t>
  </si>
  <si>
    <t>097074</t>
  </si>
  <si>
    <t>23889</t>
  </si>
  <si>
    <t>SIRONE</t>
  </si>
  <si>
    <t>097075</t>
  </si>
  <si>
    <t>23844</t>
  </si>
  <si>
    <t>SIRTORI</t>
  </si>
  <si>
    <t>097076</t>
  </si>
  <si>
    <t>23896</t>
  </si>
  <si>
    <t>SUEGLIO</t>
  </si>
  <si>
    <t>097077</t>
  </si>
  <si>
    <t>23835</t>
  </si>
  <si>
    <t>SUELLO</t>
  </si>
  <si>
    <t>097078</t>
  </si>
  <si>
    <t>23867</t>
  </si>
  <si>
    <t>TACENO</t>
  </si>
  <si>
    <t>097079</t>
  </si>
  <si>
    <t>VALGREGHENTINO</t>
  </si>
  <si>
    <t>097082</t>
  </si>
  <si>
    <t>23857</t>
  </si>
  <si>
    <t>VALMADRERA</t>
  </si>
  <si>
    <t>097083</t>
  </si>
  <si>
    <t>23868</t>
  </si>
  <si>
    <t>VARENNA</t>
  </si>
  <si>
    <t>097084</t>
  </si>
  <si>
    <t>23829</t>
  </si>
  <si>
    <t>VERCURAGO</t>
  </si>
  <si>
    <t>097086</t>
  </si>
  <si>
    <t>23808</t>
  </si>
  <si>
    <t>VIGANÒ</t>
  </si>
  <si>
    <t>097090</t>
  </si>
  <si>
    <t>23897</t>
  </si>
  <si>
    <t>VERDERIO</t>
  </si>
  <si>
    <t>097091</t>
  </si>
  <si>
    <t>LA VALLETTA BRIANZA</t>
  </si>
  <si>
    <t>097092</t>
  </si>
  <si>
    <t>VALVARRONE</t>
  </si>
  <si>
    <t>097093</t>
  </si>
  <si>
    <t>ABBADIA CERRETO</t>
  </si>
  <si>
    <t>098001</t>
  </si>
  <si>
    <t>LO</t>
  </si>
  <si>
    <t>26834</t>
  </si>
  <si>
    <t>BERTONICO</t>
  </si>
  <si>
    <t>098002</t>
  </si>
  <si>
    <t>26821</t>
  </si>
  <si>
    <t>BOFFALORA D'ADDA</t>
  </si>
  <si>
    <t>098003</t>
  </si>
  <si>
    <t>26811</t>
  </si>
  <si>
    <t>BORGHETTO LODIGIANO</t>
  </si>
  <si>
    <t>098004</t>
  </si>
  <si>
    <t>26812</t>
  </si>
  <si>
    <t>BORGO SAN GIOVANNI</t>
  </si>
  <si>
    <t>098005</t>
  </si>
  <si>
    <t>26851</t>
  </si>
  <si>
    <t>BREMBIO</t>
  </si>
  <si>
    <t>098006</t>
  </si>
  <si>
    <t>26822</t>
  </si>
  <si>
    <t>CASALETTO LODIGIANO</t>
  </si>
  <si>
    <t>098008</t>
  </si>
  <si>
    <t>26852</t>
  </si>
  <si>
    <t>CASALMAIOCCO</t>
  </si>
  <si>
    <t>098009</t>
  </si>
  <si>
    <t>26831</t>
  </si>
  <si>
    <t>CASALPUSTERLENGO</t>
  </si>
  <si>
    <t>098010</t>
  </si>
  <si>
    <t>26841</t>
  </si>
  <si>
    <t>CASELLE LANDI</t>
  </si>
  <si>
    <t>098011</t>
  </si>
  <si>
    <t>26842</t>
  </si>
  <si>
    <t>CASELLE LURANI</t>
  </si>
  <si>
    <t>098012</t>
  </si>
  <si>
    <t>26853</t>
  </si>
  <si>
    <t>CASTELNUOVO BOCCA D'ADDA</t>
  </si>
  <si>
    <t>098013</t>
  </si>
  <si>
    <t>26843</t>
  </si>
  <si>
    <t>CASTIGLIONE D'ADDA</t>
  </si>
  <si>
    <t>098014</t>
  </si>
  <si>
    <t>26823</t>
  </si>
  <si>
    <t>CASTIRAGA VIDARDO</t>
  </si>
  <si>
    <t>098015</t>
  </si>
  <si>
    <t>26866</t>
  </si>
  <si>
    <t>CAVENAGO D'ADDA</t>
  </si>
  <si>
    <t>098017</t>
  </si>
  <si>
    <t>26824</t>
  </si>
  <si>
    <t>CERVIGNANO D'ADDA</t>
  </si>
  <si>
    <t>098018</t>
  </si>
  <si>
    <t>26832</t>
  </si>
  <si>
    <t>CODOGNO</t>
  </si>
  <si>
    <t>098019</t>
  </si>
  <si>
    <t>26845</t>
  </si>
  <si>
    <t>COMAZZO</t>
  </si>
  <si>
    <t>098020</t>
  </si>
  <si>
    <t>26833</t>
  </si>
  <si>
    <t>CORNEGLIANO LAUDENSE</t>
  </si>
  <si>
    <t>098021</t>
  </si>
  <si>
    <t>26854</t>
  </si>
  <si>
    <t>CORNO GIOVINE</t>
  </si>
  <si>
    <t>098022</t>
  </si>
  <si>
    <t>26846</t>
  </si>
  <si>
    <t>CORNOVECCHIO</t>
  </si>
  <si>
    <t>098023</t>
  </si>
  <si>
    <t>CORTE PALASIO</t>
  </si>
  <si>
    <t>098024</t>
  </si>
  <si>
    <t>CRESPIATICA</t>
  </si>
  <si>
    <t>098025</t>
  </si>
  <si>
    <t>26835</t>
  </si>
  <si>
    <t>FOMBIO</t>
  </si>
  <si>
    <t>098026</t>
  </si>
  <si>
    <t>26861</t>
  </si>
  <si>
    <t>GALGAGNANO</t>
  </si>
  <si>
    <t>098027</t>
  </si>
  <si>
    <t>GRAFFIGNANA</t>
  </si>
  <si>
    <t>098028</t>
  </si>
  <si>
    <t>26813</t>
  </si>
  <si>
    <t>GUARDAMIGLIO</t>
  </si>
  <si>
    <t>098029</t>
  </si>
  <si>
    <t>26862</t>
  </si>
  <si>
    <t>LIVRAGA</t>
  </si>
  <si>
    <t>098030</t>
  </si>
  <si>
    <t>26814</t>
  </si>
  <si>
    <t>LODI</t>
  </si>
  <si>
    <t>098031</t>
  </si>
  <si>
    <t>26900</t>
  </si>
  <si>
    <t>LODI VECCHIO</t>
  </si>
  <si>
    <t>098032</t>
  </si>
  <si>
    <t>26855</t>
  </si>
  <si>
    <t>MACCASTORNA</t>
  </si>
  <si>
    <t>098033</t>
  </si>
  <si>
    <t>MAIRAGO</t>
  </si>
  <si>
    <t>098034</t>
  </si>
  <si>
    <t>26825</t>
  </si>
  <si>
    <t>MALEO</t>
  </si>
  <si>
    <t>098035</t>
  </si>
  <si>
    <t>26847</t>
  </si>
  <si>
    <t>MARUDO</t>
  </si>
  <si>
    <t>098036</t>
  </si>
  <si>
    <t>MASSALENGO</t>
  </si>
  <si>
    <t>098037</t>
  </si>
  <si>
    <t>26815</t>
  </si>
  <si>
    <t>MELETI</t>
  </si>
  <si>
    <t>098038</t>
  </si>
  <si>
    <t>MERLINO</t>
  </si>
  <si>
    <t>098039</t>
  </si>
  <si>
    <t>MONTANASO LOMBARDO</t>
  </si>
  <si>
    <t>098040</t>
  </si>
  <si>
    <t>26836</t>
  </si>
  <si>
    <t>MULAZZANO</t>
  </si>
  <si>
    <t>098041</t>
  </si>
  <si>
    <t>26837</t>
  </si>
  <si>
    <t>ORIO LITTA</t>
  </si>
  <si>
    <t>098042</t>
  </si>
  <si>
    <t>26863</t>
  </si>
  <si>
    <t>OSPEDALETTO LODIGIANO</t>
  </si>
  <si>
    <t>098043</t>
  </si>
  <si>
    <t>26864</t>
  </si>
  <si>
    <t>OSSAGO LODIGIANO</t>
  </si>
  <si>
    <t>098044</t>
  </si>
  <si>
    <t>26816</t>
  </si>
  <si>
    <t>PIEVE FISSIRAGA</t>
  </si>
  <si>
    <t>098045</t>
  </si>
  <si>
    <t>SALERANO SUL LAMBRO</t>
  </si>
  <si>
    <t>098046</t>
  </si>
  <si>
    <t>26857</t>
  </si>
  <si>
    <t>SAN FIORANO</t>
  </si>
  <si>
    <t>098047</t>
  </si>
  <si>
    <t>26848</t>
  </si>
  <si>
    <t>SAN MARTINO IN STRADA</t>
  </si>
  <si>
    <t>098048</t>
  </si>
  <si>
    <t>26817</t>
  </si>
  <si>
    <t>SAN ROCCO AL PORTO</t>
  </si>
  <si>
    <t>098049</t>
  </si>
  <si>
    <t>26865</t>
  </si>
  <si>
    <t>SANT'ANGELO LODIGIANO</t>
  </si>
  <si>
    <t>098050</t>
  </si>
  <si>
    <t>SANTO STEFANO LODIGIANO</t>
  </si>
  <si>
    <t>098051</t>
  </si>
  <si>
    <t>26849</t>
  </si>
  <si>
    <t>SECUGNAGO</t>
  </si>
  <si>
    <t>098052</t>
  </si>
  <si>
    <t>26826</t>
  </si>
  <si>
    <t>SENNA LODIGIANA</t>
  </si>
  <si>
    <t>098053</t>
  </si>
  <si>
    <t>26856</t>
  </si>
  <si>
    <t>SOMAGLIA</t>
  </si>
  <si>
    <t>098054</t>
  </si>
  <si>
    <t>26867</t>
  </si>
  <si>
    <t>SORDIO</t>
  </si>
  <si>
    <t>098055</t>
  </si>
  <si>
    <t>26858</t>
  </si>
  <si>
    <t>TAVAZZANO CON VILLAVESCO</t>
  </si>
  <si>
    <t>098056</t>
  </si>
  <si>
    <t>26838</t>
  </si>
  <si>
    <t>TERRANOVA DEI PASSERINI</t>
  </si>
  <si>
    <t>098057</t>
  </si>
  <si>
    <t>26827</t>
  </si>
  <si>
    <t>TURANO LODIGIANO</t>
  </si>
  <si>
    <t>098058</t>
  </si>
  <si>
    <t>26828</t>
  </si>
  <si>
    <t>VALERA FRATTA</t>
  </si>
  <si>
    <t>098059</t>
  </si>
  <si>
    <t>26859</t>
  </si>
  <si>
    <t>VILLANOVA DEL SILLARO</t>
  </si>
  <si>
    <t>098060</t>
  </si>
  <si>
    <t>26818</t>
  </si>
  <si>
    <t>ZELO BUON PERSICO</t>
  </si>
  <si>
    <t>098061</t>
  </si>
  <si>
    <t>26839</t>
  </si>
  <si>
    <t>CASTELGERUNDO</t>
  </si>
  <si>
    <t>098062</t>
  </si>
  <si>
    <t>BELLARIA-IGEA MARINA</t>
  </si>
  <si>
    <t>099001</t>
  </si>
  <si>
    <t>RN</t>
  </si>
  <si>
    <t>47814</t>
  </si>
  <si>
    <t>CATTOLICA</t>
  </si>
  <si>
    <t>099002</t>
  </si>
  <si>
    <t>47841</t>
  </si>
  <si>
    <t>CORIANO</t>
  </si>
  <si>
    <t>099003</t>
  </si>
  <si>
    <t>47853</t>
  </si>
  <si>
    <t>GEMMANO</t>
  </si>
  <si>
    <t>099004</t>
  </si>
  <si>
    <t>47855</t>
  </si>
  <si>
    <t>MISANO ADRIATICO</t>
  </si>
  <si>
    <t>099005</t>
  </si>
  <si>
    <t>47843</t>
  </si>
  <si>
    <t>MONDAINO</t>
  </si>
  <si>
    <t>099006</t>
  </si>
  <si>
    <t>47836</t>
  </si>
  <si>
    <t>MONTEFIORE CONCA</t>
  </si>
  <si>
    <t>099008</t>
  </si>
  <si>
    <t>47834</t>
  </si>
  <si>
    <t>MONTEGRIDOLFO</t>
  </si>
  <si>
    <t>099009</t>
  </si>
  <si>
    <t>47837</t>
  </si>
  <si>
    <t>MORCIANO DI ROMAGNA</t>
  </si>
  <si>
    <t>099011</t>
  </si>
  <si>
    <t>47833</t>
  </si>
  <si>
    <t>RICCIONE</t>
  </si>
  <si>
    <t>099013</t>
  </si>
  <si>
    <t>47838</t>
  </si>
  <si>
    <t>RIMINI</t>
  </si>
  <si>
    <t>099014</t>
  </si>
  <si>
    <t>4792x</t>
  </si>
  <si>
    <t>SALUDECIO</t>
  </si>
  <si>
    <t>099015</t>
  </si>
  <si>
    <t>47835</t>
  </si>
  <si>
    <t>SAN CLEMENTE</t>
  </si>
  <si>
    <t>099016</t>
  </si>
  <si>
    <t>47832</t>
  </si>
  <si>
    <t>SAN GIOVANNI IN MARIGNANO</t>
  </si>
  <si>
    <t>099017</t>
  </si>
  <si>
    <t>47842</t>
  </si>
  <si>
    <t>SANTARCANGELO DI ROMAGNA</t>
  </si>
  <si>
    <t>099018</t>
  </si>
  <si>
    <t>47822</t>
  </si>
  <si>
    <t>VERUCCHIO</t>
  </si>
  <si>
    <t>099020</t>
  </si>
  <si>
    <t>47826</t>
  </si>
  <si>
    <t>CASTELDELCI</t>
  </si>
  <si>
    <t>099021</t>
  </si>
  <si>
    <t>47861</t>
  </si>
  <si>
    <t>MAIOLO</t>
  </si>
  <si>
    <t>099022</t>
  </si>
  <si>
    <t>47862</t>
  </si>
  <si>
    <t>NOVAFELTRIA</t>
  </si>
  <si>
    <t>099023</t>
  </si>
  <si>
    <t>47863</t>
  </si>
  <si>
    <t>PENNABILLI</t>
  </si>
  <si>
    <t>099024</t>
  </si>
  <si>
    <t>47864</t>
  </si>
  <si>
    <t>SAN LEO</t>
  </si>
  <si>
    <t>099025</t>
  </si>
  <si>
    <t>47865</t>
  </si>
  <si>
    <t>SANT'AGATA FELTRIA</t>
  </si>
  <si>
    <t>099026</t>
  </si>
  <si>
    <t>47866</t>
  </si>
  <si>
    <t>TALAMELLO</t>
  </si>
  <si>
    <t>099027</t>
  </si>
  <si>
    <t>47867</t>
  </si>
  <si>
    <t>POGGIO TORRIANA</t>
  </si>
  <si>
    <t>099028</t>
  </si>
  <si>
    <t>MONTESCUDO-MONTE COLOMBO</t>
  </si>
  <si>
    <t>099029</t>
  </si>
  <si>
    <t>MONTECOPIOLO</t>
  </si>
  <si>
    <t>099030</t>
  </si>
  <si>
    <t>61014</t>
  </si>
  <si>
    <t>SASSOFELTRIO</t>
  </si>
  <si>
    <t>099031</t>
  </si>
  <si>
    <t>CANTAGALLO</t>
  </si>
  <si>
    <t>100001</t>
  </si>
  <si>
    <t>PO</t>
  </si>
  <si>
    <t>59025</t>
  </si>
  <si>
    <t>CARMIGNANO</t>
  </si>
  <si>
    <t>100002</t>
  </si>
  <si>
    <t>59015</t>
  </si>
  <si>
    <t>MONTEMURLO</t>
  </si>
  <si>
    <t>100003</t>
  </si>
  <si>
    <t>59013</t>
  </si>
  <si>
    <t>POGGIO A CAIANO</t>
  </si>
  <si>
    <t>100004</t>
  </si>
  <si>
    <t>59016</t>
  </si>
  <si>
    <t>PRATO</t>
  </si>
  <si>
    <t>100005</t>
  </si>
  <si>
    <t>59100</t>
  </si>
  <si>
    <t>VAIANO</t>
  </si>
  <si>
    <t>100006</t>
  </si>
  <si>
    <t>59021</t>
  </si>
  <si>
    <t>VERNIO</t>
  </si>
  <si>
    <t>100007</t>
  </si>
  <si>
    <t>59024</t>
  </si>
  <si>
    <t>BELVEDERE DI SPINELLO</t>
  </si>
  <si>
    <t>101001</t>
  </si>
  <si>
    <t>KR</t>
  </si>
  <si>
    <t>88824</t>
  </si>
  <si>
    <t>CACCURI</t>
  </si>
  <si>
    <t>101002</t>
  </si>
  <si>
    <t>88833</t>
  </si>
  <si>
    <t>CARFIZZI</t>
  </si>
  <si>
    <t>101003</t>
  </si>
  <si>
    <t>88817</t>
  </si>
  <si>
    <t>CASABONA</t>
  </si>
  <si>
    <t>101004</t>
  </si>
  <si>
    <t>88822</t>
  </si>
  <si>
    <t>CASTELSILANO</t>
  </si>
  <si>
    <t>101005</t>
  </si>
  <si>
    <t>88834</t>
  </si>
  <si>
    <t>CERENZIA</t>
  </si>
  <si>
    <t>101006</t>
  </si>
  <si>
    <t>CIRÒ</t>
  </si>
  <si>
    <t>101007</t>
  </si>
  <si>
    <t>88813</t>
  </si>
  <si>
    <t>CIRÒ MARINA</t>
  </si>
  <si>
    <t>101008</t>
  </si>
  <si>
    <t>88811</t>
  </si>
  <si>
    <t>COTRONEI</t>
  </si>
  <si>
    <t>101009</t>
  </si>
  <si>
    <t>88836</t>
  </si>
  <si>
    <t>CROTONE</t>
  </si>
  <si>
    <t>101010</t>
  </si>
  <si>
    <t>88900</t>
  </si>
  <si>
    <t>CRUCOLI</t>
  </si>
  <si>
    <t>101011</t>
  </si>
  <si>
    <t>88812</t>
  </si>
  <si>
    <t>CUTRO</t>
  </si>
  <si>
    <t>101012</t>
  </si>
  <si>
    <t>88842</t>
  </si>
  <si>
    <t>ISOLA DI CAPO RIZZUTO</t>
  </si>
  <si>
    <t>101013</t>
  </si>
  <si>
    <t>88841</t>
  </si>
  <si>
    <t>MELISSA</t>
  </si>
  <si>
    <t>101014</t>
  </si>
  <si>
    <t>88814</t>
  </si>
  <si>
    <t>MESORACA</t>
  </si>
  <si>
    <t>101015</t>
  </si>
  <si>
    <t>88838</t>
  </si>
  <si>
    <t>PALLAGORIO</t>
  </si>
  <si>
    <t>101016</t>
  </si>
  <si>
    <t>88818</t>
  </si>
  <si>
    <t>PETILIA POLICASTRO</t>
  </si>
  <si>
    <t>101017</t>
  </si>
  <si>
    <t>88837</t>
  </si>
  <si>
    <t>ROCCABERNARDA</t>
  </si>
  <si>
    <t>101018</t>
  </si>
  <si>
    <t>88835</t>
  </si>
  <si>
    <t>ROCCA DI NETO</t>
  </si>
  <si>
    <t>101019</t>
  </si>
  <si>
    <t>88821</t>
  </si>
  <si>
    <t>SAN MAURO MARCHESATO</t>
  </si>
  <si>
    <t>101020</t>
  </si>
  <si>
    <t>88831</t>
  </si>
  <si>
    <t>SAN NICOLA DELL'ALTO</t>
  </si>
  <si>
    <t>101021</t>
  </si>
  <si>
    <t>SANTA SEVERINA</t>
  </si>
  <si>
    <t>101022</t>
  </si>
  <si>
    <t>88832</t>
  </si>
  <si>
    <t>SAVELLI</t>
  </si>
  <si>
    <t>101023</t>
  </si>
  <si>
    <t>88825</t>
  </si>
  <si>
    <t>SCANDALE</t>
  </si>
  <si>
    <t>101024</t>
  </si>
  <si>
    <t>STRONGOLI</t>
  </si>
  <si>
    <t>101025</t>
  </si>
  <si>
    <t>88816</t>
  </si>
  <si>
    <t>UMBRIATICO</t>
  </si>
  <si>
    <t>101026</t>
  </si>
  <si>
    <t>88823</t>
  </si>
  <si>
    <t>VERZINO</t>
  </si>
  <si>
    <t>101027</t>
  </si>
  <si>
    <t>88819</t>
  </si>
  <si>
    <t>ACQUARO</t>
  </si>
  <si>
    <t>102001</t>
  </si>
  <si>
    <t>VV</t>
  </si>
  <si>
    <t>89832</t>
  </si>
  <si>
    <t>ARENA</t>
  </si>
  <si>
    <t>102002</t>
  </si>
  <si>
    <t>BRIATICO</t>
  </si>
  <si>
    <t>102003</t>
  </si>
  <si>
    <t>89817</t>
  </si>
  <si>
    <t>BROGNATURO</t>
  </si>
  <si>
    <t>102004</t>
  </si>
  <si>
    <t>89822</t>
  </si>
  <si>
    <t>CAPISTRANO</t>
  </si>
  <si>
    <t>102005</t>
  </si>
  <si>
    <t>89818</t>
  </si>
  <si>
    <t>CESSANITI</t>
  </si>
  <si>
    <t>102006</t>
  </si>
  <si>
    <t>89816</t>
  </si>
  <si>
    <t>DASÀ</t>
  </si>
  <si>
    <t>102007</t>
  </si>
  <si>
    <t>DINAMI</t>
  </si>
  <si>
    <t>102008</t>
  </si>
  <si>
    <t>89833</t>
  </si>
  <si>
    <t>DRAPIA</t>
  </si>
  <si>
    <t>102009</t>
  </si>
  <si>
    <t>89862</t>
  </si>
  <si>
    <t>FABRIZIA</t>
  </si>
  <si>
    <t>102010</t>
  </si>
  <si>
    <t>89823</t>
  </si>
  <si>
    <t>FILADELFIA</t>
  </si>
  <si>
    <t>102011</t>
  </si>
  <si>
    <t>89814</t>
  </si>
  <si>
    <t>FILANDARI</t>
  </si>
  <si>
    <t>102012</t>
  </si>
  <si>
    <t>89841</t>
  </si>
  <si>
    <t>FILOGASO</t>
  </si>
  <si>
    <t>102013</t>
  </si>
  <si>
    <t>89843</t>
  </si>
  <si>
    <t>FRANCAVILLA ANGITOLA</t>
  </si>
  <si>
    <t>102014</t>
  </si>
  <si>
    <t>89815</t>
  </si>
  <si>
    <t>FRANCICA</t>
  </si>
  <si>
    <t>102015</t>
  </si>
  <si>
    <t>89851</t>
  </si>
  <si>
    <t>GEROCARNE</t>
  </si>
  <si>
    <t>102016</t>
  </si>
  <si>
    <t>89831</t>
  </si>
  <si>
    <t>IONADI</t>
  </si>
  <si>
    <t>102017</t>
  </si>
  <si>
    <t>JOPPOLO</t>
  </si>
  <si>
    <t>102018</t>
  </si>
  <si>
    <t>89863</t>
  </si>
  <si>
    <t>LIMBADI</t>
  </si>
  <si>
    <t>102019</t>
  </si>
  <si>
    <t>89844</t>
  </si>
  <si>
    <t>MAIERATO</t>
  </si>
  <si>
    <t>102020</t>
  </si>
  <si>
    <t>MILETO</t>
  </si>
  <si>
    <t>102021</t>
  </si>
  <si>
    <t>89852</t>
  </si>
  <si>
    <t>MONGIANA</t>
  </si>
  <si>
    <t>102022</t>
  </si>
  <si>
    <t>MONTEROSSO CALABRO</t>
  </si>
  <si>
    <t>102023</t>
  </si>
  <si>
    <t>89819</t>
  </si>
  <si>
    <t>NARDODIPACE</t>
  </si>
  <si>
    <t>102024</t>
  </si>
  <si>
    <t>89824</t>
  </si>
  <si>
    <t>NICOTERA</t>
  </si>
  <si>
    <t>102025</t>
  </si>
  <si>
    <t>PARGHELIA</t>
  </si>
  <si>
    <t>102026</t>
  </si>
  <si>
    <t>89861</t>
  </si>
  <si>
    <t>PIZZO</t>
  </si>
  <si>
    <t>102027</t>
  </si>
  <si>
    <t>89812</t>
  </si>
  <si>
    <t>PIZZONI</t>
  </si>
  <si>
    <t>102028</t>
  </si>
  <si>
    <t>89834</t>
  </si>
  <si>
    <t>POLIA</t>
  </si>
  <si>
    <t>102029</t>
  </si>
  <si>
    <t>89813</t>
  </si>
  <si>
    <t>RICADI</t>
  </si>
  <si>
    <t>102030</t>
  </si>
  <si>
    <t>89866</t>
  </si>
  <si>
    <t>ROMBIOLO</t>
  </si>
  <si>
    <t>102031</t>
  </si>
  <si>
    <t>SAN CALOGERO</t>
  </si>
  <si>
    <t>102032</t>
  </si>
  <si>
    <t>89842</t>
  </si>
  <si>
    <t>SAN COSTANTINO CALABRO</t>
  </si>
  <si>
    <t>102033</t>
  </si>
  <si>
    <t>SAN GREGORIO D'IPPONA</t>
  </si>
  <si>
    <t>102034</t>
  </si>
  <si>
    <t>89853</t>
  </si>
  <si>
    <t>SAN NICOLA DA CRISSA</t>
  </si>
  <si>
    <t>102035</t>
  </si>
  <si>
    <t>89821</t>
  </si>
  <si>
    <t>SANT'ONOFRIO</t>
  </si>
  <si>
    <t>102036</t>
  </si>
  <si>
    <t>SERRA SAN BRUNO</t>
  </si>
  <si>
    <t>102037</t>
  </si>
  <si>
    <t>SIMBARIO</t>
  </si>
  <si>
    <t>102038</t>
  </si>
  <si>
    <t>SORIANELLO</t>
  </si>
  <si>
    <t>102039</t>
  </si>
  <si>
    <t>SORIANO CALABRO</t>
  </si>
  <si>
    <t>102040</t>
  </si>
  <si>
    <t>SPADOLA</t>
  </si>
  <si>
    <t>102041</t>
  </si>
  <si>
    <t>SPILINGA</t>
  </si>
  <si>
    <t>102042</t>
  </si>
  <si>
    <t>89864</t>
  </si>
  <si>
    <t>STEFANACONI</t>
  </si>
  <si>
    <t>102043</t>
  </si>
  <si>
    <t>TROPEA</t>
  </si>
  <si>
    <t>102044</t>
  </si>
  <si>
    <t>VALLELONGA</t>
  </si>
  <si>
    <t>102045</t>
  </si>
  <si>
    <t>VAZZANO</t>
  </si>
  <si>
    <t>102046</t>
  </si>
  <si>
    <t>VIBO VALENTIA</t>
  </si>
  <si>
    <t>102047</t>
  </si>
  <si>
    <t>89900</t>
  </si>
  <si>
    <t>ZACCANOPOLI</t>
  </si>
  <si>
    <t>102048</t>
  </si>
  <si>
    <t>89867</t>
  </si>
  <si>
    <t>ZAMBRONE</t>
  </si>
  <si>
    <t>102049</t>
  </si>
  <si>
    <t>89868</t>
  </si>
  <si>
    <t>ZUNGRI</t>
  </si>
  <si>
    <t>102050</t>
  </si>
  <si>
    <t>ANTRONA SCHIERANCO</t>
  </si>
  <si>
    <t>103001</t>
  </si>
  <si>
    <t>VB</t>
  </si>
  <si>
    <t>28841</t>
  </si>
  <si>
    <t>ANZOLA D'OSSOLA</t>
  </si>
  <si>
    <t>103002</t>
  </si>
  <si>
    <t>28877</t>
  </si>
  <si>
    <t>ARIZZANO</t>
  </si>
  <si>
    <t>103003</t>
  </si>
  <si>
    <t>28811</t>
  </si>
  <si>
    <t>AROLA</t>
  </si>
  <si>
    <t>103004</t>
  </si>
  <si>
    <t>28899</t>
  </si>
  <si>
    <t>AURANO</t>
  </si>
  <si>
    <t>103005</t>
  </si>
  <si>
    <t>28812</t>
  </si>
  <si>
    <t>BACENO</t>
  </si>
  <si>
    <t>103006</t>
  </si>
  <si>
    <t>28861</t>
  </si>
  <si>
    <t>BANNIO ANZINO</t>
  </si>
  <si>
    <t>103007</t>
  </si>
  <si>
    <t>28871</t>
  </si>
  <si>
    <t>BAVENO</t>
  </si>
  <si>
    <t>103008</t>
  </si>
  <si>
    <t>28831</t>
  </si>
  <si>
    <t>BEE</t>
  </si>
  <si>
    <t>103009</t>
  </si>
  <si>
    <t>28813</t>
  </si>
  <si>
    <t>BELGIRATE</t>
  </si>
  <si>
    <t>103010</t>
  </si>
  <si>
    <t>28832</t>
  </si>
  <si>
    <t>BEURA-CARDEZZA</t>
  </si>
  <si>
    <t>103011</t>
  </si>
  <si>
    <t>28851</t>
  </si>
  <si>
    <t>BOGNANCO</t>
  </si>
  <si>
    <t>103012</t>
  </si>
  <si>
    <t>28842</t>
  </si>
  <si>
    <t>BROVELLO-CARPUGNINO</t>
  </si>
  <si>
    <t>103013</t>
  </si>
  <si>
    <t>28833</t>
  </si>
  <si>
    <t>CALASCA-CASTIGLIONE</t>
  </si>
  <si>
    <t>103014</t>
  </si>
  <si>
    <t>28873</t>
  </si>
  <si>
    <t>CAMBIASCA</t>
  </si>
  <si>
    <t>103015</t>
  </si>
  <si>
    <t>28814</t>
  </si>
  <si>
    <t>CANNERO RIVIERA</t>
  </si>
  <si>
    <t>103016</t>
  </si>
  <si>
    <t>28821</t>
  </si>
  <si>
    <t>CANNOBIO</t>
  </si>
  <si>
    <t>103017</t>
  </si>
  <si>
    <t>28822</t>
  </si>
  <si>
    <t>CAPREZZO</t>
  </si>
  <si>
    <t>103018</t>
  </si>
  <si>
    <t>28815</t>
  </si>
  <si>
    <t>CASALE CORTE CERRO</t>
  </si>
  <si>
    <t>103019</t>
  </si>
  <si>
    <t>28881</t>
  </si>
  <si>
    <t>CEPPO MORELLI</t>
  </si>
  <si>
    <t>103021</t>
  </si>
  <si>
    <t>28875</t>
  </si>
  <si>
    <t>CESARA</t>
  </si>
  <si>
    <t>103022</t>
  </si>
  <si>
    <t>28891</t>
  </si>
  <si>
    <t>COSSOGNO</t>
  </si>
  <si>
    <t>103023</t>
  </si>
  <si>
    <t>28801</t>
  </si>
  <si>
    <t>CRAVEGGIA</t>
  </si>
  <si>
    <t>103024</t>
  </si>
  <si>
    <t>28852</t>
  </si>
  <si>
    <t>CREVOLADOSSOLA</t>
  </si>
  <si>
    <t>103025</t>
  </si>
  <si>
    <t>28865</t>
  </si>
  <si>
    <t>CRODO</t>
  </si>
  <si>
    <t>103026</t>
  </si>
  <si>
    <t>28862</t>
  </si>
  <si>
    <t>DOMODOSSOLA</t>
  </si>
  <si>
    <t>103028</t>
  </si>
  <si>
    <t>28845</t>
  </si>
  <si>
    <t>DRUOGNO</t>
  </si>
  <si>
    <t>103029</t>
  </si>
  <si>
    <t>28853</t>
  </si>
  <si>
    <t>FORMAZZA</t>
  </si>
  <si>
    <t>103031</t>
  </si>
  <si>
    <t>28863</t>
  </si>
  <si>
    <t>GERMAGNO</t>
  </si>
  <si>
    <t>103032</t>
  </si>
  <si>
    <t>28887</t>
  </si>
  <si>
    <t>GHIFFA</t>
  </si>
  <si>
    <t>103033</t>
  </si>
  <si>
    <t>28823</t>
  </si>
  <si>
    <t>GIGNESE</t>
  </si>
  <si>
    <t>103034</t>
  </si>
  <si>
    <t>28836</t>
  </si>
  <si>
    <t>GRAVELLONA TOCE</t>
  </si>
  <si>
    <t>103035</t>
  </si>
  <si>
    <t>28883</t>
  </si>
  <si>
    <t>GURRO</t>
  </si>
  <si>
    <t>103036</t>
  </si>
  <si>
    <t>28828</t>
  </si>
  <si>
    <t>INTRAGNA</t>
  </si>
  <si>
    <t>103037</t>
  </si>
  <si>
    <t>28816</t>
  </si>
  <si>
    <t>LOREGLIA</t>
  </si>
  <si>
    <t>103038</t>
  </si>
  <si>
    <t>28893</t>
  </si>
  <si>
    <t>MACUGNAGA</t>
  </si>
  <si>
    <t>103039</t>
  </si>
  <si>
    <t>28876</t>
  </si>
  <si>
    <t>MADONNA DEL SASSO</t>
  </si>
  <si>
    <t>103040</t>
  </si>
  <si>
    <t>28894</t>
  </si>
  <si>
    <t>MALESCO</t>
  </si>
  <si>
    <t>103041</t>
  </si>
  <si>
    <t>28854</t>
  </si>
  <si>
    <t>MASERA</t>
  </si>
  <si>
    <t>103042</t>
  </si>
  <si>
    <t>28855</t>
  </si>
  <si>
    <t>MASSIOLA</t>
  </si>
  <si>
    <t>103043</t>
  </si>
  <si>
    <t>28895</t>
  </si>
  <si>
    <t>MERGOZZO</t>
  </si>
  <si>
    <t>103044</t>
  </si>
  <si>
    <t>28802</t>
  </si>
  <si>
    <t>MIAZZINA</t>
  </si>
  <si>
    <t>103045</t>
  </si>
  <si>
    <t>28817</t>
  </si>
  <si>
    <t>MONTECRESTESE</t>
  </si>
  <si>
    <t>103046</t>
  </si>
  <si>
    <t>28864</t>
  </si>
  <si>
    <t>MONTESCHENO</t>
  </si>
  <si>
    <t>103047</t>
  </si>
  <si>
    <t>28843</t>
  </si>
  <si>
    <t>NONIO</t>
  </si>
  <si>
    <t>103048</t>
  </si>
  <si>
    <t>OGGEBBIO</t>
  </si>
  <si>
    <t>103049</t>
  </si>
  <si>
    <t>28824</t>
  </si>
  <si>
    <t>OMEGNA</t>
  </si>
  <si>
    <t>103050</t>
  </si>
  <si>
    <t>ORNAVASSO</t>
  </si>
  <si>
    <t>103051</t>
  </si>
  <si>
    <t>PALLANZENO</t>
  </si>
  <si>
    <t>103052</t>
  </si>
  <si>
    <t>28884</t>
  </si>
  <si>
    <t>PIEDIMULERA</t>
  </si>
  <si>
    <t>103053</t>
  </si>
  <si>
    <t>28885</t>
  </si>
  <si>
    <t>PIEVE VERGONTE</t>
  </si>
  <si>
    <t>103054</t>
  </si>
  <si>
    <t>28886</t>
  </si>
  <si>
    <t>PREMENO</t>
  </si>
  <si>
    <t>103055</t>
  </si>
  <si>
    <t>28818</t>
  </si>
  <si>
    <t>PREMIA</t>
  </si>
  <si>
    <t>103056</t>
  </si>
  <si>
    <t>28866</t>
  </si>
  <si>
    <t>PREMOSELLO-CHIOVENDA</t>
  </si>
  <si>
    <t>103057</t>
  </si>
  <si>
    <t>28803</t>
  </si>
  <si>
    <t>QUARNA SOPRA</t>
  </si>
  <si>
    <t>103058</t>
  </si>
  <si>
    <t>28898</t>
  </si>
  <si>
    <t>QUARNA SOTTO</t>
  </si>
  <si>
    <t>103059</t>
  </si>
  <si>
    <t>28896</t>
  </si>
  <si>
    <t>103060</t>
  </si>
  <si>
    <t>28856</t>
  </si>
  <si>
    <t>SAN BERNARDINO VERBANO</t>
  </si>
  <si>
    <t>103061</t>
  </si>
  <si>
    <t>28804</t>
  </si>
  <si>
    <t>SANTA MARIA MAGGIORE</t>
  </si>
  <si>
    <t>103062</t>
  </si>
  <si>
    <t>28857</t>
  </si>
  <si>
    <t>STRESA</t>
  </si>
  <si>
    <t>103064</t>
  </si>
  <si>
    <t>28838</t>
  </si>
  <si>
    <t>TOCENO</t>
  </si>
  <si>
    <t>103065</t>
  </si>
  <si>
    <t>28858</t>
  </si>
  <si>
    <t>TRAREGO VIGGIONA</t>
  </si>
  <si>
    <t>103066</t>
  </si>
  <si>
    <t>28826</t>
  </si>
  <si>
    <t>TRASQUERA</t>
  </si>
  <si>
    <t>103067</t>
  </si>
  <si>
    <t>28868</t>
  </si>
  <si>
    <t>TRONTANO</t>
  </si>
  <si>
    <t>103068</t>
  </si>
  <si>
    <t>28859</t>
  </si>
  <si>
    <t>VALSTRONA</t>
  </si>
  <si>
    <t>103069</t>
  </si>
  <si>
    <t>28897</t>
  </si>
  <si>
    <t>VANZONE CON SAN CARLO</t>
  </si>
  <si>
    <t>103070</t>
  </si>
  <si>
    <t>28879</t>
  </si>
  <si>
    <t>VARZO</t>
  </si>
  <si>
    <t>103071</t>
  </si>
  <si>
    <t>VERBANIA</t>
  </si>
  <si>
    <t>103072</t>
  </si>
  <si>
    <t>2892x</t>
  </si>
  <si>
    <t>VIGNONE</t>
  </si>
  <si>
    <t>103074</t>
  </si>
  <si>
    <t>28819</t>
  </si>
  <si>
    <t>VILLADOSSOLA</t>
  </si>
  <si>
    <t>103075</t>
  </si>
  <si>
    <t>28844</t>
  </si>
  <si>
    <t>VILLETTE</t>
  </si>
  <si>
    <t>103076</t>
  </si>
  <si>
    <t>VOGOGNA</t>
  </si>
  <si>
    <t>103077</t>
  </si>
  <si>
    <t>28805</t>
  </si>
  <si>
    <t>BORGOMEZZAVALLE</t>
  </si>
  <si>
    <t>103078</t>
  </si>
  <si>
    <t>VALLE CANNOBINA</t>
  </si>
  <si>
    <t>103079</t>
  </si>
  <si>
    <t>AGRATE BRIANZA</t>
  </si>
  <si>
    <t>108001</t>
  </si>
  <si>
    <t>MB</t>
  </si>
  <si>
    <t>20864</t>
  </si>
  <si>
    <t>AICURZIO</t>
  </si>
  <si>
    <t>108002</t>
  </si>
  <si>
    <t>20886</t>
  </si>
  <si>
    <t>ALBIATE</t>
  </si>
  <si>
    <t>108003</t>
  </si>
  <si>
    <t>20847</t>
  </si>
  <si>
    <t>ARCORE</t>
  </si>
  <si>
    <t>108004</t>
  </si>
  <si>
    <t>20862</t>
  </si>
  <si>
    <t>BARLASSINA</t>
  </si>
  <si>
    <t>108005</t>
  </si>
  <si>
    <t>20825</t>
  </si>
  <si>
    <t>BELLUSCO</t>
  </si>
  <si>
    <t>108006</t>
  </si>
  <si>
    <t>20882</t>
  </si>
  <si>
    <t>BERNAREGGIO</t>
  </si>
  <si>
    <t>108007</t>
  </si>
  <si>
    <t>20881</t>
  </si>
  <si>
    <t>BESANA IN BRIANZA</t>
  </si>
  <si>
    <t>108008</t>
  </si>
  <si>
    <t>20842</t>
  </si>
  <si>
    <t>BIASSONO</t>
  </si>
  <si>
    <t>108009</t>
  </si>
  <si>
    <t>20853</t>
  </si>
  <si>
    <t>BOVISIO-MASCIAGO</t>
  </si>
  <si>
    <t>108010</t>
  </si>
  <si>
    <t>20813</t>
  </si>
  <si>
    <t>BRIOSCO</t>
  </si>
  <si>
    <t>108011</t>
  </si>
  <si>
    <t>20836</t>
  </si>
  <si>
    <t>BRUGHERIO</t>
  </si>
  <si>
    <t>108012</t>
  </si>
  <si>
    <t>20861</t>
  </si>
  <si>
    <t>BURAGO DI MOLGORA</t>
  </si>
  <si>
    <t>108013</t>
  </si>
  <si>
    <t>20875</t>
  </si>
  <si>
    <t>CAMPARADA</t>
  </si>
  <si>
    <t>108014</t>
  </si>
  <si>
    <t>20857</t>
  </si>
  <si>
    <t>CARATE BRIANZA</t>
  </si>
  <si>
    <t>108015</t>
  </si>
  <si>
    <t>20841</t>
  </si>
  <si>
    <t>CARNATE</t>
  </si>
  <si>
    <t>108016</t>
  </si>
  <si>
    <t>20866</t>
  </si>
  <si>
    <t>CAVENAGO DI BRIANZA</t>
  </si>
  <si>
    <t>108017</t>
  </si>
  <si>
    <t>20873</t>
  </si>
  <si>
    <t>CERIANO LAGHETTO</t>
  </si>
  <si>
    <t>108018</t>
  </si>
  <si>
    <t>20816</t>
  </si>
  <si>
    <t>CESANO MADERNO</t>
  </si>
  <si>
    <t>108019</t>
  </si>
  <si>
    <t>20811</t>
  </si>
  <si>
    <t>COGLIATE</t>
  </si>
  <si>
    <t>108020</t>
  </si>
  <si>
    <t>20815</t>
  </si>
  <si>
    <t>CONCOREZZO</t>
  </si>
  <si>
    <t>108021</t>
  </si>
  <si>
    <t>20863</t>
  </si>
  <si>
    <t>CORREZZANA</t>
  </si>
  <si>
    <t>108022</t>
  </si>
  <si>
    <t>20856</t>
  </si>
  <si>
    <t>DESIO</t>
  </si>
  <si>
    <t>108023</t>
  </si>
  <si>
    <t>20832</t>
  </si>
  <si>
    <t>GIUSSANO</t>
  </si>
  <si>
    <t>108024</t>
  </si>
  <si>
    <t>20833</t>
  </si>
  <si>
    <t>LAZZATE</t>
  </si>
  <si>
    <t>108025</t>
  </si>
  <si>
    <t>20824</t>
  </si>
  <si>
    <t>LESMO</t>
  </si>
  <si>
    <t>108026</t>
  </si>
  <si>
    <t>20855</t>
  </si>
  <si>
    <t>LIMBIATE</t>
  </si>
  <si>
    <t>108027</t>
  </si>
  <si>
    <t>20812</t>
  </si>
  <si>
    <t>LISSONE</t>
  </si>
  <si>
    <t>108028</t>
  </si>
  <si>
    <t>20851</t>
  </si>
  <si>
    <t>MACHERIO</t>
  </si>
  <si>
    <t>108029</t>
  </si>
  <si>
    <t>20846</t>
  </si>
  <si>
    <t>MEDA</t>
  </si>
  <si>
    <t>108030</t>
  </si>
  <si>
    <t>20821</t>
  </si>
  <si>
    <t>MEZZAGO</t>
  </si>
  <si>
    <t>108031</t>
  </si>
  <si>
    <t>20883</t>
  </si>
  <si>
    <t>MISINTO</t>
  </si>
  <si>
    <t>108032</t>
  </si>
  <si>
    <t>20826</t>
  </si>
  <si>
    <t>MONZA</t>
  </si>
  <si>
    <t>108033</t>
  </si>
  <si>
    <t>20900</t>
  </si>
  <si>
    <t>MUGGIÒ</t>
  </si>
  <si>
    <t>108034</t>
  </si>
  <si>
    <t>20835</t>
  </si>
  <si>
    <t>NOVA MILANESE</t>
  </si>
  <si>
    <t>108035</t>
  </si>
  <si>
    <t>20834</t>
  </si>
  <si>
    <t>ORNAGO</t>
  </si>
  <si>
    <t>108036</t>
  </si>
  <si>
    <t>20876</t>
  </si>
  <si>
    <t>RENATE</t>
  </si>
  <si>
    <t>108037</t>
  </si>
  <si>
    <t>20838</t>
  </si>
  <si>
    <t>RONCO BRIANTINO</t>
  </si>
  <si>
    <t>108038</t>
  </si>
  <si>
    <t>20885</t>
  </si>
  <si>
    <t>SEREGNO</t>
  </si>
  <si>
    <t>108039</t>
  </si>
  <si>
    <t>20831</t>
  </si>
  <si>
    <t>SEVESO</t>
  </si>
  <si>
    <t>108040</t>
  </si>
  <si>
    <t>20822</t>
  </si>
  <si>
    <t>SOVICO</t>
  </si>
  <si>
    <t>108041</t>
  </si>
  <si>
    <t>20845</t>
  </si>
  <si>
    <t>SULBIATE</t>
  </si>
  <si>
    <t>108042</t>
  </si>
  <si>
    <t>20884</t>
  </si>
  <si>
    <t>TRIUGGIO</t>
  </si>
  <si>
    <t>108043</t>
  </si>
  <si>
    <t>20844</t>
  </si>
  <si>
    <t>USMATE VELATE</t>
  </si>
  <si>
    <t>108044</t>
  </si>
  <si>
    <t>20865</t>
  </si>
  <si>
    <t>VAREDO</t>
  </si>
  <si>
    <t>108045</t>
  </si>
  <si>
    <t>20814</t>
  </si>
  <si>
    <t>VEDANO AL LAMBRO</t>
  </si>
  <si>
    <t>108046</t>
  </si>
  <si>
    <t>20854</t>
  </si>
  <si>
    <t>VEDUGGIO CON COLZANO</t>
  </si>
  <si>
    <t>108047</t>
  </si>
  <si>
    <t>20837</t>
  </si>
  <si>
    <t>VERANO BRIANZA</t>
  </si>
  <si>
    <t>108048</t>
  </si>
  <si>
    <t>20843</t>
  </si>
  <si>
    <t>VILLASANTA</t>
  </si>
  <si>
    <t>108049</t>
  </si>
  <si>
    <t>20852</t>
  </si>
  <si>
    <t>VIMERCATE</t>
  </si>
  <si>
    <t>108050</t>
  </si>
  <si>
    <t>20871</t>
  </si>
  <si>
    <t>BUSNAGO</t>
  </si>
  <si>
    <t>108051</t>
  </si>
  <si>
    <t>20874</t>
  </si>
  <si>
    <t>CAPONAGO</t>
  </si>
  <si>
    <t>108052</t>
  </si>
  <si>
    <t>20867</t>
  </si>
  <si>
    <t>CORNATE D'ADDA</t>
  </si>
  <si>
    <t>108053</t>
  </si>
  <si>
    <t>20872</t>
  </si>
  <si>
    <t>LENTATE SUL SEVESO</t>
  </si>
  <si>
    <t>108054</t>
  </si>
  <si>
    <t>20823</t>
  </si>
  <si>
    <t>RONCELLO</t>
  </si>
  <si>
    <t>108055</t>
  </si>
  <si>
    <t>20877</t>
  </si>
  <si>
    <t>ALTIDONA</t>
  </si>
  <si>
    <t>109001</t>
  </si>
  <si>
    <t>FM</t>
  </si>
  <si>
    <t>63824</t>
  </si>
  <si>
    <t>AMANDOLA</t>
  </si>
  <si>
    <t>109002</t>
  </si>
  <si>
    <t>63857</t>
  </si>
  <si>
    <t>BELMONTE PICENO</t>
  </si>
  <si>
    <t>109003</t>
  </si>
  <si>
    <t>63838</t>
  </si>
  <si>
    <t>CAMPOFILONE</t>
  </si>
  <si>
    <t>109004</t>
  </si>
  <si>
    <t>63828</t>
  </si>
  <si>
    <t>FALERONE</t>
  </si>
  <si>
    <t>109005</t>
  </si>
  <si>
    <t>63837</t>
  </si>
  <si>
    <t>FERMO</t>
  </si>
  <si>
    <t>109006</t>
  </si>
  <si>
    <t>63900</t>
  </si>
  <si>
    <t>FRANCAVILLA D'ETE</t>
  </si>
  <si>
    <t>109007</t>
  </si>
  <si>
    <t>63816</t>
  </si>
  <si>
    <t>GROTTAZZOLINA</t>
  </si>
  <si>
    <t>109008</t>
  </si>
  <si>
    <t>63844</t>
  </si>
  <si>
    <t>LAPEDONA</t>
  </si>
  <si>
    <t>109009</t>
  </si>
  <si>
    <t>63823</t>
  </si>
  <si>
    <t>MAGLIANO DI TENNA</t>
  </si>
  <si>
    <t>109010</t>
  </si>
  <si>
    <t>63832</t>
  </si>
  <si>
    <t>MASSA FERMANA</t>
  </si>
  <si>
    <t>109011</t>
  </si>
  <si>
    <t>63834</t>
  </si>
  <si>
    <t>MONSAMPIETRO MORICO</t>
  </si>
  <si>
    <t>109012</t>
  </si>
  <si>
    <t>63842</t>
  </si>
  <si>
    <t>MONTAPPONE</t>
  </si>
  <si>
    <t>109013</t>
  </si>
  <si>
    <t>63835</t>
  </si>
  <si>
    <t>MONTEFALCONE APPENNINO</t>
  </si>
  <si>
    <t>109014</t>
  </si>
  <si>
    <t>63855</t>
  </si>
  <si>
    <t>MONTEFORTINO</t>
  </si>
  <si>
    <t>109015</t>
  </si>
  <si>
    <t>63858</t>
  </si>
  <si>
    <t>MONTE GIBERTO</t>
  </si>
  <si>
    <t>109016</t>
  </si>
  <si>
    <t>63846</t>
  </si>
  <si>
    <t>MONTEGIORGIO</t>
  </si>
  <si>
    <t>109017</t>
  </si>
  <si>
    <t>63833</t>
  </si>
  <si>
    <t>MONTEGRANARO</t>
  </si>
  <si>
    <t>109018</t>
  </si>
  <si>
    <t>63812</t>
  </si>
  <si>
    <t>MONTELEONE DI FERMO</t>
  </si>
  <si>
    <t>109019</t>
  </si>
  <si>
    <t>63841</t>
  </si>
  <si>
    <t>MONTELPARO</t>
  </si>
  <si>
    <t>109020</t>
  </si>
  <si>
    <t>63853</t>
  </si>
  <si>
    <t>MONTE RINALDO</t>
  </si>
  <si>
    <t>109021</t>
  </si>
  <si>
    <t>63852</t>
  </si>
  <si>
    <t>MONTERUBBIANO</t>
  </si>
  <si>
    <t>109022</t>
  </si>
  <si>
    <t>63825</t>
  </si>
  <si>
    <t>MONTE SAN PIETRANGELI</t>
  </si>
  <si>
    <t>109023</t>
  </si>
  <si>
    <t>63815</t>
  </si>
  <si>
    <t>MONTE URANO</t>
  </si>
  <si>
    <t>109024</t>
  </si>
  <si>
    <t>63813</t>
  </si>
  <si>
    <t>MONTE VIDON COMBATTE</t>
  </si>
  <si>
    <t>109025</t>
  </si>
  <si>
    <t>63847</t>
  </si>
  <si>
    <t>MONTE VIDON CORRADO</t>
  </si>
  <si>
    <t>109026</t>
  </si>
  <si>
    <t>63836</t>
  </si>
  <si>
    <t>MONTOTTONE</t>
  </si>
  <si>
    <t>109027</t>
  </si>
  <si>
    <t>63843</t>
  </si>
  <si>
    <t>MORESCO</t>
  </si>
  <si>
    <t>109028</t>
  </si>
  <si>
    <t>63826</t>
  </si>
  <si>
    <t>ORTEZZANO</t>
  </si>
  <si>
    <t>109029</t>
  </si>
  <si>
    <t>63851</t>
  </si>
  <si>
    <t>PEDASO</t>
  </si>
  <si>
    <t>109030</t>
  </si>
  <si>
    <t>63827</t>
  </si>
  <si>
    <t>PETRITOLI</t>
  </si>
  <si>
    <t>109031</t>
  </si>
  <si>
    <t>63848</t>
  </si>
  <si>
    <t>PONZANO DI FERMO</t>
  </si>
  <si>
    <t>109032</t>
  </si>
  <si>
    <t>63845</t>
  </si>
  <si>
    <t>PORTO SAN GIORGIO</t>
  </si>
  <si>
    <t>109033</t>
  </si>
  <si>
    <t>63822</t>
  </si>
  <si>
    <t>PORTO SANT'ELPIDIO</t>
  </si>
  <si>
    <t>109034</t>
  </si>
  <si>
    <t>63821</t>
  </si>
  <si>
    <t>RAPAGNANO</t>
  </si>
  <si>
    <t>109035</t>
  </si>
  <si>
    <t>63831</t>
  </si>
  <si>
    <t>SANTA VITTORIA IN MATENANO</t>
  </si>
  <si>
    <t>109036</t>
  </si>
  <si>
    <t>63854</t>
  </si>
  <si>
    <t>SANT'ELPIDIO A MARE</t>
  </si>
  <si>
    <t>109037</t>
  </si>
  <si>
    <t>63811</t>
  </si>
  <si>
    <t>SERVIGLIANO</t>
  </si>
  <si>
    <t>109038</t>
  </si>
  <si>
    <t>63839</t>
  </si>
  <si>
    <t>SMERILLO</t>
  </si>
  <si>
    <t>109039</t>
  </si>
  <si>
    <t>63856</t>
  </si>
  <si>
    <t>TORRE SAN PATRIZIO</t>
  </si>
  <si>
    <t>109040</t>
  </si>
  <si>
    <t>63814</t>
  </si>
  <si>
    <t>ANDRIA</t>
  </si>
  <si>
    <t>110001</t>
  </si>
  <si>
    <t>76123</t>
  </si>
  <si>
    <t>BARLETTA</t>
  </si>
  <si>
    <t>110002</t>
  </si>
  <si>
    <t>76121</t>
  </si>
  <si>
    <t>BISCEGLIE</t>
  </si>
  <si>
    <t>110003</t>
  </si>
  <si>
    <t>76011</t>
  </si>
  <si>
    <t>CANOSA DI PUGLIA</t>
  </si>
  <si>
    <t>110004</t>
  </si>
  <si>
    <t>76012</t>
  </si>
  <si>
    <t>MARGHERITA DI SAVOIA</t>
  </si>
  <si>
    <t>110005</t>
  </si>
  <si>
    <t>76016</t>
  </si>
  <si>
    <t>MINERVINO MURGE</t>
  </si>
  <si>
    <t>110006</t>
  </si>
  <si>
    <t>76013</t>
  </si>
  <si>
    <t>SAN FERDINANDO DI PUGLIA</t>
  </si>
  <si>
    <t>110007</t>
  </si>
  <si>
    <t>76017</t>
  </si>
  <si>
    <t>SPINAZZOLA</t>
  </si>
  <si>
    <t>110008</t>
  </si>
  <si>
    <t>76014</t>
  </si>
  <si>
    <t>TRANI</t>
  </si>
  <si>
    <t>110009</t>
  </si>
  <si>
    <t>76125</t>
  </si>
  <si>
    <t>TRINITAPOLI</t>
  </si>
  <si>
    <t>110010</t>
  </si>
  <si>
    <t>76015</t>
  </si>
  <si>
    <t>ARBUS</t>
  </si>
  <si>
    <t>111001</t>
  </si>
  <si>
    <t>SU</t>
  </si>
  <si>
    <t>VS</t>
  </si>
  <si>
    <t>09031</t>
  </si>
  <si>
    <t>ARMUNGIA</t>
  </si>
  <si>
    <t>111002</t>
  </si>
  <si>
    <t>BALLAO</t>
  </si>
  <si>
    <t>111003</t>
  </si>
  <si>
    <t>BARRALI</t>
  </si>
  <si>
    <t>111004</t>
  </si>
  <si>
    <t>BARUMINI</t>
  </si>
  <si>
    <t>111005</t>
  </si>
  <si>
    <t>09021</t>
  </si>
  <si>
    <t>BUGGERRU</t>
  </si>
  <si>
    <t>111006</t>
  </si>
  <si>
    <t>CI</t>
  </si>
  <si>
    <t>BURCEI</t>
  </si>
  <si>
    <t>111007</t>
  </si>
  <si>
    <t>CALASETTA</t>
  </si>
  <si>
    <t>111008</t>
  </si>
  <si>
    <t>09011</t>
  </si>
  <si>
    <t>CARBONIA</t>
  </si>
  <si>
    <t>111009</t>
  </si>
  <si>
    <t>09013</t>
  </si>
  <si>
    <t>CARLOFORTE</t>
  </si>
  <si>
    <t>111010</t>
  </si>
  <si>
    <t>09014</t>
  </si>
  <si>
    <t>CASTIADAS</t>
  </si>
  <si>
    <t>111011</t>
  </si>
  <si>
    <t>COLLINAS</t>
  </si>
  <si>
    <t>111012</t>
  </si>
  <si>
    <t>09020</t>
  </si>
  <si>
    <t>DECIMOPUTZU</t>
  </si>
  <si>
    <t>111013</t>
  </si>
  <si>
    <t>DOLIANOVA</t>
  </si>
  <si>
    <t>111014</t>
  </si>
  <si>
    <t>09041</t>
  </si>
  <si>
    <t>DOMUS DE MARIA</t>
  </si>
  <si>
    <t>111015</t>
  </si>
  <si>
    <t>DOMUSNOVAS</t>
  </si>
  <si>
    <t>111016</t>
  </si>
  <si>
    <t>09015</t>
  </si>
  <si>
    <t>DONORI</t>
  </si>
  <si>
    <t>111017</t>
  </si>
  <si>
    <t>ESCALAPLANO</t>
  </si>
  <si>
    <t>111018</t>
  </si>
  <si>
    <t>08043</t>
  </si>
  <si>
    <t>ESCOLCA</t>
  </si>
  <si>
    <t>111019</t>
  </si>
  <si>
    <t>ESTERZILI</t>
  </si>
  <si>
    <t>111020</t>
  </si>
  <si>
    <t>FLUMINIMAGGIORE</t>
  </si>
  <si>
    <t>111021</t>
  </si>
  <si>
    <t>FURTEI</t>
  </si>
  <si>
    <t>111022</t>
  </si>
  <si>
    <t>GENONI</t>
  </si>
  <si>
    <t>111023</t>
  </si>
  <si>
    <t>GENURI</t>
  </si>
  <si>
    <t>111024</t>
  </si>
  <si>
    <t>GERGEI</t>
  </si>
  <si>
    <t>111025</t>
  </si>
  <si>
    <t>GESICO</t>
  </si>
  <si>
    <t>111026</t>
  </si>
  <si>
    <t>GESTURI</t>
  </si>
  <si>
    <t>111027</t>
  </si>
  <si>
    <t>GIBA</t>
  </si>
  <si>
    <t>111028</t>
  </si>
  <si>
    <t>GONI</t>
  </si>
  <si>
    <t>111029</t>
  </si>
  <si>
    <t>GONNESA</t>
  </si>
  <si>
    <t>111030</t>
  </si>
  <si>
    <t>GONNOSFANADIGA</t>
  </si>
  <si>
    <t>111031</t>
  </si>
  <si>
    <t>09035</t>
  </si>
  <si>
    <t>GUAMAGGIORE</t>
  </si>
  <si>
    <t>111032</t>
  </si>
  <si>
    <t>GUASILA</t>
  </si>
  <si>
    <t>111033</t>
  </si>
  <si>
    <t>GUSPINI</t>
  </si>
  <si>
    <t>111034</t>
  </si>
  <si>
    <t>09036</t>
  </si>
  <si>
    <t>IGLESIAS</t>
  </si>
  <si>
    <t>111035</t>
  </si>
  <si>
    <t>09016</t>
  </si>
  <si>
    <t>ISILI</t>
  </si>
  <si>
    <t>111036</t>
  </si>
  <si>
    <t>08033</t>
  </si>
  <si>
    <t>LAS PLASSAS</t>
  </si>
  <si>
    <t>111037</t>
  </si>
  <si>
    <t>LUNAMATRONA</t>
  </si>
  <si>
    <t>111038</t>
  </si>
  <si>
    <t>09022</t>
  </si>
  <si>
    <t>MANDAS</t>
  </si>
  <si>
    <t>111039</t>
  </si>
  <si>
    <t>MASAINAS</t>
  </si>
  <si>
    <t>111040</t>
  </si>
  <si>
    <t>MONASTIR</t>
  </si>
  <si>
    <t>111041</t>
  </si>
  <si>
    <t>09023</t>
  </si>
  <si>
    <t>MURAVERA</t>
  </si>
  <si>
    <t>111042</t>
  </si>
  <si>
    <t>09043</t>
  </si>
  <si>
    <t>MUSEI</t>
  </si>
  <si>
    <t>111043</t>
  </si>
  <si>
    <t>NARCAO</t>
  </si>
  <si>
    <t>111044</t>
  </si>
  <si>
    <t>NURAGUS</t>
  </si>
  <si>
    <t>111045</t>
  </si>
  <si>
    <t>NURALLAO</t>
  </si>
  <si>
    <t>111046</t>
  </si>
  <si>
    <t>NURAMINIS</t>
  </si>
  <si>
    <t>111047</t>
  </si>
  <si>
    <t>09024</t>
  </si>
  <si>
    <t>NURRI</t>
  </si>
  <si>
    <t>111048</t>
  </si>
  <si>
    <t>08035</t>
  </si>
  <si>
    <t>NUXIS</t>
  </si>
  <si>
    <t>111049</t>
  </si>
  <si>
    <t>ORROLI</t>
  </si>
  <si>
    <t>111050</t>
  </si>
  <si>
    <t>ORTACESUS</t>
  </si>
  <si>
    <t>111051</t>
  </si>
  <si>
    <t>PABILLONIS</t>
  </si>
  <si>
    <t>111052</t>
  </si>
  <si>
    <t>PAULI ARBAREI</t>
  </si>
  <si>
    <t>111053</t>
  </si>
  <si>
    <t>PERDAXIUS</t>
  </si>
  <si>
    <t>111054</t>
  </si>
  <si>
    <t>PIMENTEL</t>
  </si>
  <si>
    <t>111055</t>
  </si>
  <si>
    <t>PISCINAS</t>
  </si>
  <si>
    <t>111056</t>
  </si>
  <si>
    <t>PORTOSCUSO</t>
  </si>
  <si>
    <t>111057</t>
  </si>
  <si>
    <t>SADALI</t>
  </si>
  <si>
    <t>111058</t>
  </si>
  <si>
    <t>SAMASSI</t>
  </si>
  <si>
    <t>111059</t>
  </si>
  <si>
    <t>SAMATZAI</t>
  </si>
  <si>
    <t>111060</t>
  </si>
  <si>
    <t>SAN BASILIO</t>
  </si>
  <si>
    <t>111061</t>
  </si>
  <si>
    <t>SAN GAVINO MONREALE</t>
  </si>
  <si>
    <t>111062</t>
  </si>
  <si>
    <t>09037</t>
  </si>
  <si>
    <t>SAN GIOVANNI SUERGIU</t>
  </si>
  <si>
    <t>111063</t>
  </si>
  <si>
    <t>SAN NICOLÒ GERREI</t>
  </si>
  <si>
    <t>111064</t>
  </si>
  <si>
    <t>SAN SPERATE</t>
  </si>
  <si>
    <t>111065</t>
  </si>
  <si>
    <t>09026</t>
  </si>
  <si>
    <t>SAN VITO</t>
  </si>
  <si>
    <t>111066</t>
  </si>
  <si>
    <t>SANLURI</t>
  </si>
  <si>
    <t>111067</t>
  </si>
  <si>
    <t>09025</t>
  </si>
  <si>
    <t>SANTADI</t>
  </si>
  <si>
    <t>111068</t>
  </si>
  <si>
    <t>SANT'ANDREA FRIUS</t>
  </si>
  <si>
    <t>111069</t>
  </si>
  <si>
    <t>SANT'ANNA ARRESI</t>
  </si>
  <si>
    <t>111070</t>
  </si>
  <si>
    <t>SANT'ANTIOCO</t>
  </si>
  <si>
    <t>111071</t>
  </si>
  <si>
    <t>09017</t>
  </si>
  <si>
    <t>SARDARA</t>
  </si>
  <si>
    <t>111072</t>
  </si>
  <si>
    <t>SEGARIU</t>
  </si>
  <si>
    <t>111073</t>
  </si>
  <si>
    <t>SELEGAS</t>
  </si>
  <si>
    <t>111074</t>
  </si>
  <si>
    <t>SENORBÌ</t>
  </si>
  <si>
    <t>111075</t>
  </si>
  <si>
    <t>SERDIANA</t>
  </si>
  <si>
    <t>111076</t>
  </si>
  <si>
    <t>SERRAMANNA</t>
  </si>
  <si>
    <t>111077</t>
  </si>
  <si>
    <t>09038</t>
  </si>
  <si>
    <t>SERRENTI</t>
  </si>
  <si>
    <t>111078</t>
  </si>
  <si>
    <t>09027</t>
  </si>
  <si>
    <t>SERRI</t>
  </si>
  <si>
    <t>111079</t>
  </si>
  <si>
    <t>SETZU</t>
  </si>
  <si>
    <t>111080</t>
  </si>
  <si>
    <t>09029</t>
  </si>
  <si>
    <t>SEUI</t>
  </si>
  <si>
    <t>111081</t>
  </si>
  <si>
    <t>08037</t>
  </si>
  <si>
    <t>SEULO</t>
  </si>
  <si>
    <t>111082</t>
  </si>
  <si>
    <t>SIDDI</t>
  </si>
  <si>
    <t>111083</t>
  </si>
  <si>
    <t>SILIQUA</t>
  </si>
  <si>
    <t>111084</t>
  </si>
  <si>
    <t>SILIUS</t>
  </si>
  <si>
    <t>111085</t>
  </si>
  <si>
    <t>SIURGUS DONIGALA</t>
  </si>
  <si>
    <t>111086</t>
  </si>
  <si>
    <t>SOLEMINIS</t>
  </si>
  <si>
    <t>111087</t>
  </si>
  <si>
    <t>SUELLI</t>
  </si>
  <si>
    <t>111088</t>
  </si>
  <si>
    <t>TEULADA</t>
  </si>
  <si>
    <t>111089</t>
  </si>
  <si>
    <t>09019</t>
  </si>
  <si>
    <t>TRATALIAS</t>
  </si>
  <si>
    <t>111090</t>
  </si>
  <si>
    <t>TUILI</t>
  </si>
  <si>
    <t>111091</t>
  </si>
  <si>
    <t>TURRI</t>
  </si>
  <si>
    <t>111092</t>
  </si>
  <si>
    <t>USSANA</t>
  </si>
  <si>
    <t>111093</t>
  </si>
  <si>
    <t>USSARAMANNA</t>
  </si>
  <si>
    <t>111094</t>
  </si>
  <si>
    <t>VALLERMOSA</t>
  </si>
  <si>
    <t>111095</t>
  </si>
  <si>
    <t>VILLACIDRO</t>
  </si>
  <si>
    <t>111096</t>
  </si>
  <si>
    <t>09039</t>
  </si>
  <si>
    <t>VILLAMAR</t>
  </si>
  <si>
    <t>111097</t>
  </si>
  <si>
    <t>VILLAMASSARGIA</t>
  </si>
  <si>
    <t>111098</t>
  </si>
  <si>
    <t>VILLANOVA TULO</t>
  </si>
  <si>
    <t>111099</t>
  </si>
  <si>
    <t>VILLANOVAFORRU</t>
  </si>
  <si>
    <t>111100</t>
  </si>
  <si>
    <t>VILLANOVAFRANCA</t>
  </si>
  <si>
    <t>111101</t>
  </si>
  <si>
    <t>VILLAPERUCCIO</t>
  </si>
  <si>
    <t>111102</t>
  </si>
  <si>
    <t>VILLAPUTZU</t>
  </si>
  <si>
    <t>111103</t>
  </si>
  <si>
    <t>VILLASALTO</t>
  </si>
  <si>
    <t>111104</t>
  </si>
  <si>
    <t>VILLASIMIUS</t>
  </si>
  <si>
    <t>111105</t>
  </si>
  <si>
    <t>09049</t>
  </si>
  <si>
    <t>VILLASOR</t>
  </si>
  <si>
    <t>111106</t>
  </si>
  <si>
    <t>09034</t>
  </si>
  <si>
    <t>VILLASPECIOSA</t>
  </si>
  <si>
    <t>111107</t>
  </si>
  <si>
    <t>Partita Iva</t>
  </si>
  <si>
    <t>Nr. di Fax</t>
  </si>
  <si>
    <t>Nr. di Telefono</t>
  </si>
  <si>
    <t>Default</t>
  </si>
  <si>
    <t>Non compilato</t>
  </si>
  <si>
    <t>00002</t>
  </si>
  <si>
    <t>00003</t>
  </si>
  <si>
    <t>00004</t>
  </si>
  <si>
    <t>00005</t>
  </si>
  <si>
    <t>09533760964</t>
  </si>
  <si>
    <t>00006</t>
  </si>
  <si>
    <t>00007</t>
  </si>
  <si>
    <t>00008</t>
  </si>
  <si>
    <t>Eni - Plenitude</t>
  </si>
  <si>
    <t>00009</t>
  </si>
  <si>
    <t>00011</t>
  </si>
  <si>
    <t>00014</t>
  </si>
  <si>
    <t>00016</t>
  </si>
  <si>
    <t>09515990969</t>
  </si>
  <si>
    <t>01970140065</t>
  </si>
  <si>
    <t>+390131283611</t>
  </si>
  <si>
    <t>01745520211</t>
  </si>
  <si>
    <t>05044850823</t>
  </si>
  <si>
    <t>06170180019</t>
  </si>
  <si>
    <t>00050</t>
  </si>
  <si>
    <t>01141160992</t>
  </si>
  <si>
    <t>10991371005</t>
  </si>
  <si>
    <t>00056</t>
  </si>
  <si>
    <t>00057</t>
  </si>
  <si>
    <t>00064</t>
  </si>
  <si>
    <t>00894461003</t>
  </si>
  <si>
    <t>00070</t>
  </si>
  <si>
    <t>00071</t>
  </si>
  <si>
    <t>00072</t>
  </si>
  <si>
    <t>08345840964</t>
  </si>
  <si>
    <t>00073</t>
  </si>
  <si>
    <t>01274390309</t>
  </si>
  <si>
    <t>00074</t>
  </si>
  <si>
    <t>09328470159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</si>
  <si>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</si>
  <si>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</si>
  <si>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</si>
  <si>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</si>
  <si>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</si>
  <si>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</si>
  <si>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</si>
  <si>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</si>
  <si>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</si>
  <si>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</si>
  <si>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</si>
  <si>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</si>
  <si>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</si>
  <si>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</si>
  <si>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</si>
  <si>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</si>
  <si>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</si>
  <si>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</si>
  <si>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</si>
  <si>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00095</t>
  </si>
  <si>
    <t>00096</t>
  </si>
  <si>
    <t>03469240547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</si>
  <si>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</si>
  <si>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</si>
  <si>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</si>
  <si>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</si>
  <si>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</si>
  <si>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</si>
  <si>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</si>
  <si>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</si>
  <si>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</si>
  <si>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</si>
  <si>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02465700033</t>
  </si>
  <si>
    <t>00107</t>
  </si>
  <si>
    <t>00108</t>
  </si>
  <si>
    <t>01335290323</t>
  </si>
  <si>
    <t>00109</t>
  </si>
  <si>
    <t>01788310769</t>
  </si>
  <si>
    <t>00110</t>
  </si>
  <si>
    <t>00111</t>
  </si>
  <si>
    <t>00112</t>
  </si>
  <si>
    <t>00113</t>
  </si>
  <si>
    <t>00114</t>
  </si>
  <si>
    <t>00115</t>
  </si>
  <si>
    <t>00116</t>
  </si>
  <si>
    <t>01262680190</t>
  </si>
  <si>
    <t>00117</t>
  </si>
  <si>
    <t>00118</t>
  </si>
  <si>
    <t>02605060926</t>
  </si>
  <si>
    <t>00119</t>
  </si>
  <si>
    <t>00120</t>
  </si>
  <si>
    <t>00121</t>
  </si>
  <si>
    <t>00122</t>
  </si>
  <si>
    <t>00123</t>
  </si>
  <si>
    <t>08000190721</t>
  </si>
  <si>
    <t>00124</t>
  </si>
  <si>
    <t>00125</t>
  </si>
  <si>
    <t>10564110962</t>
  </si>
  <si>
    <t>00126</t>
  </si>
  <si>
    <t>04211550241</t>
  </si>
  <si>
    <t>00127</t>
  </si>
  <si>
    <t>00128</t>
  </si>
  <si>
    <t>05959600650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</si>
  <si>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</si>
  <si>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</si>
  <si>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</si>
  <si>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</si>
  <si>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</si>
  <si>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</si>
  <si>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</si>
  <si>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</si>
  <si>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09958870967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</si>
  <si>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</si>
  <si>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</si>
  <si>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</si>
  <si>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</si>
  <si>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</si>
  <si>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</si>
  <si>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</si>
  <si>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</si>
  <si>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</si>
  <si>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</si>
  <si>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</si>
  <si>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03889990135</t>
  </si>
  <si>
    <t>00148</t>
  </si>
  <si>
    <t>00149</t>
  </si>
  <si>
    <t>00150</t>
  </si>
  <si>
    <t>00151</t>
  </si>
  <si>
    <t>02667810010</t>
  </si>
  <si>
    <t>00152</t>
  </si>
  <si>
    <t>00153</t>
  </si>
  <si>
    <t>00154</t>
  </si>
  <si>
    <t>00155</t>
  </si>
  <si>
    <t>00156</t>
  </si>
  <si>
    <t>00157</t>
  </si>
  <si>
    <t>00158</t>
  </si>
  <si>
    <t>01136310313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</si>
  <si>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</si>
  <si>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</si>
  <si>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</si>
  <si>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</si>
  <si>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</si>
  <si>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</si>
  <si>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</si>
  <si>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</si>
  <si>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</si>
  <si>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</si>
  <si>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</si>
  <si>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</si>
  <si>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</si>
  <si>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</si>
  <si>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01931010431</t>
  </si>
  <si>
    <t>800121959</t>
  </si>
  <si>
    <t>00173</t>
  </si>
  <si>
    <t>00174</t>
  </si>
  <si>
    <t>00175</t>
  </si>
  <si>
    <t>00917900144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</si>
  <si>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</si>
  <si>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</si>
  <si>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</si>
  <si>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</si>
  <si>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</si>
  <si>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</si>
  <si>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</si>
  <si>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</si>
  <si>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</si>
  <si>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</si>
  <si>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</si>
  <si>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</si>
  <si>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</si>
  <si>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</si>
  <si>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05970420963</t>
  </si>
  <si>
    <t>00190</t>
  </si>
  <si>
    <t>13447211007</t>
  </si>
  <si>
    <t>00191</t>
  </si>
  <si>
    <t>00192</t>
  </si>
  <si>
    <t>00193</t>
  </si>
  <si>
    <t>00199</t>
  </si>
  <si>
    <t>00200</t>
  </si>
  <si>
    <t>00201</t>
  </si>
  <si>
    <t>00202</t>
  </si>
  <si>
    <t>00203</t>
  </si>
  <si>
    <t>07451521004</t>
  </si>
  <si>
    <t>00204</t>
  </si>
  <si>
    <t>00205</t>
  </si>
  <si>
    <t>00206</t>
  </si>
  <si>
    <t>00207</t>
  </si>
  <si>
    <t>00208</t>
  </si>
  <si>
    <t>00209</t>
  </si>
  <si>
    <t>10246981004</t>
  </si>
  <si>
    <t>00210</t>
  </si>
  <si>
    <t>00211</t>
  </si>
  <si>
    <t>00212</t>
  </si>
  <si>
    <t>00213</t>
  </si>
  <si>
    <t>00214</t>
  </si>
  <si>
    <t>00215</t>
  </si>
  <si>
    <t>00216</t>
  </si>
  <si>
    <t>03755770546</t>
  </si>
  <si>
    <t>00217</t>
  </si>
  <si>
    <t>02479770469</t>
  </si>
  <si>
    <t>00218</t>
  </si>
  <si>
    <t>08338161212</t>
  </si>
  <si>
    <t>00219</t>
  </si>
  <si>
    <t>03350980987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</si>
  <si>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</si>
  <si>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</si>
  <si>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</si>
  <si>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</si>
  <si>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</si>
  <si>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</si>
  <si>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</si>
  <si>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</si>
  <si>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</si>
  <si>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</si>
  <si>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</si>
  <si>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</si>
  <si>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01948840986</t>
  </si>
  <si>
    <t>00232</t>
  </si>
  <si>
    <t>00233</t>
  </si>
  <si>
    <t>14706141000</t>
  </si>
  <si>
    <t>00234</t>
  </si>
  <si>
    <t>00235</t>
  </si>
  <si>
    <t>00236</t>
  </si>
  <si>
    <t>00237</t>
  </si>
  <si>
    <t>02030110692</t>
  </si>
  <si>
    <t>00238</t>
  </si>
  <si>
    <t>00273990168</t>
  </si>
  <si>
    <t>00239</t>
  </si>
  <si>
    <t>00240</t>
  </si>
  <si>
    <t>00241</t>
  </si>
  <si>
    <t>12306230157</t>
  </si>
  <si>
    <t>00242</t>
  </si>
  <si>
    <t>03714110966</t>
  </si>
  <si>
    <t>00243</t>
  </si>
  <si>
    <t>00244</t>
  </si>
  <si>
    <t>07449550966</t>
  </si>
  <si>
    <t>00245</t>
  </si>
  <si>
    <t>00246</t>
  </si>
  <si>
    <t>00247</t>
  </si>
  <si>
    <t>00248</t>
  </si>
  <si>
    <t>09163140966</t>
  </si>
  <si>
    <t>00249</t>
  </si>
  <si>
    <t>00250</t>
  </si>
  <si>
    <t>02294320979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</si>
  <si>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</si>
  <si>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</si>
  <si>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</si>
  <si>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</si>
  <si>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</si>
  <si>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</si>
  <si>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</si>
  <si>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</si>
  <si>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</si>
  <si>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</si>
  <si>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10580800018</t>
  </si>
  <si>
    <t>00261</t>
  </si>
  <si>
    <t>00262</t>
  </si>
  <si>
    <t>00263</t>
  </si>
  <si>
    <t>05050950657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</si>
  <si>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</si>
  <si>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</si>
  <si>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</si>
  <si>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</si>
  <si>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</si>
  <si>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</si>
  <si>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</si>
  <si>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</si>
  <si>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</si>
  <si>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00399050087</t>
  </si>
  <si>
    <t>00273</t>
  </si>
  <si>
    <t>00274</t>
  </si>
  <si>
    <t>00275</t>
  </si>
  <si>
    <t>00276</t>
  </si>
  <si>
    <t>00277</t>
  </si>
  <si>
    <t>02315390985</t>
  </si>
  <si>
    <t>00278</t>
  </si>
  <si>
    <t>00279</t>
  </si>
  <si>
    <t>00280</t>
  </si>
  <si>
    <t>00338000409</t>
  </si>
  <si>
    <t>00281</t>
  </si>
  <si>
    <t>00282</t>
  </si>
  <si>
    <t>00283</t>
  </si>
  <si>
    <t>00284</t>
  </si>
  <si>
    <t>CAVA ENERGIE</t>
  </si>
  <si>
    <t>00285</t>
  </si>
  <si>
    <t>Asti Energy</t>
  </si>
  <si>
    <t>00286</t>
  </si>
  <si>
    <t>00287</t>
  </si>
  <si>
    <t>Energienove</t>
  </si>
  <si>
    <t>00288</t>
  </si>
  <si>
    <t>ABENERGIE</t>
  </si>
  <si>
    <t>00289</t>
  </si>
  <si>
    <t>ENERGYUP</t>
  </si>
  <si>
    <t>09057700966</t>
  </si>
  <si>
    <t>800978425</t>
  </si>
  <si>
    <t>00290</t>
  </si>
  <si>
    <t>VIVI ENERGIA</t>
  </si>
  <si>
    <t>00291</t>
  </si>
  <si>
    <t>ERRECI SRL</t>
  </si>
  <si>
    <t>00292</t>
  </si>
  <si>
    <t>MASSIMA ENERGIA SRL</t>
  </si>
  <si>
    <t>00293</t>
  </si>
  <si>
    <t>ALEGAS SRL</t>
  </si>
  <si>
    <t>00294</t>
  </si>
  <si>
    <t>ACOS ENERGIA SPA</t>
  </si>
  <si>
    <t>00295</t>
  </si>
  <si>
    <t>ENERGIA PIU' SRL</t>
  </si>
  <si>
    <t>00296</t>
  </si>
  <si>
    <t>Unoenergy SpA</t>
  </si>
  <si>
    <t>00297</t>
  </si>
  <si>
    <t>EUROPAM SPA</t>
  </si>
  <si>
    <t>00298</t>
  </si>
  <si>
    <t>ENERGIA COMUNE - ECOM SRL</t>
  </si>
  <si>
    <t>01294820111</t>
  </si>
  <si>
    <t>00299</t>
  </si>
  <si>
    <t>VOLTY SRL</t>
  </si>
  <si>
    <t>00300</t>
  </si>
  <si>
    <t>EREDI CAMPIDONICO SPA</t>
  </si>
  <si>
    <t>00301</t>
  </si>
  <si>
    <t>Alperia Spa</t>
  </si>
  <si>
    <t>00302</t>
  </si>
  <si>
    <t>ENERGIA LOCALE SRL</t>
  </si>
  <si>
    <t>00303</t>
  </si>
  <si>
    <t>ITALPOWER ENERGIA SRL</t>
  </si>
  <si>
    <t>02125710208</t>
  </si>
  <si>
    <t>00304</t>
  </si>
  <si>
    <t>ITALIA GAS E LUCE SRL</t>
  </si>
  <si>
    <t>00305</t>
  </si>
  <si>
    <t>CHINA POWER SPA</t>
  </si>
  <si>
    <t>00306</t>
  </si>
  <si>
    <t>ISSIMA SRL</t>
  </si>
  <si>
    <t>00307</t>
  </si>
  <si>
    <t>ENJOY ENERGY SRL</t>
  </si>
  <si>
    <t>00308</t>
  </si>
  <si>
    <t>TUA SRL</t>
  </si>
  <si>
    <t>02971770306</t>
  </si>
  <si>
    <t>00309</t>
  </si>
  <si>
    <t>SNAM RETE GAS</t>
  </si>
  <si>
    <t>04742230230</t>
  </si>
  <si>
    <t>00310</t>
  </si>
  <si>
    <t>EMPIRE POWERGAS &amp; MOBILITY</t>
  </si>
  <si>
    <t>00311</t>
  </si>
  <si>
    <t>TUA ENERGIA SRL</t>
  </si>
  <si>
    <t>00312</t>
  </si>
  <si>
    <t>ENERGIA VERDE ITALIA</t>
  </si>
  <si>
    <t>00313</t>
  </si>
  <si>
    <t>EASY LUCE &amp; GAS</t>
  </si>
  <si>
    <t>00314</t>
  </si>
  <si>
    <t>ENERGY LIGHT SRL</t>
  </si>
  <si>
    <t>00315</t>
  </si>
  <si>
    <t>EN&amp;GAS SRL</t>
  </si>
  <si>
    <t>00316</t>
  </si>
  <si>
    <t>WIND LUCE E GAS BY ACEA</t>
  </si>
  <si>
    <t>00317</t>
  </si>
  <si>
    <t>BUTANGAS SPA</t>
  </si>
  <si>
    <t>00318</t>
  </si>
  <si>
    <t>A.E. SRL</t>
  </si>
  <si>
    <t>00319</t>
  </si>
  <si>
    <t>AMG GAS SRL</t>
  </si>
  <si>
    <t>00320</t>
  </si>
  <si>
    <t>WEEDOO</t>
  </si>
  <si>
    <t>00321</t>
  </si>
  <si>
    <t xml:space="preserve">ENERGY UP </t>
  </si>
  <si>
    <t>00322</t>
  </si>
  <si>
    <t>FORINI SPA</t>
  </si>
  <si>
    <t>00323</t>
  </si>
  <si>
    <t>ENERGICA SRL</t>
  </si>
  <si>
    <t>00324</t>
  </si>
  <si>
    <t>EGOGREEN SRL</t>
  </si>
  <si>
    <t>00325</t>
  </si>
  <si>
    <t>GRUPPO DISTRIBUZIONE ENERGIA SRL</t>
  </si>
  <si>
    <t>06704420485</t>
  </si>
  <si>
    <t>00326</t>
  </si>
  <si>
    <t>NORDENERGY LUCE &amp; GAS SRL</t>
  </si>
  <si>
    <t>00327</t>
  </si>
  <si>
    <t>NEN - YADA ENERGIA SRL</t>
  </si>
  <si>
    <t>00328</t>
  </si>
  <si>
    <t>PULSEE-AXPO</t>
  </si>
  <si>
    <t>07305361003</t>
  </si>
  <si>
    <t>00329</t>
  </si>
  <si>
    <t>POSTE ENERGIA</t>
  </si>
  <si>
    <t>0101</t>
  </si>
  <si>
    <t>0196</t>
  </si>
  <si>
    <t>0197</t>
  </si>
  <si>
    <t>0198</t>
  </si>
  <si>
    <t>0199</t>
  </si>
  <si>
    <t>0200</t>
  </si>
  <si>
    <t>0201</t>
  </si>
  <si>
    <t>02101</t>
  </si>
  <si>
    <t>0285</t>
  </si>
  <si>
    <t>207</t>
  </si>
  <si>
    <t>240</t>
  </si>
  <si>
    <t>60</t>
  </si>
  <si>
    <t>Cliente - Num</t>
  </si>
  <si>
    <t>Cliente - Codice Agente</t>
  </si>
  <si>
    <t>Indirizzo Cliente - Codice Zona (ISTAT)</t>
  </si>
  <si>
    <t>Indirizzo Cliente - Descrizione Comune</t>
  </si>
  <si>
    <t>Indirizzo Cliente - Provincia</t>
  </si>
  <si>
    <t>Indirizzo Cliente - Numero Civico</t>
  </si>
  <si>
    <t>Indirizzo Cliente - Estensione Civico</t>
  </si>
  <si>
    <t>Pagamenti - Codice Metodo Di Pagamento</t>
  </si>
  <si>
    <t>Pagamenti - Codice Condizioni Di Pagamento</t>
  </si>
  <si>
    <t>Cliente - Codice Temini di Sollecito</t>
  </si>
  <si>
    <t>Pagamenti - Esente Mora</t>
  </si>
  <si>
    <t>Pagamenti - Tipo Configurazione Mora</t>
  </si>
  <si>
    <t>Rappresentante Legale - Codice Fiscale</t>
  </si>
  <si>
    <t>Utenza - Codice Raggruppamento</t>
  </si>
  <si>
    <t xml:space="preserve">Cat reg business </t>
  </si>
  <si>
    <t>cat reg business iva</t>
  </si>
  <si>
    <t>codice agente</t>
  </si>
  <si>
    <t>nome agente</t>
  </si>
  <si>
    <t>Utenza - Categoria Uso</t>
  </si>
  <si>
    <t>Utenza - Classe Prelievo</t>
  </si>
  <si>
    <t>codice venditore</t>
  </si>
  <si>
    <t>Utenza - Codice Distributore</t>
  </si>
  <si>
    <t>Utenza - Codice Fornitore</t>
  </si>
  <si>
    <t>Utenza - Frequenza Lettura</t>
  </si>
  <si>
    <t>Utenza - Consumo Annuo Presunto</t>
  </si>
  <si>
    <t>Utenza - Cumulo Consumi Iniziale</t>
  </si>
  <si>
    <t>Utenza - Codice Offerta</t>
  </si>
  <si>
    <t>utenza metodo di pagamento</t>
  </si>
  <si>
    <t>utenza termini di pagamento</t>
  </si>
  <si>
    <t>PDR - Nr.</t>
  </si>
  <si>
    <t>PDR - Cabina Remi</t>
  </si>
  <si>
    <t>PDR - Coefficiente C</t>
  </si>
  <si>
    <t>Indirizzo PDR - Codice Zona (ISTAT)</t>
  </si>
  <si>
    <t>Indirizzo PDR - Descrizione Comune</t>
  </si>
  <si>
    <t>Indirizzo PDR - CAP</t>
  </si>
  <si>
    <t>Indirizzo PDR - Provincia</t>
  </si>
  <si>
    <t>Indirizzo PDR - Tipo Via</t>
  </si>
  <si>
    <t>Indirizzo PDR - Nome Via</t>
  </si>
  <si>
    <t>Indirizzo PDR - Numero Civico</t>
  </si>
  <si>
    <t>Indirizzo PDR - Estensione Civico</t>
  </si>
  <si>
    <t>Indirizzo PDR - Scala</t>
  </si>
  <si>
    <t>Indirizzo PDR - Piano</t>
  </si>
  <si>
    <t>Indirizzo PDR - Interno</t>
  </si>
  <si>
    <t>Misuratore - Matricola</t>
  </si>
  <si>
    <t>Misuratore - Tipo</t>
  </si>
  <si>
    <t>Misuratore - Tipologia</t>
  </si>
  <si>
    <t>Misuratore - Data Apertura</t>
  </si>
  <si>
    <t>Misuratore - Valore Apertura</t>
  </si>
  <si>
    <t>Misuratore - Nr. Cifre</t>
  </si>
  <si>
    <t>Contratto - Nr,</t>
  </si>
  <si>
    <t>Contratto - Prezzo Di Partenza</t>
  </si>
  <si>
    <t>Contratto - Valore PCS</t>
  </si>
  <si>
    <t>Contratto - Indice Energetico</t>
  </si>
  <si>
    <t>Contratto - Moltiplicatore</t>
  </si>
  <si>
    <t>Contratto - Codice Paniere</t>
  </si>
  <si>
    <t>Contratto - Capacità  Giornaliera</t>
  </si>
  <si>
    <t>Indirizzo Spedizione - Tipo</t>
  </si>
  <si>
    <t>Indirizzo Spedizione - Nome</t>
  </si>
  <si>
    <t>Indirizzo Spedizione - E-Mail</t>
  </si>
  <si>
    <t>Indirizzo Spedizione - Codice Zona (ISTAT)</t>
  </si>
  <si>
    <t>Indirizzo Spedizione - Descrizione Comune</t>
  </si>
  <si>
    <t>Indirizzo Spedizione - CAP</t>
  </si>
  <si>
    <t>Indirizzo Spedizione - Provincia</t>
  </si>
  <si>
    <t>Indirizzo Spedizione - Tipo Via</t>
  </si>
  <si>
    <t>Indirizzo Spedizione - Nome Via</t>
  </si>
  <si>
    <t>Indirizzo Spedizione - Numero Civico</t>
  </si>
  <si>
    <t>Indirizzo Spedizione - Estensione Civico</t>
  </si>
  <si>
    <t>Indirizzo Spedizione - Scala</t>
  </si>
  <si>
    <t>Indirizzo Spedizione - Piano</t>
  </si>
  <si>
    <t>Indirizzo Spedizione - Interno</t>
  </si>
  <si>
    <t>RID - Stato</t>
  </si>
  <si>
    <t>RID - Codice Domiciliazione</t>
  </si>
  <si>
    <t>RID - Nome Intestatario</t>
  </si>
  <si>
    <t>RID - CF Intestatario</t>
  </si>
  <si>
    <t>RID - IBAN</t>
  </si>
  <si>
    <t>RID - Codice SIA</t>
  </si>
  <si>
    <t>RID - Data Inizio Domiciliazione</t>
  </si>
  <si>
    <t>RID - Data Inizio Garanzie</t>
  </si>
  <si>
    <t>Lettera Intento - Nr,</t>
  </si>
  <si>
    <t>Dati Catastali - Codice Comune Catastale</t>
  </si>
  <si>
    <t>Correttore - Nr.</t>
  </si>
  <si>
    <t>Correttore - Tipo</t>
  </si>
  <si>
    <t>Correttore - Data Apertura</t>
  </si>
  <si>
    <t>Correttore - Valore Apertura</t>
  </si>
  <si>
    <t>Correttore - Nr. Cifre</t>
  </si>
  <si>
    <t>Utenza - Nome Controparte</t>
  </si>
  <si>
    <t>Utenza - Partita IVA Controparte</t>
  </si>
  <si>
    <t>Utenza - Cod. Fiscale Controparte</t>
  </si>
  <si>
    <t>Cod. Ex Venditore</t>
  </si>
  <si>
    <t>Cliente - Nr. Cliente Esterno</t>
  </si>
  <si>
    <t>Indirizzo Cliente - Codice Nazione</t>
  </si>
  <si>
    <t>Utenza - Cod. Tipo Servizio</t>
  </si>
  <si>
    <t>Utenza - Mercato di Appartenenza</t>
  </si>
  <si>
    <t>Utenza - Metodo di Calcolo Acconti</t>
  </si>
  <si>
    <t>Utenza - Codice Termini di Sollecito</t>
  </si>
  <si>
    <t>Opificio</t>
  </si>
  <si>
    <t>Utenza - Esente Mora</t>
  </si>
  <si>
    <t>Punto di Riconsegna - Fornitura Diretta</t>
  </si>
  <si>
    <t>POD - Data Prima Apertura</t>
  </si>
  <si>
    <t>Punto di Riconsegna - Relazione Società-Punto di Riconsegna</t>
  </si>
  <si>
    <t>Misuratore - Tipo Lettura Aperura</t>
  </si>
  <si>
    <t>Corrispondenza - Codice Nazione</t>
  </si>
  <si>
    <t>Domiciliazione - Partita IVA Intestatario</t>
  </si>
  <si>
    <t>Utenza - Nr. Amministratore</t>
  </si>
  <si>
    <t>Amministratore - Partita IVA</t>
  </si>
  <si>
    <t>Utenza - Tipo Contratto</t>
  </si>
  <si>
    <t>Utenza - Fabbisogno KWH</t>
  </si>
  <si>
    <t>Contratto - Unitario Mensile Termine fisso</t>
  </si>
  <si>
    <t>Contratto - Spread</t>
  </si>
  <si>
    <t>Contratto - Importo Costante</t>
  </si>
  <si>
    <t>Contratto - Tipo Importo Costante</t>
  </si>
  <si>
    <t>Shipper</t>
  </si>
  <si>
    <t>COND.USO DOM LIBERO</t>
  </si>
  <si>
    <t>C1</t>
  </si>
  <si>
    <t>AMMINISTRATORE</t>
  </si>
  <si>
    <t>G</t>
  </si>
  <si>
    <t>profilo di prelievo</t>
  </si>
  <si>
    <t>Controparte Commerciale &amp; UDD</t>
  </si>
  <si>
    <t>Core</t>
  </si>
  <si>
    <t xml:space="preserve">            In caso di mancata ricezione o compilazione della predetta autocertificazione, il Cliente non avrà diritto all’agevolazione; il ritardato ricevimento non comporterà l’applicazione retroattiva.</t>
  </si>
  <si>
    <t>Indirizzo (toponimo, nome via, civico)</t>
  </si>
  <si>
    <t>Luogo:</t>
  </si>
  <si>
    <t>SNC</t>
  </si>
  <si>
    <t>BTA2</t>
  </si>
  <si>
    <t>IVA G</t>
  </si>
  <si>
    <t>IVA EE</t>
  </si>
  <si>
    <t>IVA22</t>
  </si>
  <si>
    <t>IVA22SP</t>
  </si>
  <si>
    <t>22SP</t>
  </si>
  <si>
    <t>Agente di Riferimento (codice, nome e cognome):</t>
  </si>
  <si>
    <t>Agente di Riferimento (codice, nome e cognome): 
340</t>
  </si>
  <si>
    <t>Controparte Commerciale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</si>
</sst>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sz val="11"/>
      <name val="Calibri"/>
      <family val="2"/>
      <scheme val="minor"/>
    </font>
    <font>
      <sz val="10"/>
      <color rgb="FF002060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sz val="15"/>
      <color rgb="FF002060"/>
      <name val="Arial"/>
      <family val="2"/>
    </font>
    <font>
      <b/>
      <sz val="24"/>
      <color rgb="FF00206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206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/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medium">
        <color theme="3"/>
      </top>
      <bottom style="medium">
        <color theme="3"/>
      </bottom>
      <diagonal/>
    </border>
    <border>
      <left/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2" tint="-9.9948118533890809E-2"/>
      </right>
      <top style="medium">
        <color theme="3"/>
      </top>
      <bottom style="thin">
        <color theme="3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3"/>
      </top>
      <bottom style="thin">
        <color theme="3"/>
      </bottom>
      <diagonal/>
    </border>
    <border>
      <left style="thin">
        <color theme="2" tint="-9.9948118533890809E-2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2" tint="-9.9948118533890809E-2"/>
      </right>
      <top style="thin">
        <color theme="3"/>
      </top>
      <bottom style="thin">
        <color theme="3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3"/>
      </top>
      <bottom style="thin">
        <color theme="3"/>
      </bottom>
      <diagonal/>
    </border>
    <border>
      <left style="thin">
        <color theme="2" tint="-9.9948118533890809E-2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thin">
        <color indexed="64"/>
      </right>
      <top/>
      <bottom style="medium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6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14" fillId="0" borderId="0" applyNumberFormat="0" applyFill="0" applyBorder="0" applyAlignment="0" applyProtection="0"/>
    <xf numFmtId="0" fontId="20" fillId="4" borderId="0" applyNumberFormat="0" applyBorder="0" applyAlignment="0" applyProtection="0"/>
  </cellStyleXfs>
  <cellXfs count="145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43" fontId="8" fillId="0" borderId="3" xfId="1" applyFont="1" applyFill="1" applyBorder="1" applyAlignment="1">
      <alignment horizontal="center" vertical="center" wrapText="1"/>
    </xf>
    <xf numFmtId="164" fontId="8" fillId="0" borderId="2" xfId="1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0" xfId="0" applyFont="1"/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64" fontId="10" fillId="0" borderId="4" xfId="1" applyNumberFormat="1" applyFont="1" applyFill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164" fontId="10" fillId="0" borderId="8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49" fontId="15" fillId="7" borderId="13" xfId="4" applyNumberFormat="1" applyFont="1" applyFill="1" applyBorder="1" applyAlignment="1">
      <alignment horizontal="left" vertical="center"/>
    </xf>
    <xf numFmtId="49" fontId="15" fillId="7" borderId="13" xfId="6" applyNumberFormat="1" applyFont="1" applyFill="1" applyBorder="1" applyAlignment="1">
      <alignment horizontal="left" vertical="center"/>
    </xf>
    <xf numFmtId="49" fontId="2" fillId="0" borderId="0" xfId="0" applyNumberFormat="1" applyFont="1"/>
    <xf numFmtId="0" fontId="0" fillId="2" borderId="0" xfId="0" applyFill="1"/>
    <xf numFmtId="0" fontId="0" fillId="0" borderId="0" xfId="0" applyAlignment="1">
      <alignment horizontal="left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left"/>
    </xf>
    <xf numFmtId="14" fontId="0" fillId="8" borderId="0" xfId="0" applyNumberFormat="1" applyFill="1"/>
    <xf numFmtId="49" fontId="0" fillId="0" borderId="0" xfId="0" applyNumberFormat="1"/>
    <xf numFmtId="0" fontId="0" fillId="11" borderId="0" xfId="0" applyFill="1"/>
    <xf numFmtId="49" fontId="2" fillId="0" borderId="14" xfId="0" applyNumberFormat="1" applyFont="1" applyBorder="1"/>
    <xf numFmtId="49" fontId="2" fillId="9" borderId="14" xfId="0" applyNumberFormat="1" applyFont="1" applyFill="1" applyBorder="1"/>
    <xf numFmtId="49" fontId="2" fillId="8" borderId="14" xfId="0" applyNumberFormat="1" applyFont="1" applyFill="1" applyBorder="1"/>
    <xf numFmtId="49" fontId="2" fillId="2" borderId="14" xfId="0" applyNumberFormat="1" applyFont="1" applyFill="1" applyBorder="1"/>
    <xf numFmtId="49" fontId="10" fillId="0" borderId="7" xfId="0" applyNumberFormat="1" applyFont="1" applyBorder="1" applyAlignment="1">
      <alignment vertical="center"/>
    </xf>
    <xf numFmtId="49" fontId="16" fillId="13" borderId="0" xfId="0" applyNumberFormat="1" applyFont="1" applyFill="1"/>
    <xf numFmtId="49" fontId="17" fillId="14" borderId="15" xfId="0" applyNumberFormat="1" applyFont="1" applyFill="1" applyBorder="1"/>
    <xf numFmtId="49" fontId="17" fillId="14" borderId="16" xfId="0" applyNumberFormat="1" applyFont="1" applyFill="1" applyBorder="1"/>
    <xf numFmtId="49" fontId="17" fillId="14" borderId="17" xfId="0" applyNumberFormat="1" applyFont="1" applyFill="1" applyBorder="1"/>
    <xf numFmtId="49" fontId="18" fillId="0" borderId="0" xfId="0" applyNumberFormat="1" applyFont="1"/>
    <xf numFmtId="49" fontId="19" fillId="15" borderId="15" xfId="0" applyNumberFormat="1" applyFont="1" applyFill="1" applyBorder="1"/>
    <xf numFmtId="49" fontId="19" fillId="15" borderId="16" xfId="0" applyNumberFormat="1" applyFont="1" applyFill="1" applyBorder="1"/>
    <xf numFmtId="1" fontId="19" fillId="15" borderId="17" xfId="0" applyNumberFormat="1" applyFont="1" applyFill="1" applyBorder="1"/>
    <xf numFmtId="49" fontId="19" fillId="0" borderId="15" xfId="0" applyNumberFormat="1" applyFont="1" applyBorder="1"/>
    <xf numFmtId="49" fontId="19" fillId="0" borderId="16" xfId="0" applyNumberFormat="1" applyFont="1" applyBorder="1"/>
    <xf numFmtId="1" fontId="19" fillId="0" borderId="17" xfId="0" applyNumberFormat="1" applyFont="1" applyBorder="1"/>
    <xf numFmtId="0" fontId="18" fillId="0" borderId="0" xfId="0" applyFont="1"/>
    <xf numFmtId="49" fontId="15" fillId="16" borderId="0" xfId="3" applyNumberFormat="1" applyFont="1" applyFill="1" applyBorder="1" applyAlignment="1">
      <alignment vertical="center"/>
    </xf>
    <xf numFmtId="49" fontId="15" fillId="16" borderId="0" xfId="8" applyNumberFormat="1" applyFont="1" applyFill="1" applyBorder="1" applyAlignment="1">
      <alignment vertical="center"/>
    </xf>
    <xf numFmtId="49" fontId="15" fillId="16" borderId="0" xfId="5" applyNumberFormat="1" applyFont="1" applyFill="1" applyBorder="1"/>
    <xf numFmtId="49" fontId="15" fillId="16" borderId="0" xfId="6" applyNumberFormat="1" applyFont="1" applyFill="1" applyBorder="1" applyAlignment="1">
      <alignment horizontal="left" vertical="center"/>
    </xf>
    <xf numFmtId="0" fontId="0" fillId="9" borderId="0" xfId="0" quotePrefix="1" applyFill="1" applyAlignment="1">
      <alignment horizontal="left"/>
    </xf>
    <xf numFmtId="0" fontId="0" fillId="12" borderId="0" xfId="0" applyFill="1" applyAlignment="1">
      <alignment horizontal="left"/>
    </xf>
    <xf numFmtId="14" fontId="0" fillId="2" borderId="0" xfId="0" applyNumberFormat="1" applyFill="1"/>
    <xf numFmtId="0" fontId="0" fillId="11" borderId="0" xfId="0" applyFill="1" applyAlignment="1">
      <alignment horizontal="left"/>
    </xf>
    <xf numFmtId="0" fontId="0" fillId="16" borderId="0" xfId="0" applyFill="1"/>
    <xf numFmtId="14" fontId="0" fillId="16" borderId="0" xfId="0" applyNumberFormat="1" applyFill="1"/>
    <xf numFmtId="14" fontId="0" fillId="0" borderId="0" xfId="0" applyNumberFormat="1"/>
    <xf numFmtId="0" fontId="0" fillId="8" borderId="0" xfId="0" applyFill="1" applyAlignment="1">
      <alignment horizontal="left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0" fillId="18" borderId="27" xfId="0" applyFill="1" applyBorder="1"/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49" fontId="1" fillId="9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9" borderId="0" xfId="0" applyFont="1" applyFill="1" applyAlignment="1">
      <alignment horizontal="left"/>
    </xf>
    <xf numFmtId="0" fontId="6" fillId="17" borderId="0" xfId="0" applyFont="1" applyFill="1" applyAlignment="1">
      <alignment horizontal="left"/>
    </xf>
    <xf numFmtId="49" fontId="1" fillId="17" borderId="0" xfId="0" applyNumberFormat="1" applyFont="1" applyFill="1" applyAlignment="1">
      <alignment horizontal="left"/>
    </xf>
    <xf numFmtId="0" fontId="10" fillId="0" borderId="4" xfId="0" quotePrefix="1" applyFont="1" applyBorder="1" applyAlignment="1">
      <alignment vertical="center"/>
    </xf>
    <xf numFmtId="49" fontId="15" fillId="7" borderId="13" xfId="3" applyNumberFormat="1" applyFont="1" applyFill="1" applyBorder="1" applyAlignment="1">
      <alignment horizontal="left" vertical="center"/>
    </xf>
    <xf numFmtId="49" fontId="15" fillId="7" borderId="13" xfId="4" applyNumberFormat="1" applyFont="1" applyFill="1" applyBorder="1" applyAlignment="1">
      <alignment horizontal="left"/>
    </xf>
    <xf numFmtId="49" fontId="15" fillId="7" borderId="13" xfId="5" applyNumberFormat="1" applyFont="1" applyFill="1" applyBorder="1" applyAlignment="1">
      <alignment horizontal="left"/>
    </xf>
    <xf numFmtId="49" fontId="15" fillId="7" borderId="13" xfId="6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0" fontId="6" fillId="8" borderId="0" xfId="0" quotePrefix="1" applyFont="1" applyFill="1" applyAlignment="1">
      <alignment horizontal="left"/>
    </xf>
    <xf numFmtId="0" fontId="14" fillId="8" borderId="0" xfId="7" applyFill="1" applyAlignment="1">
      <alignment horizontal="left"/>
    </xf>
    <xf numFmtId="0" fontId="21" fillId="8" borderId="0" xfId="7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22" fillId="10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9" borderId="0" xfId="0" quotePrefix="1" applyFont="1" applyFill="1" applyAlignment="1">
      <alignment horizontal="left"/>
    </xf>
    <xf numFmtId="14" fontId="6" fillId="8" borderId="0" xfId="0" applyNumberFormat="1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11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1" fontId="18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8" borderId="0" xfId="0" applyNumberFormat="1" applyFont="1" applyFill="1" applyAlignment="1">
      <alignment horizontal="left"/>
    </xf>
    <xf numFmtId="49" fontId="21" fillId="8" borderId="0" xfId="7" applyNumberFormat="1" applyFont="1" applyFill="1" applyAlignment="1">
      <alignment horizontal="left"/>
    </xf>
    <xf numFmtId="49" fontId="1" fillId="11" borderId="0" xfId="0" applyNumberFormat="1" applyFont="1" applyFill="1" applyAlignment="1">
      <alignment horizontal="left"/>
    </xf>
    <xf numFmtId="49" fontId="1" fillId="1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49" fontId="21" fillId="17" borderId="0" xfId="7" applyNumberFormat="1" applyFont="1" applyFill="1" applyAlignment="1">
      <alignment horizontal="left"/>
    </xf>
    <xf numFmtId="0" fontId="22" fillId="17" borderId="0" xfId="0" applyFont="1" applyFill="1" applyAlignment="1">
      <alignment horizontal="left"/>
    </xf>
    <xf numFmtId="49" fontId="6" fillId="17" borderId="0" xfId="0" applyNumberFormat="1" applyFont="1" applyFill="1" applyAlignment="1">
      <alignment horizontal="left"/>
    </xf>
    <xf numFmtId="0" fontId="1" fillId="17" borderId="0" xfId="0" applyFont="1" applyFill="1" applyAlignment="1">
      <alignment horizontal="left"/>
    </xf>
    <xf numFmtId="49" fontId="0" fillId="17" borderId="0" xfId="0" applyNumberFormat="1" applyFill="1" applyAlignment="1">
      <alignment horizontal="left"/>
    </xf>
    <xf numFmtId="49" fontId="14" fillId="17" borderId="0" xfId="7" applyNumberFormat="1" applyFill="1" applyAlignment="1">
      <alignment horizontal="left"/>
    </xf>
    <xf numFmtId="0" fontId="7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2" fillId="0" borderId="14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9" borderId="14" xfId="0" applyNumberFormat="1" applyFont="1" applyFill="1" applyBorder="1" applyAlignment="1">
      <alignment horizontal="left"/>
    </xf>
    <xf numFmtId="49" fontId="2" fillId="8" borderId="14" xfId="0" applyNumberFormat="1" applyFont="1" applyFill="1" applyBorder="1" applyAlignment="1">
      <alignment horizontal="left"/>
    </xf>
    <xf numFmtId="49" fontId="2" fillId="2" borderId="14" xfId="0" applyNumberFormat="1" applyFont="1" applyFill="1" applyBorder="1" applyAlignment="1">
      <alignment horizontal="left"/>
    </xf>
    <xf numFmtId="0" fontId="7" fillId="0" borderId="30" xfId="0" applyFont="1" applyBorder="1" applyAlignment="1">
      <alignment horizontal="left" vertical="top" wrapText="1"/>
    </xf>
    <xf numFmtId="0" fontId="7" fillId="0" borderId="31" xfId="0" applyFont="1" applyBorder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34" xfId="0" applyFont="1" applyBorder="1" applyAlignment="1">
      <alignment horizontal="left" vertical="top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7" fillId="0" borderId="30" xfId="0" applyFont="1" applyBorder="1" applyAlignment="1">
      <alignment horizontal="left" vertical="top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</cellXfs>
  <cellStyles count="9">
    <cellStyle name="40% - Colore 2" xfId="5" builtinId="35"/>
    <cellStyle name="40% - Colore 5" xfId="6" builtinId="47"/>
    <cellStyle name="Collegamento ipertestuale" xfId="7" builtinId="8"/>
    <cellStyle name="Migliaia" xfId="1" builtinId="3"/>
    <cellStyle name="Neutrale" xfId="4" builtinId="28"/>
    <cellStyle name="Neutrale 2" xfId="8" xr:uid="{BD6B2101-943F-4D53-9D16-77FEC5454D83}"/>
    <cellStyle name="Normale" xfId="0" builtinId="0"/>
    <cellStyle name="Normale 2" xfId="2" xr:uid="{00000000-0005-0000-0000-000002000000}"/>
    <cellStyle name="Valore valido" xfId="3" builtinId="26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414692</xdr:colOff>
      <xdr:row>47</xdr:row>
      <xdr:rowOff>1009650</xdr:rowOff>
    </xdr:from>
    <xdr:to>
      <xdr:col>18</xdr:col>
      <xdr:colOff>1050231</xdr:colOff>
      <xdr:row>52</xdr:row>
      <xdr:rowOff>304800</xdr:rowOff>
    </xdr:to>
    <xdr:pic>
      <xdr:nvPicPr>
        <xdr:cNvPr id="1130" name="Immagine 1">
          <a:extLst>
            <a:ext uri="{FF2B5EF4-FFF2-40B4-BE49-F238E27FC236}">
              <a16:creationId xmlns:a16="http://schemas.microsoft.com/office/drawing/2014/main" id="{630994DD-7385-7D20-C85F-8B309BE75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398892" y="16135350"/>
          <a:ext cx="3950239" cy="1352550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755650</xdr:colOff>
      <xdr:row>5</xdr:row>
      <xdr:rowOff>1156146</xdr:rowOff>
    </xdr:from>
    <xdr:to>
      <xdr:col>15</xdr:col>
      <xdr:colOff>1006474</xdr:colOff>
      <xdr:row>12</xdr:row>
      <xdr:rowOff>104773</xdr:rowOff>
    </xdr:to>
    <xdr:pic>
      <xdr:nvPicPr>
        <xdr:cNvPr id="1131" name="Immagine 2">
          <a:extLst>
            <a:ext uri="{FF2B5EF4-FFF2-40B4-BE49-F238E27FC236}">
              <a16:creationId xmlns:a16="http://schemas.microsoft.com/office/drawing/2014/main" id="{86EB0C39-8437-5BE2-7E95-93419773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663150" y="1949896"/>
          <a:ext cx="3425824" cy="1218752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25710</xdr:rowOff>
    </xdr:from>
    <xdr:to>
      <xdr:col>3</xdr:col>
      <xdr:colOff>155863</xdr:colOff>
      <xdr:row>5</xdr:row>
      <xdr:rowOff>502736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B7F2231-A3C8-4753-966F-FB618B60C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92460"/>
          <a:ext cx="3656301" cy="64371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47</xdr:row>
      <xdr:rowOff>195056</xdr:rowOff>
    </xdr:from>
    <xdr:to>
      <xdr:col>3</xdr:col>
      <xdr:colOff>308263</xdr:colOff>
      <xdr:row>47</xdr:row>
      <xdr:rowOff>838770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243C306-255A-4D32-B1C7-D8B3D5D8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14958806"/>
          <a:ext cx="3656301" cy="643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ustomerCareGeL/Anagrafiche/Import/Allegato%20Condomini%202021%20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EGATO 1 CONDOMINI"/>
      <sheetName val="Template G"/>
      <sheetName val="Venditori"/>
      <sheetName val="Zone Istat"/>
      <sheetName val="Foglio3"/>
      <sheetName val="elenco distributori e fornitori"/>
    </sheetNames>
    <sheetDataSet>
      <sheetData sheetId="0" refreshError="1">
        <row r="17">
          <cell r="N17">
            <v>2500</v>
          </cell>
        </row>
        <row r="28">
          <cell r="B28" t="str">
            <v>COND.</v>
          </cell>
        </row>
      </sheetData>
      <sheetData sheetId="1" refreshError="1"/>
      <sheetData sheetId="2" refreshError="1">
        <row r="1">
          <cell r="B1" t="str">
            <v>Descrizione</v>
          </cell>
          <cell r="C1" t="str">
            <v>Partita Iva</v>
          </cell>
          <cell r="D1" t="str">
            <v>Nr. di Fax</v>
          </cell>
          <cell r="E1" t="str">
            <v>Cod.</v>
          </cell>
        </row>
        <row r="2">
          <cell r="B2" t="str">
            <v>CHIURLO S.r.l</v>
          </cell>
          <cell r="E2" t="str">
            <v>00001</v>
          </cell>
        </row>
        <row r="3">
          <cell r="B3" t="str">
            <v>Bluenergy Group</v>
          </cell>
          <cell r="E3" t="str">
            <v>00002</v>
          </cell>
        </row>
        <row r="4">
          <cell r="B4" t="str">
            <v>Enerxenia</v>
          </cell>
          <cell r="E4" t="str">
            <v>00003</v>
          </cell>
        </row>
        <row r="5">
          <cell r="B5" t="str">
            <v>Amga Energia e Servizi</v>
          </cell>
          <cell r="E5" t="str">
            <v>00004</v>
          </cell>
        </row>
        <row r="6">
          <cell r="B6" t="str">
            <v>Trenta S.p.A.</v>
          </cell>
          <cell r="C6" t="str">
            <v>09533760964</v>
          </cell>
          <cell r="E6" t="str">
            <v>00005</v>
          </cell>
        </row>
        <row r="7">
          <cell r="B7" t="str">
            <v>Estraenergie</v>
          </cell>
          <cell r="E7" t="str">
            <v>00006</v>
          </cell>
        </row>
        <row r="8">
          <cell r="B8" t="str">
            <v>EStenergy</v>
          </cell>
          <cell r="E8" t="str">
            <v>00007</v>
          </cell>
        </row>
        <row r="9">
          <cell r="B9" t="str">
            <v>Eni - Plenitude</v>
          </cell>
          <cell r="E9" t="str">
            <v>00008</v>
          </cell>
        </row>
        <row r="10">
          <cell r="B10" t="str">
            <v>Energrid</v>
          </cell>
          <cell r="E10" t="str">
            <v>00009</v>
          </cell>
        </row>
        <row r="11">
          <cell r="B11" t="str">
            <v>Enel Energia</v>
          </cell>
          <cell r="E11" t="str">
            <v>00010</v>
          </cell>
        </row>
        <row r="12">
          <cell r="B12" t="str">
            <v>Isogas-ESt Più</v>
          </cell>
          <cell r="E12" t="str">
            <v>00011</v>
          </cell>
        </row>
        <row r="13">
          <cell r="B13" t="str">
            <v>Europagas srl</v>
          </cell>
          <cell r="E13" t="str">
            <v>00012</v>
          </cell>
        </row>
        <row r="14">
          <cell r="B14" t="str">
            <v>Repower</v>
          </cell>
          <cell r="E14" t="str">
            <v>00013</v>
          </cell>
        </row>
        <row r="15">
          <cell r="B15" t="str">
            <v>Edison</v>
          </cell>
          <cell r="E15" t="str">
            <v>00014</v>
          </cell>
        </row>
        <row r="16">
          <cell r="B16" t="str">
            <v>Azienda Energia e Gas</v>
          </cell>
          <cell r="E16" t="str">
            <v>00015</v>
          </cell>
        </row>
        <row r="17">
          <cell r="B17" t="str">
            <v>Veritas Energia</v>
          </cell>
          <cell r="E17" t="str">
            <v>00016</v>
          </cell>
        </row>
        <row r="18">
          <cell r="B18" t="str">
            <v>Ascotrade spa</v>
          </cell>
          <cell r="E18" t="str">
            <v>00017</v>
          </cell>
        </row>
        <row r="19">
          <cell r="B19" t="str">
            <v>Metanodotti</v>
          </cell>
          <cell r="E19" t="str">
            <v>00018</v>
          </cell>
        </row>
        <row r="20">
          <cell r="B20" t="str">
            <v>Coopgas</v>
          </cell>
          <cell r="E20" t="str">
            <v>00019</v>
          </cell>
        </row>
        <row r="21">
          <cell r="B21" t="str">
            <v>BPP gas</v>
          </cell>
          <cell r="E21" t="str">
            <v>00020</v>
          </cell>
        </row>
        <row r="22">
          <cell r="B22" t="str">
            <v>GDF Suez</v>
          </cell>
          <cell r="C22" t="str">
            <v>09515990969</v>
          </cell>
          <cell r="E22" t="str">
            <v>00021</v>
          </cell>
        </row>
        <row r="23">
          <cell r="B23" t="str">
            <v>ArgosEnergia</v>
          </cell>
          <cell r="E23" t="str">
            <v>00022</v>
          </cell>
        </row>
        <row r="24">
          <cell r="B24" t="str">
            <v>Trenta SPA</v>
          </cell>
          <cell r="E24" t="str">
            <v>00023</v>
          </cell>
        </row>
        <row r="25">
          <cell r="B25" t="str">
            <v>Unogas</v>
          </cell>
          <cell r="E25" t="str">
            <v>00024</v>
          </cell>
        </row>
        <row r="26">
          <cell r="B26" t="str">
            <v>Illumia</v>
          </cell>
          <cell r="C26" t="str">
            <v>01970140065</v>
          </cell>
          <cell r="E26" t="str">
            <v>00025</v>
          </cell>
        </row>
        <row r="27">
          <cell r="B27" t="str">
            <v>Energetic Source</v>
          </cell>
          <cell r="E27" t="str">
            <v>00026</v>
          </cell>
        </row>
        <row r="28">
          <cell r="B28" t="str">
            <v>Flyenergia</v>
          </cell>
          <cell r="C28" t="str">
            <v>01745520211</v>
          </cell>
          <cell r="E28" t="str">
            <v>00027</v>
          </cell>
        </row>
        <row r="29">
          <cell r="B29" t="str">
            <v>Spigas</v>
          </cell>
          <cell r="E29" t="str">
            <v>00028</v>
          </cell>
        </row>
        <row r="30">
          <cell r="B30" t="str">
            <v>Linea Più</v>
          </cell>
          <cell r="E30" t="str">
            <v>00029</v>
          </cell>
        </row>
        <row r="31">
          <cell r="B31" t="str">
            <v>Acegas Aps Service</v>
          </cell>
          <cell r="C31" t="str">
            <v>05044850823</v>
          </cell>
          <cell r="E31" t="str">
            <v>00030</v>
          </cell>
        </row>
        <row r="32">
          <cell r="B32" t="str">
            <v>Agsm Energia</v>
          </cell>
          <cell r="E32" t="str">
            <v>00031</v>
          </cell>
        </row>
        <row r="33">
          <cell r="B33" t="str">
            <v>HeraComm</v>
          </cell>
          <cell r="E33" t="str">
            <v>00032</v>
          </cell>
        </row>
        <row r="34">
          <cell r="B34" t="str">
            <v>Enegan</v>
          </cell>
          <cell r="E34" t="str">
            <v>00033</v>
          </cell>
        </row>
        <row r="35">
          <cell r="B35" t="str">
            <v>E-on</v>
          </cell>
          <cell r="E35" t="str">
            <v>00034</v>
          </cell>
        </row>
        <row r="36">
          <cell r="B36" t="str">
            <v>GreenNetwork</v>
          </cell>
          <cell r="E36" t="str">
            <v>00035</v>
          </cell>
        </row>
        <row r="37">
          <cell r="B37" t="str">
            <v>LineaPiù</v>
          </cell>
          <cell r="E37" t="str">
            <v>00036</v>
          </cell>
        </row>
        <row r="38">
          <cell r="B38" t="str">
            <v>Veneto Gas&amp;Power</v>
          </cell>
          <cell r="E38" t="str">
            <v>00037</v>
          </cell>
        </row>
        <row r="39">
          <cell r="B39" t="str">
            <v>Vivigas Spa</v>
          </cell>
          <cell r="E39" t="str">
            <v>00038</v>
          </cell>
        </row>
        <row r="40">
          <cell r="B40" t="str">
            <v>Axpo</v>
          </cell>
          <cell r="E40" t="str">
            <v>00039</v>
          </cell>
        </row>
        <row r="41">
          <cell r="B41" t="str">
            <v>Optima</v>
          </cell>
          <cell r="E41" t="str">
            <v>00040</v>
          </cell>
        </row>
        <row r="42">
          <cell r="B42" t="str">
            <v>GeoNordest</v>
          </cell>
          <cell r="E42" t="str">
            <v>00041</v>
          </cell>
        </row>
        <row r="43">
          <cell r="B43" t="str">
            <v>DueEnergie</v>
          </cell>
          <cell r="E43" t="str">
            <v>00042</v>
          </cell>
        </row>
        <row r="44">
          <cell r="B44" t="str">
            <v>Enel Servizio Elettrico</v>
          </cell>
          <cell r="E44" t="str">
            <v>00043</v>
          </cell>
        </row>
        <row r="45">
          <cell r="B45" t="str">
            <v>GasPlus</v>
          </cell>
          <cell r="E45" t="str">
            <v>00044</v>
          </cell>
        </row>
        <row r="46">
          <cell r="B46" t="str">
            <v>A2A</v>
          </cell>
          <cell r="E46" t="str">
            <v>00045</v>
          </cell>
        </row>
        <row r="47">
          <cell r="B47" t="str">
            <v>Engie</v>
          </cell>
          <cell r="E47" t="str">
            <v>00046</v>
          </cell>
        </row>
        <row r="48">
          <cell r="B48" t="str">
            <v>GasNatural</v>
          </cell>
          <cell r="C48" t="str">
            <v>06170180019</v>
          </cell>
          <cell r="E48" t="str">
            <v>00047</v>
          </cell>
        </row>
        <row r="49">
          <cell r="B49" t="str">
            <v>Geko</v>
          </cell>
          <cell r="E49" t="str">
            <v>00048</v>
          </cell>
        </row>
        <row r="50">
          <cell r="B50" t="str">
            <v>Simecom</v>
          </cell>
          <cell r="E50" t="str">
            <v>00049</v>
          </cell>
        </row>
        <row r="51">
          <cell r="B51" t="str">
            <v>Idroelettrica Valcanale</v>
          </cell>
          <cell r="C51" t="str">
            <v>01141160992</v>
          </cell>
          <cell r="E51" t="str">
            <v>00050</v>
          </cell>
        </row>
        <row r="52">
          <cell r="B52" t="str">
            <v>Goldenergy</v>
          </cell>
          <cell r="E52" t="str">
            <v>00051</v>
          </cell>
        </row>
        <row r="53">
          <cell r="B53" t="str">
            <v>Gala</v>
          </cell>
          <cell r="E53" t="str">
            <v>00052</v>
          </cell>
        </row>
        <row r="54">
          <cell r="B54" t="str">
            <v>Sorgenia</v>
          </cell>
          <cell r="E54" t="str">
            <v>00053</v>
          </cell>
        </row>
        <row r="55">
          <cell r="B55" t="str">
            <v>3C</v>
          </cell>
          <cell r="C55" t="str">
            <v>10991371005</v>
          </cell>
          <cell r="E55" t="str">
            <v>00054</v>
          </cell>
        </row>
        <row r="56">
          <cell r="B56" t="str">
            <v>Compagnia Energetica Italiana</v>
          </cell>
          <cell r="C56" t="str">
            <v>10991371005</v>
          </cell>
          <cell r="E56" t="str">
            <v>00055</v>
          </cell>
        </row>
        <row r="57">
          <cell r="B57" t="str">
            <v>Cura Gas&amp;Power</v>
          </cell>
          <cell r="E57" t="str">
            <v>00056</v>
          </cell>
        </row>
        <row r="58">
          <cell r="B58" t="str">
            <v>Utilità</v>
          </cell>
          <cell r="E58" t="str">
            <v>00057</v>
          </cell>
        </row>
        <row r="59">
          <cell r="B59" t="str">
            <v>Iren</v>
          </cell>
          <cell r="E59" t="str">
            <v>00058</v>
          </cell>
        </row>
        <row r="60">
          <cell r="B60" t="str">
            <v>Multiutility</v>
          </cell>
          <cell r="E60" t="str">
            <v>00059</v>
          </cell>
        </row>
        <row r="61">
          <cell r="B61" t="str">
            <v>Sky Gas&amp;Power</v>
          </cell>
          <cell r="E61" t="str">
            <v>00060</v>
          </cell>
        </row>
        <row r="62">
          <cell r="B62" t="str">
            <v>AF Energie</v>
          </cell>
          <cell r="E62" t="str">
            <v>00061</v>
          </cell>
        </row>
        <row r="63">
          <cell r="B63" t="str">
            <v>Burgo Energia</v>
          </cell>
          <cell r="E63" t="str">
            <v>00062</v>
          </cell>
        </row>
        <row r="64">
          <cell r="B64" t="str">
            <v>Beetwin</v>
          </cell>
          <cell r="E64" t="str">
            <v>00063</v>
          </cell>
        </row>
        <row r="65">
          <cell r="B65" t="str">
            <v>EnergiaCorrente</v>
          </cell>
          <cell r="E65" t="str">
            <v>00064</v>
          </cell>
        </row>
        <row r="66">
          <cell r="B66" t="str">
            <v xml:space="preserve">Antas </v>
          </cell>
          <cell r="E66" t="str">
            <v>00065</v>
          </cell>
        </row>
        <row r="67">
          <cell r="B67" t="str">
            <v>RomaGas</v>
          </cell>
          <cell r="C67" t="str">
            <v>00894461003</v>
          </cell>
          <cell r="E67" t="str">
            <v>00066</v>
          </cell>
        </row>
        <row r="68">
          <cell r="B68" t="str">
            <v>SoEnergy</v>
          </cell>
          <cell r="E68" t="str">
            <v>00067</v>
          </cell>
        </row>
        <row r="69">
          <cell r="B69" t="str">
            <v>BlueMeta</v>
          </cell>
          <cell r="E69" t="str">
            <v>00068</v>
          </cell>
        </row>
        <row r="70">
          <cell r="B70" t="str">
            <v>Asm Energia</v>
          </cell>
          <cell r="E70" t="str">
            <v>00069</v>
          </cell>
        </row>
        <row r="71">
          <cell r="B71" t="str">
            <v>Luce e Gas Italia</v>
          </cell>
          <cell r="E71" t="str">
            <v>00070</v>
          </cell>
        </row>
        <row r="72">
          <cell r="B72" t="str">
            <v>Elettragas</v>
          </cell>
          <cell r="E72" t="str">
            <v>00071</v>
          </cell>
        </row>
        <row r="73">
          <cell r="B73" t="str">
            <v>Invent</v>
          </cell>
          <cell r="C73" t="str">
            <v>08345840964</v>
          </cell>
          <cell r="E73" t="str">
            <v>00072</v>
          </cell>
        </row>
        <row r="74">
          <cell r="B74" t="str">
            <v>Dolomiti Energia</v>
          </cell>
          <cell r="C74" t="str">
            <v>01274390309</v>
          </cell>
          <cell r="E74" t="str">
            <v>00073</v>
          </cell>
        </row>
        <row r="75">
          <cell r="B75" t="str">
            <v>AP Energia</v>
          </cell>
          <cell r="C75" t="str">
            <v>09328470159</v>
          </cell>
          <cell r="E75" t="str">
            <v>00074</v>
          </cell>
        </row>
        <row r="76">
          <cell r="B76" t="str">
            <v>Audax Energia</v>
          </cell>
          <cell r="E76" t="str">
            <v>00075</v>
          </cell>
        </row>
        <row r="77">
          <cell r="B77" t="str">
            <v>Ubroker</v>
          </cell>
          <cell r="E77" t="str">
            <v>00076</v>
          </cell>
        </row>
        <row r="78">
          <cell r="B78" t="str">
            <v>Utility 360</v>
          </cell>
          <cell r="E78" t="str">
            <v>00077</v>
          </cell>
        </row>
        <row r="79">
          <cell r="B79" t="str">
            <v>Axopower</v>
          </cell>
          <cell r="E79" t="str">
            <v>00078</v>
          </cell>
        </row>
        <row r="80">
          <cell r="B80" t="str">
            <v>LionEnergy</v>
          </cell>
          <cell r="E80" t="str">
            <v>00079</v>
          </cell>
        </row>
        <row r="81">
          <cell r="B81" t="str">
            <v>Aemme Energie</v>
          </cell>
          <cell r="E81" t="str">
            <v>00080</v>
          </cell>
        </row>
        <row r="82">
          <cell r="B82" t="str">
            <v>Metanotre</v>
          </cell>
          <cell r="E82" t="str">
            <v>00081</v>
          </cell>
        </row>
        <row r="83">
          <cell r="B83" t="str">
            <v>Energie Diffuse</v>
          </cell>
          <cell r="E83" t="str">
            <v>00082</v>
          </cell>
        </row>
        <row r="84">
          <cell r="B84" t="str">
            <v>FVG Energia</v>
          </cell>
          <cell r="E84" t="str">
            <v>00083</v>
          </cell>
        </row>
        <row r="85">
          <cell r="B85" t="str">
            <v>X3Energy</v>
          </cell>
          <cell r="E85" t="str">
            <v>00084</v>
          </cell>
        </row>
        <row r="86">
          <cell r="B86" t="str">
            <v>ACEA Energia</v>
          </cell>
          <cell r="E86" t="str">
            <v>00085</v>
          </cell>
        </row>
        <row r="87">
          <cell r="B87" t="str">
            <v>Casapiùverde</v>
          </cell>
          <cell r="E87" t="str">
            <v>00086</v>
          </cell>
        </row>
        <row r="88">
          <cell r="B88" t="str">
            <v>PASUBIO</v>
          </cell>
          <cell r="E88" t="str">
            <v>00087</v>
          </cell>
        </row>
        <row r="89">
          <cell r="B89" t="str">
            <v>EUROPE ENERGY</v>
          </cell>
          <cell r="E89" t="str">
            <v>00088</v>
          </cell>
        </row>
        <row r="90">
          <cell r="B90" t="str">
            <v>DUFERCO</v>
          </cell>
          <cell r="E90" t="str">
            <v>00089</v>
          </cell>
        </row>
        <row r="91">
          <cell r="B91" t="str">
            <v>COGESER</v>
          </cell>
          <cell r="E91" t="str">
            <v>00090</v>
          </cell>
        </row>
        <row r="92">
          <cell r="B92" t="str">
            <v>A.B. ENERGIE</v>
          </cell>
          <cell r="E92" t="str">
            <v>00091</v>
          </cell>
        </row>
        <row r="93">
          <cell r="B93" t="str">
            <v>AIM ENERGY</v>
          </cell>
          <cell r="E93" t="str">
            <v>00092</v>
          </cell>
        </row>
        <row r="94">
          <cell r="B94" t="str">
            <v>MADE IN ENERGY</v>
          </cell>
          <cell r="E94" t="str">
            <v>00093</v>
          </cell>
        </row>
        <row r="95">
          <cell r="B95" t="str">
            <v>SIMP GAS</v>
          </cell>
          <cell r="E95" t="str">
            <v>00095</v>
          </cell>
        </row>
        <row r="96">
          <cell r="B96" t="str">
            <v>ANTENORE</v>
          </cell>
          <cell r="C96" t="str">
            <v>03469240547</v>
          </cell>
          <cell r="E96" t="str">
            <v>00096</v>
          </cell>
        </row>
        <row r="97">
          <cell r="B97" t="str">
            <v>UNI. CO. GE</v>
          </cell>
          <cell r="E97" t="str">
            <v>00097</v>
          </cell>
        </row>
        <row r="98">
          <cell r="B98" t="str">
            <v>METAENERGIA</v>
          </cell>
          <cell r="E98" t="str">
            <v>00098</v>
          </cell>
        </row>
        <row r="99">
          <cell r="B99" t="str">
            <v>LIBERO</v>
          </cell>
          <cell r="E99" t="str">
            <v>00099</v>
          </cell>
        </row>
        <row r="100">
          <cell r="B100" t="str">
            <v>SOCIETA' SERVIZI ENERGIA SRL</v>
          </cell>
          <cell r="E100" t="str">
            <v>00100</v>
          </cell>
        </row>
        <row r="101">
          <cell r="B101" t="str">
            <v>AUDAX ENERGIA</v>
          </cell>
          <cell r="E101" t="str">
            <v>00101</v>
          </cell>
        </row>
        <row r="102">
          <cell r="B102" t="str">
            <v>Evivaenergia</v>
          </cell>
          <cell r="E102" t="str">
            <v>00102</v>
          </cell>
        </row>
        <row r="103">
          <cell r="B103" t="str">
            <v>Energrid</v>
          </cell>
          <cell r="E103" t="str">
            <v>00103</v>
          </cell>
        </row>
        <row r="104">
          <cell r="B104" t="str">
            <v>Simecom</v>
          </cell>
          <cell r="E104" t="str">
            <v>00104</v>
          </cell>
        </row>
        <row r="105">
          <cell r="B105" t="str">
            <v>SUISSE</v>
          </cell>
          <cell r="E105" t="str">
            <v>00105</v>
          </cell>
        </row>
        <row r="106">
          <cell r="B106" t="str">
            <v>EDLO ENERGY SPA</v>
          </cell>
          <cell r="C106" t="str">
            <v>02465700033</v>
          </cell>
          <cell r="E106" t="str">
            <v>00106</v>
          </cell>
        </row>
        <row r="107">
          <cell r="B107" t="str">
            <v>Passuello</v>
          </cell>
          <cell r="E107" t="str">
            <v>00107</v>
          </cell>
        </row>
        <row r="108">
          <cell r="B108" t="str">
            <v>SINERGY</v>
          </cell>
          <cell r="C108" t="str">
            <v>01335290323</v>
          </cell>
          <cell r="E108" t="str">
            <v>00108</v>
          </cell>
        </row>
        <row r="109">
          <cell r="B109" t="str">
            <v>ENERGY ONLY</v>
          </cell>
          <cell r="C109" t="str">
            <v>01788310769</v>
          </cell>
          <cell r="E109" t="str">
            <v>00109</v>
          </cell>
        </row>
        <row r="110">
          <cell r="B110" t="str">
            <v>S4</v>
          </cell>
          <cell r="E110" t="str">
            <v>00110</v>
          </cell>
        </row>
        <row r="111">
          <cell r="B111" t="str">
            <v>ENERGIA BASE TRIESTE</v>
          </cell>
          <cell r="E111" t="str">
            <v>00111</v>
          </cell>
        </row>
        <row r="112">
          <cell r="B112" t="str">
            <v>MIWA</v>
          </cell>
          <cell r="E112" t="str">
            <v>00112</v>
          </cell>
        </row>
        <row r="113">
          <cell r="B113" t="str">
            <v>Lirenas Gas&amp;Luce</v>
          </cell>
          <cell r="E113" t="str">
            <v>00113</v>
          </cell>
        </row>
        <row r="114">
          <cell r="B114" t="str">
            <v>FAMIGLIA ENERGIA</v>
          </cell>
          <cell r="E114" t="str">
            <v>00114</v>
          </cell>
        </row>
        <row r="115">
          <cell r="B115" t="str">
            <v>Gritti Energia</v>
          </cell>
          <cell r="E115" t="str">
            <v>00115</v>
          </cell>
        </row>
        <row r="116">
          <cell r="B116" t="str">
            <v>Eroga Energia</v>
          </cell>
          <cell r="C116" t="str">
            <v>01262680190</v>
          </cell>
          <cell r="E116" t="str">
            <v>00116</v>
          </cell>
        </row>
        <row r="117">
          <cell r="B117" t="str">
            <v>EVOLVERE S.P.A.</v>
          </cell>
          <cell r="E117" t="str">
            <v>00117</v>
          </cell>
        </row>
        <row r="118">
          <cell r="B118" t="str">
            <v>SINERGAS SPA</v>
          </cell>
          <cell r="C118" t="str">
            <v>02605060926</v>
          </cell>
          <cell r="E118" t="str">
            <v>00118</v>
          </cell>
        </row>
        <row r="119">
          <cell r="B119" t="str">
            <v>CARBOTERMO S.P.A</v>
          </cell>
          <cell r="E119" t="str">
            <v>00119</v>
          </cell>
        </row>
        <row r="120">
          <cell r="B120" t="str">
            <v>Eneco Energia S.p.A.</v>
          </cell>
          <cell r="E120" t="str">
            <v>00120</v>
          </cell>
        </row>
        <row r="121">
          <cell r="B121" t="str">
            <v>Egea</v>
          </cell>
          <cell r="E121" t="str">
            <v>00121</v>
          </cell>
        </row>
        <row r="122">
          <cell r="B122" t="str">
            <v>LEVIGAS</v>
          </cell>
          <cell r="E122" t="str">
            <v>00122</v>
          </cell>
        </row>
        <row r="123">
          <cell r="B123" t="str">
            <v>Servizio Elettrico Nazionale</v>
          </cell>
          <cell r="C123" t="str">
            <v>08000190721</v>
          </cell>
          <cell r="E123" t="str">
            <v>00123</v>
          </cell>
        </row>
        <row r="124">
          <cell r="B124" t="str">
            <v>Nuove Energie</v>
          </cell>
          <cell r="E124" t="str">
            <v>00124</v>
          </cell>
        </row>
        <row r="125">
          <cell r="B125" t="str">
            <v>GASWAY</v>
          </cell>
          <cell r="C125" t="str">
            <v>10564110962</v>
          </cell>
          <cell r="E125" t="str">
            <v>00125</v>
          </cell>
        </row>
        <row r="126">
          <cell r="B126" t="str">
            <v>SMART Luce &amp; Gas</v>
          </cell>
          <cell r="C126" t="str">
            <v>04211550241</v>
          </cell>
          <cell r="E126" t="str">
            <v>00126</v>
          </cell>
        </row>
        <row r="127">
          <cell r="B127" t="str">
            <v>SERVER SRL</v>
          </cell>
          <cell r="E127" t="str">
            <v>00127</v>
          </cell>
        </row>
        <row r="128">
          <cell r="B128" t="str">
            <v>Nordest Energie</v>
          </cell>
          <cell r="C128" t="str">
            <v>05959600650</v>
          </cell>
          <cell r="E128" t="str">
            <v>00128</v>
          </cell>
        </row>
        <row r="129">
          <cell r="B129" t="str">
            <v>METANO NORD</v>
          </cell>
          <cell r="E129" t="str">
            <v>00129</v>
          </cell>
        </row>
        <row r="130">
          <cell r="B130" t="str">
            <v>ENERCOM</v>
          </cell>
          <cell r="E130" t="str">
            <v>00130</v>
          </cell>
        </row>
        <row r="131">
          <cell r="B131" t="str">
            <v>GELSIA</v>
          </cell>
          <cell r="E131" t="str">
            <v>00131</v>
          </cell>
        </row>
        <row r="132">
          <cell r="B132" t="str">
            <v>Sentra Energia</v>
          </cell>
          <cell r="E132" t="str">
            <v>00132</v>
          </cell>
        </row>
        <row r="133">
          <cell r="B133" t="str">
            <v>Fintel Gas e Luce srl</v>
          </cell>
          <cell r="E133" t="str">
            <v>00133</v>
          </cell>
        </row>
        <row r="134">
          <cell r="B134" t="str">
            <v>ESLA SPA</v>
          </cell>
          <cell r="E134" t="str">
            <v>00134</v>
          </cell>
        </row>
        <row r="135">
          <cell r="B135" t="str">
            <v>EST PIU' S.P.A.</v>
          </cell>
          <cell r="E135" t="str">
            <v>00135</v>
          </cell>
        </row>
        <row r="136">
          <cell r="B136" t="str">
            <v>CLEAN POWER</v>
          </cell>
          <cell r="C136" t="str">
            <v>09958870967</v>
          </cell>
          <cell r="E136" t="str">
            <v>00136</v>
          </cell>
        </row>
        <row r="137">
          <cell r="B137" t="str">
            <v>EXERGIA</v>
          </cell>
          <cell r="E137" t="str">
            <v>00137</v>
          </cell>
        </row>
        <row r="138">
          <cell r="B138" t="str">
            <v>TEA Energia s.r.l.</v>
          </cell>
          <cell r="E138" t="str">
            <v>00138</v>
          </cell>
        </row>
        <row r="139">
          <cell r="B139" t="str">
            <v>IBERDROLA</v>
          </cell>
          <cell r="E139" t="str">
            <v>00139</v>
          </cell>
        </row>
        <row r="140">
          <cell r="B140" t="str">
            <v>Energ.it S.p.A</v>
          </cell>
          <cell r="E140" t="str">
            <v>00140</v>
          </cell>
        </row>
        <row r="141">
          <cell r="B141" t="str">
            <v>Più Energia</v>
          </cell>
          <cell r="E141" t="str">
            <v>00141</v>
          </cell>
        </row>
        <row r="142">
          <cell r="B142" t="str">
            <v>META NEW POWER</v>
          </cell>
          <cell r="E142" t="str">
            <v>00142</v>
          </cell>
        </row>
        <row r="143">
          <cell r="B143" t="str">
            <v>Polis energia</v>
          </cell>
          <cell r="E143" t="str">
            <v>00143</v>
          </cell>
        </row>
        <row r="144">
          <cell r="B144" t="str">
            <v>Sanremo Luce - Amaie</v>
          </cell>
          <cell r="E144" t="str">
            <v>00144</v>
          </cell>
        </row>
        <row r="145">
          <cell r="B145" t="str">
            <v>Agorà Gas e Luce</v>
          </cell>
          <cell r="E145" t="str">
            <v>00145</v>
          </cell>
        </row>
        <row r="146">
          <cell r="B146" t="str">
            <v>ROYAL GROUP</v>
          </cell>
          <cell r="E146" t="str">
            <v>00146</v>
          </cell>
        </row>
        <row r="147">
          <cell r="B147" t="str">
            <v>FOLINI GAS SRL</v>
          </cell>
          <cell r="C147" t="str">
            <v>03889990135</v>
          </cell>
          <cell r="E147" t="str">
            <v>00147</v>
          </cell>
        </row>
        <row r="148">
          <cell r="B148" t="str">
            <v>CIP LOMBARDIA S.R.L.</v>
          </cell>
          <cell r="E148" t="str">
            <v>00148</v>
          </cell>
        </row>
        <row r="149">
          <cell r="B149" t="str">
            <v>ENERGYPOLIS</v>
          </cell>
          <cell r="E149" t="str">
            <v>00149</v>
          </cell>
        </row>
        <row r="150">
          <cell r="B150" t="str">
            <v>ETRA ENERGIA</v>
          </cell>
          <cell r="E150" t="str">
            <v>00150</v>
          </cell>
        </row>
        <row r="151">
          <cell r="B151" t="str">
            <v>COLSAM ENERGIE S.R.L</v>
          </cell>
          <cell r="C151" t="str">
            <v>02667810010</v>
          </cell>
          <cell r="E151" t="str">
            <v>00151</v>
          </cell>
        </row>
        <row r="152">
          <cell r="B152" t="str">
            <v>Piemonte Energy spa</v>
          </cell>
          <cell r="E152" t="str">
            <v>00152</v>
          </cell>
        </row>
        <row r="153">
          <cell r="B153" t="str">
            <v>Green Energy</v>
          </cell>
          <cell r="E153" t="str">
            <v>00153</v>
          </cell>
        </row>
        <row r="154">
          <cell r="B154" t="str">
            <v>Energy Polis</v>
          </cell>
          <cell r="E154" t="str">
            <v>00154</v>
          </cell>
        </row>
        <row r="155">
          <cell r="B155" t="str">
            <v>AEVV</v>
          </cell>
          <cell r="E155" t="str">
            <v>00155</v>
          </cell>
        </row>
        <row r="156">
          <cell r="B156" t="str">
            <v>EST ENERGY</v>
          </cell>
          <cell r="E156" t="str">
            <v>00156</v>
          </cell>
        </row>
        <row r="157">
          <cell r="B157" t="str">
            <v>OVENERGY</v>
          </cell>
          <cell r="E157" t="str">
            <v>00157</v>
          </cell>
        </row>
        <row r="158">
          <cell r="B158" t="str">
            <v>Ecotrade</v>
          </cell>
          <cell r="C158" t="str">
            <v>01136310313</v>
          </cell>
          <cell r="E158" t="str">
            <v>00158</v>
          </cell>
        </row>
        <row r="159">
          <cell r="B159" t="str">
            <v>MIOGAS &amp; LUCE SRL</v>
          </cell>
          <cell r="E159" t="str">
            <v>00159</v>
          </cell>
        </row>
        <row r="160">
          <cell r="B160" t="str">
            <v>Energia Italia Srl</v>
          </cell>
          <cell r="E160" t="str">
            <v>00160</v>
          </cell>
        </row>
        <row r="161">
          <cell r="B161" t="str">
            <v>LUMENERGIA</v>
          </cell>
          <cell r="E161" t="str">
            <v>00161</v>
          </cell>
        </row>
        <row r="162">
          <cell r="B162" t="str">
            <v>SGR SERVIZI SPA</v>
          </cell>
          <cell r="E162" t="str">
            <v>00162</v>
          </cell>
        </row>
        <row r="163">
          <cell r="B163" t="str">
            <v>Agn luce &amp; gas</v>
          </cell>
          <cell r="E163" t="str">
            <v>00163</v>
          </cell>
        </row>
        <row r="164">
          <cell r="B164" t="str">
            <v>+ Energia</v>
          </cell>
          <cell r="E164" t="str">
            <v>00164</v>
          </cell>
        </row>
        <row r="165">
          <cell r="B165" t="str">
            <v>Consorzio Energia</v>
          </cell>
          <cell r="E165" t="str">
            <v>00165</v>
          </cell>
        </row>
        <row r="166">
          <cell r="B166" t="str">
            <v>ENGAS</v>
          </cell>
          <cell r="E166" t="str">
            <v>00166</v>
          </cell>
        </row>
        <row r="167">
          <cell r="B167" t="str">
            <v>Global Power</v>
          </cell>
          <cell r="E167" t="str">
            <v>00167</v>
          </cell>
        </row>
        <row r="168">
          <cell r="B168" t="str">
            <v>EICOM SRL</v>
          </cell>
          <cell r="E168" t="str">
            <v>00168</v>
          </cell>
        </row>
        <row r="169">
          <cell r="B169" t="str">
            <v>Wekiwi</v>
          </cell>
          <cell r="E169" t="str">
            <v>00169</v>
          </cell>
        </row>
        <row r="170">
          <cell r="B170" t="str">
            <v>SPIENERGY</v>
          </cell>
          <cell r="E170" t="str">
            <v>00170</v>
          </cell>
        </row>
        <row r="171">
          <cell r="B171" t="str">
            <v>TERMO AMBIENTE SRL</v>
          </cell>
          <cell r="E171" t="str">
            <v>00171</v>
          </cell>
        </row>
        <row r="172">
          <cell r="B172" t="str">
            <v>Lenergie</v>
          </cell>
          <cell r="C172" t="str">
            <v>01931010431</v>
          </cell>
          <cell r="E172" t="str">
            <v>00172</v>
          </cell>
        </row>
        <row r="173">
          <cell r="B173" t="str">
            <v>SG ENERGIA</v>
          </cell>
          <cell r="E173" t="str">
            <v>00173</v>
          </cell>
        </row>
        <row r="174">
          <cell r="B174" t="str">
            <v>SOCOPLUS</v>
          </cell>
          <cell r="E174" t="str">
            <v>00174</v>
          </cell>
        </row>
        <row r="175">
          <cell r="B175" t="str">
            <v>CH4 SRL</v>
          </cell>
          <cell r="C175" t="str">
            <v>00917900144</v>
          </cell>
          <cell r="E175" t="str">
            <v>00175</v>
          </cell>
        </row>
        <row r="176">
          <cell r="B176" t="str">
            <v>Vuscom</v>
          </cell>
          <cell r="E176" t="str">
            <v>00176</v>
          </cell>
        </row>
        <row r="177">
          <cell r="B177" t="str">
            <v>SECAB</v>
          </cell>
          <cell r="E177" t="str">
            <v>00177</v>
          </cell>
        </row>
        <row r="178">
          <cell r="B178" t="str">
            <v>SOMET</v>
          </cell>
          <cell r="E178" t="str">
            <v>00178</v>
          </cell>
        </row>
        <row r="179">
          <cell r="B179" t="str">
            <v>Nova Aeg</v>
          </cell>
          <cell r="E179" t="str">
            <v>00179</v>
          </cell>
        </row>
        <row r="180">
          <cell r="B180" t="str">
            <v>ACEL ENERGIE</v>
          </cell>
          <cell r="E180" t="str">
            <v>00180</v>
          </cell>
        </row>
        <row r="181">
          <cell r="B181" t="str">
            <v>SOCIETA' ELETTRICA IN MORBEGNO</v>
          </cell>
          <cell r="E181" t="str">
            <v>00181</v>
          </cell>
        </row>
        <row r="182">
          <cell r="B182" t="str">
            <v>Global Power</v>
          </cell>
          <cell r="E182" t="str">
            <v>00182</v>
          </cell>
        </row>
        <row r="183">
          <cell r="B183" t="str">
            <v>ENERGIT SPA</v>
          </cell>
          <cell r="E183" t="str">
            <v>00183</v>
          </cell>
        </row>
        <row r="184">
          <cell r="B184" t="str">
            <v>ACCENDI LUCE E GAS</v>
          </cell>
          <cell r="E184" t="str">
            <v>00184</v>
          </cell>
        </row>
        <row r="185">
          <cell r="B185" t="str">
            <v>GAS PIU' SRL</v>
          </cell>
          <cell r="E185" t="str">
            <v>00185</v>
          </cell>
        </row>
        <row r="186">
          <cell r="B186" t="str">
            <v>BRUZOLESE SRL</v>
          </cell>
          <cell r="E186" t="str">
            <v>00186</v>
          </cell>
        </row>
        <row r="187">
          <cell r="B187" t="str">
            <v>ONE POWER</v>
          </cell>
          <cell r="E187" t="str">
            <v>00187</v>
          </cell>
        </row>
        <row r="188">
          <cell r="B188" t="str">
            <v>VALLE CAMONICA SERVIZI</v>
          </cell>
          <cell r="E188" t="str">
            <v>00188</v>
          </cell>
        </row>
        <row r="189">
          <cell r="B189" t="str">
            <v>AZIENDA LOCALE GAS SRL</v>
          </cell>
          <cell r="C189" t="str">
            <v>05970420963</v>
          </cell>
          <cell r="E189" t="str">
            <v>00189</v>
          </cell>
        </row>
        <row r="190">
          <cell r="B190" t="str">
            <v>GOPOWER</v>
          </cell>
          <cell r="C190" t="str">
            <v>13447211007</v>
          </cell>
          <cell r="E190" t="str">
            <v>00190</v>
          </cell>
        </row>
        <row r="191">
          <cell r="B191" t="str">
            <v>Gas Sales</v>
          </cell>
          <cell r="E191" t="str">
            <v>00191</v>
          </cell>
        </row>
        <row r="192">
          <cell r="B192" t="str">
            <v>cogaspiùenergie</v>
          </cell>
          <cell r="E192" t="str">
            <v>00192</v>
          </cell>
        </row>
        <row r="193">
          <cell r="B193" t="str">
            <v>NWG ENERGIA</v>
          </cell>
          <cell r="E193" t="str">
            <v>00193</v>
          </cell>
        </row>
        <row r="194">
          <cell r="B194" t="str">
            <v>AMEA SPA</v>
          </cell>
          <cell r="E194" t="str">
            <v>00199</v>
          </cell>
        </row>
        <row r="195">
          <cell r="B195" t="str">
            <v>PRO ENERGY SPA</v>
          </cell>
          <cell r="E195" t="str">
            <v>00200</v>
          </cell>
        </row>
        <row r="196">
          <cell r="B196" t="str">
            <v>AUTOGAS NORD</v>
          </cell>
          <cell r="E196" t="str">
            <v>00201</v>
          </cell>
        </row>
        <row r="197">
          <cell r="B197" t="str">
            <v>ITALIA POWER</v>
          </cell>
          <cell r="E197" t="str">
            <v>00202</v>
          </cell>
        </row>
        <row r="198">
          <cell r="B198" t="str">
            <v>NOVA LUCE E GAS</v>
          </cell>
          <cell r="C198" t="str">
            <v>07451521004</v>
          </cell>
          <cell r="E198" t="str">
            <v>00203</v>
          </cell>
        </row>
        <row r="199">
          <cell r="B199" t="str">
            <v>METAMER</v>
          </cell>
          <cell r="E199" t="str">
            <v>00204</v>
          </cell>
        </row>
        <row r="200">
          <cell r="B200" t="str">
            <v>3VG</v>
          </cell>
          <cell r="E200" t="str">
            <v>00205</v>
          </cell>
        </row>
        <row r="201">
          <cell r="B201" t="str">
            <v>REVOLUCE</v>
          </cell>
          <cell r="E201" t="str">
            <v>00206</v>
          </cell>
        </row>
        <row r="202">
          <cell r="B202" t="str">
            <v>PLT PUREGREEN SPA</v>
          </cell>
          <cell r="E202" t="str">
            <v>00207</v>
          </cell>
        </row>
        <row r="203">
          <cell r="B203" t="str">
            <v>WITHU</v>
          </cell>
          <cell r="E203" t="str">
            <v>00208</v>
          </cell>
        </row>
        <row r="204">
          <cell r="B204" t="str">
            <v>MILANO GAS E LUCE</v>
          </cell>
          <cell r="C204" t="str">
            <v>10246981004</v>
          </cell>
          <cell r="E204" t="str">
            <v>00209</v>
          </cell>
        </row>
        <row r="205">
          <cell r="B205" t="str">
            <v>GENESI ENERGIA</v>
          </cell>
          <cell r="E205" t="str">
            <v>00210</v>
          </cell>
        </row>
        <row r="206">
          <cell r="B206" t="str">
            <v>INVOLTA</v>
          </cell>
          <cell r="E206" t="str">
            <v>00211</v>
          </cell>
        </row>
        <row r="207">
          <cell r="B207" t="str">
            <v>EICOM SRL</v>
          </cell>
          <cell r="E207" t="str">
            <v>00212</v>
          </cell>
        </row>
        <row r="208">
          <cell r="B208" t="str">
            <v>CVATRADING</v>
          </cell>
          <cell r="E208" t="str">
            <v>00213</v>
          </cell>
        </row>
        <row r="209">
          <cell r="B209" t="str">
            <v>SIEC</v>
          </cell>
          <cell r="E209" t="str">
            <v>00214</v>
          </cell>
        </row>
        <row r="210">
          <cell r="B210" t="str">
            <v>GESAM GAE E LUCE</v>
          </cell>
          <cell r="E210" t="str">
            <v>00215</v>
          </cell>
        </row>
        <row r="211">
          <cell r="B211" t="str">
            <v>UNION GAS E LUCE</v>
          </cell>
          <cell r="C211" t="str">
            <v>03755770546</v>
          </cell>
          <cell r="E211" t="str">
            <v>00216</v>
          </cell>
        </row>
        <row r="212">
          <cell r="B212" t="str">
            <v>FUTUENERGY</v>
          </cell>
          <cell r="C212" t="str">
            <v>02479770469</v>
          </cell>
          <cell r="E212" t="str">
            <v>00217</v>
          </cell>
        </row>
        <row r="213">
          <cell r="B213" t="str">
            <v>DOMESTIKA ENERGIA</v>
          </cell>
          <cell r="C213" t="str">
            <v>08338161212</v>
          </cell>
          <cell r="E213" t="str">
            <v>00218</v>
          </cell>
        </row>
        <row r="214">
          <cell r="B214" t="str">
            <v>ASCOPIAVE ENERGIA</v>
          </cell>
          <cell r="C214" t="str">
            <v>03350980987</v>
          </cell>
          <cell r="E214" t="str">
            <v>00219</v>
          </cell>
        </row>
        <row r="215">
          <cell r="B215" t="str">
            <v>Futurenergy</v>
          </cell>
          <cell r="E215" t="str">
            <v>00220</v>
          </cell>
        </row>
        <row r="216">
          <cell r="B216" t="str">
            <v>LEGI LUCE E GAS</v>
          </cell>
          <cell r="E216" t="str">
            <v>00221</v>
          </cell>
        </row>
        <row r="217">
          <cell r="B217" t="str">
            <v>BAROCCO LUCE E GAS</v>
          </cell>
          <cell r="E217" t="str">
            <v>00222</v>
          </cell>
        </row>
        <row r="218">
          <cell r="B218" t="str">
            <v>E-Dolomiti</v>
          </cell>
          <cell r="E218" t="str">
            <v>00223</v>
          </cell>
        </row>
        <row r="219">
          <cell r="B219" t="str">
            <v>Power Energia</v>
          </cell>
          <cell r="E219" t="str">
            <v>00224</v>
          </cell>
        </row>
        <row r="220">
          <cell r="B220" t="str">
            <v>E-Co</v>
          </cell>
          <cell r="E220" t="str">
            <v>00225</v>
          </cell>
        </row>
        <row r="221">
          <cell r="B221" t="str">
            <v>B1GAS</v>
          </cell>
          <cell r="E221" t="str">
            <v>00226</v>
          </cell>
        </row>
        <row r="222">
          <cell r="B222" t="str">
            <v>GRUPPO VISIOLI</v>
          </cell>
          <cell r="E222" t="str">
            <v>00227</v>
          </cell>
        </row>
        <row r="223">
          <cell r="B223" t="str">
            <v>ERMES</v>
          </cell>
          <cell r="E223" t="str">
            <v>00228</v>
          </cell>
        </row>
        <row r="224">
          <cell r="B224" t="str">
            <v>Greenius</v>
          </cell>
          <cell r="E224" t="str">
            <v>00229</v>
          </cell>
        </row>
        <row r="225">
          <cell r="B225" t="str">
            <v>ALTEA POWER</v>
          </cell>
          <cell r="E225" t="str">
            <v>00230</v>
          </cell>
        </row>
        <row r="226">
          <cell r="B226" t="str">
            <v>PEF POWER</v>
          </cell>
          <cell r="C226" t="str">
            <v>01948840986</v>
          </cell>
          <cell r="E226" t="str">
            <v>00231</v>
          </cell>
        </row>
        <row r="227">
          <cell r="B227" t="str">
            <v>Dolomiti Energia</v>
          </cell>
          <cell r="E227" t="str">
            <v>00232</v>
          </cell>
        </row>
        <row r="228">
          <cell r="B228" t="str">
            <v>PHLOGAS &amp; POWER SRL</v>
          </cell>
          <cell r="C228" t="str">
            <v>14706141000</v>
          </cell>
          <cell r="E228" t="str">
            <v>00233</v>
          </cell>
        </row>
        <row r="229">
          <cell r="B229" t="str">
            <v>ADATTIVA</v>
          </cell>
          <cell r="E229" t="str">
            <v>00234</v>
          </cell>
        </row>
        <row r="230">
          <cell r="B230" t="str">
            <v>Semplice Gas &amp; Luce S.r.l.</v>
          </cell>
          <cell r="E230" t="str">
            <v>00235</v>
          </cell>
        </row>
        <row r="231">
          <cell r="B231" t="str">
            <v>ENERGIA PULITA SRL</v>
          </cell>
          <cell r="E231" t="str">
            <v>00236</v>
          </cell>
        </row>
        <row r="232">
          <cell r="B232" t="str">
            <v>JEN ENERGIA SRL</v>
          </cell>
          <cell r="C232" t="str">
            <v>02030110692</v>
          </cell>
          <cell r="E232" t="str">
            <v>00237</v>
          </cell>
        </row>
        <row r="233">
          <cell r="B233" t="str">
            <v>ERMES</v>
          </cell>
          <cell r="C233" t="str">
            <v>00273990168</v>
          </cell>
          <cell r="E233" t="str">
            <v>00238</v>
          </cell>
        </row>
        <row r="234">
          <cell r="B234" t="str">
            <v xml:space="preserve">FRIENDS </v>
          </cell>
          <cell r="E234" t="str">
            <v>00239</v>
          </cell>
        </row>
        <row r="235">
          <cell r="B235" t="str">
            <v>AEG COOPERATIVA</v>
          </cell>
          <cell r="E235" t="str">
            <v>00240</v>
          </cell>
        </row>
        <row r="236">
          <cell r="B236" t="str">
            <v>FREE LUCE E GAS</v>
          </cell>
          <cell r="C236" t="str">
            <v>12306230157</v>
          </cell>
          <cell r="E236" t="str">
            <v>00241</v>
          </cell>
        </row>
        <row r="237">
          <cell r="B237" t="str">
            <v>ENIT - ENERGIA ITALIA SPA</v>
          </cell>
          <cell r="C237" t="str">
            <v>03714110966</v>
          </cell>
          <cell r="E237" t="str">
            <v>00242</v>
          </cell>
        </row>
        <row r="238">
          <cell r="B238" t="str">
            <v>E3ENERGY POWER E GAS</v>
          </cell>
          <cell r="E238" t="str">
            <v>00243</v>
          </cell>
        </row>
        <row r="239">
          <cell r="B239" t="str">
            <v>BIG ONE ENERGY SRL</v>
          </cell>
          <cell r="C239" t="str">
            <v>07449550966</v>
          </cell>
          <cell r="E239" t="str">
            <v>00244</v>
          </cell>
        </row>
        <row r="240">
          <cell r="B240" t="str">
            <v>ENERGY GAS ITALIA SRL</v>
          </cell>
          <cell r="E240" t="str">
            <v>00245</v>
          </cell>
        </row>
        <row r="241">
          <cell r="B241" t="str">
            <v>SINERGIA SRL</v>
          </cell>
          <cell r="E241" t="str">
            <v>00246</v>
          </cell>
        </row>
        <row r="242">
          <cell r="B242" t="str">
            <v>B1GAS SPA</v>
          </cell>
          <cell r="E242" t="str">
            <v>00247</v>
          </cell>
        </row>
        <row r="243">
          <cell r="B243" t="str">
            <v>UMBRIA ENERGY</v>
          </cell>
          <cell r="C243" t="str">
            <v>09163140966</v>
          </cell>
          <cell r="E243" t="str">
            <v>00248</v>
          </cell>
        </row>
        <row r="244">
          <cell r="B244" t="str">
            <v>Calorgas</v>
          </cell>
          <cell r="E244" t="str">
            <v>00249</v>
          </cell>
        </row>
        <row r="245">
          <cell r="B245" t="str">
            <v>ENTRA GAS E LUCE</v>
          </cell>
          <cell r="C245" t="str">
            <v>02294320979</v>
          </cell>
          <cell r="E245" t="str">
            <v>00250</v>
          </cell>
        </row>
        <row r="246">
          <cell r="B246" t="str">
            <v>AJO ENERGIA</v>
          </cell>
          <cell r="E246" t="str">
            <v>00251</v>
          </cell>
        </row>
        <row r="247">
          <cell r="B247" t="str">
            <v>STECA ENERGIA</v>
          </cell>
          <cell r="E247" t="str">
            <v>00252</v>
          </cell>
        </row>
        <row r="248">
          <cell r="B248" t="str">
            <v>SPRINT ENERGY</v>
          </cell>
          <cell r="E248" t="str">
            <v>00253</v>
          </cell>
        </row>
        <row r="249">
          <cell r="B249" t="str">
            <v>ACEA PINEROLESE</v>
          </cell>
          <cell r="E249" t="str">
            <v>00254</v>
          </cell>
        </row>
        <row r="250">
          <cell r="B250" t="str">
            <v>BERGAMASCA ENERGIA</v>
          </cell>
          <cell r="E250" t="str">
            <v>00255</v>
          </cell>
        </row>
        <row r="251">
          <cell r="B251" t="str">
            <v>ANGIE</v>
          </cell>
          <cell r="E251" t="str">
            <v>00256</v>
          </cell>
        </row>
        <row r="252">
          <cell r="B252" t="str">
            <v>Facile Energy</v>
          </cell>
          <cell r="E252" t="str">
            <v>00257</v>
          </cell>
        </row>
        <row r="253">
          <cell r="B253" t="str">
            <v>VISITEL</v>
          </cell>
          <cell r="E253" t="str">
            <v>00258</v>
          </cell>
        </row>
        <row r="254">
          <cell r="B254" t="str">
            <v>UNICA</v>
          </cell>
          <cell r="E254" t="str">
            <v>00259</v>
          </cell>
        </row>
        <row r="255">
          <cell r="B255" t="str">
            <v>YOUENERGY</v>
          </cell>
          <cell r="C255" t="str">
            <v>10580800018</v>
          </cell>
          <cell r="E255" t="str">
            <v>00260</v>
          </cell>
        </row>
        <row r="256">
          <cell r="B256" t="str">
            <v>EF ENERGIA SRL</v>
          </cell>
          <cell r="E256" t="str">
            <v>00261</v>
          </cell>
        </row>
        <row r="257">
          <cell r="B257" t="str">
            <v>E-ENERGIA</v>
          </cell>
          <cell r="E257" t="str">
            <v>00262</v>
          </cell>
        </row>
        <row r="258">
          <cell r="B258" t="str">
            <v>ALLEANZA LUCE&amp;GAS</v>
          </cell>
          <cell r="C258" t="str">
            <v>05050950657</v>
          </cell>
          <cell r="E258" t="str">
            <v>00263</v>
          </cell>
        </row>
        <row r="259">
          <cell r="B259" t="str">
            <v>Achille Parabiaghi Spa</v>
          </cell>
          <cell r="E259" t="str">
            <v>00264</v>
          </cell>
        </row>
        <row r="260">
          <cell r="B260" t="str">
            <v>MONTE BRIANZA GAS E LUCE</v>
          </cell>
          <cell r="E260" t="str">
            <v>00265</v>
          </cell>
        </row>
        <row r="261">
          <cell r="B261" t="str">
            <v>ENEIDE ENERGIA</v>
          </cell>
          <cell r="E261" t="str">
            <v>00266</v>
          </cell>
        </row>
        <row r="262">
          <cell r="B262" t="str">
            <v>TORINO GAS E LUCE</v>
          </cell>
          <cell r="E262" t="str">
            <v>00267</v>
          </cell>
        </row>
        <row r="263">
          <cell r="B263" t="str">
            <v>SEREGNO ENERGIA</v>
          </cell>
          <cell r="E263" t="str">
            <v>00268</v>
          </cell>
        </row>
        <row r="264">
          <cell r="B264" t="str">
            <v>SMG SRL</v>
          </cell>
          <cell r="E264" t="str">
            <v>00269</v>
          </cell>
        </row>
        <row r="265">
          <cell r="B265" t="str">
            <v>AURORA ENERGIA</v>
          </cell>
          <cell r="E265" t="str">
            <v>00270</v>
          </cell>
        </row>
        <row r="266">
          <cell r="B266" t="str">
            <v>ATERNO GAS &amp; POWER</v>
          </cell>
          <cell r="E266" t="str">
            <v>00271</v>
          </cell>
        </row>
        <row r="267">
          <cell r="B267" t="str">
            <v>ENERGIA AZZURRA SRL</v>
          </cell>
          <cell r="C267" t="str">
            <v>00399050087</v>
          </cell>
          <cell r="E267" t="str">
            <v>00272</v>
          </cell>
        </row>
        <row r="268">
          <cell r="B268" t="str">
            <v>S4 ENERGIA</v>
          </cell>
          <cell r="E268" t="str">
            <v>00273</v>
          </cell>
        </row>
        <row r="269">
          <cell r="B269" t="str">
            <v>MET ENERGIA</v>
          </cell>
          <cell r="E269" t="str">
            <v>00274</v>
          </cell>
        </row>
        <row r="270">
          <cell r="B270" t="str">
            <v>ENERCOOP</v>
          </cell>
          <cell r="E270" t="str">
            <v>00275</v>
          </cell>
        </row>
        <row r="271">
          <cell r="B271" t="str">
            <v>ENERGY TRADE SPA</v>
          </cell>
          <cell r="E271" t="str">
            <v>00276</v>
          </cell>
        </row>
        <row r="272">
          <cell r="B272" t="str">
            <v>EVISO</v>
          </cell>
          <cell r="C272" t="str">
            <v>02315390985</v>
          </cell>
          <cell r="E272" t="str">
            <v>00277</v>
          </cell>
        </row>
        <row r="273">
          <cell r="B273" t="str">
            <v>COOP LUCE E GAS</v>
          </cell>
          <cell r="E273" t="str">
            <v>00278</v>
          </cell>
        </row>
        <row r="274">
          <cell r="B274" t="str">
            <v xml:space="preserve">E' NOSTRA </v>
          </cell>
          <cell r="E274" t="str">
            <v>00279</v>
          </cell>
        </row>
        <row r="275">
          <cell r="B275" t="str">
            <v>CONTROCORRENTE</v>
          </cell>
          <cell r="C275" t="str">
            <v>00338000409</v>
          </cell>
          <cell r="E275" t="str">
            <v>00280</v>
          </cell>
        </row>
        <row r="276">
          <cell r="B276" t="str">
            <v>FIORSESE ENERGIA</v>
          </cell>
          <cell r="E276" t="str">
            <v>00281</v>
          </cell>
        </row>
        <row r="277">
          <cell r="B277" t="str">
            <v>ONDA PIU' SRL</v>
          </cell>
          <cell r="E277" t="str">
            <v>00282</v>
          </cell>
        </row>
        <row r="278">
          <cell r="B278" t="str">
            <v>APLOS</v>
          </cell>
          <cell r="E278" t="str">
            <v>00283</v>
          </cell>
        </row>
        <row r="279">
          <cell r="B279" t="str">
            <v>CAVA ENERGIE</v>
          </cell>
          <cell r="E279" t="str">
            <v>00284</v>
          </cell>
        </row>
        <row r="280">
          <cell r="B280" t="str">
            <v>Asti Energy</v>
          </cell>
          <cell r="E280" t="str">
            <v>00285</v>
          </cell>
        </row>
        <row r="281">
          <cell r="B281" t="str">
            <v>E-ENERGIA</v>
          </cell>
          <cell r="E281" t="str">
            <v>00286</v>
          </cell>
        </row>
        <row r="282">
          <cell r="B282" t="str">
            <v>Energienove</v>
          </cell>
          <cell r="E282" t="str">
            <v>00287</v>
          </cell>
        </row>
        <row r="283">
          <cell r="B283" t="str">
            <v>ABENERGIE</v>
          </cell>
          <cell r="E283" t="str">
            <v>00288</v>
          </cell>
        </row>
        <row r="284">
          <cell r="B284" t="str">
            <v>ENERGYUP</v>
          </cell>
          <cell r="C284" t="str">
            <v>09057700966</v>
          </cell>
          <cell r="E284" t="str">
            <v>00289</v>
          </cell>
        </row>
        <row r="285">
          <cell r="B285" t="str">
            <v>VIVI ENERGIA</v>
          </cell>
          <cell r="E285" t="str">
            <v>00290</v>
          </cell>
        </row>
        <row r="286">
          <cell r="B286" t="str">
            <v>ERRECI SRL</v>
          </cell>
          <cell r="E286" t="str">
            <v>00291</v>
          </cell>
        </row>
        <row r="287">
          <cell r="B287" t="str">
            <v>MASSIMA ENERGIA SRL</v>
          </cell>
          <cell r="E287" t="str">
            <v>00292</v>
          </cell>
        </row>
        <row r="288">
          <cell r="B288" t="str">
            <v>ALEGAS SRL</v>
          </cell>
          <cell r="E288" t="str">
            <v>00293</v>
          </cell>
        </row>
        <row r="289">
          <cell r="B289" t="str">
            <v>ACOS ENERGIA SPA</v>
          </cell>
          <cell r="E289" t="str">
            <v>00294</v>
          </cell>
        </row>
        <row r="290">
          <cell r="B290" t="str">
            <v>ENERGIA PIU' SRL</v>
          </cell>
          <cell r="E290" t="str">
            <v>00295</v>
          </cell>
        </row>
        <row r="291">
          <cell r="B291" t="str">
            <v>Unoenergy SpA</v>
          </cell>
          <cell r="E291" t="str">
            <v>00296</v>
          </cell>
        </row>
        <row r="292">
          <cell r="B292" t="str">
            <v>EUROPAM SPA</v>
          </cell>
          <cell r="E292" t="str">
            <v>00297</v>
          </cell>
        </row>
        <row r="293">
          <cell r="B293" t="str">
            <v>ENERGIA COMUNE - ECOM SRL</v>
          </cell>
          <cell r="C293" t="str">
            <v>01294820111</v>
          </cell>
          <cell r="E293" t="str">
            <v>00298</v>
          </cell>
        </row>
        <row r="294">
          <cell r="B294" t="str">
            <v>VOLTY SRL</v>
          </cell>
          <cell r="E294" t="str">
            <v>00299</v>
          </cell>
        </row>
        <row r="295">
          <cell r="B295" t="str">
            <v>EREDI CAMPIDONICO SPA</v>
          </cell>
          <cell r="E295" t="str">
            <v>00300</v>
          </cell>
        </row>
        <row r="296">
          <cell r="B296" t="str">
            <v>Alperia Spa</v>
          </cell>
          <cell r="E296" t="str">
            <v>00301</v>
          </cell>
        </row>
        <row r="297">
          <cell r="B297" t="str">
            <v>ENERGIA LOCALE SRL</v>
          </cell>
          <cell r="E297" t="str">
            <v>00302</v>
          </cell>
        </row>
        <row r="298">
          <cell r="B298" t="str">
            <v>ITALPOWER ENERGIA SRL</v>
          </cell>
          <cell r="C298" t="str">
            <v>02125710208</v>
          </cell>
          <cell r="E298" t="str">
            <v>00303</v>
          </cell>
        </row>
        <row r="299">
          <cell r="B299" t="str">
            <v>ITALIA GAS E LUCE SRL</v>
          </cell>
          <cell r="E299" t="str">
            <v>00304</v>
          </cell>
        </row>
        <row r="300">
          <cell r="B300" t="str">
            <v>CHINA POWER SPA</v>
          </cell>
          <cell r="E300" t="str">
            <v>00305</v>
          </cell>
        </row>
        <row r="301">
          <cell r="B301" t="str">
            <v>ISSIMA SRL</v>
          </cell>
          <cell r="E301" t="str">
            <v>00306</v>
          </cell>
        </row>
        <row r="302">
          <cell r="B302" t="str">
            <v>ENJOY ENERGY SRL</v>
          </cell>
          <cell r="E302" t="str">
            <v>00307</v>
          </cell>
        </row>
        <row r="303">
          <cell r="B303" t="str">
            <v>TUA SRL</v>
          </cell>
          <cell r="C303" t="str">
            <v>02971770306</v>
          </cell>
          <cell r="E303" t="str">
            <v>00308</v>
          </cell>
        </row>
        <row r="304">
          <cell r="B304" t="str">
            <v>SNAM RETE GAS</v>
          </cell>
          <cell r="C304" t="str">
            <v>04742230230</v>
          </cell>
          <cell r="E304" t="str">
            <v>00309</v>
          </cell>
        </row>
        <row r="305">
          <cell r="B305" t="str">
            <v>EMPIRE POWERGAS &amp; MOBILITY</v>
          </cell>
          <cell r="E305" t="str">
            <v>00310</v>
          </cell>
        </row>
        <row r="306">
          <cell r="B306" t="str">
            <v>TUA ENERGIA SRL</v>
          </cell>
          <cell r="E306" t="str">
            <v>00311</v>
          </cell>
        </row>
        <row r="307">
          <cell r="B307" t="str">
            <v>ENERGIA VERDE ITALIA</v>
          </cell>
          <cell r="E307" t="str">
            <v>00312</v>
          </cell>
        </row>
        <row r="308">
          <cell r="B308" t="str">
            <v>EASY LUCE &amp; GAS</v>
          </cell>
          <cell r="E308" t="str">
            <v>00313</v>
          </cell>
        </row>
        <row r="309">
          <cell r="B309" t="str">
            <v>ENERGY LIGHT SRL</v>
          </cell>
          <cell r="E309" t="str">
            <v>00314</v>
          </cell>
        </row>
        <row r="310">
          <cell r="B310" t="str">
            <v>EN&amp;GAS SRL</v>
          </cell>
          <cell r="E310" t="str">
            <v>00315</v>
          </cell>
        </row>
        <row r="311">
          <cell r="B311" t="str">
            <v>WIND LUCE E GAS BY ACEA</v>
          </cell>
          <cell r="E311" t="str">
            <v>00316</v>
          </cell>
        </row>
        <row r="312">
          <cell r="B312" t="str">
            <v>BUTANGAS SPA</v>
          </cell>
          <cell r="E312" t="str">
            <v>00317</v>
          </cell>
        </row>
        <row r="313">
          <cell r="B313" t="str">
            <v>A.E. SRL</v>
          </cell>
          <cell r="E313" t="str">
            <v>00318</v>
          </cell>
        </row>
        <row r="314">
          <cell r="B314" t="str">
            <v>AMG GAS SRL</v>
          </cell>
          <cell r="E314" t="str">
            <v>00319</v>
          </cell>
        </row>
        <row r="315">
          <cell r="B315" t="str">
            <v>WEEDOO</v>
          </cell>
          <cell r="E315" t="str">
            <v>00320</v>
          </cell>
        </row>
        <row r="316">
          <cell r="B316" t="str">
            <v xml:space="preserve">ENERGY UP </v>
          </cell>
          <cell r="E316" t="str">
            <v>00321</v>
          </cell>
        </row>
        <row r="317">
          <cell r="B317" t="str">
            <v>FORINI SPA</v>
          </cell>
          <cell r="E317" t="str">
            <v>00322</v>
          </cell>
        </row>
        <row r="318">
          <cell r="B318" t="str">
            <v>ENERGICA SRL</v>
          </cell>
          <cell r="E318" t="str">
            <v>00323</v>
          </cell>
        </row>
        <row r="319">
          <cell r="B319" t="str">
            <v>EGOGREEN SRL</v>
          </cell>
          <cell r="E319" t="str">
            <v>00324</v>
          </cell>
        </row>
        <row r="320">
          <cell r="B320" t="str">
            <v>GRUPPO DISTRIBUZIONE ENERGIA SRL</v>
          </cell>
          <cell r="C320" t="str">
            <v>06704420485</v>
          </cell>
          <cell r="E320" t="str">
            <v>00325</v>
          </cell>
        </row>
        <row r="321">
          <cell r="B321" t="str">
            <v>NORDENERGY LUCE &amp; GAS SRL</v>
          </cell>
          <cell r="E321" t="str">
            <v>00326</v>
          </cell>
        </row>
        <row r="322">
          <cell r="B322" t="str">
            <v>NEN - YADA ENERGIA SRL</v>
          </cell>
          <cell r="E322" t="str">
            <v>00327</v>
          </cell>
        </row>
        <row r="323">
          <cell r="B323" t="str">
            <v>PULSEE-AXPO</v>
          </cell>
          <cell r="C323" t="str">
            <v>07305361003</v>
          </cell>
          <cell r="E323" t="str">
            <v>00328</v>
          </cell>
        </row>
        <row r="324">
          <cell r="B324" t="str">
            <v>POSTE ENERGIA</v>
          </cell>
          <cell r="E324" t="str">
            <v>00329</v>
          </cell>
        </row>
        <row r="325">
          <cell r="B325" t="str">
            <v>Enel Gas</v>
          </cell>
          <cell r="E325" t="str">
            <v>0101</v>
          </cell>
        </row>
        <row r="326">
          <cell r="B326" t="str">
            <v>Lenergia spa</v>
          </cell>
          <cell r="E326" t="str">
            <v>0196</v>
          </cell>
        </row>
        <row r="327">
          <cell r="B327" t="str">
            <v>ETRURIA GAS E LUCE</v>
          </cell>
          <cell r="E327" t="str">
            <v>0197</v>
          </cell>
        </row>
        <row r="328">
          <cell r="B328" t="str">
            <v>PATAVIUM ENERGIA</v>
          </cell>
          <cell r="E328" t="str">
            <v>0198</v>
          </cell>
        </row>
        <row r="329">
          <cell r="B329" t="str">
            <v>energetic gas &amp; power</v>
          </cell>
          <cell r="E329" t="str">
            <v>0199</v>
          </cell>
        </row>
        <row r="330">
          <cell r="B330" t="str">
            <v>EGERIA</v>
          </cell>
          <cell r="E330" t="str">
            <v>0200</v>
          </cell>
        </row>
        <row r="331">
          <cell r="B331" t="str">
            <v>BLUE POWER</v>
          </cell>
          <cell r="E331" t="str">
            <v>0201</v>
          </cell>
        </row>
        <row r="332">
          <cell r="B332" t="str">
            <v>ENNE</v>
          </cell>
          <cell r="E332" t="str">
            <v>02101</v>
          </cell>
        </row>
        <row r="333">
          <cell r="B333" t="str">
            <v>ATENA LUCE E GAS SERVIZI</v>
          </cell>
          <cell r="E333" t="str">
            <v>0285</v>
          </cell>
        </row>
        <row r="334">
          <cell r="B334" t="str">
            <v>GEUENERGIA</v>
          </cell>
          <cell r="E334" t="str">
            <v>207</v>
          </cell>
        </row>
        <row r="335">
          <cell r="B335" t="str">
            <v>Azzalini Energie Srl</v>
          </cell>
          <cell r="E335" t="str">
            <v>240</v>
          </cell>
        </row>
        <row r="336">
          <cell r="B336" t="str">
            <v>Axpo Italia SpA</v>
          </cell>
          <cell r="E336" t="str">
            <v>60</v>
          </cell>
        </row>
      </sheetData>
      <sheetData sheetId="3" refreshError="1">
        <row r="1">
          <cell r="A1" t="str">
            <v>Città</v>
          </cell>
          <cell r="B1" t="str">
            <v>Cod.</v>
          </cell>
          <cell r="C1" t="str">
            <v>Cod. Provincia</v>
          </cell>
          <cell r="D1" t="str">
            <v>Provincia</v>
          </cell>
          <cell r="E1" t="str">
            <v>CAP</v>
          </cell>
        </row>
        <row r="2">
          <cell r="A2" t="str">
            <v>AGLIÈ</v>
          </cell>
          <cell r="B2" t="str">
            <v>001001</v>
          </cell>
          <cell r="C2" t="str">
            <v>TO</v>
          </cell>
          <cell r="D2" t="str">
            <v>TO</v>
          </cell>
          <cell r="E2" t="str">
            <v>10011</v>
          </cell>
        </row>
        <row r="3">
          <cell r="A3" t="str">
            <v>AIRASCA</v>
          </cell>
          <cell r="B3" t="str">
            <v>001002</v>
          </cell>
          <cell r="C3" t="str">
            <v>TO</v>
          </cell>
          <cell r="D3" t="str">
            <v>TO</v>
          </cell>
          <cell r="E3" t="str">
            <v>10060</v>
          </cell>
        </row>
        <row r="4">
          <cell r="A4" t="str">
            <v>ALA DI STURA</v>
          </cell>
          <cell r="B4" t="str">
            <v>001003</v>
          </cell>
          <cell r="C4" t="str">
            <v>TO</v>
          </cell>
          <cell r="D4" t="str">
            <v>TO</v>
          </cell>
          <cell r="E4" t="str">
            <v>10070</v>
          </cell>
        </row>
        <row r="5">
          <cell r="A5" t="str">
            <v>ALBIANO D'IVREA</v>
          </cell>
          <cell r="B5" t="str">
            <v>001004</v>
          </cell>
          <cell r="C5" t="str">
            <v>TO</v>
          </cell>
          <cell r="D5" t="str">
            <v>TO</v>
          </cell>
          <cell r="E5" t="str">
            <v>10010</v>
          </cell>
        </row>
        <row r="6">
          <cell r="A6" t="str">
            <v>ALMESE</v>
          </cell>
          <cell r="B6" t="str">
            <v>001006</v>
          </cell>
          <cell r="C6" t="str">
            <v>TO</v>
          </cell>
          <cell r="D6" t="str">
            <v>TO</v>
          </cell>
          <cell r="E6" t="str">
            <v>10040</v>
          </cell>
        </row>
        <row r="7">
          <cell r="A7" t="str">
            <v>ALPETTE</v>
          </cell>
          <cell r="B7" t="str">
            <v>001007</v>
          </cell>
          <cell r="C7" t="str">
            <v>TO</v>
          </cell>
          <cell r="D7" t="str">
            <v>TO</v>
          </cell>
          <cell r="E7" t="str">
            <v>10080</v>
          </cell>
        </row>
        <row r="8">
          <cell r="A8" t="str">
            <v>ALPIGNANO</v>
          </cell>
          <cell r="B8" t="str">
            <v>001008</v>
          </cell>
          <cell r="C8" t="str">
            <v>TO</v>
          </cell>
          <cell r="D8" t="str">
            <v>TO</v>
          </cell>
          <cell r="E8" t="str">
            <v>10091</v>
          </cell>
        </row>
        <row r="9">
          <cell r="A9" t="str">
            <v>ANDEZENO</v>
          </cell>
          <cell r="B9" t="str">
            <v>001009</v>
          </cell>
          <cell r="C9" t="str">
            <v>TO</v>
          </cell>
          <cell r="D9" t="str">
            <v>TO</v>
          </cell>
          <cell r="E9" t="str">
            <v>10020</v>
          </cell>
        </row>
        <row r="10">
          <cell r="A10" t="str">
            <v>ANDRATE</v>
          </cell>
          <cell r="B10" t="str">
            <v>001010</v>
          </cell>
          <cell r="C10" t="str">
            <v>TO</v>
          </cell>
          <cell r="D10" t="str">
            <v>TO</v>
          </cell>
          <cell r="E10" t="str">
            <v>10010</v>
          </cell>
        </row>
        <row r="11">
          <cell r="A11" t="str">
            <v>ANGROGNA</v>
          </cell>
          <cell r="B11" t="str">
            <v>001011</v>
          </cell>
          <cell r="C11" t="str">
            <v>TO</v>
          </cell>
          <cell r="D11" t="str">
            <v>TO</v>
          </cell>
          <cell r="E11" t="str">
            <v>10060</v>
          </cell>
        </row>
        <row r="12">
          <cell r="A12" t="str">
            <v>ARIGNANO</v>
          </cell>
          <cell r="B12" t="str">
            <v>001012</v>
          </cell>
          <cell r="C12" t="str">
            <v>TO</v>
          </cell>
          <cell r="D12" t="str">
            <v>TO</v>
          </cell>
          <cell r="E12" t="str">
            <v>10020</v>
          </cell>
        </row>
        <row r="13">
          <cell r="A13" t="str">
            <v>AVIGLIANA</v>
          </cell>
          <cell r="B13" t="str">
            <v>001013</v>
          </cell>
          <cell r="C13" t="str">
            <v>TO</v>
          </cell>
          <cell r="D13" t="str">
            <v>TO</v>
          </cell>
          <cell r="E13" t="str">
            <v>10051</v>
          </cell>
        </row>
        <row r="14">
          <cell r="A14" t="str">
            <v>AZEGLIO</v>
          </cell>
          <cell r="B14" t="str">
            <v>001014</v>
          </cell>
          <cell r="C14" t="str">
            <v>TO</v>
          </cell>
          <cell r="D14" t="str">
            <v>TO</v>
          </cell>
          <cell r="E14" t="str">
            <v>10010</v>
          </cell>
        </row>
        <row r="15">
          <cell r="A15" t="str">
            <v>BAIRO</v>
          </cell>
          <cell r="B15" t="str">
            <v>001015</v>
          </cell>
          <cell r="C15" t="str">
            <v>TO</v>
          </cell>
          <cell r="D15" t="str">
            <v>TO</v>
          </cell>
          <cell r="E15" t="str">
            <v>10010</v>
          </cell>
        </row>
        <row r="16">
          <cell r="A16" t="str">
            <v>BALANGERO</v>
          </cell>
          <cell r="B16" t="str">
            <v>001016</v>
          </cell>
          <cell r="C16" t="str">
            <v>TO</v>
          </cell>
          <cell r="D16" t="str">
            <v>TO</v>
          </cell>
          <cell r="E16" t="str">
            <v>10070</v>
          </cell>
        </row>
        <row r="17">
          <cell r="A17" t="str">
            <v>BALDISSERO CANAVESE</v>
          </cell>
          <cell r="B17" t="str">
            <v>001017</v>
          </cell>
          <cell r="C17" t="str">
            <v>TO</v>
          </cell>
          <cell r="D17" t="str">
            <v>TO</v>
          </cell>
          <cell r="E17" t="str">
            <v>10080</v>
          </cell>
        </row>
        <row r="18">
          <cell r="A18" t="str">
            <v>BALDISSERO TORINESE</v>
          </cell>
          <cell r="B18" t="str">
            <v>001018</v>
          </cell>
          <cell r="C18" t="str">
            <v>TO</v>
          </cell>
          <cell r="D18" t="str">
            <v>TO</v>
          </cell>
          <cell r="E18" t="str">
            <v>10020</v>
          </cell>
        </row>
        <row r="19">
          <cell r="A19" t="str">
            <v>BALME</v>
          </cell>
          <cell r="B19" t="str">
            <v>001019</v>
          </cell>
          <cell r="C19" t="str">
            <v>TO</v>
          </cell>
          <cell r="D19" t="str">
            <v>TO</v>
          </cell>
          <cell r="E19" t="str">
            <v>10070</v>
          </cell>
        </row>
        <row r="20">
          <cell r="A20" t="str">
            <v>BANCHETTE</v>
          </cell>
          <cell r="B20" t="str">
            <v>001020</v>
          </cell>
          <cell r="C20" t="str">
            <v>TO</v>
          </cell>
          <cell r="D20" t="str">
            <v>TO</v>
          </cell>
          <cell r="E20" t="str">
            <v>10010</v>
          </cell>
        </row>
        <row r="21">
          <cell r="A21" t="str">
            <v>BARBANIA</v>
          </cell>
          <cell r="B21" t="str">
            <v>001021</v>
          </cell>
          <cell r="C21" t="str">
            <v>TO</v>
          </cell>
          <cell r="D21" t="str">
            <v>TO</v>
          </cell>
          <cell r="E21" t="str">
            <v>10070</v>
          </cell>
        </row>
        <row r="22">
          <cell r="A22" t="str">
            <v>BARDONECCHIA</v>
          </cell>
          <cell r="B22" t="str">
            <v>001022</v>
          </cell>
          <cell r="C22" t="str">
            <v>TO</v>
          </cell>
          <cell r="D22" t="str">
            <v>TO</v>
          </cell>
          <cell r="E22" t="str">
            <v>10052</v>
          </cell>
        </row>
        <row r="23">
          <cell r="A23" t="str">
            <v>BARONE CANAVESE</v>
          </cell>
          <cell r="B23" t="str">
            <v>001023</v>
          </cell>
          <cell r="C23" t="str">
            <v>TO</v>
          </cell>
          <cell r="D23" t="str">
            <v>TO</v>
          </cell>
          <cell r="E23" t="str">
            <v>10010</v>
          </cell>
        </row>
        <row r="24">
          <cell r="A24" t="str">
            <v>BEINASCO</v>
          </cell>
          <cell r="B24" t="str">
            <v>001024</v>
          </cell>
          <cell r="C24" t="str">
            <v>TO</v>
          </cell>
          <cell r="D24" t="str">
            <v>TO</v>
          </cell>
          <cell r="E24" t="str">
            <v>10092</v>
          </cell>
        </row>
        <row r="25">
          <cell r="A25" t="str">
            <v>BIBIANA</v>
          </cell>
          <cell r="B25" t="str">
            <v>001025</v>
          </cell>
          <cell r="C25" t="str">
            <v>TO</v>
          </cell>
          <cell r="D25" t="str">
            <v>TO</v>
          </cell>
          <cell r="E25" t="str">
            <v>10060</v>
          </cell>
        </row>
        <row r="26">
          <cell r="A26" t="str">
            <v>BOBBIO PELLICE</v>
          </cell>
          <cell r="B26" t="str">
            <v>001026</v>
          </cell>
          <cell r="C26" t="str">
            <v>TO</v>
          </cell>
          <cell r="D26" t="str">
            <v>TO</v>
          </cell>
          <cell r="E26" t="str">
            <v>10060</v>
          </cell>
        </row>
        <row r="27">
          <cell r="A27" t="str">
            <v>BOLLENGO</v>
          </cell>
          <cell r="B27" t="str">
            <v>001027</v>
          </cell>
          <cell r="C27" t="str">
            <v>TO</v>
          </cell>
          <cell r="D27" t="str">
            <v>TO</v>
          </cell>
          <cell r="E27" t="str">
            <v>10012</v>
          </cell>
        </row>
        <row r="28">
          <cell r="A28" t="str">
            <v>BORGARO TORINESE</v>
          </cell>
          <cell r="B28" t="str">
            <v>001028</v>
          </cell>
          <cell r="C28" t="str">
            <v>TO</v>
          </cell>
          <cell r="D28" t="str">
            <v>TO</v>
          </cell>
          <cell r="E28" t="str">
            <v>10071</v>
          </cell>
        </row>
        <row r="29">
          <cell r="A29" t="str">
            <v>BORGIALLO</v>
          </cell>
          <cell r="B29" t="str">
            <v>001029</v>
          </cell>
          <cell r="C29" t="str">
            <v>TO</v>
          </cell>
          <cell r="D29" t="str">
            <v>TO</v>
          </cell>
          <cell r="E29" t="str">
            <v>10080</v>
          </cell>
        </row>
        <row r="30">
          <cell r="A30" t="str">
            <v>BORGOFRANCO D'IVREA</v>
          </cell>
          <cell r="B30" t="str">
            <v>001030</v>
          </cell>
          <cell r="C30" t="str">
            <v>TO</v>
          </cell>
          <cell r="D30" t="str">
            <v>TO</v>
          </cell>
          <cell r="E30" t="str">
            <v>10013</v>
          </cell>
        </row>
        <row r="31">
          <cell r="A31" t="str">
            <v>BORGOMASINO</v>
          </cell>
          <cell r="B31" t="str">
            <v>001031</v>
          </cell>
          <cell r="C31" t="str">
            <v>TO</v>
          </cell>
          <cell r="D31" t="str">
            <v>TO</v>
          </cell>
          <cell r="E31" t="str">
            <v>10031</v>
          </cell>
        </row>
        <row r="32">
          <cell r="A32" t="str">
            <v>BORGONE SUSA</v>
          </cell>
          <cell r="B32" t="str">
            <v>001032</v>
          </cell>
          <cell r="C32" t="str">
            <v>TO</v>
          </cell>
          <cell r="D32" t="str">
            <v>TO</v>
          </cell>
          <cell r="E32" t="str">
            <v>10050</v>
          </cell>
        </row>
        <row r="33">
          <cell r="A33" t="str">
            <v>BOSCONERO</v>
          </cell>
          <cell r="B33" t="str">
            <v>001033</v>
          </cell>
          <cell r="C33" t="str">
            <v>TO</v>
          </cell>
          <cell r="D33" t="str">
            <v>TO</v>
          </cell>
          <cell r="E33" t="str">
            <v>10080</v>
          </cell>
        </row>
        <row r="34">
          <cell r="A34" t="str">
            <v>BRANDIZZO</v>
          </cell>
          <cell r="B34" t="str">
            <v>001034</v>
          </cell>
          <cell r="C34" t="str">
            <v>TO</v>
          </cell>
          <cell r="D34" t="str">
            <v>TO</v>
          </cell>
          <cell r="E34" t="str">
            <v>10032</v>
          </cell>
        </row>
        <row r="35">
          <cell r="A35" t="str">
            <v>BRICHERASIO</v>
          </cell>
          <cell r="B35" t="str">
            <v>001035</v>
          </cell>
          <cell r="C35" t="str">
            <v>TO</v>
          </cell>
          <cell r="D35" t="str">
            <v>TO</v>
          </cell>
          <cell r="E35" t="str">
            <v>10060</v>
          </cell>
        </row>
        <row r="36">
          <cell r="A36" t="str">
            <v>BROSSO</v>
          </cell>
          <cell r="B36" t="str">
            <v>001036</v>
          </cell>
          <cell r="C36" t="str">
            <v>TO</v>
          </cell>
          <cell r="D36" t="str">
            <v>TO</v>
          </cell>
          <cell r="E36" t="str">
            <v>10080</v>
          </cell>
        </row>
        <row r="37">
          <cell r="A37" t="str">
            <v>BROZOLO</v>
          </cell>
          <cell r="B37" t="str">
            <v>001037</v>
          </cell>
          <cell r="C37" t="str">
            <v>TO</v>
          </cell>
          <cell r="D37" t="str">
            <v>TO</v>
          </cell>
          <cell r="E37" t="str">
            <v>10020</v>
          </cell>
        </row>
        <row r="38">
          <cell r="A38" t="str">
            <v>BRUINO</v>
          </cell>
          <cell r="B38" t="str">
            <v>001038</v>
          </cell>
          <cell r="C38" t="str">
            <v>TO</v>
          </cell>
          <cell r="D38" t="str">
            <v>TO</v>
          </cell>
          <cell r="E38" t="str">
            <v>10090</v>
          </cell>
        </row>
        <row r="39">
          <cell r="A39" t="str">
            <v>BRUSASCO</v>
          </cell>
          <cell r="B39" t="str">
            <v>001039</v>
          </cell>
          <cell r="C39" t="str">
            <v>TO</v>
          </cell>
          <cell r="D39" t="str">
            <v>TO</v>
          </cell>
          <cell r="E39" t="str">
            <v>10020</v>
          </cell>
        </row>
        <row r="40">
          <cell r="A40" t="str">
            <v>BRUZOLO</v>
          </cell>
          <cell r="B40" t="str">
            <v>001040</v>
          </cell>
          <cell r="C40" t="str">
            <v>TO</v>
          </cell>
          <cell r="D40" t="str">
            <v>TO</v>
          </cell>
          <cell r="E40" t="str">
            <v>10050</v>
          </cell>
        </row>
        <row r="41">
          <cell r="A41" t="str">
            <v>BURIASCO</v>
          </cell>
          <cell r="B41" t="str">
            <v>001041</v>
          </cell>
          <cell r="C41" t="str">
            <v>TO</v>
          </cell>
          <cell r="D41" t="str">
            <v>TO</v>
          </cell>
          <cell r="E41" t="str">
            <v>10060</v>
          </cell>
        </row>
        <row r="42">
          <cell r="A42" t="str">
            <v>BUROLO</v>
          </cell>
          <cell r="B42" t="str">
            <v>001042</v>
          </cell>
          <cell r="C42" t="str">
            <v>TO</v>
          </cell>
          <cell r="D42" t="str">
            <v>TO</v>
          </cell>
          <cell r="E42" t="str">
            <v>10010</v>
          </cell>
        </row>
        <row r="43">
          <cell r="A43" t="str">
            <v>BUSANO</v>
          </cell>
          <cell r="B43" t="str">
            <v>001043</v>
          </cell>
          <cell r="C43" t="str">
            <v>TO</v>
          </cell>
          <cell r="D43" t="str">
            <v>TO</v>
          </cell>
          <cell r="E43" t="str">
            <v>10080</v>
          </cell>
        </row>
        <row r="44">
          <cell r="A44" t="str">
            <v>BUSSOLENO</v>
          </cell>
          <cell r="B44" t="str">
            <v>001044</v>
          </cell>
          <cell r="C44" t="str">
            <v>TO</v>
          </cell>
          <cell r="D44" t="str">
            <v>TO</v>
          </cell>
          <cell r="E44" t="str">
            <v>10053</v>
          </cell>
        </row>
        <row r="45">
          <cell r="A45" t="str">
            <v>BUTTIGLIERA ALTA</v>
          </cell>
          <cell r="B45" t="str">
            <v>001045</v>
          </cell>
          <cell r="C45" t="str">
            <v>TO</v>
          </cell>
          <cell r="D45" t="str">
            <v>TO</v>
          </cell>
          <cell r="E45" t="str">
            <v>10090</v>
          </cell>
        </row>
        <row r="46">
          <cell r="A46" t="str">
            <v>CAFASSE</v>
          </cell>
          <cell r="B46" t="str">
            <v>001046</v>
          </cell>
          <cell r="C46" t="str">
            <v>TO</v>
          </cell>
          <cell r="D46" t="str">
            <v>TO</v>
          </cell>
          <cell r="E46" t="str">
            <v>10070</v>
          </cell>
        </row>
        <row r="47">
          <cell r="A47" t="str">
            <v>CALUSO</v>
          </cell>
          <cell r="B47" t="str">
            <v>001047</v>
          </cell>
          <cell r="C47" t="str">
            <v>TO</v>
          </cell>
          <cell r="D47" t="str">
            <v>TO</v>
          </cell>
          <cell r="E47" t="str">
            <v>10014</v>
          </cell>
        </row>
        <row r="48">
          <cell r="A48" t="str">
            <v>CAMBIANO</v>
          </cell>
          <cell r="B48" t="str">
            <v>001048</v>
          </cell>
          <cell r="C48" t="str">
            <v>TO</v>
          </cell>
          <cell r="D48" t="str">
            <v>TO</v>
          </cell>
          <cell r="E48" t="str">
            <v>10020</v>
          </cell>
        </row>
        <row r="49">
          <cell r="A49" t="str">
            <v>CAMPIGLIONE FENILE</v>
          </cell>
          <cell r="B49" t="str">
            <v>001049</v>
          </cell>
          <cell r="C49" t="str">
            <v>TO</v>
          </cell>
          <cell r="D49" t="e">
            <v>#N/A</v>
          </cell>
          <cell r="E49" t="e">
            <v>#N/A</v>
          </cell>
        </row>
        <row r="50">
          <cell r="A50" t="str">
            <v>CANDIA CANAVESE</v>
          </cell>
          <cell r="B50" t="str">
            <v>001050</v>
          </cell>
          <cell r="C50" t="str">
            <v>TO</v>
          </cell>
          <cell r="D50" t="str">
            <v>TO</v>
          </cell>
          <cell r="E50" t="str">
            <v>10010</v>
          </cell>
        </row>
        <row r="51">
          <cell r="A51" t="str">
            <v>CANDIOLO</v>
          </cell>
          <cell r="B51" t="str">
            <v>001051</v>
          </cell>
          <cell r="C51" t="str">
            <v>TO</v>
          </cell>
          <cell r="D51" t="str">
            <v>TO</v>
          </cell>
          <cell r="E51" t="str">
            <v>10060</v>
          </cell>
        </row>
        <row r="52">
          <cell r="A52" t="str">
            <v>CANISCHIO</v>
          </cell>
          <cell r="B52" t="str">
            <v>001052</v>
          </cell>
          <cell r="C52" t="str">
            <v>TO</v>
          </cell>
          <cell r="D52" t="str">
            <v>TO</v>
          </cell>
          <cell r="E52" t="str">
            <v>10080</v>
          </cell>
        </row>
        <row r="53">
          <cell r="A53" t="str">
            <v>CANTALUPA</v>
          </cell>
          <cell r="B53" t="str">
            <v>001053</v>
          </cell>
          <cell r="C53" t="str">
            <v>TO</v>
          </cell>
          <cell r="D53" t="str">
            <v>TO</v>
          </cell>
          <cell r="E53" t="str">
            <v>10060</v>
          </cell>
        </row>
        <row r="54">
          <cell r="A54" t="str">
            <v>CANTOIRA</v>
          </cell>
          <cell r="B54" t="str">
            <v>001054</v>
          </cell>
          <cell r="C54" t="str">
            <v>TO</v>
          </cell>
          <cell r="D54" t="str">
            <v>TO</v>
          </cell>
          <cell r="E54" t="str">
            <v>10070</v>
          </cell>
        </row>
        <row r="55">
          <cell r="A55" t="str">
            <v>CAPRIE</v>
          </cell>
          <cell r="B55" t="str">
            <v>001055</v>
          </cell>
          <cell r="C55" t="str">
            <v>TO</v>
          </cell>
          <cell r="D55" t="str">
            <v>TO</v>
          </cell>
          <cell r="E55" t="str">
            <v>10040</v>
          </cell>
        </row>
        <row r="56">
          <cell r="A56" t="str">
            <v>CARAVINO</v>
          </cell>
          <cell r="B56" t="str">
            <v>001056</v>
          </cell>
          <cell r="C56" t="str">
            <v>TO</v>
          </cell>
          <cell r="D56" t="str">
            <v>TO</v>
          </cell>
          <cell r="E56" t="str">
            <v>10010</v>
          </cell>
        </row>
        <row r="57">
          <cell r="A57" t="str">
            <v>CAREMA</v>
          </cell>
          <cell r="B57" t="str">
            <v>001057</v>
          </cell>
          <cell r="C57" t="str">
            <v>TO</v>
          </cell>
          <cell r="D57" t="str">
            <v>TO</v>
          </cell>
          <cell r="E57" t="str">
            <v>10010</v>
          </cell>
        </row>
        <row r="58">
          <cell r="A58" t="str">
            <v>CARIGNANO</v>
          </cell>
          <cell r="B58" t="str">
            <v>001058</v>
          </cell>
          <cell r="C58" t="str">
            <v>TO</v>
          </cell>
          <cell r="D58" t="str">
            <v>TO</v>
          </cell>
          <cell r="E58" t="str">
            <v>10041</v>
          </cell>
        </row>
        <row r="59">
          <cell r="A59" t="str">
            <v>CARMAGNOLA</v>
          </cell>
          <cell r="B59" t="str">
            <v>001059</v>
          </cell>
          <cell r="C59" t="str">
            <v>TO</v>
          </cell>
          <cell r="D59" t="str">
            <v>TO</v>
          </cell>
          <cell r="E59" t="str">
            <v>10022</v>
          </cell>
        </row>
        <row r="60">
          <cell r="A60" t="str">
            <v>CASALBORGONE</v>
          </cell>
          <cell r="B60" t="str">
            <v>001060</v>
          </cell>
          <cell r="C60" t="str">
            <v>TO</v>
          </cell>
          <cell r="D60" t="str">
            <v>TO</v>
          </cell>
          <cell r="E60" t="str">
            <v>10020</v>
          </cell>
        </row>
        <row r="61">
          <cell r="A61" t="str">
            <v>CASCINETTE D'IVREA</v>
          </cell>
          <cell r="B61" t="str">
            <v>001061</v>
          </cell>
          <cell r="C61" t="str">
            <v>TO</v>
          </cell>
          <cell r="D61" t="str">
            <v>TO</v>
          </cell>
          <cell r="E61" t="str">
            <v>10010</v>
          </cell>
        </row>
        <row r="62">
          <cell r="A62" t="str">
            <v>CASELETTE</v>
          </cell>
          <cell r="B62" t="str">
            <v>001062</v>
          </cell>
          <cell r="C62" t="str">
            <v>TO</v>
          </cell>
          <cell r="D62" t="str">
            <v>TO</v>
          </cell>
          <cell r="E62" t="str">
            <v>10040</v>
          </cell>
        </row>
        <row r="63">
          <cell r="A63" t="str">
            <v>CASELLE TORINESE</v>
          </cell>
          <cell r="B63" t="str">
            <v>001063</v>
          </cell>
          <cell r="C63" t="str">
            <v>TO</v>
          </cell>
          <cell r="D63" t="str">
            <v>TO</v>
          </cell>
          <cell r="E63" t="str">
            <v>10072</v>
          </cell>
        </row>
        <row r="64">
          <cell r="A64" t="str">
            <v>CASTAGNETO PO</v>
          </cell>
          <cell r="B64" t="str">
            <v>001064</v>
          </cell>
          <cell r="C64" t="str">
            <v>TO</v>
          </cell>
          <cell r="D64" t="str">
            <v>TO</v>
          </cell>
          <cell r="E64" t="str">
            <v>10090</v>
          </cell>
        </row>
        <row r="65">
          <cell r="A65" t="str">
            <v>CASTAGNOLE PIEMONTE</v>
          </cell>
          <cell r="B65" t="str">
            <v>001065</v>
          </cell>
          <cell r="C65" t="str">
            <v>TO</v>
          </cell>
          <cell r="D65" t="str">
            <v>TO</v>
          </cell>
          <cell r="E65" t="str">
            <v>10060</v>
          </cell>
        </row>
        <row r="66">
          <cell r="A66" t="str">
            <v>CASTELLAMONTE</v>
          </cell>
          <cell r="B66" t="str">
            <v>001066</v>
          </cell>
          <cell r="C66" t="str">
            <v>TO</v>
          </cell>
          <cell r="D66" t="str">
            <v>TO</v>
          </cell>
          <cell r="E66" t="str">
            <v>10081</v>
          </cell>
        </row>
        <row r="67">
          <cell r="A67" t="str">
            <v>CASTELNUOVO NIGRA</v>
          </cell>
          <cell r="B67" t="str">
            <v>001067</v>
          </cell>
          <cell r="C67" t="str">
            <v>TO</v>
          </cell>
          <cell r="D67" t="str">
            <v>TO</v>
          </cell>
          <cell r="E67" t="str">
            <v>10080</v>
          </cell>
        </row>
        <row r="68">
          <cell r="A68" t="str">
            <v>CASTIGLIONE TORINESE</v>
          </cell>
          <cell r="B68" t="str">
            <v>001068</v>
          </cell>
          <cell r="C68" t="str">
            <v>TO</v>
          </cell>
          <cell r="D68" t="str">
            <v>TO</v>
          </cell>
          <cell r="E68" t="str">
            <v>10090</v>
          </cell>
        </row>
        <row r="69">
          <cell r="A69" t="str">
            <v>CAVAGNOLO</v>
          </cell>
          <cell r="B69" t="str">
            <v>001069</v>
          </cell>
          <cell r="C69" t="str">
            <v>TO</v>
          </cell>
          <cell r="D69" t="str">
            <v>TO</v>
          </cell>
          <cell r="E69" t="str">
            <v>10020</v>
          </cell>
        </row>
        <row r="70">
          <cell r="A70" t="str">
            <v>CAVOUR</v>
          </cell>
          <cell r="B70" t="str">
            <v>001070</v>
          </cell>
          <cell r="C70" t="str">
            <v>TO</v>
          </cell>
          <cell r="D70" t="str">
            <v>TO</v>
          </cell>
          <cell r="E70" t="str">
            <v>10061</v>
          </cell>
        </row>
        <row r="71">
          <cell r="A71" t="str">
            <v>CERCENASCO</v>
          </cell>
          <cell r="B71" t="str">
            <v>001071</v>
          </cell>
          <cell r="C71" t="str">
            <v>TO</v>
          </cell>
          <cell r="D71" t="str">
            <v>TO</v>
          </cell>
          <cell r="E71" t="str">
            <v>10060</v>
          </cell>
        </row>
        <row r="72">
          <cell r="A72" t="str">
            <v>CERES</v>
          </cell>
          <cell r="B72" t="str">
            <v>001072</v>
          </cell>
          <cell r="C72" t="str">
            <v>TO</v>
          </cell>
          <cell r="D72" t="str">
            <v>TO</v>
          </cell>
          <cell r="E72" t="str">
            <v>10070</v>
          </cell>
        </row>
        <row r="73">
          <cell r="A73" t="str">
            <v>CERESOLE REALE</v>
          </cell>
          <cell r="B73" t="str">
            <v>001073</v>
          </cell>
          <cell r="C73" t="str">
            <v>TO</v>
          </cell>
          <cell r="D73" t="str">
            <v>TO</v>
          </cell>
          <cell r="E73" t="str">
            <v>10080</v>
          </cell>
        </row>
        <row r="74">
          <cell r="A74" t="str">
            <v>CESANA TORINESE</v>
          </cell>
          <cell r="B74" t="str">
            <v>001074</v>
          </cell>
          <cell r="C74" t="str">
            <v>TO</v>
          </cell>
          <cell r="D74" t="str">
            <v>TO</v>
          </cell>
          <cell r="E74" t="str">
            <v>10054</v>
          </cell>
        </row>
        <row r="75">
          <cell r="A75" t="str">
            <v>CHIALAMBERTO</v>
          </cell>
          <cell r="B75" t="str">
            <v>001075</v>
          </cell>
          <cell r="C75" t="str">
            <v>TO</v>
          </cell>
          <cell r="D75" t="str">
            <v>TO</v>
          </cell>
          <cell r="E75" t="str">
            <v>10070</v>
          </cell>
        </row>
        <row r="76">
          <cell r="A76" t="str">
            <v>CHIANOCCO</v>
          </cell>
          <cell r="B76" t="str">
            <v>001076</v>
          </cell>
          <cell r="C76" t="str">
            <v>TO</v>
          </cell>
          <cell r="D76" t="str">
            <v>TO</v>
          </cell>
          <cell r="E76" t="str">
            <v>10050</v>
          </cell>
        </row>
        <row r="77">
          <cell r="A77" t="str">
            <v>CHIAVERANO</v>
          </cell>
          <cell r="B77" t="str">
            <v>001077</v>
          </cell>
          <cell r="C77" t="str">
            <v>TO</v>
          </cell>
          <cell r="D77" t="str">
            <v>TO</v>
          </cell>
          <cell r="E77" t="str">
            <v>10010</v>
          </cell>
        </row>
        <row r="78">
          <cell r="A78" t="str">
            <v>CHIERI</v>
          </cell>
          <cell r="B78" t="str">
            <v>001078</v>
          </cell>
          <cell r="C78" t="str">
            <v>TO</v>
          </cell>
          <cell r="D78" t="str">
            <v>TO</v>
          </cell>
          <cell r="E78" t="str">
            <v>10023</v>
          </cell>
        </row>
        <row r="79">
          <cell r="A79" t="str">
            <v>CHIESANUOVA</v>
          </cell>
          <cell r="B79" t="str">
            <v>001079</v>
          </cell>
          <cell r="C79" t="str">
            <v>TO</v>
          </cell>
          <cell r="D79" t="str">
            <v>TO</v>
          </cell>
          <cell r="E79" t="str">
            <v>10080</v>
          </cell>
        </row>
        <row r="80">
          <cell r="A80" t="str">
            <v>CHIOMONTE</v>
          </cell>
          <cell r="B80" t="str">
            <v>001080</v>
          </cell>
          <cell r="C80" t="str">
            <v>TO</v>
          </cell>
          <cell r="D80" t="str">
            <v>TO</v>
          </cell>
          <cell r="E80" t="str">
            <v>10050</v>
          </cell>
        </row>
        <row r="81">
          <cell r="A81" t="str">
            <v>CHIUSA DI SAN MICHELE</v>
          </cell>
          <cell r="B81" t="str">
            <v>001081</v>
          </cell>
          <cell r="C81" t="str">
            <v>TO</v>
          </cell>
          <cell r="D81" t="str">
            <v>TO</v>
          </cell>
          <cell r="E81" t="str">
            <v>10050</v>
          </cell>
        </row>
        <row r="82">
          <cell r="A82" t="str">
            <v>CHIVASSO</v>
          </cell>
          <cell r="B82" t="str">
            <v>001082</v>
          </cell>
          <cell r="C82" t="str">
            <v>TO</v>
          </cell>
          <cell r="D82" t="str">
            <v>TO</v>
          </cell>
          <cell r="E82" t="str">
            <v>10034</v>
          </cell>
        </row>
        <row r="83">
          <cell r="A83" t="str">
            <v>CICONIO</v>
          </cell>
          <cell r="B83" t="str">
            <v>001083</v>
          </cell>
          <cell r="C83" t="str">
            <v>TO</v>
          </cell>
          <cell r="D83" t="str">
            <v>TO</v>
          </cell>
          <cell r="E83" t="str">
            <v>10080</v>
          </cell>
        </row>
        <row r="84">
          <cell r="A84" t="str">
            <v>CINTANO</v>
          </cell>
          <cell r="B84" t="str">
            <v>001084</v>
          </cell>
          <cell r="C84" t="str">
            <v>TO</v>
          </cell>
          <cell r="D84" t="str">
            <v>TO</v>
          </cell>
          <cell r="E84" t="str">
            <v>10080</v>
          </cell>
        </row>
        <row r="85">
          <cell r="A85" t="str">
            <v>CINZANO</v>
          </cell>
          <cell r="B85" t="str">
            <v>001085</v>
          </cell>
          <cell r="C85" t="str">
            <v>TO</v>
          </cell>
          <cell r="D85" t="str">
            <v>TO</v>
          </cell>
          <cell r="E85" t="str">
            <v>10090</v>
          </cell>
        </row>
        <row r="86">
          <cell r="A86" t="str">
            <v>CIRIÈ</v>
          </cell>
          <cell r="B86" t="str">
            <v>001086</v>
          </cell>
          <cell r="C86" t="str">
            <v>TO</v>
          </cell>
          <cell r="D86" t="str">
            <v>TO</v>
          </cell>
          <cell r="E86" t="str">
            <v>10073</v>
          </cell>
        </row>
        <row r="87">
          <cell r="A87" t="str">
            <v>CLAVIERE</v>
          </cell>
          <cell r="B87" t="str">
            <v>001087</v>
          </cell>
          <cell r="C87" t="str">
            <v>TO</v>
          </cell>
          <cell r="D87" t="str">
            <v>TO</v>
          </cell>
          <cell r="E87" t="str">
            <v>10050</v>
          </cell>
        </row>
        <row r="88">
          <cell r="A88" t="str">
            <v>COASSOLO TORINESE</v>
          </cell>
          <cell r="B88" t="str">
            <v>001088</v>
          </cell>
          <cell r="C88" t="str">
            <v>TO</v>
          </cell>
          <cell r="D88" t="str">
            <v>TO</v>
          </cell>
          <cell r="E88" t="str">
            <v>10070</v>
          </cell>
        </row>
        <row r="89">
          <cell r="A89" t="str">
            <v>COAZZE</v>
          </cell>
          <cell r="B89" t="str">
            <v>001089</v>
          </cell>
          <cell r="C89" t="str">
            <v>TO</v>
          </cell>
          <cell r="D89" t="str">
            <v>TO</v>
          </cell>
          <cell r="E89" t="str">
            <v>10050</v>
          </cell>
        </row>
        <row r="90">
          <cell r="A90" t="str">
            <v>COLLEGNO</v>
          </cell>
          <cell r="B90" t="str">
            <v>001090</v>
          </cell>
          <cell r="C90" t="str">
            <v>TO</v>
          </cell>
          <cell r="D90" t="str">
            <v>TO</v>
          </cell>
          <cell r="E90" t="str">
            <v>10093</v>
          </cell>
        </row>
        <row r="91">
          <cell r="A91" t="str">
            <v>COLLERETTO CASTELNUOVO</v>
          </cell>
          <cell r="B91" t="str">
            <v>001091</v>
          </cell>
          <cell r="C91" t="str">
            <v>TO</v>
          </cell>
          <cell r="D91" t="str">
            <v>TO</v>
          </cell>
          <cell r="E91" t="str">
            <v>10080</v>
          </cell>
        </row>
        <row r="92">
          <cell r="A92" t="str">
            <v>COLLERETTO GIACOSA</v>
          </cell>
          <cell r="B92" t="str">
            <v>001092</v>
          </cell>
          <cell r="C92" t="str">
            <v>TO</v>
          </cell>
          <cell r="D92" t="str">
            <v>TO</v>
          </cell>
          <cell r="E92" t="str">
            <v>10010</v>
          </cell>
        </row>
        <row r="93">
          <cell r="A93" t="str">
            <v>CONDOVE</v>
          </cell>
          <cell r="B93" t="str">
            <v>001093</v>
          </cell>
          <cell r="C93" t="str">
            <v>TO</v>
          </cell>
          <cell r="D93" t="str">
            <v>TO</v>
          </cell>
          <cell r="E93" t="str">
            <v>10055</v>
          </cell>
        </row>
        <row r="94">
          <cell r="A94" t="str">
            <v>CORIO</v>
          </cell>
          <cell r="B94" t="str">
            <v>001094</v>
          </cell>
          <cell r="C94" t="str">
            <v>TO</v>
          </cell>
          <cell r="D94" t="str">
            <v>TO</v>
          </cell>
          <cell r="E94" t="str">
            <v>10070</v>
          </cell>
        </row>
        <row r="95">
          <cell r="A95" t="str">
            <v>COSSANO CANAVESE</v>
          </cell>
          <cell r="B95" t="str">
            <v>001095</v>
          </cell>
          <cell r="C95" t="str">
            <v>TO</v>
          </cell>
          <cell r="D95" t="str">
            <v>TO</v>
          </cell>
          <cell r="E95" t="str">
            <v>10010</v>
          </cell>
        </row>
        <row r="96">
          <cell r="A96" t="str">
            <v>CUCEGLIO</v>
          </cell>
          <cell r="B96" t="str">
            <v>001096</v>
          </cell>
          <cell r="C96" t="str">
            <v>TO</v>
          </cell>
          <cell r="D96" t="str">
            <v>TO</v>
          </cell>
          <cell r="E96" t="str">
            <v>10090</v>
          </cell>
        </row>
        <row r="97">
          <cell r="A97" t="str">
            <v>CUMIANA</v>
          </cell>
          <cell r="B97" t="str">
            <v>001097</v>
          </cell>
          <cell r="C97" t="str">
            <v>TO</v>
          </cell>
          <cell r="D97" t="str">
            <v>TO</v>
          </cell>
          <cell r="E97" t="str">
            <v>10040</v>
          </cell>
        </row>
        <row r="98">
          <cell r="A98" t="str">
            <v>CUORGNÈ</v>
          </cell>
          <cell r="B98" t="str">
            <v>001098</v>
          </cell>
          <cell r="C98" t="str">
            <v>TO</v>
          </cell>
          <cell r="D98" t="str">
            <v>TO</v>
          </cell>
          <cell r="E98" t="str">
            <v>10082</v>
          </cell>
        </row>
        <row r="99">
          <cell r="A99" t="str">
            <v>DRUENTO</v>
          </cell>
          <cell r="B99" t="str">
            <v>001099</v>
          </cell>
          <cell r="C99" t="str">
            <v>TO</v>
          </cell>
          <cell r="D99" t="str">
            <v>TO</v>
          </cell>
          <cell r="E99" t="str">
            <v>10040</v>
          </cell>
        </row>
        <row r="100">
          <cell r="A100" t="str">
            <v>EXILLES</v>
          </cell>
          <cell r="B100" t="str">
            <v>001100</v>
          </cell>
          <cell r="C100" t="str">
            <v>TO</v>
          </cell>
          <cell r="D100" t="str">
            <v>TO</v>
          </cell>
          <cell r="E100" t="str">
            <v>10050</v>
          </cell>
        </row>
        <row r="101">
          <cell r="A101" t="str">
            <v>FAVRIA</v>
          </cell>
          <cell r="B101" t="str">
            <v>001101</v>
          </cell>
          <cell r="C101" t="str">
            <v>TO</v>
          </cell>
          <cell r="D101" t="str">
            <v>TO</v>
          </cell>
          <cell r="E101" t="str">
            <v>10083</v>
          </cell>
        </row>
        <row r="102">
          <cell r="A102" t="str">
            <v>FELETTO</v>
          </cell>
          <cell r="B102" t="str">
            <v>001102</v>
          </cell>
          <cell r="C102" t="str">
            <v>TO</v>
          </cell>
          <cell r="D102" t="str">
            <v>TO</v>
          </cell>
          <cell r="E102" t="str">
            <v>10080</v>
          </cell>
        </row>
        <row r="103">
          <cell r="A103" t="str">
            <v>FENESTRELLE</v>
          </cell>
          <cell r="B103" t="str">
            <v>001103</v>
          </cell>
          <cell r="C103" t="str">
            <v>TO</v>
          </cell>
          <cell r="D103" t="str">
            <v>TO</v>
          </cell>
          <cell r="E103" t="str">
            <v>10060</v>
          </cell>
        </row>
        <row r="104">
          <cell r="A104" t="str">
            <v>FIANO</v>
          </cell>
          <cell r="B104" t="str">
            <v>001104</v>
          </cell>
          <cell r="C104" t="str">
            <v>TO</v>
          </cell>
          <cell r="D104" t="str">
            <v>TO</v>
          </cell>
          <cell r="E104" t="str">
            <v>10070</v>
          </cell>
        </row>
        <row r="105">
          <cell r="A105" t="str">
            <v>FIORANO CANAVESE</v>
          </cell>
          <cell r="B105" t="str">
            <v>001105</v>
          </cell>
          <cell r="C105" t="str">
            <v>TO</v>
          </cell>
          <cell r="D105" t="str">
            <v>TO</v>
          </cell>
          <cell r="E105" t="str">
            <v>10010</v>
          </cell>
        </row>
        <row r="106">
          <cell r="A106" t="str">
            <v>FOGLIZZO</v>
          </cell>
          <cell r="B106" t="str">
            <v>001106</v>
          </cell>
          <cell r="C106" t="str">
            <v>TO</v>
          </cell>
          <cell r="D106" t="str">
            <v>TO</v>
          </cell>
          <cell r="E106" t="str">
            <v>10090</v>
          </cell>
        </row>
        <row r="107">
          <cell r="A107" t="str">
            <v>FORNO CANAVESE</v>
          </cell>
          <cell r="B107" t="str">
            <v>001107</v>
          </cell>
          <cell r="C107" t="str">
            <v>TO</v>
          </cell>
          <cell r="D107" t="str">
            <v>TO</v>
          </cell>
          <cell r="E107" t="str">
            <v>10084</v>
          </cell>
        </row>
        <row r="108">
          <cell r="A108" t="str">
            <v>FRASSINETTO</v>
          </cell>
          <cell r="B108" t="str">
            <v>001108</v>
          </cell>
          <cell r="C108" t="str">
            <v>TO</v>
          </cell>
          <cell r="D108" t="str">
            <v>TO</v>
          </cell>
          <cell r="E108" t="str">
            <v>10080</v>
          </cell>
        </row>
        <row r="109">
          <cell r="A109" t="str">
            <v>FRONT</v>
          </cell>
          <cell r="B109" t="str">
            <v>001109</v>
          </cell>
          <cell r="C109" t="str">
            <v>TO</v>
          </cell>
          <cell r="D109" t="str">
            <v>TO</v>
          </cell>
          <cell r="E109" t="str">
            <v>10070</v>
          </cell>
        </row>
        <row r="110">
          <cell r="A110" t="str">
            <v>FROSSASCO</v>
          </cell>
          <cell r="B110" t="str">
            <v>001110</v>
          </cell>
          <cell r="C110" t="str">
            <v>TO</v>
          </cell>
          <cell r="D110" t="str">
            <v>TO</v>
          </cell>
          <cell r="E110" t="str">
            <v>10060</v>
          </cell>
        </row>
        <row r="111">
          <cell r="A111" t="str">
            <v>GARZIGLIANA</v>
          </cell>
          <cell r="B111" t="str">
            <v>001111</v>
          </cell>
          <cell r="C111" t="str">
            <v>TO</v>
          </cell>
          <cell r="D111" t="str">
            <v>TO</v>
          </cell>
          <cell r="E111" t="str">
            <v>10060</v>
          </cell>
        </row>
        <row r="112">
          <cell r="A112" t="str">
            <v>GASSINO TORINESE</v>
          </cell>
          <cell r="B112" t="str">
            <v>001112</v>
          </cell>
          <cell r="C112" t="str">
            <v>TO</v>
          </cell>
          <cell r="D112" t="str">
            <v>TO</v>
          </cell>
          <cell r="E112" t="str">
            <v>10090</v>
          </cell>
        </row>
        <row r="113">
          <cell r="A113" t="str">
            <v>GERMAGNANO</v>
          </cell>
          <cell r="B113" t="str">
            <v>001113</v>
          </cell>
          <cell r="C113" t="str">
            <v>TO</v>
          </cell>
          <cell r="D113" t="str">
            <v>TO</v>
          </cell>
          <cell r="E113" t="str">
            <v>10070</v>
          </cell>
        </row>
        <row r="114">
          <cell r="A114" t="str">
            <v>GIAGLIONE</v>
          </cell>
          <cell r="B114" t="str">
            <v>001114</v>
          </cell>
          <cell r="C114" t="str">
            <v>TO</v>
          </cell>
          <cell r="D114" t="str">
            <v>TO</v>
          </cell>
          <cell r="E114" t="str">
            <v>10050</v>
          </cell>
        </row>
        <row r="115">
          <cell r="A115" t="str">
            <v>GIAVENO</v>
          </cell>
          <cell r="B115" t="str">
            <v>001115</v>
          </cell>
          <cell r="C115" t="str">
            <v>TO</v>
          </cell>
          <cell r="D115" t="str">
            <v>TO</v>
          </cell>
          <cell r="E115" t="str">
            <v>10094</v>
          </cell>
        </row>
        <row r="116">
          <cell r="A116" t="str">
            <v>GIVOLETTO</v>
          </cell>
          <cell r="B116" t="str">
            <v>001116</v>
          </cell>
          <cell r="C116" t="str">
            <v>TO</v>
          </cell>
          <cell r="D116" t="str">
            <v>TO</v>
          </cell>
          <cell r="E116" t="str">
            <v>10040</v>
          </cell>
        </row>
        <row r="117">
          <cell r="A117" t="str">
            <v>GRAVERE</v>
          </cell>
          <cell r="B117" t="str">
            <v>001117</v>
          </cell>
          <cell r="C117" t="str">
            <v>TO</v>
          </cell>
          <cell r="D117" t="str">
            <v>TO</v>
          </cell>
          <cell r="E117" t="str">
            <v>10050</v>
          </cell>
        </row>
        <row r="118">
          <cell r="A118" t="str">
            <v>GROSCAVALLO</v>
          </cell>
          <cell r="B118" t="str">
            <v>001118</v>
          </cell>
          <cell r="C118" t="str">
            <v>TO</v>
          </cell>
          <cell r="D118" t="str">
            <v>TO</v>
          </cell>
          <cell r="E118" t="str">
            <v>10070</v>
          </cell>
        </row>
        <row r="119">
          <cell r="A119" t="str">
            <v>GROSSO</v>
          </cell>
          <cell r="B119" t="str">
            <v>001119</v>
          </cell>
          <cell r="C119" t="str">
            <v>TO</v>
          </cell>
          <cell r="D119" t="str">
            <v>TO</v>
          </cell>
          <cell r="E119" t="str">
            <v>10070</v>
          </cell>
        </row>
        <row r="120">
          <cell r="A120" t="str">
            <v>GRUGLIASCO</v>
          </cell>
          <cell r="B120" t="str">
            <v>001120</v>
          </cell>
          <cell r="C120" t="str">
            <v>TO</v>
          </cell>
          <cell r="D120" t="str">
            <v>TO</v>
          </cell>
          <cell r="E120" t="str">
            <v>10095</v>
          </cell>
        </row>
        <row r="121">
          <cell r="A121" t="str">
            <v>INGRIA</v>
          </cell>
          <cell r="B121" t="str">
            <v>001121</v>
          </cell>
          <cell r="C121" t="str">
            <v>TO</v>
          </cell>
          <cell r="D121" t="str">
            <v>TO</v>
          </cell>
          <cell r="E121" t="str">
            <v>10080</v>
          </cell>
        </row>
        <row r="122">
          <cell r="A122" t="str">
            <v>INVERSO PINASCA</v>
          </cell>
          <cell r="B122" t="str">
            <v>001122</v>
          </cell>
          <cell r="C122" t="str">
            <v>TO</v>
          </cell>
          <cell r="D122" t="str">
            <v>TO</v>
          </cell>
          <cell r="E122" t="str">
            <v>10060</v>
          </cell>
        </row>
        <row r="123">
          <cell r="A123" t="str">
            <v>ISOLABELLA</v>
          </cell>
          <cell r="B123" t="str">
            <v>001123</v>
          </cell>
          <cell r="C123" t="str">
            <v>TO</v>
          </cell>
          <cell r="D123" t="str">
            <v>TO</v>
          </cell>
          <cell r="E123" t="str">
            <v>10046</v>
          </cell>
        </row>
        <row r="124">
          <cell r="A124" t="str">
            <v>ISSIGLIO</v>
          </cell>
          <cell r="B124" t="str">
            <v>001124</v>
          </cell>
          <cell r="C124" t="str">
            <v>TO</v>
          </cell>
          <cell r="D124" t="str">
            <v>TO</v>
          </cell>
          <cell r="E124" t="str">
            <v>10080</v>
          </cell>
        </row>
        <row r="125">
          <cell r="A125" t="str">
            <v>IVREA</v>
          </cell>
          <cell r="B125" t="str">
            <v>001125</v>
          </cell>
          <cell r="C125" t="str">
            <v>TO</v>
          </cell>
          <cell r="D125" t="str">
            <v>TO</v>
          </cell>
          <cell r="E125" t="str">
            <v>10015</v>
          </cell>
        </row>
        <row r="126">
          <cell r="A126" t="str">
            <v>LA CASSA</v>
          </cell>
          <cell r="B126" t="str">
            <v>001126</v>
          </cell>
          <cell r="C126" t="str">
            <v>TO</v>
          </cell>
          <cell r="D126" t="str">
            <v>TO</v>
          </cell>
          <cell r="E126" t="str">
            <v>10040</v>
          </cell>
        </row>
        <row r="127">
          <cell r="A127" t="str">
            <v>LA LOGGIA</v>
          </cell>
          <cell r="B127" t="str">
            <v>001127</v>
          </cell>
          <cell r="C127" t="str">
            <v>TO</v>
          </cell>
          <cell r="D127" t="str">
            <v>TO</v>
          </cell>
          <cell r="E127" t="str">
            <v>10040</v>
          </cell>
        </row>
        <row r="128">
          <cell r="A128" t="str">
            <v>LANZO TORINESE</v>
          </cell>
          <cell r="B128" t="str">
            <v>001128</v>
          </cell>
          <cell r="C128" t="str">
            <v>TO</v>
          </cell>
          <cell r="D128" t="str">
            <v>TO</v>
          </cell>
          <cell r="E128" t="str">
            <v>10074</v>
          </cell>
        </row>
        <row r="129">
          <cell r="A129" t="str">
            <v>LAURIANO</v>
          </cell>
          <cell r="B129" t="str">
            <v>001129</v>
          </cell>
          <cell r="C129" t="str">
            <v>TO</v>
          </cell>
          <cell r="D129" t="str">
            <v>TO</v>
          </cell>
          <cell r="E129" t="str">
            <v>10020</v>
          </cell>
        </row>
        <row r="130">
          <cell r="A130" t="str">
            <v>LEINI</v>
          </cell>
          <cell r="B130" t="str">
            <v>001130</v>
          </cell>
          <cell r="C130" t="str">
            <v>TO</v>
          </cell>
          <cell r="D130" t="str">
            <v>TO</v>
          </cell>
          <cell r="E130" t="str">
            <v>10040</v>
          </cell>
        </row>
        <row r="131">
          <cell r="A131" t="str">
            <v>LEMIE</v>
          </cell>
          <cell r="B131" t="str">
            <v>001131</v>
          </cell>
          <cell r="C131" t="str">
            <v>TO</v>
          </cell>
          <cell r="D131" t="str">
            <v>TO</v>
          </cell>
          <cell r="E131" t="str">
            <v>10070</v>
          </cell>
        </row>
        <row r="132">
          <cell r="A132" t="str">
            <v>LESSOLO</v>
          </cell>
          <cell r="B132" t="str">
            <v>001132</v>
          </cell>
          <cell r="C132" t="str">
            <v>TO</v>
          </cell>
          <cell r="D132" t="str">
            <v>TO</v>
          </cell>
          <cell r="E132" t="str">
            <v>10010</v>
          </cell>
        </row>
        <row r="133">
          <cell r="A133" t="str">
            <v>LEVONE</v>
          </cell>
          <cell r="B133" t="str">
            <v>001133</v>
          </cell>
          <cell r="C133" t="str">
            <v>TO</v>
          </cell>
          <cell r="D133" t="str">
            <v>TO</v>
          </cell>
          <cell r="E133" t="str">
            <v>10070</v>
          </cell>
        </row>
        <row r="134">
          <cell r="A134" t="str">
            <v>LOCANA</v>
          </cell>
          <cell r="B134" t="str">
            <v>001134</v>
          </cell>
          <cell r="C134" t="str">
            <v>TO</v>
          </cell>
          <cell r="D134" t="str">
            <v>TO</v>
          </cell>
          <cell r="E134" t="str">
            <v>10080</v>
          </cell>
        </row>
        <row r="135">
          <cell r="A135" t="str">
            <v>LOMBARDORE</v>
          </cell>
          <cell r="B135" t="str">
            <v>001135</v>
          </cell>
          <cell r="C135" t="str">
            <v>TO</v>
          </cell>
          <cell r="D135" t="str">
            <v>TO</v>
          </cell>
          <cell r="E135" t="str">
            <v>10040</v>
          </cell>
        </row>
        <row r="136">
          <cell r="A136" t="str">
            <v>LOMBRIASCO</v>
          </cell>
          <cell r="B136" t="str">
            <v>001136</v>
          </cell>
          <cell r="C136" t="str">
            <v>TO</v>
          </cell>
          <cell r="D136" t="str">
            <v>TO</v>
          </cell>
          <cell r="E136" t="str">
            <v>10040</v>
          </cell>
        </row>
        <row r="137">
          <cell r="A137" t="str">
            <v>LORANZÈ</v>
          </cell>
          <cell r="B137" t="str">
            <v>001137</v>
          </cell>
          <cell r="C137" t="str">
            <v>TO</v>
          </cell>
          <cell r="D137" t="str">
            <v>TO</v>
          </cell>
          <cell r="E137" t="str">
            <v>10010</v>
          </cell>
        </row>
        <row r="138">
          <cell r="A138" t="str">
            <v>LUSERNA SAN GIOVANNI</v>
          </cell>
          <cell r="B138" t="str">
            <v>001139</v>
          </cell>
          <cell r="C138" t="str">
            <v>TO</v>
          </cell>
          <cell r="D138" t="str">
            <v>TO</v>
          </cell>
          <cell r="E138" t="str">
            <v>10062</v>
          </cell>
        </row>
        <row r="139">
          <cell r="A139" t="str">
            <v>LUSERNETTA</v>
          </cell>
          <cell r="B139" t="str">
            <v>001140</v>
          </cell>
          <cell r="C139" t="str">
            <v>TO</v>
          </cell>
          <cell r="D139" t="str">
            <v>TO</v>
          </cell>
          <cell r="E139" t="str">
            <v>10060</v>
          </cell>
        </row>
        <row r="140">
          <cell r="A140" t="str">
            <v>LUSIGLIÈ</v>
          </cell>
          <cell r="B140" t="str">
            <v>001141</v>
          </cell>
          <cell r="C140" t="str">
            <v>TO</v>
          </cell>
          <cell r="D140" t="str">
            <v>TO</v>
          </cell>
          <cell r="E140" t="str">
            <v>10080</v>
          </cell>
        </row>
        <row r="141">
          <cell r="A141" t="str">
            <v>MACELLO</v>
          </cell>
          <cell r="B141" t="str">
            <v>001142</v>
          </cell>
          <cell r="C141" t="str">
            <v>TO</v>
          </cell>
          <cell r="D141" t="str">
            <v>TO</v>
          </cell>
          <cell r="E141" t="str">
            <v>10060</v>
          </cell>
        </row>
        <row r="142">
          <cell r="A142" t="str">
            <v>MAGLIONE</v>
          </cell>
          <cell r="B142" t="str">
            <v>001143</v>
          </cell>
          <cell r="C142" t="str">
            <v>TO</v>
          </cell>
          <cell r="D142" t="str">
            <v>TO</v>
          </cell>
          <cell r="E142" t="str">
            <v>10030</v>
          </cell>
        </row>
        <row r="143">
          <cell r="A143" t="str">
            <v>MARENTINO</v>
          </cell>
          <cell r="B143" t="str">
            <v>001144</v>
          </cell>
          <cell r="C143" t="str">
            <v>TO</v>
          </cell>
          <cell r="D143" t="str">
            <v>TO</v>
          </cell>
          <cell r="E143" t="str">
            <v>10020</v>
          </cell>
        </row>
        <row r="144">
          <cell r="A144" t="str">
            <v>MASSELLO</v>
          </cell>
          <cell r="B144" t="str">
            <v>001145</v>
          </cell>
          <cell r="C144" t="str">
            <v>TO</v>
          </cell>
          <cell r="D144" t="str">
            <v>TO</v>
          </cell>
          <cell r="E144" t="str">
            <v>10060</v>
          </cell>
        </row>
        <row r="145">
          <cell r="A145" t="str">
            <v>MATHI</v>
          </cell>
          <cell r="B145" t="str">
            <v>001146</v>
          </cell>
          <cell r="C145" t="str">
            <v>TO</v>
          </cell>
          <cell r="D145" t="str">
            <v>TO</v>
          </cell>
          <cell r="E145" t="str">
            <v>10075</v>
          </cell>
        </row>
        <row r="146">
          <cell r="A146" t="str">
            <v>MATTIE</v>
          </cell>
          <cell r="B146" t="str">
            <v>001147</v>
          </cell>
          <cell r="C146" t="str">
            <v>TO</v>
          </cell>
          <cell r="D146" t="str">
            <v>TO</v>
          </cell>
          <cell r="E146" t="str">
            <v>10050</v>
          </cell>
        </row>
        <row r="147">
          <cell r="A147" t="str">
            <v>MAZZÈ</v>
          </cell>
          <cell r="B147" t="str">
            <v>001148</v>
          </cell>
          <cell r="C147" t="str">
            <v>TO</v>
          </cell>
          <cell r="D147" t="str">
            <v>TO</v>
          </cell>
          <cell r="E147" t="str">
            <v>10035</v>
          </cell>
        </row>
        <row r="148">
          <cell r="A148" t="str">
            <v>MEANA DI SUSA</v>
          </cell>
          <cell r="B148" t="str">
            <v>001149</v>
          </cell>
          <cell r="C148" t="str">
            <v>TO</v>
          </cell>
          <cell r="D148" t="str">
            <v>TO</v>
          </cell>
          <cell r="E148" t="str">
            <v>10050</v>
          </cell>
        </row>
        <row r="149">
          <cell r="A149" t="str">
            <v>MERCENASCO</v>
          </cell>
          <cell r="B149" t="str">
            <v>001150</v>
          </cell>
          <cell r="C149" t="str">
            <v>TO</v>
          </cell>
          <cell r="D149" t="str">
            <v>TO</v>
          </cell>
          <cell r="E149" t="str">
            <v>10010</v>
          </cell>
        </row>
        <row r="150">
          <cell r="A150" t="str">
            <v>MEZZENILE</v>
          </cell>
          <cell r="B150" t="str">
            <v>001152</v>
          </cell>
          <cell r="C150" t="str">
            <v>TO</v>
          </cell>
          <cell r="D150" t="str">
            <v>TO</v>
          </cell>
          <cell r="E150" t="str">
            <v>10070</v>
          </cell>
        </row>
        <row r="151">
          <cell r="A151" t="str">
            <v>MOMBELLO DI TORINO</v>
          </cell>
          <cell r="B151" t="str">
            <v>001153</v>
          </cell>
          <cell r="C151" t="str">
            <v>TO</v>
          </cell>
          <cell r="D151" t="str">
            <v>TO</v>
          </cell>
          <cell r="E151" t="str">
            <v>10020</v>
          </cell>
        </row>
        <row r="152">
          <cell r="A152" t="str">
            <v>MOMPANTERO</v>
          </cell>
          <cell r="B152" t="str">
            <v>001154</v>
          </cell>
          <cell r="C152" t="str">
            <v>TO</v>
          </cell>
          <cell r="D152" t="str">
            <v>TO</v>
          </cell>
          <cell r="E152" t="str">
            <v>10059</v>
          </cell>
        </row>
        <row r="153">
          <cell r="A153" t="str">
            <v>MONASTERO DI LANZO</v>
          </cell>
          <cell r="B153" t="str">
            <v>001155</v>
          </cell>
          <cell r="C153" t="str">
            <v>TO</v>
          </cell>
          <cell r="D153" t="str">
            <v>TO</v>
          </cell>
          <cell r="E153" t="str">
            <v>10070</v>
          </cell>
        </row>
        <row r="154">
          <cell r="A154" t="str">
            <v>MONCALIERI</v>
          </cell>
          <cell r="B154" t="str">
            <v>001156</v>
          </cell>
          <cell r="C154" t="str">
            <v>TO</v>
          </cell>
          <cell r="D154" t="str">
            <v>TO</v>
          </cell>
          <cell r="E154" t="str">
            <v>10024</v>
          </cell>
        </row>
        <row r="155">
          <cell r="A155" t="str">
            <v>MONCENISIO</v>
          </cell>
          <cell r="B155" t="str">
            <v>001157</v>
          </cell>
          <cell r="C155" t="str">
            <v>TO</v>
          </cell>
          <cell r="D155" t="str">
            <v>TO</v>
          </cell>
          <cell r="E155" t="str">
            <v>10050</v>
          </cell>
        </row>
        <row r="156">
          <cell r="A156" t="str">
            <v>MONTALDO TORINESE</v>
          </cell>
          <cell r="B156" t="str">
            <v>001158</v>
          </cell>
          <cell r="C156" t="str">
            <v>TO</v>
          </cell>
          <cell r="D156" t="str">
            <v>TO</v>
          </cell>
          <cell r="E156" t="str">
            <v>10020</v>
          </cell>
        </row>
        <row r="157">
          <cell r="A157" t="str">
            <v>MONTALENGHE</v>
          </cell>
          <cell r="B157" t="str">
            <v>001159</v>
          </cell>
          <cell r="C157" t="str">
            <v>TO</v>
          </cell>
          <cell r="D157" t="str">
            <v>TO</v>
          </cell>
          <cell r="E157" t="str">
            <v>10090</v>
          </cell>
        </row>
        <row r="158">
          <cell r="A158" t="str">
            <v>MONTALTO DORA</v>
          </cell>
          <cell r="B158" t="str">
            <v>001160</v>
          </cell>
          <cell r="C158" t="str">
            <v>TO</v>
          </cell>
          <cell r="D158" t="str">
            <v>TO</v>
          </cell>
          <cell r="E158" t="str">
            <v>10016</v>
          </cell>
        </row>
        <row r="159">
          <cell r="A159" t="str">
            <v>MONTANARO</v>
          </cell>
          <cell r="B159" t="str">
            <v>001161</v>
          </cell>
          <cell r="C159" t="str">
            <v>TO</v>
          </cell>
          <cell r="D159" t="str">
            <v>TO</v>
          </cell>
          <cell r="E159" t="str">
            <v>10017</v>
          </cell>
        </row>
        <row r="160">
          <cell r="A160" t="str">
            <v>MONTEU DA PO</v>
          </cell>
          <cell r="B160" t="str">
            <v>001162</v>
          </cell>
          <cell r="C160" t="str">
            <v>TO</v>
          </cell>
          <cell r="D160" t="str">
            <v>TO</v>
          </cell>
          <cell r="E160" t="str">
            <v>10020</v>
          </cell>
        </row>
        <row r="161">
          <cell r="A161" t="str">
            <v>MORIONDO TORINESE</v>
          </cell>
          <cell r="B161" t="str">
            <v>001163</v>
          </cell>
          <cell r="C161" t="str">
            <v>TO</v>
          </cell>
          <cell r="D161" t="str">
            <v>TO</v>
          </cell>
          <cell r="E161" t="str">
            <v>10020</v>
          </cell>
        </row>
        <row r="162">
          <cell r="A162" t="str">
            <v>NICHELINO</v>
          </cell>
          <cell r="B162" t="str">
            <v>001164</v>
          </cell>
          <cell r="C162" t="str">
            <v>TO</v>
          </cell>
          <cell r="D162" t="str">
            <v>TO</v>
          </cell>
          <cell r="E162" t="str">
            <v>10042</v>
          </cell>
        </row>
        <row r="163">
          <cell r="A163" t="str">
            <v>NOASCA</v>
          </cell>
          <cell r="B163" t="str">
            <v>001165</v>
          </cell>
          <cell r="C163" t="str">
            <v>TO</v>
          </cell>
          <cell r="D163" t="str">
            <v>TO</v>
          </cell>
          <cell r="E163" t="str">
            <v>10080</v>
          </cell>
        </row>
        <row r="164">
          <cell r="A164" t="str">
            <v>NOLE</v>
          </cell>
          <cell r="B164" t="str">
            <v>001166</v>
          </cell>
          <cell r="C164" t="str">
            <v>TO</v>
          </cell>
          <cell r="D164" t="str">
            <v>TO</v>
          </cell>
          <cell r="E164" t="str">
            <v>10076</v>
          </cell>
        </row>
        <row r="165">
          <cell r="A165" t="str">
            <v>NOMAGLIO</v>
          </cell>
          <cell r="B165" t="str">
            <v>001167</v>
          </cell>
          <cell r="C165" t="str">
            <v>TO</v>
          </cell>
          <cell r="D165" t="str">
            <v>TO</v>
          </cell>
          <cell r="E165" t="str">
            <v>10010</v>
          </cell>
        </row>
        <row r="166">
          <cell r="A166" t="str">
            <v>NONE</v>
          </cell>
          <cell r="B166" t="str">
            <v>001168</v>
          </cell>
          <cell r="C166" t="str">
            <v>TO</v>
          </cell>
          <cell r="D166" t="str">
            <v>TO</v>
          </cell>
          <cell r="E166" t="str">
            <v>10060</v>
          </cell>
        </row>
        <row r="167">
          <cell r="A167" t="str">
            <v>NOVALESA</v>
          </cell>
          <cell r="B167" t="str">
            <v>001169</v>
          </cell>
          <cell r="C167" t="str">
            <v>TO</v>
          </cell>
          <cell r="D167" t="str">
            <v>TO</v>
          </cell>
          <cell r="E167" t="str">
            <v>10050</v>
          </cell>
        </row>
        <row r="168">
          <cell r="A168" t="str">
            <v>OGLIANICO</v>
          </cell>
          <cell r="B168" t="str">
            <v>001170</v>
          </cell>
          <cell r="C168" t="str">
            <v>TO</v>
          </cell>
          <cell r="D168" t="str">
            <v>TO</v>
          </cell>
          <cell r="E168" t="str">
            <v>10080</v>
          </cell>
        </row>
        <row r="169">
          <cell r="A169" t="str">
            <v>ORBASSANO</v>
          </cell>
          <cell r="B169" t="str">
            <v>001171</v>
          </cell>
          <cell r="C169" t="str">
            <v>TO</v>
          </cell>
          <cell r="D169" t="str">
            <v>TO</v>
          </cell>
          <cell r="E169" t="str">
            <v>10043</v>
          </cell>
        </row>
        <row r="170">
          <cell r="A170" t="str">
            <v>ORIO CANAVESE</v>
          </cell>
          <cell r="B170" t="str">
            <v>001172</v>
          </cell>
          <cell r="C170" t="str">
            <v>TO</v>
          </cell>
          <cell r="D170" t="str">
            <v>TO</v>
          </cell>
          <cell r="E170" t="str">
            <v>10010</v>
          </cell>
        </row>
        <row r="171">
          <cell r="A171" t="str">
            <v>OSASCO</v>
          </cell>
          <cell r="B171" t="str">
            <v>001173</v>
          </cell>
          <cell r="C171" t="str">
            <v>TO</v>
          </cell>
          <cell r="D171" t="str">
            <v>TO</v>
          </cell>
          <cell r="E171" t="str">
            <v>10060</v>
          </cell>
        </row>
        <row r="172">
          <cell r="A172" t="str">
            <v>OSASIO</v>
          </cell>
          <cell r="B172" t="str">
            <v>001174</v>
          </cell>
          <cell r="C172" t="str">
            <v>TO</v>
          </cell>
          <cell r="D172" t="str">
            <v>TO</v>
          </cell>
          <cell r="E172" t="str">
            <v>10040</v>
          </cell>
        </row>
        <row r="173">
          <cell r="A173" t="str">
            <v>OULX</v>
          </cell>
          <cell r="B173" t="str">
            <v>001175</v>
          </cell>
          <cell r="C173" t="str">
            <v>TO</v>
          </cell>
          <cell r="D173" t="str">
            <v>TO</v>
          </cell>
          <cell r="E173" t="str">
            <v>10056</v>
          </cell>
        </row>
        <row r="174">
          <cell r="A174" t="str">
            <v>OZEGNA</v>
          </cell>
          <cell r="B174" t="str">
            <v>001176</v>
          </cell>
          <cell r="C174" t="str">
            <v>TO</v>
          </cell>
          <cell r="D174" t="str">
            <v>TO</v>
          </cell>
          <cell r="E174" t="str">
            <v>10080</v>
          </cell>
        </row>
        <row r="175">
          <cell r="A175" t="str">
            <v>PALAZZO CANAVESE</v>
          </cell>
          <cell r="B175" t="str">
            <v>001177</v>
          </cell>
          <cell r="C175" t="str">
            <v>TO</v>
          </cell>
          <cell r="D175" t="str">
            <v>TO</v>
          </cell>
          <cell r="E175" t="str">
            <v>10010</v>
          </cell>
        </row>
        <row r="176">
          <cell r="A176" t="str">
            <v>PANCALIERI</v>
          </cell>
          <cell r="B176" t="str">
            <v>001178</v>
          </cell>
          <cell r="C176" t="str">
            <v>TO</v>
          </cell>
          <cell r="D176" t="str">
            <v>TO</v>
          </cell>
          <cell r="E176" t="str">
            <v>10060</v>
          </cell>
        </row>
        <row r="177">
          <cell r="A177" t="str">
            <v>PARELLA</v>
          </cell>
          <cell r="B177" t="str">
            <v>001179</v>
          </cell>
          <cell r="C177" t="str">
            <v>TO</v>
          </cell>
          <cell r="D177" t="str">
            <v>TO</v>
          </cell>
          <cell r="E177" t="str">
            <v>10010</v>
          </cell>
        </row>
        <row r="178">
          <cell r="A178" t="str">
            <v>PAVAROLO</v>
          </cell>
          <cell r="B178" t="str">
            <v>001180</v>
          </cell>
          <cell r="C178" t="str">
            <v>TO</v>
          </cell>
          <cell r="D178" t="str">
            <v>TO</v>
          </cell>
          <cell r="E178" t="str">
            <v>10020</v>
          </cell>
        </row>
        <row r="179">
          <cell r="A179" t="str">
            <v>PAVONE CANAVESE</v>
          </cell>
          <cell r="B179" t="str">
            <v>001181</v>
          </cell>
          <cell r="C179" t="str">
            <v>TO</v>
          </cell>
          <cell r="D179" t="str">
            <v>TO</v>
          </cell>
          <cell r="E179" t="str">
            <v>10018</v>
          </cell>
        </row>
        <row r="180">
          <cell r="A180" t="str">
            <v>PECETTO TORINESE</v>
          </cell>
          <cell r="B180" t="str">
            <v>001183</v>
          </cell>
          <cell r="C180" t="str">
            <v>TO</v>
          </cell>
          <cell r="D180" t="str">
            <v>TO</v>
          </cell>
          <cell r="E180" t="str">
            <v>10020</v>
          </cell>
        </row>
        <row r="181">
          <cell r="A181" t="str">
            <v>PEROSA ARGENTINA</v>
          </cell>
          <cell r="B181" t="str">
            <v>001184</v>
          </cell>
          <cell r="C181" t="str">
            <v>TO</v>
          </cell>
          <cell r="D181" t="str">
            <v>TO</v>
          </cell>
          <cell r="E181" t="str">
            <v>10063</v>
          </cell>
        </row>
        <row r="182">
          <cell r="A182" t="str">
            <v>PEROSA CANAVESE</v>
          </cell>
          <cell r="B182" t="str">
            <v>001185</v>
          </cell>
          <cell r="C182" t="str">
            <v>TO</v>
          </cell>
          <cell r="D182" t="str">
            <v>TO</v>
          </cell>
          <cell r="E182" t="str">
            <v>10010</v>
          </cell>
        </row>
        <row r="183">
          <cell r="A183" t="str">
            <v>PERRERO</v>
          </cell>
          <cell r="B183" t="str">
            <v>001186</v>
          </cell>
          <cell r="C183" t="str">
            <v>TO</v>
          </cell>
          <cell r="D183" t="str">
            <v>TO</v>
          </cell>
          <cell r="E183" t="str">
            <v>10060</v>
          </cell>
        </row>
        <row r="184">
          <cell r="A184" t="str">
            <v>PERTUSIO</v>
          </cell>
          <cell r="B184" t="str">
            <v>001187</v>
          </cell>
          <cell r="C184" t="str">
            <v>TO</v>
          </cell>
          <cell r="D184" t="str">
            <v>TO</v>
          </cell>
          <cell r="E184" t="str">
            <v>10080</v>
          </cell>
        </row>
        <row r="185">
          <cell r="A185" t="str">
            <v>PESSINETTO</v>
          </cell>
          <cell r="B185" t="str">
            <v>001188</v>
          </cell>
          <cell r="C185" t="str">
            <v>TO</v>
          </cell>
          <cell r="D185" t="str">
            <v>TO</v>
          </cell>
          <cell r="E185" t="str">
            <v>10070</v>
          </cell>
        </row>
        <row r="186">
          <cell r="A186" t="str">
            <v>PIANEZZA</v>
          </cell>
          <cell r="B186" t="str">
            <v>001189</v>
          </cell>
          <cell r="C186" t="str">
            <v>TO</v>
          </cell>
          <cell r="D186" t="str">
            <v>TO</v>
          </cell>
          <cell r="E186" t="str">
            <v>10044</v>
          </cell>
        </row>
        <row r="187">
          <cell r="A187" t="str">
            <v>PINASCA</v>
          </cell>
          <cell r="B187" t="str">
            <v>001190</v>
          </cell>
          <cell r="C187" t="str">
            <v>TO</v>
          </cell>
          <cell r="D187" t="str">
            <v>TO</v>
          </cell>
          <cell r="E187" t="str">
            <v>10060</v>
          </cell>
        </row>
        <row r="188">
          <cell r="A188" t="str">
            <v>PINEROLO</v>
          </cell>
          <cell r="B188" t="str">
            <v>001191</v>
          </cell>
          <cell r="C188" t="str">
            <v>TO</v>
          </cell>
          <cell r="D188" t="str">
            <v>TO</v>
          </cell>
          <cell r="E188" t="str">
            <v>10064</v>
          </cell>
        </row>
        <row r="189">
          <cell r="A189" t="str">
            <v>PINO TORINESE</v>
          </cell>
          <cell r="B189" t="str">
            <v>001192</v>
          </cell>
          <cell r="C189" t="str">
            <v>TO</v>
          </cell>
          <cell r="D189" t="str">
            <v>TO</v>
          </cell>
          <cell r="E189" t="str">
            <v>10025</v>
          </cell>
        </row>
        <row r="190">
          <cell r="A190" t="str">
            <v>PIOBESI TORINESE</v>
          </cell>
          <cell r="B190" t="str">
            <v>001193</v>
          </cell>
          <cell r="C190" t="str">
            <v>TO</v>
          </cell>
          <cell r="D190" t="str">
            <v>TO</v>
          </cell>
          <cell r="E190" t="str">
            <v>10040</v>
          </cell>
        </row>
        <row r="191">
          <cell r="A191" t="str">
            <v>PIOSSASCO</v>
          </cell>
          <cell r="B191" t="str">
            <v>001194</v>
          </cell>
          <cell r="C191" t="str">
            <v>TO</v>
          </cell>
          <cell r="D191" t="str">
            <v>TO</v>
          </cell>
          <cell r="E191" t="str">
            <v>10045</v>
          </cell>
        </row>
        <row r="192">
          <cell r="A192" t="str">
            <v>PISCINA</v>
          </cell>
          <cell r="B192" t="str">
            <v>001195</v>
          </cell>
          <cell r="C192" t="str">
            <v>TO</v>
          </cell>
          <cell r="D192" t="str">
            <v>TO</v>
          </cell>
          <cell r="E192" t="str">
            <v>10060</v>
          </cell>
        </row>
        <row r="193">
          <cell r="A193" t="str">
            <v>PIVERONE</v>
          </cell>
          <cell r="B193" t="str">
            <v>001196</v>
          </cell>
          <cell r="C193" t="str">
            <v>TO</v>
          </cell>
          <cell r="D193" t="str">
            <v>TO</v>
          </cell>
          <cell r="E193" t="str">
            <v>10010</v>
          </cell>
        </row>
        <row r="194">
          <cell r="A194" t="str">
            <v>POIRINO</v>
          </cell>
          <cell r="B194" t="str">
            <v>001197</v>
          </cell>
          <cell r="C194" t="str">
            <v>TO</v>
          </cell>
          <cell r="D194" t="str">
            <v>TO</v>
          </cell>
          <cell r="E194" t="str">
            <v>10046</v>
          </cell>
        </row>
        <row r="195">
          <cell r="A195" t="str">
            <v>POMARETTO</v>
          </cell>
          <cell r="B195" t="str">
            <v>001198</v>
          </cell>
          <cell r="C195" t="str">
            <v>TO</v>
          </cell>
          <cell r="D195" t="str">
            <v>TO</v>
          </cell>
          <cell r="E195" t="str">
            <v>10063</v>
          </cell>
        </row>
        <row r="196">
          <cell r="A196" t="str">
            <v>PONT-CANAVESE</v>
          </cell>
          <cell r="B196" t="str">
            <v>001199</v>
          </cell>
          <cell r="C196" t="str">
            <v>TO</v>
          </cell>
          <cell r="D196" t="str">
            <v>TO</v>
          </cell>
          <cell r="E196" t="str">
            <v>10085</v>
          </cell>
        </row>
        <row r="197">
          <cell r="A197" t="str">
            <v>PORTE</v>
          </cell>
          <cell r="B197" t="str">
            <v>001200</v>
          </cell>
          <cell r="C197" t="str">
            <v>TO</v>
          </cell>
          <cell r="D197" t="str">
            <v>TO</v>
          </cell>
          <cell r="E197" t="str">
            <v>10060</v>
          </cell>
        </row>
        <row r="198">
          <cell r="A198" t="str">
            <v>PRAGELATO</v>
          </cell>
          <cell r="B198" t="str">
            <v>001201</v>
          </cell>
          <cell r="C198" t="str">
            <v>TO</v>
          </cell>
          <cell r="D198" t="str">
            <v>TO</v>
          </cell>
          <cell r="E198" t="str">
            <v>10060</v>
          </cell>
        </row>
        <row r="199">
          <cell r="A199" t="str">
            <v>PRALI</v>
          </cell>
          <cell r="B199" t="str">
            <v>001202</v>
          </cell>
          <cell r="C199" t="str">
            <v>TO</v>
          </cell>
          <cell r="D199" t="str">
            <v>TO</v>
          </cell>
          <cell r="E199" t="str">
            <v>10060</v>
          </cell>
        </row>
        <row r="200">
          <cell r="A200" t="str">
            <v>PRALORMO</v>
          </cell>
          <cell r="B200" t="str">
            <v>001203</v>
          </cell>
          <cell r="C200" t="str">
            <v>TO</v>
          </cell>
          <cell r="D200" t="str">
            <v>TO</v>
          </cell>
          <cell r="E200" t="str">
            <v>10040</v>
          </cell>
        </row>
        <row r="201">
          <cell r="A201" t="str">
            <v>PRAMOLLO</v>
          </cell>
          <cell r="B201" t="str">
            <v>001204</v>
          </cell>
          <cell r="C201" t="str">
            <v>TO</v>
          </cell>
          <cell r="D201" t="str">
            <v>TO</v>
          </cell>
          <cell r="E201" t="str">
            <v>10065</v>
          </cell>
        </row>
        <row r="202">
          <cell r="A202" t="str">
            <v>PRAROSTINO</v>
          </cell>
          <cell r="B202" t="str">
            <v>001205</v>
          </cell>
          <cell r="C202" t="str">
            <v>TO</v>
          </cell>
          <cell r="D202" t="str">
            <v>TO</v>
          </cell>
          <cell r="E202" t="str">
            <v>10060</v>
          </cell>
        </row>
        <row r="203">
          <cell r="A203" t="str">
            <v>PRASCORSANO</v>
          </cell>
          <cell r="B203" t="str">
            <v>001206</v>
          </cell>
          <cell r="C203" t="str">
            <v>TO</v>
          </cell>
          <cell r="D203" t="str">
            <v>TO</v>
          </cell>
          <cell r="E203" t="str">
            <v>10080</v>
          </cell>
        </row>
        <row r="204">
          <cell r="A204" t="str">
            <v>PRATIGLIONE</v>
          </cell>
          <cell r="B204" t="str">
            <v>001207</v>
          </cell>
          <cell r="C204" t="str">
            <v>TO</v>
          </cell>
          <cell r="D204" t="str">
            <v>TO</v>
          </cell>
          <cell r="E204" t="str">
            <v>10080</v>
          </cell>
        </row>
        <row r="205">
          <cell r="A205" t="str">
            <v>QUAGLIUZZO</v>
          </cell>
          <cell r="B205" t="str">
            <v>001208</v>
          </cell>
          <cell r="C205" t="str">
            <v>TO</v>
          </cell>
          <cell r="D205" t="str">
            <v>TO</v>
          </cell>
          <cell r="E205" t="str">
            <v>10010</v>
          </cell>
        </row>
        <row r="206">
          <cell r="A206" t="str">
            <v>QUASSOLO</v>
          </cell>
          <cell r="B206" t="str">
            <v>001209</v>
          </cell>
          <cell r="C206" t="str">
            <v>TO</v>
          </cell>
          <cell r="D206" t="str">
            <v>TO</v>
          </cell>
          <cell r="E206" t="str">
            <v>10010</v>
          </cell>
        </row>
        <row r="207">
          <cell r="A207" t="str">
            <v>QUINCINETTO</v>
          </cell>
          <cell r="B207" t="str">
            <v>001210</v>
          </cell>
          <cell r="C207" t="str">
            <v>TO</v>
          </cell>
          <cell r="D207" t="str">
            <v>TO</v>
          </cell>
          <cell r="E207" t="str">
            <v>10010</v>
          </cell>
        </row>
        <row r="208">
          <cell r="A208" t="str">
            <v>REANO</v>
          </cell>
          <cell r="B208" t="str">
            <v>001211</v>
          </cell>
          <cell r="C208" t="str">
            <v>TO</v>
          </cell>
          <cell r="D208" t="str">
            <v>TO</v>
          </cell>
          <cell r="E208" t="str">
            <v>10090</v>
          </cell>
        </row>
        <row r="209">
          <cell r="A209" t="str">
            <v>RIBORDONE</v>
          </cell>
          <cell r="B209" t="str">
            <v>001212</v>
          </cell>
          <cell r="C209" t="str">
            <v>TO</v>
          </cell>
          <cell r="D209" t="str">
            <v>TO</v>
          </cell>
          <cell r="E209" t="str">
            <v>10080</v>
          </cell>
        </row>
        <row r="210">
          <cell r="A210" t="str">
            <v>RIVALBA</v>
          </cell>
          <cell r="B210" t="str">
            <v>001213</v>
          </cell>
          <cell r="C210" t="str">
            <v>TO</v>
          </cell>
          <cell r="D210" t="str">
            <v>TO</v>
          </cell>
          <cell r="E210" t="str">
            <v>10090</v>
          </cell>
        </row>
        <row r="211">
          <cell r="A211" t="str">
            <v>RIVALTA DI TORINO</v>
          </cell>
          <cell r="B211" t="str">
            <v>001214</v>
          </cell>
          <cell r="C211" t="str">
            <v>TO</v>
          </cell>
          <cell r="D211" t="str">
            <v>TO</v>
          </cell>
          <cell r="E211" t="str">
            <v>10040</v>
          </cell>
        </row>
        <row r="212">
          <cell r="A212" t="str">
            <v>RIVA PRESSO CHIERI</v>
          </cell>
          <cell r="B212" t="str">
            <v>001215</v>
          </cell>
          <cell r="C212" t="str">
            <v>TO</v>
          </cell>
          <cell r="D212" t="str">
            <v>TO</v>
          </cell>
          <cell r="E212" t="str">
            <v>10020</v>
          </cell>
        </row>
        <row r="213">
          <cell r="A213" t="str">
            <v>RIVARA</v>
          </cell>
          <cell r="B213" t="str">
            <v>001216</v>
          </cell>
          <cell r="C213" t="str">
            <v>TO</v>
          </cell>
          <cell r="D213" t="str">
            <v>TO</v>
          </cell>
          <cell r="E213" t="str">
            <v>10080</v>
          </cell>
        </row>
        <row r="214">
          <cell r="A214" t="str">
            <v>RIVAROLO CANAVESE</v>
          </cell>
          <cell r="B214" t="str">
            <v>001217</v>
          </cell>
          <cell r="C214" t="str">
            <v>TO</v>
          </cell>
          <cell r="D214" t="str">
            <v>TO</v>
          </cell>
          <cell r="E214" t="str">
            <v>10086</v>
          </cell>
        </row>
        <row r="215">
          <cell r="A215" t="str">
            <v>RIVAROSSA</v>
          </cell>
          <cell r="B215" t="str">
            <v>001218</v>
          </cell>
          <cell r="C215" t="str">
            <v>TO</v>
          </cell>
          <cell r="D215" t="str">
            <v>TO</v>
          </cell>
          <cell r="E215" t="str">
            <v>10040</v>
          </cell>
        </row>
        <row r="216">
          <cell r="A216" t="str">
            <v>RIVOLI</v>
          </cell>
          <cell r="B216" t="str">
            <v>001219</v>
          </cell>
          <cell r="C216" t="str">
            <v>TO</v>
          </cell>
          <cell r="D216" t="str">
            <v>TO</v>
          </cell>
          <cell r="E216" t="str">
            <v>10098</v>
          </cell>
        </row>
        <row r="217">
          <cell r="A217" t="str">
            <v>ROBASSOMERO</v>
          </cell>
          <cell r="B217" t="str">
            <v>001220</v>
          </cell>
          <cell r="C217" t="str">
            <v>TO</v>
          </cell>
          <cell r="D217" t="str">
            <v>TO</v>
          </cell>
          <cell r="E217" t="str">
            <v>10070</v>
          </cell>
        </row>
        <row r="218">
          <cell r="A218" t="str">
            <v>ROCCA CANAVESE</v>
          </cell>
          <cell r="B218" t="str">
            <v>001221</v>
          </cell>
          <cell r="C218" t="str">
            <v>TO</v>
          </cell>
          <cell r="D218" t="str">
            <v>TO</v>
          </cell>
          <cell r="E218" t="str">
            <v>10070</v>
          </cell>
        </row>
        <row r="219">
          <cell r="A219" t="str">
            <v>ROLETTO</v>
          </cell>
          <cell r="B219" t="str">
            <v>001222</v>
          </cell>
          <cell r="C219" t="str">
            <v>TO</v>
          </cell>
          <cell r="D219" t="str">
            <v>TO</v>
          </cell>
          <cell r="E219" t="str">
            <v>10060</v>
          </cell>
        </row>
        <row r="220">
          <cell r="A220" t="str">
            <v>ROMANO CANAVESE</v>
          </cell>
          <cell r="B220" t="str">
            <v>001223</v>
          </cell>
          <cell r="C220" t="str">
            <v>TO</v>
          </cell>
          <cell r="D220" t="str">
            <v>TO</v>
          </cell>
          <cell r="E220" t="str">
            <v>10090</v>
          </cell>
        </row>
        <row r="221">
          <cell r="A221" t="str">
            <v>RONCO CANAVESE</v>
          </cell>
          <cell r="B221" t="str">
            <v>001224</v>
          </cell>
          <cell r="C221" t="str">
            <v>TO</v>
          </cell>
          <cell r="D221" t="str">
            <v>TO</v>
          </cell>
          <cell r="E221" t="str">
            <v>10080</v>
          </cell>
        </row>
        <row r="222">
          <cell r="A222" t="str">
            <v>RONDISSONE</v>
          </cell>
          <cell r="B222" t="str">
            <v>001225</v>
          </cell>
          <cell r="C222" t="str">
            <v>TO</v>
          </cell>
          <cell r="D222" t="str">
            <v>TO</v>
          </cell>
          <cell r="E222" t="str">
            <v>10030</v>
          </cell>
        </row>
        <row r="223">
          <cell r="A223" t="str">
            <v>RORÀ</v>
          </cell>
          <cell r="B223" t="str">
            <v>001226</v>
          </cell>
          <cell r="C223" t="str">
            <v>TO</v>
          </cell>
          <cell r="D223" t="str">
            <v>TO</v>
          </cell>
          <cell r="E223" t="str">
            <v>10060</v>
          </cell>
        </row>
        <row r="224">
          <cell r="A224" t="str">
            <v>ROURE</v>
          </cell>
          <cell r="B224" t="str">
            <v>001227</v>
          </cell>
          <cell r="C224" t="str">
            <v>TO</v>
          </cell>
          <cell r="D224" t="str">
            <v>TO</v>
          </cell>
          <cell r="E224" t="str">
            <v>10060</v>
          </cell>
        </row>
        <row r="225">
          <cell r="A225" t="str">
            <v>ROSTA</v>
          </cell>
          <cell r="B225" t="str">
            <v>001228</v>
          </cell>
          <cell r="C225" t="str">
            <v>TO</v>
          </cell>
          <cell r="D225" t="str">
            <v>TO</v>
          </cell>
          <cell r="E225" t="str">
            <v>10090</v>
          </cell>
        </row>
        <row r="226">
          <cell r="A226" t="str">
            <v>RUBIANA</v>
          </cell>
          <cell r="B226" t="str">
            <v>001229</v>
          </cell>
          <cell r="C226" t="str">
            <v>TO</v>
          </cell>
          <cell r="D226" t="str">
            <v>TO</v>
          </cell>
          <cell r="E226" t="str">
            <v>10040</v>
          </cell>
        </row>
        <row r="227">
          <cell r="A227" t="str">
            <v>RUEGLIO</v>
          </cell>
          <cell r="B227" t="str">
            <v>001230</v>
          </cell>
          <cell r="C227" t="str">
            <v>TO</v>
          </cell>
          <cell r="D227" t="str">
            <v>TO</v>
          </cell>
          <cell r="E227" t="str">
            <v>10010</v>
          </cell>
        </row>
        <row r="228">
          <cell r="A228" t="str">
            <v>SALASSA</v>
          </cell>
          <cell r="B228" t="str">
            <v>001231</v>
          </cell>
          <cell r="C228" t="str">
            <v>TO</v>
          </cell>
          <cell r="D228" t="str">
            <v>TO</v>
          </cell>
          <cell r="E228" t="str">
            <v>10080</v>
          </cell>
        </row>
        <row r="229">
          <cell r="A229" t="str">
            <v>SALBERTRAND</v>
          </cell>
          <cell r="B229" t="str">
            <v>001232</v>
          </cell>
          <cell r="C229" t="str">
            <v>TO</v>
          </cell>
          <cell r="D229" t="str">
            <v>TO</v>
          </cell>
          <cell r="E229" t="str">
            <v>10050</v>
          </cell>
        </row>
        <row r="230">
          <cell r="A230" t="str">
            <v>SALERANO CANAVESE</v>
          </cell>
          <cell r="B230" t="str">
            <v>001233</v>
          </cell>
          <cell r="C230" t="str">
            <v>TO</v>
          </cell>
          <cell r="D230" t="str">
            <v>TO</v>
          </cell>
          <cell r="E230" t="str">
            <v>10010</v>
          </cell>
        </row>
        <row r="231">
          <cell r="A231" t="str">
            <v>SALZA DI PINEROLO</v>
          </cell>
          <cell r="B231" t="str">
            <v>001234</v>
          </cell>
          <cell r="C231" t="str">
            <v>TO</v>
          </cell>
          <cell r="D231" t="str">
            <v>TO</v>
          </cell>
          <cell r="E231" t="str">
            <v>10060</v>
          </cell>
        </row>
        <row r="232">
          <cell r="A232" t="str">
            <v>SAMONE</v>
          </cell>
          <cell r="B232" t="str">
            <v>001235</v>
          </cell>
          <cell r="C232" t="str">
            <v>TO</v>
          </cell>
          <cell r="D232" t="str">
            <v>TO</v>
          </cell>
          <cell r="E232" t="str">
            <v>10010</v>
          </cell>
        </row>
        <row r="233">
          <cell r="A233" t="str">
            <v>SAN BENIGNO CANAVESE</v>
          </cell>
          <cell r="B233" t="str">
            <v>001236</v>
          </cell>
          <cell r="C233" t="str">
            <v>TO</v>
          </cell>
          <cell r="D233" t="str">
            <v>TO</v>
          </cell>
          <cell r="E233" t="str">
            <v>10080</v>
          </cell>
        </row>
        <row r="234">
          <cell r="A234" t="str">
            <v>SAN CARLO CANAVESE</v>
          </cell>
          <cell r="B234" t="str">
            <v>001237</v>
          </cell>
          <cell r="C234" t="str">
            <v>TO</v>
          </cell>
          <cell r="D234" t="str">
            <v>TO</v>
          </cell>
          <cell r="E234" t="str">
            <v>10070</v>
          </cell>
        </row>
        <row r="235">
          <cell r="A235" t="str">
            <v>SAN COLOMBANO BELMONTE</v>
          </cell>
          <cell r="B235" t="str">
            <v>001238</v>
          </cell>
          <cell r="C235" t="str">
            <v>TO</v>
          </cell>
          <cell r="D235" t="str">
            <v>TO</v>
          </cell>
          <cell r="E235" t="str">
            <v>10080</v>
          </cell>
        </row>
        <row r="236">
          <cell r="A236" t="str">
            <v>SAN DIDERO</v>
          </cell>
          <cell r="B236" t="str">
            <v>001239</v>
          </cell>
          <cell r="C236" t="str">
            <v>TO</v>
          </cell>
          <cell r="D236" t="str">
            <v>TO</v>
          </cell>
          <cell r="E236" t="str">
            <v>10050</v>
          </cell>
        </row>
        <row r="237">
          <cell r="A237" t="str">
            <v>SAN FRANCESCO AL CAMPO</v>
          </cell>
          <cell r="B237" t="str">
            <v>001240</v>
          </cell>
          <cell r="C237" t="str">
            <v>TO</v>
          </cell>
          <cell r="D237" t="str">
            <v>TO</v>
          </cell>
          <cell r="E237" t="str">
            <v>10070</v>
          </cell>
        </row>
        <row r="238">
          <cell r="A238" t="str">
            <v>SANGANO</v>
          </cell>
          <cell r="B238" t="str">
            <v>001241</v>
          </cell>
          <cell r="C238" t="str">
            <v>TO</v>
          </cell>
          <cell r="D238" t="str">
            <v>TO</v>
          </cell>
          <cell r="E238" t="str">
            <v>10090</v>
          </cell>
        </row>
        <row r="239">
          <cell r="A239" t="str">
            <v>SAN GERMANO CHISONE</v>
          </cell>
          <cell r="B239" t="str">
            <v>001242</v>
          </cell>
          <cell r="C239" t="str">
            <v>TO</v>
          </cell>
          <cell r="D239" t="str">
            <v>TO</v>
          </cell>
          <cell r="E239" t="str">
            <v>10065</v>
          </cell>
        </row>
        <row r="240">
          <cell r="A240" t="str">
            <v>SAN GILLIO</v>
          </cell>
          <cell r="B240" t="str">
            <v>001243</v>
          </cell>
          <cell r="C240" t="str">
            <v>TO</v>
          </cell>
          <cell r="D240" t="str">
            <v>TO</v>
          </cell>
          <cell r="E240" t="str">
            <v>10040</v>
          </cell>
        </row>
        <row r="241">
          <cell r="A241" t="str">
            <v>SAN GIORGIO CANAVESE</v>
          </cell>
          <cell r="B241" t="str">
            <v>001244</v>
          </cell>
          <cell r="C241" t="str">
            <v>TO</v>
          </cell>
          <cell r="D241" t="str">
            <v>TO</v>
          </cell>
          <cell r="E241" t="str">
            <v>10090</v>
          </cell>
        </row>
        <row r="242">
          <cell r="A242" t="str">
            <v>SAN GIORIO DI SUSA</v>
          </cell>
          <cell r="B242" t="str">
            <v>001245</v>
          </cell>
          <cell r="C242" t="str">
            <v>TO</v>
          </cell>
          <cell r="D242" t="str">
            <v>TO</v>
          </cell>
          <cell r="E242" t="str">
            <v>10050</v>
          </cell>
        </row>
        <row r="243">
          <cell r="A243" t="str">
            <v>SAN GIUSTO CANAVESE</v>
          </cell>
          <cell r="B243" t="str">
            <v>001246</v>
          </cell>
          <cell r="C243" t="str">
            <v>TO</v>
          </cell>
          <cell r="D243" t="str">
            <v>TO</v>
          </cell>
          <cell r="E243" t="str">
            <v>10090</v>
          </cell>
        </row>
        <row r="244">
          <cell r="A244" t="str">
            <v>SAN MARTINO CANAVESE</v>
          </cell>
          <cell r="B244" t="str">
            <v>001247</v>
          </cell>
          <cell r="C244" t="str">
            <v>TO</v>
          </cell>
          <cell r="D244" t="str">
            <v>TO</v>
          </cell>
          <cell r="E244" t="str">
            <v>10010</v>
          </cell>
        </row>
        <row r="245">
          <cell r="A245" t="str">
            <v>SAN MAURIZIO CANAVESE</v>
          </cell>
          <cell r="B245" t="str">
            <v>001248</v>
          </cell>
          <cell r="C245" t="str">
            <v>TO</v>
          </cell>
          <cell r="D245" t="str">
            <v>TO</v>
          </cell>
          <cell r="E245" t="str">
            <v>10077</v>
          </cell>
        </row>
        <row r="246">
          <cell r="A246" t="str">
            <v>SAN MAURO TORINESE</v>
          </cell>
          <cell r="B246" t="str">
            <v>001249</v>
          </cell>
          <cell r="C246" t="str">
            <v>TO</v>
          </cell>
          <cell r="D246" t="str">
            <v>TO</v>
          </cell>
          <cell r="E246" t="str">
            <v>10099</v>
          </cell>
        </row>
        <row r="247">
          <cell r="A247" t="str">
            <v>SAN PIETRO VAL LEMINA</v>
          </cell>
          <cell r="B247" t="str">
            <v>001250</v>
          </cell>
          <cell r="C247" t="str">
            <v>TO</v>
          </cell>
          <cell r="D247" t="str">
            <v>TO</v>
          </cell>
          <cell r="E247" t="str">
            <v>10060</v>
          </cell>
        </row>
        <row r="248">
          <cell r="A248" t="str">
            <v>SAN PONSO</v>
          </cell>
          <cell r="B248" t="str">
            <v>001251</v>
          </cell>
          <cell r="C248" t="str">
            <v>TO</v>
          </cell>
          <cell r="D248" t="str">
            <v>TO</v>
          </cell>
          <cell r="E248" t="str">
            <v>10080</v>
          </cell>
        </row>
        <row r="249">
          <cell r="A249" t="str">
            <v>SAN RAFFAELE CIMENA</v>
          </cell>
          <cell r="B249" t="str">
            <v>001252</v>
          </cell>
          <cell r="C249" t="str">
            <v>TO</v>
          </cell>
          <cell r="D249" t="str">
            <v>TO</v>
          </cell>
          <cell r="E249" t="str">
            <v>10090</v>
          </cell>
        </row>
        <row r="250">
          <cell r="A250" t="str">
            <v>SAN SEBASTIANO DA PO</v>
          </cell>
          <cell r="B250" t="str">
            <v>001253</v>
          </cell>
          <cell r="C250" t="str">
            <v>TO</v>
          </cell>
          <cell r="D250" t="str">
            <v>TO</v>
          </cell>
          <cell r="E250" t="str">
            <v>10020</v>
          </cell>
        </row>
        <row r="251">
          <cell r="A251" t="str">
            <v>SAN SECONDO DI PINEROLO</v>
          </cell>
          <cell r="B251" t="str">
            <v>001254</v>
          </cell>
          <cell r="C251" t="str">
            <v>TO</v>
          </cell>
          <cell r="D251" t="str">
            <v>TO</v>
          </cell>
          <cell r="E251" t="str">
            <v>10060</v>
          </cell>
        </row>
        <row r="252">
          <cell r="A252" t="str">
            <v>SANT'AMBROGIO DI TORINO</v>
          </cell>
          <cell r="B252" t="str">
            <v>001255</v>
          </cell>
          <cell r="C252" t="str">
            <v>TO</v>
          </cell>
          <cell r="D252" t="str">
            <v>TO</v>
          </cell>
          <cell r="E252" t="str">
            <v>10057</v>
          </cell>
        </row>
        <row r="253">
          <cell r="A253" t="str">
            <v>SANT'ANTONINO DI SUSA</v>
          </cell>
          <cell r="B253" t="str">
            <v>001256</v>
          </cell>
          <cell r="C253" t="str">
            <v>TO</v>
          </cell>
          <cell r="D253" t="str">
            <v>TO</v>
          </cell>
          <cell r="E253" t="str">
            <v>10050</v>
          </cell>
        </row>
        <row r="254">
          <cell r="A254" t="str">
            <v>SANTENA</v>
          </cell>
          <cell r="B254" t="str">
            <v>001257</v>
          </cell>
          <cell r="C254" t="str">
            <v>TO</v>
          </cell>
          <cell r="D254" t="str">
            <v>TO</v>
          </cell>
          <cell r="E254" t="str">
            <v>10026</v>
          </cell>
        </row>
        <row r="255">
          <cell r="A255" t="str">
            <v>SAUZE DI CESANA</v>
          </cell>
          <cell r="B255" t="str">
            <v>001258</v>
          </cell>
          <cell r="C255" t="str">
            <v>TO</v>
          </cell>
          <cell r="D255" t="str">
            <v>TO</v>
          </cell>
          <cell r="E255" t="str">
            <v>10054</v>
          </cell>
        </row>
        <row r="256">
          <cell r="A256" t="str">
            <v>SAUZE D'OULX</v>
          </cell>
          <cell r="B256" t="str">
            <v>001259</v>
          </cell>
          <cell r="C256" t="str">
            <v>TO</v>
          </cell>
          <cell r="D256" t="str">
            <v>TO</v>
          </cell>
          <cell r="E256" t="str">
            <v>10050</v>
          </cell>
        </row>
        <row r="257">
          <cell r="A257" t="str">
            <v>SCALENGHE</v>
          </cell>
          <cell r="B257" t="str">
            <v>001260</v>
          </cell>
          <cell r="C257" t="str">
            <v>TO</v>
          </cell>
          <cell r="D257" t="str">
            <v>TO</v>
          </cell>
          <cell r="E257" t="str">
            <v>10060</v>
          </cell>
        </row>
        <row r="258">
          <cell r="A258" t="str">
            <v>SCARMAGNO</v>
          </cell>
          <cell r="B258" t="str">
            <v>001261</v>
          </cell>
          <cell r="C258" t="str">
            <v>TO</v>
          </cell>
          <cell r="D258" t="str">
            <v>TO</v>
          </cell>
          <cell r="E258" t="str">
            <v>10010</v>
          </cell>
        </row>
        <row r="259">
          <cell r="A259" t="str">
            <v>SCIOLZE</v>
          </cell>
          <cell r="B259" t="str">
            <v>001262</v>
          </cell>
          <cell r="C259" t="str">
            <v>TO</v>
          </cell>
          <cell r="D259" t="str">
            <v>TO</v>
          </cell>
          <cell r="E259" t="str">
            <v>10090</v>
          </cell>
        </row>
        <row r="260">
          <cell r="A260" t="str">
            <v>SESTRIERE</v>
          </cell>
          <cell r="B260" t="str">
            <v>001263</v>
          </cell>
          <cell r="C260" t="str">
            <v>TO</v>
          </cell>
          <cell r="D260" t="str">
            <v>TO</v>
          </cell>
          <cell r="E260" t="str">
            <v>10058</v>
          </cell>
        </row>
        <row r="261">
          <cell r="A261" t="str">
            <v>SETTIMO ROTTARO</v>
          </cell>
          <cell r="B261" t="str">
            <v>001264</v>
          </cell>
          <cell r="C261" t="str">
            <v>TO</v>
          </cell>
          <cell r="D261" t="str">
            <v>TO</v>
          </cell>
          <cell r="E261" t="str">
            <v>10010</v>
          </cell>
        </row>
        <row r="262">
          <cell r="A262" t="str">
            <v>SETTIMO TORINESE</v>
          </cell>
          <cell r="B262" t="str">
            <v>001265</v>
          </cell>
          <cell r="C262" t="str">
            <v>TO</v>
          </cell>
          <cell r="D262" t="str">
            <v>TO</v>
          </cell>
          <cell r="E262" t="str">
            <v>10036</v>
          </cell>
        </row>
        <row r="263">
          <cell r="A263" t="str">
            <v>SETTIMO VITTONE</v>
          </cell>
          <cell r="B263" t="str">
            <v>001266</v>
          </cell>
          <cell r="C263" t="str">
            <v>TO</v>
          </cell>
          <cell r="D263" t="str">
            <v>TO</v>
          </cell>
          <cell r="E263" t="str">
            <v>10010</v>
          </cell>
        </row>
        <row r="264">
          <cell r="A264" t="str">
            <v>SPARONE</v>
          </cell>
          <cell r="B264" t="str">
            <v>001267</v>
          </cell>
          <cell r="C264" t="str">
            <v>TO</v>
          </cell>
          <cell r="D264" t="str">
            <v>TO</v>
          </cell>
          <cell r="E264" t="str">
            <v>10080</v>
          </cell>
        </row>
        <row r="265">
          <cell r="A265" t="str">
            <v>STRAMBINELLO</v>
          </cell>
          <cell r="B265" t="str">
            <v>001268</v>
          </cell>
          <cell r="C265" t="str">
            <v>TO</v>
          </cell>
          <cell r="D265" t="str">
            <v>TO</v>
          </cell>
          <cell r="E265" t="str">
            <v>10010</v>
          </cell>
        </row>
        <row r="266">
          <cell r="A266" t="str">
            <v>STRAMBINO</v>
          </cell>
          <cell r="B266" t="str">
            <v>001269</v>
          </cell>
          <cell r="C266" t="str">
            <v>TO</v>
          </cell>
          <cell r="D266" t="str">
            <v>TO</v>
          </cell>
          <cell r="E266" t="str">
            <v>10019</v>
          </cell>
        </row>
        <row r="267">
          <cell r="A267" t="str">
            <v>SUSA</v>
          </cell>
          <cell r="B267" t="str">
            <v>001270</v>
          </cell>
          <cell r="C267" t="str">
            <v>TO</v>
          </cell>
          <cell r="D267" t="str">
            <v>TO</v>
          </cell>
          <cell r="E267" t="str">
            <v>10059</v>
          </cell>
        </row>
        <row r="268">
          <cell r="A268" t="str">
            <v>TAVAGNASCO</v>
          </cell>
          <cell r="B268" t="str">
            <v>001271</v>
          </cell>
          <cell r="C268" t="str">
            <v>TO</v>
          </cell>
          <cell r="D268" t="str">
            <v>TO</v>
          </cell>
          <cell r="E268" t="str">
            <v>10010</v>
          </cell>
        </row>
        <row r="269">
          <cell r="A269" t="str">
            <v>TORINO</v>
          </cell>
          <cell r="B269" t="str">
            <v>001272</v>
          </cell>
          <cell r="C269" t="str">
            <v>TO</v>
          </cell>
          <cell r="D269" t="str">
            <v>TO</v>
          </cell>
          <cell r="E269" t="str">
            <v>101xx</v>
          </cell>
        </row>
        <row r="270">
          <cell r="A270" t="str">
            <v>TORRAZZA PIEMONTE</v>
          </cell>
          <cell r="B270" t="str">
            <v>001273</v>
          </cell>
          <cell r="C270" t="str">
            <v>TO</v>
          </cell>
          <cell r="D270" t="str">
            <v>TO</v>
          </cell>
          <cell r="E270" t="str">
            <v>10037</v>
          </cell>
        </row>
        <row r="271">
          <cell r="A271" t="str">
            <v>TORRE CANAVESE</v>
          </cell>
          <cell r="B271" t="str">
            <v>001274</v>
          </cell>
          <cell r="C271" t="str">
            <v>TO</v>
          </cell>
          <cell r="D271" t="str">
            <v>TO</v>
          </cell>
          <cell r="E271" t="str">
            <v>10010</v>
          </cell>
        </row>
        <row r="272">
          <cell r="A272" t="str">
            <v>TORRE PELLICE</v>
          </cell>
          <cell r="B272" t="str">
            <v>001275</v>
          </cell>
          <cell r="C272" t="str">
            <v>TO</v>
          </cell>
          <cell r="D272" t="str">
            <v>TO</v>
          </cell>
          <cell r="E272" t="str">
            <v>10066</v>
          </cell>
        </row>
        <row r="273">
          <cell r="A273" t="str">
            <v>TRANA</v>
          </cell>
          <cell r="B273" t="str">
            <v>001276</v>
          </cell>
          <cell r="C273" t="str">
            <v>TO</v>
          </cell>
          <cell r="D273" t="str">
            <v>TO</v>
          </cell>
          <cell r="E273" t="str">
            <v>10090</v>
          </cell>
        </row>
        <row r="274">
          <cell r="A274" t="str">
            <v>TRAVERSELLA</v>
          </cell>
          <cell r="B274" t="str">
            <v>001278</v>
          </cell>
          <cell r="C274" t="str">
            <v>TO</v>
          </cell>
          <cell r="D274" t="str">
            <v>TO</v>
          </cell>
          <cell r="E274" t="str">
            <v>10080</v>
          </cell>
        </row>
        <row r="275">
          <cell r="A275" t="str">
            <v>TRAVES</v>
          </cell>
          <cell r="B275" t="str">
            <v>001279</v>
          </cell>
          <cell r="C275" t="str">
            <v>TO</v>
          </cell>
          <cell r="D275" t="str">
            <v>TO</v>
          </cell>
          <cell r="E275" t="str">
            <v>10070</v>
          </cell>
        </row>
        <row r="276">
          <cell r="A276" t="str">
            <v>TROFARELLO</v>
          </cell>
          <cell r="B276" t="str">
            <v>001280</v>
          </cell>
          <cell r="C276" t="str">
            <v>TO</v>
          </cell>
          <cell r="D276" t="str">
            <v>TO</v>
          </cell>
          <cell r="E276" t="str">
            <v>10028</v>
          </cell>
        </row>
        <row r="277">
          <cell r="A277" t="str">
            <v>USSEAUX</v>
          </cell>
          <cell r="B277" t="str">
            <v>001281</v>
          </cell>
          <cell r="C277" t="str">
            <v>TO</v>
          </cell>
          <cell r="D277" t="str">
            <v>TO</v>
          </cell>
          <cell r="E277" t="str">
            <v>10060</v>
          </cell>
        </row>
        <row r="278">
          <cell r="A278" t="str">
            <v>USSEGLIO</v>
          </cell>
          <cell r="B278" t="str">
            <v>001282</v>
          </cell>
          <cell r="C278" t="str">
            <v>TO</v>
          </cell>
          <cell r="D278" t="str">
            <v>TO</v>
          </cell>
          <cell r="E278" t="str">
            <v>10070</v>
          </cell>
        </row>
        <row r="279">
          <cell r="A279" t="str">
            <v>VAIE</v>
          </cell>
          <cell r="B279" t="str">
            <v>001283</v>
          </cell>
          <cell r="C279" t="str">
            <v>TO</v>
          </cell>
          <cell r="D279" t="str">
            <v>TO</v>
          </cell>
          <cell r="E279" t="str">
            <v>10050</v>
          </cell>
        </row>
        <row r="280">
          <cell r="A280" t="str">
            <v>VAL DELLA TORRE</v>
          </cell>
          <cell r="B280" t="str">
            <v>001284</v>
          </cell>
          <cell r="C280" t="str">
            <v>TO</v>
          </cell>
          <cell r="D280" t="str">
            <v>TO</v>
          </cell>
          <cell r="E280" t="str">
            <v>10040</v>
          </cell>
        </row>
        <row r="281">
          <cell r="A281" t="str">
            <v>VALGIOIE</v>
          </cell>
          <cell r="B281" t="str">
            <v>001285</v>
          </cell>
          <cell r="C281" t="str">
            <v>TO</v>
          </cell>
          <cell r="D281" t="str">
            <v>TO</v>
          </cell>
          <cell r="E281" t="str">
            <v>10094</v>
          </cell>
        </row>
        <row r="282">
          <cell r="A282" t="str">
            <v>VALLO TORINESE</v>
          </cell>
          <cell r="B282" t="str">
            <v>001286</v>
          </cell>
          <cell r="C282" t="str">
            <v>TO</v>
          </cell>
          <cell r="D282" t="str">
            <v>TO</v>
          </cell>
          <cell r="E282" t="str">
            <v>10070</v>
          </cell>
        </row>
        <row r="283">
          <cell r="A283" t="str">
            <v>VALPERGA</v>
          </cell>
          <cell r="B283" t="str">
            <v>001287</v>
          </cell>
          <cell r="C283" t="str">
            <v>TO</v>
          </cell>
          <cell r="D283" t="str">
            <v>TO</v>
          </cell>
          <cell r="E283" t="str">
            <v>10087</v>
          </cell>
        </row>
        <row r="284">
          <cell r="A284" t="str">
            <v>VALPRATO SOANA</v>
          </cell>
          <cell r="B284" t="str">
            <v>001288</v>
          </cell>
          <cell r="C284" t="str">
            <v>TO</v>
          </cell>
          <cell r="D284" t="str">
            <v>TO</v>
          </cell>
          <cell r="E284" t="str">
            <v>10080</v>
          </cell>
        </row>
        <row r="285">
          <cell r="A285" t="str">
            <v>VARISELLA</v>
          </cell>
          <cell r="B285" t="str">
            <v>001289</v>
          </cell>
          <cell r="C285" t="str">
            <v>TO</v>
          </cell>
          <cell r="D285" t="str">
            <v>TO</v>
          </cell>
          <cell r="E285" t="str">
            <v>10070</v>
          </cell>
        </row>
        <row r="286">
          <cell r="A286" t="str">
            <v>VAUDA CANAVESE</v>
          </cell>
          <cell r="B286" t="str">
            <v>001290</v>
          </cell>
          <cell r="C286" t="str">
            <v>TO</v>
          </cell>
          <cell r="D286" t="str">
            <v>TO</v>
          </cell>
          <cell r="E286" t="str">
            <v>10070</v>
          </cell>
        </row>
        <row r="287">
          <cell r="A287" t="str">
            <v>VENAUS</v>
          </cell>
          <cell r="B287" t="str">
            <v>001291</v>
          </cell>
          <cell r="C287" t="str">
            <v>TO</v>
          </cell>
          <cell r="D287" t="str">
            <v>TO</v>
          </cell>
          <cell r="E287" t="str">
            <v>10050</v>
          </cell>
        </row>
        <row r="288">
          <cell r="A288" t="str">
            <v>VENARIA REALE</v>
          </cell>
          <cell r="B288" t="str">
            <v>001292</v>
          </cell>
          <cell r="C288" t="str">
            <v>TO</v>
          </cell>
          <cell r="D288" t="str">
            <v>TO</v>
          </cell>
          <cell r="E288" t="str">
            <v>10078</v>
          </cell>
        </row>
        <row r="289">
          <cell r="A289" t="str">
            <v>VEROLENGO</v>
          </cell>
          <cell r="B289" t="str">
            <v>001293</v>
          </cell>
          <cell r="C289" t="str">
            <v>TO</v>
          </cell>
          <cell r="D289" t="str">
            <v>TO</v>
          </cell>
          <cell r="E289" t="str">
            <v>10038</v>
          </cell>
        </row>
        <row r="290">
          <cell r="A290" t="str">
            <v>VERRUA SAVOIA</v>
          </cell>
          <cell r="B290" t="str">
            <v>001294</v>
          </cell>
          <cell r="C290" t="str">
            <v>TO</v>
          </cell>
          <cell r="D290" t="str">
            <v>TO</v>
          </cell>
          <cell r="E290" t="str">
            <v>10020</v>
          </cell>
        </row>
        <row r="291">
          <cell r="A291" t="str">
            <v>VESTIGNÈ</v>
          </cell>
          <cell r="B291" t="str">
            <v>001295</v>
          </cell>
          <cell r="C291" t="str">
            <v>TO</v>
          </cell>
          <cell r="D291" t="str">
            <v>TO</v>
          </cell>
          <cell r="E291" t="str">
            <v>10030</v>
          </cell>
        </row>
        <row r="292">
          <cell r="A292" t="str">
            <v>VIALFRÈ</v>
          </cell>
          <cell r="B292" t="str">
            <v>001296</v>
          </cell>
          <cell r="C292" t="str">
            <v>TO</v>
          </cell>
          <cell r="D292" t="str">
            <v>TO</v>
          </cell>
          <cell r="E292" t="str">
            <v>10090</v>
          </cell>
        </row>
        <row r="293">
          <cell r="A293" t="str">
            <v>VIDRACCO</v>
          </cell>
          <cell r="B293" t="str">
            <v>001298</v>
          </cell>
          <cell r="C293" t="str">
            <v>TO</v>
          </cell>
          <cell r="D293" t="str">
            <v>TO</v>
          </cell>
          <cell r="E293" t="str">
            <v>10080</v>
          </cell>
        </row>
        <row r="294">
          <cell r="A294" t="str">
            <v>VIGONE</v>
          </cell>
          <cell r="B294" t="str">
            <v>001299</v>
          </cell>
          <cell r="C294" t="str">
            <v>TO</v>
          </cell>
          <cell r="D294" t="str">
            <v>TO</v>
          </cell>
          <cell r="E294" t="str">
            <v>10067</v>
          </cell>
        </row>
        <row r="295">
          <cell r="A295" t="str">
            <v>VILLAFRANCA PIEMONTE</v>
          </cell>
          <cell r="B295" t="str">
            <v>001300</v>
          </cell>
          <cell r="C295" t="str">
            <v>TO</v>
          </cell>
          <cell r="D295" t="str">
            <v>TO</v>
          </cell>
          <cell r="E295" t="str">
            <v>10068</v>
          </cell>
        </row>
        <row r="296">
          <cell r="A296" t="str">
            <v>VILLANOVA CANAVESE</v>
          </cell>
          <cell r="B296" t="str">
            <v>001301</v>
          </cell>
          <cell r="C296" t="str">
            <v>TO</v>
          </cell>
          <cell r="D296" t="str">
            <v>TO</v>
          </cell>
          <cell r="E296" t="str">
            <v>10070</v>
          </cell>
        </row>
        <row r="297">
          <cell r="A297" t="str">
            <v>VILLARBASSE</v>
          </cell>
          <cell r="B297" t="str">
            <v>001302</v>
          </cell>
          <cell r="C297" t="str">
            <v>TO</v>
          </cell>
          <cell r="D297" t="str">
            <v>TO</v>
          </cell>
          <cell r="E297" t="str">
            <v>10090</v>
          </cell>
        </row>
        <row r="298">
          <cell r="A298" t="str">
            <v>VILLAR DORA</v>
          </cell>
          <cell r="B298" t="str">
            <v>001303</v>
          </cell>
          <cell r="C298" t="str">
            <v>TO</v>
          </cell>
          <cell r="D298" t="str">
            <v>TO</v>
          </cell>
          <cell r="E298" t="str">
            <v>10040</v>
          </cell>
        </row>
        <row r="299">
          <cell r="A299" t="str">
            <v>VILLAREGGIA</v>
          </cell>
          <cell r="B299" t="str">
            <v>001304</v>
          </cell>
          <cell r="C299" t="str">
            <v>TO</v>
          </cell>
          <cell r="D299" t="str">
            <v>TO</v>
          </cell>
          <cell r="E299" t="str">
            <v>10030</v>
          </cell>
        </row>
        <row r="300">
          <cell r="A300" t="str">
            <v>VILLAR FOCCHIARDO</v>
          </cell>
          <cell r="B300" t="str">
            <v>001305</v>
          </cell>
          <cell r="C300" t="str">
            <v>TO</v>
          </cell>
          <cell r="D300" t="str">
            <v>TO</v>
          </cell>
          <cell r="E300" t="str">
            <v>10050</v>
          </cell>
        </row>
        <row r="301">
          <cell r="A301" t="str">
            <v>VILLAR PELLICE</v>
          </cell>
          <cell r="B301" t="str">
            <v>001306</v>
          </cell>
          <cell r="C301" t="str">
            <v>TO</v>
          </cell>
          <cell r="D301" t="str">
            <v>TO</v>
          </cell>
          <cell r="E301" t="str">
            <v>10060</v>
          </cell>
        </row>
        <row r="302">
          <cell r="A302" t="str">
            <v>VILLAR PEROSA</v>
          </cell>
          <cell r="B302" t="str">
            <v>001307</v>
          </cell>
          <cell r="C302" t="str">
            <v>TO</v>
          </cell>
          <cell r="D302" t="str">
            <v>TO</v>
          </cell>
          <cell r="E302" t="str">
            <v>10069</v>
          </cell>
        </row>
        <row r="303">
          <cell r="A303" t="str">
            <v>VILLASTELLONE</v>
          </cell>
          <cell r="B303" t="str">
            <v>001308</v>
          </cell>
          <cell r="C303" t="str">
            <v>TO</v>
          </cell>
          <cell r="D303" t="str">
            <v>TO</v>
          </cell>
          <cell r="E303" t="str">
            <v>10029</v>
          </cell>
        </row>
        <row r="304">
          <cell r="A304" t="str">
            <v>VINOVO</v>
          </cell>
          <cell r="B304" t="str">
            <v>001309</v>
          </cell>
          <cell r="C304" t="str">
            <v>TO</v>
          </cell>
          <cell r="D304" t="str">
            <v>TO</v>
          </cell>
          <cell r="E304" t="str">
            <v>10048</v>
          </cell>
        </row>
        <row r="305">
          <cell r="A305" t="str">
            <v>VIRLE PIEMONTE</v>
          </cell>
          <cell r="B305" t="str">
            <v>001310</v>
          </cell>
          <cell r="C305" t="str">
            <v>TO</v>
          </cell>
          <cell r="D305" t="str">
            <v>TO</v>
          </cell>
          <cell r="E305" t="str">
            <v>10060</v>
          </cell>
        </row>
        <row r="306">
          <cell r="A306" t="str">
            <v>VISCHE</v>
          </cell>
          <cell r="B306" t="str">
            <v>001311</v>
          </cell>
          <cell r="C306" t="str">
            <v>TO</v>
          </cell>
          <cell r="D306" t="str">
            <v>TO</v>
          </cell>
          <cell r="E306" t="str">
            <v>10030</v>
          </cell>
        </row>
        <row r="307">
          <cell r="A307" t="str">
            <v>VISTRORIO</v>
          </cell>
          <cell r="B307" t="str">
            <v>001312</v>
          </cell>
          <cell r="C307" t="str">
            <v>TO</v>
          </cell>
          <cell r="D307" t="str">
            <v>TO</v>
          </cell>
          <cell r="E307" t="str">
            <v>10080</v>
          </cell>
        </row>
        <row r="308">
          <cell r="A308" t="str">
            <v>VIÙ</v>
          </cell>
          <cell r="B308" t="str">
            <v>001313</v>
          </cell>
          <cell r="C308" t="str">
            <v>TO</v>
          </cell>
          <cell r="D308" t="str">
            <v>TO</v>
          </cell>
          <cell r="E308" t="str">
            <v>10070</v>
          </cell>
        </row>
        <row r="309">
          <cell r="A309" t="str">
            <v>VOLPIANO</v>
          </cell>
          <cell r="B309" t="str">
            <v>001314</v>
          </cell>
          <cell r="C309" t="str">
            <v>TO</v>
          </cell>
          <cell r="D309" t="str">
            <v>TO</v>
          </cell>
          <cell r="E309" t="str">
            <v>10088</v>
          </cell>
        </row>
        <row r="310">
          <cell r="A310" t="str">
            <v>VOLVERA</v>
          </cell>
          <cell r="B310" t="str">
            <v>001315</v>
          </cell>
          <cell r="C310" t="str">
            <v>TO</v>
          </cell>
          <cell r="D310" t="str">
            <v>TO</v>
          </cell>
          <cell r="E310" t="str">
            <v>10040</v>
          </cell>
        </row>
        <row r="311">
          <cell r="A311" t="str">
            <v>MAPPANO</v>
          </cell>
          <cell r="B311" t="str">
            <v>001316</v>
          </cell>
          <cell r="C311" t="str">
            <v>TO</v>
          </cell>
          <cell r="D311" t="e">
            <v>#N/A</v>
          </cell>
          <cell r="E311" t="e">
            <v>#N/A</v>
          </cell>
        </row>
        <row r="312">
          <cell r="A312" t="str">
            <v>VAL DI CHY</v>
          </cell>
          <cell r="B312" t="str">
            <v>001317</v>
          </cell>
          <cell r="C312" t="str">
            <v>TO</v>
          </cell>
          <cell r="D312" t="e">
            <v>#N/A</v>
          </cell>
          <cell r="E312" t="e">
            <v>#N/A</v>
          </cell>
        </row>
        <row r="313">
          <cell r="A313" t="str">
            <v>VALCHIUSA</v>
          </cell>
          <cell r="B313" t="str">
            <v>001318</v>
          </cell>
          <cell r="C313" t="str">
            <v>TO</v>
          </cell>
          <cell r="D313" t="e">
            <v>#N/A</v>
          </cell>
          <cell r="E313" t="e">
            <v>#N/A</v>
          </cell>
        </row>
        <row r="314">
          <cell r="A314" t="str">
            <v>ALAGNA VALSESIA</v>
          </cell>
          <cell r="B314" t="str">
            <v>002002</v>
          </cell>
          <cell r="C314" t="str">
            <v>VC</v>
          </cell>
          <cell r="D314" t="str">
            <v>VC</v>
          </cell>
          <cell r="E314" t="str">
            <v>13021</v>
          </cell>
        </row>
        <row r="315">
          <cell r="A315" t="str">
            <v>ALBANO VERCELLESE</v>
          </cell>
          <cell r="B315" t="str">
            <v>002003</v>
          </cell>
          <cell r="C315" t="str">
            <v>VC</v>
          </cell>
          <cell r="D315" t="str">
            <v>VC</v>
          </cell>
          <cell r="E315" t="str">
            <v>13030</v>
          </cell>
        </row>
        <row r="316">
          <cell r="A316" t="str">
            <v>ALICE CASTELLO</v>
          </cell>
          <cell r="B316" t="str">
            <v>002004</v>
          </cell>
          <cell r="C316" t="str">
            <v>VC</v>
          </cell>
          <cell r="D316" t="str">
            <v>VC</v>
          </cell>
          <cell r="E316" t="str">
            <v>13040</v>
          </cell>
        </row>
        <row r="317">
          <cell r="A317" t="str">
            <v>ARBORIO</v>
          </cell>
          <cell r="B317" t="str">
            <v>002006</v>
          </cell>
          <cell r="C317" t="str">
            <v>VC</v>
          </cell>
          <cell r="D317" t="str">
            <v>VC</v>
          </cell>
          <cell r="E317" t="str">
            <v>13031</v>
          </cell>
        </row>
        <row r="318">
          <cell r="A318" t="str">
            <v>ASIGLIANO VERCELLESE</v>
          </cell>
          <cell r="B318" t="str">
            <v>002007</v>
          </cell>
          <cell r="C318" t="str">
            <v>VC</v>
          </cell>
          <cell r="D318" t="str">
            <v>VC</v>
          </cell>
          <cell r="E318" t="str">
            <v>13032</v>
          </cell>
        </row>
        <row r="319">
          <cell r="A319" t="str">
            <v>BALMUCCIA</v>
          </cell>
          <cell r="B319" t="str">
            <v>002008</v>
          </cell>
          <cell r="C319" t="str">
            <v>VC</v>
          </cell>
          <cell r="D319" t="str">
            <v>VC</v>
          </cell>
          <cell r="E319" t="str">
            <v>13020</v>
          </cell>
        </row>
        <row r="320">
          <cell r="A320" t="str">
            <v>BALOCCO</v>
          </cell>
          <cell r="B320" t="str">
            <v>002009</v>
          </cell>
          <cell r="C320" t="str">
            <v>VC</v>
          </cell>
          <cell r="D320" t="str">
            <v>VC</v>
          </cell>
          <cell r="E320" t="str">
            <v>13040</v>
          </cell>
        </row>
        <row r="321">
          <cell r="A321" t="str">
            <v>BIANZÈ</v>
          </cell>
          <cell r="B321" t="str">
            <v>002011</v>
          </cell>
          <cell r="C321" t="str">
            <v>VC</v>
          </cell>
          <cell r="D321" t="str">
            <v>VC</v>
          </cell>
          <cell r="E321" t="str">
            <v>13041</v>
          </cell>
        </row>
        <row r="322">
          <cell r="A322" t="str">
            <v>BOCCIOLETO</v>
          </cell>
          <cell r="B322" t="str">
            <v>002014</v>
          </cell>
          <cell r="C322" t="str">
            <v>VC</v>
          </cell>
          <cell r="D322" t="str">
            <v>VC</v>
          </cell>
          <cell r="E322" t="str">
            <v>13022</v>
          </cell>
        </row>
        <row r="323">
          <cell r="A323" t="str">
            <v>BORGO D'ALE</v>
          </cell>
          <cell r="B323" t="str">
            <v>002015</v>
          </cell>
          <cell r="C323" t="str">
            <v>VC</v>
          </cell>
          <cell r="D323" t="str">
            <v>VC</v>
          </cell>
          <cell r="E323" t="str">
            <v>13040</v>
          </cell>
        </row>
        <row r="324">
          <cell r="A324" t="str">
            <v>BORGOSESIA</v>
          </cell>
          <cell r="B324" t="str">
            <v>002016</v>
          </cell>
          <cell r="C324" t="str">
            <v>VC</v>
          </cell>
          <cell r="D324" t="str">
            <v>VC</v>
          </cell>
          <cell r="E324" t="str">
            <v>13011</v>
          </cell>
        </row>
        <row r="325">
          <cell r="A325" t="str">
            <v>BORGO VERCELLI</v>
          </cell>
          <cell r="B325" t="str">
            <v>002017</v>
          </cell>
          <cell r="C325" t="str">
            <v>VC</v>
          </cell>
          <cell r="D325" t="str">
            <v>VC</v>
          </cell>
          <cell r="E325" t="str">
            <v>13012</v>
          </cell>
        </row>
        <row r="326">
          <cell r="A326" t="str">
            <v>BURONZO</v>
          </cell>
          <cell r="B326" t="str">
            <v>002021</v>
          </cell>
          <cell r="C326" t="str">
            <v>VC</v>
          </cell>
          <cell r="D326" t="str">
            <v>VC</v>
          </cell>
          <cell r="E326" t="str">
            <v>13040</v>
          </cell>
        </row>
        <row r="327">
          <cell r="A327" t="str">
            <v>CAMPERTOGNO</v>
          </cell>
          <cell r="B327" t="str">
            <v>002025</v>
          </cell>
          <cell r="C327" t="str">
            <v>VC</v>
          </cell>
          <cell r="D327" t="str">
            <v>VC</v>
          </cell>
          <cell r="E327" t="str">
            <v>13023</v>
          </cell>
        </row>
        <row r="328">
          <cell r="A328" t="str">
            <v>CARCOFORO</v>
          </cell>
          <cell r="B328" t="str">
            <v>002029</v>
          </cell>
          <cell r="C328" t="str">
            <v>VC</v>
          </cell>
          <cell r="D328" t="str">
            <v>VC</v>
          </cell>
          <cell r="E328" t="str">
            <v>13026</v>
          </cell>
        </row>
        <row r="329">
          <cell r="A329" t="str">
            <v>CARESANA</v>
          </cell>
          <cell r="B329" t="str">
            <v>002030</v>
          </cell>
          <cell r="C329" t="str">
            <v>VC</v>
          </cell>
          <cell r="D329" t="str">
            <v>VC</v>
          </cell>
          <cell r="E329" t="str">
            <v>13010</v>
          </cell>
        </row>
        <row r="330">
          <cell r="A330" t="str">
            <v>CARESANABLOT</v>
          </cell>
          <cell r="B330" t="str">
            <v>002031</v>
          </cell>
          <cell r="C330" t="str">
            <v>VC</v>
          </cell>
          <cell r="D330" t="str">
            <v>VC</v>
          </cell>
          <cell r="E330" t="str">
            <v>13030</v>
          </cell>
        </row>
        <row r="331">
          <cell r="A331" t="str">
            <v>CARISIO</v>
          </cell>
          <cell r="B331" t="str">
            <v>002032</v>
          </cell>
          <cell r="C331" t="str">
            <v>VC</v>
          </cell>
          <cell r="D331" t="str">
            <v>VC</v>
          </cell>
          <cell r="E331" t="str">
            <v>13040</v>
          </cell>
        </row>
        <row r="332">
          <cell r="A332" t="str">
            <v>CASANOVA ELVO</v>
          </cell>
          <cell r="B332" t="str">
            <v>002033</v>
          </cell>
          <cell r="C332" t="str">
            <v>VC</v>
          </cell>
          <cell r="D332" t="str">
            <v>VC</v>
          </cell>
          <cell r="E332" t="str">
            <v>13030</v>
          </cell>
        </row>
        <row r="333">
          <cell r="A333" t="str">
            <v>SAN GIACOMO VERCELLESE</v>
          </cell>
          <cell r="B333" t="str">
            <v>002035</v>
          </cell>
          <cell r="C333" t="str">
            <v>VC</v>
          </cell>
          <cell r="D333" t="str">
            <v>VC</v>
          </cell>
          <cell r="E333" t="str">
            <v>13030</v>
          </cell>
        </row>
        <row r="334">
          <cell r="A334" t="str">
            <v>CERVATTO</v>
          </cell>
          <cell r="B334" t="str">
            <v>002041</v>
          </cell>
          <cell r="C334" t="str">
            <v>VC</v>
          </cell>
          <cell r="D334" t="str">
            <v>VC</v>
          </cell>
          <cell r="E334" t="str">
            <v>13025</v>
          </cell>
        </row>
        <row r="335">
          <cell r="A335" t="str">
            <v>CIGLIANO</v>
          </cell>
          <cell r="B335" t="str">
            <v>002042</v>
          </cell>
          <cell r="C335" t="str">
            <v>VC</v>
          </cell>
          <cell r="D335" t="str">
            <v>VC</v>
          </cell>
          <cell r="E335" t="str">
            <v>13043</v>
          </cell>
        </row>
        <row r="336">
          <cell r="A336" t="str">
            <v>CIVIASCO</v>
          </cell>
          <cell r="B336" t="str">
            <v>002043</v>
          </cell>
          <cell r="C336" t="str">
            <v>VC</v>
          </cell>
          <cell r="D336" t="str">
            <v>VC</v>
          </cell>
          <cell r="E336" t="str">
            <v>13010</v>
          </cell>
        </row>
        <row r="337">
          <cell r="A337" t="str">
            <v>COLLOBIANO</v>
          </cell>
          <cell r="B337" t="str">
            <v>002045</v>
          </cell>
          <cell r="C337" t="str">
            <v>VC</v>
          </cell>
          <cell r="D337" t="str">
            <v>VC</v>
          </cell>
          <cell r="E337" t="str">
            <v>13030</v>
          </cell>
        </row>
        <row r="338">
          <cell r="A338" t="str">
            <v>COSTANZANA</v>
          </cell>
          <cell r="B338" t="str">
            <v>002047</v>
          </cell>
          <cell r="C338" t="str">
            <v>VC</v>
          </cell>
          <cell r="D338" t="str">
            <v>VC</v>
          </cell>
          <cell r="E338" t="str">
            <v>13033</v>
          </cell>
        </row>
        <row r="339">
          <cell r="A339" t="str">
            <v>CRAVAGLIANA</v>
          </cell>
          <cell r="B339" t="str">
            <v>002048</v>
          </cell>
          <cell r="C339" t="str">
            <v>VC</v>
          </cell>
          <cell r="D339" t="str">
            <v>VC</v>
          </cell>
          <cell r="E339" t="str">
            <v>13020</v>
          </cell>
        </row>
        <row r="340">
          <cell r="A340" t="str">
            <v>CRESCENTINO</v>
          </cell>
          <cell r="B340" t="str">
            <v>002049</v>
          </cell>
          <cell r="C340" t="str">
            <v>VC</v>
          </cell>
          <cell r="D340" t="str">
            <v>VC</v>
          </cell>
          <cell r="E340" t="str">
            <v>13044</v>
          </cell>
        </row>
        <row r="341">
          <cell r="A341" t="str">
            <v>CROVA</v>
          </cell>
          <cell r="B341" t="str">
            <v>002052</v>
          </cell>
          <cell r="C341" t="str">
            <v>VC</v>
          </cell>
          <cell r="D341" t="str">
            <v>VC</v>
          </cell>
          <cell r="E341" t="str">
            <v>13040</v>
          </cell>
        </row>
        <row r="342">
          <cell r="A342" t="str">
            <v>DESANA</v>
          </cell>
          <cell r="B342" t="str">
            <v>002054</v>
          </cell>
          <cell r="C342" t="str">
            <v>VC</v>
          </cell>
          <cell r="D342" t="str">
            <v>VC</v>
          </cell>
          <cell r="E342" t="str">
            <v>13034</v>
          </cell>
        </row>
        <row r="343">
          <cell r="A343" t="str">
            <v>FOBELLO</v>
          </cell>
          <cell r="B343" t="str">
            <v>002057</v>
          </cell>
          <cell r="C343" t="str">
            <v>VC</v>
          </cell>
          <cell r="D343" t="str">
            <v>VC</v>
          </cell>
          <cell r="E343" t="str">
            <v>13025</v>
          </cell>
        </row>
        <row r="344">
          <cell r="A344" t="str">
            <v>FONTANETTO PO</v>
          </cell>
          <cell r="B344" t="str">
            <v>002058</v>
          </cell>
          <cell r="C344" t="str">
            <v>VC</v>
          </cell>
          <cell r="D344" t="str">
            <v>VC</v>
          </cell>
          <cell r="E344" t="str">
            <v>13040</v>
          </cell>
        </row>
        <row r="345">
          <cell r="A345" t="str">
            <v>FORMIGLIANA</v>
          </cell>
          <cell r="B345" t="str">
            <v>002059</v>
          </cell>
          <cell r="C345" t="str">
            <v>VC</v>
          </cell>
          <cell r="D345" t="str">
            <v>VC</v>
          </cell>
          <cell r="E345" t="str">
            <v>13030</v>
          </cell>
        </row>
        <row r="346">
          <cell r="A346" t="str">
            <v>GATTINARA</v>
          </cell>
          <cell r="B346" t="str">
            <v>002061</v>
          </cell>
          <cell r="C346" t="str">
            <v>VC</v>
          </cell>
          <cell r="D346" t="str">
            <v>VC</v>
          </cell>
          <cell r="E346" t="str">
            <v>13045</v>
          </cell>
        </row>
        <row r="347">
          <cell r="A347" t="str">
            <v>GHISLARENGO</v>
          </cell>
          <cell r="B347" t="str">
            <v>002062</v>
          </cell>
          <cell r="C347" t="str">
            <v>VC</v>
          </cell>
          <cell r="D347" t="str">
            <v>VC</v>
          </cell>
          <cell r="E347" t="str">
            <v>13030</v>
          </cell>
        </row>
        <row r="348">
          <cell r="A348" t="str">
            <v>GREGGIO</v>
          </cell>
          <cell r="B348" t="str">
            <v>002065</v>
          </cell>
          <cell r="C348" t="str">
            <v>VC</v>
          </cell>
          <cell r="D348" t="str">
            <v>VC</v>
          </cell>
          <cell r="E348" t="str">
            <v>13030</v>
          </cell>
        </row>
        <row r="349">
          <cell r="A349" t="str">
            <v>GUARDABOSONE</v>
          </cell>
          <cell r="B349" t="str">
            <v>002066</v>
          </cell>
          <cell r="C349" t="str">
            <v>VC</v>
          </cell>
          <cell r="D349" t="str">
            <v>VC</v>
          </cell>
          <cell r="E349" t="str">
            <v>13010</v>
          </cell>
        </row>
        <row r="350">
          <cell r="A350" t="str">
            <v>LAMPORO</v>
          </cell>
          <cell r="B350" t="str">
            <v>002067</v>
          </cell>
          <cell r="C350" t="str">
            <v>VC</v>
          </cell>
          <cell r="D350" t="str">
            <v>VC</v>
          </cell>
          <cell r="E350" t="str">
            <v>13046</v>
          </cell>
        </row>
        <row r="351">
          <cell r="A351" t="str">
            <v>LENTA</v>
          </cell>
          <cell r="B351" t="str">
            <v>002068</v>
          </cell>
          <cell r="C351" t="str">
            <v>VC</v>
          </cell>
          <cell r="D351" t="str">
            <v>VC</v>
          </cell>
          <cell r="E351" t="str">
            <v>13035</v>
          </cell>
        </row>
        <row r="352">
          <cell r="A352" t="str">
            <v>LIGNANA</v>
          </cell>
          <cell r="B352" t="str">
            <v>002070</v>
          </cell>
          <cell r="C352" t="str">
            <v>VC</v>
          </cell>
          <cell r="D352" t="str">
            <v>VC</v>
          </cell>
          <cell r="E352" t="str">
            <v>13034</v>
          </cell>
        </row>
        <row r="353">
          <cell r="A353" t="str">
            <v>LIVORNO FERRARIS</v>
          </cell>
          <cell r="B353" t="str">
            <v>002071</v>
          </cell>
          <cell r="C353" t="str">
            <v>VC</v>
          </cell>
          <cell r="D353" t="str">
            <v>VC</v>
          </cell>
          <cell r="E353" t="str">
            <v>13046</v>
          </cell>
        </row>
        <row r="354">
          <cell r="A354" t="str">
            <v>LOZZOLO</v>
          </cell>
          <cell r="B354" t="str">
            <v>002072</v>
          </cell>
          <cell r="C354" t="str">
            <v>VC</v>
          </cell>
          <cell r="D354" t="str">
            <v>VC</v>
          </cell>
          <cell r="E354" t="str">
            <v>13045</v>
          </cell>
        </row>
        <row r="355">
          <cell r="A355" t="str">
            <v>MOLLIA</v>
          </cell>
          <cell r="B355" t="str">
            <v>002078</v>
          </cell>
          <cell r="C355" t="str">
            <v>VC</v>
          </cell>
          <cell r="D355" t="str">
            <v>VC</v>
          </cell>
          <cell r="E355" t="str">
            <v>13020</v>
          </cell>
        </row>
        <row r="356">
          <cell r="A356" t="str">
            <v>MONCRIVELLO</v>
          </cell>
          <cell r="B356" t="str">
            <v>002079</v>
          </cell>
          <cell r="C356" t="str">
            <v>VC</v>
          </cell>
          <cell r="D356" t="str">
            <v>VC</v>
          </cell>
          <cell r="E356" t="str">
            <v>13040</v>
          </cell>
        </row>
        <row r="357">
          <cell r="A357" t="str">
            <v>MOTTA DE' CONTI</v>
          </cell>
          <cell r="B357" t="str">
            <v>002082</v>
          </cell>
          <cell r="C357" t="str">
            <v>VC</v>
          </cell>
          <cell r="D357" t="str">
            <v>VC</v>
          </cell>
          <cell r="E357" t="str">
            <v>13010</v>
          </cell>
        </row>
        <row r="358">
          <cell r="A358" t="str">
            <v>OLCENENGO</v>
          </cell>
          <cell r="B358" t="str">
            <v>002088</v>
          </cell>
          <cell r="C358" t="str">
            <v>VC</v>
          </cell>
          <cell r="D358" t="str">
            <v>VC</v>
          </cell>
          <cell r="E358" t="str">
            <v>13047</v>
          </cell>
        </row>
        <row r="359">
          <cell r="A359" t="str">
            <v>OLDENICO</v>
          </cell>
          <cell r="B359" t="str">
            <v>002089</v>
          </cell>
          <cell r="C359" t="str">
            <v>VC</v>
          </cell>
          <cell r="D359" t="str">
            <v>VC</v>
          </cell>
          <cell r="E359" t="str">
            <v>13030</v>
          </cell>
        </row>
        <row r="360">
          <cell r="A360" t="str">
            <v>PALAZZOLO VERCELLESE</v>
          </cell>
          <cell r="B360" t="str">
            <v>002090</v>
          </cell>
          <cell r="C360" t="str">
            <v>VC</v>
          </cell>
          <cell r="D360" t="str">
            <v>VC</v>
          </cell>
          <cell r="E360" t="str">
            <v>13040</v>
          </cell>
        </row>
        <row r="361">
          <cell r="A361" t="str">
            <v>PERTENGO</v>
          </cell>
          <cell r="B361" t="str">
            <v>002091</v>
          </cell>
          <cell r="C361" t="str">
            <v>VC</v>
          </cell>
          <cell r="D361" t="str">
            <v>VC</v>
          </cell>
          <cell r="E361" t="str">
            <v>13030</v>
          </cell>
        </row>
        <row r="362">
          <cell r="A362" t="str">
            <v>PEZZANA</v>
          </cell>
          <cell r="B362" t="str">
            <v>002093</v>
          </cell>
          <cell r="C362" t="str">
            <v>VC</v>
          </cell>
          <cell r="D362" t="str">
            <v>VC</v>
          </cell>
          <cell r="E362" t="str">
            <v>13010</v>
          </cell>
        </row>
        <row r="363">
          <cell r="A363" t="str">
            <v>PILA</v>
          </cell>
          <cell r="B363" t="str">
            <v>002096</v>
          </cell>
          <cell r="C363" t="str">
            <v>VC</v>
          </cell>
          <cell r="D363" t="str">
            <v>VC</v>
          </cell>
          <cell r="E363" t="str">
            <v>13020</v>
          </cell>
        </row>
        <row r="364">
          <cell r="A364" t="str">
            <v>PIODE</v>
          </cell>
          <cell r="B364" t="str">
            <v>002097</v>
          </cell>
          <cell r="C364" t="str">
            <v>VC</v>
          </cell>
          <cell r="D364" t="str">
            <v>VC</v>
          </cell>
          <cell r="E364" t="str">
            <v>13020</v>
          </cell>
        </row>
        <row r="365">
          <cell r="A365" t="str">
            <v>POSTUA</v>
          </cell>
          <cell r="B365" t="str">
            <v>002102</v>
          </cell>
          <cell r="C365" t="str">
            <v>VC</v>
          </cell>
          <cell r="D365" t="str">
            <v>VC</v>
          </cell>
          <cell r="E365" t="str">
            <v>13010</v>
          </cell>
        </row>
        <row r="366">
          <cell r="A366" t="str">
            <v>PRAROLO</v>
          </cell>
          <cell r="B366" t="str">
            <v>002104</v>
          </cell>
          <cell r="C366" t="str">
            <v>VC</v>
          </cell>
          <cell r="D366" t="str">
            <v>VC</v>
          </cell>
          <cell r="E366" t="str">
            <v>13012</v>
          </cell>
        </row>
        <row r="367">
          <cell r="A367" t="str">
            <v>QUARONA</v>
          </cell>
          <cell r="B367" t="str">
            <v>002107</v>
          </cell>
          <cell r="C367" t="str">
            <v>VC</v>
          </cell>
          <cell r="D367" t="str">
            <v>VC</v>
          </cell>
          <cell r="E367" t="str">
            <v>13017</v>
          </cell>
        </row>
        <row r="368">
          <cell r="A368" t="str">
            <v>QUINTO VERCELLESE</v>
          </cell>
          <cell r="B368" t="str">
            <v>002108</v>
          </cell>
          <cell r="C368" t="str">
            <v>VC</v>
          </cell>
          <cell r="D368" t="str">
            <v>VC</v>
          </cell>
          <cell r="E368" t="str">
            <v>13030</v>
          </cell>
        </row>
        <row r="369">
          <cell r="A369" t="str">
            <v>RASSA</v>
          </cell>
          <cell r="B369" t="str">
            <v>002110</v>
          </cell>
          <cell r="C369" t="str">
            <v>VC</v>
          </cell>
          <cell r="D369" t="str">
            <v>VC</v>
          </cell>
          <cell r="E369" t="str">
            <v>13020</v>
          </cell>
        </row>
        <row r="370">
          <cell r="A370" t="str">
            <v>RIMELLA</v>
          </cell>
          <cell r="B370" t="str">
            <v>002113</v>
          </cell>
          <cell r="C370" t="str">
            <v>VC</v>
          </cell>
          <cell r="D370" t="str">
            <v>VC</v>
          </cell>
          <cell r="E370" t="str">
            <v>13020</v>
          </cell>
        </row>
        <row r="371">
          <cell r="A371" t="str">
            <v>RIVE</v>
          </cell>
          <cell r="B371" t="str">
            <v>002115</v>
          </cell>
          <cell r="C371" t="str">
            <v>VC</v>
          </cell>
          <cell r="D371" t="str">
            <v>VC</v>
          </cell>
          <cell r="E371" t="str">
            <v>13030</v>
          </cell>
        </row>
        <row r="372">
          <cell r="A372" t="str">
            <v>ROASIO</v>
          </cell>
          <cell r="B372" t="str">
            <v>002116</v>
          </cell>
          <cell r="C372" t="str">
            <v>VC</v>
          </cell>
          <cell r="D372" t="str">
            <v>VC</v>
          </cell>
          <cell r="E372" t="str">
            <v>13060</v>
          </cell>
        </row>
        <row r="373">
          <cell r="A373" t="str">
            <v>RONSECCO</v>
          </cell>
          <cell r="B373" t="str">
            <v>002118</v>
          </cell>
          <cell r="C373" t="str">
            <v>VC</v>
          </cell>
          <cell r="D373" t="str">
            <v>VC</v>
          </cell>
          <cell r="E373" t="str">
            <v>13036</v>
          </cell>
        </row>
        <row r="374">
          <cell r="A374" t="str">
            <v>ROSSA</v>
          </cell>
          <cell r="B374" t="str">
            <v>002121</v>
          </cell>
          <cell r="C374" t="str">
            <v>VC</v>
          </cell>
          <cell r="D374" t="str">
            <v>VC</v>
          </cell>
          <cell r="E374" t="str">
            <v>13020</v>
          </cell>
        </row>
        <row r="375">
          <cell r="A375" t="str">
            <v>ROVASENDA</v>
          </cell>
          <cell r="B375" t="str">
            <v>002122</v>
          </cell>
          <cell r="C375" t="str">
            <v>VC</v>
          </cell>
          <cell r="D375" t="str">
            <v>VC</v>
          </cell>
          <cell r="E375" t="str">
            <v>13040</v>
          </cell>
        </row>
        <row r="376">
          <cell r="A376" t="str">
            <v>SALASCO</v>
          </cell>
          <cell r="B376" t="str">
            <v>002126</v>
          </cell>
          <cell r="C376" t="str">
            <v>VC</v>
          </cell>
          <cell r="D376" t="str">
            <v>VC</v>
          </cell>
          <cell r="E376" t="str">
            <v>13040</v>
          </cell>
        </row>
        <row r="377">
          <cell r="A377" t="str">
            <v>SALI VERCELLESE</v>
          </cell>
          <cell r="B377" t="str">
            <v>002127</v>
          </cell>
          <cell r="C377" t="str">
            <v>VC</v>
          </cell>
          <cell r="D377" t="str">
            <v>VC</v>
          </cell>
          <cell r="E377" t="str">
            <v>13040</v>
          </cell>
        </row>
        <row r="378">
          <cell r="A378" t="str">
            <v>SALUGGIA</v>
          </cell>
          <cell r="B378" t="str">
            <v>002128</v>
          </cell>
          <cell r="C378" t="str">
            <v>VC</v>
          </cell>
          <cell r="D378" t="str">
            <v>VC</v>
          </cell>
          <cell r="E378" t="str">
            <v>13040</v>
          </cell>
        </row>
        <row r="379">
          <cell r="A379" t="str">
            <v>SAN GERMANO VERCELLESE</v>
          </cell>
          <cell r="B379" t="str">
            <v>002131</v>
          </cell>
          <cell r="C379" t="str">
            <v>VC</v>
          </cell>
          <cell r="D379" t="str">
            <v>VC</v>
          </cell>
          <cell r="E379" t="str">
            <v>13047</v>
          </cell>
        </row>
        <row r="380">
          <cell r="A380" t="str">
            <v>SANTHIÀ</v>
          </cell>
          <cell r="B380" t="str">
            <v>002133</v>
          </cell>
          <cell r="C380" t="str">
            <v>VC</v>
          </cell>
          <cell r="D380" t="str">
            <v>VC</v>
          </cell>
          <cell r="E380" t="str">
            <v>13048</v>
          </cell>
        </row>
        <row r="381">
          <cell r="A381" t="str">
            <v>SCOPA</v>
          </cell>
          <cell r="B381" t="str">
            <v>002134</v>
          </cell>
          <cell r="C381" t="str">
            <v>VC</v>
          </cell>
          <cell r="D381" t="str">
            <v>VC</v>
          </cell>
          <cell r="E381" t="str">
            <v>13027</v>
          </cell>
        </row>
        <row r="382">
          <cell r="A382" t="str">
            <v>SCOPELLO</v>
          </cell>
          <cell r="B382" t="str">
            <v>002135</v>
          </cell>
          <cell r="C382" t="str">
            <v>VC</v>
          </cell>
          <cell r="D382" t="str">
            <v>VC</v>
          </cell>
          <cell r="E382" t="str">
            <v>13028</v>
          </cell>
        </row>
        <row r="383">
          <cell r="A383" t="str">
            <v>SERRAVALLE SESIA</v>
          </cell>
          <cell r="B383" t="str">
            <v>002137</v>
          </cell>
          <cell r="C383" t="str">
            <v>VC</v>
          </cell>
          <cell r="D383" t="str">
            <v>VC</v>
          </cell>
          <cell r="E383" t="str">
            <v>13037</v>
          </cell>
        </row>
        <row r="384">
          <cell r="A384" t="str">
            <v>STROPPIANA</v>
          </cell>
          <cell r="B384" t="str">
            <v>002142</v>
          </cell>
          <cell r="C384" t="str">
            <v>VC</v>
          </cell>
          <cell r="D384" t="str">
            <v>VC</v>
          </cell>
          <cell r="E384" t="str">
            <v>13010</v>
          </cell>
        </row>
        <row r="385">
          <cell r="A385" t="str">
            <v>TRICERRO</v>
          </cell>
          <cell r="B385" t="str">
            <v>002147</v>
          </cell>
          <cell r="C385" t="str">
            <v>VC</v>
          </cell>
          <cell r="D385" t="str">
            <v>VC</v>
          </cell>
          <cell r="E385" t="str">
            <v>13038</v>
          </cell>
        </row>
        <row r="386">
          <cell r="A386" t="str">
            <v>TRINO</v>
          </cell>
          <cell r="B386" t="str">
            <v>002148</v>
          </cell>
          <cell r="C386" t="str">
            <v>VC</v>
          </cell>
          <cell r="D386" t="str">
            <v>VC</v>
          </cell>
          <cell r="E386" t="str">
            <v>13039</v>
          </cell>
        </row>
        <row r="387">
          <cell r="A387" t="str">
            <v>TRONZANO VERCELLESE</v>
          </cell>
          <cell r="B387" t="str">
            <v>002150</v>
          </cell>
          <cell r="C387" t="str">
            <v>VC</v>
          </cell>
          <cell r="D387" t="str">
            <v>VC</v>
          </cell>
          <cell r="E387" t="str">
            <v>13049</v>
          </cell>
        </row>
        <row r="388">
          <cell r="A388" t="str">
            <v>VALDUGGIA</v>
          </cell>
          <cell r="B388" t="str">
            <v>002152</v>
          </cell>
          <cell r="C388" t="str">
            <v>VC</v>
          </cell>
          <cell r="D388" t="str">
            <v>VC</v>
          </cell>
          <cell r="E388" t="str">
            <v>13018</v>
          </cell>
        </row>
        <row r="389">
          <cell r="A389" t="str">
            <v>VARALLO</v>
          </cell>
          <cell r="B389" t="str">
            <v>002156</v>
          </cell>
          <cell r="C389" t="str">
            <v>VC</v>
          </cell>
          <cell r="D389" t="str">
            <v>VC</v>
          </cell>
          <cell r="E389" t="str">
            <v>13019</v>
          </cell>
        </row>
        <row r="390">
          <cell r="A390" t="str">
            <v>VERCELLI</v>
          </cell>
          <cell r="B390" t="str">
            <v>002158</v>
          </cell>
          <cell r="C390" t="str">
            <v>VC</v>
          </cell>
          <cell r="D390" t="str">
            <v>VC</v>
          </cell>
          <cell r="E390" t="str">
            <v>13100</v>
          </cell>
        </row>
        <row r="391">
          <cell r="A391" t="str">
            <v>VILLARBOIT</v>
          </cell>
          <cell r="B391" t="str">
            <v>002163</v>
          </cell>
          <cell r="C391" t="str">
            <v>VC</v>
          </cell>
          <cell r="D391" t="str">
            <v>VC</v>
          </cell>
          <cell r="E391" t="str">
            <v>13030</v>
          </cell>
        </row>
        <row r="392">
          <cell r="A392" t="str">
            <v>VILLATA</v>
          </cell>
          <cell r="B392" t="str">
            <v>002164</v>
          </cell>
          <cell r="C392" t="str">
            <v>VC</v>
          </cell>
          <cell r="D392" t="str">
            <v>VC</v>
          </cell>
          <cell r="E392" t="str">
            <v>13010</v>
          </cell>
        </row>
        <row r="393">
          <cell r="A393" t="str">
            <v>VOCCA</v>
          </cell>
          <cell r="B393" t="str">
            <v>002166</v>
          </cell>
          <cell r="C393" t="str">
            <v>VC</v>
          </cell>
          <cell r="D393" t="str">
            <v>VC</v>
          </cell>
          <cell r="E393" t="str">
            <v>13020</v>
          </cell>
        </row>
        <row r="394">
          <cell r="A394" t="str">
            <v>ALTO SERMENZA</v>
          </cell>
          <cell r="B394" t="str">
            <v>002170</v>
          </cell>
          <cell r="C394" t="str">
            <v>VC</v>
          </cell>
          <cell r="D394" t="e">
            <v>#N/A</v>
          </cell>
          <cell r="E394" t="e">
            <v>#N/A</v>
          </cell>
        </row>
        <row r="395">
          <cell r="A395" t="str">
            <v>CELLIO CON BREIA</v>
          </cell>
          <cell r="B395" t="str">
            <v>002171</v>
          </cell>
          <cell r="C395" t="str">
            <v>VC</v>
          </cell>
          <cell r="D395" t="e">
            <v>#N/A</v>
          </cell>
          <cell r="E395" t="e">
            <v>#N/A</v>
          </cell>
        </row>
        <row r="396">
          <cell r="A396" t="str">
            <v>AGRATE CONTURBIA</v>
          </cell>
          <cell r="B396" t="str">
            <v>003001</v>
          </cell>
          <cell r="C396" t="str">
            <v>NO</v>
          </cell>
          <cell r="D396" t="str">
            <v>NO</v>
          </cell>
          <cell r="E396" t="str">
            <v>28010</v>
          </cell>
        </row>
        <row r="397">
          <cell r="A397" t="str">
            <v>AMENO</v>
          </cell>
          <cell r="B397" t="str">
            <v>003002</v>
          </cell>
          <cell r="C397" t="str">
            <v>NO</v>
          </cell>
          <cell r="D397" t="str">
            <v>NO</v>
          </cell>
          <cell r="E397" t="str">
            <v>28010</v>
          </cell>
        </row>
        <row r="398">
          <cell r="A398" t="str">
            <v>ARMENO</v>
          </cell>
          <cell r="B398" t="str">
            <v>003006</v>
          </cell>
          <cell r="C398" t="str">
            <v>NO</v>
          </cell>
          <cell r="D398" t="str">
            <v>NO</v>
          </cell>
          <cell r="E398" t="str">
            <v>28011</v>
          </cell>
        </row>
        <row r="399">
          <cell r="A399" t="str">
            <v>ARONA</v>
          </cell>
          <cell r="B399" t="str">
            <v>003008</v>
          </cell>
          <cell r="C399" t="str">
            <v>NO</v>
          </cell>
          <cell r="D399" t="str">
            <v>NO</v>
          </cell>
          <cell r="E399" t="str">
            <v>28041</v>
          </cell>
        </row>
        <row r="400">
          <cell r="A400" t="str">
            <v>BARENGO</v>
          </cell>
          <cell r="B400" t="str">
            <v>003012</v>
          </cell>
          <cell r="C400" t="str">
            <v>NO</v>
          </cell>
          <cell r="D400" t="str">
            <v>NO</v>
          </cell>
          <cell r="E400" t="str">
            <v>28010</v>
          </cell>
        </row>
        <row r="401">
          <cell r="A401" t="str">
            <v>BELLINZAGO NOVARESE</v>
          </cell>
          <cell r="B401" t="str">
            <v>003016</v>
          </cell>
          <cell r="C401" t="str">
            <v>NO</v>
          </cell>
          <cell r="D401" t="str">
            <v>NO</v>
          </cell>
          <cell r="E401" t="str">
            <v>28043</v>
          </cell>
        </row>
        <row r="402">
          <cell r="A402" t="str">
            <v>BIANDRATE</v>
          </cell>
          <cell r="B402" t="str">
            <v>003018</v>
          </cell>
          <cell r="C402" t="str">
            <v>NO</v>
          </cell>
          <cell r="D402" t="str">
            <v>NO</v>
          </cell>
          <cell r="E402" t="str">
            <v>28061</v>
          </cell>
        </row>
        <row r="403">
          <cell r="A403" t="str">
            <v>BOCA</v>
          </cell>
          <cell r="B403" t="str">
            <v>003019</v>
          </cell>
          <cell r="C403" t="str">
            <v>NO</v>
          </cell>
          <cell r="D403" t="str">
            <v>NO</v>
          </cell>
          <cell r="E403" t="str">
            <v>28010</v>
          </cell>
        </row>
        <row r="404">
          <cell r="A404" t="str">
            <v>BOGOGNO</v>
          </cell>
          <cell r="B404" t="str">
            <v>003021</v>
          </cell>
          <cell r="C404" t="str">
            <v>NO</v>
          </cell>
          <cell r="D404" t="str">
            <v>NO</v>
          </cell>
          <cell r="E404" t="str">
            <v>28010</v>
          </cell>
        </row>
        <row r="405">
          <cell r="A405" t="str">
            <v>BOLZANO NOVARESE</v>
          </cell>
          <cell r="B405" t="str">
            <v>003022</v>
          </cell>
          <cell r="C405" t="str">
            <v>NO</v>
          </cell>
          <cell r="D405" t="str">
            <v>NO</v>
          </cell>
          <cell r="E405" t="str">
            <v>28010</v>
          </cell>
        </row>
        <row r="406">
          <cell r="A406" t="str">
            <v>BORGOLAVEZZARO</v>
          </cell>
          <cell r="B406" t="str">
            <v>003023</v>
          </cell>
          <cell r="C406" t="str">
            <v>NO</v>
          </cell>
          <cell r="D406" t="str">
            <v>NO</v>
          </cell>
          <cell r="E406" t="str">
            <v>28071</v>
          </cell>
        </row>
        <row r="407">
          <cell r="A407" t="str">
            <v>BORGOMANERO</v>
          </cell>
          <cell r="B407" t="str">
            <v>003024</v>
          </cell>
          <cell r="C407" t="str">
            <v>NO</v>
          </cell>
          <cell r="D407" t="str">
            <v>NO</v>
          </cell>
          <cell r="E407" t="str">
            <v>28021</v>
          </cell>
        </row>
        <row r="408">
          <cell r="A408" t="str">
            <v>BORGO TICINO</v>
          </cell>
          <cell r="B408" t="str">
            <v>003025</v>
          </cell>
          <cell r="C408" t="str">
            <v>NO</v>
          </cell>
          <cell r="D408" t="str">
            <v>NO</v>
          </cell>
          <cell r="E408" t="str">
            <v>28040</v>
          </cell>
        </row>
        <row r="409">
          <cell r="A409" t="str">
            <v>BRIGA NOVARESE</v>
          </cell>
          <cell r="B409" t="str">
            <v>003026</v>
          </cell>
          <cell r="C409" t="str">
            <v>NO</v>
          </cell>
          <cell r="D409" t="str">
            <v>NO</v>
          </cell>
          <cell r="E409" t="str">
            <v>28010</v>
          </cell>
        </row>
        <row r="410">
          <cell r="A410" t="str">
            <v>BRIONA</v>
          </cell>
          <cell r="B410" t="str">
            <v>003027</v>
          </cell>
          <cell r="C410" t="str">
            <v>NO</v>
          </cell>
          <cell r="D410" t="str">
            <v>NO</v>
          </cell>
          <cell r="E410" t="str">
            <v>28072</v>
          </cell>
        </row>
        <row r="411">
          <cell r="A411" t="str">
            <v>CALTIGNAGA</v>
          </cell>
          <cell r="B411" t="str">
            <v>003030</v>
          </cell>
          <cell r="C411" t="str">
            <v>NO</v>
          </cell>
          <cell r="D411" t="str">
            <v>NO</v>
          </cell>
          <cell r="E411" t="str">
            <v>28010</v>
          </cell>
        </row>
        <row r="412">
          <cell r="A412" t="str">
            <v>CAMERI</v>
          </cell>
          <cell r="B412" t="str">
            <v>003032</v>
          </cell>
          <cell r="C412" t="str">
            <v>NO</v>
          </cell>
          <cell r="D412" t="str">
            <v>NO</v>
          </cell>
          <cell r="E412" t="str">
            <v>28062</v>
          </cell>
        </row>
        <row r="413">
          <cell r="A413" t="str">
            <v>CARPIGNANO SESIA</v>
          </cell>
          <cell r="B413" t="str">
            <v>003036</v>
          </cell>
          <cell r="C413" t="str">
            <v>NO</v>
          </cell>
          <cell r="D413" t="str">
            <v>NO</v>
          </cell>
          <cell r="E413" t="str">
            <v>28064</v>
          </cell>
        </row>
        <row r="414">
          <cell r="A414" t="str">
            <v>CASALBELTRAME</v>
          </cell>
          <cell r="B414" t="str">
            <v>003037</v>
          </cell>
          <cell r="C414" t="str">
            <v>NO</v>
          </cell>
          <cell r="D414" t="str">
            <v>NO</v>
          </cell>
          <cell r="E414" t="str">
            <v>28060</v>
          </cell>
        </row>
        <row r="415">
          <cell r="A415" t="str">
            <v>CASALEGGIO NOVARA</v>
          </cell>
          <cell r="B415" t="str">
            <v>003039</v>
          </cell>
          <cell r="C415" t="str">
            <v>NO</v>
          </cell>
          <cell r="D415" t="str">
            <v>NO</v>
          </cell>
          <cell r="E415" t="str">
            <v>28060</v>
          </cell>
        </row>
        <row r="416">
          <cell r="A416" t="str">
            <v>CASALINO</v>
          </cell>
          <cell r="B416" t="str">
            <v>003040</v>
          </cell>
          <cell r="C416" t="str">
            <v>NO</v>
          </cell>
          <cell r="D416" t="str">
            <v>NO</v>
          </cell>
          <cell r="E416" t="str">
            <v>28060</v>
          </cell>
        </row>
        <row r="417">
          <cell r="A417" t="str">
            <v>CASALVOLONE</v>
          </cell>
          <cell r="B417" t="str">
            <v>003041</v>
          </cell>
          <cell r="C417" t="str">
            <v>NO</v>
          </cell>
          <cell r="D417" t="str">
            <v>NO</v>
          </cell>
          <cell r="E417" t="str">
            <v>28060</v>
          </cell>
        </row>
        <row r="418">
          <cell r="A418" t="str">
            <v>CASTELLAZZO NOVARESE</v>
          </cell>
          <cell r="B418" t="str">
            <v>003042</v>
          </cell>
          <cell r="C418" t="str">
            <v>NO</v>
          </cell>
          <cell r="D418" t="str">
            <v>NO</v>
          </cell>
          <cell r="E418" t="str">
            <v>28060</v>
          </cell>
        </row>
        <row r="419">
          <cell r="A419" t="str">
            <v>CASTELLETTO SOPRA TICINO</v>
          </cell>
          <cell r="B419" t="str">
            <v>003043</v>
          </cell>
          <cell r="C419" t="str">
            <v>NO</v>
          </cell>
          <cell r="D419" t="str">
            <v>NO</v>
          </cell>
          <cell r="E419" t="str">
            <v>28053</v>
          </cell>
        </row>
        <row r="420">
          <cell r="A420" t="str">
            <v>CAVAGLIETTO</v>
          </cell>
          <cell r="B420" t="str">
            <v>003044</v>
          </cell>
          <cell r="C420" t="str">
            <v>NO</v>
          </cell>
          <cell r="D420" t="str">
            <v>NO</v>
          </cell>
          <cell r="E420" t="str">
            <v>28010</v>
          </cell>
        </row>
        <row r="421">
          <cell r="A421" t="str">
            <v>CAVAGLIO D'AGOGNA</v>
          </cell>
          <cell r="B421" t="str">
            <v>003045</v>
          </cell>
          <cell r="C421" t="str">
            <v>NO</v>
          </cell>
          <cell r="D421" t="str">
            <v>NO</v>
          </cell>
          <cell r="E421" t="str">
            <v>28010</v>
          </cell>
        </row>
        <row r="422">
          <cell r="A422" t="str">
            <v>CAVALLIRIO</v>
          </cell>
          <cell r="B422" t="str">
            <v>003047</v>
          </cell>
          <cell r="C422" t="str">
            <v>NO</v>
          </cell>
          <cell r="D422" t="str">
            <v>NO</v>
          </cell>
          <cell r="E422" t="str">
            <v>28010</v>
          </cell>
        </row>
        <row r="423">
          <cell r="A423" t="str">
            <v>CERANO</v>
          </cell>
          <cell r="B423" t="str">
            <v>003049</v>
          </cell>
          <cell r="C423" t="str">
            <v>NO</v>
          </cell>
          <cell r="D423" t="str">
            <v>NO</v>
          </cell>
          <cell r="E423" t="str">
            <v>28065</v>
          </cell>
        </row>
        <row r="424">
          <cell r="A424" t="str">
            <v>COLAZZA</v>
          </cell>
          <cell r="B424" t="str">
            <v>003051</v>
          </cell>
          <cell r="C424" t="str">
            <v>NO</v>
          </cell>
          <cell r="D424" t="str">
            <v>NO</v>
          </cell>
          <cell r="E424" t="str">
            <v>28010</v>
          </cell>
        </row>
        <row r="425">
          <cell r="A425" t="str">
            <v>COMIGNAGO</v>
          </cell>
          <cell r="B425" t="str">
            <v>003052</v>
          </cell>
          <cell r="C425" t="str">
            <v>NO</v>
          </cell>
          <cell r="D425" t="str">
            <v>NO</v>
          </cell>
          <cell r="E425" t="str">
            <v>28060</v>
          </cell>
        </row>
        <row r="426">
          <cell r="A426" t="str">
            <v>CRESSA</v>
          </cell>
          <cell r="B426" t="str">
            <v>003055</v>
          </cell>
          <cell r="C426" t="str">
            <v>NO</v>
          </cell>
          <cell r="D426" t="str">
            <v>NO</v>
          </cell>
          <cell r="E426" t="str">
            <v>28012</v>
          </cell>
        </row>
        <row r="427">
          <cell r="A427" t="str">
            <v>CUREGGIO</v>
          </cell>
          <cell r="B427" t="str">
            <v>003058</v>
          </cell>
          <cell r="C427" t="str">
            <v>NO</v>
          </cell>
          <cell r="D427" t="str">
            <v>NO</v>
          </cell>
          <cell r="E427" t="str">
            <v>28060</v>
          </cell>
        </row>
        <row r="428">
          <cell r="A428" t="str">
            <v>DIVIGNANO</v>
          </cell>
          <cell r="B428" t="str">
            <v>003060</v>
          </cell>
          <cell r="C428" t="str">
            <v>NO</v>
          </cell>
          <cell r="D428" t="str">
            <v>NO</v>
          </cell>
          <cell r="E428" t="str">
            <v>28010</v>
          </cell>
        </row>
        <row r="429">
          <cell r="A429" t="str">
            <v>DORMELLETTO</v>
          </cell>
          <cell r="B429" t="str">
            <v>003062</v>
          </cell>
          <cell r="C429" t="str">
            <v>NO</v>
          </cell>
          <cell r="D429" t="str">
            <v>NO</v>
          </cell>
          <cell r="E429" t="str">
            <v>28040</v>
          </cell>
        </row>
        <row r="430">
          <cell r="A430" t="str">
            <v>FARA NOVARESE</v>
          </cell>
          <cell r="B430" t="str">
            <v>003065</v>
          </cell>
          <cell r="C430" t="str">
            <v>NO</v>
          </cell>
          <cell r="D430" t="str">
            <v>NO</v>
          </cell>
          <cell r="E430" t="str">
            <v>28073</v>
          </cell>
        </row>
        <row r="431">
          <cell r="A431" t="str">
            <v>FONTANETO D'AGOGNA</v>
          </cell>
          <cell r="B431" t="str">
            <v>003066</v>
          </cell>
          <cell r="C431" t="str">
            <v>NO</v>
          </cell>
          <cell r="D431" t="str">
            <v>NO</v>
          </cell>
          <cell r="E431" t="str">
            <v>28010</v>
          </cell>
        </row>
        <row r="432">
          <cell r="A432" t="str">
            <v>GALLIATE</v>
          </cell>
          <cell r="B432" t="str">
            <v>003068</v>
          </cell>
          <cell r="C432" t="str">
            <v>NO</v>
          </cell>
          <cell r="D432" t="str">
            <v>NO</v>
          </cell>
          <cell r="E432" t="str">
            <v>28066</v>
          </cell>
        </row>
        <row r="433">
          <cell r="A433" t="str">
            <v>GARBAGNA NOVARESE</v>
          </cell>
          <cell r="B433" t="str">
            <v>003069</v>
          </cell>
          <cell r="C433" t="str">
            <v>NO</v>
          </cell>
          <cell r="D433" t="str">
            <v>NO</v>
          </cell>
          <cell r="E433" t="str">
            <v>28070</v>
          </cell>
        </row>
        <row r="434">
          <cell r="A434" t="str">
            <v>GARGALLO</v>
          </cell>
          <cell r="B434" t="str">
            <v>003070</v>
          </cell>
          <cell r="C434" t="str">
            <v>NO</v>
          </cell>
          <cell r="D434" t="str">
            <v>NO</v>
          </cell>
          <cell r="E434" t="str">
            <v>28010</v>
          </cell>
        </row>
        <row r="435">
          <cell r="A435" t="str">
            <v>GHEMME</v>
          </cell>
          <cell r="B435" t="str">
            <v>003073</v>
          </cell>
          <cell r="C435" t="str">
            <v>NO</v>
          </cell>
          <cell r="D435" t="str">
            <v>NO</v>
          </cell>
          <cell r="E435" t="str">
            <v>28074</v>
          </cell>
        </row>
        <row r="436">
          <cell r="A436" t="str">
            <v>GOZZANO</v>
          </cell>
          <cell r="B436" t="str">
            <v>003076</v>
          </cell>
          <cell r="C436" t="str">
            <v>NO</v>
          </cell>
          <cell r="D436" t="str">
            <v>NO</v>
          </cell>
          <cell r="E436" t="str">
            <v>28024</v>
          </cell>
        </row>
        <row r="437">
          <cell r="A437" t="str">
            <v>GRANOZZO CON MONTICELLO</v>
          </cell>
          <cell r="B437" t="str">
            <v>003077</v>
          </cell>
          <cell r="C437" t="str">
            <v>NO</v>
          </cell>
          <cell r="D437" t="str">
            <v>NO</v>
          </cell>
          <cell r="E437" t="str">
            <v>28060</v>
          </cell>
        </row>
        <row r="438">
          <cell r="A438" t="str">
            <v>GRIGNASCO</v>
          </cell>
          <cell r="B438" t="str">
            <v>003079</v>
          </cell>
          <cell r="C438" t="str">
            <v>NO</v>
          </cell>
          <cell r="D438" t="str">
            <v>NO</v>
          </cell>
          <cell r="E438" t="str">
            <v>28075</v>
          </cell>
        </row>
        <row r="439">
          <cell r="A439" t="str">
            <v>INVORIO</v>
          </cell>
          <cell r="B439" t="str">
            <v>003082</v>
          </cell>
          <cell r="C439" t="str">
            <v>NO</v>
          </cell>
          <cell r="D439" t="str">
            <v>NO</v>
          </cell>
          <cell r="E439" t="str">
            <v>28045</v>
          </cell>
        </row>
        <row r="440">
          <cell r="A440" t="str">
            <v>LANDIONA</v>
          </cell>
          <cell r="B440" t="str">
            <v>003083</v>
          </cell>
          <cell r="C440" t="str">
            <v>NO</v>
          </cell>
          <cell r="D440" t="str">
            <v>NO</v>
          </cell>
          <cell r="E440" t="str">
            <v>28064</v>
          </cell>
        </row>
        <row r="441">
          <cell r="A441" t="str">
            <v>LESA</v>
          </cell>
          <cell r="B441" t="str">
            <v>003084</v>
          </cell>
          <cell r="C441" t="str">
            <v>NO</v>
          </cell>
          <cell r="D441" t="str">
            <v>NO</v>
          </cell>
          <cell r="E441" t="str">
            <v>28040</v>
          </cell>
        </row>
        <row r="442">
          <cell r="A442" t="str">
            <v>MAGGIORA</v>
          </cell>
          <cell r="B442" t="str">
            <v>003088</v>
          </cell>
          <cell r="C442" t="str">
            <v>NO</v>
          </cell>
          <cell r="D442" t="str">
            <v>NO</v>
          </cell>
          <cell r="E442" t="str">
            <v>28014</v>
          </cell>
        </row>
        <row r="443">
          <cell r="A443" t="str">
            <v>MANDELLO VITTA</v>
          </cell>
          <cell r="B443" t="str">
            <v>003090</v>
          </cell>
          <cell r="C443" t="str">
            <v>NO</v>
          </cell>
          <cell r="D443" t="str">
            <v>NO</v>
          </cell>
          <cell r="E443" t="str">
            <v>28060</v>
          </cell>
        </row>
        <row r="444">
          <cell r="A444" t="str">
            <v>MARANO TICINO</v>
          </cell>
          <cell r="B444" t="str">
            <v>003091</v>
          </cell>
          <cell r="C444" t="str">
            <v>NO</v>
          </cell>
          <cell r="D444" t="str">
            <v>NO</v>
          </cell>
          <cell r="E444" t="str">
            <v>28040</v>
          </cell>
        </row>
        <row r="445">
          <cell r="A445" t="str">
            <v>MASSINO VISCONTI</v>
          </cell>
          <cell r="B445" t="str">
            <v>003093</v>
          </cell>
          <cell r="C445" t="str">
            <v>NO</v>
          </cell>
          <cell r="D445" t="str">
            <v>NO</v>
          </cell>
          <cell r="E445" t="str">
            <v>28040</v>
          </cell>
        </row>
        <row r="446">
          <cell r="A446" t="str">
            <v>MEINA</v>
          </cell>
          <cell r="B446" t="str">
            <v>003095</v>
          </cell>
          <cell r="C446" t="str">
            <v>NO</v>
          </cell>
          <cell r="D446" t="str">
            <v>NO</v>
          </cell>
          <cell r="E446" t="str">
            <v>28046</v>
          </cell>
        </row>
        <row r="447">
          <cell r="A447" t="str">
            <v>MEZZOMERICO</v>
          </cell>
          <cell r="B447" t="str">
            <v>003097</v>
          </cell>
          <cell r="C447" t="str">
            <v>NO</v>
          </cell>
          <cell r="D447" t="str">
            <v>NO</v>
          </cell>
          <cell r="E447" t="str">
            <v>28040</v>
          </cell>
        </row>
        <row r="448">
          <cell r="A448" t="str">
            <v>MIASINO</v>
          </cell>
          <cell r="B448" t="str">
            <v>003098</v>
          </cell>
          <cell r="C448" t="str">
            <v>NO</v>
          </cell>
          <cell r="D448" t="str">
            <v>NO</v>
          </cell>
          <cell r="E448" t="str">
            <v>28010</v>
          </cell>
        </row>
        <row r="449">
          <cell r="A449" t="str">
            <v>MOMO</v>
          </cell>
          <cell r="B449" t="str">
            <v>003100</v>
          </cell>
          <cell r="C449" t="str">
            <v>NO</v>
          </cell>
          <cell r="D449" t="str">
            <v>NO</v>
          </cell>
          <cell r="E449" t="str">
            <v>28015</v>
          </cell>
        </row>
        <row r="450">
          <cell r="A450" t="str">
            <v>NEBBIUNO</v>
          </cell>
          <cell r="B450" t="str">
            <v>003103</v>
          </cell>
          <cell r="C450" t="str">
            <v>NO</v>
          </cell>
          <cell r="D450" t="str">
            <v>NO</v>
          </cell>
          <cell r="E450" t="str">
            <v>28010</v>
          </cell>
        </row>
        <row r="451">
          <cell r="A451" t="str">
            <v>NIBBIOLA</v>
          </cell>
          <cell r="B451" t="str">
            <v>003104</v>
          </cell>
          <cell r="C451" t="str">
            <v>NO</v>
          </cell>
          <cell r="D451" t="str">
            <v>NO</v>
          </cell>
          <cell r="E451" t="str">
            <v>28070</v>
          </cell>
        </row>
        <row r="452">
          <cell r="A452" t="str">
            <v>NOVARA</v>
          </cell>
          <cell r="B452" t="str">
            <v>003106</v>
          </cell>
          <cell r="C452" t="str">
            <v>NO</v>
          </cell>
          <cell r="D452" t="str">
            <v>NO</v>
          </cell>
          <cell r="E452" t="str">
            <v>28100</v>
          </cell>
        </row>
        <row r="453">
          <cell r="A453" t="str">
            <v>OLEGGIO</v>
          </cell>
          <cell r="B453" t="str">
            <v>003108</v>
          </cell>
          <cell r="C453" t="str">
            <v>NO</v>
          </cell>
          <cell r="D453" t="str">
            <v>NO</v>
          </cell>
          <cell r="E453" t="str">
            <v>28047</v>
          </cell>
        </row>
        <row r="454">
          <cell r="A454" t="str">
            <v>OLEGGIO CASTELLO</v>
          </cell>
          <cell r="B454" t="str">
            <v>003109</v>
          </cell>
          <cell r="C454" t="str">
            <v>NO</v>
          </cell>
          <cell r="D454" t="str">
            <v>NO</v>
          </cell>
          <cell r="E454" t="str">
            <v>28040</v>
          </cell>
        </row>
        <row r="455">
          <cell r="A455" t="str">
            <v>ORTA SAN GIULIO</v>
          </cell>
          <cell r="B455" t="str">
            <v>003112</v>
          </cell>
          <cell r="C455" t="str">
            <v>NO</v>
          </cell>
          <cell r="D455" t="str">
            <v>NO</v>
          </cell>
          <cell r="E455" t="str">
            <v>28016</v>
          </cell>
        </row>
        <row r="456">
          <cell r="A456" t="str">
            <v>PARUZZARO</v>
          </cell>
          <cell r="B456" t="str">
            <v>003114</v>
          </cell>
          <cell r="C456" t="str">
            <v>NO</v>
          </cell>
          <cell r="D456" t="str">
            <v>NO</v>
          </cell>
          <cell r="E456" t="str">
            <v>28040</v>
          </cell>
        </row>
        <row r="457">
          <cell r="A457" t="str">
            <v>PELLA</v>
          </cell>
          <cell r="B457" t="str">
            <v>003115</v>
          </cell>
          <cell r="C457" t="str">
            <v>NO</v>
          </cell>
          <cell r="D457" t="str">
            <v>NO</v>
          </cell>
          <cell r="E457" t="str">
            <v>28010</v>
          </cell>
        </row>
        <row r="458">
          <cell r="A458" t="str">
            <v>PETTENASCO</v>
          </cell>
          <cell r="B458" t="str">
            <v>003116</v>
          </cell>
          <cell r="C458" t="str">
            <v>NO</v>
          </cell>
          <cell r="D458" t="str">
            <v>NO</v>
          </cell>
          <cell r="E458" t="str">
            <v>28028</v>
          </cell>
        </row>
        <row r="459">
          <cell r="A459" t="str">
            <v>PISANO</v>
          </cell>
          <cell r="B459" t="str">
            <v>003119</v>
          </cell>
          <cell r="C459" t="str">
            <v>NO</v>
          </cell>
          <cell r="D459" t="str">
            <v>NO</v>
          </cell>
          <cell r="E459" t="str">
            <v>28010</v>
          </cell>
        </row>
        <row r="460">
          <cell r="A460" t="str">
            <v>POGNO</v>
          </cell>
          <cell r="B460" t="str">
            <v>003120</v>
          </cell>
          <cell r="C460" t="str">
            <v>NO</v>
          </cell>
          <cell r="D460" t="str">
            <v>NO</v>
          </cell>
          <cell r="E460" t="str">
            <v>28076</v>
          </cell>
        </row>
        <row r="461">
          <cell r="A461" t="str">
            <v>POMBIA</v>
          </cell>
          <cell r="B461" t="str">
            <v>003121</v>
          </cell>
          <cell r="C461" t="str">
            <v>NO</v>
          </cell>
          <cell r="D461" t="str">
            <v>NO</v>
          </cell>
          <cell r="E461" t="str">
            <v>28050</v>
          </cell>
        </row>
        <row r="462">
          <cell r="A462" t="str">
            <v>PRATO SESIA</v>
          </cell>
          <cell r="B462" t="str">
            <v>003122</v>
          </cell>
          <cell r="C462" t="str">
            <v>NO</v>
          </cell>
          <cell r="D462" t="str">
            <v>NO</v>
          </cell>
          <cell r="E462" t="str">
            <v>28077</v>
          </cell>
        </row>
        <row r="463">
          <cell r="A463" t="str">
            <v>RECETTO</v>
          </cell>
          <cell r="B463" t="str">
            <v>003129</v>
          </cell>
          <cell r="C463" t="str">
            <v>NO</v>
          </cell>
          <cell r="D463" t="str">
            <v>NO</v>
          </cell>
          <cell r="E463" t="str">
            <v>28060</v>
          </cell>
        </row>
        <row r="464">
          <cell r="A464" t="str">
            <v>ROMAGNANO SESIA</v>
          </cell>
          <cell r="B464" t="str">
            <v>003130</v>
          </cell>
          <cell r="C464" t="str">
            <v>NO</v>
          </cell>
          <cell r="D464" t="str">
            <v>NO</v>
          </cell>
          <cell r="E464" t="str">
            <v>28078</v>
          </cell>
        </row>
        <row r="465">
          <cell r="A465" t="str">
            <v>ROMENTINO</v>
          </cell>
          <cell r="B465" t="str">
            <v>003131</v>
          </cell>
          <cell r="C465" t="str">
            <v>NO</v>
          </cell>
          <cell r="D465" t="str">
            <v>NO</v>
          </cell>
          <cell r="E465" t="str">
            <v>28068</v>
          </cell>
        </row>
        <row r="466">
          <cell r="A466" t="str">
            <v>SAN MAURIZIO D'OPAGLIO</v>
          </cell>
          <cell r="B466" t="str">
            <v>003133</v>
          </cell>
          <cell r="C466" t="str">
            <v>NO</v>
          </cell>
          <cell r="D466" t="str">
            <v>NO</v>
          </cell>
          <cell r="E466" t="str">
            <v>28017</v>
          </cell>
        </row>
        <row r="467">
          <cell r="A467" t="str">
            <v>SAN NAZZARO SESIA</v>
          </cell>
          <cell r="B467" t="str">
            <v>003134</v>
          </cell>
          <cell r="C467" t="str">
            <v>NO</v>
          </cell>
          <cell r="D467" t="str">
            <v>NO</v>
          </cell>
          <cell r="E467" t="str">
            <v>28060</v>
          </cell>
        </row>
        <row r="468">
          <cell r="A468" t="str">
            <v>SAN PIETRO MOSEZZO</v>
          </cell>
          <cell r="B468" t="str">
            <v>003135</v>
          </cell>
          <cell r="C468" t="str">
            <v>NO</v>
          </cell>
          <cell r="D468" t="str">
            <v>NO</v>
          </cell>
          <cell r="E468" t="str">
            <v>28060</v>
          </cell>
        </row>
        <row r="469">
          <cell r="A469" t="str">
            <v>SILLAVENGO</v>
          </cell>
          <cell r="B469" t="str">
            <v>003138</v>
          </cell>
          <cell r="C469" t="str">
            <v>NO</v>
          </cell>
          <cell r="D469" t="str">
            <v>NO</v>
          </cell>
          <cell r="E469" t="str">
            <v>28064</v>
          </cell>
        </row>
        <row r="470">
          <cell r="A470" t="str">
            <v>SIZZANO</v>
          </cell>
          <cell r="B470" t="str">
            <v>003139</v>
          </cell>
          <cell r="C470" t="str">
            <v>NO</v>
          </cell>
          <cell r="D470" t="str">
            <v>NO</v>
          </cell>
          <cell r="E470" t="str">
            <v>28070</v>
          </cell>
        </row>
        <row r="471">
          <cell r="A471" t="str">
            <v>SORISO</v>
          </cell>
          <cell r="B471" t="str">
            <v>003140</v>
          </cell>
          <cell r="C471" t="str">
            <v>NO</v>
          </cell>
          <cell r="D471" t="str">
            <v>NO</v>
          </cell>
          <cell r="E471" t="str">
            <v>28010</v>
          </cell>
        </row>
        <row r="472">
          <cell r="A472" t="str">
            <v>SOZZAGO</v>
          </cell>
          <cell r="B472" t="str">
            <v>003141</v>
          </cell>
          <cell r="C472" t="str">
            <v>NO</v>
          </cell>
          <cell r="D472" t="str">
            <v>NO</v>
          </cell>
          <cell r="E472" t="str">
            <v>28060</v>
          </cell>
        </row>
        <row r="473">
          <cell r="A473" t="str">
            <v>SUNO</v>
          </cell>
          <cell r="B473" t="str">
            <v>003143</v>
          </cell>
          <cell r="C473" t="str">
            <v>NO</v>
          </cell>
          <cell r="D473" t="str">
            <v>NO</v>
          </cell>
          <cell r="E473" t="str">
            <v>28019</v>
          </cell>
        </row>
        <row r="474">
          <cell r="A474" t="str">
            <v>TERDOBBIATE</v>
          </cell>
          <cell r="B474" t="str">
            <v>003144</v>
          </cell>
          <cell r="C474" t="str">
            <v>NO</v>
          </cell>
          <cell r="D474" t="str">
            <v>NO</v>
          </cell>
          <cell r="E474" t="str">
            <v>28070</v>
          </cell>
        </row>
        <row r="475">
          <cell r="A475" t="str">
            <v>TORNACO</v>
          </cell>
          <cell r="B475" t="str">
            <v>003146</v>
          </cell>
          <cell r="C475" t="str">
            <v>NO</v>
          </cell>
          <cell r="D475" t="str">
            <v>NO</v>
          </cell>
          <cell r="E475" t="str">
            <v>28070</v>
          </cell>
        </row>
        <row r="476">
          <cell r="A476" t="str">
            <v>TRECATE</v>
          </cell>
          <cell r="B476" t="str">
            <v>003149</v>
          </cell>
          <cell r="C476" t="str">
            <v>NO</v>
          </cell>
          <cell r="D476" t="str">
            <v>NO</v>
          </cell>
          <cell r="E476" t="str">
            <v>28069</v>
          </cell>
        </row>
        <row r="477">
          <cell r="A477" t="str">
            <v>VAPRIO D'AGOGNA</v>
          </cell>
          <cell r="B477" t="str">
            <v>003153</v>
          </cell>
          <cell r="C477" t="str">
            <v>NO</v>
          </cell>
          <cell r="D477" t="str">
            <v>NO</v>
          </cell>
          <cell r="E477" t="str">
            <v>28010</v>
          </cell>
        </row>
        <row r="478">
          <cell r="A478" t="str">
            <v>VARALLO POMBIA</v>
          </cell>
          <cell r="B478" t="str">
            <v>003154</v>
          </cell>
          <cell r="C478" t="str">
            <v>NO</v>
          </cell>
          <cell r="D478" t="str">
            <v>NO</v>
          </cell>
          <cell r="E478" t="str">
            <v>28040</v>
          </cell>
        </row>
        <row r="479">
          <cell r="A479" t="str">
            <v>VESPOLATE</v>
          </cell>
          <cell r="B479" t="str">
            <v>003158</v>
          </cell>
          <cell r="C479" t="str">
            <v>NO</v>
          </cell>
          <cell r="D479" t="str">
            <v>NO</v>
          </cell>
          <cell r="E479" t="str">
            <v>28079</v>
          </cell>
        </row>
        <row r="480">
          <cell r="A480" t="str">
            <v>VICOLUNGO</v>
          </cell>
          <cell r="B480" t="str">
            <v>003159</v>
          </cell>
          <cell r="C480" t="str">
            <v>NO</v>
          </cell>
          <cell r="D480" t="str">
            <v>NO</v>
          </cell>
          <cell r="E480" t="str">
            <v>28060</v>
          </cell>
        </row>
        <row r="481">
          <cell r="A481" t="str">
            <v>VINZAGLIO</v>
          </cell>
          <cell r="B481" t="str">
            <v>003164</v>
          </cell>
          <cell r="C481" t="str">
            <v>NO</v>
          </cell>
          <cell r="D481" t="str">
            <v>NO</v>
          </cell>
          <cell r="E481" t="str">
            <v>28060</v>
          </cell>
        </row>
        <row r="482">
          <cell r="A482" t="str">
            <v>GATTICO-VERUNO</v>
          </cell>
          <cell r="B482" t="str">
            <v>003166</v>
          </cell>
          <cell r="C482" t="str">
            <v>NO</v>
          </cell>
          <cell r="D482" t="e">
            <v>#N/A</v>
          </cell>
          <cell r="E482" t="e">
            <v>#N/A</v>
          </cell>
        </row>
        <row r="483">
          <cell r="A483" t="str">
            <v>ACCEGLIO</v>
          </cell>
          <cell r="B483" t="str">
            <v>004001</v>
          </cell>
          <cell r="C483" t="str">
            <v>CN</v>
          </cell>
          <cell r="D483" t="str">
            <v>CN</v>
          </cell>
          <cell r="E483" t="str">
            <v>12021</v>
          </cell>
        </row>
        <row r="484">
          <cell r="A484" t="str">
            <v>AISONE</v>
          </cell>
          <cell r="B484" t="str">
            <v>004002</v>
          </cell>
          <cell r="C484" t="str">
            <v>CN</v>
          </cell>
          <cell r="D484" t="str">
            <v>CN</v>
          </cell>
          <cell r="E484" t="str">
            <v>12010</v>
          </cell>
        </row>
        <row r="485">
          <cell r="A485" t="str">
            <v>ALBA</v>
          </cell>
          <cell r="B485" t="str">
            <v>004003</v>
          </cell>
          <cell r="C485" t="str">
            <v>CN</v>
          </cell>
          <cell r="D485" t="str">
            <v>CN</v>
          </cell>
          <cell r="E485" t="str">
            <v>12051</v>
          </cell>
        </row>
        <row r="486">
          <cell r="A486" t="str">
            <v>ALBARETTO DELLA TORRE</v>
          </cell>
          <cell r="B486" t="str">
            <v>004004</v>
          </cell>
          <cell r="C486" t="str">
            <v>CN</v>
          </cell>
          <cell r="D486" t="str">
            <v>CN</v>
          </cell>
          <cell r="E486" t="str">
            <v>12050</v>
          </cell>
        </row>
        <row r="487">
          <cell r="A487" t="str">
            <v>ALTO</v>
          </cell>
          <cell r="B487" t="str">
            <v>004005</v>
          </cell>
          <cell r="C487" t="str">
            <v>CN</v>
          </cell>
          <cell r="D487" t="str">
            <v>CN</v>
          </cell>
          <cell r="E487" t="str">
            <v>12070</v>
          </cell>
        </row>
        <row r="488">
          <cell r="A488" t="str">
            <v>ARGENTERA</v>
          </cell>
          <cell r="B488" t="str">
            <v>004006</v>
          </cell>
          <cell r="C488" t="str">
            <v>CN</v>
          </cell>
          <cell r="D488" t="str">
            <v>CN</v>
          </cell>
          <cell r="E488" t="str">
            <v>12010</v>
          </cell>
        </row>
        <row r="489">
          <cell r="A489" t="str">
            <v>ARGUELLO</v>
          </cell>
          <cell r="B489" t="str">
            <v>004007</v>
          </cell>
          <cell r="C489" t="str">
            <v>CN</v>
          </cell>
          <cell r="D489" t="str">
            <v>CN</v>
          </cell>
          <cell r="E489" t="str">
            <v>12050</v>
          </cell>
        </row>
        <row r="490">
          <cell r="A490" t="str">
            <v>BAGNASCO</v>
          </cell>
          <cell r="B490" t="str">
            <v>004008</v>
          </cell>
          <cell r="C490" t="str">
            <v>CN</v>
          </cell>
          <cell r="D490" t="str">
            <v>CN</v>
          </cell>
          <cell r="E490" t="str">
            <v>12071</v>
          </cell>
        </row>
        <row r="491">
          <cell r="A491" t="str">
            <v>BAGNOLO PIEMONTE</v>
          </cell>
          <cell r="B491" t="str">
            <v>004009</v>
          </cell>
          <cell r="C491" t="str">
            <v>CN</v>
          </cell>
          <cell r="D491" t="str">
            <v>CN</v>
          </cell>
          <cell r="E491" t="str">
            <v>12031</v>
          </cell>
        </row>
        <row r="492">
          <cell r="A492" t="str">
            <v>BALDISSERO D'ALBA</v>
          </cell>
          <cell r="B492" t="str">
            <v>004010</v>
          </cell>
          <cell r="C492" t="str">
            <v>CN</v>
          </cell>
          <cell r="D492" t="str">
            <v>CN</v>
          </cell>
          <cell r="E492" t="str">
            <v>12040</v>
          </cell>
        </row>
        <row r="493">
          <cell r="A493" t="str">
            <v>BARBARESCO</v>
          </cell>
          <cell r="B493" t="str">
            <v>004011</v>
          </cell>
          <cell r="C493" t="str">
            <v>CN</v>
          </cell>
          <cell r="D493" t="str">
            <v>CN</v>
          </cell>
          <cell r="E493" t="str">
            <v>12050</v>
          </cell>
        </row>
        <row r="494">
          <cell r="A494" t="str">
            <v>BARGE</v>
          </cell>
          <cell r="B494" t="str">
            <v>004012</v>
          </cell>
          <cell r="C494" t="str">
            <v>CN</v>
          </cell>
          <cell r="D494" t="str">
            <v>CN</v>
          </cell>
          <cell r="E494" t="str">
            <v>12032</v>
          </cell>
        </row>
        <row r="495">
          <cell r="A495" t="str">
            <v>BAROLO</v>
          </cell>
          <cell r="B495" t="str">
            <v>004013</v>
          </cell>
          <cell r="C495" t="str">
            <v>CN</v>
          </cell>
          <cell r="D495" t="str">
            <v>CN</v>
          </cell>
          <cell r="E495" t="str">
            <v>12060</v>
          </cell>
        </row>
        <row r="496">
          <cell r="A496" t="str">
            <v>BASTIA MONDOVÌ</v>
          </cell>
          <cell r="B496" t="str">
            <v>004014</v>
          </cell>
          <cell r="C496" t="str">
            <v>CN</v>
          </cell>
          <cell r="D496" t="str">
            <v>CN</v>
          </cell>
          <cell r="E496" t="str">
            <v>12060</v>
          </cell>
        </row>
        <row r="497">
          <cell r="A497" t="str">
            <v>BATTIFOLLO</v>
          </cell>
          <cell r="B497" t="str">
            <v>004015</v>
          </cell>
          <cell r="C497" t="str">
            <v>CN</v>
          </cell>
          <cell r="D497" t="str">
            <v>CN</v>
          </cell>
          <cell r="E497" t="str">
            <v>12070</v>
          </cell>
        </row>
        <row r="498">
          <cell r="A498" t="str">
            <v>BEINETTE</v>
          </cell>
          <cell r="B498" t="str">
            <v>004016</v>
          </cell>
          <cell r="C498" t="str">
            <v>CN</v>
          </cell>
          <cell r="D498" t="str">
            <v>CN</v>
          </cell>
          <cell r="E498" t="str">
            <v>12081</v>
          </cell>
        </row>
        <row r="499">
          <cell r="A499" t="str">
            <v>BELLINO</v>
          </cell>
          <cell r="B499" t="str">
            <v>004017</v>
          </cell>
          <cell r="C499" t="str">
            <v>CN</v>
          </cell>
          <cell r="D499" t="str">
            <v>CN</v>
          </cell>
          <cell r="E499" t="str">
            <v>12020</v>
          </cell>
        </row>
        <row r="500">
          <cell r="A500" t="str">
            <v>BELVEDERE LANGHE</v>
          </cell>
          <cell r="B500" t="str">
            <v>004018</v>
          </cell>
          <cell r="C500" t="str">
            <v>CN</v>
          </cell>
          <cell r="D500" t="str">
            <v>CN</v>
          </cell>
          <cell r="E500" t="str">
            <v>12060</v>
          </cell>
        </row>
        <row r="501">
          <cell r="A501" t="str">
            <v>BENE VAGIENNA</v>
          </cell>
          <cell r="B501" t="str">
            <v>004019</v>
          </cell>
          <cell r="C501" t="str">
            <v>CN</v>
          </cell>
          <cell r="D501" t="str">
            <v>CN</v>
          </cell>
          <cell r="E501" t="str">
            <v>12041</v>
          </cell>
        </row>
        <row r="502">
          <cell r="A502" t="str">
            <v>BENEVELLO</v>
          </cell>
          <cell r="B502" t="str">
            <v>004020</v>
          </cell>
          <cell r="C502" t="str">
            <v>CN</v>
          </cell>
          <cell r="D502" t="str">
            <v>CN</v>
          </cell>
          <cell r="E502" t="str">
            <v>12050</v>
          </cell>
        </row>
        <row r="503">
          <cell r="A503" t="str">
            <v>BERGOLO</v>
          </cell>
          <cell r="B503" t="str">
            <v>004021</v>
          </cell>
          <cell r="C503" t="str">
            <v>CN</v>
          </cell>
          <cell r="D503" t="str">
            <v>CN</v>
          </cell>
          <cell r="E503" t="str">
            <v>12074</v>
          </cell>
        </row>
        <row r="504">
          <cell r="A504" t="str">
            <v>BERNEZZO</v>
          </cell>
          <cell r="B504" t="str">
            <v>004022</v>
          </cell>
          <cell r="C504" t="str">
            <v>CN</v>
          </cell>
          <cell r="D504" t="str">
            <v>CN</v>
          </cell>
          <cell r="E504" t="str">
            <v>12010</v>
          </cell>
        </row>
        <row r="505">
          <cell r="A505" t="str">
            <v>BONVICINO</v>
          </cell>
          <cell r="B505" t="str">
            <v>004023</v>
          </cell>
          <cell r="C505" t="str">
            <v>CN</v>
          </cell>
          <cell r="D505" t="str">
            <v>CN</v>
          </cell>
          <cell r="E505" t="str">
            <v>12060</v>
          </cell>
        </row>
        <row r="506">
          <cell r="A506" t="str">
            <v>BORGOMALE</v>
          </cell>
          <cell r="B506" t="str">
            <v>004024</v>
          </cell>
          <cell r="C506" t="str">
            <v>CN</v>
          </cell>
          <cell r="D506" t="str">
            <v>CN</v>
          </cell>
          <cell r="E506" t="str">
            <v>12050</v>
          </cell>
        </row>
        <row r="507">
          <cell r="A507" t="str">
            <v>BORGO SAN DALMAZZO</v>
          </cell>
          <cell r="B507" t="str">
            <v>004025</v>
          </cell>
          <cell r="C507" t="str">
            <v>CN</v>
          </cell>
          <cell r="D507" t="str">
            <v>CN</v>
          </cell>
          <cell r="E507" t="str">
            <v>12011</v>
          </cell>
        </row>
        <row r="508">
          <cell r="A508" t="str">
            <v>BOSIA</v>
          </cell>
          <cell r="B508" t="str">
            <v>004026</v>
          </cell>
          <cell r="C508" t="str">
            <v>CN</v>
          </cell>
          <cell r="D508" t="str">
            <v>CN</v>
          </cell>
          <cell r="E508" t="str">
            <v>12050</v>
          </cell>
        </row>
        <row r="509">
          <cell r="A509" t="str">
            <v>BOSSOLASCO</v>
          </cell>
          <cell r="B509" t="str">
            <v>004027</v>
          </cell>
          <cell r="C509" t="str">
            <v>CN</v>
          </cell>
          <cell r="D509" t="str">
            <v>CN</v>
          </cell>
          <cell r="E509" t="str">
            <v>12060</v>
          </cell>
        </row>
        <row r="510">
          <cell r="A510" t="str">
            <v>BOVES</v>
          </cell>
          <cell r="B510" t="str">
            <v>004028</v>
          </cell>
          <cell r="C510" t="str">
            <v>CN</v>
          </cell>
          <cell r="D510" t="str">
            <v>CN</v>
          </cell>
          <cell r="E510" t="str">
            <v>12012</v>
          </cell>
        </row>
        <row r="511">
          <cell r="A511" t="str">
            <v>BRA</v>
          </cell>
          <cell r="B511" t="str">
            <v>004029</v>
          </cell>
          <cell r="C511" t="str">
            <v>CN</v>
          </cell>
          <cell r="D511" t="str">
            <v>CN</v>
          </cell>
          <cell r="E511" t="str">
            <v>12042</v>
          </cell>
        </row>
        <row r="512">
          <cell r="A512" t="str">
            <v>BRIAGLIA</v>
          </cell>
          <cell r="B512" t="str">
            <v>004030</v>
          </cell>
          <cell r="C512" t="str">
            <v>CN</v>
          </cell>
          <cell r="D512" t="str">
            <v>CN</v>
          </cell>
          <cell r="E512" t="str">
            <v>12080</v>
          </cell>
        </row>
        <row r="513">
          <cell r="A513" t="str">
            <v>BRIGA ALTA</v>
          </cell>
          <cell r="B513" t="str">
            <v>004031</v>
          </cell>
          <cell r="C513" t="str">
            <v>CN</v>
          </cell>
          <cell r="D513" t="str">
            <v>CN</v>
          </cell>
          <cell r="E513" t="str">
            <v>18025</v>
          </cell>
        </row>
        <row r="514">
          <cell r="A514" t="str">
            <v>BRONDELLO</v>
          </cell>
          <cell r="B514" t="str">
            <v>004032</v>
          </cell>
          <cell r="C514" t="str">
            <v>CN</v>
          </cell>
          <cell r="D514" t="str">
            <v>CN</v>
          </cell>
          <cell r="E514" t="str">
            <v>12030</v>
          </cell>
        </row>
        <row r="515">
          <cell r="A515" t="str">
            <v>BROSSASCO</v>
          </cell>
          <cell r="B515" t="str">
            <v>004033</v>
          </cell>
          <cell r="C515" t="str">
            <v>CN</v>
          </cell>
          <cell r="D515" t="str">
            <v>CN</v>
          </cell>
          <cell r="E515" t="str">
            <v>12020</v>
          </cell>
        </row>
        <row r="516">
          <cell r="A516" t="str">
            <v>BUSCA</v>
          </cell>
          <cell r="B516" t="str">
            <v>004034</v>
          </cell>
          <cell r="C516" t="str">
            <v>CN</v>
          </cell>
          <cell r="D516" t="str">
            <v>CN</v>
          </cell>
          <cell r="E516" t="str">
            <v>12022</v>
          </cell>
        </row>
        <row r="517">
          <cell r="A517" t="str">
            <v>CAMERANA</v>
          </cell>
          <cell r="B517" t="str">
            <v>004035</v>
          </cell>
          <cell r="C517" t="str">
            <v>CN</v>
          </cell>
          <cell r="D517" t="str">
            <v>CN</v>
          </cell>
          <cell r="E517" t="str">
            <v>12072</v>
          </cell>
        </row>
        <row r="518">
          <cell r="A518" t="str">
            <v>CANALE</v>
          </cell>
          <cell r="B518" t="str">
            <v>004037</v>
          </cell>
          <cell r="C518" t="str">
            <v>CN</v>
          </cell>
          <cell r="D518" t="str">
            <v>CN</v>
          </cell>
          <cell r="E518" t="str">
            <v>12043</v>
          </cell>
        </row>
        <row r="519">
          <cell r="A519" t="str">
            <v>CANOSIO</v>
          </cell>
          <cell r="B519" t="str">
            <v>004038</v>
          </cell>
          <cell r="C519" t="str">
            <v>CN</v>
          </cell>
          <cell r="D519" t="str">
            <v>CN</v>
          </cell>
          <cell r="E519" t="str">
            <v>12020</v>
          </cell>
        </row>
        <row r="520">
          <cell r="A520" t="str">
            <v>CAPRAUNA</v>
          </cell>
          <cell r="B520" t="str">
            <v>004039</v>
          </cell>
          <cell r="C520" t="str">
            <v>CN</v>
          </cell>
          <cell r="D520" t="str">
            <v>CN</v>
          </cell>
          <cell r="E520" t="str">
            <v>12070</v>
          </cell>
        </row>
        <row r="521">
          <cell r="A521" t="str">
            <v>CARAGLIO</v>
          </cell>
          <cell r="B521" t="str">
            <v>004040</v>
          </cell>
          <cell r="C521" t="str">
            <v>CN</v>
          </cell>
          <cell r="D521" t="str">
            <v>CN</v>
          </cell>
          <cell r="E521" t="str">
            <v>12023</v>
          </cell>
        </row>
        <row r="522">
          <cell r="A522" t="str">
            <v>CARAMAGNA PIEMONTE</v>
          </cell>
          <cell r="B522" t="str">
            <v>004041</v>
          </cell>
          <cell r="C522" t="str">
            <v>CN</v>
          </cell>
          <cell r="D522" t="str">
            <v>CN</v>
          </cell>
          <cell r="E522" t="str">
            <v>12030</v>
          </cell>
        </row>
        <row r="523">
          <cell r="A523" t="str">
            <v>CARDÈ</v>
          </cell>
          <cell r="B523" t="str">
            <v>004042</v>
          </cell>
          <cell r="C523" t="str">
            <v>CN</v>
          </cell>
          <cell r="D523" t="str">
            <v>CN</v>
          </cell>
          <cell r="E523" t="str">
            <v>12030</v>
          </cell>
        </row>
        <row r="524">
          <cell r="A524" t="str">
            <v>CARRÙ</v>
          </cell>
          <cell r="B524" t="str">
            <v>004043</v>
          </cell>
          <cell r="C524" t="str">
            <v>CN</v>
          </cell>
          <cell r="D524" t="str">
            <v>CN</v>
          </cell>
          <cell r="E524" t="str">
            <v>12061</v>
          </cell>
        </row>
        <row r="525">
          <cell r="A525" t="str">
            <v>CARTIGNANO</v>
          </cell>
          <cell r="B525" t="str">
            <v>004044</v>
          </cell>
          <cell r="C525" t="str">
            <v>CN</v>
          </cell>
          <cell r="D525" t="str">
            <v>CN</v>
          </cell>
          <cell r="E525" t="str">
            <v>12020</v>
          </cell>
        </row>
        <row r="526">
          <cell r="A526" t="str">
            <v>CASALGRASSO</v>
          </cell>
          <cell r="B526" t="str">
            <v>004045</v>
          </cell>
          <cell r="C526" t="str">
            <v>CN</v>
          </cell>
          <cell r="D526" t="str">
            <v>CN</v>
          </cell>
          <cell r="E526" t="str">
            <v>12030</v>
          </cell>
        </row>
        <row r="527">
          <cell r="A527" t="str">
            <v>CASTAGNITO</v>
          </cell>
          <cell r="B527" t="str">
            <v>004046</v>
          </cell>
          <cell r="C527" t="str">
            <v>CN</v>
          </cell>
          <cell r="D527" t="str">
            <v>CN</v>
          </cell>
          <cell r="E527" t="str">
            <v>12050</v>
          </cell>
        </row>
        <row r="528">
          <cell r="A528" t="str">
            <v>CASTELDELFINO</v>
          </cell>
          <cell r="B528" t="str">
            <v>004047</v>
          </cell>
          <cell r="C528" t="str">
            <v>CN</v>
          </cell>
          <cell r="D528" t="str">
            <v>CN</v>
          </cell>
          <cell r="E528" t="str">
            <v>12020</v>
          </cell>
        </row>
        <row r="529">
          <cell r="A529" t="str">
            <v>CASTELLETTO STURA</v>
          </cell>
          <cell r="B529" t="str">
            <v>004049</v>
          </cell>
          <cell r="C529" t="str">
            <v>CN</v>
          </cell>
          <cell r="D529" t="str">
            <v>CN</v>
          </cell>
          <cell r="E529" t="str">
            <v>12040</v>
          </cell>
        </row>
        <row r="530">
          <cell r="A530" t="str">
            <v>CASTELLETTO UZZONE</v>
          </cell>
          <cell r="B530" t="str">
            <v>004050</v>
          </cell>
          <cell r="C530" t="str">
            <v>CN</v>
          </cell>
          <cell r="D530" t="str">
            <v>CN</v>
          </cell>
          <cell r="E530" t="str">
            <v>12070</v>
          </cell>
        </row>
        <row r="531">
          <cell r="A531" t="str">
            <v>CASTELLINALDO D'ALBA</v>
          </cell>
          <cell r="B531" t="str">
            <v>004051</v>
          </cell>
          <cell r="C531" t="str">
            <v>CN</v>
          </cell>
          <cell r="D531" t="e">
            <v>#N/A</v>
          </cell>
          <cell r="E531" t="e">
            <v>#N/A</v>
          </cell>
        </row>
        <row r="532">
          <cell r="A532" t="str">
            <v>CASTELLINO TANARO</v>
          </cell>
          <cell r="B532" t="str">
            <v>004052</v>
          </cell>
          <cell r="C532" t="str">
            <v>CN</v>
          </cell>
          <cell r="D532" t="str">
            <v>CN</v>
          </cell>
          <cell r="E532" t="str">
            <v>12060</v>
          </cell>
        </row>
        <row r="533">
          <cell r="A533" t="str">
            <v>CASTELMAGNO</v>
          </cell>
          <cell r="B533" t="str">
            <v>004053</v>
          </cell>
          <cell r="C533" t="str">
            <v>CN</v>
          </cell>
          <cell r="D533" t="str">
            <v>CN</v>
          </cell>
          <cell r="E533" t="str">
            <v>12020</v>
          </cell>
        </row>
        <row r="534">
          <cell r="A534" t="str">
            <v>CASTELNUOVO DI CEVA</v>
          </cell>
          <cell r="B534" t="str">
            <v>004054</v>
          </cell>
          <cell r="C534" t="str">
            <v>CN</v>
          </cell>
          <cell r="D534" t="str">
            <v>CN</v>
          </cell>
          <cell r="E534" t="str">
            <v>12070</v>
          </cell>
        </row>
        <row r="535">
          <cell r="A535" t="str">
            <v>CASTIGLIONE FALLETTO</v>
          </cell>
          <cell r="B535" t="str">
            <v>004055</v>
          </cell>
          <cell r="C535" t="str">
            <v>CN</v>
          </cell>
          <cell r="D535" t="str">
            <v>CN</v>
          </cell>
          <cell r="E535" t="str">
            <v>12060</v>
          </cell>
        </row>
        <row r="536">
          <cell r="A536" t="str">
            <v>CASTIGLIONE TINELLA</v>
          </cell>
          <cell r="B536" t="str">
            <v>004056</v>
          </cell>
          <cell r="C536" t="str">
            <v>CN</v>
          </cell>
          <cell r="D536" t="str">
            <v>CN</v>
          </cell>
          <cell r="E536" t="str">
            <v>12053</v>
          </cell>
        </row>
        <row r="537">
          <cell r="A537" t="str">
            <v>CASTINO</v>
          </cell>
          <cell r="B537" t="str">
            <v>004057</v>
          </cell>
          <cell r="C537" t="str">
            <v>CN</v>
          </cell>
          <cell r="D537" t="str">
            <v>CN</v>
          </cell>
          <cell r="E537" t="str">
            <v>12050</v>
          </cell>
        </row>
        <row r="538">
          <cell r="A538" t="str">
            <v>CAVALLERLEONE</v>
          </cell>
          <cell r="B538" t="str">
            <v>004058</v>
          </cell>
          <cell r="C538" t="str">
            <v>CN</v>
          </cell>
          <cell r="D538" t="str">
            <v>CN</v>
          </cell>
          <cell r="E538" t="str">
            <v>12030</v>
          </cell>
        </row>
        <row r="539">
          <cell r="A539" t="str">
            <v>CAVALLERMAGGIORE</v>
          </cell>
          <cell r="B539" t="str">
            <v>004059</v>
          </cell>
          <cell r="C539" t="str">
            <v>CN</v>
          </cell>
          <cell r="D539" t="str">
            <v>CN</v>
          </cell>
          <cell r="E539" t="str">
            <v>12030</v>
          </cell>
        </row>
        <row r="540">
          <cell r="A540" t="str">
            <v>CELLE DI MACRA</v>
          </cell>
          <cell r="B540" t="str">
            <v>004060</v>
          </cell>
          <cell r="C540" t="str">
            <v>CN</v>
          </cell>
          <cell r="D540" t="str">
            <v>CN</v>
          </cell>
          <cell r="E540" t="str">
            <v>12020</v>
          </cell>
        </row>
        <row r="541">
          <cell r="A541" t="str">
            <v>CENTALLO</v>
          </cell>
          <cell r="B541" t="str">
            <v>004061</v>
          </cell>
          <cell r="C541" t="str">
            <v>CN</v>
          </cell>
          <cell r="D541" t="str">
            <v>CN</v>
          </cell>
          <cell r="E541" t="str">
            <v>12044</v>
          </cell>
        </row>
        <row r="542">
          <cell r="A542" t="str">
            <v>CERESOLE ALBA</v>
          </cell>
          <cell r="B542" t="str">
            <v>004062</v>
          </cell>
          <cell r="C542" t="str">
            <v>CN</v>
          </cell>
          <cell r="D542" t="str">
            <v>CN</v>
          </cell>
          <cell r="E542" t="str">
            <v>12040</v>
          </cell>
        </row>
        <row r="543">
          <cell r="A543" t="str">
            <v>CERRETTO LANGHE</v>
          </cell>
          <cell r="B543" t="str">
            <v>004063</v>
          </cell>
          <cell r="C543" t="str">
            <v>CN</v>
          </cell>
          <cell r="D543" t="str">
            <v>CN</v>
          </cell>
          <cell r="E543" t="str">
            <v>12050</v>
          </cell>
        </row>
        <row r="544">
          <cell r="A544" t="str">
            <v>CERVASCA</v>
          </cell>
          <cell r="B544" t="str">
            <v>004064</v>
          </cell>
          <cell r="C544" t="str">
            <v>CN</v>
          </cell>
          <cell r="D544" t="str">
            <v>CN</v>
          </cell>
          <cell r="E544" t="str">
            <v>12010</v>
          </cell>
        </row>
        <row r="545">
          <cell r="A545" t="str">
            <v>CERVERE</v>
          </cell>
          <cell r="B545" t="str">
            <v>004065</v>
          </cell>
          <cell r="C545" t="str">
            <v>CN</v>
          </cell>
          <cell r="D545" t="str">
            <v>CN</v>
          </cell>
          <cell r="E545" t="str">
            <v>12040</v>
          </cell>
        </row>
        <row r="546">
          <cell r="A546" t="str">
            <v>CEVA</v>
          </cell>
          <cell r="B546" t="str">
            <v>004066</v>
          </cell>
          <cell r="C546" t="str">
            <v>CN</v>
          </cell>
          <cell r="D546" t="str">
            <v>CN</v>
          </cell>
          <cell r="E546" t="str">
            <v>12073</v>
          </cell>
        </row>
        <row r="547">
          <cell r="A547" t="str">
            <v>CHERASCO</v>
          </cell>
          <cell r="B547" t="str">
            <v>004067</v>
          </cell>
          <cell r="C547" t="str">
            <v>CN</v>
          </cell>
          <cell r="D547" t="str">
            <v>CN</v>
          </cell>
          <cell r="E547" t="str">
            <v>12062</v>
          </cell>
        </row>
        <row r="548">
          <cell r="A548" t="str">
            <v>CHIUSA DI PESIO</v>
          </cell>
          <cell r="B548" t="str">
            <v>004068</v>
          </cell>
          <cell r="C548" t="str">
            <v>CN</v>
          </cell>
          <cell r="D548" t="str">
            <v>CN</v>
          </cell>
          <cell r="E548" t="str">
            <v>12013</v>
          </cell>
        </row>
        <row r="549">
          <cell r="A549" t="str">
            <v>CIGLIÈ</v>
          </cell>
          <cell r="B549" t="str">
            <v>004069</v>
          </cell>
          <cell r="C549" t="str">
            <v>CN</v>
          </cell>
          <cell r="D549" t="str">
            <v>CN</v>
          </cell>
          <cell r="E549" t="str">
            <v>12060</v>
          </cell>
        </row>
        <row r="550">
          <cell r="A550" t="str">
            <v>CISSONE</v>
          </cell>
          <cell r="B550" t="str">
            <v>004070</v>
          </cell>
          <cell r="C550" t="str">
            <v>CN</v>
          </cell>
          <cell r="D550" t="str">
            <v>CN</v>
          </cell>
          <cell r="E550" t="str">
            <v>12050</v>
          </cell>
        </row>
        <row r="551">
          <cell r="A551" t="str">
            <v>CLAVESANA</v>
          </cell>
          <cell r="B551" t="str">
            <v>004071</v>
          </cell>
          <cell r="C551" t="str">
            <v>CN</v>
          </cell>
          <cell r="D551" t="str">
            <v>CN</v>
          </cell>
          <cell r="E551" t="str">
            <v>12060</v>
          </cell>
        </row>
        <row r="552">
          <cell r="A552" t="str">
            <v>CORNELIANO D'ALBA</v>
          </cell>
          <cell r="B552" t="str">
            <v>004072</v>
          </cell>
          <cell r="C552" t="str">
            <v>CN</v>
          </cell>
          <cell r="D552" t="str">
            <v>CN</v>
          </cell>
          <cell r="E552" t="str">
            <v>12040</v>
          </cell>
        </row>
        <row r="553">
          <cell r="A553" t="str">
            <v>CORTEMILIA</v>
          </cell>
          <cell r="B553" t="str">
            <v>004073</v>
          </cell>
          <cell r="C553" t="str">
            <v>CN</v>
          </cell>
          <cell r="D553" t="str">
            <v>CN</v>
          </cell>
          <cell r="E553" t="str">
            <v>12074</v>
          </cell>
        </row>
        <row r="554">
          <cell r="A554" t="str">
            <v>COSSANO BELBO</v>
          </cell>
          <cell r="B554" t="str">
            <v>004074</v>
          </cell>
          <cell r="C554" t="str">
            <v>CN</v>
          </cell>
          <cell r="D554" t="str">
            <v>CN</v>
          </cell>
          <cell r="E554" t="str">
            <v>12054</v>
          </cell>
        </row>
        <row r="555">
          <cell r="A555" t="str">
            <v>COSTIGLIOLE SALUZZO</v>
          </cell>
          <cell r="B555" t="str">
            <v>004075</v>
          </cell>
          <cell r="C555" t="str">
            <v>CN</v>
          </cell>
          <cell r="D555" t="str">
            <v>CN</v>
          </cell>
          <cell r="E555" t="str">
            <v>12024</v>
          </cell>
        </row>
        <row r="556">
          <cell r="A556" t="str">
            <v>CRAVANZANA</v>
          </cell>
          <cell r="B556" t="str">
            <v>004076</v>
          </cell>
          <cell r="C556" t="str">
            <v>CN</v>
          </cell>
          <cell r="D556" t="str">
            <v>CN</v>
          </cell>
          <cell r="E556" t="str">
            <v>12050</v>
          </cell>
        </row>
        <row r="557">
          <cell r="A557" t="str">
            <v>CRISSOLO</v>
          </cell>
          <cell r="B557" t="str">
            <v>004077</v>
          </cell>
          <cell r="C557" t="str">
            <v>CN</v>
          </cell>
          <cell r="D557" t="str">
            <v>CN</v>
          </cell>
          <cell r="E557" t="str">
            <v>12030</v>
          </cell>
        </row>
        <row r="558">
          <cell r="A558" t="str">
            <v>CUNEO</v>
          </cell>
          <cell r="B558" t="str">
            <v>004078</v>
          </cell>
          <cell r="C558" t="str">
            <v>CN</v>
          </cell>
          <cell r="D558" t="str">
            <v>CN</v>
          </cell>
          <cell r="E558" t="str">
            <v>12100</v>
          </cell>
        </row>
        <row r="559">
          <cell r="A559" t="str">
            <v>DEMONTE</v>
          </cell>
          <cell r="B559" t="str">
            <v>004079</v>
          </cell>
          <cell r="C559" t="str">
            <v>CN</v>
          </cell>
          <cell r="D559" t="str">
            <v>CN</v>
          </cell>
          <cell r="E559" t="str">
            <v>12014</v>
          </cell>
        </row>
        <row r="560">
          <cell r="A560" t="str">
            <v>DIANO D'ALBA</v>
          </cell>
          <cell r="B560" t="str">
            <v>004080</v>
          </cell>
          <cell r="C560" t="str">
            <v>CN</v>
          </cell>
          <cell r="D560" t="str">
            <v>CN</v>
          </cell>
          <cell r="E560" t="str">
            <v>12055</v>
          </cell>
        </row>
        <row r="561">
          <cell r="A561" t="str">
            <v>DOGLIANI</v>
          </cell>
          <cell r="B561" t="str">
            <v>004081</v>
          </cell>
          <cell r="C561" t="str">
            <v>CN</v>
          </cell>
          <cell r="D561" t="str">
            <v>CN</v>
          </cell>
          <cell r="E561" t="str">
            <v>12063</v>
          </cell>
        </row>
        <row r="562">
          <cell r="A562" t="str">
            <v>DRONERO</v>
          </cell>
          <cell r="B562" t="str">
            <v>004082</v>
          </cell>
          <cell r="C562" t="str">
            <v>CN</v>
          </cell>
          <cell r="D562" t="str">
            <v>CN</v>
          </cell>
          <cell r="E562" t="str">
            <v>12025</v>
          </cell>
        </row>
        <row r="563">
          <cell r="A563" t="str">
            <v>ELVA</v>
          </cell>
          <cell r="B563" t="str">
            <v>004083</v>
          </cell>
          <cell r="C563" t="str">
            <v>CN</v>
          </cell>
          <cell r="D563" t="str">
            <v>CN</v>
          </cell>
          <cell r="E563" t="str">
            <v>12020</v>
          </cell>
        </row>
        <row r="564">
          <cell r="A564" t="str">
            <v>ENTRACQUE</v>
          </cell>
          <cell r="B564" t="str">
            <v>004084</v>
          </cell>
          <cell r="C564" t="str">
            <v>CN</v>
          </cell>
          <cell r="D564" t="str">
            <v>CN</v>
          </cell>
          <cell r="E564" t="str">
            <v>12010</v>
          </cell>
        </row>
        <row r="565">
          <cell r="A565" t="str">
            <v>ENVIE</v>
          </cell>
          <cell r="B565" t="str">
            <v>004085</v>
          </cell>
          <cell r="C565" t="str">
            <v>CN</v>
          </cell>
          <cell r="D565" t="str">
            <v>CN</v>
          </cell>
          <cell r="E565" t="str">
            <v>12030</v>
          </cell>
        </row>
        <row r="566">
          <cell r="A566" t="str">
            <v>FARIGLIANO</v>
          </cell>
          <cell r="B566" t="str">
            <v>004086</v>
          </cell>
          <cell r="C566" t="str">
            <v>CN</v>
          </cell>
          <cell r="D566" t="str">
            <v>CN</v>
          </cell>
          <cell r="E566" t="str">
            <v>12060</v>
          </cell>
        </row>
        <row r="567">
          <cell r="A567" t="str">
            <v>FAULE</v>
          </cell>
          <cell r="B567" t="str">
            <v>004087</v>
          </cell>
          <cell r="C567" t="str">
            <v>CN</v>
          </cell>
          <cell r="D567" t="str">
            <v>CN</v>
          </cell>
          <cell r="E567" t="str">
            <v>12030</v>
          </cell>
        </row>
        <row r="568">
          <cell r="A568" t="str">
            <v>FEISOGLIO</v>
          </cell>
          <cell r="B568" t="str">
            <v>004088</v>
          </cell>
          <cell r="C568" t="str">
            <v>CN</v>
          </cell>
          <cell r="D568" t="str">
            <v>CN</v>
          </cell>
          <cell r="E568" t="str">
            <v>12050</v>
          </cell>
        </row>
        <row r="569">
          <cell r="A569" t="str">
            <v>FOSSANO</v>
          </cell>
          <cell r="B569" t="str">
            <v>004089</v>
          </cell>
          <cell r="C569" t="str">
            <v>CN</v>
          </cell>
          <cell r="D569" t="str">
            <v>CN</v>
          </cell>
          <cell r="E569" t="str">
            <v>12045</v>
          </cell>
        </row>
        <row r="570">
          <cell r="A570" t="str">
            <v>FRABOSA SOPRANA</v>
          </cell>
          <cell r="B570" t="str">
            <v>004090</v>
          </cell>
          <cell r="C570" t="str">
            <v>CN</v>
          </cell>
          <cell r="D570" t="str">
            <v>CN</v>
          </cell>
          <cell r="E570" t="str">
            <v>12082</v>
          </cell>
        </row>
        <row r="571">
          <cell r="A571" t="str">
            <v>FRABOSA SOTTANA</v>
          </cell>
          <cell r="B571" t="str">
            <v>004091</v>
          </cell>
          <cell r="C571" t="str">
            <v>CN</v>
          </cell>
          <cell r="D571" t="str">
            <v>CN</v>
          </cell>
          <cell r="E571" t="str">
            <v>12083</v>
          </cell>
        </row>
        <row r="572">
          <cell r="A572" t="str">
            <v>FRASSINO</v>
          </cell>
          <cell r="B572" t="str">
            <v>004092</v>
          </cell>
          <cell r="C572" t="str">
            <v>CN</v>
          </cell>
          <cell r="D572" t="str">
            <v>CN</v>
          </cell>
          <cell r="E572" t="str">
            <v>12020</v>
          </cell>
        </row>
        <row r="573">
          <cell r="A573" t="str">
            <v>GAIOLA</v>
          </cell>
          <cell r="B573" t="str">
            <v>004093</v>
          </cell>
          <cell r="C573" t="str">
            <v>CN</v>
          </cell>
          <cell r="D573" t="str">
            <v>CN</v>
          </cell>
          <cell r="E573" t="str">
            <v>12010</v>
          </cell>
        </row>
        <row r="574">
          <cell r="A574" t="str">
            <v>GAMBASCA</v>
          </cell>
          <cell r="B574" t="str">
            <v>004094</v>
          </cell>
          <cell r="C574" t="str">
            <v>CN</v>
          </cell>
          <cell r="D574" t="str">
            <v>CN</v>
          </cell>
          <cell r="E574" t="str">
            <v>12030</v>
          </cell>
        </row>
        <row r="575">
          <cell r="A575" t="str">
            <v>GARESSIO</v>
          </cell>
          <cell r="B575" t="str">
            <v>004095</v>
          </cell>
          <cell r="C575" t="str">
            <v>CN</v>
          </cell>
          <cell r="D575" t="str">
            <v>CN</v>
          </cell>
          <cell r="E575" t="str">
            <v>12075</v>
          </cell>
        </row>
        <row r="576">
          <cell r="A576" t="str">
            <v>GENOLA</v>
          </cell>
          <cell r="B576" t="str">
            <v>004096</v>
          </cell>
          <cell r="C576" t="str">
            <v>CN</v>
          </cell>
          <cell r="D576" t="str">
            <v>CN</v>
          </cell>
          <cell r="E576" t="str">
            <v>12040</v>
          </cell>
        </row>
        <row r="577">
          <cell r="A577" t="str">
            <v>GORZEGNO</v>
          </cell>
          <cell r="B577" t="str">
            <v>004097</v>
          </cell>
          <cell r="C577" t="str">
            <v>CN</v>
          </cell>
          <cell r="D577" t="str">
            <v>CN</v>
          </cell>
          <cell r="E577" t="str">
            <v>12070</v>
          </cell>
        </row>
        <row r="578">
          <cell r="A578" t="str">
            <v>GOTTASECCA</v>
          </cell>
          <cell r="B578" t="str">
            <v>004098</v>
          </cell>
          <cell r="C578" t="str">
            <v>CN</v>
          </cell>
          <cell r="D578" t="str">
            <v>CN</v>
          </cell>
          <cell r="E578" t="str">
            <v>12070</v>
          </cell>
        </row>
        <row r="579">
          <cell r="A579" t="str">
            <v>GOVONE</v>
          </cell>
          <cell r="B579" t="str">
            <v>004099</v>
          </cell>
          <cell r="C579" t="str">
            <v>CN</v>
          </cell>
          <cell r="D579" t="str">
            <v>CN</v>
          </cell>
          <cell r="E579" t="str">
            <v>12040</v>
          </cell>
        </row>
        <row r="580">
          <cell r="A580" t="str">
            <v>GRINZANE CAVOUR</v>
          </cell>
          <cell r="B580" t="str">
            <v>004100</v>
          </cell>
          <cell r="C580" t="str">
            <v>CN</v>
          </cell>
          <cell r="D580" t="str">
            <v>CN</v>
          </cell>
          <cell r="E580" t="str">
            <v>12060</v>
          </cell>
        </row>
        <row r="581">
          <cell r="A581" t="str">
            <v>GUARENE</v>
          </cell>
          <cell r="B581" t="str">
            <v>004101</v>
          </cell>
          <cell r="C581" t="str">
            <v>CN</v>
          </cell>
          <cell r="D581" t="str">
            <v>CN</v>
          </cell>
          <cell r="E581" t="str">
            <v>12050</v>
          </cell>
        </row>
        <row r="582">
          <cell r="A582" t="str">
            <v>IGLIANO</v>
          </cell>
          <cell r="B582" t="str">
            <v>004102</v>
          </cell>
          <cell r="C582" t="str">
            <v>CN</v>
          </cell>
          <cell r="D582" t="str">
            <v>CN</v>
          </cell>
          <cell r="E582" t="str">
            <v>12060</v>
          </cell>
        </row>
        <row r="583">
          <cell r="A583" t="str">
            <v>ISASCA</v>
          </cell>
          <cell r="B583" t="str">
            <v>004103</v>
          </cell>
          <cell r="C583" t="str">
            <v>CN</v>
          </cell>
          <cell r="D583" t="str">
            <v>CN</v>
          </cell>
          <cell r="E583" t="str">
            <v>12020</v>
          </cell>
        </row>
        <row r="584">
          <cell r="A584" t="str">
            <v>LAGNASCO</v>
          </cell>
          <cell r="B584" t="str">
            <v>004104</v>
          </cell>
          <cell r="C584" t="str">
            <v>CN</v>
          </cell>
          <cell r="D584" t="str">
            <v>CN</v>
          </cell>
          <cell r="E584" t="str">
            <v>12030</v>
          </cell>
        </row>
        <row r="585">
          <cell r="A585" t="str">
            <v>LA MORRA</v>
          </cell>
          <cell r="B585" t="str">
            <v>004105</v>
          </cell>
          <cell r="C585" t="str">
            <v>CN</v>
          </cell>
          <cell r="D585" t="str">
            <v>CN</v>
          </cell>
          <cell r="E585" t="str">
            <v>12064</v>
          </cell>
        </row>
        <row r="586">
          <cell r="A586" t="str">
            <v>LEQUIO BERRIA</v>
          </cell>
          <cell r="B586" t="str">
            <v>004106</v>
          </cell>
          <cell r="C586" t="str">
            <v>CN</v>
          </cell>
          <cell r="D586" t="str">
            <v>CN</v>
          </cell>
          <cell r="E586" t="str">
            <v>12050</v>
          </cell>
        </row>
        <row r="587">
          <cell r="A587" t="str">
            <v>LEQUIO TANARO</v>
          </cell>
          <cell r="B587" t="str">
            <v>004107</v>
          </cell>
          <cell r="C587" t="str">
            <v>CN</v>
          </cell>
          <cell r="D587" t="str">
            <v>CN</v>
          </cell>
          <cell r="E587" t="str">
            <v>12060</v>
          </cell>
        </row>
        <row r="588">
          <cell r="A588" t="str">
            <v>LESEGNO</v>
          </cell>
          <cell r="B588" t="str">
            <v>004108</v>
          </cell>
          <cell r="C588" t="str">
            <v>CN</v>
          </cell>
          <cell r="D588" t="str">
            <v>CN</v>
          </cell>
          <cell r="E588" t="str">
            <v>12076</v>
          </cell>
        </row>
        <row r="589">
          <cell r="A589" t="str">
            <v>LEVICE</v>
          </cell>
          <cell r="B589" t="str">
            <v>004109</v>
          </cell>
          <cell r="C589" t="str">
            <v>CN</v>
          </cell>
          <cell r="D589" t="str">
            <v>CN</v>
          </cell>
          <cell r="E589" t="str">
            <v>12070</v>
          </cell>
        </row>
        <row r="590">
          <cell r="A590" t="str">
            <v>LIMONE PIEMONTE</v>
          </cell>
          <cell r="B590" t="str">
            <v>004110</v>
          </cell>
          <cell r="C590" t="str">
            <v>CN</v>
          </cell>
          <cell r="D590" t="str">
            <v>CN</v>
          </cell>
          <cell r="E590" t="str">
            <v>12015</v>
          </cell>
        </row>
        <row r="591">
          <cell r="A591" t="str">
            <v>LISIO</v>
          </cell>
          <cell r="B591" t="str">
            <v>004111</v>
          </cell>
          <cell r="C591" t="str">
            <v>CN</v>
          </cell>
          <cell r="D591" t="str">
            <v>CN</v>
          </cell>
          <cell r="E591" t="str">
            <v>12070</v>
          </cell>
        </row>
        <row r="592">
          <cell r="A592" t="str">
            <v>MACRA</v>
          </cell>
          <cell r="B592" t="str">
            <v>004112</v>
          </cell>
          <cell r="C592" t="str">
            <v>CN</v>
          </cell>
          <cell r="D592" t="str">
            <v>CN</v>
          </cell>
          <cell r="E592" t="str">
            <v>12020</v>
          </cell>
        </row>
        <row r="593">
          <cell r="A593" t="str">
            <v>MAGLIANO ALFIERI</v>
          </cell>
          <cell r="B593" t="str">
            <v>004113</v>
          </cell>
          <cell r="C593" t="str">
            <v>CN</v>
          </cell>
          <cell r="D593" t="str">
            <v>CN</v>
          </cell>
          <cell r="E593" t="str">
            <v>12050</v>
          </cell>
        </row>
        <row r="594">
          <cell r="A594" t="str">
            <v>MAGLIANO ALPI</v>
          </cell>
          <cell r="B594" t="str">
            <v>004114</v>
          </cell>
          <cell r="C594" t="str">
            <v>CN</v>
          </cell>
          <cell r="D594" t="str">
            <v>CN</v>
          </cell>
          <cell r="E594" t="str">
            <v>12060</v>
          </cell>
        </row>
        <row r="595">
          <cell r="A595" t="str">
            <v>MANGO</v>
          </cell>
          <cell r="B595" t="str">
            <v>004115</v>
          </cell>
          <cell r="C595" t="str">
            <v>CN</v>
          </cell>
          <cell r="D595" t="str">
            <v>CN</v>
          </cell>
          <cell r="E595" t="str">
            <v>12056</v>
          </cell>
        </row>
        <row r="596">
          <cell r="A596" t="str">
            <v>MANTA</v>
          </cell>
          <cell r="B596" t="str">
            <v>004116</v>
          </cell>
          <cell r="C596" t="str">
            <v>CN</v>
          </cell>
          <cell r="D596" t="str">
            <v>CN</v>
          </cell>
          <cell r="E596" t="str">
            <v>12030</v>
          </cell>
        </row>
        <row r="597">
          <cell r="A597" t="str">
            <v>MARENE</v>
          </cell>
          <cell r="B597" t="str">
            <v>004117</v>
          </cell>
          <cell r="C597" t="str">
            <v>CN</v>
          </cell>
          <cell r="D597" t="str">
            <v>CN</v>
          </cell>
          <cell r="E597" t="str">
            <v>12030</v>
          </cell>
        </row>
        <row r="598">
          <cell r="A598" t="str">
            <v>MARGARITA</v>
          </cell>
          <cell r="B598" t="str">
            <v>004118</v>
          </cell>
          <cell r="C598" t="str">
            <v>CN</v>
          </cell>
          <cell r="D598" t="str">
            <v>CN</v>
          </cell>
          <cell r="E598" t="str">
            <v>12040</v>
          </cell>
        </row>
        <row r="599">
          <cell r="A599" t="str">
            <v>MARMORA</v>
          </cell>
          <cell r="B599" t="str">
            <v>004119</v>
          </cell>
          <cell r="C599" t="str">
            <v>CN</v>
          </cell>
          <cell r="D599" t="str">
            <v>CN</v>
          </cell>
          <cell r="E599" t="str">
            <v>12020</v>
          </cell>
        </row>
        <row r="600">
          <cell r="A600" t="str">
            <v>MARSAGLIA</v>
          </cell>
          <cell r="B600" t="str">
            <v>004120</v>
          </cell>
          <cell r="C600" t="str">
            <v>CN</v>
          </cell>
          <cell r="D600" t="str">
            <v>CN</v>
          </cell>
          <cell r="E600" t="str">
            <v>12060</v>
          </cell>
        </row>
        <row r="601">
          <cell r="A601" t="str">
            <v>MARTINIANA PO</v>
          </cell>
          <cell r="B601" t="str">
            <v>004121</v>
          </cell>
          <cell r="C601" t="str">
            <v>CN</v>
          </cell>
          <cell r="D601" t="str">
            <v>CN</v>
          </cell>
          <cell r="E601" t="str">
            <v>12030</v>
          </cell>
        </row>
        <row r="602">
          <cell r="A602" t="str">
            <v>MELLE</v>
          </cell>
          <cell r="B602" t="str">
            <v>004122</v>
          </cell>
          <cell r="C602" t="str">
            <v>CN</v>
          </cell>
          <cell r="D602" t="str">
            <v>CN</v>
          </cell>
          <cell r="E602" t="str">
            <v>12020</v>
          </cell>
        </row>
        <row r="603">
          <cell r="A603" t="str">
            <v>MOIOLA</v>
          </cell>
          <cell r="B603" t="str">
            <v>004123</v>
          </cell>
          <cell r="C603" t="str">
            <v>CN</v>
          </cell>
          <cell r="D603" t="str">
            <v>CN</v>
          </cell>
          <cell r="E603" t="str">
            <v>12010</v>
          </cell>
        </row>
        <row r="604">
          <cell r="A604" t="str">
            <v>MOMBARCARO</v>
          </cell>
          <cell r="B604" t="str">
            <v>004124</v>
          </cell>
          <cell r="C604" t="str">
            <v>CN</v>
          </cell>
          <cell r="D604" t="str">
            <v>CN</v>
          </cell>
          <cell r="E604" t="str">
            <v>12070</v>
          </cell>
        </row>
        <row r="605">
          <cell r="A605" t="str">
            <v>MOMBASIGLIO</v>
          </cell>
          <cell r="B605" t="str">
            <v>004125</v>
          </cell>
          <cell r="C605" t="str">
            <v>CN</v>
          </cell>
          <cell r="D605" t="str">
            <v>CN</v>
          </cell>
          <cell r="E605" t="str">
            <v>12070</v>
          </cell>
        </row>
        <row r="606">
          <cell r="A606" t="str">
            <v>MONASTERO DI VASCO</v>
          </cell>
          <cell r="B606" t="str">
            <v>004126</v>
          </cell>
          <cell r="C606" t="str">
            <v>CN</v>
          </cell>
          <cell r="D606" t="str">
            <v>CN</v>
          </cell>
          <cell r="E606" t="str">
            <v>12080</v>
          </cell>
        </row>
        <row r="607">
          <cell r="A607" t="str">
            <v>MONASTEROLO CASOTTO</v>
          </cell>
          <cell r="B607" t="str">
            <v>004127</v>
          </cell>
          <cell r="C607" t="str">
            <v>CN</v>
          </cell>
          <cell r="D607" t="str">
            <v>CN</v>
          </cell>
          <cell r="E607" t="str">
            <v>12080</v>
          </cell>
        </row>
        <row r="608">
          <cell r="A608" t="str">
            <v>MONASTEROLO DI SAVIGLIANO</v>
          </cell>
          <cell r="B608" t="str">
            <v>004128</v>
          </cell>
          <cell r="C608" t="str">
            <v>CN</v>
          </cell>
          <cell r="D608" t="str">
            <v>CN</v>
          </cell>
          <cell r="E608" t="str">
            <v>12030</v>
          </cell>
        </row>
        <row r="609">
          <cell r="A609" t="str">
            <v>MONCHIERO</v>
          </cell>
          <cell r="B609" t="str">
            <v>004129</v>
          </cell>
          <cell r="C609" t="str">
            <v>CN</v>
          </cell>
          <cell r="D609" t="str">
            <v>CN</v>
          </cell>
          <cell r="E609" t="str">
            <v>12060</v>
          </cell>
        </row>
        <row r="610">
          <cell r="A610" t="str">
            <v>MONDOVÌ</v>
          </cell>
          <cell r="B610" t="str">
            <v>004130</v>
          </cell>
          <cell r="C610" t="str">
            <v>CN</v>
          </cell>
          <cell r="D610" t="str">
            <v>CN</v>
          </cell>
          <cell r="E610" t="str">
            <v>12084</v>
          </cell>
        </row>
        <row r="611">
          <cell r="A611" t="str">
            <v>MONESIGLIO</v>
          </cell>
          <cell r="B611" t="str">
            <v>004131</v>
          </cell>
          <cell r="C611" t="str">
            <v>CN</v>
          </cell>
          <cell r="D611" t="str">
            <v>CN</v>
          </cell>
          <cell r="E611" t="str">
            <v>12077</v>
          </cell>
        </row>
        <row r="612">
          <cell r="A612" t="str">
            <v>MONFORTE D'ALBA</v>
          </cell>
          <cell r="B612" t="str">
            <v>004132</v>
          </cell>
          <cell r="C612" t="str">
            <v>CN</v>
          </cell>
          <cell r="D612" t="str">
            <v>CN</v>
          </cell>
          <cell r="E612" t="str">
            <v>12065</v>
          </cell>
        </row>
        <row r="613">
          <cell r="A613" t="str">
            <v>MONTÀ</v>
          </cell>
          <cell r="B613" t="str">
            <v>004133</v>
          </cell>
          <cell r="C613" t="str">
            <v>CN</v>
          </cell>
          <cell r="D613" t="str">
            <v>CN</v>
          </cell>
          <cell r="E613" t="str">
            <v>12046</v>
          </cell>
        </row>
        <row r="614">
          <cell r="A614" t="str">
            <v>MONTALDO DI MONDOVÌ</v>
          </cell>
          <cell r="B614" t="str">
            <v>004134</v>
          </cell>
          <cell r="C614" t="str">
            <v>CN</v>
          </cell>
          <cell r="D614" t="str">
            <v>CN</v>
          </cell>
          <cell r="E614" t="str">
            <v>12080</v>
          </cell>
        </row>
        <row r="615">
          <cell r="A615" t="str">
            <v>MONTALDO ROERO</v>
          </cell>
          <cell r="B615" t="str">
            <v>004135</v>
          </cell>
          <cell r="C615" t="str">
            <v>CN</v>
          </cell>
          <cell r="D615" t="str">
            <v>CN</v>
          </cell>
          <cell r="E615" t="str">
            <v>12040</v>
          </cell>
        </row>
        <row r="616">
          <cell r="A616" t="str">
            <v>MONTANERA</v>
          </cell>
          <cell r="B616" t="str">
            <v>004136</v>
          </cell>
          <cell r="C616" t="str">
            <v>CN</v>
          </cell>
          <cell r="D616" t="str">
            <v>CN</v>
          </cell>
          <cell r="E616" t="str">
            <v>12040</v>
          </cell>
        </row>
        <row r="617">
          <cell r="A617" t="str">
            <v>MONTELUPO ALBESE</v>
          </cell>
          <cell r="B617" t="str">
            <v>004137</v>
          </cell>
          <cell r="C617" t="str">
            <v>CN</v>
          </cell>
          <cell r="D617" t="str">
            <v>CN</v>
          </cell>
          <cell r="E617" t="str">
            <v>12050</v>
          </cell>
        </row>
        <row r="618">
          <cell r="A618" t="str">
            <v>MONTEMALE DI CUNEO</v>
          </cell>
          <cell r="B618" t="str">
            <v>004138</v>
          </cell>
          <cell r="C618" t="str">
            <v>CN</v>
          </cell>
          <cell r="D618" t="str">
            <v>CN</v>
          </cell>
          <cell r="E618" t="str">
            <v>12025</v>
          </cell>
        </row>
        <row r="619">
          <cell r="A619" t="str">
            <v>MONTEROSSO GRANA</v>
          </cell>
          <cell r="B619" t="str">
            <v>004139</v>
          </cell>
          <cell r="C619" t="str">
            <v>CN</v>
          </cell>
          <cell r="D619" t="str">
            <v>CN</v>
          </cell>
          <cell r="E619" t="str">
            <v>12020</v>
          </cell>
        </row>
        <row r="620">
          <cell r="A620" t="str">
            <v>MONTEU ROERO</v>
          </cell>
          <cell r="B620" t="str">
            <v>004140</v>
          </cell>
          <cell r="C620" t="str">
            <v>CN</v>
          </cell>
          <cell r="D620" t="str">
            <v>CN</v>
          </cell>
          <cell r="E620" t="str">
            <v>12040</v>
          </cell>
        </row>
        <row r="621">
          <cell r="A621" t="str">
            <v>MONTEZEMOLO</v>
          </cell>
          <cell r="B621" t="str">
            <v>004141</v>
          </cell>
          <cell r="C621" t="str">
            <v>CN</v>
          </cell>
          <cell r="D621" t="str">
            <v>CN</v>
          </cell>
          <cell r="E621" t="str">
            <v>12070</v>
          </cell>
        </row>
        <row r="622">
          <cell r="A622" t="str">
            <v>MONTICELLO D'ALBA</v>
          </cell>
          <cell r="B622" t="str">
            <v>004142</v>
          </cell>
          <cell r="C622" t="str">
            <v>CN</v>
          </cell>
          <cell r="D622" t="str">
            <v>CN</v>
          </cell>
          <cell r="E622" t="str">
            <v>12066</v>
          </cell>
        </row>
        <row r="623">
          <cell r="A623" t="str">
            <v>MORETTA</v>
          </cell>
          <cell r="B623" t="str">
            <v>004143</v>
          </cell>
          <cell r="C623" t="str">
            <v>CN</v>
          </cell>
          <cell r="D623" t="str">
            <v>CN</v>
          </cell>
          <cell r="E623" t="str">
            <v>12033</v>
          </cell>
        </row>
        <row r="624">
          <cell r="A624" t="str">
            <v>MOROZZO</v>
          </cell>
          <cell r="B624" t="str">
            <v>004144</v>
          </cell>
          <cell r="C624" t="str">
            <v>CN</v>
          </cell>
          <cell r="D624" t="str">
            <v>CN</v>
          </cell>
          <cell r="E624" t="str">
            <v>12040</v>
          </cell>
        </row>
        <row r="625">
          <cell r="A625" t="str">
            <v>MURAZZANO</v>
          </cell>
          <cell r="B625" t="str">
            <v>004145</v>
          </cell>
          <cell r="C625" t="str">
            <v>CN</v>
          </cell>
          <cell r="D625" t="str">
            <v>CN</v>
          </cell>
          <cell r="E625" t="str">
            <v>12060</v>
          </cell>
        </row>
        <row r="626">
          <cell r="A626" t="str">
            <v>MURELLO</v>
          </cell>
          <cell r="B626" t="str">
            <v>004146</v>
          </cell>
          <cell r="C626" t="str">
            <v>CN</v>
          </cell>
          <cell r="D626" t="str">
            <v>CN</v>
          </cell>
          <cell r="E626" t="str">
            <v>12030</v>
          </cell>
        </row>
        <row r="627">
          <cell r="A627" t="str">
            <v>NARZOLE</v>
          </cell>
          <cell r="B627" t="str">
            <v>004147</v>
          </cell>
          <cell r="C627" t="str">
            <v>CN</v>
          </cell>
          <cell r="D627" t="str">
            <v>CN</v>
          </cell>
          <cell r="E627" t="str">
            <v>12068</v>
          </cell>
        </row>
        <row r="628">
          <cell r="A628" t="str">
            <v>NEIVE</v>
          </cell>
          <cell r="B628" t="str">
            <v>004148</v>
          </cell>
          <cell r="C628" t="str">
            <v>CN</v>
          </cell>
          <cell r="D628" t="str">
            <v>CN</v>
          </cell>
          <cell r="E628" t="str">
            <v>12052</v>
          </cell>
        </row>
        <row r="629">
          <cell r="A629" t="str">
            <v>NEVIGLIE</v>
          </cell>
          <cell r="B629" t="str">
            <v>004149</v>
          </cell>
          <cell r="C629" t="str">
            <v>CN</v>
          </cell>
          <cell r="D629" t="str">
            <v>CN</v>
          </cell>
          <cell r="E629" t="str">
            <v>12050</v>
          </cell>
        </row>
        <row r="630">
          <cell r="A630" t="str">
            <v>NIELLA BELBO</v>
          </cell>
          <cell r="B630" t="str">
            <v>004150</v>
          </cell>
          <cell r="C630" t="str">
            <v>CN</v>
          </cell>
          <cell r="D630" t="str">
            <v>CN</v>
          </cell>
          <cell r="E630" t="str">
            <v>12050</v>
          </cell>
        </row>
        <row r="631">
          <cell r="A631" t="str">
            <v>NIELLA TANARO</v>
          </cell>
          <cell r="B631" t="str">
            <v>004151</v>
          </cell>
          <cell r="C631" t="str">
            <v>CN</v>
          </cell>
          <cell r="D631" t="str">
            <v>CN</v>
          </cell>
          <cell r="E631" t="str">
            <v>12060</v>
          </cell>
        </row>
        <row r="632">
          <cell r="A632" t="str">
            <v>NOVELLO</v>
          </cell>
          <cell r="B632" t="str">
            <v>004152</v>
          </cell>
          <cell r="C632" t="str">
            <v>CN</v>
          </cell>
          <cell r="D632" t="str">
            <v>CN</v>
          </cell>
          <cell r="E632" t="str">
            <v>12060</v>
          </cell>
        </row>
        <row r="633">
          <cell r="A633" t="str">
            <v>NUCETTO</v>
          </cell>
          <cell r="B633" t="str">
            <v>004153</v>
          </cell>
          <cell r="C633" t="str">
            <v>CN</v>
          </cell>
          <cell r="D633" t="str">
            <v>CN</v>
          </cell>
          <cell r="E633" t="str">
            <v>12070</v>
          </cell>
        </row>
        <row r="634">
          <cell r="A634" t="str">
            <v>ONCINO</v>
          </cell>
          <cell r="B634" t="str">
            <v>004154</v>
          </cell>
          <cell r="C634" t="str">
            <v>CN</v>
          </cell>
          <cell r="D634" t="str">
            <v>CN</v>
          </cell>
          <cell r="E634" t="str">
            <v>12030</v>
          </cell>
        </row>
        <row r="635">
          <cell r="A635" t="str">
            <v>ORMEA</v>
          </cell>
          <cell r="B635" t="str">
            <v>004155</v>
          </cell>
          <cell r="C635" t="str">
            <v>CN</v>
          </cell>
          <cell r="D635" t="str">
            <v>CN</v>
          </cell>
          <cell r="E635" t="str">
            <v>12078</v>
          </cell>
        </row>
        <row r="636">
          <cell r="A636" t="str">
            <v>OSTANA</v>
          </cell>
          <cell r="B636" t="str">
            <v>004156</v>
          </cell>
          <cell r="C636" t="str">
            <v>CN</v>
          </cell>
          <cell r="D636" t="str">
            <v>CN</v>
          </cell>
          <cell r="E636" t="str">
            <v>12030</v>
          </cell>
        </row>
        <row r="637">
          <cell r="A637" t="str">
            <v>PAESANA</v>
          </cell>
          <cell r="B637" t="str">
            <v>004157</v>
          </cell>
          <cell r="C637" t="str">
            <v>CN</v>
          </cell>
          <cell r="D637" t="str">
            <v>CN</v>
          </cell>
          <cell r="E637" t="str">
            <v>12034</v>
          </cell>
        </row>
        <row r="638">
          <cell r="A638" t="str">
            <v>PAGNO</v>
          </cell>
          <cell r="B638" t="str">
            <v>004158</v>
          </cell>
          <cell r="C638" t="str">
            <v>CN</v>
          </cell>
          <cell r="D638" t="str">
            <v>CN</v>
          </cell>
          <cell r="E638" t="str">
            <v>12030</v>
          </cell>
        </row>
        <row r="639">
          <cell r="A639" t="str">
            <v>PAMPARATO</v>
          </cell>
          <cell r="B639" t="str">
            <v>004159</v>
          </cell>
          <cell r="C639" t="str">
            <v>CN</v>
          </cell>
          <cell r="D639" t="str">
            <v>CN</v>
          </cell>
          <cell r="E639" t="str">
            <v>12087</v>
          </cell>
        </row>
        <row r="640">
          <cell r="A640" t="str">
            <v>PAROLDO</v>
          </cell>
          <cell r="B640" t="str">
            <v>004160</v>
          </cell>
          <cell r="C640" t="str">
            <v>CN</v>
          </cell>
          <cell r="D640" t="str">
            <v>CN</v>
          </cell>
          <cell r="E640" t="str">
            <v>12070</v>
          </cell>
        </row>
        <row r="641">
          <cell r="A641" t="str">
            <v>PERLETTO</v>
          </cell>
          <cell r="B641" t="str">
            <v>004161</v>
          </cell>
          <cell r="C641" t="str">
            <v>CN</v>
          </cell>
          <cell r="D641" t="str">
            <v>CN</v>
          </cell>
          <cell r="E641" t="str">
            <v>12070</v>
          </cell>
        </row>
        <row r="642">
          <cell r="A642" t="str">
            <v>PERLO</v>
          </cell>
          <cell r="B642" t="str">
            <v>004162</v>
          </cell>
          <cell r="C642" t="str">
            <v>CN</v>
          </cell>
          <cell r="D642" t="str">
            <v>CN</v>
          </cell>
          <cell r="E642" t="str">
            <v>12070</v>
          </cell>
        </row>
        <row r="643">
          <cell r="A643" t="str">
            <v>PEVERAGNO</v>
          </cell>
          <cell r="B643" t="str">
            <v>004163</v>
          </cell>
          <cell r="C643" t="str">
            <v>CN</v>
          </cell>
          <cell r="D643" t="str">
            <v>CN</v>
          </cell>
          <cell r="E643" t="str">
            <v>12016</v>
          </cell>
        </row>
        <row r="644">
          <cell r="A644" t="str">
            <v>PEZZOLO VALLE UZZONE</v>
          </cell>
          <cell r="B644" t="str">
            <v>004164</v>
          </cell>
          <cell r="C644" t="str">
            <v>CN</v>
          </cell>
          <cell r="D644" t="str">
            <v>CN</v>
          </cell>
          <cell r="E644" t="str">
            <v>12070</v>
          </cell>
        </row>
        <row r="645">
          <cell r="A645" t="str">
            <v>PIANFEI</v>
          </cell>
          <cell r="B645" t="str">
            <v>004165</v>
          </cell>
          <cell r="C645" t="str">
            <v>CN</v>
          </cell>
          <cell r="D645" t="str">
            <v>CN</v>
          </cell>
          <cell r="E645" t="str">
            <v>12080</v>
          </cell>
        </row>
        <row r="646">
          <cell r="A646" t="str">
            <v>PIASCO</v>
          </cell>
          <cell r="B646" t="str">
            <v>004166</v>
          </cell>
          <cell r="C646" t="str">
            <v>CN</v>
          </cell>
          <cell r="D646" t="str">
            <v>CN</v>
          </cell>
          <cell r="E646" t="str">
            <v>12026</v>
          </cell>
        </row>
        <row r="647">
          <cell r="A647" t="str">
            <v>PIETRAPORZIO</v>
          </cell>
          <cell r="B647" t="str">
            <v>004167</v>
          </cell>
          <cell r="C647" t="str">
            <v>CN</v>
          </cell>
          <cell r="D647" t="str">
            <v>CN</v>
          </cell>
          <cell r="E647" t="str">
            <v>12010</v>
          </cell>
        </row>
        <row r="648">
          <cell r="A648" t="str">
            <v>PIOBESI D'ALBA</v>
          </cell>
          <cell r="B648" t="str">
            <v>004168</v>
          </cell>
          <cell r="C648" t="str">
            <v>CN</v>
          </cell>
          <cell r="D648" t="str">
            <v>CN</v>
          </cell>
          <cell r="E648" t="str">
            <v>12040</v>
          </cell>
        </row>
        <row r="649">
          <cell r="A649" t="str">
            <v>PIOZZO</v>
          </cell>
          <cell r="B649" t="str">
            <v>004169</v>
          </cell>
          <cell r="C649" t="str">
            <v>CN</v>
          </cell>
          <cell r="D649" t="str">
            <v>CN</v>
          </cell>
          <cell r="E649" t="str">
            <v>12060</v>
          </cell>
        </row>
        <row r="650">
          <cell r="A650" t="str">
            <v>POCAPAGLIA</v>
          </cell>
          <cell r="B650" t="str">
            <v>004170</v>
          </cell>
          <cell r="C650" t="str">
            <v>CN</v>
          </cell>
          <cell r="D650" t="str">
            <v>CN</v>
          </cell>
          <cell r="E650" t="str">
            <v>12060</v>
          </cell>
        </row>
        <row r="651">
          <cell r="A651" t="str">
            <v>POLONGHERA</v>
          </cell>
          <cell r="B651" t="str">
            <v>004171</v>
          </cell>
          <cell r="C651" t="str">
            <v>CN</v>
          </cell>
          <cell r="D651" t="str">
            <v>CN</v>
          </cell>
          <cell r="E651" t="str">
            <v>12030</v>
          </cell>
        </row>
        <row r="652">
          <cell r="A652" t="str">
            <v>PONTECHIANALE</v>
          </cell>
          <cell r="B652" t="str">
            <v>004172</v>
          </cell>
          <cell r="C652" t="str">
            <v>CN</v>
          </cell>
          <cell r="D652" t="str">
            <v>CN</v>
          </cell>
          <cell r="E652" t="str">
            <v>12020</v>
          </cell>
        </row>
        <row r="653">
          <cell r="A653" t="str">
            <v>PRADLEVES</v>
          </cell>
          <cell r="B653" t="str">
            <v>004173</v>
          </cell>
          <cell r="C653" t="str">
            <v>CN</v>
          </cell>
          <cell r="D653" t="str">
            <v>CN</v>
          </cell>
          <cell r="E653" t="str">
            <v>12027</v>
          </cell>
        </row>
        <row r="654">
          <cell r="A654" t="str">
            <v>PRAZZO</v>
          </cell>
          <cell r="B654" t="str">
            <v>004174</v>
          </cell>
          <cell r="C654" t="str">
            <v>CN</v>
          </cell>
          <cell r="D654" t="str">
            <v>CN</v>
          </cell>
          <cell r="E654" t="str">
            <v>12028</v>
          </cell>
        </row>
        <row r="655">
          <cell r="A655" t="str">
            <v>PRIERO</v>
          </cell>
          <cell r="B655" t="str">
            <v>004175</v>
          </cell>
          <cell r="C655" t="str">
            <v>CN</v>
          </cell>
          <cell r="D655" t="str">
            <v>CN</v>
          </cell>
          <cell r="E655" t="str">
            <v>12070</v>
          </cell>
        </row>
        <row r="656">
          <cell r="A656" t="str">
            <v>PRIOCCA</v>
          </cell>
          <cell r="B656" t="str">
            <v>004176</v>
          </cell>
          <cell r="C656" t="str">
            <v>CN</v>
          </cell>
          <cell r="D656" t="str">
            <v>CN</v>
          </cell>
          <cell r="E656" t="str">
            <v>12040</v>
          </cell>
        </row>
        <row r="657">
          <cell r="A657" t="str">
            <v>PRIOLA</v>
          </cell>
          <cell r="B657" t="str">
            <v>004177</v>
          </cell>
          <cell r="C657" t="str">
            <v>CN</v>
          </cell>
          <cell r="D657" t="str">
            <v>CN</v>
          </cell>
          <cell r="E657" t="str">
            <v>12070</v>
          </cell>
        </row>
        <row r="658">
          <cell r="A658" t="str">
            <v>PRUNETTO</v>
          </cell>
          <cell r="B658" t="str">
            <v>004178</v>
          </cell>
          <cell r="C658" t="str">
            <v>CN</v>
          </cell>
          <cell r="D658" t="str">
            <v>CN</v>
          </cell>
          <cell r="E658" t="str">
            <v>12077</v>
          </cell>
        </row>
        <row r="659">
          <cell r="A659" t="str">
            <v>RACCONIGI</v>
          </cell>
          <cell r="B659" t="str">
            <v>004179</v>
          </cell>
          <cell r="C659" t="str">
            <v>CN</v>
          </cell>
          <cell r="D659" t="str">
            <v>CN</v>
          </cell>
          <cell r="E659" t="str">
            <v>12035</v>
          </cell>
        </row>
        <row r="660">
          <cell r="A660" t="str">
            <v>REVELLO</v>
          </cell>
          <cell r="B660" t="str">
            <v>004180</v>
          </cell>
          <cell r="C660" t="str">
            <v>CN</v>
          </cell>
          <cell r="D660" t="str">
            <v>CN</v>
          </cell>
          <cell r="E660" t="str">
            <v>12036</v>
          </cell>
        </row>
        <row r="661">
          <cell r="A661" t="str">
            <v>RIFREDDO</v>
          </cell>
          <cell r="B661" t="str">
            <v>004181</v>
          </cell>
          <cell r="C661" t="str">
            <v>CN</v>
          </cell>
          <cell r="D661" t="str">
            <v>CN</v>
          </cell>
          <cell r="E661" t="str">
            <v>12030</v>
          </cell>
        </row>
        <row r="662">
          <cell r="A662" t="str">
            <v>RITTANA</v>
          </cell>
          <cell r="B662" t="str">
            <v>004182</v>
          </cell>
          <cell r="C662" t="str">
            <v>CN</v>
          </cell>
          <cell r="D662" t="str">
            <v>CN</v>
          </cell>
          <cell r="E662" t="str">
            <v>12010</v>
          </cell>
        </row>
        <row r="663">
          <cell r="A663" t="str">
            <v>ROASCHIA</v>
          </cell>
          <cell r="B663" t="str">
            <v>004183</v>
          </cell>
          <cell r="C663" t="str">
            <v>CN</v>
          </cell>
          <cell r="D663" t="str">
            <v>CN</v>
          </cell>
          <cell r="E663" t="str">
            <v>12010</v>
          </cell>
        </row>
        <row r="664">
          <cell r="A664" t="str">
            <v>ROASCIO</v>
          </cell>
          <cell r="B664" t="str">
            <v>004184</v>
          </cell>
          <cell r="C664" t="str">
            <v>CN</v>
          </cell>
          <cell r="D664" t="str">
            <v>CN</v>
          </cell>
          <cell r="E664" t="str">
            <v>12073</v>
          </cell>
        </row>
        <row r="665">
          <cell r="A665" t="str">
            <v>ROBILANTE</v>
          </cell>
          <cell r="B665" t="str">
            <v>004185</v>
          </cell>
          <cell r="C665" t="str">
            <v>CN</v>
          </cell>
          <cell r="D665" t="str">
            <v>CN</v>
          </cell>
          <cell r="E665" t="str">
            <v>12017</v>
          </cell>
        </row>
        <row r="666">
          <cell r="A666" t="str">
            <v>ROBURENT</v>
          </cell>
          <cell r="B666" t="str">
            <v>004186</v>
          </cell>
          <cell r="C666" t="str">
            <v>CN</v>
          </cell>
          <cell r="D666" t="str">
            <v>CN</v>
          </cell>
          <cell r="E666" t="str">
            <v>12080</v>
          </cell>
        </row>
        <row r="667">
          <cell r="A667" t="str">
            <v>ROCCABRUNA</v>
          </cell>
          <cell r="B667" t="str">
            <v>004187</v>
          </cell>
          <cell r="C667" t="str">
            <v>CN</v>
          </cell>
          <cell r="D667" t="str">
            <v>CN</v>
          </cell>
          <cell r="E667" t="str">
            <v>12020</v>
          </cell>
        </row>
        <row r="668">
          <cell r="A668" t="str">
            <v>ROCCA CIGLIÈ</v>
          </cell>
          <cell r="B668" t="str">
            <v>004188</v>
          </cell>
          <cell r="C668" t="str">
            <v>CN</v>
          </cell>
          <cell r="D668" t="str">
            <v>CN</v>
          </cell>
          <cell r="E668" t="str">
            <v>12060</v>
          </cell>
        </row>
        <row r="669">
          <cell r="A669" t="str">
            <v>ROCCA DE' BALDI</v>
          </cell>
          <cell r="B669" t="str">
            <v>004189</v>
          </cell>
          <cell r="C669" t="str">
            <v>CN</v>
          </cell>
          <cell r="D669" t="str">
            <v>CN</v>
          </cell>
          <cell r="E669" t="str">
            <v>12047</v>
          </cell>
        </row>
        <row r="670">
          <cell r="A670" t="str">
            <v>ROCCAFORTE MONDOVÌ</v>
          </cell>
          <cell r="B670" t="str">
            <v>004190</v>
          </cell>
          <cell r="C670" t="str">
            <v>CN</v>
          </cell>
          <cell r="D670" t="str">
            <v>CN</v>
          </cell>
          <cell r="E670" t="str">
            <v>12088</v>
          </cell>
        </row>
        <row r="671">
          <cell r="A671" t="str">
            <v>ROCCASPARVERA</v>
          </cell>
          <cell r="B671" t="str">
            <v>004191</v>
          </cell>
          <cell r="C671" t="str">
            <v>CN</v>
          </cell>
          <cell r="D671" t="str">
            <v>CN</v>
          </cell>
          <cell r="E671" t="str">
            <v>12010</v>
          </cell>
        </row>
        <row r="672">
          <cell r="A672" t="str">
            <v>ROCCAVIONE</v>
          </cell>
          <cell r="B672" t="str">
            <v>004192</v>
          </cell>
          <cell r="C672" t="str">
            <v>CN</v>
          </cell>
          <cell r="D672" t="str">
            <v>CN</v>
          </cell>
          <cell r="E672" t="str">
            <v>12018</v>
          </cell>
        </row>
        <row r="673">
          <cell r="A673" t="str">
            <v>ROCCHETTA BELBO</v>
          </cell>
          <cell r="B673" t="str">
            <v>004193</v>
          </cell>
          <cell r="C673" t="str">
            <v>CN</v>
          </cell>
          <cell r="D673" t="str">
            <v>CN</v>
          </cell>
          <cell r="E673" t="str">
            <v>12050</v>
          </cell>
        </row>
        <row r="674">
          <cell r="A674" t="str">
            <v>RODDI</v>
          </cell>
          <cell r="B674" t="str">
            <v>004194</v>
          </cell>
          <cell r="C674" t="str">
            <v>CN</v>
          </cell>
          <cell r="D674" t="str">
            <v>CN</v>
          </cell>
          <cell r="E674" t="str">
            <v>12060</v>
          </cell>
        </row>
        <row r="675">
          <cell r="A675" t="str">
            <v>RODDINO</v>
          </cell>
          <cell r="B675" t="str">
            <v>004195</v>
          </cell>
          <cell r="C675" t="str">
            <v>CN</v>
          </cell>
          <cell r="D675" t="str">
            <v>CN</v>
          </cell>
          <cell r="E675" t="str">
            <v>12050</v>
          </cell>
        </row>
        <row r="676">
          <cell r="A676" t="str">
            <v>RODELLO</v>
          </cell>
          <cell r="B676" t="str">
            <v>004196</v>
          </cell>
          <cell r="C676" t="str">
            <v>CN</v>
          </cell>
          <cell r="D676" t="str">
            <v>CN</v>
          </cell>
          <cell r="E676" t="str">
            <v>12050</v>
          </cell>
        </row>
        <row r="677">
          <cell r="A677" t="str">
            <v>ROSSANA</v>
          </cell>
          <cell r="B677" t="str">
            <v>004197</v>
          </cell>
          <cell r="C677" t="str">
            <v>CN</v>
          </cell>
          <cell r="D677" t="str">
            <v>CN</v>
          </cell>
          <cell r="E677" t="str">
            <v>12020</v>
          </cell>
        </row>
        <row r="678">
          <cell r="A678" t="str">
            <v>RUFFIA</v>
          </cell>
          <cell r="B678" t="str">
            <v>004198</v>
          </cell>
          <cell r="C678" t="str">
            <v>CN</v>
          </cell>
          <cell r="D678" t="str">
            <v>CN</v>
          </cell>
          <cell r="E678" t="str">
            <v>12030</v>
          </cell>
        </row>
        <row r="679">
          <cell r="A679" t="str">
            <v>SALE DELLE LANGHE</v>
          </cell>
          <cell r="B679" t="str">
            <v>004199</v>
          </cell>
          <cell r="C679" t="str">
            <v>CN</v>
          </cell>
          <cell r="D679" t="str">
            <v>CN</v>
          </cell>
          <cell r="E679" t="str">
            <v>12070</v>
          </cell>
        </row>
        <row r="680">
          <cell r="A680" t="str">
            <v>SALE SAN GIOVANNI</v>
          </cell>
          <cell r="B680" t="str">
            <v>004200</v>
          </cell>
          <cell r="C680" t="str">
            <v>CN</v>
          </cell>
          <cell r="D680" t="str">
            <v>CN</v>
          </cell>
          <cell r="E680" t="str">
            <v>12070</v>
          </cell>
        </row>
        <row r="681">
          <cell r="A681" t="str">
            <v>SALICETO</v>
          </cell>
          <cell r="B681" t="str">
            <v>004201</v>
          </cell>
          <cell r="C681" t="str">
            <v>CN</v>
          </cell>
          <cell r="D681" t="str">
            <v>CN</v>
          </cell>
          <cell r="E681" t="str">
            <v>12079</v>
          </cell>
        </row>
        <row r="682">
          <cell r="A682" t="str">
            <v>SALMOUR</v>
          </cell>
          <cell r="B682" t="str">
            <v>004202</v>
          </cell>
          <cell r="C682" t="str">
            <v>CN</v>
          </cell>
          <cell r="D682" t="str">
            <v>CN</v>
          </cell>
          <cell r="E682" t="str">
            <v>12040</v>
          </cell>
        </row>
        <row r="683">
          <cell r="A683" t="str">
            <v>SALUZZO</v>
          </cell>
          <cell r="B683" t="str">
            <v>004203</v>
          </cell>
          <cell r="C683" t="str">
            <v>CN</v>
          </cell>
          <cell r="D683" t="str">
            <v>CN</v>
          </cell>
          <cell r="E683" t="str">
            <v>12037</v>
          </cell>
        </row>
        <row r="684">
          <cell r="A684" t="str">
            <v>SAMBUCO</v>
          </cell>
          <cell r="B684" t="str">
            <v>004204</v>
          </cell>
          <cell r="C684" t="str">
            <v>CN</v>
          </cell>
          <cell r="D684" t="str">
            <v>CN</v>
          </cell>
          <cell r="E684" t="str">
            <v>12010</v>
          </cell>
        </row>
        <row r="685">
          <cell r="A685" t="str">
            <v>SAMPEYRE</v>
          </cell>
          <cell r="B685" t="str">
            <v>004205</v>
          </cell>
          <cell r="C685" t="str">
            <v>CN</v>
          </cell>
          <cell r="D685" t="str">
            <v>CN</v>
          </cell>
          <cell r="E685" t="str">
            <v>12020</v>
          </cell>
        </row>
        <row r="686">
          <cell r="A686" t="str">
            <v>SAN BENEDETTO BELBO</v>
          </cell>
          <cell r="B686" t="str">
            <v>004206</v>
          </cell>
          <cell r="C686" t="str">
            <v>CN</v>
          </cell>
          <cell r="D686" t="str">
            <v>CN</v>
          </cell>
          <cell r="E686" t="str">
            <v>12050</v>
          </cell>
        </row>
        <row r="687">
          <cell r="A687" t="str">
            <v>SAN DAMIANO MACRA</v>
          </cell>
          <cell r="B687" t="str">
            <v>004207</v>
          </cell>
          <cell r="C687" t="str">
            <v>CN</v>
          </cell>
          <cell r="D687" t="str">
            <v>CN</v>
          </cell>
          <cell r="E687" t="str">
            <v>12029</v>
          </cell>
        </row>
        <row r="688">
          <cell r="A688" t="str">
            <v>SANFRÈ</v>
          </cell>
          <cell r="B688" t="str">
            <v>004208</v>
          </cell>
          <cell r="C688" t="str">
            <v>CN</v>
          </cell>
          <cell r="D688" t="str">
            <v>CN</v>
          </cell>
          <cell r="E688" t="str">
            <v>12040</v>
          </cell>
        </row>
        <row r="689">
          <cell r="A689" t="str">
            <v>SANFRONT</v>
          </cell>
          <cell r="B689" t="str">
            <v>004209</v>
          </cell>
          <cell r="C689" t="str">
            <v>CN</v>
          </cell>
          <cell r="D689" t="str">
            <v>CN</v>
          </cell>
          <cell r="E689" t="str">
            <v>12030</v>
          </cell>
        </row>
        <row r="690">
          <cell r="A690" t="str">
            <v>SAN MICHELE MONDOVÌ</v>
          </cell>
          <cell r="B690" t="str">
            <v>004210</v>
          </cell>
          <cell r="C690" t="str">
            <v>CN</v>
          </cell>
          <cell r="D690" t="str">
            <v>CN</v>
          </cell>
          <cell r="E690" t="str">
            <v>12080</v>
          </cell>
        </row>
        <row r="691">
          <cell r="A691" t="str">
            <v>SANT'ALBANO STURA</v>
          </cell>
          <cell r="B691" t="str">
            <v>004211</v>
          </cell>
          <cell r="C691" t="str">
            <v>CN</v>
          </cell>
          <cell r="D691" t="str">
            <v>CN</v>
          </cell>
          <cell r="E691" t="str">
            <v>12040</v>
          </cell>
        </row>
        <row r="692">
          <cell r="A692" t="str">
            <v>SANTA VITTORIA D'ALBA</v>
          </cell>
          <cell r="B692" t="str">
            <v>004212</v>
          </cell>
          <cell r="C692" t="str">
            <v>CN</v>
          </cell>
          <cell r="D692" t="str">
            <v>CN</v>
          </cell>
          <cell r="E692" t="str">
            <v>12069</v>
          </cell>
        </row>
        <row r="693">
          <cell r="A693" t="str">
            <v>SANTO STEFANO BELBO</v>
          </cell>
          <cell r="B693" t="str">
            <v>004213</v>
          </cell>
          <cell r="C693" t="str">
            <v>CN</v>
          </cell>
          <cell r="D693" t="str">
            <v>CN</v>
          </cell>
          <cell r="E693" t="str">
            <v>12058</v>
          </cell>
        </row>
        <row r="694">
          <cell r="A694" t="str">
            <v>SANTO STEFANO ROERO</v>
          </cell>
          <cell r="B694" t="str">
            <v>004214</v>
          </cell>
          <cell r="C694" t="str">
            <v>CN</v>
          </cell>
          <cell r="D694" t="str">
            <v>CN</v>
          </cell>
          <cell r="E694" t="str">
            <v>12040</v>
          </cell>
        </row>
        <row r="695">
          <cell r="A695" t="str">
            <v>SAVIGLIANO</v>
          </cell>
          <cell r="B695" t="str">
            <v>004215</v>
          </cell>
          <cell r="C695" t="str">
            <v>CN</v>
          </cell>
          <cell r="D695" t="str">
            <v>CN</v>
          </cell>
          <cell r="E695" t="str">
            <v>12038</v>
          </cell>
        </row>
        <row r="696">
          <cell r="A696" t="str">
            <v>SCAGNELLO</v>
          </cell>
          <cell r="B696" t="str">
            <v>004216</v>
          </cell>
          <cell r="C696" t="str">
            <v>CN</v>
          </cell>
          <cell r="D696" t="str">
            <v>CN</v>
          </cell>
          <cell r="E696" t="str">
            <v>12070</v>
          </cell>
        </row>
        <row r="697">
          <cell r="A697" t="str">
            <v>SCARNAFIGI</v>
          </cell>
          <cell r="B697" t="str">
            <v>004217</v>
          </cell>
          <cell r="C697" t="str">
            <v>CN</v>
          </cell>
          <cell r="D697" t="str">
            <v>CN</v>
          </cell>
          <cell r="E697" t="str">
            <v>12030</v>
          </cell>
        </row>
        <row r="698">
          <cell r="A698" t="str">
            <v>SERRALUNGA D'ALBA</v>
          </cell>
          <cell r="B698" t="str">
            <v>004218</v>
          </cell>
          <cell r="C698" t="str">
            <v>CN</v>
          </cell>
          <cell r="D698" t="str">
            <v>CN</v>
          </cell>
          <cell r="E698" t="str">
            <v>12050</v>
          </cell>
        </row>
        <row r="699">
          <cell r="A699" t="str">
            <v>SERRAVALLE LANGHE</v>
          </cell>
          <cell r="B699" t="str">
            <v>004219</v>
          </cell>
          <cell r="C699" t="str">
            <v>CN</v>
          </cell>
          <cell r="D699" t="str">
            <v>CN</v>
          </cell>
          <cell r="E699" t="str">
            <v>12050</v>
          </cell>
        </row>
        <row r="700">
          <cell r="A700" t="str">
            <v>SINIO</v>
          </cell>
          <cell r="B700" t="str">
            <v>004220</v>
          </cell>
          <cell r="C700" t="str">
            <v>CN</v>
          </cell>
          <cell r="D700" t="str">
            <v>CN</v>
          </cell>
          <cell r="E700" t="str">
            <v>12050</v>
          </cell>
        </row>
        <row r="701">
          <cell r="A701" t="str">
            <v>SOMANO</v>
          </cell>
          <cell r="B701" t="str">
            <v>004221</v>
          </cell>
          <cell r="C701" t="str">
            <v>CN</v>
          </cell>
          <cell r="D701" t="str">
            <v>CN</v>
          </cell>
          <cell r="E701" t="str">
            <v>12060</v>
          </cell>
        </row>
        <row r="702">
          <cell r="A702" t="str">
            <v>SOMMARIVA DEL BOSCO</v>
          </cell>
          <cell r="B702" t="str">
            <v>004222</v>
          </cell>
          <cell r="C702" t="str">
            <v>CN</v>
          </cell>
          <cell r="D702" t="str">
            <v>CN</v>
          </cell>
          <cell r="E702" t="str">
            <v>12048</v>
          </cell>
        </row>
        <row r="703">
          <cell r="A703" t="str">
            <v>SOMMARIVA PERNO</v>
          </cell>
          <cell r="B703" t="str">
            <v>004223</v>
          </cell>
          <cell r="C703" t="str">
            <v>CN</v>
          </cell>
          <cell r="D703" t="str">
            <v>CN</v>
          </cell>
          <cell r="E703" t="str">
            <v>12040</v>
          </cell>
        </row>
        <row r="704">
          <cell r="A704" t="str">
            <v>STROPPO</v>
          </cell>
          <cell r="B704" t="str">
            <v>004224</v>
          </cell>
          <cell r="C704" t="str">
            <v>CN</v>
          </cell>
          <cell r="D704" t="str">
            <v>CN</v>
          </cell>
          <cell r="E704" t="str">
            <v>12020</v>
          </cell>
        </row>
        <row r="705">
          <cell r="A705" t="str">
            <v>TARANTASCA</v>
          </cell>
          <cell r="B705" t="str">
            <v>004225</v>
          </cell>
          <cell r="C705" t="str">
            <v>CN</v>
          </cell>
          <cell r="D705" t="str">
            <v>CN</v>
          </cell>
          <cell r="E705" t="str">
            <v>12020</v>
          </cell>
        </row>
        <row r="706">
          <cell r="A706" t="str">
            <v>TORRE BORMIDA</v>
          </cell>
          <cell r="B706" t="str">
            <v>004226</v>
          </cell>
          <cell r="C706" t="str">
            <v>CN</v>
          </cell>
          <cell r="D706" t="str">
            <v>CN</v>
          </cell>
          <cell r="E706" t="str">
            <v>12050</v>
          </cell>
        </row>
        <row r="707">
          <cell r="A707" t="str">
            <v>TORRE MONDOVÌ</v>
          </cell>
          <cell r="B707" t="str">
            <v>004227</v>
          </cell>
          <cell r="C707" t="str">
            <v>CN</v>
          </cell>
          <cell r="D707" t="str">
            <v>CN</v>
          </cell>
          <cell r="E707" t="str">
            <v>12080</v>
          </cell>
        </row>
        <row r="708">
          <cell r="A708" t="str">
            <v>TORRE SAN GIORGIO</v>
          </cell>
          <cell r="B708" t="str">
            <v>004228</v>
          </cell>
          <cell r="C708" t="str">
            <v>CN</v>
          </cell>
          <cell r="D708" t="str">
            <v>CN</v>
          </cell>
          <cell r="E708" t="str">
            <v>12030</v>
          </cell>
        </row>
        <row r="709">
          <cell r="A709" t="str">
            <v>TORRESINA</v>
          </cell>
          <cell r="B709" t="str">
            <v>004229</v>
          </cell>
          <cell r="C709" t="str">
            <v>CN</v>
          </cell>
          <cell r="D709" t="str">
            <v>CN</v>
          </cell>
          <cell r="E709" t="str">
            <v>12070</v>
          </cell>
        </row>
        <row r="710">
          <cell r="A710" t="str">
            <v>TREISO</v>
          </cell>
          <cell r="B710" t="str">
            <v>004230</v>
          </cell>
          <cell r="C710" t="str">
            <v>CN</v>
          </cell>
          <cell r="D710" t="str">
            <v>CN</v>
          </cell>
          <cell r="E710" t="str">
            <v>12050</v>
          </cell>
        </row>
        <row r="711">
          <cell r="A711" t="str">
            <v>TREZZO TINELLA</v>
          </cell>
          <cell r="B711" t="str">
            <v>004231</v>
          </cell>
          <cell r="C711" t="str">
            <v>CN</v>
          </cell>
          <cell r="D711" t="str">
            <v>CN</v>
          </cell>
          <cell r="E711" t="str">
            <v>12050</v>
          </cell>
        </row>
        <row r="712">
          <cell r="A712" t="str">
            <v>TRINITÀ</v>
          </cell>
          <cell r="B712" t="str">
            <v>004232</v>
          </cell>
          <cell r="C712" t="str">
            <v>CN</v>
          </cell>
          <cell r="D712" t="str">
            <v>CN</v>
          </cell>
          <cell r="E712" t="str">
            <v>12049</v>
          </cell>
        </row>
        <row r="713">
          <cell r="A713" t="str">
            <v>VALDIERI</v>
          </cell>
          <cell r="B713" t="str">
            <v>004233</v>
          </cell>
          <cell r="C713" t="str">
            <v>CN</v>
          </cell>
          <cell r="D713" t="str">
            <v>CN</v>
          </cell>
          <cell r="E713" t="str">
            <v>12010</v>
          </cell>
        </row>
        <row r="714">
          <cell r="A714" t="str">
            <v>VALGRANA</v>
          </cell>
          <cell r="B714" t="str">
            <v>004234</v>
          </cell>
          <cell r="C714" t="str">
            <v>CN</v>
          </cell>
          <cell r="D714" t="str">
            <v>CN</v>
          </cell>
          <cell r="E714" t="str">
            <v>12020</v>
          </cell>
        </row>
        <row r="715">
          <cell r="A715" t="str">
            <v>VALLORIATE</v>
          </cell>
          <cell r="B715" t="str">
            <v>004235</v>
          </cell>
          <cell r="C715" t="str">
            <v>CN</v>
          </cell>
          <cell r="D715" t="str">
            <v>CN</v>
          </cell>
          <cell r="E715" t="str">
            <v>12010</v>
          </cell>
        </row>
        <row r="716">
          <cell r="A716" t="str">
            <v>VENASCA</v>
          </cell>
          <cell r="B716" t="str">
            <v>004237</v>
          </cell>
          <cell r="C716" t="str">
            <v>CN</v>
          </cell>
          <cell r="D716" t="str">
            <v>CN</v>
          </cell>
          <cell r="E716" t="str">
            <v>12020</v>
          </cell>
        </row>
        <row r="717">
          <cell r="A717" t="str">
            <v>VERDUNO</v>
          </cell>
          <cell r="B717" t="str">
            <v>004238</v>
          </cell>
          <cell r="C717" t="str">
            <v>CN</v>
          </cell>
          <cell r="D717" t="str">
            <v>CN</v>
          </cell>
          <cell r="E717" t="str">
            <v>12060</v>
          </cell>
        </row>
        <row r="718">
          <cell r="A718" t="str">
            <v>VERNANTE</v>
          </cell>
          <cell r="B718" t="str">
            <v>004239</v>
          </cell>
          <cell r="C718" t="str">
            <v>CN</v>
          </cell>
          <cell r="D718" t="str">
            <v>CN</v>
          </cell>
          <cell r="E718" t="str">
            <v>12019</v>
          </cell>
        </row>
        <row r="719">
          <cell r="A719" t="str">
            <v>VERZUOLO</v>
          </cell>
          <cell r="B719" t="str">
            <v>004240</v>
          </cell>
          <cell r="C719" t="str">
            <v>CN</v>
          </cell>
          <cell r="D719" t="str">
            <v>CN</v>
          </cell>
          <cell r="E719" t="str">
            <v>12039</v>
          </cell>
        </row>
        <row r="720">
          <cell r="A720" t="str">
            <v>VEZZA D'ALBA</v>
          </cell>
          <cell r="B720" t="str">
            <v>004241</v>
          </cell>
          <cell r="C720" t="str">
            <v>CN</v>
          </cell>
          <cell r="D720" t="str">
            <v>CN</v>
          </cell>
          <cell r="E720" t="str">
            <v>12040</v>
          </cell>
        </row>
        <row r="721">
          <cell r="A721" t="str">
            <v>VICOFORTE</v>
          </cell>
          <cell r="B721" t="str">
            <v>004242</v>
          </cell>
          <cell r="C721" t="str">
            <v>CN</v>
          </cell>
          <cell r="D721" t="str">
            <v>CN</v>
          </cell>
          <cell r="E721" t="str">
            <v>12080</v>
          </cell>
        </row>
        <row r="722">
          <cell r="A722" t="str">
            <v>VIGNOLO</v>
          </cell>
          <cell r="B722" t="str">
            <v>004243</v>
          </cell>
          <cell r="C722" t="str">
            <v>CN</v>
          </cell>
          <cell r="D722" t="str">
            <v>CN</v>
          </cell>
          <cell r="E722" t="str">
            <v>12010</v>
          </cell>
        </row>
        <row r="723">
          <cell r="A723" t="str">
            <v>VILLAFALLETTO</v>
          </cell>
          <cell r="B723" t="str">
            <v>004244</v>
          </cell>
          <cell r="C723" t="str">
            <v>CN</v>
          </cell>
          <cell r="D723" t="str">
            <v>CN</v>
          </cell>
          <cell r="E723" t="str">
            <v>12020</v>
          </cell>
        </row>
        <row r="724">
          <cell r="A724" t="str">
            <v>VILLANOVA MONDOVÌ</v>
          </cell>
          <cell r="B724" t="str">
            <v>004245</v>
          </cell>
          <cell r="C724" t="str">
            <v>CN</v>
          </cell>
          <cell r="D724" t="str">
            <v>CN</v>
          </cell>
          <cell r="E724" t="str">
            <v>12089</v>
          </cell>
        </row>
        <row r="725">
          <cell r="A725" t="str">
            <v>VILLANOVA SOLARO</v>
          </cell>
          <cell r="B725" t="str">
            <v>004246</v>
          </cell>
          <cell r="C725" t="str">
            <v>CN</v>
          </cell>
          <cell r="D725" t="str">
            <v>CN</v>
          </cell>
          <cell r="E725" t="str">
            <v>12030</v>
          </cell>
        </row>
        <row r="726">
          <cell r="A726" t="str">
            <v>VILLAR SAN COSTANZO</v>
          </cell>
          <cell r="B726" t="str">
            <v>004247</v>
          </cell>
          <cell r="C726" t="str">
            <v>CN</v>
          </cell>
          <cell r="D726" t="str">
            <v>CN</v>
          </cell>
          <cell r="E726" t="str">
            <v>12020</v>
          </cell>
        </row>
        <row r="727">
          <cell r="A727" t="str">
            <v>VINADIO</v>
          </cell>
          <cell r="B727" t="str">
            <v>004248</v>
          </cell>
          <cell r="C727" t="str">
            <v>CN</v>
          </cell>
          <cell r="D727" t="str">
            <v>CN</v>
          </cell>
          <cell r="E727" t="str">
            <v>12010</v>
          </cell>
        </row>
        <row r="728">
          <cell r="A728" t="str">
            <v>VIOLA</v>
          </cell>
          <cell r="B728" t="str">
            <v>004249</v>
          </cell>
          <cell r="C728" t="str">
            <v>CN</v>
          </cell>
          <cell r="D728" t="str">
            <v>CN</v>
          </cell>
          <cell r="E728" t="str">
            <v>12070</v>
          </cell>
        </row>
        <row r="729">
          <cell r="A729" t="str">
            <v>VOTTIGNASCO</v>
          </cell>
          <cell r="B729" t="str">
            <v>004250</v>
          </cell>
          <cell r="C729" t="str">
            <v>CN</v>
          </cell>
          <cell r="D729" t="str">
            <v>CN</v>
          </cell>
          <cell r="E729" t="str">
            <v>12020</v>
          </cell>
        </row>
        <row r="730">
          <cell r="A730" t="str">
            <v>AGLIANO TERME</v>
          </cell>
          <cell r="B730" t="str">
            <v>005001</v>
          </cell>
          <cell r="C730" t="str">
            <v>AT</v>
          </cell>
          <cell r="D730" t="str">
            <v>AT</v>
          </cell>
          <cell r="E730" t="str">
            <v>14041</v>
          </cell>
        </row>
        <row r="731">
          <cell r="A731" t="str">
            <v>ALBUGNANO</v>
          </cell>
          <cell r="B731" t="str">
            <v>005002</v>
          </cell>
          <cell r="C731" t="str">
            <v>AT</v>
          </cell>
          <cell r="D731" t="str">
            <v>AT</v>
          </cell>
          <cell r="E731" t="str">
            <v>14022</v>
          </cell>
        </row>
        <row r="732">
          <cell r="A732" t="str">
            <v>ANTIGNANO</v>
          </cell>
          <cell r="B732" t="str">
            <v>005003</v>
          </cell>
          <cell r="C732" t="str">
            <v>AT</v>
          </cell>
          <cell r="D732" t="str">
            <v>AT</v>
          </cell>
          <cell r="E732" t="str">
            <v>14010</v>
          </cell>
        </row>
        <row r="733">
          <cell r="A733" t="str">
            <v>ARAMENGO</v>
          </cell>
          <cell r="B733" t="str">
            <v>005004</v>
          </cell>
          <cell r="C733" t="str">
            <v>AT</v>
          </cell>
          <cell r="D733" t="str">
            <v>AT</v>
          </cell>
          <cell r="E733" t="str">
            <v>14020</v>
          </cell>
        </row>
        <row r="734">
          <cell r="A734" t="str">
            <v>ASTI</v>
          </cell>
          <cell r="B734" t="str">
            <v>005005</v>
          </cell>
          <cell r="C734" t="str">
            <v>AT</v>
          </cell>
          <cell r="D734" t="str">
            <v>AT</v>
          </cell>
          <cell r="E734" t="str">
            <v>14100</v>
          </cell>
        </row>
        <row r="735">
          <cell r="A735" t="str">
            <v>AZZANO D'ASTI</v>
          </cell>
          <cell r="B735" t="str">
            <v>005006</v>
          </cell>
          <cell r="C735" t="str">
            <v>AT</v>
          </cell>
          <cell r="D735" t="str">
            <v>AT</v>
          </cell>
          <cell r="E735" t="str">
            <v>14030</v>
          </cell>
        </row>
        <row r="736">
          <cell r="A736" t="str">
            <v>BALDICHIERI D'ASTI</v>
          </cell>
          <cell r="B736" t="str">
            <v>005007</v>
          </cell>
          <cell r="C736" t="str">
            <v>AT</v>
          </cell>
          <cell r="D736" t="str">
            <v>AT</v>
          </cell>
          <cell r="E736" t="str">
            <v>14011</v>
          </cell>
        </row>
        <row r="737">
          <cell r="A737" t="str">
            <v>BELVEGLIO</v>
          </cell>
          <cell r="B737" t="str">
            <v>005008</v>
          </cell>
          <cell r="C737" t="str">
            <v>AT</v>
          </cell>
          <cell r="D737" t="str">
            <v>AT</v>
          </cell>
          <cell r="E737" t="str">
            <v>14040</v>
          </cell>
        </row>
        <row r="738">
          <cell r="A738" t="str">
            <v>BERZANO DI SAN PIETRO</v>
          </cell>
          <cell r="B738" t="str">
            <v>005009</v>
          </cell>
          <cell r="C738" t="str">
            <v>AT</v>
          </cell>
          <cell r="D738" t="str">
            <v>AT</v>
          </cell>
          <cell r="E738" t="str">
            <v>14020</v>
          </cell>
        </row>
        <row r="739">
          <cell r="A739" t="str">
            <v>BRUNO</v>
          </cell>
          <cell r="B739" t="str">
            <v>005010</v>
          </cell>
          <cell r="C739" t="str">
            <v>AT</v>
          </cell>
          <cell r="D739" t="str">
            <v>AT</v>
          </cell>
          <cell r="E739" t="str">
            <v>14046</v>
          </cell>
        </row>
        <row r="740">
          <cell r="A740" t="str">
            <v>BUBBIO</v>
          </cell>
          <cell r="B740" t="str">
            <v>005011</v>
          </cell>
          <cell r="C740" t="str">
            <v>AT</v>
          </cell>
          <cell r="D740" t="str">
            <v>AT</v>
          </cell>
          <cell r="E740" t="str">
            <v>14051</v>
          </cell>
        </row>
        <row r="741">
          <cell r="A741" t="str">
            <v>BUTTIGLIERA D'ASTI</v>
          </cell>
          <cell r="B741" t="str">
            <v>005012</v>
          </cell>
          <cell r="C741" t="str">
            <v>AT</v>
          </cell>
          <cell r="D741" t="str">
            <v>AT</v>
          </cell>
          <cell r="E741" t="str">
            <v>14021</v>
          </cell>
        </row>
        <row r="742">
          <cell r="A742" t="str">
            <v>CALAMANDRANA</v>
          </cell>
          <cell r="B742" t="str">
            <v>005013</v>
          </cell>
          <cell r="C742" t="str">
            <v>AT</v>
          </cell>
          <cell r="D742" t="str">
            <v>AT</v>
          </cell>
          <cell r="E742" t="str">
            <v>14042</v>
          </cell>
        </row>
        <row r="743">
          <cell r="A743" t="str">
            <v>CALLIANO</v>
          </cell>
          <cell r="B743" t="str">
            <v>005014</v>
          </cell>
          <cell r="C743" t="str">
            <v>AT</v>
          </cell>
          <cell r="D743" t="str">
            <v>AT</v>
          </cell>
          <cell r="E743" t="str">
            <v>14031</v>
          </cell>
        </row>
        <row r="744">
          <cell r="A744" t="str">
            <v>CALOSSO</v>
          </cell>
          <cell r="B744" t="str">
            <v>005015</v>
          </cell>
          <cell r="C744" t="str">
            <v>AT</v>
          </cell>
          <cell r="D744" t="str">
            <v>AT</v>
          </cell>
          <cell r="E744" t="str">
            <v>14052</v>
          </cell>
        </row>
        <row r="745">
          <cell r="A745" t="str">
            <v>CAMERANO CASASCO</v>
          </cell>
          <cell r="B745" t="str">
            <v>005016</v>
          </cell>
          <cell r="C745" t="str">
            <v>AT</v>
          </cell>
          <cell r="D745" t="str">
            <v>AT</v>
          </cell>
          <cell r="E745" t="str">
            <v>14020</v>
          </cell>
        </row>
        <row r="746">
          <cell r="A746" t="str">
            <v>CANELLI</v>
          </cell>
          <cell r="B746" t="str">
            <v>005017</v>
          </cell>
          <cell r="C746" t="str">
            <v>AT</v>
          </cell>
          <cell r="D746" t="str">
            <v>AT</v>
          </cell>
          <cell r="E746" t="str">
            <v>14053</v>
          </cell>
        </row>
        <row r="747">
          <cell r="A747" t="str">
            <v>CANTARANA</v>
          </cell>
          <cell r="B747" t="str">
            <v>005018</v>
          </cell>
          <cell r="C747" t="str">
            <v>AT</v>
          </cell>
          <cell r="D747" t="str">
            <v>AT</v>
          </cell>
          <cell r="E747" t="str">
            <v>14010</v>
          </cell>
        </row>
        <row r="748">
          <cell r="A748" t="str">
            <v>CAPRIGLIO</v>
          </cell>
          <cell r="B748" t="str">
            <v>005019</v>
          </cell>
          <cell r="C748" t="str">
            <v>AT</v>
          </cell>
          <cell r="D748" t="str">
            <v>AT</v>
          </cell>
          <cell r="E748" t="str">
            <v>14014</v>
          </cell>
        </row>
        <row r="749">
          <cell r="A749" t="str">
            <v>CASORZO</v>
          </cell>
          <cell r="B749" t="str">
            <v>005020</v>
          </cell>
          <cell r="C749" t="str">
            <v>AT</v>
          </cell>
          <cell r="D749" t="str">
            <v>AT</v>
          </cell>
          <cell r="E749" t="str">
            <v>14032</v>
          </cell>
        </row>
        <row r="750">
          <cell r="A750" t="str">
            <v>CASSINASCO</v>
          </cell>
          <cell r="B750" t="str">
            <v>005021</v>
          </cell>
          <cell r="C750" t="str">
            <v>AT</v>
          </cell>
          <cell r="D750" t="str">
            <v>AT</v>
          </cell>
          <cell r="E750" t="str">
            <v>14050</v>
          </cell>
        </row>
        <row r="751">
          <cell r="A751" t="str">
            <v>CASTAGNOLE DELLE LANZE</v>
          </cell>
          <cell r="B751" t="str">
            <v>005022</v>
          </cell>
          <cell r="C751" t="str">
            <v>AT</v>
          </cell>
          <cell r="D751" t="str">
            <v>AT</v>
          </cell>
          <cell r="E751" t="str">
            <v>14054</v>
          </cell>
        </row>
        <row r="752">
          <cell r="A752" t="str">
            <v>CASTAGNOLE MONFERRATO</v>
          </cell>
          <cell r="B752" t="str">
            <v>005023</v>
          </cell>
          <cell r="C752" t="str">
            <v>AT</v>
          </cell>
          <cell r="D752" t="str">
            <v>AT</v>
          </cell>
          <cell r="E752" t="str">
            <v>14030</v>
          </cell>
        </row>
        <row r="753">
          <cell r="A753" t="str">
            <v>CASTEL BOGLIONE</v>
          </cell>
          <cell r="B753" t="str">
            <v>005024</v>
          </cell>
          <cell r="C753" t="str">
            <v>AT</v>
          </cell>
          <cell r="D753" t="str">
            <v>AT</v>
          </cell>
          <cell r="E753" t="str">
            <v>14040</v>
          </cell>
        </row>
        <row r="754">
          <cell r="A754" t="str">
            <v>CASTELL'ALFERO</v>
          </cell>
          <cell r="B754" t="str">
            <v>005025</v>
          </cell>
          <cell r="C754" t="str">
            <v>AT</v>
          </cell>
          <cell r="D754" t="str">
            <v>AT</v>
          </cell>
          <cell r="E754" t="str">
            <v>14033</v>
          </cell>
        </row>
        <row r="755">
          <cell r="A755" t="str">
            <v>CASTELLERO</v>
          </cell>
          <cell r="B755" t="str">
            <v>005026</v>
          </cell>
          <cell r="C755" t="str">
            <v>AT</v>
          </cell>
          <cell r="D755" t="str">
            <v>AT</v>
          </cell>
          <cell r="E755" t="str">
            <v>14013</v>
          </cell>
        </row>
        <row r="756">
          <cell r="A756" t="str">
            <v>CASTELLETTO MOLINA</v>
          </cell>
          <cell r="B756" t="str">
            <v>005027</v>
          </cell>
          <cell r="C756" t="str">
            <v>AT</v>
          </cell>
          <cell r="D756" t="str">
            <v>AT</v>
          </cell>
          <cell r="E756" t="str">
            <v>14040</v>
          </cell>
        </row>
        <row r="757">
          <cell r="A757" t="str">
            <v>CASTELLO DI ANNONE</v>
          </cell>
          <cell r="B757" t="str">
            <v>005028</v>
          </cell>
          <cell r="C757" t="str">
            <v>AT</v>
          </cell>
          <cell r="D757" t="str">
            <v>AT</v>
          </cell>
          <cell r="E757" t="str">
            <v>14034</v>
          </cell>
        </row>
        <row r="758">
          <cell r="A758" t="str">
            <v>CASTELNUOVO BELBO</v>
          </cell>
          <cell r="B758" t="str">
            <v>005029</v>
          </cell>
          <cell r="C758" t="str">
            <v>AT</v>
          </cell>
          <cell r="D758" t="str">
            <v>AT</v>
          </cell>
          <cell r="E758" t="str">
            <v>14043</v>
          </cell>
        </row>
        <row r="759">
          <cell r="A759" t="str">
            <v>CASTELNUOVO CALCEA</v>
          </cell>
          <cell r="B759" t="str">
            <v>005030</v>
          </cell>
          <cell r="C759" t="str">
            <v>AT</v>
          </cell>
          <cell r="D759" t="str">
            <v>AT</v>
          </cell>
          <cell r="E759" t="str">
            <v>14040</v>
          </cell>
        </row>
        <row r="760">
          <cell r="A760" t="str">
            <v>CASTELNUOVO DON BOSCO</v>
          </cell>
          <cell r="B760" t="str">
            <v>005031</v>
          </cell>
          <cell r="C760" t="str">
            <v>AT</v>
          </cell>
          <cell r="D760" t="str">
            <v>AT</v>
          </cell>
          <cell r="E760" t="str">
            <v>14022</v>
          </cell>
        </row>
        <row r="761">
          <cell r="A761" t="str">
            <v>CASTEL ROCCHERO</v>
          </cell>
          <cell r="B761" t="str">
            <v>005032</v>
          </cell>
          <cell r="C761" t="str">
            <v>AT</v>
          </cell>
          <cell r="D761" t="str">
            <v>AT</v>
          </cell>
          <cell r="E761" t="str">
            <v>14044</v>
          </cell>
        </row>
        <row r="762">
          <cell r="A762" t="str">
            <v>CELLARENGO</v>
          </cell>
          <cell r="B762" t="str">
            <v>005033</v>
          </cell>
          <cell r="C762" t="str">
            <v>AT</v>
          </cell>
          <cell r="D762" t="str">
            <v>AT</v>
          </cell>
          <cell r="E762" t="str">
            <v>14010</v>
          </cell>
        </row>
        <row r="763">
          <cell r="A763" t="str">
            <v>CELLE ENOMONDO</v>
          </cell>
          <cell r="B763" t="str">
            <v>005034</v>
          </cell>
          <cell r="C763" t="str">
            <v>AT</v>
          </cell>
          <cell r="D763" t="str">
            <v>AT</v>
          </cell>
          <cell r="E763" t="str">
            <v>14010</v>
          </cell>
        </row>
        <row r="764">
          <cell r="A764" t="str">
            <v>CERRETO D'ASTI</v>
          </cell>
          <cell r="B764" t="str">
            <v>005035</v>
          </cell>
          <cell r="C764" t="str">
            <v>AT</v>
          </cell>
          <cell r="D764" t="str">
            <v>AT</v>
          </cell>
          <cell r="E764" t="str">
            <v>14020</v>
          </cell>
        </row>
        <row r="765">
          <cell r="A765" t="str">
            <v>CERRO TANARO</v>
          </cell>
          <cell r="B765" t="str">
            <v>005036</v>
          </cell>
          <cell r="C765" t="str">
            <v>AT</v>
          </cell>
          <cell r="D765" t="str">
            <v>AT</v>
          </cell>
          <cell r="E765" t="str">
            <v>14030</v>
          </cell>
        </row>
        <row r="766">
          <cell r="A766" t="str">
            <v>CESSOLE</v>
          </cell>
          <cell r="B766" t="str">
            <v>005037</v>
          </cell>
          <cell r="C766" t="str">
            <v>AT</v>
          </cell>
          <cell r="D766" t="str">
            <v>AT</v>
          </cell>
          <cell r="E766" t="str">
            <v>14050</v>
          </cell>
        </row>
        <row r="767">
          <cell r="A767" t="str">
            <v>CHIUSANO D'ASTI</v>
          </cell>
          <cell r="B767" t="str">
            <v>005038</v>
          </cell>
          <cell r="C767" t="str">
            <v>AT</v>
          </cell>
          <cell r="D767" t="str">
            <v>AT</v>
          </cell>
          <cell r="E767" t="str">
            <v>14025</v>
          </cell>
        </row>
        <row r="768">
          <cell r="A768" t="str">
            <v>CINAGLIO</v>
          </cell>
          <cell r="B768" t="str">
            <v>005039</v>
          </cell>
          <cell r="C768" t="str">
            <v>AT</v>
          </cell>
          <cell r="D768" t="str">
            <v>AT</v>
          </cell>
          <cell r="E768" t="str">
            <v>14020</v>
          </cell>
        </row>
        <row r="769">
          <cell r="A769" t="str">
            <v>CISTERNA D'ASTI</v>
          </cell>
          <cell r="B769" t="str">
            <v>005040</v>
          </cell>
          <cell r="C769" t="str">
            <v>AT</v>
          </cell>
          <cell r="D769" t="str">
            <v>AT</v>
          </cell>
          <cell r="E769" t="str">
            <v>14010</v>
          </cell>
        </row>
        <row r="770">
          <cell r="A770" t="str">
            <v>COAZZOLO</v>
          </cell>
          <cell r="B770" t="str">
            <v>005041</v>
          </cell>
          <cell r="C770" t="str">
            <v>AT</v>
          </cell>
          <cell r="D770" t="str">
            <v>AT</v>
          </cell>
          <cell r="E770" t="str">
            <v>14054</v>
          </cell>
        </row>
        <row r="771">
          <cell r="A771" t="str">
            <v>COCCONATO</v>
          </cell>
          <cell r="B771" t="str">
            <v>005042</v>
          </cell>
          <cell r="C771" t="str">
            <v>AT</v>
          </cell>
          <cell r="D771" t="str">
            <v>AT</v>
          </cell>
          <cell r="E771" t="str">
            <v>14023</v>
          </cell>
        </row>
        <row r="772">
          <cell r="A772" t="str">
            <v>CORSIONE</v>
          </cell>
          <cell r="B772" t="str">
            <v>005044</v>
          </cell>
          <cell r="C772" t="str">
            <v>AT</v>
          </cell>
          <cell r="D772" t="str">
            <v>AT</v>
          </cell>
          <cell r="E772" t="str">
            <v>14020</v>
          </cell>
        </row>
        <row r="773">
          <cell r="A773" t="str">
            <v>CORTANDONE</v>
          </cell>
          <cell r="B773" t="str">
            <v>005045</v>
          </cell>
          <cell r="C773" t="str">
            <v>AT</v>
          </cell>
          <cell r="D773" t="str">
            <v>AT</v>
          </cell>
          <cell r="E773" t="str">
            <v>14013</v>
          </cell>
        </row>
        <row r="774">
          <cell r="A774" t="str">
            <v>CORTANZE</v>
          </cell>
          <cell r="B774" t="str">
            <v>005046</v>
          </cell>
          <cell r="C774" t="str">
            <v>AT</v>
          </cell>
          <cell r="D774" t="str">
            <v>AT</v>
          </cell>
          <cell r="E774" t="str">
            <v>14020</v>
          </cell>
        </row>
        <row r="775">
          <cell r="A775" t="str">
            <v>CORTAZZONE</v>
          </cell>
          <cell r="B775" t="str">
            <v>005047</v>
          </cell>
          <cell r="C775" t="str">
            <v>AT</v>
          </cell>
          <cell r="D775" t="str">
            <v>AT</v>
          </cell>
          <cell r="E775" t="str">
            <v>14010</v>
          </cell>
        </row>
        <row r="776">
          <cell r="A776" t="str">
            <v>CORTIGLIONE</v>
          </cell>
          <cell r="B776" t="str">
            <v>005048</v>
          </cell>
          <cell r="C776" t="str">
            <v>AT</v>
          </cell>
          <cell r="D776" t="str">
            <v>AT</v>
          </cell>
          <cell r="E776" t="str">
            <v>14040</v>
          </cell>
        </row>
        <row r="777">
          <cell r="A777" t="str">
            <v>COSSOMBRATO</v>
          </cell>
          <cell r="B777" t="str">
            <v>005049</v>
          </cell>
          <cell r="C777" t="str">
            <v>AT</v>
          </cell>
          <cell r="D777" t="str">
            <v>AT</v>
          </cell>
          <cell r="E777" t="str">
            <v>14020</v>
          </cell>
        </row>
        <row r="778">
          <cell r="A778" t="str">
            <v>COSTIGLIOLE D'ASTI</v>
          </cell>
          <cell r="B778" t="str">
            <v>005050</v>
          </cell>
          <cell r="C778" t="str">
            <v>AT</v>
          </cell>
          <cell r="D778" t="str">
            <v>AT</v>
          </cell>
          <cell r="E778" t="str">
            <v>14055</v>
          </cell>
        </row>
        <row r="779">
          <cell r="A779" t="str">
            <v>CUNICO</v>
          </cell>
          <cell r="B779" t="str">
            <v>005051</v>
          </cell>
          <cell r="C779" t="str">
            <v>AT</v>
          </cell>
          <cell r="D779" t="str">
            <v>AT</v>
          </cell>
          <cell r="E779" t="str">
            <v>14026</v>
          </cell>
        </row>
        <row r="780">
          <cell r="A780" t="str">
            <v>DUSINO SAN MICHELE</v>
          </cell>
          <cell r="B780" t="str">
            <v>005052</v>
          </cell>
          <cell r="C780" t="str">
            <v>AT</v>
          </cell>
          <cell r="D780" t="str">
            <v>AT</v>
          </cell>
          <cell r="E780" t="str">
            <v>14010</v>
          </cell>
        </row>
        <row r="781">
          <cell r="A781" t="str">
            <v>FERRERE</v>
          </cell>
          <cell r="B781" t="str">
            <v>005053</v>
          </cell>
          <cell r="C781" t="str">
            <v>AT</v>
          </cell>
          <cell r="D781" t="str">
            <v>AT</v>
          </cell>
          <cell r="E781" t="str">
            <v>14012</v>
          </cell>
        </row>
        <row r="782">
          <cell r="A782" t="str">
            <v>FONTANILE</v>
          </cell>
          <cell r="B782" t="str">
            <v>005054</v>
          </cell>
          <cell r="C782" t="str">
            <v>AT</v>
          </cell>
          <cell r="D782" t="str">
            <v>AT</v>
          </cell>
          <cell r="E782" t="str">
            <v>14044</v>
          </cell>
        </row>
        <row r="783">
          <cell r="A783" t="str">
            <v>FRINCO</v>
          </cell>
          <cell r="B783" t="str">
            <v>005055</v>
          </cell>
          <cell r="C783" t="str">
            <v>AT</v>
          </cell>
          <cell r="D783" t="str">
            <v>AT</v>
          </cell>
          <cell r="E783" t="str">
            <v>14030</v>
          </cell>
        </row>
        <row r="784">
          <cell r="A784" t="str">
            <v>GRANA</v>
          </cell>
          <cell r="B784" t="str">
            <v>005056</v>
          </cell>
          <cell r="C784" t="str">
            <v>AT</v>
          </cell>
          <cell r="D784" t="str">
            <v>AT</v>
          </cell>
          <cell r="E784" t="str">
            <v>14031</v>
          </cell>
        </row>
        <row r="785">
          <cell r="A785" t="str">
            <v>GRAZZANO BADOGLIO</v>
          </cell>
          <cell r="B785" t="str">
            <v>005057</v>
          </cell>
          <cell r="C785" t="str">
            <v>AT</v>
          </cell>
          <cell r="D785" t="str">
            <v>AT</v>
          </cell>
          <cell r="E785" t="str">
            <v>14035</v>
          </cell>
        </row>
        <row r="786">
          <cell r="A786" t="str">
            <v>INCISA SCAPACCINO</v>
          </cell>
          <cell r="B786" t="str">
            <v>005058</v>
          </cell>
          <cell r="C786" t="str">
            <v>AT</v>
          </cell>
          <cell r="D786" t="str">
            <v>AT</v>
          </cell>
          <cell r="E786" t="str">
            <v>14045</v>
          </cell>
        </row>
        <row r="787">
          <cell r="A787" t="str">
            <v>ISOLA D'ASTI</v>
          </cell>
          <cell r="B787" t="str">
            <v>005059</v>
          </cell>
          <cell r="C787" t="str">
            <v>AT</v>
          </cell>
          <cell r="D787" t="str">
            <v>AT</v>
          </cell>
          <cell r="E787" t="str">
            <v>14057</v>
          </cell>
        </row>
        <row r="788">
          <cell r="A788" t="str">
            <v>LOAZZOLO</v>
          </cell>
          <cell r="B788" t="str">
            <v>005060</v>
          </cell>
          <cell r="C788" t="str">
            <v>AT</v>
          </cell>
          <cell r="D788" t="str">
            <v>AT</v>
          </cell>
          <cell r="E788" t="str">
            <v>14051</v>
          </cell>
        </row>
        <row r="789">
          <cell r="A789" t="str">
            <v>MARANZANA</v>
          </cell>
          <cell r="B789" t="str">
            <v>005061</v>
          </cell>
          <cell r="C789" t="str">
            <v>AT</v>
          </cell>
          <cell r="D789" t="str">
            <v>AT</v>
          </cell>
          <cell r="E789" t="str">
            <v>14040</v>
          </cell>
        </row>
        <row r="790">
          <cell r="A790" t="str">
            <v>MARETTO</v>
          </cell>
          <cell r="B790" t="str">
            <v>005062</v>
          </cell>
          <cell r="C790" t="str">
            <v>AT</v>
          </cell>
          <cell r="D790" t="str">
            <v>AT</v>
          </cell>
          <cell r="E790" t="str">
            <v>14018</v>
          </cell>
        </row>
        <row r="791">
          <cell r="A791" t="str">
            <v>MOASCA</v>
          </cell>
          <cell r="B791" t="str">
            <v>005063</v>
          </cell>
          <cell r="C791" t="str">
            <v>AT</v>
          </cell>
          <cell r="D791" t="str">
            <v>AT</v>
          </cell>
          <cell r="E791" t="str">
            <v>14050</v>
          </cell>
        </row>
        <row r="792">
          <cell r="A792" t="str">
            <v>MOMBALDONE</v>
          </cell>
          <cell r="B792" t="str">
            <v>005064</v>
          </cell>
          <cell r="C792" t="str">
            <v>AT</v>
          </cell>
          <cell r="D792" t="str">
            <v>AT</v>
          </cell>
          <cell r="E792" t="str">
            <v>14050</v>
          </cell>
        </row>
        <row r="793">
          <cell r="A793" t="str">
            <v>MOMBARUZZO</v>
          </cell>
          <cell r="B793" t="str">
            <v>005065</v>
          </cell>
          <cell r="C793" t="str">
            <v>AT</v>
          </cell>
          <cell r="D793" t="str">
            <v>AT</v>
          </cell>
          <cell r="E793" t="str">
            <v>14046</v>
          </cell>
        </row>
        <row r="794">
          <cell r="A794" t="str">
            <v>MOMBERCELLI</v>
          </cell>
          <cell r="B794" t="str">
            <v>005066</v>
          </cell>
          <cell r="C794" t="str">
            <v>AT</v>
          </cell>
          <cell r="D794" t="str">
            <v>AT</v>
          </cell>
          <cell r="E794" t="str">
            <v>14047</v>
          </cell>
        </row>
        <row r="795">
          <cell r="A795" t="str">
            <v>MONALE</v>
          </cell>
          <cell r="B795" t="str">
            <v>005067</v>
          </cell>
          <cell r="C795" t="str">
            <v>AT</v>
          </cell>
          <cell r="D795" t="str">
            <v>AT</v>
          </cell>
          <cell r="E795" t="str">
            <v>14013</v>
          </cell>
        </row>
        <row r="796">
          <cell r="A796" t="str">
            <v>MONASTERO BORMIDA</v>
          </cell>
          <cell r="B796" t="str">
            <v>005068</v>
          </cell>
          <cell r="C796" t="str">
            <v>AT</v>
          </cell>
          <cell r="D796" t="str">
            <v>AT</v>
          </cell>
          <cell r="E796" t="str">
            <v>14058</v>
          </cell>
        </row>
        <row r="797">
          <cell r="A797" t="str">
            <v>MONCALVO</v>
          </cell>
          <cell r="B797" t="str">
            <v>005069</v>
          </cell>
          <cell r="C797" t="str">
            <v>AT</v>
          </cell>
          <cell r="D797" t="str">
            <v>AT</v>
          </cell>
          <cell r="E797" t="str">
            <v>14036</v>
          </cell>
        </row>
        <row r="798">
          <cell r="A798" t="str">
            <v>MONCUCCO TORINESE</v>
          </cell>
          <cell r="B798" t="str">
            <v>005070</v>
          </cell>
          <cell r="C798" t="str">
            <v>AT</v>
          </cell>
          <cell r="D798" t="str">
            <v>AT</v>
          </cell>
          <cell r="E798" t="str">
            <v>14024</v>
          </cell>
        </row>
        <row r="799">
          <cell r="A799" t="str">
            <v>MONGARDINO</v>
          </cell>
          <cell r="B799" t="str">
            <v>005071</v>
          </cell>
          <cell r="C799" t="str">
            <v>AT</v>
          </cell>
          <cell r="D799" t="str">
            <v>AT</v>
          </cell>
          <cell r="E799" t="str">
            <v>14040</v>
          </cell>
        </row>
        <row r="800">
          <cell r="A800" t="str">
            <v>MONTABONE</v>
          </cell>
          <cell r="B800" t="str">
            <v>005072</v>
          </cell>
          <cell r="C800" t="str">
            <v>AT</v>
          </cell>
          <cell r="D800" t="str">
            <v>AT</v>
          </cell>
          <cell r="E800" t="str">
            <v>14040</v>
          </cell>
        </row>
        <row r="801">
          <cell r="A801" t="str">
            <v>MONTAFIA</v>
          </cell>
          <cell r="B801" t="str">
            <v>005073</v>
          </cell>
          <cell r="C801" t="str">
            <v>AT</v>
          </cell>
          <cell r="D801" t="str">
            <v>AT</v>
          </cell>
          <cell r="E801" t="str">
            <v>14014</v>
          </cell>
        </row>
        <row r="802">
          <cell r="A802" t="str">
            <v>MONTALDO SCARAMPI</v>
          </cell>
          <cell r="B802" t="str">
            <v>005074</v>
          </cell>
          <cell r="C802" t="str">
            <v>AT</v>
          </cell>
          <cell r="D802" t="str">
            <v>AT</v>
          </cell>
          <cell r="E802" t="str">
            <v>14048</v>
          </cell>
        </row>
        <row r="803">
          <cell r="A803" t="str">
            <v>MONTECHIARO D'ASTI</v>
          </cell>
          <cell r="B803" t="str">
            <v>005075</v>
          </cell>
          <cell r="C803" t="str">
            <v>AT</v>
          </cell>
          <cell r="D803" t="str">
            <v>AT</v>
          </cell>
          <cell r="E803" t="str">
            <v>14025</v>
          </cell>
        </row>
        <row r="804">
          <cell r="A804" t="str">
            <v>MONTEGROSSO D'ASTI</v>
          </cell>
          <cell r="B804" t="str">
            <v>005076</v>
          </cell>
          <cell r="C804" t="str">
            <v>AT</v>
          </cell>
          <cell r="D804" t="str">
            <v>AT</v>
          </cell>
          <cell r="E804" t="str">
            <v>14048</v>
          </cell>
        </row>
        <row r="805">
          <cell r="A805" t="str">
            <v>MONTEMAGNO</v>
          </cell>
          <cell r="B805" t="str">
            <v>005077</v>
          </cell>
          <cell r="C805" t="str">
            <v>AT</v>
          </cell>
          <cell r="D805" t="str">
            <v>AT</v>
          </cell>
          <cell r="E805" t="str">
            <v>14030</v>
          </cell>
        </row>
        <row r="806">
          <cell r="A806" t="str">
            <v>MORANSENGO</v>
          </cell>
          <cell r="B806" t="str">
            <v>005079</v>
          </cell>
          <cell r="C806" t="str">
            <v>AT</v>
          </cell>
          <cell r="D806" t="str">
            <v>AT</v>
          </cell>
          <cell r="E806" t="str">
            <v>14023</v>
          </cell>
        </row>
        <row r="807">
          <cell r="A807" t="str">
            <v>NIZZA MONFERRATO</v>
          </cell>
          <cell r="B807" t="str">
            <v>005080</v>
          </cell>
          <cell r="C807" t="str">
            <v>AT</v>
          </cell>
          <cell r="D807" t="str">
            <v>AT</v>
          </cell>
          <cell r="E807" t="str">
            <v>14049</v>
          </cell>
        </row>
        <row r="808">
          <cell r="A808" t="str">
            <v>OLMO GENTILE</v>
          </cell>
          <cell r="B808" t="str">
            <v>005081</v>
          </cell>
          <cell r="C808" t="str">
            <v>AT</v>
          </cell>
          <cell r="D808" t="str">
            <v>AT</v>
          </cell>
          <cell r="E808" t="str">
            <v>14050</v>
          </cell>
        </row>
        <row r="809">
          <cell r="A809" t="str">
            <v>PASSERANO MARMORITO</v>
          </cell>
          <cell r="B809" t="str">
            <v>005082</v>
          </cell>
          <cell r="C809" t="str">
            <v>AT</v>
          </cell>
          <cell r="D809" t="str">
            <v>AT</v>
          </cell>
          <cell r="E809" t="str">
            <v>14020</v>
          </cell>
        </row>
        <row r="810">
          <cell r="A810" t="str">
            <v>PENANGO</v>
          </cell>
          <cell r="B810" t="str">
            <v>005083</v>
          </cell>
          <cell r="C810" t="str">
            <v>AT</v>
          </cell>
          <cell r="D810" t="str">
            <v>AT</v>
          </cell>
          <cell r="E810" t="str">
            <v>14030</v>
          </cell>
        </row>
        <row r="811">
          <cell r="A811" t="str">
            <v>PIEA</v>
          </cell>
          <cell r="B811" t="str">
            <v>005084</v>
          </cell>
          <cell r="C811" t="str">
            <v>AT</v>
          </cell>
          <cell r="D811" t="str">
            <v>AT</v>
          </cell>
          <cell r="E811" t="str">
            <v>14020</v>
          </cell>
        </row>
        <row r="812">
          <cell r="A812" t="str">
            <v>PINO D'ASTI</v>
          </cell>
          <cell r="B812" t="str">
            <v>005085</v>
          </cell>
          <cell r="C812" t="str">
            <v>AT</v>
          </cell>
          <cell r="D812" t="str">
            <v>AT</v>
          </cell>
          <cell r="E812" t="str">
            <v>14020</v>
          </cell>
        </row>
        <row r="813">
          <cell r="A813" t="str">
            <v>PIOVÀ MASSAIA</v>
          </cell>
          <cell r="B813" t="str">
            <v>005086</v>
          </cell>
          <cell r="C813" t="str">
            <v>AT</v>
          </cell>
          <cell r="D813" t="str">
            <v>AT</v>
          </cell>
          <cell r="E813" t="str">
            <v>14026</v>
          </cell>
        </row>
        <row r="814">
          <cell r="A814" t="str">
            <v>PORTACOMARO</v>
          </cell>
          <cell r="B814" t="str">
            <v>005087</v>
          </cell>
          <cell r="C814" t="str">
            <v>AT</v>
          </cell>
          <cell r="D814" t="str">
            <v>AT</v>
          </cell>
          <cell r="E814" t="str">
            <v>14037</v>
          </cell>
        </row>
        <row r="815">
          <cell r="A815" t="str">
            <v>QUARANTI</v>
          </cell>
          <cell r="B815" t="str">
            <v>005088</v>
          </cell>
          <cell r="C815" t="str">
            <v>AT</v>
          </cell>
          <cell r="D815" t="str">
            <v>AT</v>
          </cell>
          <cell r="E815" t="str">
            <v>14040</v>
          </cell>
        </row>
        <row r="816">
          <cell r="A816" t="str">
            <v>REFRANCORE</v>
          </cell>
          <cell r="B816" t="str">
            <v>005089</v>
          </cell>
          <cell r="C816" t="str">
            <v>AT</v>
          </cell>
          <cell r="D816" t="str">
            <v>AT</v>
          </cell>
          <cell r="E816" t="str">
            <v>14030</v>
          </cell>
        </row>
        <row r="817">
          <cell r="A817" t="str">
            <v>REVIGLIASCO D'ASTI</v>
          </cell>
          <cell r="B817" t="str">
            <v>005090</v>
          </cell>
          <cell r="C817" t="str">
            <v>AT</v>
          </cell>
          <cell r="D817" t="str">
            <v>AT</v>
          </cell>
          <cell r="E817" t="str">
            <v>14010</v>
          </cell>
        </row>
        <row r="818">
          <cell r="A818" t="str">
            <v>ROATTO</v>
          </cell>
          <cell r="B818" t="str">
            <v>005091</v>
          </cell>
          <cell r="C818" t="str">
            <v>AT</v>
          </cell>
          <cell r="D818" t="str">
            <v>AT</v>
          </cell>
          <cell r="E818" t="str">
            <v>14018</v>
          </cell>
        </row>
        <row r="819">
          <cell r="A819" t="str">
            <v>ROBELLA</v>
          </cell>
          <cell r="B819" t="str">
            <v>005092</v>
          </cell>
          <cell r="C819" t="str">
            <v>AT</v>
          </cell>
          <cell r="D819" t="str">
            <v>AT</v>
          </cell>
          <cell r="E819" t="str">
            <v>14020</v>
          </cell>
        </row>
        <row r="820">
          <cell r="A820" t="str">
            <v>ROCCA D'ARAZZO</v>
          </cell>
          <cell r="B820" t="str">
            <v>005093</v>
          </cell>
          <cell r="C820" t="str">
            <v>AT</v>
          </cell>
          <cell r="D820" t="str">
            <v>AT</v>
          </cell>
          <cell r="E820" t="str">
            <v>14030</v>
          </cell>
        </row>
        <row r="821">
          <cell r="A821" t="str">
            <v>ROCCAVERANO</v>
          </cell>
          <cell r="B821" t="str">
            <v>005094</v>
          </cell>
          <cell r="C821" t="str">
            <v>AT</v>
          </cell>
          <cell r="D821" t="str">
            <v>AT</v>
          </cell>
          <cell r="E821" t="str">
            <v>14050</v>
          </cell>
        </row>
        <row r="822">
          <cell r="A822" t="str">
            <v>ROCCHETTA PALAFEA</v>
          </cell>
          <cell r="B822" t="str">
            <v>005095</v>
          </cell>
          <cell r="C822" t="str">
            <v>AT</v>
          </cell>
          <cell r="D822" t="str">
            <v>AT</v>
          </cell>
          <cell r="E822" t="str">
            <v>14042</v>
          </cell>
        </row>
        <row r="823">
          <cell r="A823" t="str">
            <v>ROCCHETTA TANARO</v>
          </cell>
          <cell r="B823" t="str">
            <v>005096</v>
          </cell>
          <cell r="C823" t="str">
            <v>AT</v>
          </cell>
          <cell r="D823" t="str">
            <v>AT</v>
          </cell>
          <cell r="E823" t="str">
            <v>14030</v>
          </cell>
        </row>
        <row r="824">
          <cell r="A824" t="str">
            <v>SAN DAMIANO D'ASTI</v>
          </cell>
          <cell r="B824" t="str">
            <v>005097</v>
          </cell>
          <cell r="C824" t="str">
            <v>AT</v>
          </cell>
          <cell r="D824" t="str">
            <v>AT</v>
          </cell>
          <cell r="E824" t="str">
            <v>14015</v>
          </cell>
        </row>
        <row r="825">
          <cell r="A825" t="str">
            <v>SAN GIORGIO SCARAMPI</v>
          </cell>
          <cell r="B825" t="str">
            <v>005098</v>
          </cell>
          <cell r="C825" t="str">
            <v>AT</v>
          </cell>
          <cell r="D825" t="str">
            <v>AT</v>
          </cell>
          <cell r="E825" t="str">
            <v>14059</v>
          </cell>
        </row>
        <row r="826">
          <cell r="A826" t="str">
            <v>SAN MARTINO ALFIERI</v>
          </cell>
          <cell r="B826" t="str">
            <v>005099</v>
          </cell>
          <cell r="C826" t="str">
            <v>AT</v>
          </cell>
          <cell r="D826" t="str">
            <v>AT</v>
          </cell>
          <cell r="E826" t="str">
            <v>14010</v>
          </cell>
        </row>
        <row r="827">
          <cell r="A827" t="str">
            <v>SAN MARZANO OLIVETO</v>
          </cell>
          <cell r="B827" t="str">
            <v>005100</v>
          </cell>
          <cell r="C827" t="str">
            <v>AT</v>
          </cell>
          <cell r="D827" t="str">
            <v>AT</v>
          </cell>
          <cell r="E827" t="str">
            <v>14050</v>
          </cell>
        </row>
        <row r="828">
          <cell r="A828" t="str">
            <v>SAN PAOLO SOLBRITO</v>
          </cell>
          <cell r="B828" t="str">
            <v>005101</v>
          </cell>
          <cell r="C828" t="str">
            <v>AT</v>
          </cell>
          <cell r="D828" t="str">
            <v>AT</v>
          </cell>
          <cell r="E828" t="str">
            <v>14010</v>
          </cell>
        </row>
        <row r="829">
          <cell r="A829" t="str">
            <v>SCURZOLENGO</v>
          </cell>
          <cell r="B829" t="str">
            <v>005103</v>
          </cell>
          <cell r="C829" t="str">
            <v>AT</v>
          </cell>
          <cell r="D829" t="str">
            <v>AT</v>
          </cell>
          <cell r="E829" t="str">
            <v>14030</v>
          </cell>
        </row>
        <row r="830">
          <cell r="A830" t="str">
            <v>SEROLE</v>
          </cell>
          <cell r="B830" t="str">
            <v>005104</v>
          </cell>
          <cell r="C830" t="str">
            <v>AT</v>
          </cell>
          <cell r="D830" t="str">
            <v>AT</v>
          </cell>
          <cell r="E830" t="str">
            <v>14050</v>
          </cell>
        </row>
        <row r="831">
          <cell r="A831" t="str">
            <v>SESSAME</v>
          </cell>
          <cell r="B831" t="str">
            <v>005105</v>
          </cell>
          <cell r="C831" t="str">
            <v>AT</v>
          </cell>
          <cell r="D831" t="str">
            <v>AT</v>
          </cell>
          <cell r="E831" t="str">
            <v>14058</v>
          </cell>
        </row>
        <row r="832">
          <cell r="A832" t="str">
            <v>SETTIME</v>
          </cell>
          <cell r="B832" t="str">
            <v>005106</v>
          </cell>
          <cell r="C832" t="str">
            <v>AT</v>
          </cell>
          <cell r="D832" t="str">
            <v>AT</v>
          </cell>
          <cell r="E832" t="str">
            <v>14020</v>
          </cell>
        </row>
        <row r="833">
          <cell r="A833" t="str">
            <v>SOGLIO</v>
          </cell>
          <cell r="B833" t="str">
            <v>005107</v>
          </cell>
          <cell r="C833" t="str">
            <v>AT</v>
          </cell>
          <cell r="D833" t="str">
            <v>AT</v>
          </cell>
          <cell r="E833" t="str">
            <v>14020</v>
          </cell>
        </row>
        <row r="834">
          <cell r="A834" t="str">
            <v>TIGLIOLE</v>
          </cell>
          <cell r="B834" t="str">
            <v>005108</v>
          </cell>
          <cell r="C834" t="str">
            <v>AT</v>
          </cell>
          <cell r="D834" t="str">
            <v>AT</v>
          </cell>
          <cell r="E834" t="str">
            <v>14016</v>
          </cell>
        </row>
        <row r="835">
          <cell r="A835" t="str">
            <v>TONCO</v>
          </cell>
          <cell r="B835" t="str">
            <v>005109</v>
          </cell>
          <cell r="C835" t="str">
            <v>AT</v>
          </cell>
          <cell r="D835" t="str">
            <v>AT</v>
          </cell>
          <cell r="E835" t="str">
            <v>14039</v>
          </cell>
        </row>
        <row r="836">
          <cell r="A836" t="str">
            <v>TONENGO</v>
          </cell>
          <cell r="B836" t="str">
            <v>005110</v>
          </cell>
          <cell r="C836" t="str">
            <v>AT</v>
          </cell>
          <cell r="D836" t="str">
            <v>AT</v>
          </cell>
          <cell r="E836" t="str">
            <v>14023</v>
          </cell>
        </row>
        <row r="837">
          <cell r="A837" t="str">
            <v>VAGLIO SERRA</v>
          </cell>
          <cell r="B837" t="str">
            <v>005111</v>
          </cell>
          <cell r="C837" t="str">
            <v>AT</v>
          </cell>
          <cell r="D837" t="str">
            <v>AT</v>
          </cell>
          <cell r="E837" t="str">
            <v>14049</v>
          </cell>
        </row>
        <row r="838">
          <cell r="A838" t="str">
            <v>VALFENERA</v>
          </cell>
          <cell r="B838" t="str">
            <v>005112</v>
          </cell>
          <cell r="C838" t="str">
            <v>AT</v>
          </cell>
          <cell r="D838" t="str">
            <v>AT</v>
          </cell>
          <cell r="E838" t="str">
            <v>14017</v>
          </cell>
        </row>
        <row r="839">
          <cell r="A839" t="str">
            <v>VESIME</v>
          </cell>
          <cell r="B839" t="str">
            <v>005113</v>
          </cell>
          <cell r="C839" t="str">
            <v>AT</v>
          </cell>
          <cell r="D839" t="str">
            <v>AT</v>
          </cell>
          <cell r="E839" t="str">
            <v>14059</v>
          </cell>
        </row>
        <row r="840">
          <cell r="A840" t="str">
            <v>VIALE</v>
          </cell>
          <cell r="B840" t="str">
            <v>005114</v>
          </cell>
          <cell r="C840" t="str">
            <v>AT</v>
          </cell>
          <cell r="D840" t="str">
            <v>AT</v>
          </cell>
          <cell r="E840" t="str">
            <v>14010</v>
          </cell>
        </row>
        <row r="841">
          <cell r="A841" t="str">
            <v>VIARIGI</v>
          </cell>
          <cell r="B841" t="str">
            <v>005115</v>
          </cell>
          <cell r="C841" t="str">
            <v>AT</v>
          </cell>
          <cell r="D841" t="str">
            <v>AT</v>
          </cell>
          <cell r="E841" t="str">
            <v>14030</v>
          </cell>
        </row>
        <row r="842">
          <cell r="A842" t="str">
            <v>VIGLIANO D'ASTI</v>
          </cell>
          <cell r="B842" t="str">
            <v>005116</v>
          </cell>
          <cell r="C842" t="str">
            <v>AT</v>
          </cell>
          <cell r="D842" t="str">
            <v>AT</v>
          </cell>
          <cell r="E842" t="str">
            <v>14040</v>
          </cell>
        </row>
        <row r="843">
          <cell r="A843" t="str">
            <v>VILLAFRANCA D'ASTI</v>
          </cell>
          <cell r="B843" t="str">
            <v>005117</v>
          </cell>
          <cell r="C843" t="str">
            <v>AT</v>
          </cell>
          <cell r="D843" t="str">
            <v>AT</v>
          </cell>
          <cell r="E843" t="str">
            <v>14018</v>
          </cell>
        </row>
        <row r="844">
          <cell r="A844" t="str">
            <v>VILLANOVA D'ASTI</v>
          </cell>
          <cell r="B844" t="str">
            <v>005118</v>
          </cell>
          <cell r="C844" t="str">
            <v>AT</v>
          </cell>
          <cell r="D844" t="str">
            <v>AT</v>
          </cell>
          <cell r="E844" t="str">
            <v>14019</v>
          </cell>
        </row>
        <row r="845">
          <cell r="A845" t="str">
            <v>VILLA SAN SECONDO</v>
          </cell>
          <cell r="B845" t="str">
            <v>005119</v>
          </cell>
          <cell r="C845" t="str">
            <v>AT</v>
          </cell>
          <cell r="D845" t="str">
            <v>AT</v>
          </cell>
          <cell r="E845" t="str">
            <v>14020</v>
          </cell>
        </row>
        <row r="846">
          <cell r="A846" t="str">
            <v>VINCHIO</v>
          </cell>
          <cell r="B846" t="str">
            <v>005120</v>
          </cell>
          <cell r="C846" t="str">
            <v>AT</v>
          </cell>
          <cell r="D846" t="str">
            <v>AT</v>
          </cell>
          <cell r="E846" t="str">
            <v>14040</v>
          </cell>
        </row>
        <row r="847">
          <cell r="A847" t="str">
            <v>MONTIGLIO MONFERRATO</v>
          </cell>
          <cell r="B847" t="str">
            <v>005121</v>
          </cell>
          <cell r="C847" t="str">
            <v>AT</v>
          </cell>
          <cell r="D847" t="str">
            <v>AT</v>
          </cell>
          <cell r="E847" t="str">
            <v>14026</v>
          </cell>
        </row>
        <row r="848">
          <cell r="A848" t="str">
            <v>ACQUI TERME</v>
          </cell>
          <cell r="B848" t="str">
            <v>006001</v>
          </cell>
          <cell r="C848" t="str">
            <v>AL</v>
          </cell>
          <cell r="D848" t="str">
            <v>AL</v>
          </cell>
          <cell r="E848" t="str">
            <v>15011</v>
          </cell>
        </row>
        <row r="849">
          <cell r="A849" t="str">
            <v>ALBERA LIGURE</v>
          </cell>
          <cell r="B849" t="str">
            <v>006002</v>
          </cell>
          <cell r="C849" t="str">
            <v>AL</v>
          </cell>
          <cell r="D849" t="str">
            <v>AL</v>
          </cell>
          <cell r="E849" t="str">
            <v>15060</v>
          </cell>
        </row>
        <row r="850">
          <cell r="A850" t="str">
            <v>ALESSANDRIA</v>
          </cell>
          <cell r="B850" t="str">
            <v>006003</v>
          </cell>
          <cell r="C850" t="str">
            <v>AL</v>
          </cell>
          <cell r="D850" t="str">
            <v>AL</v>
          </cell>
          <cell r="E850" t="str">
            <v>1512x</v>
          </cell>
        </row>
        <row r="851">
          <cell r="A851" t="str">
            <v>ALFIANO NATTA</v>
          </cell>
          <cell r="B851" t="str">
            <v>006004</v>
          </cell>
          <cell r="C851" t="str">
            <v>AL</v>
          </cell>
          <cell r="D851" t="str">
            <v>AL</v>
          </cell>
          <cell r="E851" t="str">
            <v>15021</v>
          </cell>
        </row>
        <row r="852">
          <cell r="A852" t="str">
            <v>ALICE BEL COLLE</v>
          </cell>
          <cell r="B852" t="str">
            <v>006005</v>
          </cell>
          <cell r="C852" t="str">
            <v>AL</v>
          </cell>
          <cell r="D852" t="str">
            <v>AL</v>
          </cell>
          <cell r="E852" t="str">
            <v>15010</v>
          </cell>
        </row>
        <row r="853">
          <cell r="A853" t="str">
            <v>ALTAVILLA MONFERRATO</v>
          </cell>
          <cell r="B853" t="str">
            <v>006007</v>
          </cell>
          <cell r="C853" t="str">
            <v>AL</v>
          </cell>
          <cell r="D853" t="str">
            <v>AL</v>
          </cell>
          <cell r="E853" t="str">
            <v>15041</v>
          </cell>
        </row>
        <row r="854">
          <cell r="A854" t="str">
            <v>ALZANO SCRIVIA</v>
          </cell>
          <cell r="B854" t="str">
            <v>006008</v>
          </cell>
          <cell r="C854" t="str">
            <v>AL</v>
          </cell>
          <cell r="D854" t="str">
            <v>AL</v>
          </cell>
          <cell r="E854" t="str">
            <v>15050</v>
          </cell>
        </row>
        <row r="855">
          <cell r="A855" t="str">
            <v>ARQUATA SCRIVIA</v>
          </cell>
          <cell r="B855" t="str">
            <v>006009</v>
          </cell>
          <cell r="C855" t="str">
            <v>AL</v>
          </cell>
          <cell r="D855" t="str">
            <v>AL</v>
          </cell>
          <cell r="E855" t="str">
            <v>15061</v>
          </cell>
        </row>
        <row r="856">
          <cell r="A856" t="str">
            <v>AVOLASCA</v>
          </cell>
          <cell r="B856" t="str">
            <v>006010</v>
          </cell>
          <cell r="C856" t="str">
            <v>AL</v>
          </cell>
          <cell r="D856" t="str">
            <v>AL</v>
          </cell>
          <cell r="E856" t="str">
            <v>15050</v>
          </cell>
        </row>
        <row r="857">
          <cell r="A857" t="str">
            <v>BALZOLA</v>
          </cell>
          <cell r="B857" t="str">
            <v>006011</v>
          </cell>
          <cell r="C857" t="str">
            <v>AL</v>
          </cell>
          <cell r="D857" t="str">
            <v>AL</v>
          </cell>
          <cell r="E857" t="str">
            <v>15031</v>
          </cell>
        </row>
        <row r="858">
          <cell r="A858" t="str">
            <v>BASALUZZO</v>
          </cell>
          <cell r="B858" t="str">
            <v>006012</v>
          </cell>
          <cell r="C858" t="str">
            <v>AL</v>
          </cell>
          <cell r="D858" t="str">
            <v>AL</v>
          </cell>
          <cell r="E858" t="str">
            <v>15060</v>
          </cell>
        </row>
        <row r="859">
          <cell r="A859" t="str">
            <v>BASSIGNANA</v>
          </cell>
          <cell r="B859" t="str">
            <v>006013</v>
          </cell>
          <cell r="C859" t="str">
            <v>AL</v>
          </cell>
          <cell r="D859" t="str">
            <v>AL</v>
          </cell>
          <cell r="E859" t="str">
            <v>15042</v>
          </cell>
        </row>
        <row r="860">
          <cell r="A860" t="str">
            <v>BELFORTE MONFERRATO</v>
          </cell>
          <cell r="B860" t="str">
            <v>006014</v>
          </cell>
          <cell r="C860" t="str">
            <v>AL</v>
          </cell>
          <cell r="D860" t="str">
            <v>AL</v>
          </cell>
          <cell r="E860" t="str">
            <v>15070</v>
          </cell>
        </row>
        <row r="861">
          <cell r="A861" t="str">
            <v>BERGAMASCO</v>
          </cell>
          <cell r="B861" t="str">
            <v>006015</v>
          </cell>
          <cell r="C861" t="str">
            <v>AL</v>
          </cell>
          <cell r="D861" t="str">
            <v>AL</v>
          </cell>
          <cell r="E861" t="str">
            <v>15022</v>
          </cell>
        </row>
        <row r="862">
          <cell r="A862" t="str">
            <v>BERZANO DI TORTONA</v>
          </cell>
          <cell r="B862" t="str">
            <v>006016</v>
          </cell>
          <cell r="C862" t="str">
            <v>AL</v>
          </cell>
          <cell r="D862" t="str">
            <v>AL</v>
          </cell>
          <cell r="E862" t="str">
            <v>15050</v>
          </cell>
        </row>
        <row r="863">
          <cell r="A863" t="str">
            <v>BISTAGNO</v>
          </cell>
          <cell r="B863" t="str">
            <v>006017</v>
          </cell>
          <cell r="C863" t="str">
            <v>AL</v>
          </cell>
          <cell r="D863" t="str">
            <v>AL</v>
          </cell>
          <cell r="E863" t="str">
            <v>15012</v>
          </cell>
        </row>
        <row r="864">
          <cell r="A864" t="str">
            <v>BORGHETTO DI BORBERA</v>
          </cell>
          <cell r="B864" t="str">
            <v>006018</v>
          </cell>
          <cell r="C864" t="str">
            <v>AL</v>
          </cell>
          <cell r="D864" t="str">
            <v>AL</v>
          </cell>
          <cell r="E864" t="str">
            <v>15060</v>
          </cell>
        </row>
        <row r="865">
          <cell r="A865" t="str">
            <v>BORGORATTO ALESSANDRINO</v>
          </cell>
          <cell r="B865" t="str">
            <v>006019</v>
          </cell>
          <cell r="C865" t="str">
            <v>AL</v>
          </cell>
          <cell r="D865" t="str">
            <v>AL</v>
          </cell>
          <cell r="E865" t="str">
            <v>15013</v>
          </cell>
        </row>
        <row r="866">
          <cell r="A866" t="str">
            <v>BORGO SAN MARTINO</v>
          </cell>
          <cell r="B866" t="str">
            <v>006020</v>
          </cell>
          <cell r="C866" t="str">
            <v>AL</v>
          </cell>
          <cell r="D866" t="str">
            <v>AL</v>
          </cell>
          <cell r="E866" t="str">
            <v>15032</v>
          </cell>
        </row>
        <row r="867">
          <cell r="A867" t="str">
            <v>BOSCO MARENGO</v>
          </cell>
          <cell r="B867" t="str">
            <v>006021</v>
          </cell>
          <cell r="C867" t="str">
            <v>AL</v>
          </cell>
          <cell r="D867" t="str">
            <v>AL</v>
          </cell>
          <cell r="E867" t="str">
            <v>15062</v>
          </cell>
        </row>
        <row r="868">
          <cell r="A868" t="str">
            <v>BOSIO</v>
          </cell>
          <cell r="B868" t="str">
            <v>006022</v>
          </cell>
          <cell r="C868" t="str">
            <v>AL</v>
          </cell>
          <cell r="D868" t="str">
            <v>AL</v>
          </cell>
          <cell r="E868" t="str">
            <v>15060</v>
          </cell>
        </row>
        <row r="869">
          <cell r="A869" t="str">
            <v>BOZZOLE</v>
          </cell>
          <cell r="B869" t="str">
            <v>006023</v>
          </cell>
          <cell r="C869" t="str">
            <v>AL</v>
          </cell>
          <cell r="D869" t="str">
            <v>AL</v>
          </cell>
          <cell r="E869" t="str">
            <v>15040</v>
          </cell>
        </row>
        <row r="870">
          <cell r="A870" t="str">
            <v>BRIGNANO-FRASCATA</v>
          </cell>
          <cell r="B870" t="str">
            <v>006024</v>
          </cell>
          <cell r="C870" t="str">
            <v>AL</v>
          </cell>
          <cell r="D870" t="str">
            <v>AL</v>
          </cell>
          <cell r="E870" t="str">
            <v>15050</v>
          </cell>
        </row>
        <row r="871">
          <cell r="A871" t="str">
            <v>CABELLA LIGURE</v>
          </cell>
          <cell r="B871" t="str">
            <v>006025</v>
          </cell>
          <cell r="C871" t="str">
            <v>AL</v>
          </cell>
          <cell r="D871" t="str">
            <v>AL</v>
          </cell>
          <cell r="E871" t="str">
            <v>15060</v>
          </cell>
        </row>
        <row r="872">
          <cell r="A872" t="str">
            <v>CAMAGNA MONFERRATO</v>
          </cell>
          <cell r="B872" t="str">
            <v>006026</v>
          </cell>
          <cell r="C872" t="str">
            <v>AL</v>
          </cell>
          <cell r="D872" t="str">
            <v>AL</v>
          </cell>
          <cell r="E872" t="str">
            <v>15030</v>
          </cell>
        </row>
        <row r="873">
          <cell r="A873" t="str">
            <v>CAMINO</v>
          </cell>
          <cell r="B873" t="str">
            <v>006027</v>
          </cell>
          <cell r="C873" t="str">
            <v>AL</v>
          </cell>
          <cell r="D873" t="str">
            <v>AL</v>
          </cell>
          <cell r="E873" t="str">
            <v>15020</v>
          </cell>
        </row>
        <row r="874">
          <cell r="A874" t="str">
            <v>CANTALUPO LIGURE</v>
          </cell>
          <cell r="B874" t="str">
            <v>006028</v>
          </cell>
          <cell r="C874" t="str">
            <v>AL</v>
          </cell>
          <cell r="D874" t="str">
            <v>AL</v>
          </cell>
          <cell r="E874" t="str">
            <v>15060</v>
          </cell>
        </row>
        <row r="875">
          <cell r="A875" t="str">
            <v>CAPRIATA D'ORBA</v>
          </cell>
          <cell r="B875" t="str">
            <v>006029</v>
          </cell>
          <cell r="C875" t="str">
            <v>AL</v>
          </cell>
          <cell r="D875" t="str">
            <v>AL</v>
          </cell>
          <cell r="E875" t="str">
            <v>15060</v>
          </cell>
        </row>
        <row r="876">
          <cell r="A876" t="str">
            <v>CARBONARA SCRIVIA</v>
          </cell>
          <cell r="B876" t="str">
            <v>006030</v>
          </cell>
          <cell r="C876" t="str">
            <v>AL</v>
          </cell>
          <cell r="D876" t="str">
            <v>AL</v>
          </cell>
          <cell r="E876" t="str">
            <v>15050</v>
          </cell>
        </row>
        <row r="877">
          <cell r="A877" t="str">
            <v>CARENTINO</v>
          </cell>
          <cell r="B877" t="str">
            <v>006031</v>
          </cell>
          <cell r="C877" t="str">
            <v>AL</v>
          </cell>
          <cell r="D877" t="str">
            <v>AL</v>
          </cell>
          <cell r="E877" t="str">
            <v>15026</v>
          </cell>
        </row>
        <row r="878">
          <cell r="A878" t="str">
            <v>CAREZZANO</v>
          </cell>
          <cell r="B878" t="str">
            <v>006032</v>
          </cell>
          <cell r="C878" t="str">
            <v>AL</v>
          </cell>
          <cell r="D878" t="str">
            <v>AL</v>
          </cell>
          <cell r="E878" t="str">
            <v>15051</v>
          </cell>
        </row>
        <row r="879">
          <cell r="A879" t="str">
            <v>CARPENETO</v>
          </cell>
          <cell r="B879" t="str">
            <v>006033</v>
          </cell>
          <cell r="C879" t="str">
            <v>AL</v>
          </cell>
          <cell r="D879" t="str">
            <v>AL</v>
          </cell>
          <cell r="E879" t="str">
            <v>15071</v>
          </cell>
        </row>
        <row r="880">
          <cell r="A880" t="str">
            <v>CARREGA LIGURE</v>
          </cell>
          <cell r="B880" t="str">
            <v>006034</v>
          </cell>
          <cell r="C880" t="str">
            <v>AL</v>
          </cell>
          <cell r="D880" t="str">
            <v>AL</v>
          </cell>
          <cell r="E880" t="str">
            <v>15060</v>
          </cell>
        </row>
        <row r="881">
          <cell r="A881" t="str">
            <v>CARROSIO</v>
          </cell>
          <cell r="B881" t="str">
            <v>006035</v>
          </cell>
          <cell r="C881" t="str">
            <v>AL</v>
          </cell>
          <cell r="D881" t="str">
            <v>AL</v>
          </cell>
          <cell r="E881" t="str">
            <v>15060</v>
          </cell>
        </row>
        <row r="882">
          <cell r="A882" t="str">
            <v>CARTOSIO</v>
          </cell>
          <cell r="B882" t="str">
            <v>006036</v>
          </cell>
          <cell r="C882" t="str">
            <v>AL</v>
          </cell>
          <cell r="D882" t="str">
            <v>AL</v>
          </cell>
          <cell r="E882" t="str">
            <v>15015</v>
          </cell>
        </row>
        <row r="883">
          <cell r="A883" t="str">
            <v>CASAL CERMELLI</v>
          </cell>
          <cell r="B883" t="str">
            <v>006037</v>
          </cell>
          <cell r="C883" t="str">
            <v>AL</v>
          </cell>
          <cell r="D883" t="str">
            <v>AL</v>
          </cell>
          <cell r="E883" t="str">
            <v>15072</v>
          </cell>
        </row>
        <row r="884">
          <cell r="A884" t="str">
            <v>CASALEGGIO BOIRO</v>
          </cell>
          <cell r="B884" t="str">
            <v>006038</v>
          </cell>
          <cell r="C884" t="str">
            <v>AL</v>
          </cell>
          <cell r="D884" t="str">
            <v>AL</v>
          </cell>
          <cell r="E884" t="str">
            <v>15070</v>
          </cell>
        </row>
        <row r="885">
          <cell r="A885" t="str">
            <v>CASALE MONFERRATO</v>
          </cell>
          <cell r="B885" t="str">
            <v>006039</v>
          </cell>
          <cell r="C885" t="str">
            <v>AL</v>
          </cell>
          <cell r="D885" t="str">
            <v>AL</v>
          </cell>
          <cell r="E885" t="str">
            <v>15033</v>
          </cell>
        </row>
        <row r="886">
          <cell r="A886" t="str">
            <v>CASALNOCETO</v>
          </cell>
          <cell r="B886" t="str">
            <v>006040</v>
          </cell>
          <cell r="C886" t="str">
            <v>AL</v>
          </cell>
          <cell r="D886" t="str">
            <v>AL</v>
          </cell>
          <cell r="E886" t="str">
            <v>15052</v>
          </cell>
        </row>
        <row r="887">
          <cell r="A887" t="str">
            <v>CASASCO</v>
          </cell>
          <cell r="B887" t="str">
            <v>006041</v>
          </cell>
          <cell r="C887" t="str">
            <v>AL</v>
          </cell>
          <cell r="D887" t="str">
            <v>AL</v>
          </cell>
          <cell r="E887" t="str">
            <v>15050</v>
          </cell>
        </row>
        <row r="888">
          <cell r="A888" t="str">
            <v>CASSINE</v>
          </cell>
          <cell r="B888" t="str">
            <v>006043</v>
          </cell>
          <cell r="C888" t="str">
            <v>AL</v>
          </cell>
          <cell r="D888" t="str">
            <v>AL</v>
          </cell>
          <cell r="E888" t="str">
            <v>15016</v>
          </cell>
        </row>
        <row r="889">
          <cell r="A889" t="str">
            <v>CASSINELLE</v>
          </cell>
          <cell r="B889" t="str">
            <v>006044</v>
          </cell>
          <cell r="C889" t="str">
            <v>AL</v>
          </cell>
          <cell r="D889" t="str">
            <v>AL</v>
          </cell>
          <cell r="E889" t="str">
            <v>15070</v>
          </cell>
        </row>
        <row r="890">
          <cell r="A890" t="str">
            <v>CASTELLANIA COPPI</v>
          </cell>
          <cell r="B890" t="str">
            <v>006045</v>
          </cell>
          <cell r="C890" t="str">
            <v>AL</v>
          </cell>
          <cell r="D890" t="e">
            <v>#N/A</v>
          </cell>
          <cell r="E890" t="e">
            <v>#N/A</v>
          </cell>
        </row>
        <row r="891">
          <cell r="A891" t="str">
            <v>CASTELLAR GUIDOBONO</v>
          </cell>
          <cell r="B891" t="str">
            <v>006046</v>
          </cell>
          <cell r="C891" t="str">
            <v>AL</v>
          </cell>
          <cell r="D891" t="str">
            <v>AL</v>
          </cell>
          <cell r="E891" t="str">
            <v>15050</v>
          </cell>
        </row>
        <row r="892">
          <cell r="A892" t="str">
            <v>CASTELLAZZO BORMIDA</v>
          </cell>
          <cell r="B892" t="str">
            <v>006047</v>
          </cell>
          <cell r="C892" t="str">
            <v>AL</v>
          </cell>
          <cell r="D892" t="str">
            <v>AL</v>
          </cell>
          <cell r="E892" t="str">
            <v>15073</v>
          </cell>
        </row>
        <row r="893">
          <cell r="A893" t="str">
            <v>CASTELLETTO D'ERRO</v>
          </cell>
          <cell r="B893" t="str">
            <v>006048</v>
          </cell>
          <cell r="C893" t="str">
            <v>AL</v>
          </cell>
          <cell r="D893" t="str">
            <v>AL</v>
          </cell>
          <cell r="E893" t="str">
            <v>15010</v>
          </cell>
        </row>
        <row r="894">
          <cell r="A894" t="str">
            <v>CASTELLETTO D'ORBA</v>
          </cell>
          <cell r="B894" t="str">
            <v>006049</v>
          </cell>
          <cell r="C894" t="str">
            <v>AL</v>
          </cell>
          <cell r="D894" t="str">
            <v>AL</v>
          </cell>
          <cell r="E894" t="str">
            <v>15060</v>
          </cell>
        </row>
        <row r="895">
          <cell r="A895" t="str">
            <v>CASTELLETTO MERLI</v>
          </cell>
          <cell r="B895" t="str">
            <v>006050</v>
          </cell>
          <cell r="C895" t="str">
            <v>AL</v>
          </cell>
          <cell r="D895" t="str">
            <v>AL</v>
          </cell>
          <cell r="E895" t="str">
            <v>15020</v>
          </cell>
        </row>
        <row r="896">
          <cell r="A896" t="str">
            <v>CASTELLETTO MONFERRATO</v>
          </cell>
          <cell r="B896" t="str">
            <v>006051</v>
          </cell>
          <cell r="C896" t="str">
            <v>AL</v>
          </cell>
          <cell r="D896" t="str">
            <v>AL</v>
          </cell>
          <cell r="E896" t="str">
            <v>15040</v>
          </cell>
        </row>
        <row r="897">
          <cell r="A897" t="str">
            <v>CASTELNUOVO BORMIDA</v>
          </cell>
          <cell r="B897" t="str">
            <v>006052</v>
          </cell>
          <cell r="C897" t="str">
            <v>AL</v>
          </cell>
          <cell r="D897" t="str">
            <v>AL</v>
          </cell>
          <cell r="E897" t="str">
            <v>15017</v>
          </cell>
        </row>
        <row r="898">
          <cell r="A898" t="str">
            <v>CASTELNUOVO SCRIVIA</v>
          </cell>
          <cell r="B898" t="str">
            <v>006053</v>
          </cell>
          <cell r="C898" t="str">
            <v>AL</v>
          </cell>
          <cell r="D898" t="str">
            <v>AL</v>
          </cell>
          <cell r="E898" t="str">
            <v>15053</v>
          </cell>
        </row>
        <row r="899">
          <cell r="A899" t="str">
            <v>CASTELSPINA</v>
          </cell>
          <cell r="B899" t="str">
            <v>006054</v>
          </cell>
          <cell r="C899" t="str">
            <v>AL</v>
          </cell>
          <cell r="D899" t="str">
            <v>AL</v>
          </cell>
          <cell r="E899" t="str">
            <v>15070</v>
          </cell>
        </row>
        <row r="900">
          <cell r="A900" t="str">
            <v>CAVATORE</v>
          </cell>
          <cell r="B900" t="str">
            <v>006055</v>
          </cell>
          <cell r="C900" t="str">
            <v>AL</v>
          </cell>
          <cell r="D900" t="str">
            <v>AL</v>
          </cell>
          <cell r="E900" t="str">
            <v>15010</v>
          </cell>
        </row>
        <row r="901">
          <cell r="A901" t="str">
            <v>CELLA MONTE</v>
          </cell>
          <cell r="B901" t="str">
            <v>006056</v>
          </cell>
          <cell r="C901" t="str">
            <v>AL</v>
          </cell>
          <cell r="D901" t="str">
            <v>AL</v>
          </cell>
          <cell r="E901" t="str">
            <v>15034</v>
          </cell>
        </row>
        <row r="902">
          <cell r="A902" t="str">
            <v>CERESETO</v>
          </cell>
          <cell r="B902" t="str">
            <v>006057</v>
          </cell>
          <cell r="C902" t="str">
            <v>AL</v>
          </cell>
          <cell r="D902" t="str">
            <v>AL</v>
          </cell>
          <cell r="E902" t="str">
            <v>15020</v>
          </cell>
        </row>
        <row r="903">
          <cell r="A903" t="str">
            <v>CERRETO GRUE</v>
          </cell>
          <cell r="B903" t="str">
            <v>006058</v>
          </cell>
          <cell r="C903" t="str">
            <v>AL</v>
          </cell>
          <cell r="D903" t="str">
            <v>AL</v>
          </cell>
          <cell r="E903" t="str">
            <v>15050</v>
          </cell>
        </row>
        <row r="904">
          <cell r="A904" t="str">
            <v>CERRINA MONFERRATO</v>
          </cell>
          <cell r="B904" t="str">
            <v>006059</v>
          </cell>
          <cell r="C904" t="str">
            <v>AL</v>
          </cell>
          <cell r="D904" t="str">
            <v>AL</v>
          </cell>
          <cell r="E904" t="str">
            <v>15020</v>
          </cell>
        </row>
        <row r="905">
          <cell r="A905" t="str">
            <v>CONIOLO</v>
          </cell>
          <cell r="B905" t="str">
            <v>006060</v>
          </cell>
          <cell r="C905" t="str">
            <v>AL</v>
          </cell>
          <cell r="D905" t="str">
            <v>AL</v>
          </cell>
          <cell r="E905" t="str">
            <v>15030</v>
          </cell>
        </row>
        <row r="906">
          <cell r="A906" t="str">
            <v>CONZANO</v>
          </cell>
          <cell r="B906" t="str">
            <v>006061</v>
          </cell>
          <cell r="C906" t="str">
            <v>AL</v>
          </cell>
          <cell r="D906" t="str">
            <v>AL</v>
          </cell>
          <cell r="E906" t="str">
            <v>15030</v>
          </cell>
        </row>
        <row r="907">
          <cell r="A907" t="str">
            <v>COSTA VESCOVATO</v>
          </cell>
          <cell r="B907" t="str">
            <v>006062</v>
          </cell>
          <cell r="C907" t="str">
            <v>AL</v>
          </cell>
          <cell r="D907" t="str">
            <v>AL</v>
          </cell>
          <cell r="E907" t="str">
            <v>15050</v>
          </cell>
        </row>
        <row r="908">
          <cell r="A908" t="str">
            <v>CREMOLINO</v>
          </cell>
          <cell r="B908" t="str">
            <v>006063</v>
          </cell>
          <cell r="C908" t="str">
            <v>AL</v>
          </cell>
          <cell r="D908" t="str">
            <v>AL</v>
          </cell>
          <cell r="E908" t="str">
            <v>15010</v>
          </cell>
        </row>
        <row r="909">
          <cell r="A909" t="str">
            <v>DENICE</v>
          </cell>
          <cell r="B909" t="str">
            <v>006065</v>
          </cell>
          <cell r="C909" t="str">
            <v>AL</v>
          </cell>
          <cell r="D909" t="str">
            <v>AL</v>
          </cell>
          <cell r="E909" t="str">
            <v>15010</v>
          </cell>
        </row>
        <row r="910">
          <cell r="A910" t="str">
            <v>DERNICE</v>
          </cell>
          <cell r="B910" t="str">
            <v>006066</v>
          </cell>
          <cell r="C910" t="str">
            <v>AL</v>
          </cell>
          <cell r="D910" t="str">
            <v>AL</v>
          </cell>
          <cell r="E910" t="str">
            <v>15056</v>
          </cell>
        </row>
        <row r="911">
          <cell r="A911" t="str">
            <v>FABBRICA CURONE</v>
          </cell>
          <cell r="B911" t="str">
            <v>006067</v>
          </cell>
          <cell r="C911" t="str">
            <v>AL</v>
          </cell>
          <cell r="D911" t="str">
            <v>AL</v>
          </cell>
          <cell r="E911" t="str">
            <v>15054</v>
          </cell>
        </row>
        <row r="912">
          <cell r="A912" t="str">
            <v>FELIZZANO</v>
          </cell>
          <cell r="B912" t="str">
            <v>006068</v>
          </cell>
          <cell r="C912" t="str">
            <v>AL</v>
          </cell>
          <cell r="D912" t="str">
            <v>AL</v>
          </cell>
          <cell r="E912" t="str">
            <v>15023</v>
          </cell>
        </row>
        <row r="913">
          <cell r="A913" t="str">
            <v>FRACONALTO</v>
          </cell>
          <cell r="B913" t="str">
            <v>006069</v>
          </cell>
          <cell r="C913" t="str">
            <v>AL</v>
          </cell>
          <cell r="D913" t="str">
            <v>AL</v>
          </cell>
          <cell r="E913" t="str">
            <v>15060</v>
          </cell>
        </row>
        <row r="914">
          <cell r="A914" t="str">
            <v>FRANCAVILLA BISIO</v>
          </cell>
          <cell r="B914" t="str">
            <v>006070</v>
          </cell>
          <cell r="C914" t="str">
            <v>AL</v>
          </cell>
          <cell r="D914" t="str">
            <v>AL</v>
          </cell>
          <cell r="E914" t="str">
            <v>15060</v>
          </cell>
        </row>
        <row r="915">
          <cell r="A915" t="str">
            <v>FRASCARO</v>
          </cell>
          <cell r="B915" t="str">
            <v>006071</v>
          </cell>
          <cell r="C915" t="str">
            <v>AL</v>
          </cell>
          <cell r="D915" t="str">
            <v>AL</v>
          </cell>
          <cell r="E915" t="str">
            <v>15010</v>
          </cell>
        </row>
        <row r="916">
          <cell r="A916" t="str">
            <v>FRASSINELLO MONFERRATO</v>
          </cell>
          <cell r="B916" t="str">
            <v>006072</v>
          </cell>
          <cell r="C916" t="str">
            <v>AL</v>
          </cell>
          <cell r="D916" t="str">
            <v>AL</v>
          </cell>
          <cell r="E916" t="str">
            <v>15035</v>
          </cell>
        </row>
        <row r="917">
          <cell r="A917" t="str">
            <v>FRASSINETO PO</v>
          </cell>
          <cell r="B917" t="str">
            <v>006073</v>
          </cell>
          <cell r="C917" t="str">
            <v>AL</v>
          </cell>
          <cell r="D917" t="str">
            <v>AL</v>
          </cell>
          <cell r="E917" t="str">
            <v>15040</v>
          </cell>
        </row>
        <row r="918">
          <cell r="A918" t="str">
            <v>FRESONARA</v>
          </cell>
          <cell r="B918" t="str">
            <v>006074</v>
          </cell>
          <cell r="C918" t="str">
            <v>AL</v>
          </cell>
          <cell r="D918" t="str">
            <v>AL</v>
          </cell>
          <cell r="E918" t="str">
            <v>15064</v>
          </cell>
        </row>
        <row r="919">
          <cell r="A919" t="str">
            <v>FRUGAROLO</v>
          </cell>
          <cell r="B919" t="str">
            <v>006075</v>
          </cell>
          <cell r="C919" t="str">
            <v>AL</v>
          </cell>
          <cell r="D919" t="str">
            <v>AL</v>
          </cell>
          <cell r="E919" t="str">
            <v>15065</v>
          </cell>
        </row>
        <row r="920">
          <cell r="A920" t="str">
            <v>FUBINE MONFERRATO</v>
          </cell>
          <cell r="B920" t="str">
            <v>006076</v>
          </cell>
          <cell r="C920" t="str">
            <v>AL</v>
          </cell>
          <cell r="D920" t="e">
            <v>#N/A</v>
          </cell>
          <cell r="E920" t="e">
            <v>#N/A</v>
          </cell>
        </row>
        <row r="921">
          <cell r="A921" t="str">
            <v>GABIANO</v>
          </cell>
          <cell r="B921" t="str">
            <v>006077</v>
          </cell>
          <cell r="C921" t="str">
            <v>AL</v>
          </cell>
          <cell r="D921" t="str">
            <v>AL</v>
          </cell>
          <cell r="E921" t="str">
            <v>15020</v>
          </cell>
        </row>
        <row r="922">
          <cell r="A922" t="str">
            <v>GAMALERO</v>
          </cell>
          <cell r="B922" t="str">
            <v>006078</v>
          </cell>
          <cell r="C922" t="str">
            <v>AL</v>
          </cell>
          <cell r="D922" t="str">
            <v>AL</v>
          </cell>
          <cell r="E922" t="str">
            <v>15010</v>
          </cell>
        </row>
        <row r="923">
          <cell r="A923" t="str">
            <v>GARBAGNA</v>
          </cell>
          <cell r="B923" t="str">
            <v>006079</v>
          </cell>
          <cell r="C923" t="str">
            <v>AL</v>
          </cell>
          <cell r="D923" t="str">
            <v>AL</v>
          </cell>
          <cell r="E923" t="str">
            <v>15050</v>
          </cell>
        </row>
        <row r="924">
          <cell r="A924" t="str">
            <v>GAVI</v>
          </cell>
          <cell r="B924" t="str">
            <v>006081</v>
          </cell>
          <cell r="C924" t="str">
            <v>AL</v>
          </cell>
          <cell r="D924" t="str">
            <v>AL</v>
          </cell>
          <cell r="E924" t="str">
            <v>15066</v>
          </cell>
        </row>
        <row r="925">
          <cell r="A925" t="str">
            <v>GIAROLE</v>
          </cell>
          <cell r="B925" t="str">
            <v>006082</v>
          </cell>
          <cell r="C925" t="str">
            <v>AL</v>
          </cell>
          <cell r="D925" t="str">
            <v>AL</v>
          </cell>
          <cell r="E925" t="str">
            <v>15036</v>
          </cell>
        </row>
        <row r="926">
          <cell r="A926" t="str">
            <v>GREMIASCO</v>
          </cell>
          <cell r="B926" t="str">
            <v>006083</v>
          </cell>
          <cell r="C926" t="str">
            <v>AL</v>
          </cell>
          <cell r="D926" t="str">
            <v>AL</v>
          </cell>
          <cell r="E926" t="str">
            <v>15056</v>
          </cell>
        </row>
        <row r="927">
          <cell r="A927" t="str">
            <v>GROGNARDO</v>
          </cell>
          <cell r="B927" t="str">
            <v>006084</v>
          </cell>
          <cell r="C927" t="str">
            <v>AL</v>
          </cell>
          <cell r="D927" t="str">
            <v>AL</v>
          </cell>
          <cell r="E927" t="str">
            <v>15010</v>
          </cell>
        </row>
        <row r="928">
          <cell r="A928" t="str">
            <v>GRONDONA</v>
          </cell>
          <cell r="B928" t="str">
            <v>006085</v>
          </cell>
          <cell r="C928" t="str">
            <v>AL</v>
          </cell>
          <cell r="D928" t="str">
            <v>AL</v>
          </cell>
          <cell r="E928" t="str">
            <v>15060</v>
          </cell>
        </row>
        <row r="929">
          <cell r="A929" t="str">
            <v>GUAZZORA</v>
          </cell>
          <cell r="B929" t="str">
            <v>006086</v>
          </cell>
          <cell r="C929" t="str">
            <v>AL</v>
          </cell>
          <cell r="D929" t="str">
            <v>AL</v>
          </cell>
          <cell r="E929" t="str">
            <v>15050</v>
          </cell>
        </row>
        <row r="930">
          <cell r="A930" t="str">
            <v>ISOLA SANT'ANTONIO</v>
          </cell>
          <cell r="B930" t="str">
            <v>006087</v>
          </cell>
          <cell r="C930" t="str">
            <v>AL</v>
          </cell>
          <cell r="D930" t="str">
            <v>AL</v>
          </cell>
          <cell r="E930" t="str">
            <v>15050</v>
          </cell>
        </row>
        <row r="931">
          <cell r="A931" t="str">
            <v>LERMA</v>
          </cell>
          <cell r="B931" t="str">
            <v>006088</v>
          </cell>
          <cell r="C931" t="str">
            <v>AL</v>
          </cell>
          <cell r="D931" t="str">
            <v>AL</v>
          </cell>
          <cell r="E931" t="str">
            <v>15070</v>
          </cell>
        </row>
        <row r="932">
          <cell r="A932" t="str">
            <v>MALVICINO</v>
          </cell>
          <cell r="B932" t="str">
            <v>006090</v>
          </cell>
          <cell r="C932" t="str">
            <v>AL</v>
          </cell>
          <cell r="D932" t="str">
            <v>AL</v>
          </cell>
          <cell r="E932" t="str">
            <v>15015</v>
          </cell>
        </row>
        <row r="933">
          <cell r="A933" t="str">
            <v>MASIO</v>
          </cell>
          <cell r="B933" t="str">
            <v>006091</v>
          </cell>
          <cell r="C933" t="str">
            <v>AL</v>
          </cell>
          <cell r="D933" t="str">
            <v>AL</v>
          </cell>
          <cell r="E933" t="str">
            <v>15024</v>
          </cell>
        </row>
        <row r="934">
          <cell r="A934" t="str">
            <v>MELAZZO</v>
          </cell>
          <cell r="B934" t="str">
            <v>006092</v>
          </cell>
          <cell r="C934" t="str">
            <v>AL</v>
          </cell>
          <cell r="D934" t="str">
            <v>AL</v>
          </cell>
          <cell r="E934" t="str">
            <v>15010</v>
          </cell>
        </row>
        <row r="935">
          <cell r="A935" t="str">
            <v>MERANA</v>
          </cell>
          <cell r="B935" t="str">
            <v>006093</v>
          </cell>
          <cell r="C935" t="str">
            <v>AL</v>
          </cell>
          <cell r="D935" t="str">
            <v>AL</v>
          </cell>
          <cell r="E935" t="str">
            <v>15010</v>
          </cell>
        </row>
        <row r="936">
          <cell r="A936" t="str">
            <v>MIRABELLO MONFERRATO</v>
          </cell>
          <cell r="B936" t="str">
            <v>006094</v>
          </cell>
          <cell r="C936" t="str">
            <v>AL</v>
          </cell>
          <cell r="D936" t="str">
            <v>AL</v>
          </cell>
          <cell r="E936" t="str">
            <v>15040</v>
          </cell>
        </row>
        <row r="937">
          <cell r="A937" t="str">
            <v>MOLARE</v>
          </cell>
          <cell r="B937" t="str">
            <v>006095</v>
          </cell>
          <cell r="C937" t="str">
            <v>AL</v>
          </cell>
          <cell r="D937" t="str">
            <v>AL</v>
          </cell>
          <cell r="E937" t="str">
            <v>15074</v>
          </cell>
        </row>
        <row r="938">
          <cell r="A938" t="str">
            <v>MOLINO DEI TORTI</v>
          </cell>
          <cell r="B938" t="str">
            <v>006096</v>
          </cell>
          <cell r="C938" t="str">
            <v>AL</v>
          </cell>
          <cell r="D938" t="str">
            <v>AL</v>
          </cell>
          <cell r="E938" t="str">
            <v>15050</v>
          </cell>
        </row>
        <row r="939">
          <cell r="A939" t="str">
            <v>MOMBELLO MONFERRATO</v>
          </cell>
          <cell r="B939" t="str">
            <v>006097</v>
          </cell>
          <cell r="C939" t="str">
            <v>AL</v>
          </cell>
          <cell r="D939" t="str">
            <v>AL</v>
          </cell>
          <cell r="E939" t="str">
            <v>15020</v>
          </cell>
        </row>
        <row r="940">
          <cell r="A940" t="str">
            <v>MOMPERONE</v>
          </cell>
          <cell r="B940" t="str">
            <v>006098</v>
          </cell>
          <cell r="C940" t="str">
            <v>AL</v>
          </cell>
          <cell r="D940" t="str">
            <v>AL</v>
          </cell>
          <cell r="E940" t="str">
            <v>15050</v>
          </cell>
        </row>
        <row r="941">
          <cell r="A941" t="str">
            <v>MONCESTINO</v>
          </cell>
          <cell r="B941" t="str">
            <v>006099</v>
          </cell>
          <cell r="C941" t="str">
            <v>AL</v>
          </cell>
          <cell r="D941" t="str">
            <v>AL</v>
          </cell>
          <cell r="E941" t="str">
            <v>15020</v>
          </cell>
        </row>
        <row r="942">
          <cell r="A942" t="str">
            <v>MONGIARDINO LIGURE</v>
          </cell>
          <cell r="B942" t="str">
            <v>006100</v>
          </cell>
          <cell r="C942" t="str">
            <v>AL</v>
          </cell>
          <cell r="D942" t="str">
            <v>AL</v>
          </cell>
          <cell r="E942" t="str">
            <v>15060</v>
          </cell>
        </row>
        <row r="943">
          <cell r="A943" t="str">
            <v>MONLEALE</v>
          </cell>
          <cell r="B943" t="str">
            <v>006101</v>
          </cell>
          <cell r="C943" t="str">
            <v>AL</v>
          </cell>
          <cell r="D943" t="str">
            <v>AL</v>
          </cell>
          <cell r="E943" t="str">
            <v>15059</v>
          </cell>
        </row>
        <row r="944">
          <cell r="A944" t="str">
            <v>MONTACUTO</v>
          </cell>
          <cell r="B944" t="str">
            <v>006102</v>
          </cell>
          <cell r="C944" t="str">
            <v>AL</v>
          </cell>
          <cell r="D944" t="str">
            <v>AL</v>
          </cell>
          <cell r="E944" t="str">
            <v>15050</v>
          </cell>
        </row>
        <row r="945">
          <cell r="A945" t="str">
            <v>MONTALDEO</v>
          </cell>
          <cell r="B945" t="str">
            <v>006103</v>
          </cell>
          <cell r="C945" t="str">
            <v>AL</v>
          </cell>
          <cell r="D945" t="str">
            <v>AL</v>
          </cell>
          <cell r="E945" t="str">
            <v>15060</v>
          </cell>
        </row>
        <row r="946">
          <cell r="A946" t="str">
            <v>MONTALDO BORMIDA</v>
          </cell>
          <cell r="B946" t="str">
            <v>006104</v>
          </cell>
          <cell r="C946" t="str">
            <v>AL</v>
          </cell>
          <cell r="D946" t="str">
            <v>AL</v>
          </cell>
          <cell r="E946" t="str">
            <v>15010</v>
          </cell>
        </row>
        <row r="947">
          <cell r="A947" t="str">
            <v>MONTECASTELLO</v>
          </cell>
          <cell r="B947" t="str">
            <v>006105</v>
          </cell>
          <cell r="C947" t="str">
            <v>AL</v>
          </cell>
          <cell r="D947" t="str">
            <v>AL</v>
          </cell>
          <cell r="E947" t="str">
            <v>15040</v>
          </cell>
        </row>
        <row r="948">
          <cell r="A948" t="str">
            <v>MONTECHIARO D'ACQUI</v>
          </cell>
          <cell r="B948" t="str">
            <v>006106</v>
          </cell>
          <cell r="C948" t="str">
            <v>AL</v>
          </cell>
          <cell r="D948" t="str">
            <v>AL</v>
          </cell>
          <cell r="E948" t="str">
            <v>15010</v>
          </cell>
        </row>
        <row r="949">
          <cell r="A949" t="str">
            <v>MONTEGIOCO</v>
          </cell>
          <cell r="B949" t="str">
            <v>006107</v>
          </cell>
          <cell r="C949" t="str">
            <v>AL</v>
          </cell>
          <cell r="D949" t="str">
            <v>AL</v>
          </cell>
          <cell r="E949" t="str">
            <v>15050</v>
          </cell>
        </row>
        <row r="950">
          <cell r="A950" t="str">
            <v>MONTEMARZINO</v>
          </cell>
          <cell r="B950" t="str">
            <v>006108</v>
          </cell>
          <cell r="C950" t="str">
            <v>AL</v>
          </cell>
          <cell r="D950" t="str">
            <v>AL</v>
          </cell>
          <cell r="E950" t="str">
            <v>15050</v>
          </cell>
        </row>
        <row r="951">
          <cell r="A951" t="str">
            <v>MORANO SUL PO</v>
          </cell>
          <cell r="B951" t="str">
            <v>006109</v>
          </cell>
          <cell r="C951" t="str">
            <v>AL</v>
          </cell>
          <cell r="D951" t="str">
            <v>AL</v>
          </cell>
          <cell r="E951" t="str">
            <v>15025</v>
          </cell>
        </row>
        <row r="952">
          <cell r="A952" t="str">
            <v>MORBELLO</v>
          </cell>
          <cell r="B952" t="str">
            <v>006110</v>
          </cell>
          <cell r="C952" t="str">
            <v>AL</v>
          </cell>
          <cell r="D952" t="str">
            <v>AL</v>
          </cell>
          <cell r="E952" t="str">
            <v>15010</v>
          </cell>
        </row>
        <row r="953">
          <cell r="A953" t="str">
            <v>MORNESE</v>
          </cell>
          <cell r="B953" t="str">
            <v>006111</v>
          </cell>
          <cell r="C953" t="str">
            <v>AL</v>
          </cell>
          <cell r="D953" t="str">
            <v>AL</v>
          </cell>
          <cell r="E953" t="str">
            <v>15075</v>
          </cell>
        </row>
        <row r="954">
          <cell r="A954" t="str">
            <v>MORSASCO</v>
          </cell>
          <cell r="B954" t="str">
            <v>006112</v>
          </cell>
          <cell r="C954" t="str">
            <v>AL</v>
          </cell>
          <cell r="D954" t="str">
            <v>AL</v>
          </cell>
          <cell r="E954" t="str">
            <v>15010</v>
          </cell>
        </row>
        <row r="955">
          <cell r="A955" t="str">
            <v>MURISENGO</v>
          </cell>
          <cell r="B955" t="str">
            <v>006113</v>
          </cell>
          <cell r="C955" t="str">
            <v>AL</v>
          </cell>
          <cell r="D955" t="str">
            <v>AL</v>
          </cell>
          <cell r="E955" t="str">
            <v>15020</v>
          </cell>
        </row>
        <row r="956">
          <cell r="A956" t="str">
            <v>NOVI LIGURE</v>
          </cell>
          <cell r="B956" t="str">
            <v>006114</v>
          </cell>
          <cell r="C956" t="str">
            <v>AL</v>
          </cell>
          <cell r="D956" t="str">
            <v>AL</v>
          </cell>
          <cell r="E956" t="str">
            <v>15067</v>
          </cell>
        </row>
        <row r="957">
          <cell r="A957" t="str">
            <v>OCCIMIANO</v>
          </cell>
          <cell r="B957" t="str">
            <v>006115</v>
          </cell>
          <cell r="C957" t="str">
            <v>AL</v>
          </cell>
          <cell r="D957" t="str">
            <v>AL</v>
          </cell>
          <cell r="E957" t="str">
            <v>15040</v>
          </cell>
        </row>
        <row r="958">
          <cell r="A958" t="str">
            <v>ODALENGO GRANDE</v>
          </cell>
          <cell r="B958" t="str">
            <v>006116</v>
          </cell>
          <cell r="C958" t="str">
            <v>AL</v>
          </cell>
          <cell r="D958" t="str">
            <v>AL</v>
          </cell>
          <cell r="E958" t="str">
            <v>15020</v>
          </cell>
        </row>
        <row r="959">
          <cell r="A959" t="str">
            <v>ODALENGO PICCOLO</v>
          </cell>
          <cell r="B959" t="str">
            <v>006117</v>
          </cell>
          <cell r="C959" t="str">
            <v>AL</v>
          </cell>
          <cell r="D959" t="str">
            <v>AL</v>
          </cell>
          <cell r="E959" t="str">
            <v>15020</v>
          </cell>
        </row>
        <row r="960">
          <cell r="A960" t="str">
            <v>OLIVOLA</v>
          </cell>
          <cell r="B960" t="str">
            <v>006118</v>
          </cell>
          <cell r="C960" t="str">
            <v>AL</v>
          </cell>
          <cell r="D960" t="str">
            <v>AL</v>
          </cell>
          <cell r="E960" t="str">
            <v>15030</v>
          </cell>
        </row>
        <row r="961">
          <cell r="A961" t="str">
            <v>ORSARA BORMIDA</v>
          </cell>
          <cell r="B961" t="str">
            <v>006119</v>
          </cell>
          <cell r="C961" t="str">
            <v>AL</v>
          </cell>
          <cell r="D961" t="str">
            <v>AL</v>
          </cell>
          <cell r="E961" t="str">
            <v>15010</v>
          </cell>
        </row>
        <row r="962">
          <cell r="A962" t="str">
            <v>OTTIGLIO</v>
          </cell>
          <cell r="B962" t="str">
            <v>006120</v>
          </cell>
          <cell r="C962" t="str">
            <v>AL</v>
          </cell>
          <cell r="D962" t="str">
            <v>AL</v>
          </cell>
          <cell r="E962" t="str">
            <v>15038</v>
          </cell>
        </row>
        <row r="963">
          <cell r="A963" t="str">
            <v>OVADA</v>
          </cell>
          <cell r="B963" t="str">
            <v>006121</v>
          </cell>
          <cell r="C963" t="str">
            <v>AL</v>
          </cell>
          <cell r="D963" t="str">
            <v>AL</v>
          </cell>
          <cell r="E963" t="str">
            <v>15076</v>
          </cell>
        </row>
        <row r="964">
          <cell r="A964" t="str">
            <v>OVIGLIO</v>
          </cell>
          <cell r="B964" t="str">
            <v>006122</v>
          </cell>
          <cell r="C964" t="str">
            <v>AL</v>
          </cell>
          <cell r="D964" t="str">
            <v>AL</v>
          </cell>
          <cell r="E964" t="str">
            <v>15026</v>
          </cell>
        </row>
        <row r="965">
          <cell r="A965" t="str">
            <v>OZZANO MONFERRATO</v>
          </cell>
          <cell r="B965" t="str">
            <v>006123</v>
          </cell>
          <cell r="C965" t="str">
            <v>AL</v>
          </cell>
          <cell r="D965" t="str">
            <v>AL</v>
          </cell>
          <cell r="E965" t="str">
            <v>15039</v>
          </cell>
        </row>
        <row r="966">
          <cell r="A966" t="str">
            <v>PADERNA</v>
          </cell>
          <cell r="B966" t="str">
            <v>006124</v>
          </cell>
          <cell r="C966" t="str">
            <v>AL</v>
          </cell>
          <cell r="D966" t="str">
            <v>AL</v>
          </cell>
          <cell r="E966" t="str">
            <v>15050</v>
          </cell>
        </row>
        <row r="967">
          <cell r="A967" t="str">
            <v>PARETO</v>
          </cell>
          <cell r="B967" t="str">
            <v>006125</v>
          </cell>
          <cell r="C967" t="str">
            <v>AL</v>
          </cell>
          <cell r="D967" t="str">
            <v>AL</v>
          </cell>
          <cell r="E967" t="str">
            <v>15010</v>
          </cell>
        </row>
        <row r="968">
          <cell r="A968" t="str">
            <v>PARODI LIGURE</v>
          </cell>
          <cell r="B968" t="str">
            <v>006126</v>
          </cell>
          <cell r="C968" t="str">
            <v>AL</v>
          </cell>
          <cell r="D968" t="str">
            <v>AL</v>
          </cell>
          <cell r="E968" t="str">
            <v>15060</v>
          </cell>
        </row>
        <row r="969">
          <cell r="A969" t="str">
            <v>PASTURANA</v>
          </cell>
          <cell r="B969" t="str">
            <v>006127</v>
          </cell>
          <cell r="C969" t="str">
            <v>AL</v>
          </cell>
          <cell r="D969" t="str">
            <v>AL</v>
          </cell>
          <cell r="E969" t="str">
            <v>15060</v>
          </cell>
        </row>
        <row r="970">
          <cell r="A970" t="str">
            <v>PECETTO DI VALENZA</v>
          </cell>
          <cell r="B970" t="str">
            <v>006128</v>
          </cell>
          <cell r="C970" t="str">
            <v>AL</v>
          </cell>
          <cell r="D970" t="str">
            <v>AL</v>
          </cell>
          <cell r="E970" t="str">
            <v>15040</v>
          </cell>
        </row>
        <row r="971">
          <cell r="A971" t="str">
            <v>PIETRA MARAZZI</v>
          </cell>
          <cell r="B971" t="str">
            <v>006129</v>
          </cell>
          <cell r="C971" t="str">
            <v>AL</v>
          </cell>
          <cell r="D971" t="str">
            <v>AL</v>
          </cell>
          <cell r="E971" t="str">
            <v>15040</v>
          </cell>
        </row>
        <row r="972">
          <cell r="A972" t="str">
            <v>POMARO MONFERRATO</v>
          </cell>
          <cell r="B972" t="str">
            <v>006131</v>
          </cell>
          <cell r="C972" t="str">
            <v>AL</v>
          </cell>
          <cell r="D972" t="str">
            <v>AL</v>
          </cell>
          <cell r="E972" t="str">
            <v>15040</v>
          </cell>
        </row>
        <row r="973">
          <cell r="A973" t="str">
            <v>PONTECURONE</v>
          </cell>
          <cell r="B973" t="str">
            <v>006132</v>
          </cell>
          <cell r="C973" t="str">
            <v>AL</v>
          </cell>
          <cell r="D973" t="str">
            <v>AL</v>
          </cell>
          <cell r="E973" t="str">
            <v>15055</v>
          </cell>
        </row>
        <row r="974">
          <cell r="A974" t="str">
            <v>PONTESTURA</v>
          </cell>
          <cell r="B974" t="str">
            <v>006133</v>
          </cell>
          <cell r="C974" t="str">
            <v>AL</v>
          </cell>
          <cell r="D974" t="str">
            <v>AL</v>
          </cell>
          <cell r="E974" t="str">
            <v>15027</v>
          </cell>
        </row>
        <row r="975">
          <cell r="A975" t="str">
            <v>PONTI</v>
          </cell>
          <cell r="B975" t="str">
            <v>006134</v>
          </cell>
          <cell r="C975" t="str">
            <v>AL</v>
          </cell>
          <cell r="D975" t="str">
            <v>AL</v>
          </cell>
          <cell r="E975" t="str">
            <v>15010</v>
          </cell>
        </row>
        <row r="976">
          <cell r="A976" t="str">
            <v>PONZANO MONFERRATO</v>
          </cell>
          <cell r="B976" t="str">
            <v>006135</v>
          </cell>
          <cell r="C976" t="str">
            <v>AL</v>
          </cell>
          <cell r="D976" t="str">
            <v>AL</v>
          </cell>
          <cell r="E976" t="str">
            <v>15020</v>
          </cell>
        </row>
        <row r="977">
          <cell r="A977" t="str">
            <v>PONZONE</v>
          </cell>
          <cell r="B977" t="str">
            <v>006136</v>
          </cell>
          <cell r="C977" t="str">
            <v>AL</v>
          </cell>
          <cell r="D977" t="str">
            <v>AL</v>
          </cell>
          <cell r="E977" t="str">
            <v>15010</v>
          </cell>
        </row>
        <row r="978">
          <cell r="A978" t="str">
            <v>POZZOL GROPPO</v>
          </cell>
          <cell r="B978" t="str">
            <v>006137</v>
          </cell>
          <cell r="C978" t="str">
            <v>AL</v>
          </cell>
          <cell r="D978" t="str">
            <v>AL</v>
          </cell>
          <cell r="E978" t="str">
            <v>15050</v>
          </cell>
        </row>
        <row r="979">
          <cell r="A979" t="str">
            <v>POZZOLO FORMIGARO</v>
          </cell>
          <cell r="B979" t="str">
            <v>006138</v>
          </cell>
          <cell r="C979" t="str">
            <v>AL</v>
          </cell>
          <cell r="D979" t="str">
            <v>AL</v>
          </cell>
          <cell r="E979" t="str">
            <v>15068</v>
          </cell>
        </row>
        <row r="980">
          <cell r="A980" t="str">
            <v>PRASCO</v>
          </cell>
          <cell r="B980" t="str">
            <v>006139</v>
          </cell>
          <cell r="C980" t="str">
            <v>AL</v>
          </cell>
          <cell r="D980" t="str">
            <v>AL</v>
          </cell>
          <cell r="E980" t="str">
            <v>15010</v>
          </cell>
        </row>
        <row r="981">
          <cell r="A981" t="str">
            <v>PREDOSA</v>
          </cell>
          <cell r="B981" t="str">
            <v>006140</v>
          </cell>
          <cell r="C981" t="str">
            <v>AL</v>
          </cell>
          <cell r="D981" t="str">
            <v>AL</v>
          </cell>
          <cell r="E981" t="str">
            <v>15077</v>
          </cell>
        </row>
        <row r="982">
          <cell r="A982" t="str">
            <v>QUARGNENTO</v>
          </cell>
          <cell r="B982" t="str">
            <v>006141</v>
          </cell>
          <cell r="C982" t="str">
            <v>AL</v>
          </cell>
          <cell r="D982" t="str">
            <v>AL</v>
          </cell>
          <cell r="E982" t="str">
            <v>15044</v>
          </cell>
        </row>
        <row r="983">
          <cell r="A983" t="str">
            <v>QUATTORDIO</v>
          </cell>
          <cell r="B983" t="str">
            <v>006142</v>
          </cell>
          <cell r="C983" t="str">
            <v>AL</v>
          </cell>
          <cell r="D983" t="str">
            <v>AL</v>
          </cell>
          <cell r="E983" t="str">
            <v>15028</v>
          </cell>
        </row>
        <row r="984">
          <cell r="A984" t="str">
            <v>RICALDONE</v>
          </cell>
          <cell r="B984" t="str">
            <v>006143</v>
          </cell>
          <cell r="C984" t="str">
            <v>AL</v>
          </cell>
          <cell r="D984" t="str">
            <v>AL</v>
          </cell>
          <cell r="E984" t="str">
            <v>15010</v>
          </cell>
        </row>
        <row r="985">
          <cell r="A985" t="str">
            <v>RIVALTA BORMIDA</v>
          </cell>
          <cell r="B985" t="str">
            <v>006144</v>
          </cell>
          <cell r="C985" t="str">
            <v>AL</v>
          </cell>
          <cell r="D985" t="str">
            <v>AL</v>
          </cell>
          <cell r="E985" t="str">
            <v>15010</v>
          </cell>
        </row>
        <row r="986">
          <cell r="A986" t="str">
            <v>RIVARONE</v>
          </cell>
          <cell r="B986" t="str">
            <v>006145</v>
          </cell>
          <cell r="C986" t="str">
            <v>AL</v>
          </cell>
          <cell r="D986" t="str">
            <v>AL</v>
          </cell>
          <cell r="E986" t="str">
            <v>15040</v>
          </cell>
        </row>
        <row r="987">
          <cell r="A987" t="str">
            <v>ROCCAFORTE LIGURE</v>
          </cell>
          <cell r="B987" t="str">
            <v>006146</v>
          </cell>
          <cell r="C987" t="str">
            <v>AL</v>
          </cell>
          <cell r="D987" t="str">
            <v>AL</v>
          </cell>
          <cell r="E987" t="str">
            <v>15060</v>
          </cell>
        </row>
        <row r="988">
          <cell r="A988" t="str">
            <v>ROCCA GRIMALDA</v>
          </cell>
          <cell r="B988" t="str">
            <v>006147</v>
          </cell>
          <cell r="C988" t="str">
            <v>AL</v>
          </cell>
          <cell r="D988" t="str">
            <v>AL</v>
          </cell>
          <cell r="E988" t="str">
            <v>15078</v>
          </cell>
        </row>
        <row r="989">
          <cell r="A989" t="str">
            <v>ROCCHETTA LIGURE</v>
          </cell>
          <cell r="B989" t="str">
            <v>006148</v>
          </cell>
          <cell r="C989" t="str">
            <v>AL</v>
          </cell>
          <cell r="D989" t="str">
            <v>AL</v>
          </cell>
          <cell r="E989" t="str">
            <v>15060</v>
          </cell>
        </row>
        <row r="990">
          <cell r="A990" t="str">
            <v>ROSIGNANO MONFERRATO</v>
          </cell>
          <cell r="B990" t="str">
            <v>006149</v>
          </cell>
          <cell r="C990" t="str">
            <v>AL</v>
          </cell>
          <cell r="D990" t="str">
            <v>AL</v>
          </cell>
          <cell r="E990" t="str">
            <v>15030</v>
          </cell>
        </row>
        <row r="991">
          <cell r="A991" t="str">
            <v>SALA MONFERRATO</v>
          </cell>
          <cell r="B991" t="str">
            <v>006150</v>
          </cell>
          <cell r="C991" t="str">
            <v>AL</v>
          </cell>
          <cell r="D991" t="str">
            <v>AL</v>
          </cell>
          <cell r="E991" t="str">
            <v>15030</v>
          </cell>
        </row>
        <row r="992">
          <cell r="A992" t="str">
            <v>SALE</v>
          </cell>
          <cell r="B992" t="str">
            <v>006151</v>
          </cell>
          <cell r="C992" t="str">
            <v>AL</v>
          </cell>
          <cell r="D992" t="str">
            <v>AL</v>
          </cell>
          <cell r="E992" t="str">
            <v>15045</v>
          </cell>
        </row>
        <row r="993">
          <cell r="A993" t="str">
            <v>SAN CRISTOFORO</v>
          </cell>
          <cell r="B993" t="str">
            <v>006152</v>
          </cell>
          <cell r="C993" t="str">
            <v>AL</v>
          </cell>
          <cell r="D993" t="str">
            <v>AL</v>
          </cell>
          <cell r="E993" t="str">
            <v>15060</v>
          </cell>
        </row>
        <row r="994">
          <cell r="A994" t="str">
            <v>SAN GIORGIO MONFERRATO</v>
          </cell>
          <cell r="B994" t="str">
            <v>006153</v>
          </cell>
          <cell r="C994" t="str">
            <v>AL</v>
          </cell>
          <cell r="D994" t="str">
            <v>AL</v>
          </cell>
          <cell r="E994" t="str">
            <v>15020</v>
          </cell>
        </row>
        <row r="995">
          <cell r="A995" t="str">
            <v>SAN SALVATORE MONFERRATO</v>
          </cell>
          <cell r="B995" t="str">
            <v>006154</v>
          </cell>
          <cell r="C995" t="str">
            <v>AL</v>
          </cell>
          <cell r="D995" t="str">
            <v>AL</v>
          </cell>
          <cell r="E995" t="str">
            <v>15046</v>
          </cell>
        </row>
        <row r="996">
          <cell r="A996" t="str">
            <v>SAN SEBASTIANO CURONE</v>
          </cell>
          <cell r="B996" t="str">
            <v>006155</v>
          </cell>
          <cell r="C996" t="str">
            <v>AL</v>
          </cell>
          <cell r="D996" t="str">
            <v>AL</v>
          </cell>
          <cell r="E996" t="str">
            <v>15056</v>
          </cell>
        </row>
        <row r="997">
          <cell r="A997" t="str">
            <v>SANT'AGATA FOSSILI</v>
          </cell>
          <cell r="B997" t="str">
            <v>006156</v>
          </cell>
          <cell r="C997" t="str">
            <v>AL</v>
          </cell>
          <cell r="D997" t="str">
            <v>AL</v>
          </cell>
          <cell r="E997" t="str">
            <v>15050</v>
          </cell>
        </row>
        <row r="998">
          <cell r="A998" t="str">
            <v>SARDIGLIANO</v>
          </cell>
          <cell r="B998" t="str">
            <v>006157</v>
          </cell>
          <cell r="C998" t="str">
            <v>AL</v>
          </cell>
          <cell r="D998" t="str">
            <v>AL</v>
          </cell>
          <cell r="E998" t="str">
            <v>15060</v>
          </cell>
        </row>
        <row r="999">
          <cell r="A999" t="str">
            <v>SAREZZANO</v>
          </cell>
          <cell r="B999" t="str">
            <v>006158</v>
          </cell>
          <cell r="C999" t="str">
            <v>AL</v>
          </cell>
          <cell r="D999" t="str">
            <v>AL</v>
          </cell>
          <cell r="E999" t="str">
            <v>15050</v>
          </cell>
        </row>
        <row r="1000">
          <cell r="A1000" t="str">
            <v>SERRALUNGA DI CREA</v>
          </cell>
          <cell r="B1000" t="str">
            <v>006159</v>
          </cell>
          <cell r="C1000" t="str">
            <v>AL</v>
          </cell>
          <cell r="D1000" t="str">
            <v>AL</v>
          </cell>
          <cell r="E1000" t="str">
            <v>15020</v>
          </cell>
        </row>
        <row r="1001">
          <cell r="A1001" t="str">
            <v>SERRAVALLE SCRIVIA</v>
          </cell>
          <cell r="B1001" t="str">
            <v>006160</v>
          </cell>
          <cell r="C1001" t="str">
            <v>AL</v>
          </cell>
          <cell r="D1001" t="str">
            <v>AL</v>
          </cell>
          <cell r="E1001" t="str">
            <v>15069</v>
          </cell>
        </row>
        <row r="1002">
          <cell r="A1002" t="str">
            <v>SEZZADIO</v>
          </cell>
          <cell r="B1002" t="str">
            <v>006161</v>
          </cell>
          <cell r="C1002" t="str">
            <v>AL</v>
          </cell>
          <cell r="D1002" t="str">
            <v>AL</v>
          </cell>
          <cell r="E1002" t="str">
            <v>15079</v>
          </cell>
        </row>
        <row r="1003">
          <cell r="A1003" t="str">
            <v>SILVANO D'ORBA</v>
          </cell>
          <cell r="B1003" t="str">
            <v>006162</v>
          </cell>
          <cell r="C1003" t="str">
            <v>AL</v>
          </cell>
          <cell r="D1003" t="str">
            <v>AL</v>
          </cell>
          <cell r="E1003" t="str">
            <v>15060</v>
          </cell>
        </row>
        <row r="1004">
          <cell r="A1004" t="str">
            <v>SOLERO</v>
          </cell>
          <cell r="B1004" t="str">
            <v>006163</v>
          </cell>
          <cell r="C1004" t="str">
            <v>AL</v>
          </cell>
          <cell r="D1004" t="str">
            <v>AL</v>
          </cell>
          <cell r="E1004" t="str">
            <v>15029</v>
          </cell>
        </row>
        <row r="1005">
          <cell r="A1005" t="str">
            <v>SOLONGHELLO</v>
          </cell>
          <cell r="B1005" t="str">
            <v>006164</v>
          </cell>
          <cell r="C1005" t="str">
            <v>AL</v>
          </cell>
          <cell r="D1005" t="str">
            <v>AL</v>
          </cell>
          <cell r="E1005" t="str">
            <v>15020</v>
          </cell>
        </row>
        <row r="1006">
          <cell r="A1006" t="str">
            <v>SPIGNO MONFERRATO</v>
          </cell>
          <cell r="B1006" t="str">
            <v>006165</v>
          </cell>
          <cell r="C1006" t="str">
            <v>AL</v>
          </cell>
          <cell r="D1006" t="str">
            <v>AL</v>
          </cell>
          <cell r="E1006" t="str">
            <v>15018</v>
          </cell>
        </row>
        <row r="1007">
          <cell r="A1007" t="str">
            <v>SPINETO SCRIVIA</v>
          </cell>
          <cell r="B1007" t="str">
            <v>006166</v>
          </cell>
          <cell r="C1007" t="str">
            <v>AL</v>
          </cell>
          <cell r="D1007" t="str">
            <v>AL</v>
          </cell>
          <cell r="E1007" t="str">
            <v>15050</v>
          </cell>
        </row>
        <row r="1008">
          <cell r="A1008" t="str">
            <v>STAZZANO</v>
          </cell>
          <cell r="B1008" t="str">
            <v>006167</v>
          </cell>
          <cell r="C1008" t="str">
            <v>AL</v>
          </cell>
          <cell r="D1008" t="str">
            <v>AL</v>
          </cell>
          <cell r="E1008" t="str">
            <v>15060</v>
          </cell>
        </row>
        <row r="1009">
          <cell r="A1009" t="str">
            <v>STREVI</v>
          </cell>
          <cell r="B1009" t="str">
            <v>006168</v>
          </cell>
          <cell r="C1009" t="str">
            <v>AL</v>
          </cell>
          <cell r="D1009" t="str">
            <v>AL</v>
          </cell>
          <cell r="E1009" t="str">
            <v>15019</v>
          </cell>
        </row>
        <row r="1010">
          <cell r="A1010" t="str">
            <v>TAGLIOLO MONFERRATO</v>
          </cell>
          <cell r="B1010" t="str">
            <v>006169</v>
          </cell>
          <cell r="C1010" t="str">
            <v>AL</v>
          </cell>
          <cell r="D1010" t="str">
            <v>AL</v>
          </cell>
          <cell r="E1010" t="str">
            <v>15070</v>
          </cell>
        </row>
        <row r="1011">
          <cell r="A1011" t="str">
            <v>TASSAROLO</v>
          </cell>
          <cell r="B1011" t="str">
            <v>006170</v>
          </cell>
          <cell r="C1011" t="str">
            <v>AL</v>
          </cell>
          <cell r="D1011" t="str">
            <v>AL</v>
          </cell>
          <cell r="E1011" t="str">
            <v>15060</v>
          </cell>
        </row>
        <row r="1012">
          <cell r="A1012" t="str">
            <v>TERRUGGIA</v>
          </cell>
          <cell r="B1012" t="str">
            <v>006171</v>
          </cell>
          <cell r="C1012" t="str">
            <v>AL</v>
          </cell>
          <cell r="D1012" t="str">
            <v>AL</v>
          </cell>
          <cell r="E1012" t="str">
            <v>15030</v>
          </cell>
        </row>
        <row r="1013">
          <cell r="A1013" t="str">
            <v>TERZO</v>
          </cell>
          <cell r="B1013" t="str">
            <v>006172</v>
          </cell>
          <cell r="C1013" t="str">
            <v>AL</v>
          </cell>
          <cell r="D1013" t="str">
            <v>AL</v>
          </cell>
          <cell r="E1013" t="str">
            <v>15010</v>
          </cell>
        </row>
        <row r="1014">
          <cell r="A1014" t="str">
            <v>TICINETO</v>
          </cell>
          <cell r="B1014" t="str">
            <v>006173</v>
          </cell>
          <cell r="C1014" t="str">
            <v>AL</v>
          </cell>
          <cell r="D1014" t="str">
            <v>AL</v>
          </cell>
          <cell r="E1014" t="str">
            <v>15040</v>
          </cell>
        </row>
        <row r="1015">
          <cell r="A1015" t="str">
            <v>TORTONA</v>
          </cell>
          <cell r="B1015" t="str">
            <v>006174</v>
          </cell>
          <cell r="C1015" t="str">
            <v>AL</v>
          </cell>
          <cell r="D1015" t="str">
            <v>AL</v>
          </cell>
          <cell r="E1015" t="str">
            <v>15057</v>
          </cell>
        </row>
        <row r="1016">
          <cell r="A1016" t="str">
            <v>TREVILLE</v>
          </cell>
          <cell r="B1016" t="str">
            <v>006175</v>
          </cell>
          <cell r="C1016" t="str">
            <v>AL</v>
          </cell>
          <cell r="D1016" t="str">
            <v>AL</v>
          </cell>
          <cell r="E1016" t="str">
            <v>15030</v>
          </cell>
        </row>
        <row r="1017">
          <cell r="A1017" t="str">
            <v>TRISOBBIO</v>
          </cell>
          <cell r="B1017" t="str">
            <v>006176</v>
          </cell>
          <cell r="C1017" t="str">
            <v>AL</v>
          </cell>
          <cell r="D1017" t="str">
            <v>AL</v>
          </cell>
          <cell r="E1017" t="str">
            <v>15070</v>
          </cell>
        </row>
        <row r="1018">
          <cell r="A1018" t="str">
            <v>VALENZA</v>
          </cell>
          <cell r="B1018" t="str">
            <v>006177</v>
          </cell>
          <cell r="C1018" t="str">
            <v>AL</v>
          </cell>
          <cell r="D1018" t="str">
            <v>AL</v>
          </cell>
          <cell r="E1018" t="str">
            <v>15048</v>
          </cell>
        </row>
        <row r="1019">
          <cell r="A1019" t="str">
            <v>VALMACCA</v>
          </cell>
          <cell r="B1019" t="str">
            <v>006178</v>
          </cell>
          <cell r="C1019" t="str">
            <v>AL</v>
          </cell>
          <cell r="D1019" t="str">
            <v>AL</v>
          </cell>
          <cell r="E1019" t="str">
            <v>15040</v>
          </cell>
        </row>
        <row r="1020">
          <cell r="A1020" t="str">
            <v>VIGNALE MONFERRATO</v>
          </cell>
          <cell r="B1020" t="str">
            <v>006179</v>
          </cell>
          <cell r="C1020" t="str">
            <v>AL</v>
          </cell>
          <cell r="D1020" t="str">
            <v>AL</v>
          </cell>
          <cell r="E1020" t="str">
            <v>15049</v>
          </cell>
        </row>
        <row r="1021">
          <cell r="A1021" t="str">
            <v>VIGNOLE BORBERA</v>
          </cell>
          <cell r="B1021" t="str">
            <v>006180</v>
          </cell>
          <cell r="C1021" t="str">
            <v>AL</v>
          </cell>
          <cell r="D1021" t="str">
            <v>AL</v>
          </cell>
          <cell r="E1021" t="str">
            <v>15060</v>
          </cell>
        </row>
        <row r="1022">
          <cell r="A1022" t="str">
            <v>VIGUZZOLO</v>
          </cell>
          <cell r="B1022" t="str">
            <v>006181</v>
          </cell>
          <cell r="C1022" t="str">
            <v>AL</v>
          </cell>
          <cell r="D1022" t="str">
            <v>AL</v>
          </cell>
          <cell r="E1022" t="str">
            <v>15058</v>
          </cell>
        </row>
        <row r="1023">
          <cell r="A1023" t="str">
            <v>VILLADEATI</v>
          </cell>
          <cell r="B1023" t="str">
            <v>006182</v>
          </cell>
          <cell r="C1023" t="str">
            <v>AL</v>
          </cell>
          <cell r="D1023" t="str">
            <v>AL</v>
          </cell>
          <cell r="E1023" t="str">
            <v>15020</v>
          </cell>
        </row>
        <row r="1024">
          <cell r="A1024" t="str">
            <v>VILLALVERNIA</v>
          </cell>
          <cell r="B1024" t="str">
            <v>006183</v>
          </cell>
          <cell r="C1024" t="str">
            <v>AL</v>
          </cell>
          <cell r="D1024" t="str">
            <v>AL</v>
          </cell>
          <cell r="E1024" t="str">
            <v>15050</v>
          </cell>
        </row>
        <row r="1025">
          <cell r="A1025" t="str">
            <v>VILLAMIROGLIO</v>
          </cell>
          <cell r="B1025" t="str">
            <v>006184</v>
          </cell>
          <cell r="C1025" t="str">
            <v>AL</v>
          </cell>
          <cell r="D1025" t="str">
            <v>AL</v>
          </cell>
          <cell r="E1025" t="str">
            <v>15020</v>
          </cell>
        </row>
        <row r="1026">
          <cell r="A1026" t="str">
            <v>VILLANOVA MONFERRATO</v>
          </cell>
          <cell r="B1026" t="str">
            <v>006185</v>
          </cell>
          <cell r="C1026" t="str">
            <v>AL</v>
          </cell>
          <cell r="D1026" t="str">
            <v>AL</v>
          </cell>
          <cell r="E1026" t="str">
            <v>15030</v>
          </cell>
        </row>
        <row r="1027">
          <cell r="A1027" t="str">
            <v>VILLAROMAGNANO</v>
          </cell>
          <cell r="B1027" t="str">
            <v>006186</v>
          </cell>
          <cell r="C1027" t="str">
            <v>AL</v>
          </cell>
          <cell r="D1027" t="str">
            <v>AL</v>
          </cell>
          <cell r="E1027" t="str">
            <v>15050</v>
          </cell>
        </row>
        <row r="1028">
          <cell r="A1028" t="str">
            <v>VISONE</v>
          </cell>
          <cell r="B1028" t="str">
            <v>006187</v>
          </cell>
          <cell r="C1028" t="str">
            <v>AL</v>
          </cell>
          <cell r="D1028" t="str">
            <v>AL</v>
          </cell>
          <cell r="E1028" t="str">
            <v>15010</v>
          </cell>
        </row>
        <row r="1029">
          <cell r="A1029" t="str">
            <v>VOLPEDO</v>
          </cell>
          <cell r="B1029" t="str">
            <v>006188</v>
          </cell>
          <cell r="C1029" t="str">
            <v>AL</v>
          </cell>
          <cell r="D1029" t="str">
            <v>AL</v>
          </cell>
          <cell r="E1029" t="str">
            <v>15059</v>
          </cell>
        </row>
        <row r="1030">
          <cell r="A1030" t="str">
            <v>VOLPEGLINO</v>
          </cell>
          <cell r="B1030" t="str">
            <v>006189</v>
          </cell>
          <cell r="C1030" t="str">
            <v>AL</v>
          </cell>
          <cell r="D1030" t="str">
            <v>AL</v>
          </cell>
          <cell r="E1030" t="str">
            <v>15050</v>
          </cell>
        </row>
        <row r="1031">
          <cell r="A1031" t="str">
            <v>VOLTAGGIO</v>
          </cell>
          <cell r="B1031" t="str">
            <v>006190</v>
          </cell>
          <cell r="C1031" t="str">
            <v>AL</v>
          </cell>
          <cell r="D1031" t="str">
            <v>AL</v>
          </cell>
          <cell r="E1031" t="str">
            <v>15060</v>
          </cell>
        </row>
        <row r="1032">
          <cell r="A1032" t="str">
            <v>CASSANO SPINOLA</v>
          </cell>
          <cell r="B1032" t="str">
            <v>006191</v>
          </cell>
          <cell r="C1032" t="str">
            <v>AL</v>
          </cell>
          <cell r="D1032" t="str">
            <v>AL</v>
          </cell>
          <cell r="E1032" t="str">
            <v>15063</v>
          </cell>
        </row>
        <row r="1033">
          <cell r="A1033" t="str">
            <v>ALLUVIONI PIOVERA</v>
          </cell>
          <cell r="B1033" t="str">
            <v>006192</v>
          </cell>
          <cell r="C1033" t="str">
            <v>AL</v>
          </cell>
          <cell r="D1033" t="e">
            <v>#N/A</v>
          </cell>
          <cell r="E1033" t="e">
            <v>#N/A</v>
          </cell>
        </row>
        <row r="1034">
          <cell r="A1034" t="str">
            <v>LU E CUCCARO MONFERRATO</v>
          </cell>
          <cell r="B1034" t="str">
            <v>006193</v>
          </cell>
          <cell r="C1034" t="str">
            <v>AL</v>
          </cell>
          <cell r="D1034" t="e">
            <v>#N/A</v>
          </cell>
          <cell r="E1034" t="e">
            <v>#N/A</v>
          </cell>
        </row>
        <row r="1035">
          <cell r="A1035" t="str">
            <v>ALLEIN</v>
          </cell>
          <cell r="B1035" t="str">
            <v>007001</v>
          </cell>
          <cell r="C1035" t="str">
            <v>AO</v>
          </cell>
          <cell r="D1035" t="str">
            <v>AO</v>
          </cell>
          <cell r="E1035" t="str">
            <v>11010</v>
          </cell>
        </row>
        <row r="1036">
          <cell r="A1036" t="str">
            <v>ANTEY-SAINT-ANDRÉ</v>
          </cell>
          <cell r="B1036" t="str">
            <v>007002</v>
          </cell>
          <cell r="C1036" t="str">
            <v>AO</v>
          </cell>
          <cell r="D1036" t="e">
            <v>#N/A</v>
          </cell>
          <cell r="E1036" t="e">
            <v>#N/A</v>
          </cell>
        </row>
        <row r="1037">
          <cell r="A1037" t="str">
            <v>AOSTA</v>
          </cell>
          <cell r="B1037" t="str">
            <v>007003</v>
          </cell>
          <cell r="C1037" t="str">
            <v>AO</v>
          </cell>
          <cell r="D1037" t="str">
            <v>AO</v>
          </cell>
          <cell r="E1037" t="str">
            <v>11100</v>
          </cell>
        </row>
        <row r="1038">
          <cell r="A1038" t="str">
            <v>ARNAD</v>
          </cell>
          <cell r="B1038" t="str">
            <v>007004</v>
          </cell>
          <cell r="C1038" t="str">
            <v>AO</v>
          </cell>
          <cell r="D1038" t="str">
            <v>AO</v>
          </cell>
          <cell r="E1038" t="str">
            <v>11020</v>
          </cell>
        </row>
        <row r="1039">
          <cell r="A1039" t="str">
            <v>ARVIER</v>
          </cell>
          <cell r="B1039" t="str">
            <v>007005</v>
          </cell>
          <cell r="C1039" t="str">
            <v>AO</v>
          </cell>
          <cell r="D1039" t="str">
            <v>AO</v>
          </cell>
          <cell r="E1039" t="str">
            <v>11011</v>
          </cell>
        </row>
        <row r="1040">
          <cell r="A1040" t="str">
            <v>AVISE</v>
          </cell>
          <cell r="B1040" t="str">
            <v>007006</v>
          </cell>
          <cell r="C1040" t="str">
            <v>AO</v>
          </cell>
          <cell r="D1040" t="str">
            <v>AO</v>
          </cell>
          <cell r="E1040" t="str">
            <v>11010</v>
          </cell>
        </row>
        <row r="1041">
          <cell r="A1041" t="str">
            <v>AYAS</v>
          </cell>
          <cell r="B1041" t="str">
            <v>007007</v>
          </cell>
          <cell r="C1041" t="str">
            <v>AO</v>
          </cell>
          <cell r="D1041" t="str">
            <v>AO</v>
          </cell>
          <cell r="E1041" t="str">
            <v>11020</v>
          </cell>
        </row>
        <row r="1042">
          <cell r="A1042" t="str">
            <v>AYMAVILLES</v>
          </cell>
          <cell r="B1042" t="str">
            <v>007008</v>
          </cell>
          <cell r="C1042" t="str">
            <v>AO</v>
          </cell>
          <cell r="D1042" t="str">
            <v>AO</v>
          </cell>
          <cell r="E1042" t="str">
            <v>11010</v>
          </cell>
        </row>
        <row r="1043">
          <cell r="A1043" t="str">
            <v>BARD</v>
          </cell>
          <cell r="B1043" t="str">
            <v>007009</v>
          </cell>
          <cell r="C1043" t="str">
            <v>AO</v>
          </cell>
          <cell r="D1043" t="str">
            <v>AO</v>
          </cell>
          <cell r="E1043" t="str">
            <v>11020</v>
          </cell>
        </row>
        <row r="1044">
          <cell r="A1044" t="str">
            <v>BIONAZ</v>
          </cell>
          <cell r="B1044" t="str">
            <v>007010</v>
          </cell>
          <cell r="C1044" t="str">
            <v>AO</v>
          </cell>
          <cell r="D1044" t="str">
            <v>AO</v>
          </cell>
          <cell r="E1044" t="str">
            <v>11010</v>
          </cell>
        </row>
        <row r="1045">
          <cell r="A1045" t="str">
            <v>BRISSOGNE</v>
          </cell>
          <cell r="B1045" t="str">
            <v>007011</v>
          </cell>
          <cell r="C1045" t="str">
            <v>AO</v>
          </cell>
          <cell r="D1045" t="str">
            <v>AO</v>
          </cell>
          <cell r="E1045" t="str">
            <v>11020</v>
          </cell>
        </row>
        <row r="1046">
          <cell r="A1046" t="str">
            <v>BRUSSON</v>
          </cell>
          <cell r="B1046" t="str">
            <v>007012</v>
          </cell>
          <cell r="C1046" t="str">
            <v>AO</v>
          </cell>
          <cell r="D1046" t="str">
            <v>AO</v>
          </cell>
          <cell r="E1046" t="str">
            <v>11022</v>
          </cell>
        </row>
        <row r="1047">
          <cell r="A1047" t="str">
            <v>CHALLAND-SAINT-ANSELME</v>
          </cell>
          <cell r="B1047" t="str">
            <v>007013</v>
          </cell>
          <cell r="C1047" t="str">
            <v>AO</v>
          </cell>
          <cell r="D1047" t="str">
            <v>AO</v>
          </cell>
          <cell r="E1047" t="str">
            <v>11020</v>
          </cell>
        </row>
        <row r="1048">
          <cell r="A1048" t="str">
            <v>CHALLAND-SAINT-VICTOR</v>
          </cell>
          <cell r="B1048" t="str">
            <v>007014</v>
          </cell>
          <cell r="C1048" t="str">
            <v>AO</v>
          </cell>
          <cell r="D1048" t="str">
            <v>AO</v>
          </cell>
          <cell r="E1048" t="str">
            <v>11020</v>
          </cell>
        </row>
        <row r="1049">
          <cell r="A1049" t="str">
            <v>CHAMBAVE</v>
          </cell>
          <cell r="B1049" t="str">
            <v>007015</v>
          </cell>
          <cell r="C1049" t="str">
            <v>AO</v>
          </cell>
          <cell r="D1049" t="str">
            <v>AO</v>
          </cell>
          <cell r="E1049" t="str">
            <v>11023</v>
          </cell>
        </row>
        <row r="1050">
          <cell r="A1050" t="str">
            <v>CHAMOIS</v>
          </cell>
          <cell r="B1050" t="str">
            <v>007016</v>
          </cell>
          <cell r="C1050" t="str">
            <v>AO</v>
          </cell>
          <cell r="D1050" t="str">
            <v>AO</v>
          </cell>
          <cell r="E1050" t="str">
            <v>11020</v>
          </cell>
        </row>
        <row r="1051">
          <cell r="A1051" t="str">
            <v>CHAMPDEPRAZ</v>
          </cell>
          <cell r="B1051" t="str">
            <v>007017</v>
          </cell>
          <cell r="C1051" t="str">
            <v>AO</v>
          </cell>
          <cell r="D1051" t="str">
            <v>AO</v>
          </cell>
          <cell r="E1051" t="str">
            <v>11020</v>
          </cell>
        </row>
        <row r="1052">
          <cell r="A1052" t="str">
            <v>CHAMPORCHER</v>
          </cell>
          <cell r="B1052" t="str">
            <v>007018</v>
          </cell>
          <cell r="C1052" t="str">
            <v>AO</v>
          </cell>
          <cell r="D1052" t="str">
            <v>AO</v>
          </cell>
          <cell r="E1052" t="str">
            <v>11020</v>
          </cell>
        </row>
        <row r="1053">
          <cell r="A1053" t="str">
            <v>CHARVENSOD</v>
          </cell>
          <cell r="B1053" t="str">
            <v>007019</v>
          </cell>
          <cell r="C1053" t="str">
            <v>AO</v>
          </cell>
          <cell r="D1053" t="str">
            <v>AO</v>
          </cell>
          <cell r="E1053" t="str">
            <v>11020</v>
          </cell>
        </row>
        <row r="1054">
          <cell r="A1054" t="str">
            <v>CHATILLON</v>
          </cell>
          <cell r="B1054" t="str">
            <v>007020</v>
          </cell>
          <cell r="C1054" t="str">
            <v>AO</v>
          </cell>
          <cell r="D1054" t="str">
            <v>AO</v>
          </cell>
          <cell r="E1054" t="str">
            <v>11024</v>
          </cell>
        </row>
        <row r="1055">
          <cell r="A1055" t="str">
            <v>COGNE</v>
          </cell>
          <cell r="B1055" t="str">
            <v>007021</v>
          </cell>
          <cell r="C1055" t="str">
            <v>AO</v>
          </cell>
          <cell r="D1055" t="str">
            <v>AO</v>
          </cell>
          <cell r="E1055" t="str">
            <v>11012</v>
          </cell>
        </row>
        <row r="1056">
          <cell r="A1056" t="str">
            <v>COURMAYEUR</v>
          </cell>
          <cell r="B1056" t="str">
            <v>007022</v>
          </cell>
          <cell r="C1056" t="str">
            <v>AO</v>
          </cell>
          <cell r="D1056" t="str">
            <v>AO</v>
          </cell>
          <cell r="E1056" t="str">
            <v>11013</v>
          </cell>
        </row>
        <row r="1057">
          <cell r="A1057" t="str">
            <v>DONNAS</v>
          </cell>
          <cell r="B1057" t="str">
            <v>007023</v>
          </cell>
          <cell r="C1057" t="str">
            <v>AO</v>
          </cell>
          <cell r="D1057" t="str">
            <v>AO</v>
          </cell>
          <cell r="E1057" t="str">
            <v>11020</v>
          </cell>
        </row>
        <row r="1058">
          <cell r="A1058" t="str">
            <v>DOUES</v>
          </cell>
          <cell r="B1058" t="str">
            <v>007024</v>
          </cell>
          <cell r="C1058" t="str">
            <v>AO</v>
          </cell>
          <cell r="D1058" t="str">
            <v>AO</v>
          </cell>
          <cell r="E1058" t="str">
            <v>11010</v>
          </cell>
        </row>
        <row r="1059">
          <cell r="A1059" t="str">
            <v>EMARÈSE</v>
          </cell>
          <cell r="B1059" t="str">
            <v>007025</v>
          </cell>
          <cell r="C1059" t="str">
            <v>AO</v>
          </cell>
          <cell r="D1059" t="str">
            <v>AO</v>
          </cell>
          <cell r="E1059" t="str">
            <v>11020</v>
          </cell>
        </row>
        <row r="1060">
          <cell r="A1060" t="str">
            <v>ETROUBLES</v>
          </cell>
          <cell r="B1060" t="str">
            <v>007026</v>
          </cell>
          <cell r="C1060" t="str">
            <v>AO</v>
          </cell>
          <cell r="D1060" t="str">
            <v>AO</v>
          </cell>
          <cell r="E1060" t="str">
            <v>11014</v>
          </cell>
        </row>
        <row r="1061">
          <cell r="A1061" t="str">
            <v>FÉNIS</v>
          </cell>
          <cell r="B1061" t="str">
            <v>007027</v>
          </cell>
          <cell r="C1061" t="str">
            <v>AO</v>
          </cell>
          <cell r="D1061" t="str">
            <v>AO</v>
          </cell>
          <cell r="E1061" t="str">
            <v>11020</v>
          </cell>
        </row>
        <row r="1062">
          <cell r="A1062" t="str">
            <v>FONTAINEMORE</v>
          </cell>
          <cell r="B1062" t="str">
            <v>007028</v>
          </cell>
          <cell r="C1062" t="str">
            <v>AO</v>
          </cell>
          <cell r="D1062" t="str">
            <v>AO</v>
          </cell>
          <cell r="E1062" t="str">
            <v>11020</v>
          </cell>
        </row>
        <row r="1063">
          <cell r="A1063" t="str">
            <v>GABY</v>
          </cell>
          <cell r="B1063" t="str">
            <v>007029</v>
          </cell>
          <cell r="C1063" t="str">
            <v>AO</v>
          </cell>
          <cell r="D1063" t="str">
            <v>AO</v>
          </cell>
          <cell r="E1063" t="str">
            <v>11020</v>
          </cell>
        </row>
        <row r="1064">
          <cell r="A1064" t="str">
            <v>GIGNOD</v>
          </cell>
          <cell r="B1064" t="str">
            <v>007030</v>
          </cell>
          <cell r="C1064" t="str">
            <v>AO</v>
          </cell>
          <cell r="D1064" t="str">
            <v>AO</v>
          </cell>
          <cell r="E1064" t="str">
            <v>11010</v>
          </cell>
        </row>
        <row r="1065">
          <cell r="A1065" t="str">
            <v>GRESSAN</v>
          </cell>
          <cell r="B1065" t="str">
            <v>007031</v>
          </cell>
          <cell r="C1065" t="str">
            <v>AO</v>
          </cell>
          <cell r="D1065" t="str">
            <v>AO</v>
          </cell>
          <cell r="E1065" t="str">
            <v>11020</v>
          </cell>
        </row>
        <row r="1066">
          <cell r="A1066" t="str">
            <v>GRESSONEY-LA-TRINITÉ</v>
          </cell>
          <cell r="B1066" t="str">
            <v>007032</v>
          </cell>
          <cell r="C1066" t="str">
            <v>AO</v>
          </cell>
          <cell r="D1066" t="e">
            <v>#N/A</v>
          </cell>
          <cell r="E1066" t="e">
            <v>#N/A</v>
          </cell>
        </row>
        <row r="1067">
          <cell r="A1067" t="str">
            <v>GRESSONEY-SAINT-JEAN</v>
          </cell>
          <cell r="B1067" t="str">
            <v>007033</v>
          </cell>
          <cell r="C1067" t="str">
            <v>AO</v>
          </cell>
          <cell r="D1067" t="str">
            <v>AO</v>
          </cell>
          <cell r="E1067" t="str">
            <v>11025</v>
          </cell>
        </row>
        <row r="1068">
          <cell r="A1068" t="str">
            <v>HÔNE</v>
          </cell>
          <cell r="B1068" t="str">
            <v>007034</v>
          </cell>
          <cell r="C1068" t="str">
            <v>AO</v>
          </cell>
          <cell r="D1068" t="e">
            <v>#N/A</v>
          </cell>
          <cell r="E1068" t="e">
            <v>#N/A</v>
          </cell>
        </row>
        <row r="1069">
          <cell r="A1069" t="str">
            <v>INTROD</v>
          </cell>
          <cell r="B1069" t="str">
            <v>007035</v>
          </cell>
          <cell r="C1069" t="str">
            <v>AO</v>
          </cell>
          <cell r="D1069" t="str">
            <v>AO</v>
          </cell>
          <cell r="E1069" t="str">
            <v>11010</v>
          </cell>
        </row>
        <row r="1070">
          <cell r="A1070" t="str">
            <v>ISSIME</v>
          </cell>
          <cell r="B1070" t="str">
            <v>007036</v>
          </cell>
          <cell r="C1070" t="str">
            <v>AO</v>
          </cell>
          <cell r="D1070" t="str">
            <v>AO</v>
          </cell>
          <cell r="E1070" t="str">
            <v>11020</v>
          </cell>
        </row>
        <row r="1071">
          <cell r="A1071" t="str">
            <v>ISSOGNE</v>
          </cell>
          <cell r="B1071" t="str">
            <v>007037</v>
          </cell>
          <cell r="C1071" t="str">
            <v>AO</v>
          </cell>
          <cell r="D1071" t="str">
            <v>AO</v>
          </cell>
          <cell r="E1071" t="str">
            <v>11020</v>
          </cell>
        </row>
        <row r="1072">
          <cell r="A1072" t="str">
            <v>JOVENÇAN</v>
          </cell>
          <cell r="B1072" t="str">
            <v>007038</v>
          </cell>
          <cell r="C1072" t="str">
            <v>AO</v>
          </cell>
          <cell r="D1072" t="e">
            <v>#N/A</v>
          </cell>
          <cell r="E1072" t="e">
            <v>#N/A</v>
          </cell>
        </row>
        <row r="1073">
          <cell r="A1073" t="str">
            <v>LA MAGDELEINE</v>
          </cell>
          <cell r="B1073" t="str">
            <v>007039</v>
          </cell>
          <cell r="C1073" t="str">
            <v>AO</v>
          </cell>
          <cell r="D1073" t="str">
            <v>AO</v>
          </cell>
          <cell r="E1073" t="str">
            <v>11020</v>
          </cell>
        </row>
        <row r="1074">
          <cell r="A1074" t="str">
            <v>LA SALLE</v>
          </cell>
          <cell r="B1074" t="str">
            <v>007040</v>
          </cell>
          <cell r="C1074" t="str">
            <v>AO</v>
          </cell>
          <cell r="D1074" t="str">
            <v>AO</v>
          </cell>
          <cell r="E1074" t="str">
            <v>11015</v>
          </cell>
        </row>
        <row r="1075">
          <cell r="A1075" t="str">
            <v>LA THUILE</v>
          </cell>
          <cell r="B1075" t="str">
            <v>007041</v>
          </cell>
          <cell r="C1075" t="str">
            <v>AO</v>
          </cell>
          <cell r="D1075" t="str">
            <v>AO</v>
          </cell>
          <cell r="E1075" t="str">
            <v>11016</v>
          </cell>
        </row>
        <row r="1076">
          <cell r="A1076" t="str">
            <v>LILLIANES</v>
          </cell>
          <cell r="B1076" t="str">
            <v>007042</v>
          </cell>
          <cell r="C1076" t="str">
            <v>AO</v>
          </cell>
          <cell r="D1076" t="str">
            <v>AO</v>
          </cell>
          <cell r="E1076" t="str">
            <v>11020</v>
          </cell>
        </row>
        <row r="1077">
          <cell r="A1077" t="str">
            <v>MONTJOVET</v>
          </cell>
          <cell r="B1077" t="str">
            <v>007043</v>
          </cell>
          <cell r="C1077" t="str">
            <v>AO</v>
          </cell>
          <cell r="D1077" t="str">
            <v>AO</v>
          </cell>
          <cell r="E1077" t="str">
            <v>11020</v>
          </cell>
        </row>
        <row r="1078">
          <cell r="A1078" t="str">
            <v>MORGEX</v>
          </cell>
          <cell r="B1078" t="str">
            <v>007044</v>
          </cell>
          <cell r="C1078" t="str">
            <v>AO</v>
          </cell>
          <cell r="D1078" t="str">
            <v>AO</v>
          </cell>
          <cell r="E1078" t="str">
            <v>11017</v>
          </cell>
        </row>
        <row r="1079">
          <cell r="A1079" t="str">
            <v>NUS</v>
          </cell>
          <cell r="B1079" t="str">
            <v>007045</v>
          </cell>
          <cell r="C1079" t="str">
            <v>AO</v>
          </cell>
          <cell r="D1079" t="str">
            <v>AO</v>
          </cell>
          <cell r="E1079" t="str">
            <v>11020</v>
          </cell>
        </row>
        <row r="1080">
          <cell r="A1080" t="str">
            <v>OLLOMONT</v>
          </cell>
          <cell r="B1080" t="str">
            <v>007046</v>
          </cell>
          <cell r="C1080" t="str">
            <v>AO</v>
          </cell>
          <cell r="D1080" t="str">
            <v>AO</v>
          </cell>
          <cell r="E1080" t="str">
            <v>11010</v>
          </cell>
        </row>
        <row r="1081">
          <cell r="A1081" t="str">
            <v>OYACE</v>
          </cell>
          <cell r="B1081" t="str">
            <v>007047</v>
          </cell>
          <cell r="C1081" t="str">
            <v>AO</v>
          </cell>
          <cell r="D1081" t="str">
            <v>AO</v>
          </cell>
          <cell r="E1081" t="str">
            <v>11010</v>
          </cell>
        </row>
        <row r="1082">
          <cell r="A1082" t="str">
            <v>PERLOZ</v>
          </cell>
          <cell r="B1082" t="str">
            <v>007048</v>
          </cell>
          <cell r="C1082" t="str">
            <v>AO</v>
          </cell>
          <cell r="D1082" t="str">
            <v>AO</v>
          </cell>
          <cell r="E1082" t="str">
            <v>11020</v>
          </cell>
        </row>
        <row r="1083">
          <cell r="A1083" t="str">
            <v>POLLEIN</v>
          </cell>
          <cell r="B1083" t="str">
            <v>007049</v>
          </cell>
          <cell r="C1083" t="str">
            <v>AO</v>
          </cell>
          <cell r="D1083" t="str">
            <v>AO</v>
          </cell>
          <cell r="E1083" t="str">
            <v>11020</v>
          </cell>
        </row>
        <row r="1084">
          <cell r="A1084" t="str">
            <v>PONTBOSET</v>
          </cell>
          <cell r="B1084" t="str">
            <v>007050</v>
          </cell>
          <cell r="C1084" t="str">
            <v>AO</v>
          </cell>
          <cell r="D1084" t="str">
            <v>AO</v>
          </cell>
          <cell r="E1084" t="str">
            <v>11020</v>
          </cell>
        </row>
        <row r="1085">
          <cell r="A1085" t="str">
            <v>PONTEY</v>
          </cell>
          <cell r="B1085" t="str">
            <v>007051</v>
          </cell>
          <cell r="C1085" t="str">
            <v>AO</v>
          </cell>
          <cell r="D1085" t="str">
            <v>AO</v>
          </cell>
          <cell r="E1085" t="str">
            <v>11024</v>
          </cell>
        </row>
        <row r="1086">
          <cell r="A1086" t="str">
            <v>PONT-SAINT-MARTIN</v>
          </cell>
          <cell r="B1086" t="str">
            <v>007052</v>
          </cell>
          <cell r="C1086" t="str">
            <v>AO</v>
          </cell>
          <cell r="D1086" t="str">
            <v>AO</v>
          </cell>
          <cell r="E1086" t="str">
            <v>11026</v>
          </cell>
        </row>
        <row r="1087">
          <cell r="A1087" t="str">
            <v>PRÉ-SAINT-DIDIER</v>
          </cell>
          <cell r="B1087" t="str">
            <v>007053</v>
          </cell>
          <cell r="C1087" t="str">
            <v>AO</v>
          </cell>
          <cell r="D1087" t="e">
            <v>#N/A</v>
          </cell>
          <cell r="E1087" t="e">
            <v>#N/A</v>
          </cell>
        </row>
        <row r="1088">
          <cell r="A1088" t="str">
            <v>QUART</v>
          </cell>
          <cell r="B1088" t="str">
            <v>007054</v>
          </cell>
          <cell r="C1088" t="str">
            <v>AO</v>
          </cell>
          <cell r="D1088" t="str">
            <v>AO</v>
          </cell>
          <cell r="E1088" t="str">
            <v>11020</v>
          </cell>
        </row>
        <row r="1089">
          <cell r="A1089" t="str">
            <v>RHEMES-NOTRE-DAME</v>
          </cell>
          <cell r="B1089" t="str">
            <v>007055</v>
          </cell>
          <cell r="C1089" t="str">
            <v>AO</v>
          </cell>
          <cell r="D1089" t="str">
            <v>AO</v>
          </cell>
          <cell r="E1089" t="str">
            <v>11010</v>
          </cell>
        </row>
        <row r="1090">
          <cell r="A1090" t="str">
            <v>RHEMES-SAINT-GEORGES</v>
          </cell>
          <cell r="B1090" t="str">
            <v>007056</v>
          </cell>
          <cell r="C1090" t="str">
            <v>AO</v>
          </cell>
          <cell r="D1090" t="str">
            <v>AO</v>
          </cell>
          <cell r="E1090" t="str">
            <v>11010</v>
          </cell>
        </row>
        <row r="1091">
          <cell r="A1091" t="str">
            <v>ROISAN</v>
          </cell>
          <cell r="B1091" t="str">
            <v>007057</v>
          </cell>
          <cell r="C1091" t="str">
            <v>AO</v>
          </cell>
          <cell r="D1091" t="str">
            <v>AO</v>
          </cell>
          <cell r="E1091" t="str">
            <v>11010</v>
          </cell>
        </row>
        <row r="1092">
          <cell r="A1092" t="str">
            <v>SAINT-CHRISTOPHE</v>
          </cell>
          <cell r="B1092" t="str">
            <v>007058</v>
          </cell>
          <cell r="C1092" t="str">
            <v>AO</v>
          </cell>
          <cell r="D1092" t="str">
            <v>AO</v>
          </cell>
          <cell r="E1092" t="str">
            <v>11020</v>
          </cell>
        </row>
        <row r="1093">
          <cell r="A1093" t="str">
            <v>SAINT-DENIS</v>
          </cell>
          <cell r="B1093" t="str">
            <v>007059</v>
          </cell>
          <cell r="C1093" t="str">
            <v>AO</v>
          </cell>
          <cell r="D1093" t="str">
            <v>AO</v>
          </cell>
          <cell r="E1093" t="str">
            <v>11023</v>
          </cell>
        </row>
        <row r="1094">
          <cell r="A1094" t="str">
            <v>SAINT-MARCEL</v>
          </cell>
          <cell r="B1094" t="str">
            <v>007060</v>
          </cell>
          <cell r="C1094" t="str">
            <v>AO</v>
          </cell>
          <cell r="D1094" t="str">
            <v>AO</v>
          </cell>
          <cell r="E1094" t="str">
            <v>11020</v>
          </cell>
        </row>
        <row r="1095">
          <cell r="A1095" t="str">
            <v>SAINT-NICOLAS</v>
          </cell>
          <cell r="B1095" t="str">
            <v>007061</v>
          </cell>
          <cell r="C1095" t="str">
            <v>AO</v>
          </cell>
          <cell r="D1095" t="str">
            <v>AO</v>
          </cell>
          <cell r="E1095" t="str">
            <v>11010</v>
          </cell>
        </row>
        <row r="1096">
          <cell r="A1096" t="str">
            <v>SAINT-OYEN</v>
          </cell>
          <cell r="B1096" t="str">
            <v>007062</v>
          </cell>
          <cell r="C1096" t="str">
            <v>AO</v>
          </cell>
          <cell r="D1096" t="str">
            <v>AO</v>
          </cell>
          <cell r="E1096" t="str">
            <v>11014</v>
          </cell>
        </row>
        <row r="1097">
          <cell r="A1097" t="str">
            <v>SAINT-PIERRE</v>
          </cell>
          <cell r="B1097" t="str">
            <v>007063</v>
          </cell>
          <cell r="C1097" t="str">
            <v>AO</v>
          </cell>
          <cell r="D1097" t="str">
            <v>AO</v>
          </cell>
          <cell r="E1097" t="str">
            <v>11010</v>
          </cell>
        </row>
        <row r="1098">
          <cell r="A1098" t="str">
            <v>SAINT-RHÉMY-EN-BOSSES</v>
          </cell>
          <cell r="B1098" t="str">
            <v>007064</v>
          </cell>
          <cell r="C1098" t="str">
            <v>AO</v>
          </cell>
          <cell r="D1098" t="str">
            <v>AO</v>
          </cell>
          <cell r="E1098" t="str">
            <v>11010</v>
          </cell>
        </row>
        <row r="1099">
          <cell r="A1099" t="str">
            <v>SAINT-VINCENT</v>
          </cell>
          <cell r="B1099" t="str">
            <v>007065</v>
          </cell>
          <cell r="C1099" t="str">
            <v>AO</v>
          </cell>
          <cell r="D1099" t="str">
            <v>AO</v>
          </cell>
          <cell r="E1099" t="str">
            <v>11027</v>
          </cell>
        </row>
        <row r="1100">
          <cell r="A1100" t="str">
            <v>SARRE</v>
          </cell>
          <cell r="B1100" t="str">
            <v>007066</v>
          </cell>
          <cell r="C1100" t="str">
            <v>AO</v>
          </cell>
          <cell r="D1100" t="str">
            <v>AO</v>
          </cell>
          <cell r="E1100" t="str">
            <v>11010</v>
          </cell>
        </row>
        <row r="1101">
          <cell r="A1101" t="str">
            <v>TORGNON</v>
          </cell>
          <cell r="B1101" t="str">
            <v>007067</v>
          </cell>
          <cell r="C1101" t="str">
            <v>AO</v>
          </cell>
          <cell r="D1101" t="str">
            <v>AO</v>
          </cell>
          <cell r="E1101" t="str">
            <v>11020</v>
          </cell>
        </row>
        <row r="1102">
          <cell r="A1102" t="str">
            <v>VALGRISENCHE</v>
          </cell>
          <cell r="B1102" t="str">
            <v>007068</v>
          </cell>
          <cell r="C1102" t="str">
            <v>AO</v>
          </cell>
          <cell r="D1102" t="str">
            <v>AO</v>
          </cell>
          <cell r="E1102" t="str">
            <v>11010</v>
          </cell>
        </row>
        <row r="1103">
          <cell r="A1103" t="str">
            <v>VALPELLINE</v>
          </cell>
          <cell r="B1103" t="str">
            <v>007069</v>
          </cell>
          <cell r="C1103" t="str">
            <v>AO</v>
          </cell>
          <cell r="D1103" t="str">
            <v>AO</v>
          </cell>
          <cell r="E1103" t="str">
            <v>11010</v>
          </cell>
        </row>
        <row r="1104">
          <cell r="A1104" t="str">
            <v>VALSAVARENCHE</v>
          </cell>
          <cell r="B1104" t="str">
            <v>007070</v>
          </cell>
          <cell r="C1104" t="str">
            <v>AO</v>
          </cell>
          <cell r="D1104" t="str">
            <v>AO</v>
          </cell>
          <cell r="E1104" t="str">
            <v>11010</v>
          </cell>
        </row>
        <row r="1105">
          <cell r="A1105" t="str">
            <v>VALTOURNENCHE</v>
          </cell>
          <cell r="B1105" t="str">
            <v>007071</v>
          </cell>
          <cell r="C1105" t="str">
            <v>AO</v>
          </cell>
          <cell r="D1105" t="str">
            <v>AO</v>
          </cell>
          <cell r="E1105" t="str">
            <v>11028</v>
          </cell>
        </row>
        <row r="1106">
          <cell r="A1106" t="str">
            <v>VERRAYES</v>
          </cell>
          <cell r="B1106" t="str">
            <v>007072</v>
          </cell>
          <cell r="C1106" t="str">
            <v>AO</v>
          </cell>
          <cell r="D1106" t="str">
            <v>AO</v>
          </cell>
          <cell r="E1106" t="str">
            <v>11020</v>
          </cell>
        </row>
        <row r="1107">
          <cell r="A1107" t="str">
            <v>VERRÈS</v>
          </cell>
          <cell r="B1107" t="str">
            <v>007073</v>
          </cell>
          <cell r="C1107" t="str">
            <v>AO</v>
          </cell>
          <cell r="D1107" t="str">
            <v>AO</v>
          </cell>
          <cell r="E1107" t="str">
            <v>11029</v>
          </cell>
        </row>
        <row r="1108">
          <cell r="A1108" t="str">
            <v>VILLENEUVE</v>
          </cell>
          <cell r="B1108" t="str">
            <v>007074</v>
          </cell>
          <cell r="C1108" t="str">
            <v>AO</v>
          </cell>
          <cell r="D1108" t="str">
            <v>AO</v>
          </cell>
          <cell r="E1108" t="str">
            <v>11018</v>
          </cell>
        </row>
        <row r="1109">
          <cell r="A1109" t="str">
            <v>AIROLE</v>
          </cell>
          <cell r="B1109" t="str">
            <v>008001</v>
          </cell>
          <cell r="C1109" t="str">
            <v>IM</v>
          </cell>
          <cell r="D1109" t="str">
            <v>IM</v>
          </cell>
          <cell r="E1109" t="str">
            <v>18030</v>
          </cell>
        </row>
        <row r="1110">
          <cell r="A1110" t="str">
            <v>APRICALE</v>
          </cell>
          <cell r="B1110" t="str">
            <v>008002</v>
          </cell>
          <cell r="C1110" t="str">
            <v>IM</v>
          </cell>
          <cell r="D1110" t="str">
            <v>IM</v>
          </cell>
          <cell r="E1110" t="str">
            <v>18035</v>
          </cell>
        </row>
        <row r="1111">
          <cell r="A1111" t="str">
            <v>AQUILA D'ARROSCIA</v>
          </cell>
          <cell r="B1111" t="str">
            <v>008003</v>
          </cell>
          <cell r="C1111" t="str">
            <v>IM</v>
          </cell>
          <cell r="D1111" t="str">
            <v>IM</v>
          </cell>
          <cell r="E1111" t="str">
            <v>18020</v>
          </cell>
        </row>
        <row r="1112">
          <cell r="A1112" t="str">
            <v>ARMO</v>
          </cell>
          <cell r="B1112" t="str">
            <v>008004</v>
          </cell>
          <cell r="C1112" t="str">
            <v>IM</v>
          </cell>
          <cell r="D1112" t="str">
            <v>IM</v>
          </cell>
          <cell r="E1112" t="str">
            <v>18026</v>
          </cell>
        </row>
        <row r="1113">
          <cell r="A1113" t="str">
            <v>AURIGO</v>
          </cell>
          <cell r="B1113" t="str">
            <v>008005</v>
          </cell>
          <cell r="C1113" t="str">
            <v>IM</v>
          </cell>
          <cell r="D1113" t="str">
            <v>IM</v>
          </cell>
          <cell r="E1113" t="str">
            <v>18020</v>
          </cell>
        </row>
        <row r="1114">
          <cell r="A1114" t="str">
            <v>BADALUCCO</v>
          </cell>
          <cell r="B1114" t="str">
            <v>008006</v>
          </cell>
          <cell r="C1114" t="str">
            <v>IM</v>
          </cell>
          <cell r="D1114" t="str">
            <v>IM</v>
          </cell>
          <cell r="E1114" t="str">
            <v>18010</v>
          </cell>
        </row>
        <row r="1115">
          <cell r="A1115" t="str">
            <v>BAJARDO</v>
          </cell>
          <cell r="B1115" t="str">
            <v>008007</v>
          </cell>
          <cell r="C1115" t="str">
            <v>IM</v>
          </cell>
          <cell r="D1115" t="str">
            <v>IM</v>
          </cell>
          <cell r="E1115" t="str">
            <v>18031</v>
          </cell>
        </row>
        <row r="1116">
          <cell r="A1116" t="str">
            <v>BORDIGHERA</v>
          </cell>
          <cell r="B1116" t="str">
            <v>008008</v>
          </cell>
          <cell r="C1116" t="str">
            <v>IM</v>
          </cell>
          <cell r="D1116" t="str">
            <v>IM</v>
          </cell>
          <cell r="E1116" t="str">
            <v>18012</v>
          </cell>
        </row>
        <row r="1117">
          <cell r="A1117" t="str">
            <v>BORGHETTO D'ARROSCIA</v>
          </cell>
          <cell r="B1117" t="str">
            <v>008009</v>
          </cell>
          <cell r="C1117" t="str">
            <v>IM</v>
          </cell>
          <cell r="D1117" t="str">
            <v>IM</v>
          </cell>
          <cell r="E1117" t="str">
            <v>18020</v>
          </cell>
        </row>
        <row r="1118">
          <cell r="A1118" t="str">
            <v>BORGOMARO</v>
          </cell>
          <cell r="B1118" t="str">
            <v>008010</v>
          </cell>
          <cell r="C1118" t="str">
            <v>IM</v>
          </cell>
          <cell r="D1118" t="str">
            <v>IM</v>
          </cell>
          <cell r="E1118" t="str">
            <v>18021</v>
          </cell>
        </row>
        <row r="1119">
          <cell r="A1119" t="str">
            <v>CAMPOROSSO</v>
          </cell>
          <cell r="B1119" t="str">
            <v>008011</v>
          </cell>
          <cell r="C1119" t="str">
            <v>IM</v>
          </cell>
          <cell r="D1119" t="str">
            <v>IM</v>
          </cell>
          <cell r="E1119" t="str">
            <v>18033</v>
          </cell>
        </row>
        <row r="1120">
          <cell r="A1120" t="str">
            <v>CARAVONICA</v>
          </cell>
          <cell r="B1120" t="str">
            <v>008012</v>
          </cell>
          <cell r="C1120" t="str">
            <v>IM</v>
          </cell>
          <cell r="D1120" t="str">
            <v>IM</v>
          </cell>
          <cell r="E1120" t="str">
            <v>18020</v>
          </cell>
        </row>
        <row r="1121">
          <cell r="A1121" t="str">
            <v>CASTELLARO</v>
          </cell>
          <cell r="B1121" t="str">
            <v>008014</v>
          </cell>
          <cell r="C1121" t="str">
            <v>IM</v>
          </cell>
          <cell r="D1121" t="str">
            <v>IM</v>
          </cell>
          <cell r="E1121" t="str">
            <v>18011</v>
          </cell>
        </row>
        <row r="1122">
          <cell r="A1122" t="str">
            <v>CASTEL VITTORIO</v>
          </cell>
          <cell r="B1122" t="str">
            <v>008015</v>
          </cell>
          <cell r="C1122" t="str">
            <v>IM</v>
          </cell>
          <cell r="D1122" t="str">
            <v>IM</v>
          </cell>
          <cell r="E1122" t="str">
            <v>18030</v>
          </cell>
        </row>
        <row r="1123">
          <cell r="A1123" t="str">
            <v>CERIANA</v>
          </cell>
          <cell r="B1123" t="str">
            <v>008016</v>
          </cell>
          <cell r="C1123" t="str">
            <v>IM</v>
          </cell>
          <cell r="D1123" t="str">
            <v>IM</v>
          </cell>
          <cell r="E1123" t="str">
            <v>18034</v>
          </cell>
        </row>
        <row r="1124">
          <cell r="A1124" t="str">
            <v>CERVO</v>
          </cell>
          <cell r="B1124" t="str">
            <v>008017</v>
          </cell>
          <cell r="C1124" t="str">
            <v>IM</v>
          </cell>
          <cell r="D1124" t="str">
            <v>IM</v>
          </cell>
          <cell r="E1124" t="str">
            <v>18010</v>
          </cell>
        </row>
        <row r="1125">
          <cell r="A1125" t="str">
            <v>CESIO</v>
          </cell>
          <cell r="B1125" t="str">
            <v>008018</v>
          </cell>
          <cell r="C1125" t="str">
            <v>IM</v>
          </cell>
          <cell r="D1125" t="str">
            <v>IM</v>
          </cell>
          <cell r="E1125" t="str">
            <v>18022</v>
          </cell>
        </row>
        <row r="1126">
          <cell r="A1126" t="str">
            <v>CHIUSANICO</v>
          </cell>
          <cell r="B1126" t="str">
            <v>008019</v>
          </cell>
          <cell r="C1126" t="str">
            <v>IM</v>
          </cell>
          <cell r="D1126" t="str">
            <v>IM</v>
          </cell>
          <cell r="E1126" t="str">
            <v>18027</v>
          </cell>
        </row>
        <row r="1127">
          <cell r="A1127" t="str">
            <v>CHIUSAVECCHIA</v>
          </cell>
          <cell r="B1127" t="str">
            <v>008020</v>
          </cell>
          <cell r="C1127" t="str">
            <v>IM</v>
          </cell>
          <cell r="D1127" t="str">
            <v>IM</v>
          </cell>
          <cell r="E1127" t="str">
            <v>18027</v>
          </cell>
        </row>
        <row r="1128">
          <cell r="A1128" t="str">
            <v>CIPRESSA</v>
          </cell>
          <cell r="B1128" t="str">
            <v>008021</v>
          </cell>
          <cell r="C1128" t="str">
            <v>IM</v>
          </cell>
          <cell r="D1128" t="str">
            <v>IM</v>
          </cell>
          <cell r="E1128" t="str">
            <v>18017</v>
          </cell>
        </row>
        <row r="1129">
          <cell r="A1129" t="str">
            <v>CIVEZZA</v>
          </cell>
          <cell r="B1129" t="str">
            <v>008022</v>
          </cell>
          <cell r="C1129" t="str">
            <v>IM</v>
          </cell>
          <cell r="D1129" t="str">
            <v>IM</v>
          </cell>
          <cell r="E1129" t="str">
            <v>18017</v>
          </cell>
        </row>
        <row r="1130">
          <cell r="A1130" t="str">
            <v>COSIO D'ARROSCIA</v>
          </cell>
          <cell r="B1130" t="str">
            <v>008023</v>
          </cell>
          <cell r="C1130" t="str">
            <v>IM</v>
          </cell>
          <cell r="D1130" t="str">
            <v>IM</v>
          </cell>
          <cell r="E1130" t="str">
            <v>18023</v>
          </cell>
        </row>
        <row r="1131">
          <cell r="A1131" t="str">
            <v>COSTARAINERA</v>
          </cell>
          <cell r="B1131" t="str">
            <v>008024</v>
          </cell>
          <cell r="C1131" t="str">
            <v>IM</v>
          </cell>
          <cell r="D1131" t="str">
            <v>IM</v>
          </cell>
          <cell r="E1131" t="str">
            <v>18017</v>
          </cell>
        </row>
        <row r="1132">
          <cell r="A1132" t="str">
            <v>DIANO ARENTINO</v>
          </cell>
          <cell r="B1132" t="str">
            <v>008025</v>
          </cell>
          <cell r="C1132" t="str">
            <v>IM</v>
          </cell>
          <cell r="D1132" t="str">
            <v>IM</v>
          </cell>
          <cell r="E1132" t="str">
            <v>18013</v>
          </cell>
        </row>
        <row r="1133">
          <cell r="A1133" t="str">
            <v>DIANO CASTELLO</v>
          </cell>
          <cell r="B1133" t="str">
            <v>008026</v>
          </cell>
          <cell r="C1133" t="str">
            <v>IM</v>
          </cell>
          <cell r="D1133" t="str">
            <v>IM</v>
          </cell>
          <cell r="E1133" t="str">
            <v>18013</v>
          </cell>
        </row>
        <row r="1134">
          <cell r="A1134" t="str">
            <v>DIANO MARINA</v>
          </cell>
          <cell r="B1134" t="str">
            <v>008027</v>
          </cell>
          <cell r="C1134" t="str">
            <v>IM</v>
          </cell>
          <cell r="D1134" t="str">
            <v>IM</v>
          </cell>
          <cell r="E1134" t="str">
            <v>18013</v>
          </cell>
        </row>
        <row r="1135">
          <cell r="A1135" t="str">
            <v>DIANO SAN PIETRO</v>
          </cell>
          <cell r="B1135" t="str">
            <v>008028</v>
          </cell>
          <cell r="C1135" t="str">
            <v>IM</v>
          </cell>
          <cell r="D1135" t="str">
            <v>IM</v>
          </cell>
          <cell r="E1135" t="str">
            <v>18013</v>
          </cell>
        </row>
        <row r="1136">
          <cell r="A1136" t="str">
            <v>DOLCEACQUA</v>
          </cell>
          <cell r="B1136" t="str">
            <v>008029</v>
          </cell>
          <cell r="C1136" t="str">
            <v>IM</v>
          </cell>
          <cell r="D1136" t="str">
            <v>IM</v>
          </cell>
          <cell r="E1136" t="str">
            <v>18035</v>
          </cell>
        </row>
        <row r="1137">
          <cell r="A1137" t="str">
            <v>DOLCEDO</v>
          </cell>
          <cell r="B1137" t="str">
            <v>008030</v>
          </cell>
          <cell r="C1137" t="str">
            <v>IM</v>
          </cell>
          <cell r="D1137" t="str">
            <v>IM</v>
          </cell>
          <cell r="E1137" t="str">
            <v>18020</v>
          </cell>
        </row>
        <row r="1138">
          <cell r="A1138" t="str">
            <v>IMPERIA</v>
          </cell>
          <cell r="B1138" t="str">
            <v>008031</v>
          </cell>
          <cell r="C1138" t="str">
            <v>IM</v>
          </cell>
          <cell r="D1138" t="str">
            <v>IM</v>
          </cell>
          <cell r="E1138" t="str">
            <v>18100</v>
          </cell>
        </row>
        <row r="1139">
          <cell r="A1139" t="str">
            <v>ISOLABONA</v>
          </cell>
          <cell r="B1139" t="str">
            <v>008032</v>
          </cell>
          <cell r="C1139" t="str">
            <v>IM</v>
          </cell>
          <cell r="D1139" t="str">
            <v>IM</v>
          </cell>
          <cell r="E1139" t="str">
            <v>18035</v>
          </cell>
        </row>
        <row r="1140">
          <cell r="A1140" t="str">
            <v>LUCINASCO</v>
          </cell>
          <cell r="B1140" t="str">
            <v>008033</v>
          </cell>
          <cell r="C1140" t="str">
            <v>IM</v>
          </cell>
          <cell r="D1140" t="str">
            <v>IM</v>
          </cell>
          <cell r="E1140" t="str">
            <v>18020</v>
          </cell>
        </row>
        <row r="1141">
          <cell r="A1141" t="str">
            <v>MENDATICA</v>
          </cell>
          <cell r="B1141" t="str">
            <v>008034</v>
          </cell>
          <cell r="C1141" t="str">
            <v>IM</v>
          </cell>
          <cell r="D1141" t="str">
            <v>IM</v>
          </cell>
          <cell r="E1141" t="str">
            <v>18025</v>
          </cell>
        </row>
        <row r="1142">
          <cell r="A1142" t="str">
            <v>MOLINI DI TRIORA</v>
          </cell>
          <cell r="B1142" t="str">
            <v>008035</v>
          </cell>
          <cell r="C1142" t="str">
            <v>IM</v>
          </cell>
          <cell r="D1142" t="str">
            <v>IM</v>
          </cell>
          <cell r="E1142" t="str">
            <v>18010</v>
          </cell>
        </row>
        <row r="1143">
          <cell r="A1143" t="str">
            <v>MONTEGROSSO PIAN LATTE</v>
          </cell>
          <cell r="B1143" t="str">
            <v>008037</v>
          </cell>
          <cell r="C1143" t="str">
            <v>IM</v>
          </cell>
          <cell r="D1143" t="str">
            <v>IM</v>
          </cell>
          <cell r="E1143" t="str">
            <v>18025</v>
          </cell>
        </row>
        <row r="1144">
          <cell r="A1144" t="str">
            <v>OLIVETTA SAN MICHELE</v>
          </cell>
          <cell r="B1144" t="str">
            <v>008038</v>
          </cell>
          <cell r="C1144" t="str">
            <v>IM</v>
          </cell>
          <cell r="D1144" t="str">
            <v>IM</v>
          </cell>
          <cell r="E1144" t="str">
            <v>18030</v>
          </cell>
        </row>
        <row r="1145">
          <cell r="A1145" t="str">
            <v>OSPEDALETTI</v>
          </cell>
          <cell r="B1145" t="str">
            <v>008039</v>
          </cell>
          <cell r="C1145" t="str">
            <v>IM</v>
          </cell>
          <cell r="D1145" t="str">
            <v>IM</v>
          </cell>
          <cell r="E1145" t="str">
            <v>18014</v>
          </cell>
        </row>
        <row r="1146">
          <cell r="A1146" t="str">
            <v>PERINALDO</v>
          </cell>
          <cell r="B1146" t="str">
            <v>008040</v>
          </cell>
          <cell r="C1146" t="str">
            <v>IM</v>
          </cell>
          <cell r="D1146" t="str">
            <v>IM</v>
          </cell>
          <cell r="E1146" t="str">
            <v>18032</v>
          </cell>
        </row>
        <row r="1147">
          <cell r="A1147" t="str">
            <v>PIETRABRUNA</v>
          </cell>
          <cell r="B1147" t="str">
            <v>008041</v>
          </cell>
          <cell r="C1147" t="str">
            <v>IM</v>
          </cell>
          <cell r="D1147" t="str">
            <v>IM</v>
          </cell>
          <cell r="E1147" t="str">
            <v>18010</v>
          </cell>
        </row>
        <row r="1148">
          <cell r="A1148" t="str">
            <v>PIEVE DI TECO</v>
          </cell>
          <cell r="B1148" t="str">
            <v>008042</v>
          </cell>
          <cell r="C1148" t="str">
            <v>IM</v>
          </cell>
          <cell r="D1148" t="str">
            <v>IM</v>
          </cell>
          <cell r="E1148" t="str">
            <v>18026</v>
          </cell>
        </row>
        <row r="1149">
          <cell r="A1149" t="str">
            <v>PIGNA</v>
          </cell>
          <cell r="B1149" t="str">
            <v>008043</v>
          </cell>
          <cell r="C1149" t="str">
            <v>IM</v>
          </cell>
          <cell r="D1149" t="str">
            <v>IM</v>
          </cell>
          <cell r="E1149" t="str">
            <v>18037</v>
          </cell>
        </row>
        <row r="1150">
          <cell r="A1150" t="str">
            <v>POMPEIANA</v>
          </cell>
          <cell r="B1150" t="str">
            <v>008044</v>
          </cell>
          <cell r="C1150" t="str">
            <v>IM</v>
          </cell>
          <cell r="D1150" t="str">
            <v>IM</v>
          </cell>
          <cell r="E1150" t="str">
            <v>18015</v>
          </cell>
        </row>
        <row r="1151">
          <cell r="A1151" t="str">
            <v>PONTEDASSIO</v>
          </cell>
          <cell r="B1151" t="str">
            <v>008045</v>
          </cell>
          <cell r="C1151" t="str">
            <v>IM</v>
          </cell>
          <cell r="D1151" t="str">
            <v>IM</v>
          </cell>
          <cell r="E1151" t="str">
            <v>18027</v>
          </cell>
        </row>
        <row r="1152">
          <cell r="A1152" t="str">
            <v>PORNASSIO</v>
          </cell>
          <cell r="B1152" t="str">
            <v>008046</v>
          </cell>
          <cell r="C1152" t="str">
            <v>IM</v>
          </cell>
          <cell r="D1152" t="str">
            <v>IM</v>
          </cell>
          <cell r="E1152" t="str">
            <v>18024</v>
          </cell>
        </row>
        <row r="1153">
          <cell r="A1153" t="str">
            <v>PRELÀ</v>
          </cell>
          <cell r="B1153" t="str">
            <v>008047</v>
          </cell>
          <cell r="C1153" t="str">
            <v>IM</v>
          </cell>
          <cell r="D1153" t="str">
            <v>IM</v>
          </cell>
          <cell r="E1153" t="str">
            <v>18020</v>
          </cell>
        </row>
        <row r="1154">
          <cell r="A1154" t="str">
            <v>RANZO</v>
          </cell>
          <cell r="B1154" t="str">
            <v>008048</v>
          </cell>
          <cell r="C1154" t="str">
            <v>IM</v>
          </cell>
          <cell r="D1154" t="str">
            <v>IM</v>
          </cell>
          <cell r="E1154" t="str">
            <v>18020</v>
          </cell>
        </row>
        <row r="1155">
          <cell r="A1155" t="str">
            <v>REZZO</v>
          </cell>
          <cell r="B1155" t="str">
            <v>008049</v>
          </cell>
          <cell r="C1155" t="str">
            <v>IM</v>
          </cell>
          <cell r="D1155" t="str">
            <v>IM</v>
          </cell>
          <cell r="E1155" t="str">
            <v>18026</v>
          </cell>
        </row>
        <row r="1156">
          <cell r="A1156" t="str">
            <v>RIVA LIGURE</v>
          </cell>
          <cell r="B1156" t="str">
            <v>008050</v>
          </cell>
          <cell r="C1156" t="str">
            <v>IM</v>
          </cell>
          <cell r="D1156" t="str">
            <v>IM</v>
          </cell>
          <cell r="E1156" t="str">
            <v>18015</v>
          </cell>
        </row>
        <row r="1157">
          <cell r="A1157" t="str">
            <v>ROCCHETTA NERVINA</v>
          </cell>
          <cell r="B1157" t="str">
            <v>008051</v>
          </cell>
          <cell r="C1157" t="str">
            <v>IM</v>
          </cell>
          <cell r="D1157" t="str">
            <v>IM</v>
          </cell>
          <cell r="E1157" t="str">
            <v>18030</v>
          </cell>
        </row>
        <row r="1158">
          <cell r="A1158" t="str">
            <v>SAN BARTOLOMEO AL MARE</v>
          </cell>
          <cell r="B1158" t="str">
            <v>008052</v>
          </cell>
          <cell r="C1158" t="str">
            <v>IM</v>
          </cell>
          <cell r="D1158" t="str">
            <v>IM</v>
          </cell>
          <cell r="E1158" t="str">
            <v>18016</v>
          </cell>
        </row>
        <row r="1159">
          <cell r="A1159" t="str">
            <v>SAN BIAGIO DELLA CIMA</v>
          </cell>
          <cell r="B1159" t="str">
            <v>008053</v>
          </cell>
          <cell r="C1159" t="str">
            <v>IM</v>
          </cell>
          <cell r="D1159" t="str">
            <v>IM</v>
          </cell>
          <cell r="E1159" t="str">
            <v>18036</v>
          </cell>
        </row>
        <row r="1160">
          <cell r="A1160" t="str">
            <v>SAN LORENZO AL MARE</v>
          </cell>
          <cell r="B1160" t="str">
            <v>008054</v>
          </cell>
          <cell r="C1160" t="str">
            <v>IM</v>
          </cell>
          <cell r="D1160" t="str">
            <v>IM</v>
          </cell>
          <cell r="E1160" t="str">
            <v>18017</v>
          </cell>
        </row>
        <row r="1161">
          <cell r="A1161" t="str">
            <v>SANREMO</v>
          </cell>
          <cell r="B1161" t="str">
            <v>008055</v>
          </cell>
          <cell r="C1161" t="str">
            <v>IM</v>
          </cell>
          <cell r="D1161" t="str">
            <v>IM</v>
          </cell>
          <cell r="E1161" t="str">
            <v>18038</v>
          </cell>
        </row>
        <row r="1162">
          <cell r="A1162" t="str">
            <v>SANTO STEFANO AL MARE</v>
          </cell>
          <cell r="B1162" t="str">
            <v>008056</v>
          </cell>
          <cell r="C1162" t="str">
            <v>IM</v>
          </cell>
          <cell r="D1162" t="str">
            <v>IM</v>
          </cell>
          <cell r="E1162" t="str">
            <v>18010</v>
          </cell>
        </row>
        <row r="1163">
          <cell r="A1163" t="str">
            <v>SEBORGA</v>
          </cell>
          <cell r="B1163" t="str">
            <v>008057</v>
          </cell>
          <cell r="C1163" t="str">
            <v>IM</v>
          </cell>
          <cell r="D1163" t="str">
            <v>IM</v>
          </cell>
          <cell r="E1163" t="str">
            <v>18012</v>
          </cell>
        </row>
        <row r="1164">
          <cell r="A1164" t="str">
            <v>SOLDANO</v>
          </cell>
          <cell r="B1164" t="str">
            <v>008058</v>
          </cell>
          <cell r="C1164" t="str">
            <v>IM</v>
          </cell>
          <cell r="D1164" t="str">
            <v>IM</v>
          </cell>
          <cell r="E1164" t="str">
            <v>18036</v>
          </cell>
        </row>
        <row r="1165">
          <cell r="A1165" t="str">
            <v>TAGGIA</v>
          </cell>
          <cell r="B1165" t="str">
            <v>008059</v>
          </cell>
          <cell r="C1165" t="str">
            <v>IM</v>
          </cell>
          <cell r="D1165" t="str">
            <v>IM</v>
          </cell>
          <cell r="E1165" t="str">
            <v>18018</v>
          </cell>
        </row>
        <row r="1166">
          <cell r="A1166" t="str">
            <v>TERZORIO</v>
          </cell>
          <cell r="B1166" t="str">
            <v>008060</v>
          </cell>
          <cell r="C1166" t="str">
            <v>IM</v>
          </cell>
          <cell r="D1166" t="str">
            <v>IM</v>
          </cell>
          <cell r="E1166" t="str">
            <v>18010</v>
          </cell>
        </row>
        <row r="1167">
          <cell r="A1167" t="str">
            <v>TRIORA</v>
          </cell>
          <cell r="B1167" t="str">
            <v>008061</v>
          </cell>
          <cell r="C1167" t="str">
            <v>IM</v>
          </cell>
          <cell r="D1167" t="str">
            <v>IM</v>
          </cell>
          <cell r="E1167" t="str">
            <v>18010</v>
          </cell>
        </row>
        <row r="1168">
          <cell r="A1168" t="str">
            <v>VALLEBONA</v>
          </cell>
          <cell r="B1168" t="str">
            <v>008062</v>
          </cell>
          <cell r="C1168" t="str">
            <v>IM</v>
          </cell>
          <cell r="D1168" t="str">
            <v>IM</v>
          </cell>
          <cell r="E1168" t="str">
            <v>18012</v>
          </cell>
        </row>
        <row r="1169">
          <cell r="A1169" t="str">
            <v>VALLECROSIA</v>
          </cell>
          <cell r="B1169" t="str">
            <v>008063</v>
          </cell>
          <cell r="C1169" t="str">
            <v>IM</v>
          </cell>
          <cell r="D1169" t="str">
            <v>IM</v>
          </cell>
          <cell r="E1169" t="str">
            <v>18019</v>
          </cell>
        </row>
        <row r="1170">
          <cell r="A1170" t="str">
            <v>VASIA</v>
          </cell>
          <cell r="B1170" t="str">
            <v>008064</v>
          </cell>
          <cell r="C1170" t="str">
            <v>IM</v>
          </cell>
          <cell r="D1170" t="str">
            <v>IM</v>
          </cell>
          <cell r="E1170" t="str">
            <v>18020</v>
          </cell>
        </row>
        <row r="1171">
          <cell r="A1171" t="str">
            <v>VENTIMIGLIA</v>
          </cell>
          <cell r="B1171" t="str">
            <v>008065</v>
          </cell>
          <cell r="C1171" t="str">
            <v>IM</v>
          </cell>
          <cell r="D1171" t="str">
            <v>IM</v>
          </cell>
          <cell r="E1171" t="str">
            <v>18039</v>
          </cell>
        </row>
        <row r="1172">
          <cell r="A1172" t="str">
            <v>VESSALICO</v>
          </cell>
          <cell r="B1172" t="str">
            <v>008066</v>
          </cell>
          <cell r="C1172" t="str">
            <v>IM</v>
          </cell>
          <cell r="D1172" t="str">
            <v>IM</v>
          </cell>
          <cell r="E1172" t="str">
            <v>18026</v>
          </cell>
        </row>
        <row r="1173">
          <cell r="A1173" t="str">
            <v>VILLA FARALDI</v>
          </cell>
          <cell r="B1173" t="str">
            <v>008067</v>
          </cell>
          <cell r="C1173" t="str">
            <v>IM</v>
          </cell>
          <cell r="D1173" t="str">
            <v>IM</v>
          </cell>
          <cell r="E1173" t="str">
            <v>18010</v>
          </cell>
        </row>
        <row r="1174">
          <cell r="A1174" t="str">
            <v>MONTALTO CARPASIO</v>
          </cell>
          <cell r="B1174" t="str">
            <v>008068</v>
          </cell>
          <cell r="C1174" t="str">
            <v>IM</v>
          </cell>
          <cell r="D1174" t="e">
            <v>#N/A</v>
          </cell>
          <cell r="E1174" t="e">
            <v>#N/A</v>
          </cell>
        </row>
        <row r="1175">
          <cell r="A1175" t="str">
            <v>ALASSIO</v>
          </cell>
          <cell r="B1175" t="str">
            <v>009001</v>
          </cell>
          <cell r="C1175" t="str">
            <v>SV</v>
          </cell>
          <cell r="D1175" t="str">
            <v>SV</v>
          </cell>
          <cell r="E1175" t="str">
            <v>17021</v>
          </cell>
        </row>
        <row r="1176">
          <cell r="A1176" t="str">
            <v>ALBENGA</v>
          </cell>
          <cell r="B1176" t="str">
            <v>009002</v>
          </cell>
          <cell r="C1176" t="str">
            <v>SV</v>
          </cell>
          <cell r="D1176" t="str">
            <v>SV</v>
          </cell>
          <cell r="E1176" t="str">
            <v>17031</v>
          </cell>
        </row>
        <row r="1177">
          <cell r="A1177" t="str">
            <v>ALBISSOLA MARINA</v>
          </cell>
          <cell r="B1177" t="str">
            <v>009003</v>
          </cell>
          <cell r="C1177" t="str">
            <v>SV</v>
          </cell>
          <cell r="D1177" t="str">
            <v>SV</v>
          </cell>
          <cell r="E1177" t="str">
            <v>17012</v>
          </cell>
        </row>
        <row r="1178">
          <cell r="A1178" t="str">
            <v>ALBISOLA SUPERIORE</v>
          </cell>
          <cell r="B1178" t="str">
            <v>009004</v>
          </cell>
          <cell r="C1178" t="str">
            <v>SV</v>
          </cell>
          <cell r="D1178" t="str">
            <v>SV</v>
          </cell>
          <cell r="E1178" t="str">
            <v>17011</v>
          </cell>
        </row>
        <row r="1179">
          <cell r="A1179" t="str">
            <v>ALTARE</v>
          </cell>
          <cell r="B1179" t="str">
            <v>009005</v>
          </cell>
          <cell r="C1179" t="str">
            <v>SV</v>
          </cell>
          <cell r="D1179" t="str">
            <v>SV</v>
          </cell>
          <cell r="E1179" t="str">
            <v>17041</v>
          </cell>
        </row>
        <row r="1180">
          <cell r="A1180" t="str">
            <v>ANDORA</v>
          </cell>
          <cell r="B1180" t="str">
            <v>009006</v>
          </cell>
          <cell r="C1180" t="str">
            <v>SV</v>
          </cell>
          <cell r="D1180" t="str">
            <v>SV</v>
          </cell>
          <cell r="E1180" t="str">
            <v>17051</v>
          </cell>
        </row>
        <row r="1181">
          <cell r="A1181" t="str">
            <v>ARNASCO</v>
          </cell>
          <cell r="B1181" t="str">
            <v>009007</v>
          </cell>
          <cell r="C1181" t="str">
            <v>SV</v>
          </cell>
          <cell r="D1181" t="str">
            <v>SV</v>
          </cell>
          <cell r="E1181" t="str">
            <v>17032</v>
          </cell>
        </row>
        <row r="1182">
          <cell r="A1182" t="str">
            <v>BALESTRINO</v>
          </cell>
          <cell r="B1182" t="str">
            <v>009008</v>
          </cell>
          <cell r="C1182" t="str">
            <v>SV</v>
          </cell>
          <cell r="D1182" t="str">
            <v>SV</v>
          </cell>
          <cell r="E1182" t="str">
            <v>17020</v>
          </cell>
        </row>
        <row r="1183">
          <cell r="A1183" t="str">
            <v>BARDINETO</v>
          </cell>
          <cell r="B1183" t="str">
            <v>009009</v>
          </cell>
          <cell r="C1183" t="str">
            <v>SV</v>
          </cell>
          <cell r="D1183" t="str">
            <v>SV</v>
          </cell>
          <cell r="E1183" t="str">
            <v>17057</v>
          </cell>
        </row>
        <row r="1184">
          <cell r="A1184" t="str">
            <v>BERGEGGI</v>
          </cell>
          <cell r="B1184" t="str">
            <v>009010</v>
          </cell>
          <cell r="C1184" t="str">
            <v>SV</v>
          </cell>
          <cell r="D1184" t="str">
            <v>SV</v>
          </cell>
          <cell r="E1184" t="str">
            <v>17028</v>
          </cell>
        </row>
        <row r="1185">
          <cell r="A1185" t="str">
            <v>BOISSANO</v>
          </cell>
          <cell r="B1185" t="str">
            <v>009011</v>
          </cell>
          <cell r="C1185" t="str">
            <v>SV</v>
          </cell>
          <cell r="D1185" t="str">
            <v>SV</v>
          </cell>
          <cell r="E1185" t="str">
            <v>17054</v>
          </cell>
        </row>
        <row r="1186">
          <cell r="A1186" t="str">
            <v>BORGHETTO SANTO SPIRITO</v>
          </cell>
          <cell r="B1186" t="str">
            <v>009012</v>
          </cell>
          <cell r="C1186" t="str">
            <v>SV</v>
          </cell>
          <cell r="D1186" t="str">
            <v>SV</v>
          </cell>
          <cell r="E1186" t="str">
            <v>17052</v>
          </cell>
        </row>
        <row r="1187">
          <cell r="A1187" t="str">
            <v>BORGIO VEREZZI</v>
          </cell>
          <cell r="B1187" t="str">
            <v>009013</v>
          </cell>
          <cell r="C1187" t="str">
            <v>SV</v>
          </cell>
          <cell r="D1187" t="str">
            <v>SV</v>
          </cell>
          <cell r="E1187" t="str">
            <v>17022</v>
          </cell>
        </row>
        <row r="1188">
          <cell r="A1188" t="str">
            <v>BORMIDA</v>
          </cell>
          <cell r="B1188" t="str">
            <v>009014</v>
          </cell>
          <cell r="C1188" t="str">
            <v>SV</v>
          </cell>
          <cell r="D1188" t="str">
            <v>SV</v>
          </cell>
          <cell r="E1188" t="str">
            <v>17045</v>
          </cell>
        </row>
        <row r="1189">
          <cell r="A1189" t="str">
            <v>CAIRO MONTENOTTE</v>
          </cell>
          <cell r="B1189" t="str">
            <v>009015</v>
          </cell>
          <cell r="C1189" t="str">
            <v>SV</v>
          </cell>
          <cell r="D1189" t="str">
            <v>SV</v>
          </cell>
          <cell r="E1189" t="str">
            <v>17014</v>
          </cell>
        </row>
        <row r="1190">
          <cell r="A1190" t="str">
            <v>CALICE LIGURE</v>
          </cell>
          <cell r="B1190" t="str">
            <v>009016</v>
          </cell>
          <cell r="C1190" t="str">
            <v>SV</v>
          </cell>
          <cell r="D1190" t="str">
            <v>SV</v>
          </cell>
          <cell r="E1190" t="str">
            <v>17020</v>
          </cell>
        </row>
        <row r="1191">
          <cell r="A1191" t="str">
            <v>CALIZZANO</v>
          </cell>
          <cell r="B1191" t="str">
            <v>009017</v>
          </cell>
          <cell r="C1191" t="str">
            <v>SV</v>
          </cell>
          <cell r="D1191" t="str">
            <v>SV</v>
          </cell>
          <cell r="E1191" t="str">
            <v>17057</v>
          </cell>
        </row>
        <row r="1192">
          <cell r="A1192" t="str">
            <v>CARCARE</v>
          </cell>
          <cell r="B1192" t="str">
            <v>009018</v>
          </cell>
          <cell r="C1192" t="str">
            <v>SV</v>
          </cell>
          <cell r="D1192" t="str">
            <v>SV</v>
          </cell>
          <cell r="E1192" t="str">
            <v>17043</v>
          </cell>
        </row>
        <row r="1193">
          <cell r="A1193" t="str">
            <v>CASANOVA LERRONE</v>
          </cell>
          <cell r="B1193" t="str">
            <v>009019</v>
          </cell>
          <cell r="C1193" t="str">
            <v>SV</v>
          </cell>
          <cell r="D1193" t="str">
            <v>SV</v>
          </cell>
          <cell r="E1193" t="str">
            <v>17033</v>
          </cell>
        </row>
        <row r="1194">
          <cell r="A1194" t="str">
            <v>CASTELBIANCO</v>
          </cell>
          <cell r="B1194" t="str">
            <v>009020</v>
          </cell>
          <cell r="C1194" t="str">
            <v>SV</v>
          </cell>
          <cell r="D1194" t="str">
            <v>SV</v>
          </cell>
          <cell r="E1194" t="str">
            <v>17030</v>
          </cell>
        </row>
        <row r="1195">
          <cell r="A1195" t="str">
            <v>CASTELVECCHIO DI ROCCA BARBENA</v>
          </cell>
          <cell r="B1195" t="str">
            <v>009021</v>
          </cell>
          <cell r="C1195" t="str">
            <v>SV</v>
          </cell>
          <cell r="D1195" t="str">
            <v>SV</v>
          </cell>
          <cell r="E1195" t="str">
            <v>17034</v>
          </cell>
        </row>
        <row r="1196">
          <cell r="A1196" t="str">
            <v>CELLE LIGURE</v>
          </cell>
          <cell r="B1196" t="str">
            <v>009022</v>
          </cell>
          <cell r="C1196" t="str">
            <v>SV</v>
          </cell>
          <cell r="D1196" t="str">
            <v>SV</v>
          </cell>
          <cell r="E1196" t="str">
            <v>17015</v>
          </cell>
        </row>
        <row r="1197">
          <cell r="A1197" t="str">
            <v>CENGIO</v>
          </cell>
          <cell r="B1197" t="str">
            <v>009023</v>
          </cell>
          <cell r="C1197" t="str">
            <v>SV</v>
          </cell>
          <cell r="D1197" t="str">
            <v>SV</v>
          </cell>
          <cell r="E1197" t="str">
            <v>17056</v>
          </cell>
        </row>
        <row r="1198">
          <cell r="A1198" t="str">
            <v>CERIALE</v>
          </cell>
          <cell r="B1198" t="str">
            <v>009024</v>
          </cell>
          <cell r="C1198" t="str">
            <v>SV</v>
          </cell>
          <cell r="D1198" t="str">
            <v>SV</v>
          </cell>
          <cell r="E1198" t="str">
            <v>17023</v>
          </cell>
        </row>
        <row r="1199">
          <cell r="A1199" t="str">
            <v>CISANO SUL NEVA</v>
          </cell>
          <cell r="B1199" t="str">
            <v>009025</v>
          </cell>
          <cell r="C1199" t="str">
            <v>SV</v>
          </cell>
          <cell r="D1199" t="str">
            <v>SV</v>
          </cell>
          <cell r="E1199" t="str">
            <v>17035</v>
          </cell>
        </row>
        <row r="1200">
          <cell r="A1200" t="str">
            <v>COSSERIA</v>
          </cell>
          <cell r="B1200" t="str">
            <v>009026</v>
          </cell>
          <cell r="C1200" t="str">
            <v>SV</v>
          </cell>
          <cell r="D1200" t="str">
            <v>SV</v>
          </cell>
          <cell r="E1200" t="str">
            <v>17017</v>
          </cell>
        </row>
        <row r="1201">
          <cell r="A1201" t="str">
            <v>DEGO</v>
          </cell>
          <cell r="B1201" t="str">
            <v>009027</v>
          </cell>
          <cell r="C1201" t="str">
            <v>SV</v>
          </cell>
          <cell r="D1201" t="str">
            <v>SV</v>
          </cell>
          <cell r="E1201" t="str">
            <v>17058</v>
          </cell>
        </row>
        <row r="1202">
          <cell r="A1202" t="str">
            <v>ERLI</v>
          </cell>
          <cell r="B1202" t="str">
            <v>009028</v>
          </cell>
          <cell r="C1202" t="str">
            <v>SV</v>
          </cell>
          <cell r="D1202" t="str">
            <v>SV</v>
          </cell>
          <cell r="E1202" t="str">
            <v>17030</v>
          </cell>
        </row>
        <row r="1203">
          <cell r="A1203" t="str">
            <v>FINALE LIGURE</v>
          </cell>
          <cell r="B1203" t="str">
            <v>009029</v>
          </cell>
          <cell r="C1203" t="str">
            <v>SV</v>
          </cell>
          <cell r="D1203" t="str">
            <v>SV</v>
          </cell>
          <cell r="E1203" t="str">
            <v>17024</v>
          </cell>
        </row>
        <row r="1204">
          <cell r="A1204" t="str">
            <v>GARLENDA</v>
          </cell>
          <cell r="B1204" t="str">
            <v>009030</v>
          </cell>
          <cell r="C1204" t="str">
            <v>SV</v>
          </cell>
          <cell r="D1204" t="str">
            <v>SV</v>
          </cell>
          <cell r="E1204" t="str">
            <v>17033</v>
          </cell>
        </row>
        <row r="1205">
          <cell r="A1205" t="str">
            <v>GIUSTENICE</v>
          </cell>
          <cell r="B1205" t="str">
            <v>009031</v>
          </cell>
          <cell r="C1205" t="str">
            <v>SV</v>
          </cell>
          <cell r="D1205" t="str">
            <v>SV</v>
          </cell>
          <cell r="E1205" t="str">
            <v>17027</v>
          </cell>
        </row>
        <row r="1206">
          <cell r="A1206" t="str">
            <v>GIUSVALLA</v>
          </cell>
          <cell r="B1206" t="str">
            <v>009032</v>
          </cell>
          <cell r="C1206" t="str">
            <v>SV</v>
          </cell>
          <cell r="D1206" t="str">
            <v>SV</v>
          </cell>
          <cell r="E1206" t="str">
            <v>17010</v>
          </cell>
        </row>
        <row r="1207">
          <cell r="A1207" t="str">
            <v>LAIGUEGLIA</v>
          </cell>
          <cell r="B1207" t="str">
            <v>009033</v>
          </cell>
          <cell r="C1207" t="str">
            <v>SV</v>
          </cell>
          <cell r="D1207" t="str">
            <v>SV</v>
          </cell>
          <cell r="E1207" t="str">
            <v>17053</v>
          </cell>
        </row>
        <row r="1208">
          <cell r="A1208" t="str">
            <v>LOANO</v>
          </cell>
          <cell r="B1208" t="str">
            <v>009034</v>
          </cell>
          <cell r="C1208" t="str">
            <v>SV</v>
          </cell>
          <cell r="D1208" t="str">
            <v>SV</v>
          </cell>
          <cell r="E1208" t="str">
            <v>17025</v>
          </cell>
        </row>
        <row r="1209">
          <cell r="A1209" t="str">
            <v>MAGLIOLO</v>
          </cell>
          <cell r="B1209" t="str">
            <v>009035</v>
          </cell>
          <cell r="C1209" t="str">
            <v>SV</v>
          </cell>
          <cell r="D1209" t="str">
            <v>SV</v>
          </cell>
          <cell r="E1209" t="str">
            <v>17020</v>
          </cell>
        </row>
        <row r="1210">
          <cell r="A1210" t="str">
            <v>MALLARE</v>
          </cell>
          <cell r="B1210" t="str">
            <v>009036</v>
          </cell>
          <cell r="C1210" t="str">
            <v>SV</v>
          </cell>
          <cell r="D1210" t="str">
            <v>SV</v>
          </cell>
          <cell r="E1210" t="str">
            <v>17045</v>
          </cell>
        </row>
        <row r="1211">
          <cell r="A1211" t="str">
            <v>MASSIMINO</v>
          </cell>
          <cell r="B1211" t="str">
            <v>009037</v>
          </cell>
          <cell r="C1211" t="str">
            <v>SV</v>
          </cell>
          <cell r="D1211" t="str">
            <v>SV</v>
          </cell>
          <cell r="E1211" t="str">
            <v>12071</v>
          </cell>
        </row>
        <row r="1212">
          <cell r="A1212" t="str">
            <v>MILLESIMO</v>
          </cell>
          <cell r="B1212" t="str">
            <v>009038</v>
          </cell>
          <cell r="C1212" t="str">
            <v>SV</v>
          </cell>
          <cell r="D1212" t="str">
            <v>SV</v>
          </cell>
          <cell r="E1212" t="str">
            <v>17017</v>
          </cell>
        </row>
        <row r="1213">
          <cell r="A1213" t="str">
            <v>MIOGLIA</v>
          </cell>
          <cell r="B1213" t="str">
            <v>009039</v>
          </cell>
          <cell r="C1213" t="str">
            <v>SV</v>
          </cell>
          <cell r="D1213" t="str">
            <v>SV</v>
          </cell>
          <cell r="E1213" t="str">
            <v>17040</v>
          </cell>
        </row>
        <row r="1214">
          <cell r="A1214" t="str">
            <v>MURIALDO</v>
          </cell>
          <cell r="B1214" t="str">
            <v>009040</v>
          </cell>
          <cell r="C1214" t="str">
            <v>SV</v>
          </cell>
          <cell r="D1214" t="str">
            <v>SV</v>
          </cell>
          <cell r="E1214" t="str">
            <v>17013</v>
          </cell>
        </row>
        <row r="1215">
          <cell r="A1215" t="str">
            <v>NASINO</v>
          </cell>
          <cell r="B1215" t="str">
            <v>009041</v>
          </cell>
          <cell r="C1215" t="str">
            <v>SV</v>
          </cell>
          <cell r="D1215" t="str">
            <v>SV</v>
          </cell>
          <cell r="E1215" t="str">
            <v>17030</v>
          </cell>
        </row>
        <row r="1216">
          <cell r="A1216" t="str">
            <v>NOLI</v>
          </cell>
          <cell r="B1216" t="str">
            <v>009042</v>
          </cell>
          <cell r="C1216" t="str">
            <v>SV</v>
          </cell>
          <cell r="D1216" t="str">
            <v>SV</v>
          </cell>
          <cell r="E1216" t="str">
            <v>17026</v>
          </cell>
        </row>
        <row r="1217">
          <cell r="A1217" t="str">
            <v>ONZO</v>
          </cell>
          <cell r="B1217" t="str">
            <v>009043</v>
          </cell>
          <cell r="C1217" t="str">
            <v>SV</v>
          </cell>
          <cell r="D1217" t="str">
            <v>SV</v>
          </cell>
          <cell r="E1217" t="str">
            <v>17037</v>
          </cell>
        </row>
        <row r="1218">
          <cell r="A1218" t="str">
            <v>ORCO FEGLINO</v>
          </cell>
          <cell r="B1218" t="str">
            <v>009044</v>
          </cell>
          <cell r="C1218" t="str">
            <v>SV</v>
          </cell>
          <cell r="D1218" t="str">
            <v>SV</v>
          </cell>
          <cell r="E1218" t="str">
            <v>17024</v>
          </cell>
        </row>
        <row r="1219">
          <cell r="A1219" t="str">
            <v>ORTOVERO</v>
          </cell>
          <cell r="B1219" t="str">
            <v>009045</v>
          </cell>
          <cell r="C1219" t="str">
            <v>SV</v>
          </cell>
          <cell r="D1219" t="str">
            <v>SV</v>
          </cell>
          <cell r="E1219" t="str">
            <v>17037</v>
          </cell>
        </row>
        <row r="1220">
          <cell r="A1220" t="str">
            <v>OSIGLIA</v>
          </cell>
          <cell r="B1220" t="str">
            <v>009046</v>
          </cell>
          <cell r="C1220" t="str">
            <v>SV</v>
          </cell>
          <cell r="D1220" t="str">
            <v>SV</v>
          </cell>
          <cell r="E1220" t="str">
            <v>17010</v>
          </cell>
        </row>
        <row r="1221">
          <cell r="A1221" t="str">
            <v>PALLARE</v>
          </cell>
          <cell r="B1221" t="str">
            <v>009047</v>
          </cell>
          <cell r="C1221" t="str">
            <v>SV</v>
          </cell>
          <cell r="D1221" t="str">
            <v>SV</v>
          </cell>
          <cell r="E1221" t="str">
            <v>17043</v>
          </cell>
        </row>
        <row r="1222">
          <cell r="A1222" t="str">
            <v>PIANA CRIXIA</v>
          </cell>
          <cell r="B1222" t="str">
            <v>009048</v>
          </cell>
          <cell r="C1222" t="str">
            <v>SV</v>
          </cell>
          <cell r="D1222" t="str">
            <v>SV</v>
          </cell>
          <cell r="E1222" t="str">
            <v>17058</v>
          </cell>
        </row>
        <row r="1223">
          <cell r="A1223" t="str">
            <v>PIETRA LIGURE</v>
          </cell>
          <cell r="B1223" t="str">
            <v>009049</v>
          </cell>
          <cell r="C1223" t="str">
            <v>SV</v>
          </cell>
          <cell r="D1223" t="str">
            <v>SV</v>
          </cell>
          <cell r="E1223" t="str">
            <v>17027</v>
          </cell>
        </row>
        <row r="1224">
          <cell r="A1224" t="str">
            <v>PLODIO</v>
          </cell>
          <cell r="B1224" t="str">
            <v>009050</v>
          </cell>
          <cell r="C1224" t="str">
            <v>SV</v>
          </cell>
          <cell r="D1224" t="str">
            <v>SV</v>
          </cell>
          <cell r="E1224" t="str">
            <v>17043</v>
          </cell>
        </row>
        <row r="1225">
          <cell r="A1225" t="str">
            <v>PONTINVREA</v>
          </cell>
          <cell r="B1225" t="str">
            <v>009051</v>
          </cell>
          <cell r="C1225" t="str">
            <v>SV</v>
          </cell>
          <cell r="D1225" t="str">
            <v>SV</v>
          </cell>
          <cell r="E1225" t="str">
            <v>17042</v>
          </cell>
        </row>
        <row r="1226">
          <cell r="A1226" t="str">
            <v>QUILIANO</v>
          </cell>
          <cell r="B1226" t="str">
            <v>009052</v>
          </cell>
          <cell r="C1226" t="str">
            <v>SV</v>
          </cell>
          <cell r="D1226" t="str">
            <v>SV</v>
          </cell>
          <cell r="E1226" t="str">
            <v>17047</v>
          </cell>
        </row>
        <row r="1227">
          <cell r="A1227" t="str">
            <v>RIALTO</v>
          </cell>
          <cell r="B1227" t="str">
            <v>009053</v>
          </cell>
          <cell r="C1227" t="str">
            <v>SV</v>
          </cell>
          <cell r="D1227" t="str">
            <v>SV</v>
          </cell>
          <cell r="E1227" t="str">
            <v>17020</v>
          </cell>
        </row>
        <row r="1228">
          <cell r="A1228" t="str">
            <v>ROCCAVIGNALE</v>
          </cell>
          <cell r="B1228" t="str">
            <v>009054</v>
          </cell>
          <cell r="C1228" t="str">
            <v>SV</v>
          </cell>
          <cell r="D1228" t="str">
            <v>SV</v>
          </cell>
          <cell r="E1228" t="str">
            <v>17017</v>
          </cell>
        </row>
        <row r="1229">
          <cell r="A1229" t="str">
            <v>SASSELLO</v>
          </cell>
          <cell r="B1229" t="str">
            <v>009055</v>
          </cell>
          <cell r="C1229" t="str">
            <v>SV</v>
          </cell>
          <cell r="D1229" t="str">
            <v>SV</v>
          </cell>
          <cell r="E1229" t="str">
            <v>17046</v>
          </cell>
        </row>
        <row r="1230">
          <cell r="A1230" t="str">
            <v>SAVONA</v>
          </cell>
          <cell r="B1230" t="str">
            <v>009056</v>
          </cell>
          <cell r="C1230" t="str">
            <v>SV</v>
          </cell>
          <cell r="D1230" t="str">
            <v>SV</v>
          </cell>
          <cell r="E1230" t="str">
            <v>17100</v>
          </cell>
        </row>
        <row r="1231">
          <cell r="A1231" t="str">
            <v>SPOTORNO</v>
          </cell>
          <cell r="B1231" t="str">
            <v>009057</v>
          </cell>
          <cell r="C1231" t="str">
            <v>SV</v>
          </cell>
          <cell r="D1231" t="str">
            <v>SV</v>
          </cell>
          <cell r="E1231" t="str">
            <v>17028</v>
          </cell>
        </row>
        <row r="1232">
          <cell r="A1232" t="str">
            <v>STELLA</v>
          </cell>
          <cell r="B1232" t="str">
            <v>009058</v>
          </cell>
          <cell r="C1232" t="str">
            <v>SV</v>
          </cell>
          <cell r="D1232" t="str">
            <v>SV</v>
          </cell>
          <cell r="E1232" t="str">
            <v>17044</v>
          </cell>
        </row>
        <row r="1233">
          <cell r="A1233" t="str">
            <v>STELLANELLO</v>
          </cell>
          <cell r="B1233" t="str">
            <v>009059</v>
          </cell>
          <cell r="C1233" t="str">
            <v>SV</v>
          </cell>
          <cell r="D1233" t="str">
            <v>SV</v>
          </cell>
          <cell r="E1233" t="str">
            <v>17020</v>
          </cell>
        </row>
        <row r="1234">
          <cell r="A1234" t="str">
            <v>TESTICO</v>
          </cell>
          <cell r="B1234" t="str">
            <v>009060</v>
          </cell>
          <cell r="C1234" t="str">
            <v>SV</v>
          </cell>
          <cell r="D1234" t="str">
            <v>SV</v>
          </cell>
          <cell r="E1234" t="str">
            <v>17020</v>
          </cell>
        </row>
        <row r="1235">
          <cell r="A1235" t="str">
            <v>TOIRANO</v>
          </cell>
          <cell r="B1235" t="str">
            <v>009061</v>
          </cell>
          <cell r="C1235" t="str">
            <v>SV</v>
          </cell>
          <cell r="D1235" t="str">
            <v>SV</v>
          </cell>
          <cell r="E1235" t="str">
            <v>17055</v>
          </cell>
        </row>
        <row r="1236">
          <cell r="A1236" t="str">
            <v>TOVO SAN GIACOMO</v>
          </cell>
          <cell r="B1236" t="str">
            <v>009062</v>
          </cell>
          <cell r="C1236" t="str">
            <v>SV</v>
          </cell>
          <cell r="D1236" t="str">
            <v>SV</v>
          </cell>
          <cell r="E1236" t="str">
            <v>17020</v>
          </cell>
        </row>
        <row r="1237">
          <cell r="A1237" t="str">
            <v>URBE</v>
          </cell>
          <cell r="B1237" t="str">
            <v>009063</v>
          </cell>
          <cell r="C1237" t="str">
            <v>SV</v>
          </cell>
          <cell r="D1237" t="str">
            <v>SV</v>
          </cell>
          <cell r="E1237" t="str">
            <v>17048</v>
          </cell>
        </row>
        <row r="1238">
          <cell r="A1238" t="str">
            <v>VADO LIGURE</v>
          </cell>
          <cell r="B1238" t="str">
            <v>009064</v>
          </cell>
          <cell r="C1238" t="str">
            <v>SV</v>
          </cell>
          <cell r="D1238" t="str">
            <v>SV</v>
          </cell>
          <cell r="E1238" t="str">
            <v>17047</v>
          </cell>
        </row>
        <row r="1239">
          <cell r="A1239" t="str">
            <v>VARAZZE</v>
          </cell>
          <cell r="B1239" t="str">
            <v>009065</v>
          </cell>
          <cell r="C1239" t="str">
            <v>SV</v>
          </cell>
          <cell r="D1239" t="str">
            <v>SV</v>
          </cell>
          <cell r="E1239" t="str">
            <v>17019</v>
          </cell>
        </row>
        <row r="1240">
          <cell r="A1240" t="str">
            <v>VENDONE</v>
          </cell>
          <cell r="B1240" t="str">
            <v>009066</v>
          </cell>
          <cell r="C1240" t="str">
            <v>SV</v>
          </cell>
          <cell r="D1240" t="str">
            <v>SV</v>
          </cell>
          <cell r="E1240" t="str">
            <v>17032</v>
          </cell>
        </row>
        <row r="1241">
          <cell r="A1241" t="str">
            <v>VEZZI PORTIO</v>
          </cell>
          <cell r="B1241" t="str">
            <v>009067</v>
          </cell>
          <cell r="C1241" t="str">
            <v>SV</v>
          </cell>
          <cell r="D1241" t="str">
            <v>SV</v>
          </cell>
          <cell r="E1241" t="str">
            <v>17028</v>
          </cell>
        </row>
        <row r="1242">
          <cell r="A1242" t="str">
            <v>VILLANOVA D'ALBENGA</v>
          </cell>
          <cell r="B1242" t="str">
            <v>009068</v>
          </cell>
          <cell r="C1242" t="str">
            <v>SV</v>
          </cell>
          <cell r="D1242" t="str">
            <v>SV</v>
          </cell>
          <cell r="E1242" t="str">
            <v>17038</v>
          </cell>
        </row>
        <row r="1243">
          <cell r="A1243" t="str">
            <v>ZUCCARELLO</v>
          </cell>
          <cell r="B1243" t="str">
            <v>009069</v>
          </cell>
          <cell r="C1243" t="str">
            <v>SV</v>
          </cell>
          <cell r="D1243" t="str">
            <v>SV</v>
          </cell>
          <cell r="E1243" t="str">
            <v>17039</v>
          </cell>
        </row>
        <row r="1244">
          <cell r="A1244" t="str">
            <v>ARENZANO</v>
          </cell>
          <cell r="B1244" t="str">
            <v>010001</v>
          </cell>
          <cell r="C1244" t="str">
            <v>GE</v>
          </cell>
          <cell r="D1244" t="str">
            <v>GE</v>
          </cell>
          <cell r="E1244" t="str">
            <v>16011</v>
          </cell>
        </row>
        <row r="1245">
          <cell r="A1245" t="str">
            <v>AVEGNO</v>
          </cell>
          <cell r="B1245" t="str">
            <v>010002</v>
          </cell>
          <cell r="C1245" t="str">
            <v>GE</v>
          </cell>
          <cell r="D1245" t="str">
            <v>GE</v>
          </cell>
          <cell r="E1245" t="str">
            <v>16030</v>
          </cell>
        </row>
        <row r="1246">
          <cell r="A1246" t="str">
            <v>BARGAGLI</v>
          </cell>
          <cell r="B1246" t="str">
            <v>010003</v>
          </cell>
          <cell r="C1246" t="str">
            <v>GE</v>
          </cell>
          <cell r="D1246" t="str">
            <v>GE</v>
          </cell>
          <cell r="E1246" t="str">
            <v>16021</v>
          </cell>
        </row>
        <row r="1247">
          <cell r="A1247" t="str">
            <v>BOGLIASCO</v>
          </cell>
          <cell r="B1247" t="str">
            <v>010004</v>
          </cell>
          <cell r="C1247" t="str">
            <v>GE</v>
          </cell>
          <cell r="D1247" t="str">
            <v>GE</v>
          </cell>
          <cell r="E1247" t="str">
            <v>16031</v>
          </cell>
        </row>
        <row r="1248">
          <cell r="A1248" t="str">
            <v>BORZONASCA</v>
          </cell>
          <cell r="B1248" t="str">
            <v>010005</v>
          </cell>
          <cell r="C1248" t="str">
            <v>GE</v>
          </cell>
          <cell r="D1248" t="str">
            <v>GE</v>
          </cell>
          <cell r="E1248" t="str">
            <v>16041</v>
          </cell>
        </row>
        <row r="1249">
          <cell r="A1249" t="str">
            <v>BUSALLA</v>
          </cell>
          <cell r="B1249" t="str">
            <v>010006</v>
          </cell>
          <cell r="C1249" t="str">
            <v>GE</v>
          </cell>
          <cell r="D1249" t="str">
            <v>GE</v>
          </cell>
          <cell r="E1249" t="str">
            <v>16012</v>
          </cell>
        </row>
        <row r="1250">
          <cell r="A1250" t="str">
            <v>CAMOGLI</v>
          </cell>
          <cell r="B1250" t="str">
            <v>010007</v>
          </cell>
          <cell r="C1250" t="str">
            <v>GE</v>
          </cell>
          <cell r="D1250" t="str">
            <v>GE</v>
          </cell>
          <cell r="E1250" t="str">
            <v>16032</v>
          </cell>
        </row>
        <row r="1251">
          <cell r="A1251" t="str">
            <v>CAMPO LIGURE</v>
          </cell>
          <cell r="B1251" t="str">
            <v>010008</v>
          </cell>
          <cell r="C1251" t="str">
            <v>GE</v>
          </cell>
          <cell r="D1251" t="str">
            <v>GE</v>
          </cell>
          <cell r="E1251" t="str">
            <v>16013</v>
          </cell>
        </row>
        <row r="1252">
          <cell r="A1252" t="str">
            <v>CAMPOMORONE</v>
          </cell>
          <cell r="B1252" t="str">
            <v>010009</v>
          </cell>
          <cell r="C1252" t="str">
            <v>GE</v>
          </cell>
          <cell r="D1252" t="str">
            <v>GE</v>
          </cell>
          <cell r="E1252" t="str">
            <v>16014</v>
          </cell>
        </row>
        <row r="1253">
          <cell r="A1253" t="str">
            <v>CARASCO</v>
          </cell>
          <cell r="B1253" t="str">
            <v>010010</v>
          </cell>
          <cell r="C1253" t="str">
            <v>GE</v>
          </cell>
          <cell r="D1253" t="str">
            <v>GE</v>
          </cell>
          <cell r="E1253" t="str">
            <v>16042</v>
          </cell>
        </row>
        <row r="1254">
          <cell r="A1254" t="str">
            <v>CASARZA LIGURE</v>
          </cell>
          <cell r="B1254" t="str">
            <v>010011</v>
          </cell>
          <cell r="C1254" t="str">
            <v>GE</v>
          </cell>
          <cell r="D1254" t="str">
            <v>GE</v>
          </cell>
          <cell r="E1254" t="str">
            <v>16030</v>
          </cell>
        </row>
        <row r="1255">
          <cell r="A1255" t="str">
            <v>CASELLA</v>
          </cell>
          <cell r="B1255" t="str">
            <v>010012</v>
          </cell>
          <cell r="C1255" t="str">
            <v>GE</v>
          </cell>
          <cell r="D1255" t="str">
            <v>GE</v>
          </cell>
          <cell r="E1255" t="str">
            <v>16015</v>
          </cell>
        </row>
        <row r="1256">
          <cell r="A1256" t="str">
            <v>CASTIGLIONE CHIAVARESE</v>
          </cell>
          <cell r="B1256" t="str">
            <v>010013</v>
          </cell>
          <cell r="C1256" t="str">
            <v>GE</v>
          </cell>
          <cell r="D1256" t="str">
            <v>GE</v>
          </cell>
          <cell r="E1256" t="str">
            <v>16030</v>
          </cell>
        </row>
        <row r="1257">
          <cell r="A1257" t="str">
            <v>CERANESI</v>
          </cell>
          <cell r="B1257" t="str">
            <v>010014</v>
          </cell>
          <cell r="C1257" t="str">
            <v>GE</v>
          </cell>
          <cell r="D1257" t="str">
            <v>GE</v>
          </cell>
          <cell r="E1257" t="str">
            <v>16014</v>
          </cell>
        </row>
        <row r="1258">
          <cell r="A1258" t="str">
            <v>CHIAVARI</v>
          </cell>
          <cell r="B1258" t="str">
            <v>010015</v>
          </cell>
          <cell r="C1258" t="str">
            <v>GE</v>
          </cell>
          <cell r="D1258" t="str">
            <v>GE</v>
          </cell>
          <cell r="E1258" t="str">
            <v>16043</v>
          </cell>
        </row>
        <row r="1259">
          <cell r="A1259" t="str">
            <v>CICAGNA</v>
          </cell>
          <cell r="B1259" t="str">
            <v>010016</v>
          </cell>
          <cell r="C1259" t="str">
            <v>GE</v>
          </cell>
          <cell r="D1259" t="str">
            <v>GE</v>
          </cell>
          <cell r="E1259" t="str">
            <v>16044</v>
          </cell>
        </row>
        <row r="1260">
          <cell r="A1260" t="str">
            <v>COGOLETO</v>
          </cell>
          <cell r="B1260" t="str">
            <v>010017</v>
          </cell>
          <cell r="C1260" t="str">
            <v>GE</v>
          </cell>
          <cell r="D1260" t="str">
            <v>GE</v>
          </cell>
          <cell r="E1260" t="str">
            <v>16016</v>
          </cell>
        </row>
        <row r="1261">
          <cell r="A1261" t="str">
            <v>COGORNO</v>
          </cell>
          <cell r="B1261" t="str">
            <v>010018</v>
          </cell>
          <cell r="C1261" t="str">
            <v>GE</v>
          </cell>
          <cell r="D1261" t="str">
            <v>GE</v>
          </cell>
          <cell r="E1261" t="str">
            <v>16030</v>
          </cell>
        </row>
        <row r="1262">
          <cell r="A1262" t="str">
            <v>COREGLIA LIGURE</v>
          </cell>
          <cell r="B1262" t="str">
            <v>010019</v>
          </cell>
          <cell r="C1262" t="str">
            <v>GE</v>
          </cell>
          <cell r="D1262" t="str">
            <v>GE</v>
          </cell>
          <cell r="E1262" t="str">
            <v>16040</v>
          </cell>
        </row>
        <row r="1263">
          <cell r="A1263" t="str">
            <v>CROCEFIESCHI</v>
          </cell>
          <cell r="B1263" t="str">
            <v>010020</v>
          </cell>
          <cell r="C1263" t="str">
            <v>GE</v>
          </cell>
          <cell r="D1263" t="str">
            <v>GE</v>
          </cell>
          <cell r="E1263" t="str">
            <v>16010</v>
          </cell>
        </row>
        <row r="1264">
          <cell r="A1264" t="str">
            <v>DAVAGNA</v>
          </cell>
          <cell r="B1264" t="str">
            <v>010021</v>
          </cell>
          <cell r="C1264" t="str">
            <v>GE</v>
          </cell>
          <cell r="D1264" t="str">
            <v>GE</v>
          </cell>
          <cell r="E1264" t="str">
            <v>16022</v>
          </cell>
        </row>
        <row r="1265">
          <cell r="A1265" t="str">
            <v>FASCIA</v>
          </cell>
          <cell r="B1265" t="str">
            <v>010022</v>
          </cell>
          <cell r="C1265" t="str">
            <v>GE</v>
          </cell>
          <cell r="D1265" t="str">
            <v>GE</v>
          </cell>
          <cell r="E1265" t="str">
            <v>16020</v>
          </cell>
        </row>
        <row r="1266">
          <cell r="A1266" t="str">
            <v>FAVALE DI MALVARO</v>
          </cell>
          <cell r="B1266" t="str">
            <v>010023</v>
          </cell>
          <cell r="C1266" t="str">
            <v>GE</v>
          </cell>
          <cell r="D1266" t="str">
            <v>GE</v>
          </cell>
          <cell r="E1266" t="str">
            <v>16040</v>
          </cell>
        </row>
        <row r="1267">
          <cell r="A1267" t="str">
            <v>FONTANIGORDA</v>
          </cell>
          <cell r="B1267" t="str">
            <v>010024</v>
          </cell>
          <cell r="C1267" t="str">
            <v>GE</v>
          </cell>
          <cell r="D1267" t="str">
            <v>GE</v>
          </cell>
          <cell r="E1267" t="str">
            <v>16023</v>
          </cell>
        </row>
        <row r="1268">
          <cell r="A1268" t="str">
            <v>GENOVA</v>
          </cell>
          <cell r="B1268" t="str">
            <v>010025</v>
          </cell>
          <cell r="C1268" t="str">
            <v>GE</v>
          </cell>
          <cell r="D1268" t="str">
            <v>GE</v>
          </cell>
          <cell r="E1268" t="str">
            <v>161xx</v>
          </cell>
        </row>
        <row r="1269">
          <cell r="A1269" t="str">
            <v>GORRETO</v>
          </cell>
          <cell r="B1269" t="str">
            <v>010026</v>
          </cell>
          <cell r="C1269" t="str">
            <v>GE</v>
          </cell>
          <cell r="D1269" t="str">
            <v>GE</v>
          </cell>
          <cell r="E1269" t="str">
            <v>16020</v>
          </cell>
        </row>
        <row r="1270">
          <cell r="A1270" t="str">
            <v>ISOLA DEL CANTONE</v>
          </cell>
          <cell r="B1270" t="str">
            <v>010027</v>
          </cell>
          <cell r="C1270" t="str">
            <v>GE</v>
          </cell>
          <cell r="D1270" t="str">
            <v>GE</v>
          </cell>
          <cell r="E1270" t="str">
            <v>16017</v>
          </cell>
        </row>
        <row r="1271">
          <cell r="A1271" t="str">
            <v>LAVAGNA</v>
          </cell>
          <cell r="B1271" t="str">
            <v>010028</v>
          </cell>
          <cell r="C1271" t="str">
            <v>GE</v>
          </cell>
          <cell r="D1271" t="str">
            <v>GE</v>
          </cell>
          <cell r="E1271" t="str">
            <v>16033</v>
          </cell>
        </row>
        <row r="1272">
          <cell r="A1272" t="str">
            <v>LEIVI</v>
          </cell>
          <cell r="B1272" t="str">
            <v>010029</v>
          </cell>
          <cell r="C1272" t="str">
            <v>GE</v>
          </cell>
          <cell r="D1272" t="str">
            <v>GE</v>
          </cell>
          <cell r="E1272" t="str">
            <v>16040</v>
          </cell>
        </row>
        <row r="1273">
          <cell r="A1273" t="str">
            <v>LORSICA</v>
          </cell>
          <cell r="B1273" t="str">
            <v>010030</v>
          </cell>
          <cell r="C1273" t="str">
            <v>GE</v>
          </cell>
          <cell r="D1273" t="str">
            <v>GE</v>
          </cell>
          <cell r="E1273" t="str">
            <v>16045</v>
          </cell>
        </row>
        <row r="1274">
          <cell r="A1274" t="str">
            <v>LUMARZO</v>
          </cell>
          <cell r="B1274" t="str">
            <v>010031</v>
          </cell>
          <cell r="C1274" t="str">
            <v>GE</v>
          </cell>
          <cell r="D1274" t="str">
            <v>GE</v>
          </cell>
          <cell r="E1274" t="str">
            <v>16024</v>
          </cell>
        </row>
        <row r="1275">
          <cell r="A1275" t="str">
            <v>MASONE</v>
          </cell>
          <cell r="B1275" t="str">
            <v>010032</v>
          </cell>
          <cell r="C1275" t="str">
            <v>GE</v>
          </cell>
          <cell r="D1275" t="str">
            <v>GE</v>
          </cell>
          <cell r="E1275" t="str">
            <v>16010</v>
          </cell>
        </row>
        <row r="1276">
          <cell r="A1276" t="str">
            <v>MELE</v>
          </cell>
          <cell r="B1276" t="str">
            <v>010033</v>
          </cell>
          <cell r="C1276" t="str">
            <v>GE</v>
          </cell>
          <cell r="D1276" t="str">
            <v>GE</v>
          </cell>
          <cell r="E1276" t="str">
            <v>16010</v>
          </cell>
        </row>
        <row r="1277">
          <cell r="A1277" t="str">
            <v>MEZZANEGO</v>
          </cell>
          <cell r="B1277" t="str">
            <v>010034</v>
          </cell>
          <cell r="C1277" t="str">
            <v>GE</v>
          </cell>
          <cell r="D1277" t="str">
            <v>GE</v>
          </cell>
          <cell r="E1277" t="str">
            <v>16046</v>
          </cell>
        </row>
        <row r="1278">
          <cell r="A1278" t="str">
            <v>MIGNANEGO</v>
          </cell>
          <cell r="B1278" t="str">
            <v>010035</v>
          </cell>
          <cell r="C1278" t="str">
            <v>GE</v>
          </cell>
          <cell r="D1278" t="str">
            <v>GE</v>
          </cell>
          <cell r="E1278" t="str">
            <v>16018</v>
          </cell>
        </row>
        <row r="1279">
          <cell r="A1279" t="str">
            <v>MOCONESI</v>
          </cell>
          <cell r="B1279" t="str">
            <v>010036</v>
          </cell>
          <cell r="C1279" t="str">
            <v>GE</v>
          </cell>
          <cell r="D1279" t="str">
            <v>GE</v>
          </cell>
          <cell r="E1279" t="str">
            <v>16047</v>
          </cell>
        </row>
        <row r="1280">
          <cell r="A1280" t="str">
            <v>MONEGLIA</v>
          </cell>
          <cell r="B1280" t="str">
            <v>010037</v>
          </cell>
          <cell r="C1280" t="str">
            <v>GE</v>
          </cell>
          <cell r="D1280" t="str">
            <v>GE</v>
          </cell>
          <cell r="E1280" t="str">
            <v>16030</v>
          </cell>
        </row>
        <row r="1281">
          <cell r="A1281" t="str">
            <v>MONTEBRUNO</v>
          </cell>
          <cell r="B1281" t="str">
            <v>010038</v>
          </cell>
          <cell r="C1281" t="str">
            <v>GE</v>
          </cell>
          <cell r="D1281" t="str">
            <v>GE</v>
          </cell>
          <cell r="E1281" t="str">
            <v>16025</v>
          </cell>
        </row>
        <row r="1282">
          <cell r="A1282" t="str">
            <v>MONTOGGIO</v>
          </cell>
          <cell r="B1282" t="str">
            <v>010039</v>
          </cell>
          <cell r="C1282" t="str">
            <v>GE</v>
          </cell>
          <cell r="D1282" t="str">
            <v>GE</v>
          </cell>
          <cell r="E1282" t="str">
            <v>16026</v>
          </cell>
        </row>
        <row r="1283">
          <cell r="A1283" t="str">
            <v>NE</v>
          </cell>
          <cell r="B1283" t="str">
            <v>010040</v>
          </cell>
          <cell r="C1283" t="str">
            <v>GE</v>
          </cell>
          <cell r="D1283" t="str">
            <v>GE</v>
          </cell>
          <cell r="E1283" t="str">
            <v>16040</v>
          </cell>
        </row>
        <row r="1284">
          <cell r="A1284" t="str">
            <v>NEIRONE</v>
          </cell>
          <cell r="B1284" t="str">
            <v>010041</v>
          </cell>
          <cell r="C1284" t="str">
            <v>GE</v>
          </cell>
          <cell r="D1284" t="str">
            <v>GE</v>
          </cell>
          <cell r="E1284" t="str">
            <v>16040</v>
          </cell>
        </row>
        <row r="1285">
          <cell r="A1285" t="str">
            <v>ORERO</v>
          </cell>
          <cell r="B1285" t="str">
            <v>010042</v>
          </cell>
          <cell r="C1285" t="str">
            <v>GE</v>
          </cell>
          <cell r="D1285" t="str">
            <v>GE</v>
          </cell>
          <cell r="E1285" t="str">
            <v>16040</v>
          </cell>
        </row>
        <row r="1286">
          <cell r="A1286" t="str">
            <v>PIEVE LIGURE</v>
          </cell>
          <cell r="B1286" t="str">
            <v>010043</v>
          </cell>
          <cell r="C1286" t="str">
            <v>GE</v>
          </cell>
          <cell r="D1286" t="str">
            <v>GE</v>
          </cell>
          <cell r="E1286" t="str">
            <v>16030</v>
          </cell>
        </row>
        <row r="1287">
          <cell r="A1287" t="str">
            <v>PORTOFINO</v>
          </cell>
          <cell r="B1287" t="str">
            <v>010044</v>
          </cell>
          <cell r="C1287" t="str">
            <v>GE</v>
          </cell>
          <cell r="D1287" t="str">
            <v>GE</v>
          </cell>
          <cell r="E1287" t="str">
            <v>16034</v>
          </cell>
        </row>
        <row r="1288">
          <cell r="A1288" t="str">
            <v>PROPATA</v>
          </cell>
          <cell r="B1288" t="str">
            <v>010045</v>
          </cell>
          <cell r="C1288" t="str">
            <v>GE</v>
          </cell>
          <cell r="D1288" t="str">
            <v>GE</v>
          </cell>
          <cell r="E1288" t="str">
            <v>16027</v>
          </cell>
        </row>
        <row r="1289">
          <cell r="A1289" t="str">
            <v>RAPALLO</v>
          </cell>
          <cell r="B1289" t="str">
            <v>010046</v>
          </cell>
          <cell r="C1289" t="str">
            <v>GE</v>
          </cell>
          <cell r="D1289" t="str">
            <v>GE</v>
          </cell>
          <cell r="E1289" t="str">
            <v>16035</v>
          </cell>
        </row>
        <row r="1290">
          <cell r="A1290" t="str">
            <v>RECCO</v>
          </cell>
          <cell r="B1290" t="str">
            <v>010047</v>
          </cell>
          <cell r="C1290" t="str">
            <v>GE</v>
          </cell>
          <cell r="D1290" t="str">
            <v>GE</v>
          </cell>
          <cell r="E1290" t="str">
            <v>16036</v>
          </cell>
        </row>
        <row r="1291">
          <cell r="A1291" t="str">
            <v>REZZOAGLIO</v>
          </cell>
          <cell r="B1291" t="str">
            <v>010048</v>
          </cell>
          <cell r="C1291" t="str">
            <v>GE</v>
          </cell>
          <cell r="D1291" t="str">
            <v>GE</v>
          </cell>
          <cell r="E1291" t="str">
            <v>16048</v>
          </cell>
        </row>
        <row r="1292">
          <cell r="A1292" t="str">
            <v>RONCO SCRIVIA</v>
          </cell>
          <cell r="B1292" t="str">
            <v>010049</v>
          </cell>
          <cell r="C1292" t="str">
            <v>GE</v>
          </cell>
          <cell r="D1292" t="str">
            <v>GE</v>
          </cell>
          <cell r="E1292" t="str">
            <v>16019</v>
          </cell>
        </row>
        <row r="1293">
          <cell r="A1293" t="str">
            <v>RONDANINA</v>
          </cell>
          <cell r="B1293" t="str">
            <v>010050</v>
          </cell>
          <cell r="C1293" t="str">
            <v>GE</v>
          </cell>
          <cell r="D1293" t="str">
            <v>GE</v>
          </cell>
          <cell r="E1293" t="str">
            <v>16025</v>
          </cell>
        </row>
        <row r="1294">
          <cell r="A1294" t="str">
            <v>ROSSIGLIONE</v>
          </cell>
          <cell r="B1294" t="str">
            <v>010051</v>
          </cell>
          <cell r="C1294" t="str">
            <v>GE</v>
          </cell>
          <cell r="D1294" t="str">
            <v>GE</v>
          </cell>
          <cell r="E1294" t="str">
            <v>16010</v>
          </cell>
        </row>
        <row r="1295">
          <cell r="A1295" t="str">
            <v>ROVEGNO</v>
          </cell>
          <cell r="B1295" t="str">
            <v>010052</v>
          </cell>
          <cell r="C1295" t="str">
            <v>GE</v>
          </cell>
          <cell r="D1295" t="str">
            <v>GE</v>
          </cell>
          <cell r="E1295" t="str">
            <v>16028</v>
          </cell>
        </row>
        <row r="1296">
          <cell r="A1296" t="str">
            <v>SAN COLOMBANO CERTENOLI</v>
          </cell>
          <cell r="B1296" t="str">
            <v>010053</v>
          </cell>
          <cell r="C1296" t="str">
            <v>GE</v>
          </cell>
          <cell r="D1296" t="str">
            <v>GE</v>
          </cell>
          <cell r="E1296" t="str">
            <v>16040</v>
          </cell>
        </row>
        <row r="1297">
          <cell r="A1297" t="str">
            <v>SANTA MARGHERITA LIGURE</v>
          </cell>
          <cell r="B1297" t="str">
            <v>010054</v>
          </cell>
          <cell r="C1297" t="str">
            <v>GE</v>
          </cell>
          <cell r="D1297" t="str">
            <v>GE</v>
          </cell>
          <cell r="E1297" t="str">
            <v>16038</v>
          </cell>
        </row>
        <row r="1298">
          <cell r="A1298" t="str">
            <v>SANT'OLCESE</v>
          </cell>
          <cell r="B1298" t="str">
            <v>010055</v>
          </cell>
          <cell r="C1298" t="str">
            <v>GE</v>
          </cell>
          <cell r="D1298" t="str">
            <v>GE</v>
          </cell>
          <cell r="E1298" t="str">
            <v>16010</v>
          </cell>
        </row>
        <row r="1299">
          <cell r="A1299" t="str">
            <v>SANTO STEFANO D'AVETO</v>
          </cell>
          <cell r="B1299" t="str">
            <v>010056</v>
          </cell>
          <cell r="C1299" t="str">
            <v>GE</v>
          </cell>
          <cell r="D1299" t="str">
            <v>GE</v>
          </cell>
          <cell r="E1299" t="str">
            <v>16049</v>
          </cell>
        </row>
        <row r="1300">
          <cell r="A1300" t="str">
            <v>SAVIGNONE</v>
          </cell>
          <cell r="B1300" t="str">
            <v>010057</v>
          </cell>
          <cell r="C1300" t="str">
            <v>GE</v>
          </cell>
          <cell r="D1300" t="str">
            <v>GE</v>
          </cell>
          <cell r="E1300" t="str">
            <v>16010</v>
          </cell>
        </row>
        <row r="1301">
          <cell r="A1301" t="str">
            <v>SERRA RICCÒ</v>
          </cell>
          <cell r="B1301" t="str">
            <v>010058</v>
          </cell>
          <cell r="C1301" t="str">
            <v>GE</v>
          </cell>
          <cell r="D1301" t="str">
            <v>GE</v>
          </cell>
          <cell r="E1301" t="str">
            <v>16010</v>
          </cell>
        </row>
        <row r="1302">
          <cell r="A1302" t="str">
            <v>SESTRI LEVANTE</v>
          </cell>
          <cell r="B1302" t="str">
            <v>010059</v>
          </cell>
          <cell r="C1302" t="str">
            <v>GE</v>
          </cell>
          <cell r="D1302" t="str">
            <v>GE</v>
          </cell>
          <cell r="E1302" t="str">
            <v>16039</v>
          </cell>
        </row>
        <row r="1303">
          <cell r="A1303" t="str">
            <v>SORI</v>
          </cell>
          <cell r="B1303" t="str">
            <v>010060</v>
          </cell>
          <cell r="C1303" t="str">
            <v>GE</v>
          </cell>
          <cell r="D1303" t="str">
            <v>GE</v>
          </cell>
          <cell r="E1303" t="str">
            <v>16030</v>
          </cell>
        </row>
        <row r="1304">
          <cell r="A1304" t="str">
            <v>TIGLIETO</v>
          </cell>
          <cell r="B1304" t="str">
            <v>010061</v>
          </cell>
          <cell r="C1304" t="str">
            <v>GE</v>
          </cell>
          <cell r="D1304" t="str">
            <v>GE</v>
          </cell>
          <cell r="E1304" t="str">
            <v>16010</v>
          </cell>
        </row>
        <row r="1305">
          <cell r="A1305" t="str">
            <v>TORRIGLIA</v>
          </cell>
          <cell r="B1305" t="str">
            <v>010062</v>
          </cell>
          <cell r="C1305" t="str">
            <v>GE</v>
          </cell>
          <cell r="D1305" t="str">
            <v>GE</v>
          </cell>
          <cell r="E1305" t="str">
            <v>16029</v>
          </cell>
        </row>
        <row r="1306">
          <cell r="A1306" t="str">
            <v>TRIBOGNA</v>
          </cell>
          <cell r="B1306" t="str">
            <v>010063</v>
          </cell>
          <cell r="C1306" t="str">
            <v>GE</v>
          </cell>
          <cell r="D1306" t="str">
            <v>GE</v>
          </cell>
          <cell r="E1306" t="str">
            <v>16030</v>
          </cell>
        </row>
        <row r="1307">
          <cell r="A1307" t="str">
            <v>USCIO</v>
          </cell>
          <cell r="B1307" t="str">
            <v>010064</v>
          </cell>
          <cell r="C1307" t="str">
            <v>GE</v>
          </cell>
          <cell r="D1307" t="str">
            <v>GE</v>
          </cell>
          <cell r="E1307" t="str">
            <v>16030</v>
          </cell>
        </row>
        <row r="1308">
          <cell r="A1308" t="str">
            <v>VALBREVENNA</v>
          </cell>
          <cell r="B1308" t="str">
            <v>010065</v>
          </cell>
          <cell r="C1308" t="str">
            <v>GE</v>
          </cell>
          <cell r="D1308" t="str">
            <v>GE</v>
          </cell>
          <cell r="E1308" t="str">
            <v>16010</v>
          </cell>
        </row>
        <row r="1309">
          <cell r="A1309" t="str">
            <v>VOBBIA</v>
          </cell>
          <cell r="B1309" t="str">
            <v>010066</v>
          </cell>
          <cell r="C1309" t="str">
            <v>GE</v>
          </cell>
          <cell r="D1309" t="str">
            <v>GE</v>
          </cell>
          <cell r="E1309" t="str">
            <v>16010</v>
          </cell>
        </row>
        <row r="1310">
          <cell r="A1310" t="str">
            <v>ZOAGLI</v>
          </cell>
          <cell r="B1310" t="str">
            <v>010067</v>
          </cell>
          <cell r="C1310" t="str">
            <v>GE</v>
          </cell>
          <cell r="D1310" t="str">
            <v>GE</v>
          </cell>
          <cell r="E1310" t="str">
            <v>16030</v>
          </cell>
        </row>
        <row r="1311">
          <cell r="A1311" t="str">
            <v>AMEGLIA</v>
          </cell>
          <cell r="B1311" t="str">
            <v>011001</v>
          </cell>
          <cell r="C1311" t="str">
            <v>SP</v>
          </cell>
          <cell r="D1311" t="str">
            <v>SP</v>
          </cell>
          <cell r="E1311" t="str">
            <v>19031</v>
          </cell>
        </row>
        <row r="1312">
          <cell r="A1312" t="str">
            <v>ARCOLA</v>
          </cell>
          <cell r="B1312" t="str">
            <v>011002</v>
          </cell>
          <cell r="C1312" t="str">
            <v>SP</v>
          </cell>
          <cell r="D1312" t="str">
            <v>SP</v>
          </cell>
          <cell r="E1312" t="str">
            <v>19021</v>
          </cell>
        </row>
        <row r="1313">
          <cell r="A1313" t="str">
            <v>BEVERINO</v>
          </cell>
          <cell r="B1313" t="str">
            <v>011003</v>
          </cell>
          <cell r="C1313" t="str">
            <v>SP</v>
          </cell>
          <cell r="D1313" t="str">
            <v>SP</v>
          </cell>
          <cell r="E1313" t="str">
            <v>19020</v>
          </cell>
        </row>
        <row r="1314">
          <cell r="A1314" t="str">
            <v>BOLANO</v>
          </cell>
          <cell r="B1314" t="str">
            <v>011004</v>
          </cell>
          <cell r="C1314" t="str">
            <v>SP</v>
          </cell>
          <cell r="D1314" t="str">
            <v>SP</v>
          </cell>
          <cell r="E1314" t="str">
            <v>19020</v>
          </cell>
        </row>
        <row r="1315">
          <cell r="A1315" t="str">
            <v>BONASSOLA</v>
          </cell>
          <cell r="B1315" t="str">
            <v>011005</v>
          </cell>
          <cell r="C1315" t="str">
            <v>SP</v>
          </cell>
          <cell r="D1315" t="str">
            <v>SP</v>
          </cell>
          <cell r="E1315" t="str">
            <v>19011</v>
          </cell>
        </row>
        <row r="1316">
          <cell r="A1316" t="str">
            <v>BORGHETTO DI VARA</v>
          </cell>
          <cell r="B1316" t="str">
            <v>011006</v>
          </cell>
          <cell r="C1316" t="str">
            <v>SP</v>
          </cell>
          <cell r="D1316" t="str">
            <v>SP</v>
          </cell>
          <cell r="E1316" t="str">
            <v>19020</v>
          </cell>
        </row>
        <row r="1317">
          <cell r="A1317" t="str">
            <v>BRUGNATO</v>
          </cell>
          <cell r="B1317" t="str">
            <v>011007</v>
          </cell>
          <cell r="C1317" t="str">
            <v>SP</v>
          </cell>
          <cell r="D1317" t="str">
            <v>SP</v>
          </cell>
          <cell r="E1317" t="str">
            <v>19020</v>
          </cell>
        </row>
        <row r="1318">
          <cell r="A1318" t="str">
            <v>CALICE AL CORNOVIGLIO</v>
          </cell>
          <cell r="B1318" t="str">
            <v>011008</v>
          </cell>
          <cell r="C1318" t="str">
            <v>SP</v>
          </cell>
          <cell r="D1318" t="str">
            <v>SP</v>
          </cell>
          <cell r="E1318" t="str">
            <v>19020</v>
          </cell>
        </row>
        <row r="1319">
          <cell r="A1319" t="str">
            <v>CARRO</v>
          </cell>
          <cell r="B1319" t="str">
            <v>011009</v>
          </cell>
          <cell r="C1319" t="str">
            <v>SP</v>
          </cell>
          <cell r="D1319" t="str">
            <v>SP</v>
          </cell>
          <cell r="E1319" t="str">
            <v>19012</v>
          </cell>
        </row>
        <row r="1320">
          <cell r="A1320" t="str">
            <v>CARRODANO</v>
          </cell>
          <cell r="B1320" t="str">
            <v>011010</v>
          </cell>
          <cell r="C1320" t="str">
            <v>SP</v>
          </cell>
          <cell r="D1320" t="str">
            <v>SP</v>
          </cell>
          <cell r="E1320" t="str">
            <v>19020</v>
          </cell>
        </row>
        <row r="1321">
          <cell r="A1321" t="str">
            <v>CASTELNUOVO MAGRA</v>
          </cell>
          <cell r="B1321" t="str">
            <v>011011</v>
          </cell>
          <cell r="C1321" t="str">
            <v>SP</v>
          </cell>
          <cell r="D1321" t="str">
            <v>SP</v>
          </cell>
          <cell r="E1321" t="str">
            <v>19033</v>
          </cell>
        </row>
        <row r="1322">
          <cell r="A1322" t="str">
            <v>DEIVA MARINA</v>
          </cell>
          <cell r="B1322" t="str">
            <v>011012</v>
          </cell>
          <cell r="C1322" t="str">
            <v>SP</v>
          </cell>
          <cell r="D1322" t="str">
            <v>SP</v>
          </cell>
          <cell r="E1322" t="str">
            <v>19013</v>
          </cell>
        </row>
        <row r="1323">
          <cell r="A1323" t="str">
            <v>FOLLO</v>
          </cell>
          <cell r="B1323" t="str">
            <v>011013</v>
          </cell>
          <cell r="C1323" t="str">
            <v>SP</v>
          </cell>
          <cell r="D1323" t="str">
            <v>SP</v>
          </cell>
          <cell r="E1323" t="str">
            <v>19020</v>
          </cell>
        </row>
        <row r="1324">
          <cell r="A1324" t="str">
            <v>FRAMURA</v>
          </cell>
          <cell r="B1324" t="str">
            <v>011014</v>
          </cell>
          <cell r="C1324" t="str">
            <v>SP</v>
          </cell>
          <cell r="D1324" t="str">
            <v>SP</v>
          </cell>
          <cell r="E1324" t="str">
            <v>19014</v>
          </cell>
        </row>
        <row r="1325">
          <cell r="A1325" t="str">
            <v>LA SPEZIA</v>
          </cell>
          <cell r="B1325" t="str">
            <v>011015</v>
          </cell>
          <cell r="C1325" t="str">
            <v>SP</v>
          </cell>
          <cell r="D1325" t="str">
            <v>SP</v>
          </cell>
          <cell r="E1325" t="str">
            <v>191xx</v>
          </cell>
        </row>
        <row r="1326">
          <cell r="A1326" t="str">
            <v>LERICI</v>
          </cell>
          <cell r="B1326" t="str">
            <v>011016</v>
          </cell>
          <cell r="C1326" t="str">
            <v>SP</v>
          </cell>
          <cell r="D1326" t="str">
            <v>SP</v>
          </cell>
          <cell r="E1326" t="str">
            <v>19032</v>
          </cell>
        </row>
        <row r="1327">
          <cell r="A1327" t="str">
            <v>LEVANTO</v>
          </cell>
          <cell r="B1327" t="str">
            <v>011017</v>
          </cell>
          <cell r="C1327" t="str">
            <v>SP</v>
          </cell>
          <cell r="D1327" t="str">
            <v>SP</v>
          </cell>
          <cell r="E1327" t="str">
            <v>19015</v>
          </cell>
        </row>
        <row r="1328">
          <cell r="A1328" t="str">
            <v>MAISSANA</v>
          </cell>
          <cell r="B1328" t="str">
            <v>011018</v>
          </cell>
          <cell r="C1328" t="str">
            <v>SP</v>
          </cell>
          <cell r="D1328" t="str">
            <v>SP</v>
          </cell>
          <cell r="E1328" t="str">
            <v>19010</v>
          </cell>
        </row>
        <row r="1329">
          <cell r="A1329" t="str">
            <v>MONTEROSSO AL MARE</v>
          </cell>
          <cell r="B1329" t="str">
            <v>011019</v>
          </cell>
          <cell r="C1329" t="str">
            <v>SP</v>
          </cell>
          <cell r="D1329" t="str">
            <v>SP</v>
          </cell>
          <cell r="E1329" t="str">
            <v>19016</v>
          </cell>
        </row>
        <row r="1330">
          <cell r="A1330" t="str">
            <v>LUNI</v>
          </cell>
          <cell r="B1330" t="str">
            <v>011020</v>
          </cell>
          <cell r="C1330" t="str">
            <v>SP</v>
          </cell>
          <cell r="D1330" t="e">
            <v>#N/A</v>
          </cell>
          <cell r="E1330" t="e">
            <v>#N/A</v>
          </cell>
        </row>
        <row r="1331">
          <cell r="A1331" t="str">
            <v>PIGNONE</v>
          </cell>
          <cell r="B1331" t="str">
            <v>011021</v>
          </cell>
          <cell r="C1331" t="str">
            <v>SP</v>
          </cell>
          <cell r="D1331" t="str">
            <v>SP</v>
          </cell>
          <cell r="E1331" t="str">
            <v>19020</v>
          </cell>
        </row>
        <row r="1332">
          <cell r="A1332" t="str">
            <v>PORTOVENERE</v>
          </cell>
          <cell r="B1332" t="str">
            <v>011022</v>
          </cell>
          <cell r="C1332" t="str">
            <v>SP</v>
          </cell>
          <cell r="D1332" t="str">
            <v>SP</v>
          </cell>
          <cell r="E1332" t="str">
            <v>19025</v>
          </cell>
        </row>
        <row r="1333">
          <cell r="A1333" t="str">
            <v>RICCÒ DEL GOLFO DI SPEZIA</v>
          </cell>
          <cell r="B1333" t="str">
            <v>011023</v>
          </cell>
          <cell r="C1333" t="str">
            <v>SP</v>
          </cell>
          <cell r="D1333" t="str">
            <v>SP</v>
          </cell>
          <cell r="E1333" t="str">
            <v>19020</v>
          </cell>
        </row>
        <row r="1334">
          <cell r="A1334" t="str">
            <v>RIOMAGGIORE</v>
          </cell>
          <cell r="B1334" t="str">
            <v>011024</v>
          </cell>
          <cell r="C1334" t="str">
            <v>SP</v>
          </cell>
          <cell r="D1334" t="str">
            <v>SP</v>
          </cell>
          <cell r="E1334" t="str">
            <v>19017</v>
          </cell>
        </row>
        <row r="1335">
          <cell r="A1335" t="str">
            <v>ROCCHETTA DI VARA</v>
          </cell>
          <cell r="B1335" t="str">
            <v>011025</v>
          </cell>
          <cell r="C1335" t="str">
            <v>SP</v>
          </cell>
          <cell r="D1335" t="str">
            <v>SP</v>
          </cell>
          <cell r="E1335" t="str">
            <v>19020</v>
          </cell>
        </row>
        <row r="1336">
          <cell r="A1336" t="str">
            <v>SANTO STEFANO DI MAGRA</v>
          </cell>
          <cell r="B1336" t="str">
            <v>011026</v>
          </cell>
          <cell r="C1336" t="str">
            <v>SP</v>
          </cell>
          <cell r="D1336" t="str">
            <v>SP</v>
          </cell>
          <cell r="E1336" t="str">
            <v>19037</v>
          </cell>
        </row>
        <row r="1337">
          <cell r="A1337" t="str">
            <v>SARZANA</v>
          </cell>
          <cell r="B1337" t="str">
            <v>011027</v>
          </cell>
          <cell r="C1337" t="str">
            <v>SP</v>
          </cell>
          <cell r="D1337" t="str">
            <v>SP</v>
          </cell>
          <cell r="E1337" t="str">
            <v>19038</v>
          </cell>
        </row>
        <row r="1338">
          <cell r="A1338" t="str">
            <v>SESTA GODANO</v>
          </cell>
          <cell r="B1338" t="str">
            <v>011028</v>
          </cell>
          <cell r="C1338" t="str">
            <v>SP</v>
          </cell>
          <cell r="D1338" t="str">
            <v>SP</v>
          </cell>
          <cell r="E1338" t="str">
            <v>19020</v>
          </cell>
        </row>
        <row r="1339">
          <cell r="A1339" t="str">
            <v>VARESE LIGURE</v>
          </cell>
          <cell r="B1339" t="str">
            <v>011029</v>
          </cell>
          <cell r="C1339" t="str">
            <v>SP</v>
          </cell>
          <cell r="D1339" t="str">
            <v>SP</v>
          </cell>
          <cell r="E1339" t="str">
            <v>19028</v>
          </cell>
        </row>
        <row r="1340">
          <cell r="A1340" t="str">
            <v>VERNAZZA</v>
          </cell>
          <cell r="B1340" t="str">
            <v>011030</v>
          </cell>
          <cell r="C1340" t="str">
            <v>SP</v>
          </cell>
          <cell r="D1340" t="str">
            <v>SP</v>
          </cell>
          <cell r="E1340" t="str">
            <v>19018</v>
          </cell>
        </row>
        <row r="1341">
          <cell r="A1341" t="str">
            <v>VEZZANO LIGURE</v>
          </cell>
          <cell r="B1341" t="str">
            <v>011031</v>
          </cell>
          <cell r="C1341" t="str">
            <v>SP</v>
          </cell>
          <cell r="D1341" t="str">
            <v>SP</v>
          </cell>
          <cell r="E1341" t="str">
            <v>19020</v>
          </cell>
        </row>
        <row r="1342">
          <cell r="A1342" t="str">
            <v>ZIGNAGO</v>
          </cell>
          <cell r="B1342" t="str">
            <v>011032</v>
          </cell>
          <cell r="C1342" t="str">
            <v>SP</v>
          </cell>
          <cell r="D1342" t="str">
            <v>SP</v>
          </cell>
          <cell r="E1342" t="str">
            <v>19020</v>
          </cell>
        </row>
        <row r="1343">
          <cell r="A1343" t="str">
            <v>AGRA</v>
          </cell>
          <cell r="B1343" t="str">
            <v>012001</v>
          </cell>
          <cell r="C1343" t="str">
            <v>VA</v>
          </cell>
          <cell r="D1343" t="str">
            <v>VA</v>
          </cell>
          <cell r="E1343" t="str">
            <v>21010</v>
          </cell>
        </row>
        <row r="1344">
          <cell r="A1344" t="str">
            <v>ALBIZZATE</v>
          </cell>
          <cell r="B1344" t="str">
            <v>012002</v>
          </cell>
          <cell r="C1344" t="str">
            <v>VA</v>
          </cell>
          <cell r="D1344" t="str">
            <v>VA</v>
          </cell>
          <cell r="E1344" t="str">
            <v>21041</v>
          </cell>
        </row>
        <row r="1345">
          <cell r="A1345" t="str">
            <v>ANGERA</v>
          </cell>
          <cell r="B1345" t="str">
            <v>012003</v>
          </cell>
          <cell r="C1345" t="str">
            <v>VA</v>
          </cell>
          <cell r="D1345" t="str">
            <v>VA</v>
          </cell>
          <cell r="E1345" t="str">
            <v>21021</v>
          </cell>
        </row>
        <row r="1346">
          <cell r="A1346" t="str">
            <v>ARCISATE</v>
          </cell>
          <cell r="B1346" t="str">
            <v>012004</v>
          </cell>
          <cell r="C1346" t="str">
            <v>VA</v>
          </cell>
          <cell r="D1346" t="str">
            <v>VA</v>
          </cell>
          <cell r="E1346" t="str">
            <v>21051</v>
          </cell>
        </row>
        <row r="1347">
          <cell r="A1347" t="str">
            <v>ARSAGO SEPRIO</v>
          </cell>
          <cell r="B1347" t="str">
            <v>012005</v>
          </cell>
          <cell r="C1347" t="str">
            <v>VA</v>
          </cell>
          <cell r="D1347" t="str">
            <v>VA</v>
          </cell>
          <cell r="E1347" t="str">
            <v>21010</v>
          </cell>
        </row>
        <row r="1348">
          <cell r="A1348" t="str">
            <v>AZZATE</v>
          </cell>
          <cell r="B1348" t="str">
            <v>012006</v>
          </cell>
          <cell r="C1348" t="str">
            <v>VA</v>
          </cell>
          <cell r="D1348" t="str">
            <v>VA</v>
          </cell>
          <cell r="E1348" t="str">
            <v>21022</v>
          </cell>
        </row>
        <row r="1349">
          <cell r="A1349" t="str">
            <v>AZZIO</v>
          </cell>
          <cell r="B1349" t="str">
            <v>012007</v>
          </cell>
          <cell r="C1349" t="str">
            <v>VA</v>
          </cell>
          <cell r="D1349" t="str">
            <v>VA</v>
          </cell>
          <cell r="E1349" t="str">
            <v>21030</v>
          </cell>
        </row>
        <row r="1350">
          <cell r="A1350" t="str">
            <v>BARASSO</v>
          </cell>
          <cell r="B1350" t="str">
            <v>012008</v>
          </cell>
          <cell r="C1350" t="str">
            <v>VA</v>
          </cell>
          <cell r="D1350" t="str">
            <v>VA</v>
          </cell>
          <cell r="E1350" t="str">
            <v>21020</v>
          </cell>
        </row>
        <row r="1351">
          <cell r="A1351" t="str">
            <v>BARDELLO</v>
          </cell>
          <cell r="B1351" t="str">
            <v>012009</v>
          </cell>
          <cell r="C1351" t="str">
            <v>VA</v>
          </cell>
          <cell r="D1351" t="str">
            <v>VA</v>
          </cell>
          <cell r="E1351" t="str">
            <v>21020</v>
          </cell>
        </row>
        <row r="1352">
          <cell r="A1352" t="str">
            <v>BEDERO VALCUVIA</v>
          </cell>
          <cell r="B1352" t="str">
            <v>012010</v>
          </cell>
          <cell r="C1352" t="str">
            <v>VA</v>
          </cell>
          <cell r="D1352" t="str">
            <v>VA</v>
          </cell>
          <cell r="E1352" t="str">
            <v>21039</v>
          </cell>
        </row>
        <row r="1353">
          <cell r="A1353" t="str">
            <v>BESANO</v>
          </cell>
          <cell r="B1353" t="str">
            <v>012011</v>
          </cell>
          <cell r="C1353" t="str">
            <v>VA</v>
          </cell>
          <cell r="D1353" t="str">
            <v>VA</v>
          </cell>
          <cell r="E1353" t="str">
            <v>21050</v>
          </cell>
        </row>
        <row r="1354">
          <cell r="A1354" t="str">
            <v>BESNATE</v>
          </cell>
          <cell r="B1354" t="str">
            <v>012012</v>
          </cell>
          <cell r="C1354" t="str">
            <v>VA</v>
          </cell>
          <cell r="D1354" t="str">
            <v>VA</v>
          </cell>
          <cell r="E1354" t="str">
            <v>21010</v>
          </cell>
        </row>
        <row r="1355">
          <cell r="A1355" t="str">
            <v>BESOZZO</v>
          </cell>
          <cell r="B1355" t="str">
            <v>012013</v>
          </cell>
          <cell r="C1355" t="str">
            <v>VA</v>
          </cell>
          <cell r="D1355" t="str">
            <v>VA</v>
          </cell>
          <cell r="E1355" t="str">
            <v>21023</v>
          </cell>
        </row>
        <row r="1356">
          <cell r="A1356" t="str">
            <v>BIANDRONNO</v>
          </cell>
          <cell r="B1356" t="str">
            <v>012014</v>
          </cell>
          <cell r="C1356" t="str">
            <v>VA</v>
          </cell>
          <cell r="D1356" t="str">
            <v>VA</v>
          </cell>
          <cell r="E1356" t="str">
            <v>21024</v>
          </cell>
        </row>
        <row r="1357">
          <cell r="A1357" t="str">
            <v>BISUSCHIO</v>
          </cell>
          <cell r="B1357" t="str">
            <v>012015</v>
          </cell>
          <cell r="C1357" t="str">
            <v>VA</v>
          </cell>
          <cell r="D1357" t="str">
            <v>VA</v>
          </cell>
          <cell r="E1357" t="str">
            <v>21050</v>
          </cell>
        </row>
        <row r="1358">
          <cell r="A1358" t="str">
            <v>BODIO LOMNAGO</v>
          </cell>
          <cell r="B1358" t="str">
            <v>012016</v>
          </cell>
          <cell r="C1358" t="str">
            <v>VA</v>
          </cell>
          <cell r="D1358" t="str">
            <v>VA</v>
          </cell>
          <cell r="E1358" t="str">
            <v>21020</v>
          </cell>
        </row>
        <row r="1359">
          <cell r="A1359" t="str">
            <v>BREBBIA</v>
          </cell>
          <cell r="B1359" t="str">
            <v>012017</v>
          </cell>
          <cell r="C1359" t="str">
            <v>VA</v>
          </cell>
          <cell r="D1359" t="str">
            <v>VA</v>
          </cell>
          <cell r="E1359" t="str">
            <v>21020</v>
          </cell>
        </row>
        <row r="1360">
          <cell r="A1360" t="str">
            <v>BREGANO</v>
          </cell>
          <cell r="B1360" t="str">
            <v>012018</v>
          </cell>
          <cell r="C1360" t="str">
            <v>VA</v>
          </cell>
          <cell r="D1360" t="str">
            <v>VA</v>
          </cell>
          <cell r="E1360" t="str">
            <v>21020</v>
          </cell>
        </row>
        <row r="1361">
          <cell r="A1361" t="str">
            <v>BRENTA</v>
          </cell>
          <cell r="B1361" t="str">
            <v>012019</v>
          </cell>
          <cell r="C1361" t="str">
            <v>VA</v>
          </cell>
          <cell r="D1361" t="str">
            <v>VA</v>
          </cell>
          <cell r="E1361" t="str">
            <v>21030</v>
          </cell>
        </row>
        <row r="1362">
          <cell r="A1362" t="str">
            <v>BREZZO DI BEDERO</v>
          </cell>
          <cell r="B1362" t="str">
            <v>012020</v>
          </cell>
          <cell r="C1362" t="str">
            <v>VA</v>
          </cell>
          <cell r="D1362" t="str">
            <v>VA</v>
          </cell>
          <cell r="E1362" t="str">
            <v>21010</v>
          </cell>
        </row>
        <row r="1363">
          <cell r="A1363" t="str">
            <v>BRINZIO</v>
          </cell>
          <cell r="B1363" t="str">
            <v>012021</v>
          </cell>
          <cell r="C1363" t="str">
            <v>VA</v>
          </cell>
          <cell r="D1363" t="str">
            <v>VA</v>
          </cell>
          <cell r="E1363" t="str">
            <v>21030</v>
          </cell>
        </row>
        <row r="1364">
          <cell r="A1364" t="str">
            <v>BRISSAGO-VALTRAVAGLIA</v>
          </cell>
          <cell r="B1364" t="str">
            <v>012022</v>
          </cell>
          <cell r="C1364" t="str">
            <v>VA</v>
          </cell>
          <cell r="D1364" t="str">
            <v>VA</v>
          </cell>
          <cell r="E1364" t="str">
            <v>21030</v>
          </cell>
        </row>
        <row r="1365">
          <cell r="A1365" t="str">
            <v>BRUNELLO</v>
          </cell>
          <cell r="B1365" t="str">
            <v>012023</v>
          </cell>
          <cell r="C1365" t="str">
            <v>VA</v>
          </cell>
          <cell r="D1365" t="str">
            <v>VA</v>
          </cell>
          <cell r="E1365" t="str">
            <v>21020</v>
          </cell>
        </row>
        <row r="1366">
          <cell r="A1366" t="str">
            <v>BRUSIMPIANO</v>
          </cell>
          <cell r="B1366" t="str">
            <v>012024</v>
          </cell>
          <cell r="C1366" t="str">
            <v>VA</v>
          </cell>
          <cell r="D1366" t="str">
            <v>VA</v>
          </cell>
          <cell r="E1366" t="str">
            <v>21050</v>
          </cell>
        </row>
        <row r="1367">
          <cell r="A1367" t="str">
            <v>BUGUGGIATE</v>
          </cell>
          <cell r="B1367" t="str">
            <v>012025</v>
          </cell>
          <cell r="C1367" t="str">
            <v>VA</v>
          </cell>
          <cell r="D1367" t="str">
            <v>VA</v>
          </cell>
          <cell r="E1367" t="str">
            <v>21020</v>
          </cell>
        </row>
        <row r="1368">
          <cell r="A1368" t="str">
            <v>BUSTO ARSIZIO</v>
          </cell>
          <cell r="B1368" t="str">
            <v>012026</v>
          </cell>
          <cell r="C1368" t="str">
            <v>VA</v>
          </cell>
          <cell r="D1368" t="str">
            <v>VA</v>
          </cell>
          <cell r="E1368" t="str">
            <v>21052</v>
          </cell>
        </row>
        <row r="1369">
          <cell r="A1369" t="str">
            <v>CADEGLIANO-VICONAGO</v>
          </cell>
          <cell r="B1369" t="str">
            <v>012027</v>
          </cell>
          <cell r="C1369" t="str">
            <v>VA</v>
          </cell>
          <cell r="D1369" t="str">
            <v>VA</v>
          </cell>
          <cell r="E1369" t="str">
            <v>21031</v>
          </cell>
        </row>
        <row r="1370">
          <cell r="A1370" t="str">
            <v>CAIRATE</v>
          </cell>
          <cell r="B1370" t="str">
            <v>012029</v>
          </cell>
          <cell r="C1370" t="str">
            <v>VA</v>
          </cell>
          <cell r="D1370" t="str">
            <v>VA</v>
          </cell>
          <cell r="E1370" t="str">
            <v>21050</v>
          </cell>
        </row>
        <row r="1371">
          <cell r="A1371" t="str">
            <v>CANTELLO</v>
          </cell>
          <cell r="B1371" t="str">
            <v>012030</v>
          </cell>
          <cell r="C1371" t="str">
            <v>VA</v>
          </cell>
          <cell r="D1371" t="str">
            <v>VA</v>
          </cell>
          <cell r="E1371" t="str">
            <v>21050</v>
          </cell>
        </row>
        <row r="1372">
          <cell r="A1372" t="str">
            <v>CARAVATE</v>
          </cell>
          <cell r="B1372" t="str">
            <v>012031</v>
          </cell>
          <cell r="C1372" t="str">
            <v>VA</v>
          </cell>
          <cell r="D1372" t="str">
            <v>VA</v>
          </cell>
          <cell r="E1372" t="str">
            <v>21032</v>
          </cell>
        </row>
        <row r="1373">
          <cell r="A1373" t="str">
            <v>CARDANO AL CAMPO</v>
          </cell>
          <cell r="B1373" t="str">
            <v>012032</v>
          </cell>
          <cell r="C1373" t="str">
            <v>VA</v>
          </cell>
          <cell r="D1373" t="str">
            <v>VA</v>
          </cell>
          <cell r="E1373" t="str">
            <v>21010</v>
          </cell>
        </row>
        <row r="1374">
          <cell r="A1374" t="str">
            <v>CARNAGO</v>
          </cell>
          <cell r="B1374" t="str">
            <v>012033</v>
          </cell>
          <cell r="C1374" t="str">
            <v>VA</v>
          </cell>
          <cell r="D1374" t="str">
            <v>VA</v>
          </cell>
          <cell r="E1374" t="str">
            <v>21040</v>
          </cell>
        </row>
        <row r="1375">
          <cell r="A1375" t="str">
            <v>CARONNO PERTUSELLA</v>
          </cell>
          <cell r="B1375" t="str">
            <v>012034</v>
          </cell>
          <cell r="C1375" t="str">
            <v>VA</v>
          </cell>
          <cell r="D1375" t="str">
            <v>VA</v>
          </cell>
          <cell r="E1375" t="str">
            <v>21042</v>
          </cell>
        </row>
        <row r="1376">
          <cell r="A1376" t="str">
            <v>CARONNO VARESINO</v>
          </cell>
          <cell r="B1376" t="str">
            <v>012035</v>
          </cell>
          <cell r="C1376" t="str">
            <v>VA</v>
          </cell>
          <cell r="D1376" t="str">
            <v>VA</v>
          </cell>
          <cell r="E1376" t="str">
            <v>21040</v>
          </cell>
        </row>
        <row r="1377">
          <cell r="A1377" t="str">
            <v>CASALE LITTA</v>
          </cell>
          <cell r="B1377" t="str">
            <v>012036</v>
          </cell>
          <cell r="C1377" t="str">
            <v>VA</v>
          </cell>
          <cell r="D1377" t="str">
            <v>VA</v>
          </cell>
          <cell r="E1377" t="str">
            <v>21020</v>
          </cell>
        </row>
        <row r="1378">
          <cell r="A1378" t="str">
            <v>CASALZUIGNO</v>
          </cell>
          <cell r="B1378" t="str">
            <v>012037</v>
          </cell>
          <cell r="C1378" t="str">
            <v>VA</v>
          </cell>
          <cell r="D1378" t="str">
            <v>VA</v>
          </cell>
          <cell r="E1378" t="str">
            <v>21030</v>
          </cell>
        </row>
        <row r="1379">
          <cell r="A1379" t="str">
            <v>CASCIAGO</v>
          </cell>
          <cell r="B1379" t="str">
            <v>012038</v>
          </cell>
          <cell r="C1379" t="str">
            <v>VA</v>
          </cell>
          <cell r="D1379" t="str">
            <v>VA</v>
          </cell>
          <cell r="E1379" t="str">
            <v>21020</v>
          </cell>
        </row>
        <row r="1380">
          <cell r="A1380" t="str">
            <v>CASORATE SEMPIONE</v>
          </cell>
          <cell r="B1380" t="str">
            <v>012039</v>
          </cell>
          <cell r="C1380" t="str">
            <v>VA</v>
          </cell>
          <cell r="D1380" t="str">
            <v>VA</v>
          </cell>
          <cell r="E1380" t="str">
            <v>21011</v>
          </cell>
        </row>
        <row r="1381">
          <cell r="A1381" t="str">
            <v>CASSANO MAGNAGO</v>
          </cell>
          <cell r="B1381" t="str">
            <v>012040</v>
          </cell>
          <cell r="C1381" t="str">
            <v>VA</v>
          </cell>
          <cell r="D1381" t="str">
            <v>VA</v>
          </cell>
          <cell r="E1381" t="str">
            <v>21012</v>
          </cell>
        </row>
        <row r="1382">
          <cell r="A1382" t="str">
            <v>CASSANO VALCUVIA</v>
          </cell>
          <cell r="B1382" t="str">
            <v>012041</v>
          </cell>
          <cell r="C1382" t="str">
            <v>VA</v>
          </cell>
          <cell r="D1382" t="str">
            <v>VA</v>
          </cell>
          <cell r="E1382" t="str">
            <v>21030</v>
          </cell>
        </row>
        <row r="1383">
          <cell r="A1383" t="str">
            <v>CASTELLANZA</v>
          </cell>
          <cell r="B1383" t="str">
            <v>012042</v>
          </cell>
          <cell r="C1383" t="str">
            <v>VA</v>
          </cell>
          <cell r="D1383" t="str">
            <v>VA</v>
          </cell>
          <cell r="E1383" t="str">
            <v>21053</v>
          </cell>
        </row>
        <row r="1384">
          <cell r="A1384" t="str">
            <v>CASTELLO CABIAGLIO</v>
          </cell>
          <cell r="B1384" t="str">
            <v>012043</v>
          </cell>
          <cell r="C1384" t="str">
            <v>VA</v>
          </cell>
          <cell r="D1384" t="str">
            <v>VA</v>
          </cell>
          <cell r="E1384" t="str">
            <v>21030</v>
          </cell>
        </row>
        <row r="1385">
          <cell r="A1385" t="str">
            <v>CASTELSEPRIO</v>
          </cell>
          <cell r="B1385" t="str">
            <v>012044</v>
          </cell>
          <cell r="C1385" t="str">
            <v>VA</v>
          </cell>
          <cell r="D1385" t="str">
            <v>VA</v>
          </cell>
          <cell r="E1385" t="str">
            <v>21050</v>
          </cell>
        </row>
        <row r="1386">
          <cell r="A1386" t="str">
            <v>CASTELVECCANA</v>
          </cell>
          <cell r="B1386" t="str">
            <v>012045</v>
          </cell>
          <cell r="C1386" t="str">
            <v>VA</v>
          </cell>
          <cell r="D1386" t="str">
            <v>VA</v>
          </cell>
          <cell r="E1386" t="str">
            <v>21010</v>
          </cell>
        </row>
        <row r="1387">
          <cell r="A1387" t="str">
            <v>CASTIGLIONE OLONA</v>
          </cell>
          <cell r="B1387" t="str">
            <v>012046</v>
          </cell>
          <cell r="C1387" t="str">
            <v>VA</v>
          </cell>
          <cell r="D1387" t="str">
            <v>VA</v>
          </cell>
          <cell r="E1387" t="str">
            <v>21043</v>
          </cell>
        </row>
        <row r="1388">
          <cell r="A1388" t="str">
            <v>CASTRONNO</v>
          </cell>
          <cell r="B1388" t="str">
            <v>012047</v>
          </cell>
          <cell r="C1388" t="str">
            <v>VA</v>
          </cell>
          <cell r="D1388" t="str">
            <v>VA</v>
          </cell>
          <cell r="E1388" t="str">
            <v>21040</v>
          </cell>
        </row>
        <row r="1389">
          <cell r="A1389" t="str">
            <v>CAVARIA CON PREMEZZO</v>
          </cell>
          <cell r="B1389" t="str">
            <v>012048</v>
          </cell>
          <cell r="C1389" t="str">
            <v>VA</v>
          </cell>
          <cell r="D1389" t="str">
            <v>VA</v>
          </cell>
          <cell r="E1389" t="str">
            <v>21044</v>
          </cell>
        </row>
        <row r="1390">
          <cell r="A1390" t="str">
            <v>CAZZAGO BRABBIA</v>
          </cell>
          <cell r="B1390" t="str">
            <v>012049</v>
          </cell>
          <cell r="C1390" t="str">
            <v>VA</v>
          </cell>
          <cell r="D1390" t="str">
            <v>VA</v>
          </cell>
          <cell r="E1390" t="str">
            <v>21020</v>
          </cell>
        </row>
        <row r="1391">
          <cell r="A1391" t="str">
            <v>CISLAGO</v>
          </cell>
          <cell r="B1391" t="str">
            <v>012050</v>
          </cell>
          <cell r="C1391" t="str">
            <v>VA</v>
          </cell>
          <cell r="D1391" t="str">
            <v>VA</v>
          </cell>
          <cell r="E1391" t="str">
            <v>21040</v>
          </cell>
        </row>
        <row r="1392">
          <cell r="A1392" t="str">
            <v>CITTIGLIO</v>
          </cell>
          <cell r="B1392" t="str">
            <v>012051</v>
          </cell>
          <cell r="C1392" t="str">
            <v>VA</v>
          </cell>
          <cell r="D1392" t="str">
            <v>VA</v>
          </cell>
          <cell r="E1392" t="str">
            <v>21033</v>
          </cell>
        </row>
        <row r="1393">
          <cell r="A1393" t="str">
            <v>CLIVIO</v>
          </cell>
          <cell r="B1393" t="str">
            <v>012052</v>
          </cell>
          <cell r="C1393" t="str">
            <v>VA</v>
          </cell>
          <cell r="D1393" t="str">
            <v>VA</v>
          </cell>
          <cell r="E1393" t="str">
            <v>21050</v>
          </cell>
        </row>
        <row r="1394">
          <cell r="A1394" t="str">
            <v>COCQUIO-TREVISAGO</v>
          </cell>
          <cell r="B1394" t="str">
            <v>012053</v>
          </cell>
          <cell r="C1394" t="str">
            <v>VA</v>
          </cell>
          <cell r="D1394" t="str">
            <v>VA</v>
          </cell>
          <cell r="E1394" t="str">
            <v>21034</v>
          </cell>
        </row>
        <row r="1395">
          <cell r="A1395" t="str">
            <v>COMABBIO</v>
          </cell>
          <cell r="B1395" t="str">
            <v>012054</v>
          </cell>
          <cell r="C1395" t="str">
            <v>VA</v>
          </cell>
          <cell r="D1395" t="str">
            <v>VA</v>
          </cell>
          <cell r="E1395" t="str">
            <v>21020</v>
          </cell>
        </row>
        <row r="1396">
          <cell r="A1396" t="str">
            <v>COMERIO</v>
          </cell>
          <cell r="B1396" t="str">
            <v>012055</v>
          </cell>
          <cell r="C1396" t="str">
            <v>VA</v>
          </cell>
          <cell r="D1396" t="str">
            <v>VA</v>
          </cell>
          <cell r="E1396" t="str">
            <v>21025</v>
          </cell>
        </row>
        <row r="1397">
          <cell r="A1397" t="str">
            <v>CREMENAGA</v>
          </cell>
          <cell r="B1397" t="str">
            <v>012056</v>
          </cell>
          <cell r="C1397" t="str">
            <v>VA</v>
          </cell>
          <cell r="D1397" t="str">
            <v>VA</v>
          </cell>
          <cell r="E1397" t="str">
            <v>21030</v>
          </cell>
        </row>
        <row r="1398">
          <cell r="A1398" t="str">
            <v>CROSIO DELLA VALLE</v>
          </cell>
          <cell r="B1398" t="str">
            <v>012057</v>
          </cell>
          <cell r="C1398" t="str">
            <v>VA</v>
          </cell>
          <cell r="D1398" t="str">
            <v>VA</v>
          </cell>
          <cell r="E1398" t="str">
            <v>21020</v>
          </cell>
        </row>
        <row r="1399">
          <cell r="A1399" t="str">
            <v>CUASSO AL MONTE</v>
          </cell>
          <cell r="B1399" t="str">
            <v>012058</v>
          </cell>
          <cell r="C1399" t="str">
            <v>VA</v>
          </cell>
          <cell r="D1399" t="str">
            <v>VA</v>
          </cell>
          <cell r="E1399" t="str">
            <v>21050</v>
          </cell>
        </row>
        <row r="1400">
          <cell r="A1400" t="str">
            <v>CUGLIATE-FABIASCO</v>
          </cell>
          <cell r="B1400" t="str">
            <v>012059</v>
          </cell>
          <cell r="C1400" t="str">
            <v>VA</v>
          </cell>
          <cell r="D1400" t="str">
            <v>VA</v>
          </cell>
          <cell r="E1400" t="str">
            <v>21030</v>
          </cell>
        </row>
        <row r="1401">
          <cell r="A1401" t="str">
            <v>CUNARDO</v>
          </cell>
          <cell r="B1401" t="str">
            <v>012060</v>
          </cell>
          <cell r="C1401" t="str">
            <v>VA</v>
          </cell>
          <cell r="D1401" t="str">
            <v>VA</v>
          </cell>
          <cell r="E1401" t="str">
            <v>21035</v>
          </cell>
        </row>
        <row r="1402">
          <cell r="A1402" t="str">
            <v>CURIGLIA CON MONTEVIASCO</v>
          </cell>
          <cell r="B1402" t="str">
            <v>012061</v>
          </cell>
          <cell r="C1402" t="str">
            <v>VA</v>
          </cell>
          <cell r="D1402" t="str">
            <v>VA</v>
          </cell>
          <cell r="E1402" t="str">
            <v>21010</v>
          </cell>
        </row>
        <row r="1403">
          <cell r="A1403" t="str">
            <v>CUVEGLIO</v>
          </cell>
          <cell r="B1403" t="str">
            <v>012062</v>
          </cell>
          <cell r="C1403" t="str">
            <v>VA</v>
          </cell>
          <cell r="D1403" t="str">
            <v>VA</v>
          </cell>
          <cell r="E1403" t="str">
            <v>21030</v>
          </cell>
        </row>
        <row r="1404">
          <cell r="A1404" t="str">
            <v>CUVIO</v>
          </cell>
          <cell r="B1404" t="str">
            <v>012063</v>
          </cell>
          <cell r="C1404" t="str">
            <v>VA</v>
          </cell>
          <cell r="D1404" t="str">
            <v>VA</v>
          </cell>
          <cell r="E1404" t="str">
            <v>21030</v>
          </cell>
        </row>
        <row r="1405">
          <cell r="A1405" t="str">
            <v>DAVERIO</v>
          </cell>
          <cell r="B1405" t="str">
            <v>012064</v>
          </cell>
          <cell r="C1405" t="str">
            <v>VA</v>
          </cell>
          <cell r="D1405" t="str">
            <v>VA</v>
          </cell>
          <cell r="E1405" t="str">
            <v>21020</v>
          </cell>
        </row>
        <row r="1406">
          <cell r="A1406" t="str">
            <v>DUMENZA</v>
          </cell>
          <cell r="B1406" t="str">
            <v>012065</v>
          </cell>
          <cell r="C1406" t="str">
            <v>VA</v>
          </cell>
          <cell r="D1406" t="str">
            <v>VA</v>
          </cell>
          <cell r="E1406" t="str">
            <v>21010</v>
          </cell>
        </row>
        <row r="1407">
          <cell r="A1407" t="str">
            <v>DUNO</v>
          </cell>
          <cell r="B1407" t="str">
            <v>012066</v>
          </cell>
          <cell r="C1407" t="str">
            <v>VA</v>
          </cell>
          <cell r="D1407" t="str">
            <v>VA</v>
          </cell>
          <cell r="E1407" t="str">
            <v>21030</v>
          </cell>
        </row>
        <row r="1408">
          <cell r="A1408" t="str">
            <v>FAGNANO OLONA</v>
          </cell>
          <cell r="B1408" t="str">
            <v>012067</v>
          </cell>
          <cell r="C1408" t="str">
            <v>VA</v>
          </cell>
          <cell r="D1408" t="str">
            <v>VA</v>
          </cell>
          <cell r="E1408" t="str">
            <v>21054</v>
          </cell>
        </row>
        <row r="1409">
          <cell r="A1409" t="str">
            <v>FERNO</v>
          </cell>
          <cell r="B1409" t="str">
            <v>012068</v>
          </cell>
          <cell r="C1409" t="str">
            <v>VA</v>
          </cell>
          <cell r="D1409" t="str">
            <v>VA</v>
          </cell>
          <cell r="E1409" t="str">
            <v>21010</v>
          </cell>
        </row>
        <row r="1410">
          <cell r="A1410" t="str">
            <v>FERRERA DI VARESE</v>
          </cell>
          <cell r="B1410" t="str">
            <v>012069</v>
          </cell>
          <cell r="C1410" t="str">
            <v>VA</v>
          </cell>
          <cell r="D1410" t="str">
            <v>VA</v>
          </cell>
          <cell r="E1410" t="str">
            <v>21030</v>
          </cell>
        </row>
        <row r="1411">
          <cell r="A1411" t="str">
            <v>GALLARATE</v>
          </cell>
          <cell r="B1411" t="str">
            <v>012070</v>
          </cell>
          <cell r="C1411" t="str">
            <v>VA</v>
          </cell>
          <cell r="D1411" t="str">
            <v>VA</v>
          </cell>
          <cell r="E1411" t="str">
            <v>21013</v>
          </cell>
        </row>
        <row r="1412">
          <cell r="A1412" t="str">
            <v>GALLIATE LOMBARDO</v>
          </cell>
          <cell r="B1412" t="str">
            <v>012071</v>
          </cell>
          <cell r="C1412" t="str">
            <v>VA</v>
          </cell>
          <cell r="D1412" t="str">
            <v>VA</v>
          </cell>
          <cell r="E1412" t="str">
            <v>21020</v>
          </cell>
        </row>
        <row r="1413">
          <cell r="A1413" t="str">
            <v>GAVIRATE</v>
          </cell>
          <cell r="B1413" t="str">
            <v>012072</v>
          </cell>
          <cell r="C1413" t="str">
            <v>VA</v>
          </cell>
          <cell r="D1413" t="str">
            <v>VA</v>
          </cell>
          <cell r="E1413" t="str">
            <v>21026</v>
          </cell>
        </row>
        <row r="1414">
          <cell r="A1414" t="str">
            <v>GAZZADA SCHIANNO</v>
          </cell>
          <cell r="B1414" t="str">
            <v>012073</v>
          </cell>
          <cell r="C1414" t="str">
            <v>VA</v>
          </cell>
          <cell r="D1414" t="str">
            <v>VA</v>
          </cell>
          <cell r="E1414" t="str">
            <v>21045</v>
          </cell>
        </row>
        <row r="1415">
          <cell r="A1415" t="str">
            <v>GEMONIO</v>
          </cell>
          <cell r="B1415" t="str">
            <v>012074</v>
          </cell>
          <cell r="C1415" t="str">
            <v>VA</v>
          </cell>
          <cell r="D1415" t="str">
            <v>VA</v>
          </cell>
          <cell r="E1415" t="str">
            <v>21036</v>
          </cell>
        </row>
        <row r="1416">
          <cell r="A1416" t="str">
            <v>GERENZANO</v>
          </cell>
          <cell r="B1416" t="str">
            <v>012075</v>
          </cell>
          <cell r="C1416" t="str">
            <v>VA</v>
          </cell>
          <cell r="D1416" t="str">
            <v>VA</v>
          </cell>
          <cell r="E1416" t="str">
            <v>21040</v>
          </cell>
        </row>
        <row r="1417">
          <cell r="A1417" t="str">
            <v>GERMIGNAGA</v>
          </cell>
          <cell r="B1417" t="str">
            <v>012076</v>
          </cell>
          <cell r="C1417" t="str">
            <v>VA</v>
          </cell>
          <cell r="D1417" t="str">
            <v>VA</v>
          </cell>
          <cell r="E1417" t="str">
            <v>21010</v>
          </cell>
        </row>
        <row r="1418">
          <cell r="A1418" t="str">
            <v>GOLASECCA</v>
          </cell>
          <cell r="B1418" t="str">
            <v>012077</v>
          </cell>
          <cell r="C1418" t="str">
            <v>VA</v>
          </cell>
          <cell r="D1418" t="str">
            <v>VA</v>
          </cell>
          <cell r="E1418" t="str">
            <v>21010</v>
          </cell>
        </row>
        <row r="1419">
          <cell r="A1419" t="str">
            <v>GORLA MAGGIORE</v>
          </cell>
          <cell r="B1419" t="str">
            <v>012078</v>
          </cell>
          <cell r="C1419" t="str">
            <v>VA</v>
          </cell>
          <cell r="D1419" t="str">
            <v>VA</v>
          </cell>
          <cell r="E1419" t="str">
            <v>21050</v>
          </cell>
        </row>
        <row r="1420">
          <cell r="A1420" t="str">
            <v>GORLA MINORE</v>
          </cell>
          <cell r="B1420" t="str">
            <v>012079</v>
          </cell>
          <cell r="C1420" t="str">
            <v>VA</v>
          </cell>
          <cell r="D1420" t="str">
            <v>VA</v>
          </cell>
          <cell r="E1420" t="str">
            <v>21055</v>
          </cell>
        </row>
        <row r="1421">
          <cell r="A1421" t="str">
            <v>GORNATE OLONA</v>
          </cell>
          <cell r="B1421" t="str">
            <v>012080</v>
          </cell>
          <cell r="C1421" t="str">
            <v>VA</v>
          </cell>
          <cell r="D1421" t="e">
            <v>#N/A</v>
          </cell>
          <cell r="E1421" t="e">
            <v>#N/A</v>
          </cell>
        </row>
        <row r="1422">
          <cell r="A1422" t="str">
            <v>GRANTOLA</v>
          </cell>
          <cell r="B1422" t="str">
            <v>012081</v>
          </cell>
          <cell r="C1422" t="str">
            <v>VA</v>
          </cell>
          <cell r="D1422" t="str">
            <v>VA</v>
          </cell>
          <cell r="E1422" t="str">
            <v>21030</v>
          </cell>
        </row>
        <row r="1423">
          <cell r="A1423" t="str">
            <v>INARZO</v>
          </cell>
          <cell r="B1423" t="str">
            <v>012082</v>
          </cell>
          <cell r="C1423" t="str">
            <v>VA</v>
          </cell>
          <cell r="D1423" t="str">
            <v>VA</v>
          </cell>
          <cell r="E1423" t="str">
            <v>21020</v>
          </cell>
        </row>
        <row r="1424">
          <cell r="A1424" t="str">
            <v>INDUNO OLONA</v>
          </cell>
          <cell r="B1424" t="str">
            <v>012083</v>
          </cell>
          <cell r="C1424" t="str">
            <v>VA</v>
          </cell>
          <cell r="D1424" t="str">
            <v>VA</v>
          </cell>
          <cell r="E1424" t="str">
            <v>21056</v>
          </cell>
        </row>
        <row r="1425">
          <cell r="A1425" t="str">
            <v>ISPRA</v>
          </cell>
          <cell r="B1425" t="str">
            <v>012084</v>
          </cell>
          <cell r="C1425" t="str">
            <v>VA</v>
          </cell>
          <cell r="D1425" t="str">
            <v>VA</v>
          </cell>
          <cell r="E1425" t="str">
            <v>21027</v>
          </cell>
        </row>
        <row r="1426">
          <cell r="A1426" t="str">
            <v>JERAGO CON ORAGO</v>
          </cell>
          <cell r="B1426" t="str">
            <v>012085</v>
          </cell>
          <cell r="C1426" t="str">
            <v>VA</v>
          </cell>
          <cell r="D1426" t="str">
            <v>VA</v>
          </cell>
          <cell r="E1426" t="str">
            <v>21040</v>
          </cell>
        </row>
        <row r="1427">
          <cell r="A1427" t="str">
            <v>LAVENA PONTE TRESA</v>
          </cell>
          <cell r="B1427" t="str">
            <v>012086</v>
          </cell>
          <cell r="C1427" t="str">
            <v>VA</v>
          </cell>
          <cell r="D1427" t="str">
            <v>VA</v>
          </cell>
          <cell r="E1427" t="str">
            <v>21037</v>
          </cell>
        </row>
        <row r="1428">
          <cell r="A1428" t="str">
            <v>LAVENO-MOMBELLO</v>
          </cell>
          <cell r="B1428" t="str">
            <v>012087</v>
          </cell>
          <cell r="C1428" t="str">
            <v>VA</v>
          </cell>
          <cell r="D1428" t="str">
            <v>VA</v>
          </cell>
          <cell r="E1428" t="str">
            <v>21014</v>
          </cell>
        </row>
        <row r="1429">
          <cell r="A1429" t="str">
            <v>LEGGIUNO</v>
          </cell>
          <cell r="B1429" t="str">
            <v>012088</v>
          </cell>
          <cell r="C1429" t="str">
            <v>VA</v>
          </cell>
          <cell r="D1429" t="str">
            <v>VA</v>
          </cell>
          <cell r="E1429" t="str">
            <v>21038</v>
          </cell>
        </row>
        <row r="1430">
          <cell r="A1430" t="str">
            <v>LONATE CEPPINO</v>
          </cell>
          <cell r="B1430" t="str">
            <v>012089</v>
          </cell>
          <cell r="C1430" t="str">
            <v>VA</v>
          </cell>
          <cell r="D1430" t="str">
            <v>VA</v>
          </cell>
          <cell r="E1430" t="str">
            <v>21050</v>
          </cell>
        </row>
        <row r="1431">
          <cell r="A1431" t="str">
            <v>LONATE POZZOLO</v>
          </cell>
          <cell r="B1431" t="str">
            <v>012090</v>
          </cell>
          <cell r="C1431" t="str">
            <v>VA</v>
          </cell>
          <cell r="D1431" t="str">
            <v>VA</v>
          </cell>
          <cell r="E1431" t="str">
            <v>21015</v>
          </cell>
        </row>
        <row r="1432">
          <cell r="A1432" t="str">
            <v>LOZZA</v>
          </cell>
          <cell r="B1432" t="str">
            <v>012091</v>
          </cell>
          <cell r="C1432" t="str">
            <v>VA</v>
          </cell>
          <cell r="D1432" t="str">
            <v>VA</v>
          </cell>
          <cell r="E1432" t="str">
            <v>21040</v>
          </cell>
        </row>
        <row r="1433">
          <cell r="A1433" t="str">
            <v>LUINO</v>
          </cell>
          <cell r="B1433" t="str">
            <v>012092</v>
          </cell>
          <cell r="C1433" t="str">
            <v>VA</v>
          </cell>
          <cell r="D1433" t="str">
            <v>VA</v>
          </cell>
          <cell r="E1433" t="str">
            <v>21016</v>
          </cell>
        </row>
        <row r="1434">
          <cell r="A1434" t="str">
            <v>LUVINATE</v>
          </cell>
          <cell r="B1434" t="str">
            <v>012093</v>
          </cell>
          <cell r="C1434" t="str">
            <v>VA</v>
          </cell>
          <cell r="D1434" t="str">
            <v>VA</v>
          </cell>
          <cell r="E1434" t="str">
            <v>21020</v>
          </cell>
        </row>
        <row r="1435">
          <cell r="A1435" t="str">
            <v>MALGESSO</v>
          </cell>
          <cell r="B1435" t="str">
            <v>012095</v>
          </cell>
          <cell r="C1435" t="str">
            <v>VA</v>
          </cell>
          <cell r="D1435" t="str">
            <v>VA</v>
          </cell>
          <cell r="E1435" t="str">
            <v>21020</v>
          </cell>
        </row>
        <row r="1436">
          <cell r="A1436" t="str">
            <v>MALNATE</v>
          </cell>
          <cell r="B1436" t="str">
            <v>012096</v>
          </cell>
          <cell r="C1436" t="str">
            <v>VA</v>
          </cell>
          <cell r="D1436" t="str">
            <v>VA</v>
          </cell>
          <cell r="E1436" t="str">
            <v>21046</v>
          </cell>
        </row>
        <row r="1437">
          <cell r="A1437" t="str">
            <v>MARCHIROLO</v>
          </cell>
          <cell r="B1437" t="str">
            <v>012097</v>
          </cell>
          <cell r="C1437" t="str">
            <v>VA</v>
          </cell>
          <cell r="D1437" t="str">
            <v>VA</v>
          </cell>
          <cell r="E1437" t="str">
            <v>21030</v>
          </cell>
        </row>
        <row r="1438">
          <cell r="A1438" t="str">
            <v>MARNATE</v>
          </cell>
          <cell r="B1438" t="str">
            <v>012098</v>
          </cell>
          <cell r="C1438" t="str">
            <v>VA</v>
          </cell>
          <cell r="D1438" t="str">
            <v>VA</v>
          </cell>
          <cell r="E1438" t="str">
            <v>21050</v>
          </cell>
        </row>
        <row r="1439">
          <cell r="A1439" t="str">
            <v>MARZIO</v>
          </cell>
          <cell r="B1439" t="str">
            <v>012099</v>
          </cell>
          <cell r="C1439" t="str">
            <v>VA</v>
          </cell>
          <cell r="D1439" t="str">
            <v>VA</v>
          </cell>
          <cell r="E1439" t="str">
            <v>21030</v>
          </cell>
        </row>
        <row r="1440">
          <cell r="A1440" t="str">
            <v>MASCIAGO PRIMO</v>
          </cell>
          <cell r="B1440" t="str">
            <v>012100</v>
          </cell>
          <cell r="C1440" t="str">
            <v>VA</v>
          </cell>
          <cell r="D1440" t="str">
            <v>VA</v>
          </cell>
          <cell r="E1440" t="str">
            <v>21030</v>
          </cell>
        </row>
        <row r="1441">
          <cell r="A1441" t="str">
            <v>MERCALLO</v>
          </cell>
          <cell r="B1441" t="str">
            <v>012101</v>
          </cell>
          <cell r="C1441" t="str">
            <v>VA</v>
          </cell>
          <cell r="D1441" t="str">
            <v>VA</v>
          </cell>
          <cell r="E1441" t="str">
            <v>21020</v>
          </cell>
        </row>
        <row r="1442">
          <cell r="A1442" t="str">
            <v>MESENZANA</v>
          </cell>
          <cell r="B1442" t="str">
            <v>012102</v>
          </cell>
          <cell r="C1442" t="str">
            <v>VA</v>
          </cell>
          <cell r="D1442" t="str">
            <v>VA</v>
          </cell>
          <cell r="E1442" t="str">
            <v>21030</v>
          </cell>
        </row>
        <row r="1443">
          <cell r="A1443" t="str">
            <v>MONTEGRINO VALTRAVAGLIA</v>
          </cell>
          <cell r="B1443" t="str">
            <v>012103</v>
          </cell>
          <cell r="C1443" t="str">
            <v>VA</v>
          </cell>
          <cell r="D1443" t="str">
            <v>VA</v>
          </cell>
          <cell r="E1443" t="str">
            <v>21010</v>
          </cell>
        </row>
        <row r="1444">
          <cell r="A1444" t="str">
            <v>MONVALLE</v>
          </cell>
          <cell r="B1444" t="str">
            <v>012104</v>
          </cell>
          <cell r="C1444" t="str">
            <v>VA</v>
          </cell>
          <cell r="D1444" t="str">
            <v>VA</v>
          </cell>
          <cell r="E1444" t="str">
            <v>21020</v>
          </cell>
        </row>
        <row r="1445">
          <cell r="A1445" t="str">
            <v>MORAZZONE</v>
          </cell>
          <cell r="B1445" t="str">
            <v>012105</v>
          </cell>
          <cell r="C1445" t="str">
            <v>VA</v>
          </cell>
          <cell r="D1445" t="str">
            <v>VA</v>
          </cell>
          <cell r="E1445" t="str">
            <v>21040</v>
          </cell>
        </row>
        <row r="1446">
          <cell r="A1446" t="str">
            <v>MORNAGO</v>
          </cell>
          <cell r="B1446" t="str">
            <v>012106</v>
          </cell>
          <cell r="C1446" t="str">
            <v>VA</v>
          </cell>
          <cell r="D1446" t="str">
            <v>VA</v>
          </cell>
          <cell r="E1446" t="str">
            <v>21020</v>
          </cell>
        </row>
        <row r="1447">
          <cell r="A1447" t="str">
            <v>OGGIONA CON SANTO STEFANO</v>
          </cell>
          <cell r="B1447" t="str">
            <v>012107</v>
          </cell>
          <cell r="C1447" t="str">
            <v>VA</v>
          </cell>
          <cell r="D1447" t="str">
            <v>VA</v>
          </cell>
          <cell r="E1447" t="str">
            <v>21040</v>
          </cell>
        </row>
        <row r="1448">
          <cell r="A1448" t="str">
            <v>OLGIATE OLONA</v>
          </cell>
          <cell r="B1448" t="str">
            <v>012108</v>
          </cell>
          <cell r="C1448" t="str">
            <v>VA</v>
          </cell>
          <cell r="D1448" t="str">
            <v>VA</v>
          </cell>
          <cell r="E1448" t="str">
            <v>21057</v>
          </cell>
        </row>
        <row r="1449">
          <cell r="A1449" t="str">
            <v>ORIGGIO</v>
          </cell>
          <cell r="B1449" t="str">
            <v>012109</v>
          </cell>
          <cell r="C1449" t="str">
            <v>VA</v>
          </cell>
          <cell r="D1449" t="str">
            <v>VA</v>
          </cell>
          <cell r="E1449" t="str">
            <v>21040</v>
          </cell>
        </row>
        <row r="1450">
          <cell r="A1450" t="str">
            <v>ORINO</v>
          </cell>
          <cell r="B1450" t="str">
            <v>012110</v>
          </cell>
          <cell r="C1450" t="str">
            <v>VA</v>
          </cell>
          <cell r="D1450" t="str">
            <v>VA</v>
          </cell>
          <cell r="E1450" t="str">
            <v>21030</v>
          </cell>
        </row>
        <row r="1451">
          <cell r="A1451" t="str">
            <v>PORTO CERESIO</v>
          </cell>
          <cell r="B1451" t="str">
            <v>012113</v>
          </cell>
          <cell r="C1451" t="str">
            <v>VA</v>
          </cell>
          <cell r="D1451" t="str">
            <v>VA</v>
          </cell>
          <cell r="E1451" t="str">
            <v>21050</v>
          </cell>
        </row>
        <row r="1452">
          <cell r="A1452" t="str">
            <v>PORTO VALTRAVAGLIA</v>
          </cell>
          <cell r="B1452" t="str">
            <v>012114</v>
          </cell>
          <cell r="C1452" t="str">
            <v>VA</v>
          </cell>
          <cell r="D1452" t="str">
            <v>VA</v>
          </cell>
          <cell r="E1452" t="str">
            <v>21010</v>
          </cell>
        </row>
        <row r="1453">
          <cell r="A1453" t="str">
            <v>RANCIO VALCUVIA</v>
          </cell>
          <cell r="B1453" t="str">
            <v>012115</v>
          </cell>
          <cell r="C1453" t="str">
            <v>VA</v>
          </cell>
          <cell r="D1453" t="str">
            <v>VA</v>
          </cell>
          <cell r="E1453" t="str">
            <v>21030</v>
          </cell>
        </row>
        <row r="1454">
          <cell r="A1454" t="str">
            <v>RANCO</v>
          </cell>
          <cell r="B1454" t="str">
            <v>012116</v>
          </cell>
          <cell r="C1454" t="str">
            <v>VA</v>
          </cell>
          <cell r="D1454" t="str">
            <v>VA</v>
          </cell>
          <cell r="E1454" t="str">
            <v>21020</v>
          </cell>
        </row>
        <row r="1455">
          <cell r="A1455" t="str">
            <v>SALTRIO</v>
          </cell>
          <cell r="B1455" t="str">
            <v>012117</v>
          </cell>
          <cell r="C1455" t="str">
            <v>VA</v>
          </cell>
          <cell r="D1455" t="str">
            <v>VA</v>
          </cell>
          <cell r="E1455" t="str">
            <v>21050</v>
          </cell>
        </row>
        <row r="1456">
          <cell r="A1456" t="str">
            <v>SAMARATE</v>
          </cell>
          <cell r="B1456" t="str">
            <v>012118</v>
          </cell>
          <cell r="C1456" t="str">
            <v>VA</v>
          </cell>
          <cell r="D1456" t="str">
            <v>VA</v>
          </cell>
          <cell r="E1456" t="str">
            <v>21017</v>
          </cell>
        </row>
        <row r="1457">
          <cell r="A1457" t="str">
            <v>SARONNO</v>
          </cell>
          <cell r="B1457" t="str">
            <v>012119</v>
          </cell>
          <cell r="C1457" t="str">
            <v>VA</v>
          </cell>
          <cell r="D1457" t="str">
            <v>VA</v>
          </cell>
          <cell r="E1457" t="str">
            <v>21047</v>
          </cell>
        </row>
        <row r="1458">
          <cell r="A1458" t="str">
            <v>SESTO CALENDE</v>
          </cell>
          <cell r="B1458" t="str">
            <v>012120</v>
          </cell>
          <cell r="C1458" t="str">
            <v>VA</v>
          </cell>
          <cell r="D1458" t="str">
            <v>VA</v>
          </cell>
          <cell r="E1458" t="str">
            <v>21018</v>
          </cell>
        </row>
        <row r="1459">
          <cell r="A1459" t="str">
            <v>SOLBIATE ARNO</v>
          </cell>
          <cell r="B1459" t="str">
            <v>012121</v>
          </cell>
          <cell r="C1459" t="str">
            <v>VA</v>
          </cell>
          <cell r="D1459" t="str">
            <v>VA</v>
          </cell>
          <cell r="E1459" t="str">
            <v>21048</v>
          </cell>
        </row>
        <row r="1460">
          <cell r="A1460" t="str">
            <v>SOLBIATE OLONA</v>
          </cell>
          <cell r="B1460" t="str">
            <v>012122</v>
          </cell>
          <cell r="C1460" t="str">
            <v>VA</v>
          </cell>
          <cell r="D1460" t="str">
            <v>VA</v>
          </cell>
          <cell r="E1460" t="str">
            <v>21058</v>
          </cell>
        </row>
        <row r="1461">
          <cell r="A1461" t="str">
            <v>SOMMA LOMBARDO</v>
          </cell>
          <cell r="B1461" t="str">
            <v>012123</v>
          </cell>
          <cell r="C1461" t="str">
            <v>VA</v>
          </cell>
          <cell r="D1461" t="str">
            <v>VA</v>
          </cell>
          <cell r="E1461" t="str">
            <v>21019</v>
          </cell>
        </row>
        <row r="1462">
          <cell r="A1462" t="str">
            <v>SUMIRAGO</v>
          </cell>
          <cell r="B1462" t="str">
            <v>012124</v>
          </cell>
          <cell r="C1462" t="str">
            <v>VA</v>
          </cell>
          <cell r="D1462" t="str">
            <v>VA</v>
          </cell>
          <cell r="E1462" t="str">
            <v>21040</v>
          </cell>
        </row>
        <row r="1463">
          <cell r="A1463" t="str">
            <v>TAINO</v>
          </cell>
          <cell r="B1463" t="str">
            <v>012125</v>
          </cell>
          <cell r="C1463" t="str">
            <v>VA</v>
          </cell>
          <cell r="D1463" t="str">
            <v>VA</v>
          </cell>
          <cell r="E1463" t="str">
            <v>21020</v>
          </cell>
        </row>
        <row r="1464">
          <cell r="A1464" t="str">
            <v>TERNATE</v>
          </cell>
          <cell r="B1464" t="str">
            <v>012126</v>
          </cell>
          <cell r="C1464" t="str">
            <v>VA</v>
          </cell>
          <cell r="D1464" t="str">
            <v>VA</v>
          </cell>
          <cell r="E1464" t="str">
            <v>21020</v>
          </cell>
        </row>
        <row r="1465">
          <cell r="A1465" t="str">
            <v>TRADATE</v>
          </cell>
          <cell r="B1465" t="str">
            <v>012127</v>
          </cell>
          <cell r="C1465" t="str">
            <v>VA</v>
          </cell>
          <cell r="D1465" t="str">
            <v>VA</v>
          </cell>
          <cell r="E1465" t="str">
            <v>21049</v>
          </cell>
        </row>
        <row r="1466">
          <cell r="A1466" t="str">
            <v>TRAVEDONA-MONATE</v>
          </cell>
          <cell r="B1466" t="str">
            <v>012128</v>
          </cell>
          <cell r="C1466" t="str">
            <v>VA</v>
          </cell>
          <cell r="D1466" t="str">
            <v>VA</v>
          </cell>
          <cell r="E1466" t="str">
            <v>21028</v>
          </cell>
        </row>
        <row r="1467">
          <cell r="A1467" t="str">
            <v>TRONZANO LAGO MAGGIORE</v>
          </cell>
          <cell r="B1467" t="str">
            <v>012129</v>
          </cell>
          <cell r="C1467" t="str">
            <v>VA</v>
          </cell>
          <cell r="D1467" t="str">
            <v>VA</v>
          </cell>
          <cell r="E1467" t="str">
            <v>21010</v>
          </cell>
        </row>
        <row r="1468">
          <cell r="A1468" t="str">
            <v>UBOLDO</v>
          </cell>
          <cell r="B1468" t="str">
            <v>012130</v>
          </cell>
          <cell r="C1468" t="str">
            <v>VA</v>
          </cell>
          <cell r="D1468" t="str">
            <v>VA</v>
          </cell>
          <cell r="E1468" t="str">
            <v>21040</v>
          </cell>
        </row>
        <row r="1469">
          <cell r="A1469" t="str">
            <v>VALGANNA</v>
          </cell>
          <cell r="B1469" t="str">
            <v>012131</v>
          </cell>
          <cell r="C1469" t="str">
            <v>VA</v>
          </cell>
          <cell r="D1469" t="str">
            <v>VA</v>
          </cell>
          <cell r="E1469" t="str">
            <v>21039</v>
          </cell>
        </row>
        <row r="1470">
          <cell r="A1470" t="str">
            <v>VARANO BORGHI</v>
          </cell>
          <cell r="B1470" t="str">
            <v>012132</v>
          </cell>
          <cell r="C1470" t="str">
            <v>VA</v>
          </cell>
          <cell r="D1470" t="str">
            <v>VA</v>
          </cell>
          <cell r="E1470" t="str">
            <v>21020</v>
          </cell>
        </row>
        <row r="1471">
          <cell r="A1471" t="str">
            <v>VARESE</v>
          </cell>
          <cell r="B1471" t="str">
            <v>012133</v>
          </cell>
          <cell r="C1471" t="str">
            <v>VA</v>
          </cell>
          <cell r="D1471" t="str">
            <v>VA</v>
          </cell>
          <cell r="E1471" t="str">
            <v>21100</v>
          </cell>
        </row>
        <row r="1472">
          <cell r="A1472" t="str">
            <v>VEDANO OLONA</v>
          </cell>
          <cell r="B1472" t="str">
            <v>012134</v>
          </cell>
          <cell r="C1472" t="str">
            <v>VA</v>
          </cell>
          <cell r="D1472" t="str">
            <v>VA</v>
          </cell>
          <cell r="E1472" t="str">
            <v>21040</v>
          </cell>
        </row>
        <row r="1473">
          <cell r="A1473" t="str">
            <v>VENEGONO INFERIORE</v>
          </cell>
          <cell r="B1473" t="str">
            <v>012136</v>
          </cell>
          <cell r="C1473" t="str">
            <v>VA</v>
          </cell>
          <cell r="D1473" t="str">
            <v>VA</v>
          </cell>
          <cell r="E1473" t="str">
            <v>21040</v>
          </cell>
        </row>
        <row r="1474">
          <cell r="A1474" t="str">
            <v>VENEGONO SUPERIORE</v>
          </cell>
          <cell r="B1474" t="str">
            <v>012137</v>
          </cell>
          <cell r="C1474" t="str">
            <v>VA</v>
          </cell>
          <cell r="D1474" t="str">
            <v>VA</v>
          </cell>
          <cell r="E1474" t="str">
            <v>21040</v>
          </cell>
        </row>
        <row r="1475">
          <cell r="A1475" t="str">
            <v>VERGIATE</v>
          </cell>
          <cell r="B1475" t="str">
            <v>012138</v>
          </cell>
          <cell r="C1475" t="str">
            <v>VA</v>
          </cell>
          <cell r="D1475" t="str">
            <v>VA</v>
          </cell>
          <cell r="E1475" t="str">
            <v>21029</v>
          </cell>
        </row>
        <row r="1476">
          <cell r="A1476" t="str">
            <v>VIGGIÙ</v>
          </cell>
          <cell r="B1476" t="str">
            <v>012139</v>
          </cell>
          <cell r="C1476" t="str">
            <v>VA</v>
          </cell>
          <cell r="D1476" t="str">
            <v>VA</v>
          </cell>
          <cell r="E1476" t="str">
            <v>21059</v>
          </cell>
        </row>
        <row r="1477">
          <cell r="A1477" t="str">
            <v>VIZZOLA TICINO</v>
          </cell>
          <cell r="B1477" t="str">
            <v>012140</v>
          </cell>
          <cell r="C1477" t="str">
            <v>VA</v>
          </cell>
          <cell r="D1477" t="str">
            <v>VA</v>
          </cell>
          <cell r="E1477" t="str">
            <v>21010</v>
          </cell>
        </row>
        <row r="1478">
          <cell r="A1478" t="str">
            <v>SANGIANO</v>
          </cell>
          <cell r="B1478" t="str">
            <v>012141</v>
          </cell>
          <cell r="C1478" t="str">
            <v>VA</v>
          </cell>
          <cell r="D1478" t="str">
            <v>VA</v>
          </cell>
          <cell r="E1478" t="str">
            <v>21038</v>
          </cell>
        </row>
        <row r="1479">
          <cell r="A1479" t="str">
            <v>MACCAGNO CON PINO E VEDDASCA</v>
          </cell>
          <cell r="B1479" t="str">
            <v>012142</v>
          </cell>
          <cell r="C1479" t="str">
            <v>VA</v>
          </cell>
          <cell r="D1479" t="e">
            <v>#N/A</v>
          </cell>
          <cell r="E1479" t="e">
            <v>#N/A</v>
          </cell>
        </row>
        <row r="1480">
          <cell r="A1480" t="str">
            <v>CADREZZATE CON OSMATE</v>
          </cell>
          <cell r="B1480" t="str">
            <v>012143</v>
          </cell>
          <cell r="C1480" t="str">
            <v>VA</v>
          </cell>
          <cell r="D1480" t="e">
            <v>#N/A</v>
          </cell>
          <cell r="E1480" t="e">
            <v>#N/A</v>
          </cell>
        </row>
        <row r="1481">
          <cell r="A1481" t="str">
            <v>ALBAVILLA</v>
          </cell>
          <cell r="B1481" t="str">
            <v>013003</v>
          </cell>
          <cell r="C1481" t="str">
            <v>CO</v>
          </cell>
          <cell r="D1481" t="str">
            <v>CO</v>
          </cell>
          <cell r="E1481" t="str">
            <v>22031</v>
          </cell>
        </row>
        <row r="1482">
          <cell r="A1482" t="str">
            <v>ALBESE CON CASSANO</v>
          </cell>
          <cell r="B1482" t="str">
            <v>013004</v>
          </cell>
          <cell r="C1482" t="str">
            <v>CO</v>
          </cell>
          <cell r="D1482" t="str">
            <v>CO</v>
          </cell>
          <cell r="E1482" t="str">
            <v>22032</v>
          </cell>
        </row>
        <row r="1483">
          <cell r="A1483" t="str">
            <v>ALBIOLO</v>
          </cell>
          <cell r="B1483" t="str">
            <v>013005</v>
          </cell>
          <cell r="C1483" t="str">
            <v>CO</v>
          </cell>
          <cell r="D1483" t="str">
            <v>CO</v>
          </cell>
          <cell r="E1483" t="str">
            <v>22070</v>
          </cell>
        </row>
        <row r="1484">
          <cell r="A1484" t="str">
            <v>ALSERIO</v>
          </cell>
          <cell r="B1484" t="str">
            <v>013006</v>
          </cell>
          <cell r="C1484" t="str">
            <v>CO</v>
          </cell>
          <cell r="D1484" t="str">
            <v>CO</v>
          </cell>
          <cell r="E1484" t="str">
            <v>22040</v>
          </cell>
        </row>
        <row r="1485">
          <cell r="A1485" t="str">
            <v>ALZATE BRIANZA</v>
          </cell>
          <cell r="B1485" t="str">
            <v>013007</v>
          </cell>
          <cell r="C1485" t="str">
            <v>CO</v>
          </cell>
          <cell r="D1485" t="str">
            <v>CO</v>
          </cell>
          <cell r="E1485" t="str">
            <v>22040</v>
          </cell>
        </row>
        <row r="1486">
          <cell r="A1486" t="str">
            <v>ANZANO DEL PARCO</v>
          </cell>
          <cell r="B1486" t="str">
            <v>013009</v>
          </cell>
          <cell r="C1486" t="str">
            <v>CO</v>
          </cell>
          <cell r="D1486" t="str">
            <v>CO</v>
          </cell>
          <cell r="E1486" t="str">
            <v>22040</v>
          </cell>
        </row>
        <row r="1487">
          <cell r="A1487" t="str">
            <v>APPIANO GENTILE</v>
          </cell>
          <cell r="B1487" t="str">
            <v>013010</v>
          </cell>
          <cell r="C1487" t="str">
            <v>CO</v>
          </cell>
          <cell r="D1487" t="str">
            <v>CO</v>
          </cell>
          <cell r="E1487" t="str">
            <v>22070</v>
          </cell>
        </row>
        <row r="1488">
          <cell r="A1488" t="str">
            <v>ARGEGNO</v>
          </cell>
          <cell r="B1488" t="str">
            <v>013011</v>
          </cell>
          <cell r="C1488" t="str">
            <v>CO</v>
          </cell>
          <cell r="D1488" t="str">
            <v>CO</v>
          </cell>
          <cell r="E1488" t="str">
            <v>22010</v>
          </cell>
        </row>
        <row r="1489">
          <cell r="A1489" t="str">
            <v>AROSIO</v>
          </cell>
          <cell r="B1489" t="str">
            <v>013012</v>
          </cell>
          <cell r="C1489" t="str">
            <v>CO</v>
          </cell>
          <cell r="D1489" t="str">
            <v>CO</v>
          </cell>
          <cell r="E1489" t="str">
            <v>22060</v>
          </cell>
        </row>
        <row r="1490">
          <cell r="A1490" t="str">
            <v>ASSO</v>
          </cell>
          <cell r="B1490" t="str">
            <v>013013</v>
          </cell>
          <cell r="C1490" t="str">
            <v>CO</v>
          </cell>
          <cell r="D1490" t="str">
            <v>CO</v>
          </cell>
          <cell r="E1490" t="str">
            <v>22033</v>
          </cell>
        </row>
        <row r="1491">
          <cell r="A1491" t="str">
            <v>BARNI</v>
          </cell>
          <cell r="B1491" t="str">
            <v>013015</v>
          </cell>
          <cell r="C1491" t="str">
            <v>CO</v>
          </cell>
          <cell r="D1491" t="str">
            <v>CO</v>
          </cell>
          <cell r="E1491" t="str">
            <v>22030</v>
          </cell>
        </row>
        <row r="1492">
          <cell r="A1492" t="str">
            <v>BENE LARIO</v>
          </cell>
          <cell r="B1492" t="str">
            <v>013021</v>
          </cell>
          <cell r="C1492" t="str">
            <v>CO</v>
          </cell>
          <cell r="D1492" t="str">
            <v>CO</v>
          </cell>
          <cell r="E1492" t="str">
            <v>22010</v>
          </cell>
        </row>
        <row r="1493">
          <cell r="A1493" t="str">
            <v>BEREGAZZO CON FIGLIARO</v>
          </cell>
          <cell r="B1493" t="str">
            <v>013022</v>
          </cell>
          <cell r="C1493" t="str">
            <v>CO</v>
          </cell>
          <cell r="D1493" t="str">
            <v>CO</v>
          </cell>
          <cell r="E1493" t="str">
            <v>22070</v>
          </cell>
        </row>
        <row r="1494">
          <cell r="A1494" t="str">
            <v>BINAGO</v>
          </cell>
          <cell r="B1494" t="str">
            <v>013023</v>
          </cell>
          <cell r="C1494" t="str">
            <v>CO</v>
          </cell>
          <cell r="D1494" t="str">
            <v>CO</v>
          </cell>
          <cell r="E1494" t="str">
            <v>22070</v>
          </cell>
        </row>
        <row r="1495">
          <cell r="A1495" t="str">
            <v>BIZZARONE</v>
          </cell>
          <cell r="B1495" t="str">
            <v>013024</v>
          </cell>
          <cell r="C1495" t="str">
            <v>CO</v>
          </cell>
          <cell r="D1495" t="str">
            <v>CO</v>
          </cell>
          <cell r="E1495" t="str">
            <v>22020</v>
          </cell>
        </row>
        <row r="1496">
          <cell r="A1496" t="str">
            <v>BLESSAGNO</v>
          </cell>
          <cell r="B1496" t="str">
            <v>013025</v>
          </cell>
          <cell r="C1496" t="str">
            <v>CO</v>
          </cell>
          <cell r="D1496" t="str">
            <v>CO</v>
          </cell>
          <cell r="E1496" t="str">
            <v>22028</v>
          </cell>
        </row>
        <row r="1497">
          <cell r="A1497" t="str">
            <v>BLEVIO</v>
          </cell>
          <cell r="B1497" t="str">
            <v>013026</v>
          </cell>
          <cell r="C1497" t="str">
            <v>CO</v>
          </cell>
          <cell r="D1497" t="str">
            <v>CO</v>
          </cell>
          <cell r="E1497" t="str">
            <v>22020</v>
          </cell>
        </row>
        <row r="1498">
          <cell r="A1498" t="str">
            <v>BREGNANO</v>
          </cell>
          <cell r="B1498" t="str">
            <v>013028</v>
          </cell>
          <cell r="C1498" t="str">
            <v>CO</v>
          </cell>
          <cell r="D1498" t="str">
            <v>CO</v>
          </cell>
          <cell r="E1498" t="str">
            <v>22070</v>
          </cell>
        </row>
        <row r="1499">
          <cell r="A1499" t="str">
            <v>BRENNA</v>
          </cell>
          <cell r="B1499" t="str">
            <v>013029</v>
          </cell>
          <cell r="C1499" t="str">
            <v>CO</v>
          </cell>
          <cell r="D1499" t="str">
            <v>CO</v>
          </cell>
          <cell r="E1499" t="str">
            <v>22040</v>
          </cell>
        </row>
        <row r="1500">
          <cell r="A1500" t="str">
            <v>BRIENNO</v>
          </cell>
          <cell r="B1500" t="str">
            <v>013030</v>
          </cell>
          <cell r="C1500" t="str">
            <v>CO</v>
          </cell>
          <cell r="D1500" t="str">
            <v>CO</v>
          </cell>
          <cell r="E1500" t="str">
            <v>22010</v>
          </cell>
        </row>
        <row r="1501">
          <cell r="A1501" t="str">
            <v>BRUNATE</v>
          </cell>
          <cell r="B1501" t="str">
            <v>013032</v>
          </cell>
          <cell r="C1501" t="str">
            <v>CO</v>
          </cell>
          <cell r="D1501" t="str">
            <v>CO</v>
          </cell>
          <cell r="E1501" t="str">
            <v>22034</v>
          </cell>
        </row>
        <row r="1502">
          <cell r="A1502" t="str">
            <v>BULGAROGRASSO</v>
          </cell>
          <cell r="B1502" t="str">
            <v>013034</v>
          </cell>
          <cell r="C1502" t="str">
            <v>CO</v>
          </cell>
          <cell r="D1502" t="str">
            <v>CO</v>
          </cell>
          <cell r="E1502" t="str">
            <v>22070</v>
          </cell>
        </row>
        <row r="1503">
          <cell r="A1503" t="str">
            <v>CABIATE</v>
          </cell>
          <cell r="B1503" t="str">
            <v>013035</v>
          </cell>
          <cell r="C1503" t="str">
            <v>CO</v>
          </cell>
          <cell r="D1503" t="str">
            <v>CO</v>
          </cell>
          <cell r="E1503" t="str">
            <v>22060</v>
          </cell>
        </row>
        <row r="1504">
          <cell r="A1504" t="str">
            <v>CADORAGO</v>
          </cell>
          <cell r="B1504" t="str">
            <v>013036</v>
          </cell>
          <cell r="C1504" t="str">
            <v>CO</v>
          </cell>
          <cell r="D1504" t="str">
            <v>CO</v>
          </cell>
          <cell r="E1504" t="str">
            <v>22071</v>
          </cell>
        </row>
        <row r="1505">
          <cell r="A1505" t="str">
            <v>CAGLIO</v>
          </cell>
          <cell r="B1505" t="str">
            <v>013037</v>
          </cell>
          <cell r="C1505" t="str">
            <v>CO</v>
          </cell>
          <cell r="D1505" t="str">
            <v>CO</v>
          </cell>
          <cell r="E1505" t="str">
            <v>22030</v>
          </cell>
        </row>
        <row r="1506">
          <cell r="A1506" t="str">
            <v>CAMPIONE D'ITALIA</v>
          </cell>
          <cell r="B1506" t="str">
            <v>013040</v>
          </cell>
          <cell r="C1506" t="str">
            <v>CO</v>
          </cell>
          <cell r="D1506" t="str">
            <v>CO</v>
          </cell>
          <cell r="E1506" t="str">
            <v>22060</v>
          </cell>
        </row>
        <row r="1507">
          <cell r="A1507" t="str">
            <v>CANTÙ</v>
          </cell>
          <cell r="B1507" t="str">
            <v>013041</v>
          </cell>
          <cell r="C1507" t="str">
            <v>CO</v>
          </cell>
          <cell r="D1507" t="str">
            <v>CO</v>
          </cell>
          <cell r="E1507" t="str">
            <v>22063</v>
          </cell>
        </row>
        <row r="1508">
          <cell r="A1508" t="str">
            <v>CANZO</v>
          </cell>
          <cell r="B1508" t="str">
            <v>013042</v>
          </cell>
          <cell r="C1508" t="str">
            <v>CO</v>
          </cell>
          <cell r="D1508" t="str">
            <v>CO</v>
          </cell>
          <cell r="E1508" t="str">
            <v>22035</v>
          </cell>
        </row>
        <row r="1509">
          <cell r="A1509" t="str">
            <v>CAPIAGO INTIMIANO</v>
          </cell>
          <cell r="B1509" t="str">
            <v>013043</v>
          </cell>
          <cell r="C1509" t="str">
            <v>CO</v>
          </cell>
          <cell r="D1509" t="str">
            <v>CO</v>
          </cell>
          <cell r="E1509" t="str">
            <v>22070</v>
          </cell>
        </row>
        <row r="1510">
          <cell r="A1510" t="str">
            <v>CARATE URIO</v>
          </cell>
          <cell r="B1510" t="str">
            <v>013044</v>
          </cell>
          <cell r="C1510" t="str">
            <v>CO</v>
          </cell>
          <cell r="D1510" t="str">
            <v>CO</v>
          </cell>
          <cell r="E1510" t="str">
            <v>22010</v>
          </cell>
        </row>
        <row r="1511">
          <cell r="A1511" t="str">
            <v>CARBONATE</v>
          </cell>
          <cell r="B1511" t="str">
            <v>013045</v>
          </cell>
          <cell r="C1511" t="str">
            <v>CO</v>
          </cell>
          <cell r="D1511" t="str">
            <v>CO</v>
          </cell>
          <cell r="E1511" t="str">
            <v>22070</v>
          </cell>
        </row>
        <row r="1512">
          <cell r="A1512" t="str">
            <v>CARIMATE</v>
          </cell>
          <cell r="B1512" t="str">
            <v>013046</v>
          </cell>
          <cell r="C1512" t="str">
            <v>CO</v>
          </cell>
          <cell r="D1512" t="str">
            <v>CO</v>
          </cell>
          <cell r="E1512" t="str">
            <v>22060</v>
          </cell>
        </row>
        <row r="1513">
          <cell r="A1513" t="str">
            <v>CARLAZZO</v>
          </cell>
          <cell r="B1513" t="str">
            <v>013047</v>
          </cell>
          <cell r="C1513" t="str">
            <v>CO</v>
          </cell>
          <cell r="D1513" t="str">
            <v>CO</v>
          </cell>
          <cell r="E1513" t="str">
            <v>22010</v>
          </cell>
        </row>
        <row r="1514">
          <cell r="A1514" t="str">
            <v>CARUGO</v>
          </cell>
          <cell r="B1514" t="str">
            <v>013048</v>
          </cell>
          <cell r="C1514" t="str">
            <v>CO</v>
          </cell>
          <cell r="D1514" t="str">
            <v>CO</v>
          </cell>
          <cell r="E1514" t="str">
            <v>22060</v>
          </cell>
        </row>
        <row r="1515">
          <cell r="A1515" t="str">
            <v>CASLINO D'ERBA</v>
          </cell>
          <cell r="B1515" t="str">
            <v>013052</v>
          </cell>
          <cell r="C1515" t="str">
            <v>CO</v>
          </cell>
          <cell r="D1515" t="str">
            <v>CO</v>
          </cell>
          <cell r="E1515" t="str">
            <v>22030</v>
          </cell>
        </row>
        <row r="1516">
          <cell r="A1516" t="str">
            <v>CASNATE CON BERNATE</v>
          </cell>
          <cell r="B1516" t="str">
            <v>013053</v>
          </cell>
          <cell r="C1516" t="str">
            <v>CO</v>
          </cell>
          <cell r="D1516" t="str">
            <v>CO</v>
          </cell>
          <cell r="E1516" t="str">
            <v>22070</v>
          </cell>
        </row>
        <row r="1517">
          <cell r="A1517" t="str">
            <v>CASSINA RIZZARDI</v>
          </cell>
          <cell r="B1517" t="str">
            <v>013055</v>
          </cell>
          <cell r="C1517" t="str">
            <v>CO</v>
          </cell>
          <cell r="D1517" t="str">
            <v>CO</v>
          </cell>
          <cell r="E1517" t="str">
            <v>22070</v>
          </cell>
        </row>
        <row r="1518">
          <cell r="A1518" t="str">
            <v>CASTELMARTE</v>
          </cell>
          <cell r="B1518" t="str">
            <v>013058</v>
          </cell>
          <cell r="C1518" t="str">
            <v>CO</v>
          </cell>
          <cell r="D1518" t="str">
            <v>CO</v>
          </cell>
          <cell r="E1518" t="str">
            <v>22030</v>
          </cell>
        </row>
        <row r="1519">
          <cell r="A1519" t="str">
            <v>CASTELNUOVO BOZZENTE</v>
          </cell>
          <cell r="B1519" t="str">
            <v>013059</v>
          </cell>
          <cell r="C1519" t="str">
            <v>CO</v>
          </cell>
          <cell r="D1519" t="str">
            <v>CO</v>
          </cell>
          <cell r="E1519" t="str">
            <v>22070</v>
          </cell>
        </row>
        <row r="1520">
          <cell r="A1520" t="str">
            <v>CAVARGNA</v>
          </cell>
          <cell r="B1520" t="str">
            <v>013062</v>
          </cell>
          <cell r="C1520" t="str">
            <v>CO</v>
          </cell>
          <cell r="D1520" t="str">
            <v>CO</v>
          </cell>
          <cell r="E1520" t="str">
            <v>22010</v>
          </cell>
        </row>
        <row r="1521">
          <cell r="A1521" t="str">
            <v>CERANO D'INTELVI</v>
          </cell>
          <cell r="B1521" t="str">
            <v>013063</v>
          </cell>
          <cell r="C1521" t="str">
            <v>CO</v>
          </cell>
          <cell r="D1521" t="str">
            <v>CO</v>
          </cell>
          <cell r="E1521" t="str">
            <v>22020</v>
          </cell>
        </row>
        <row r="1522">
          <cell r="A1522" t="str">
            <v>CERMENATE</v>
          </cell>
          <cell r="B1522" t="str">
            <v>013064</v>
          </cell>
          <cell r="C1522" t="str">
            <v>CO</v>
          </cell>
          <cell r="D1522" t="str">
            <v>CO</v>
          </cell>
          <cell r="E1522" t="str">
            <v>22072</v>
          </cell>
        </row>
        <row r="1523">
          <cell r="A1523" t="str">
            <v>CERNOBBIO</v>
          </cell>
          <cell r="B1523" t="str">
            <v>013065</v>
          </cell>
          <cell r="C1523" t="str">
            <v>CO</v>
          </cell>
          <cell r="D1523" t="str">
            <v>CO</v>
          </cell>
          <cell r="E1523" t="str">
            <v>22012</v>
          </cell>
        </row>
        <row r="1524">
          <cell r="A1524" t="str">
            <v>CIRIMIDO</v>
          </cell>
          <cell r="B1524" t="str">
            <v>013068</v>
          </cell>
          <cell r="C1524" t="str">
            <v>CO</v>
          </cell>
          <cell r="D1524" t="str">
            <v>CO</v>
          </cell>
          <cell r="E1524" t="str">
            <v>22070</v>
          </cell>
        </row>
        <row r="1525">
          <cell r="A1525" t="str">
            <v>CLAINO CON OSTENO</v>
          </cell>
          <cell r="B1525" t="str">
            <v>013071</v>
          </cell>
          <cell r="C1525" t="str">
            <v>CO</v>
          </cell>
          <cell r="D1525" t="str">
            <v>CO</v>
          </cell>
          <cell r="E1525" t="str">
            <v>22010</v>
          </cell>
        </row>
        <row r="1526">
          <cell r="A1526" t="str">
            <v>COLONNO</v>
          </cell>
          <cell r="B1526" t="str">
            <v>013074</v>
          </cell>
          <cell r="C1526" t="str">
            <v>CO</v>
          </cell>
          <cell r="D1526" t="str">
            <v>CO</v>
          </cell>
          <cell r="E1526" t="str">
            <v>22010</v>
          </cell>
        </row>
        <row r="1527">
          <cell r="A1527" t="str">
            <v>COMO</v>
          </cell>
          <cell r="B1527" t="str">
            <v>013075</v>
          </cell>
          <cell r="C1527" t="str">
            <v>CO</v>
          </cell>
          <cell r="D1527" t="str">
            <v>CO</v>
          </cell>
          <cell r="E1527" t="str">
            <v>22100</v>
          </cell>
        </row>
        <row r="1528">
          <cell r="A1528" t="str">
            <v>CORRIDO</v>
          </cell>
          <cell r="B1528" t="str">
            <v>013077</v>
          </cell>
          <cell r="C1528" t="str">
            <v>CO</v>
          </cell>
          <cell r="D1528" t="str">
            <v>CO</v>
          </cell>
          <cell r="E1528" t="str">
            <v>22010</v>
          </cell>
        </row>
        <row r="1529">
          <cell r="A1529" t="str">
            <v>CREMIA</v>
          </cell>
          <cell r="B1529" t="str">
            <v>013083</v>
          </cell>
          <cell r="C1529" t="str">
            <v>CO</v>
          </cell>
          <cell r="D1529" t="str">
            <v>CO</v>
          </cell>
          <cell r="E1529" t="str">
            <v>22010</v>
          </cell>
        </row>
        <row r="1530">
          <cell r="A1530" t="str">
            <v>CUCCIAGO</v>
          </cell>
          <cell r="B1530" t="str">
            <v>013084</v>
          </cell>
          <cell r="C1530" t="str">
            <v>CO</v>
          </cell>
          <cell r="D1530" t="str">
            <v>CO</v>
          </cell>
          <cell r="E1530" t="str">
            <v>22060</v>
          </cell>
        </row>
        <row r="1531">
          <cell r="A1531" t="str">
            <v>CUSINO</v>
          </cell>
          <cell r="B1531" t="str">
            <v>013085</v>
          </cell>
          <cell r="C1531" t="str">
            <v>CO</v>
          </cell>
          <cell r="D1531" t="str">
            <v>CO</v>
          </cell>
          <cell r="E1531" t="str">
            <v>22010</v>
          </cell>
        </row>
        <row r="1532">
          <cell r="A1532" t="str">
            <v>DIZZASCO</v>
          </cell>
          <cell r="B1532" t="str">
            <v>013087</v>
          </cell>
          <cell r="C1532" t="str">
            <v>CO</v>
          </cell>
          <cell r="D1532" t="str">
            <v>CO</v>
          </cell>
          <cell r="E1532" t="str">
            <v>22020</v>
          </cell>
        </row>
        <row r="1533">
          <cell r="A1533" t="str">
            <v>DOMASO</v>
          </cell>
          <cell r="B1533" t="str">
            <v>013089</v>
          </cell>
          <cell r="C1533" t="str">
            <v>CO</v>
          </cell>
          <cell r="D1533" t="str">
            <v>CO</v>
          </cell>
          <cell r="E1533" t="str">
            <v>22013</v>
          </cell>
        </row>
        <row r="1534">
          <cell r="A1534" t="str">
            <v>DONGO</v>
          </cell>
          <cell r="B1534" t="str">
            <v>013090</v>
          </cell>
          <cell r="C1534" t="str">
            <v>CO</v>
          </cell>
          <cell r="D1534" t="str">
            <v>CO</v>
          </cell>
          <cell r="E1534" t="str">
            <v>22014</v>
          </cell>
        </row>
        <row r="1535">
          <cell r="A1535" t="str">
            <v>DOSSO DEL LIRO</v>
          </cell>
          <cell r="B1535" t="str">
            <v>013092</v>
          </cell>
          <cell r="C1535" t="str">
            <v>CO</v>
          </cell>
          <cell r="D1535" t="str">
            <v>CO</v>
          </cell>
          <cell r="E1535" t="str">
            <v>22010</v>
          </cell>
        </row>
        <row r="1536">
          <cell r="A1536" t="str">
            <v>ERBA</v>
          </cell>
          <cell r="B1536" t="str">
            <v>013095</v>
          </cell>
          <cell r="C1536" t="str">
            <v>CO</v>
          </cell>
          <cell r="D1536" t="str">
            <v>CO</v>
          </cell>
          <cell r="E1536" t="str">
            <v>22036</v>
          </cell>
        </row>
        <row r="1537">
          <cell r="A1537" t="str">
            <v>EUPILIO</v>
          </cell>
          <cell r="B1537" t="str">
            <v>013097</v>
          </cell>
          <cell r="C1537" t="str">
            <v>CO</v>
          </cell>
          <cell r="D1537" t="str">
            <v>CO</v>
          </cell>
          <cell r="E1537" t="str">
            <v>22030</v>
          </cell>
        </row>
        <row r="1538">
          <cell r="A1538" t="str">
            <v>FAGGETO LARIO</v>
          </cell>
          <cell r="B1538" t="str">
            <v>013098</v>
          </cell>
          <cell r="C1538" t="str">
            <v>CO</v>
          </cell>
          <cell r="D1538" t="str">
            <v>CO</v>
          </cell>
          <cell r="E1538" t="str">
            <v>22020</v>
          </cell>
        </row>
        <row r="1539">
          <cell r="A1539" t="str">
            <v>FALOPPIO</v>
          </cell>
          <cell r="B1539" t="str">
            <v>013099</v>
          </cell>
          <cell r="C1539" t="str">
            <v>CO</v>
          </cell>
          <cell r="D1539" t="str">
            <v>CO</v>
          </cell>
          <cell r="E1539" t="str">
            <v>22020</v>
          </cell>
        </row>
        <row r="1540">
          <cell r="A1540" t="str">
            <v>FENEGRÒ</v>
          </cell>
          <cell r="B1540" t="str">
            <v>013100</v>
          </cell>
          <cell r="C1540" t="str">
            <v>CO</v>
          </cell>
          <cell r="D1540" t="str">
            <v>CO</v>
          </cell>
          <cell r="E1540" t="str">
            <v>22070</v>
          </cell>
        </row>
        <row r="1541">
          <cell r="A1541" t="str">
            <v>FIGINO SERENZA</v>
          </cell>
          <cell r="B1541" t="str">
            <v>013101</v>
          </cell>
          <cell r="C1541" t="str">
            <v>CO</v>
          </cell>
          <cell r="D1541" t="str">
            <v>CO</v>
          </cell>
          <cell r="E1541" t="str">
            <v>22060</v>
          </cell>
        </row>
        <row r="1542">
          <cell r="A1542" t="str">
            <v>FINO MORNASCO</v>
          </cell>
          <cell r="B1542" t="str">
            <v>013102</v>
          </cell>
          <cell r="C1542" t="str">
            <v>CO</v>
          </cell>
          <cell r="D1542" t="str">
            <v>CO</v>
          </cell>
          <cell r="E1542" t="str">
            <v>22073</v>
          </cell>
        </row>
        <row r="1543">
          <cell r="A1543" t="str">
            <v>GARZENO</v>
          </cell>
          <cell r="B1543" t="str">
            <v>013106</v>
          </cell>
          <cell r="C1543" t="str">
            <v>CO</v>
          </cell>
          <cell r="D1543" t="str">
            <v>CO</v>
          </cell>
          <cell r="E1543" t="str">
            <v>22010</v>
          </cell>
        </row>
        <row r="1544">
          <cell r="A1544" t="str">
            <v>GERA LARIO</v>
          </cell>
          <cell r="B1544" t="str">
            <v>013107</v>
          </cell>
          <cell r="C1544" t="str">
            <v>CO</v>
          </cell>
          <cell r="D1544" t="str">
            <v>CO</v>
          </cell>
          <cell r="E1544" t="str">
            <v>22010</v>
          </cell>
        </row>
        <row r="1545">
          <cell r="A1545" t="str">
            <v>GRANDATE</v>
          </cell>
          <cell r="B1545" t="str">
            <v>013110</v>
          </cell>
          <cell r="C1545" t="str">
            <v>CO</v>
          </cell>
          <cell r="D1545" t="str">
            <v>CO</v>
          </cell>
          <cell r="E1545" t="str">
            <v>22070</v>
          </cell>
        </row>
        <row r="1546">
          <cell r="A1546" t="str">
            <v>GRANDOLA ED UNITI</v>
          </cell>
          <cell r="B1546" t="str">
            <v>013111</v>
          </cell>
          <cell r="C1546" t="str">
            <v>CO</v>
          </cell>
          <cell r="D1546" t="str">
            <v>CO</v>
          </cell>
          <cell r="E1546" t="str">
            <v>22010</v>
          </cell>
        </row>
        <row r="1547">
          <cell r="A1547" t="str">
            <v>GRIANTE</v>
          </cell>
          <cell r="B1547" t="str">
            <v>013113</v>
          </cell>
          <cell r="C1547" t="str">
            <v>CO</v>
          </cell>
          <cell r="D1547" t="str">
            <v>CO</v>
          </cell>
          <cell r="E1547" t="str">
            <v>22011</v>
          </cell>
        </row>
        <row r="1548">
          <cell r="A1548" t="str">
            <v>GUANZATE</v>
          </cell>
          <cell r="B1548" t="str">
            <v>013114</v>
          </cell>
          <cell r="C1548" t="str">
            <v>CO</v>
          </cell>
          <cell r="D1548" t="str">
            <v>CO</v>
          </cell>
          <cell r="E1548" t="str">
            <v>22070</v>
          </cell>
        </row>
        <row r="1549">
          <cell r="A1549" t="str">
            <v>INVERIGO</v>
          </cell>
          <cell r="B1549" t="str">
            <v>013118</v>
          </cell>
          <cell r="C1549" t="str">
            <v>CO</v>
          </cell>
          <cell r="D1549" t="str">
            <v>CO</v>
          </cell>
          <cell r="E1549" t="str">
            <v>22044</v>
          </cell>
        </row>
        <row r="1550">
          <cell r="A1550" t="str">
            <v>LAGLIO</v>
          </cell>
          <cell r="B1550" t="str">
            <v>013119</v>
          </cell>
          <cell r="C1550" t="str">
            <v>CO</v>
          </cell>
          <cell r="D1550" t="str">
            <v>CO</v>
          </cell>
          <cell r="E1550" t="str">
            <v>22010</v>
          </cell>
        </row>
        <row r="1551">
          <cell r="A1551" t="str">
            <v>LAINO</v>
          </cell>
          <cell r="B1551" t="str">
            <v>013120</v>
          </cell>
          <cell r="C1551" t="str">
            <v>CO</v>
          </cell>
          <cell r="D1551" t="str">
            <v>CO</v>
          </cell>
          <cell r="E1551" t="str">
            <v>22020</v>
          </cell>
        </row>
        <row r="1552">
          <cell r="A1552" t="str">
            <v>LAMBRUGO</v>
          </cell>
          <cell r="B1552" t="str">
            <v>013121</v>
          </cell>
          <cell r="C1552" t="str">
            <v>CO</v>
          </cell>
          <cell r="D1552" t="str">
            <v>CO</v>
          </cell>
          <cell r="E1552" t="str">
            <v>22045</v>
          </cell>
        </row>
        <row r="1553">
          <cell r="A1553" t="str">
            <v>LASNIGO</v>
          </cell>
          <cell r="B1553" t="str">
            <v>013123</v>
          </cell>
          <cell r="C1553" t="str">
            <v>CO</v>
          </cell>
          <cell r="D1553" t="str">
            <v>CO</v>
          </cell>
          <cell r="E1553" t="str">
            <v>22030</v>
          </cell>
        </row>
        <row r="1554">
          <cell r="A1554" t="str">
            <v>LEZZENO</v>
          </cell>
          <cell r="B1554" t="str">
            <v>013126</v>
          </cell>
          <cell r="C1554" t="str">
            <v>CO</v>
          </cell>
          <cell r="D1554" t="str">
            <v>CO</v>
          </cell>
          <cell r="E1554" t="str">
            <v>22025</v>
          </cell>
        </row>
        <row r="1555">
          <cell r="A1555" t="str">
            <v>LIMIDO COMASCO</v>
          </cell>
          <cell r="B1555" t="str">
            <v>013128</v>
          </cell>
          <cell r="C1555" t="str">
            <v>CO</v>
          </cell>
          <cell r="D1555" t="str">
            <v>CO</v>
          </cell>
          <cell r="E1555" t="str">
            <v>22070</v>
          </cell>
        </row>
        <row r="1556">
          <cell r="A1556" t="str">
            <v>LIPOMO</v>
          </cell>
          <cell r="B1556" t="str">
            <v>013129</v>
          </cell>
          <cell r="C1556" t="str">
            <v>CO</v>
          </cell>
          <cell r="D1556" t="str">
            <v>CO</v>
          </cell>
          <cell r="E1556" t="str">
            <v>22030</v>
          </cell>
        </row>
        <row r="1557">
          <cell r="A1557" t="str">
            <v>LIVO</v>
          </cell>
          <cell r="B1557" t="str">
            <v>013130</v>
          </cell>
          <cell r="C1557" t="str">
            <v>CO</v>
          </cell>
          <cell r="D1557" t="str">
            <v>TN</v>
          </cell>
          <cell r="E1557" t="str">
            <v>38020</v>
          </cell>
        </row>
        <row r="1558">
          <cell r="A1558" t="str">
            <v>LOCATE VARESINO</v>
          </cell>
          <cell r="B1558" t="str">
            <v>013131</v>
          </cell>
          <cell r="C1558" t="str">
            <v>CO</v>
          </cell>
          <cell r="D1558" t="str">
            <v>CO</v>
          </cell>
          <cell r="E1558" t="str">
            <v>22070</v>
          </cell>
        </row>
        <row r="1559">
          <cell r="A1559" t="str">
            <v>LOMAZZO</v>
          </cell>
          <cell r="B1559" t="str">
            <v>013133</v>
          </cell>
          <cell r="C1559" t="str">
            <v>CO</v>
          </cell>
          <cell r="D1559" t="str">
            <v>CO</v>
          </cell>
          <cell r="E1559" t="str">
            <v>22074</v>
          </cell>
        </row>
        <row r="1560">
          <cell r="A1560" t="str">
            <v>LONGONE AL SEGRINO</v>
          </cell>
          <cell r="B1560" t="str">
            <v>013134</v>
          </cell>
          <cell r="C1560" t="str">
            <v>CO</v>
          </cell>
          <cell r="D1560" t="str">
            <v>CO</v>
          </cell>
          <cell r="E1560" t="str">
            <v>22030</v>
          </cell>
        </row>
        <row r="1561">
          <cell r="A1561" t="str">
            <v>LUISAGO</v>
          </cell>
          <cell r="B1561" t="str">
            <v>013135</v>
          </cell>
          <cell r="C1561" t="str">
            <v>CO</v>
          </cell>
          <cell r="D1561" t="str">
            <v>CO</v>
          </cell>
          <cell r="E1561" t="str">
            <v>22070</v>
          </cell>
        </row>
        <row r="1562">
          <cell r="A1562" t="str">
            <v>LURAGO D'ERBA</v>
          </cell>
          <cell r="B1562" t="str">
            <v>013136</v>
          </cell>
          <cell r="C1562" t="str">
            <v>CO</v>
          </cell>
          <cell r="D1562" t="str">
            <v>CO</v>
          </cell>
          <cell r="E1562" t="str">
            <v>22040</v>
          </cell>
        </row>
        <row r="1563">
          <cell r="A1563" t="str">
            <v>LURAGO MARINONE</v>
          </cell>
          <cell r="B1563" t="str">
            <v>013137</v>
          </cell>
          <cell r="C1563" t="str">
            <v>CO</v>
          </cell>
          <cell r="D1563" t="str">
            <v>CO</v>
          </cell>
          <cell r="E1563" t="str">
            <v>22070</v>
          </cell>
        </row>
        <row r="1564">
          <cell r="A1564" t="str">
            <v>LURATE CACCIVIO</v>
          </cell>
          <cell r="B1564" t="str">
            <v>013138</v>
          </cell>
          <cell r="C1564" t="str">
            <v>CO</v>
          </cell>
          <cell r="D1564" t="str">
            <v>CO</v>
          </cell>
          <cell r="E1564" t="str">
            <v>22075</v>
          </cell>
        </row>
        <row r="1565">
          <cell r="A1565" t="str">
            <v>MAGREGLIO</v>
          </cell>
          <cell r="B1565" t="str">
            <v>013139</v>
          </cell>
          <cell r="C1565" t="str">
            <v>CO</v>
          </cell>
          <cell r="D1565" t="str">
            <v>CO</v>
          </cell>
          <cell r="E1565" t="str">
            <v>22030</v>
          </cell>
        </row>
        <row r="1566">
          <cell r="A1566" t="str">
            <v>MARIANO COMENSE</v>
          </cell>
          <cell r="B1566" t="str">
            <v>013143</v>
          </cell>
          <cell r="C1566" t="str">
            <v>CO</v>
          </cell>
          <cell r="D1566" t="str">
            <v>CO</v>
          </cell>
          <cell r="E1566" t="str">
            <v>22066</v>
          </cell>
        </row>
        <row r="1567">
          <cell r="A1567" t="str">
            <v>MASLIANICO</v>
          </cell>
          <cell r="B1567" t="str">
            <v>013144</v>
          </cell>
          <cell r="C1567" t="str">
            <v>CO</v>
          </cell>
          <cell r="D1567" t="str">
            <v>CO</v>
          </cell>
          <cell r="E1567" t="str">
            <v>22026</v>
          </cell>
        </row>
        <row r="1568">
          <cell r="A1568" t="str">
            <v>MENAGGIO</v>
          </cell>
          <cell r="B1568" t="str">
            <v>013145</v>
          </cell>
          <cell r="C1568" t="str">
            <v>CO</v>
          </cell>
          <cell r="D1568" t="str">
            <v>CO</v>
          </cell>
          <cell r="E1568" t="str">
            <v>22017</v>
          </cell>
        </row>
        <row r="1569">
          <cell r="A1569" t="str">
            <v>MERONE</v>
          </cell>
          <cell r="B1569" t="str">
            <v>013147</v>
          </cell>
          <cell r="C1569" t="str">
            <v>CO</v>
          </cell>
          <cell r="D1569" t="str">
            <v>CO</v>
          </cell>
          <cell r="E1569" t="str">
            <v>22046</v>
          </cell>
        </row>
        <row r="1570">
          <cell r="A1570" t="str">
            <v>MOLTRASIO</v>
          </cell>
          <cell r="B1570" t="str">
            <v>013152</v>
          </cell>
          <cell r="C1570" t="str">
            <v>CO</v>
          </cell>
          <cell r="D1570" t="str">
            <v>CO</v>
          </cell>
          <cell r="E1570" t="str">
            <v>22010</v>
          </cell>
        </row>
        <row r="1571">
          <cell r="A1571" t="str">
            <v>MONGUZZO</v>
          </cell>
          <cell r="B1571" t="str">
            <v>013153</v>
          </cell>
          <cell r="C1571" t="str">
            <v>CO</v>
          </cell>
          <cell r="D1571" t="str">
            <v>CO</v>
          </cell>
          <cell r="E1571" t="str">
            <v>22040</v>
          </cell>
        </row>
        <row r="1572">
          <cell r="A1572" t="str">
            <v>MONTANO LUCINO</v>
          </cell>
          <cell r="B1572" t="str">
            <v>013154</v>
          </cell>
          <cell r="C1572" t="str">
            <v>CO</v>
          </cell>
          <cell r="D1572" t="str">
            <v>CO</v>
          </cell>
          <cell r="E1572" t="str">
            <v>22070</v>
          </cell>
        </row>
        <row r="1573">
          <cell r="A1573" t="str">
            <v>MONTEMEZZO</v>
          </cell>
          <cell r="B1573" t="str">
            <v>013155</v>
          </cell>
          <cell r="C1573" t="str">
            <v>CO</v>
          </cell>
          <cell r="D1573" t="str">
            <v>CO</v>
          </cell>
          <cell r="E1573" t="str">
            <v>22010</v>
          </cell>
        </row>
        <row r="1574">
          <cell r="A1574" t="str">
            <v>MONTORFANO</v>
          </cell>
          <cell r="B1574" t="str">
            <v>013157</v>
          </cell>
          <cell r="C1574" t="str">
            <v>CO</v>
          </cell>
          <cell r="D1574" t="str">
            <v>CO</v>
          </cell>
          <cell r="E1574" t="str">
            <v>22030</v>
          </cell>
        </row>
        <row r="1575">
          <cell r="A1575" t="str">
            <v>MOZZATE</v>
          </cell>
          <cell r="B1575" t="str">
            <v>013159</v>
          </cell>
          <cell r="C1575" t="str">
            <v>CO</v>
          </cell>
          <cell r="D1575" t="str">
            <v>CO</v>
          </cell>
          <cell r="E1575" t="str">
            <v>22076</v>
          </cell>
        </row>
        <row r="1576">
          <cell r="A1576" t="str">
            <v>MUSSO</v>
          </cell>
          <cell r="B1576" t="str">
            <v>013160</v>
          </cell>
          <cell r="C1576" t="str">
            <v>CO</v>
          </cell>
          <cell r="D1576" t="str">
            <v>CO</v>
          </cell>
          <cell r="E1576" t="str">
            <v>22010</v>
          </cell>
        </row>
        <row r="1577">
          <cell r="A1577" t="str">
            <v>NESSO</v>
          </cell>
          <cell r="B1577" t="str">
            <v>013161</v>
          </cell>
          <cell r="C1577" t="str">
            <v>CO</v>
          </cell>
          <cell r="D1577" t="str">
            <v>CO</v>
          </cell>
          <cell r="E1577" t="str">
            <v>22020</v>
          </cell>
        </row>
        <row r="1578">
          <cell r="A1578" t="str">
            <v>NOVEDRATE</v>
          </cell>
          <cell r="B1578" t="str">
            <v>013163</v>
          </cell>
          <cell r="C1578" t="str">
            <v>CO</v>
          </cell>
          <cell r="D1578" t="str">
            <v>CO</v>
          </cell>
          <cell r="E1578" t="str">
            <v>22060</v>
          </cell>
        </row>
        <row r="1579">
          <cell r="A1579" t="str">
            <v>OLGIATE COMASCO</v>
          </cell>
          <cell r="B1579" t="str">
            <v>013165</v>
          </cell>
          <cell r="C1579" t="str">
            <v>CO</v>
          </cell>
          <cell r="D1579" t="str">
            <v>CO</v>
          </cell>
          <cell r="E1579" t="str">
            <v>22077</v>
          </cell>
        </row>
        <row r="1580">
          <cell r="A1580" t="str">
            <v>OLTRONA DI SAN MAMETTE</v>
          </cell>
          <cell r="B1580" t="str">
            <v>013169</v>
          </cell>
          <cell r="C1580" t="str">
            <v>CO</v>
          </cell>
          <cell r="D1580" t="str">
            <v>CO</v>
          </cell>
          <cell r="E1580" t="str">
            <v>22070</v>
          </cell>
        </row>
        <row r="1581">
          <cell r="A1581" t="str">
            <v>ORSENIGO</v>
          </cell>
          <cell r="B1581" t="str">
            <v>013170</v>
          </cell>
          <cell r="C1581" t="str">
            <v>CO</v>
          </cell>
          <cell r="D1581" t="str">
            <v>CO</v>
          </cell>
          <cell r="E1581" t="str">
            <v>22030</v>
          </cell>
        </row>
        <row r="1582">
          <cell r="A1582" t="str">
            <v>PEGLIO</v>
          </cell>
          <cell r="B1582" t="str">
            <v>013178</v>
          </cell>
          <cell r="C1582" t="str">
            <v>CO</v>
          </cell>
          <cell r="D1582" t="str">
            <v>CO</v>
          </cell>
          <cell r="E1582" t="str">
            <v>22010</v>
          </cell>
        </row>
        <row r="1583">
          <cell r="A1583" t="str">
            <v>PIANELLO DEL LARIO</v>
          </cell>
          <cell r="B1583" t="str">
            <v>013183</v>
          </cell>
          <cell r="C1583" t="str">
            <v>CO</v>
          </cell>
          <cell r="D1583" t="str">
            <v>CO</v>
          </cell>
          <cell r="E1583" t="str">
            <v>22010</v>
          </cell>
        </row>
        <row r="1584">
          <cell r="A1584" t="str">
            <v>PIGRA</v>
          </cell>
          <cell r="B1584" t="str">
            <v>013184</v>
          </cell>
          <cell r="C1584" t="str">
            <v>CO</v>
          </cell>
          <cell r="D1584" t="str">
            <v>CO</v>
          </cell>
          <cell r="E1584" t="str">
            <v>22020</v>
          </cell>
        </row>
        <row r="1585">
          <cell r="A1585" t="str">
            <v>PLESIO</v>
          </cell>
          <cell r="B1585" t="str">
            <v>013185</v>
          </cell>
          <cell r="C1585" t="str">
            <v>CO</v>
          </cell>
          <cell r="D1585" t="str">
            <v>CO</v>
          </cell>
          <cell r="E1585" t="str">
            <v>22010</v>
          </cell>
        </row>
        <row r="1586">
          <cell r="A1586" t="str">
            <v>POGNANA LARIO</v>
          </cell>
          <cell r="B1586" t="str">
            <v>013186</v>
          </cell>
          <cell r="C1586" t="str">
            <v>CO</v>
          </cell>
          <cell r="D1586" t="str">
            <v>CO</v>
          </cell>
          <cell r="E1586" t="str">
            <v>22020</v>
          </cell>
        </row>
        <row r="1587">
          <cell r="A1587" t="str">
            <v>PONNA</v>
          </cell>
          <cell r="B1587" t="str">
            <v>013187</v>
          </cell>
          <cell r="C1587" t="str">
            <v>CO</v>
          </cell>
          <cell r="D1587" t="str">
            <v>CO</v>
          </cell>
          <cell r="E1587" t="str">
            <v>22020</v>
          </cell>
        </row>
        <row r="1588">
          <cell r="A1588" t="str">
            <v>PONTE LAMBRO</v>
          </cell>
          <cell r="B1588" t="str">
            <v>013188</v>
          </cell>
          <cell r="C1588" t="str">
            <v>CO</v>
          </cell>
          <cell r="D1588" t="str">
            <v>CO</v>
          </cell>
          <cell r="E1588" t="str">
            <v>22037</v>
          </cell>
        </row>
        <row r="1589">
          <cell r="A1589" t="str">
            <v>PORLEZZA</v>
          </cell>
          <cell r="B1589" t="str">
            <v>013189</v>
          </cell>
          <cell r="C1589" t="str">
            <v>CO</v>
          </cell>
          <cell r="D1589" t="str">
            <v>CO</v>
          </cell>
          <cell r="E1589" t="str">
            <v>22018</v>
          </cell>
        </row>
        <row r="1590">
          <cell r="A1590" t="str">
            <v>PROSERPIO</v>
          </cell>
          <cell r="B1590" t="str">
            <v>013192</v>
          </cell>
          <cell r="C1590" t="str">
            <v>CO</v>
          </cell>
          <cell r="D1590" t="str">
            <v>CO</v>
          </cell>
          <cell r="E1590" t="str">
            <v>22030</v>
          </cell>
        </row>
        <row r="1591">
          <cell r="A1591" t="str">
            <v>PUSIANO</v>
          </cell>
          <cell r="B1591" t="str">
            <v>013193</v>
          </cell>
          <cell r="C1591" t="str">
            <v>CO</v>
          </cell>
          <cell r="D1591" t="str">
            <v>CO</v>
          </cell>
          <cell r="E1591" t="str">
            <v>22030</v>
          </cell>
        </row>
        <row r="1592">
          <cell r="A1592" t="str">
            <v>REZZAGO</v>
          </cell>
          <cell r="B1592" t="str">
            <v>013195</v>
          </cell>
          <cell r="C1592" t="str">
            <v>CO</v>
          </cell>
          <cell r="D1592" t="str">
            <v>CO</v>
          </cell>
          <cell r="E1592" t="str">
            <v>22030</v>
          </cell>
        </row>
        <row r="1593">
          <cell r="A1593" t="str">
            <v>RODERO</v>
          </cell>
          <cell r="B1593" t="str">
            <v>013197</v>
          </cell>
          <cell r="C1593" t="str">
            <v>CO</v>
          </cell>
          <cell r="D1593" t="str">
            <v>CO</v>
          </cell>
          <cell r="E1593" t="str">
            <v>22070</v>
          </cell>
        </row>
        <row r="1594">
          <cell r="A1594" t="str">
            <v>RONAGO</v>
          </cell>
          <cell r="B1594" t="str">
            <v>013199</v>
          </cell>
          <cell r="C1594" t="str">
            <v>CO</v>
          </cell>
          <cell r="D1594" t="str">
            <v>CO</v>
          </cell>
          <cell r="E1594" t="str">
            <v>22027</v>
          </cell>
        </row>
        <row r="1595">
          <cell r="A1595" t="str">
            <v>ROVELLASCA</v>
          </cell>
          <cell r="B1595" t="str">
            <v>013201</v>
          </cell>
          <cell r="C1595" t="str">
            <v>CO</v>
          </cell>
          <cell r="D1595" t="str">
            <v>CO</v>
          </cell>
          <cell r="E1595" t="str">
            <v>22069</v>
          </cell>
        </row>
        <row r="1596">
          <cell r="A1596" t="str">
            <v>ROVELLO PORRO</v>
          </cell>
          <cell r="B1596" t="str">
            <v>013202</v>
          </cell>
          <cell r="C1596" t="str">
            <v>CO</v>
          </cell>
          <cell r="D1596" t="str">
            <v>CO</v>
          </cell>
          <cell r="E1596" t="str">
            <v>22070</v>
          </cell>
        </row>
        <row r="1597">
          <cell r="A1597" t="str">
            <v>SALA COMACINA</v>
          </cell>
          <cell r="B1597" t="str">
            <v>013203</v>
          </cell>
          <cell r="C1597" t="str">
            <v>CO</v>
          </cell>
          <cell r="D1597" t="str">
            <v>CO</v>
          </cell>
          <cell r="E1597" t="str">
            <v>22010</v>
          </cell>
        </row>
        <row r="1598">
          <cell r="A1598" t="str">
            <v>SAN BARTOLOMEO VAL CAVARGNA</v>
          </cell>
          <cell r="B1598" t="str">
            <v>013204</v>
          </cell>
          <cell r="C1598" t="str">
            <v>CO</v>
          </cell>
          <cell r="D1598" t="str">
            <v>CO</v>
          </cell>
          <cell r="E1598" t="str">
            <v>22010</v>
          </cell>
        </row>
        <row r="1599">
          <cell r="A1599" t="str">
            <v>SAN FERMO DELLA BATTAGLIA</v>
          </cell>
          <cell r="B1599" t="str">
            <v>013206</v>
          </cell>
          <cell r="C1599" t="str">
            <v>CO</v>
          </cell>
          <cell r="D1599" t="str">
            <v>CO</v>
          </cell>
          <cell r="E1599" t="str">
            <v>22020</v>
          </cell>
        </row>
        <row r="1600">
          <cell r="A1600" t="str">
            <v>SAN NAZZARO VAL CAVARGNA</v>
          </cell>
          <cell r="B1600" t="str">
            <v>013207</v>
          </cell>
          <cell r="C1600" t="str">
            <v>CO</v>
          </cell>
          <cell r="D1600" t="str">
            <v>CO</v>
          </cell>
          <cell r="E1600" t="str">
            <v>22010</v>
          </cell>
        </row>
        <row r="1601">
          <cell r="A1601" t="str">
            <v>SCHIGNANO</v>
          </cell>
          <cell r="B1601" t="str">
            <v>013211</v>
          </cell>
          <cell r="C1601" t="str">
            <v>CO</v>
          </cell>
          <cell r="D1601" t="str">
            <v>CO</v>
          </cell>
          <cell r="E1601" t="str">
            <v>22020</v>
          </cell>
        </row>
        <row r="1602">
          <cell r="A1602" t="str">
            <v>SENNA COMASCO</v>
          </cell>
          <cell r="B1602" t="str">
            <v>013212</v>
          </cell>
          <cell r="C1602" t="str">
            <v>CO</v>
          </cell>
          <cell r="D1602" t="str">
            <v>CO</v>
          </cell>
          <cell r="E1602" t="str">
            <v>22070</v>
          </cell>
        </row>
        <row r="1603">
          <cell r="A1603" t="str">
            <v>SORICO</v>
          </cell>
          <cell r="B1603" t="str">
            <v>013216</v>
          </cell>
          <cell r="C1603" t="str">
            <v>CO</v>
          </cell>
          <cell r="D1603" t="str">
            <v>CO</v>
          </cell>
          <cell r="E1603" t="str">
            <v>22010</v>
          </cell>
        </row>
        <row r="1604">
          <cell r="A1604" t="str">
            <v>SORMANO</v>
          </cell>
          <cell r="B1604" t="str">
            <v>013217</v>
          </cell>
          <cell r="C1604" t="str">
            <v>CO</v>
          </cell>
          <cell r="D1604" t="str">
            <v>CO</v>
          </cell>
          <cell r="E1604" t="str">
            <v>22030</v>
          </cell>
        </row>
        <row r="1605">
          <cell r="A1605" t="str">
            <v>STAZZONA</v>
          </cell>
          <cell r="B1605" t="str">
            <v>013218</v>
          </cell>
          <cell r="C1605" t="str">
            <v>CO</v>
          </cell>
          <cell r="D1605" t="str">
            <v>CO</v>
          </cell>
          <cell r="E1605" t="str">
            <v>22010</v>
          </cell>
        </row>
        <row r="1606">
          <cell r="A1606" t="str">
            <v>TAVERNERIO</v>
          </cell>
          <cell r="B1606" t="str">
            <v>013222</v>
          </cell>
          <cell r="C1606" t="str">
            <v>CO</v>
          </cell>
          <cell r="D1606" t="str">
            <v>CO</v>
          </cell>
          <cell r="E1606" t="str">
            <v>22038</v>
          </cell>
        </row>
        <row r="1607">
          <cell r="A1607" t="str">
            <v>TORNO</v>
          </cell>
          <cell r="B1607" t="str">
            <v>013223</v>
          </cell>
          <cell r="C1607" t="str">
            <v>CO</v>
          </cell>
          <cell r="D1607" t="str">
            <v>CO</v>
          </cell>
          <cell r="E1607" t="str">
            <v>22020</v>
          </cell>
        </row>
        <row r="1608">
          <cell r="A1608" t="str">
            <v>TREZZONE</v>
          </cell>
          <cell r="B1608" t="str">
            <v>013226</v>
          </cell>
          <cell r="C1608" t="str">
            <v>CO</v>
          </cell>
          <cell r="D1608" t="str">
            <v>CO</v>
          </cell>
          <cell r="E1608" t="str">
            <v>22010</v>
          </cell>
        </row>
        <row r="1609">
          <cell r="A1609" t="str">
            <v>TURATE</v>
          </cell>
          <cell r="B1609" t="str">
            <v>013227</v>
          </cell>
          <cell r="C1609" t="str">
            <v>CO</v>
          </cell>
          <cell r="D1609" t="str">
            <v>CO</v>
          </cell>
          <cell r="E1609" t="str">
            <v>22078</v>
          </cell>
        </row>
        <row r="1610">
          <cell r="A1610" t="str">
            <v>UGGIATE-TREVANO</v>
          </cell>
          <cell r="B1610" t="str">
            <v>013228</v>
          </cell>
          <cell r="C1610" t="str">
            <v>CO</v>
          </cell>
          <cell r="D1610" t="str">
            <v>CO</v>
          </cell>
          <cell r="E1610" t="str">
            <v>22029</v>
          </cell>
        </row>
        <row r="1611">
          <cell r="A1611" t="str">
            <v>VALBRONA</v>
          </cell>
          <cell r="B1611" t="str">
            <v>013229</v>
          </cell>
          <cell r="C1611" t="str">
            <v>CO</v>
          </cell>
          <cell r="D1611" t="str">
            <v>CO</v>
          </cell>
          <cell r="E1611" t="str">
            <v>22039</v>
          </cell>
        </row>
        <row r="1612">
          <cell r="A1612" t="str">
            <v>VALMOREA</v>
          </cell>
          <cell r="B1612" t="str">
            <v>013232</v>
          </cell>
          <cell r="C1612" t="str">
            <v>CO</v>
          </cell>
          <cell r="D1612" t="str">
            <v>CO</v>
          </cell>
          <cell r="E1612" t="str">
            <v>22070</v>
          </cell>
        </row>
        <row r="1613">
          <cell r="A1613" t="str">
            <v>VAL REZZO</v>
          </cell>
          <cell r="B1613" t="str">
            <v>013233</v>
          </cell>
          <cell r="C1613" t="str">
            <v>CO</v>
          </cell>
          <cell r="D1613" t="str">
            <v>CO</v>
          </cell>
          <cell r="E1613" t="str">
            <v>22010</v>
          </cell>
        </row>
        <row r="1614">
          <cell r="A1614" t="str">
            <v>VALSOLDA</v>
          </cell>
          <cell r="B1614" t="str">
            <v>013234</v>
          </cell>
          <cell r="C1614" t="str">
            <v>CO</v>
          </cell>
          <cell r="D1614" t="str">
            <v>CO</v>
          </cell>
          <cell r="E1614" t="str">
            <v>22010</v>
          </cell>
        </row>
        <row r="1615">
          <cell r="A1615" t="str">
            <v>VELESO</v>
          </cell>
          <cell r="B1615" t="str">
            <v>013236</v>
          </cell>
          <cell r="C1615" t="str">
            <v>CO</v>
          </cell>
          <cell r="D1615" t="str">
            <v>CO</v>
          </cell>
          <cell r="E1615" t="str">
            <v>22020</v>
          </cell>
        </row>
        <row r="1616">
          <cell r="A1616" t="str">
            <v>VENIANO</v>
          </cell>
          <cell r="B1616" t="str">
            <v>013238</v>
          </cell>
          <cell r="C1616" t="str">
            <v>CO</v>
          </cell>
          <cell r="D1616" t="str">
            <v>CO</v>
          </cell>
          <cell r="E1616" t="str">
            <v>22070</v>
          </cell>
        </row>
        <row r="1617">
          <cell r="A1617" t="str">
            <v>VERCANA</v>
          </cell>
          <cell r="B1617" t="str">
            <v>013239</v>
          </cell>
          <cell r="C1617" t="str">
            <v>CO</v>
          </cell>
          <cell r="D1617" t="str">
            <v>CO</v>
          </cell>
          <cell r="E1617" t="str">
            <v>22013</v>
          </cell>
        </row>
        <row r="1618">
          <cell r="A1618" t="str">
            <v>VERTEMATE CON MINOPRIO</v>
          </cell>
          <cell r="B1618" t="str">
            <v>013242</v>
          </cell>
          <cell r="C1618" t="str">
            <v>CO</v>
          </cell>
          <cell r="D1618" t="str">
            <v>CO</v>
          </cell>
          <cell r="E1618" t="str">
            <v>22070</v>
          </cell>
        </row>
        <row r="1619">
          <cell r="A1619" t="str">
            <v>VILLA GUARDIA</v>
          </cell>
          <cell r="B1619" t="str">
            <v>013245</v>
          </cell>
          <cell r="C1619" t="str">
            <v>CO</v>
          </cell>
          <cell r="D1619" t="str">
            <v>CO</v>
          </cell>
          <cell r="E1619" t="str">
            <v>22079</v>
          </cell>
        </row>
        <row r="1620">
          <cell r="A1620" t="str">
            <v>ZELBIO</v>
          </cell>
          <cell r="B1620" t="str">
            <v>013246</v>
          </cell>
          <cell r="C1620" t="str">
            <v>CO</v>
          </cell>
          <cell r="D1620" t="str">
            <v>CO</v>
          </cell>
          <cell r="E1620" t="str">
            <v>22020</v>
          </cell>
        </row>
        <row r="1621">
          <cell r="A1621" t="str">
            <v>SAN SIRO</v>
          </cell>
          <cell r="B1621" t="str">
            <v>013248</v>
          </cell>
          <cell r="C1621" t="str">
            <v>CO</v>
          </cell>
          <cell r="D1621" t="str">
            <v>CO</v>
          </cell>
          <cell r="E1621" t="str">
            <v>22010</v>
          </cell>
        </row>
        <row r="1622">
          <cell r="A1622" t="str">
            <v>GRAVEDONA ED UNITI</v>
          </cell>
          <cell r="B1622" t="str">
            <v>013249</v>
          </cell>
          <cell r="C1622" t="str">
            <v>CO</v>
          </cell>
          <cell r="D1622" t="str">
            <v>CO</v>
          </cell>
          <cell r="E1622" t="str">
            <v>22015</v>
          </cell>
        </row>
        <row r="1623">
          <cell r="A1623" t="str">
            <v>BELLAGIO</v>
          </cell>
          <cell r="B1623" t="str">
            <v>013250</v>
          </cell>
          <cell r="C1623" t="str">
            <v>CO</v>
          </cell>
          <cell r="D1623" t="str">
            <v>CO</v>
          </cell>
          <cell r="E1623" t="str">
            <v>22021</v>
          </cell>
        </row>
        <row r="1624">
          <cell r="A1624" t="str">
            <v>COLVERDE</v>
          </cell>
          <cell r="B1624" t="str">
            <v>013251</v>
          </cell>
          <cell r="C1624" t="str">
            <v>CO</v>
          </cell>
          <cell r="D1624" t="str">
            <v>CO</v>
          </cell>
          <cell r="E1624">
            <v>22041</v>
          </cell>
        </row>
        <row r="1625">
          <cell r="A1625" t="str">
            <v>TREMEZZINA</v>
          </cell>
          <cell r="B1625" t="str">
            <v>013252</v>
          </cell>
          <cell r="C1625" t="str">
            <v>CO</v>
          </cell>
          <cell r="D1625" t="e">
            <v>#N/A</v>
          </cell>
          <cell r="E1625" t="e">
            <v>#N/A</v>
          </cell>
        </row>
        <row r="1626">
          <cell r="A1626" t="str">
            <v>ALTA VALLE INTELVI</v>
          </cell>
          <cell r="B1626" t="str">
            <v>013253</v>
          </cell>
          <cell r="C1626" t="str">
            <v>CO</v>
          </cell>
          <cell r="D1626" t="e">
            <v>#N/A</v>
          </cell>
          <cell r="E1626" t="e">
            <v>#N/A</v>
          </cell>
        </row>
        <row r="1627">
          <cell r="A1627" t="str">
            <v>CENTRO VALLE INTELVI</v>
          </cell>
          <cell r="B1627" t="str">
            <v>013254</v>
          </cell>
          <cell r="C1627" t="str">
            <v>CO</v>
          </cell>
          <cell r="D1627" t="e">
            <v>#N/A</v>
          </cell>
          <cell r="E1627" t="e">
            <v>#N/A</v>
          </cell>
        </row>
        <row r="1628">
          <cell r="A1628" t="str">
            <v>SOLBIATE CON CAGNO</v>
          </cell>
          <cell r="B1628" t="str">
            <v>013255</v>
          </cell>
          <cell r="C1628" t="str">
            <v>CO</v>
          </cell>
          <cell r="D1628" t="e">
            <v>#N/A</v>
          </cell>
          <cell r="E1628" t="e">
            <v>#N/A</v>
          </cell>
        </row>
        <row r="1629">
          <cell r="A1629" t="str">
            <v>ALBAREDO PER SAN MARCO</v>
          </cell>
          <cell r="B1629" t="str">
            <v>014001</v>
          </cell>
          <cell r="C1629" t="str">
            <v>SO</v>
          </cell>
          <cell r="D1629" t="str">
            <v>SO</v>
          </cell>
          <cell r="E1629" t="str">
            <v>23010</v>
          </cell>
        </row>
        <row r="1630">
          <cell r="A1630" t="str">
            <v>ALBOSAGGIA</v>
          </cell>
          <cell r="B1630" t="str">
            <v>014002</v>
          </cell>
          <cell r="C1630" t="str">
            <v>SO</v>
          </cell>
          <cell r="D1630" t="str">
            <v>SO</v>
          </cell>
          <cell r="E1630" t="str">
            <v>23010</v>
          </cell>
        </row>
        <row r="1631">
          <cell r="A1631" t="str">
            <v>ANDALO VALTELLINO</v>
          </cell>
          <cell r="B1631" t="str">
            <v>014003</v>
          </cell>
          <cell r="C1631" t="str">
            <v>SO</v>
          </cell>
          <cell r="D1631" t="str">
            <v>SO</v>
          </cell>
          <cell r="E1631" t="str">
            <v>23014</v>
          </cell>
        </row>
        <row r="1632">
          <cell r="A1632" t="str">
            <v>APRICA</v>
          </cell>
          <cell r="B1632" t="str">
            <v>014004</v>
          </cell>
          <cell r="C1632" t="str">
            <v>SO</v>
          </cell>
          <cell r="D1632" t="str">
            <v>SO</v>
          </cell>
          <cell r="E1632" t="str">
            <v>23031</v>
          </cell>
        </row>
        <row r="1633">
          <cell r="A1633" t="str">
            <v>ARDENNO</v>
          </cell>
          <cell r="B1633" t="str">
            <v>014005</v>
          </cell>
          <cell r="C1633" t="str">
            <v>SO</v>
          </cell>
          <cell r="D1633" t="str">
            <v>SO</v>
          </cell>
          <cell r="E1633" t="str">
            <v>23011</v>
          </cell>
        </row>
        <row r="1634">
          <cell r="A1634" t="str">
            <v>BEMA</v>
          </cell>
          <cell r="B1634" t="str">
            <v>014006</v>
          </cell>
          <cell r="C1634" t="str">
            <v>SO</v>
          </cell>
          <cell r="D1634" t="str">
            <v>SO</v>
          </cell>
          <cell r="E1634" t="str">
            <v>23010</v>
          </cell>
        </row>
        <row r="1635">
          <cell r="A1635" t="str">
            <v>BERBENNO DI VALTELLINA</v>
          </cell>
          <cell r="B1635" t="str">
            <v>014007</v>
          </cell>
          <cell r="C1635" t="str">
            <v>SO</v>
          </cell>
          <cell r="D1635" t="str">
            <v>SO</v>
          </cell>
          <cell r="E1635" t="str">
            <v>23010</v>
          </cell>
        </row>
        <row r="1636">
          <cell r="A1636" t="str">
            <v>BIANZONE</v>
          </cell>
          <cell r="B1636" t="str">
            <v>014008</v>
          </cell>
          <cell r="C1636" t="str">
            <v>SO</v>
          </cell>
          <cell r="D1636" t="str">
            <v>SO</v>
          </cell>
          <cell r="E1636" t="str">
            <v>23030</v>
          </cell>
        </row>
        <row r="1637">
          <cell r="A1637" t="str">
            <v>BORMIO</v>
          </cell>
          <cell r="B1637" t="str">
            <v>014009</v>
          </cell>
          <cell r="C1637" t="str">
            <v>SO</v>
          </cell>
          <cell r="D1637" t="str">
            <v>SO</v>
          </cell>
          <cell r="E1637" t="str">
            <v>23032</v>
          </cell>
        </row>
        <row r="1638">
          <cell r="A1638" t="str">
            <v>BUGLIO IN MONTE</v>
          </cell>
          <cell r="B1638" t="str">
            <v>014010</v>
          </cell>
          <cell r="C1638" t="str">
            <v>SO</v>
          </cell>
          <cell r="D1638" t="str">
            <v>SO</v>
          </cell>
          <cell r="E1638" t="str">
            <v>23010</v>
          </cell>
        </row>
        <row r="1639">
          <cell r="A1639" t="str">
            <v>CAIOLO</v>
          </cell>
          <cell r="B1639" t="str">
            <v>014011</v>
          </cell>
          <cell r="C1639" t="str">
            <v>SO</v>
          </cell>
          <cell r="D1639" t="str">
            <v>SO</v>
          </cell>
          <cell r="E1639" t="str">
            <v>23010</v>
          </cell>
        </row>
        <row r="1640">
          <cell r="A1640" t="str">
            <v>CAMPODOLCINO</v>
          </cell>
          <cell r="B1640" t="str">
            <v>014012</v>
          </cell>
          <cell r="C1640" t="str">
            <v>SO</v>
          </cell>
          <cell r="D1640" t="str">
            <v>SO</v>
          </cell>
          <cell r="E1640" t="str">
            <v>23021</v>
          </cell>
        </row>
        <row r="1641">
          <cell r="A1641" t="str">
            <v>CASPOGGIO</v>
          </cell>
          <cell r="B1641" t="str">
            <v>014013</v>
          </cell>
          <cell r="C1641" t="str">
            <v>SO</v>
          </cell>
          <cell r="D1641" t="str">
            <v>SO</v>
          </cell>
          <cell r="E1641" t="str">
            <v>23020</v>
          </cell>
        </row>
        <row r="1642">
          <cell r="A1642" t="str">
            <v>CASTELLO DELL'ACQUA</v>
          </cell>
          <cell r="B1642" t="str">
            <v>014014</v>
          </cell>
          <cell r="C1642" t="str">
            <v>SO</v>
          </cell>
          <cell r="D1642" t="str">
            <v>SO</v>
          </cell>
          <cell r="E1642" t="str">
            <v>23030</v>
          </cell>
        </row>
        <row r="1643">
          <cell r="A1643" t="str">
            <v>CASTIONE ANDEVENNO</v>
          </cell>
          <cell r="B1643" t="str">
            <v>014015</v>
          </cell>
          <cell r="C1643" t="str">
            <v>SO</v>
          </cell>
          <cell r="D1643" t="str">
            <v>SO</v>
          </cell>
          <cell r="E1643" t="str">
            <v>23012</v>
          </cell>
        </row>
        <row r="1644">
          <cell r="A1644" t="str">
            <v>CEDRASCO</v>
          </cell>
          <cell r="B1644" t="str">
            <v>014016</v>
          </cell>
          <cell r="C1644" t="str">
            <v>SO</v>
          </cell>
          <cell r="D1644" t="str">
            <v>SO</v>
          </cell>
          <cell r="E1644" t="str">
            <v>23010</v>
          </cell>
        </row>
        <row r="1645">
          <cell r="A1645" t="str">
            <v>CERCINO</v>
          </cell>
          <cell r="B1645" t="str">
            <v>014017</v>
          </cell>
          <cell r="C1645" t="str">
            <v>SO</v>
          </cell>
          <cell r="D1645" t="str">
            <v>SO</v>
          </cell>
          <cell r="E1645" t="str">
            <v>23016</v>
          </cell>
        </row>
        <row r="1646">
          <cell r="A1646" t="str">
            <v>CHIAVENNA</v>
          </cell>
          <cell r="B1646" t="str">
            <v>014018</v>
          </cell>
          <cell r="C1646" t="str">
            <v>SO</v>
          </cell>
          <cell r="D1646" t="str">
            <v>SO</v>
          </cell>
          <cell r="E1646" t="str">
            <v>23022</v>
          </cell>
        </row>
        <row r="1647">
          <cell r="A1647" t="str">
            <v>CHIESA IN VALMALENCO</v>
          </cell>
          <cell r="B1647" t="str">
            <v>014019</v>
          </cell>
          <cell r="C1647" t="str">
            <v>SO</v>
          </cell>
          <cell r="D1647" t="str">
            <v>SO</v>
          </cell>
          <cell r="E1647" t="str">
            <v>23023</v>
          </cell>
        </row>
        <row r="1648">
          <cell r="A1648" t="str">
            <v>CHIURO</v>
          </cell>
          <cell r="B1648" t="str">
            <v>014020</v>
          </cell>
          <cell r="C1648" t="str">
            <v>SO</v>
          </cell>
          <cell r="D1648" t="str">
            <v>SO</v>
          </cell>
          <cell r="E1648" t="str">
            <v>23030</v>
          </cell>
        </row>
        <row r="1649">
          <cell r="A1649" t="str">
            <v>CINO</v>
          </cell>
          <cell r="B1649" t="str">
            <v>014021</v>
          </cell>
          <cell r="C1649" t="str">
            <v>SO</v>
          </cell>
          <cell r="D1649" t="str">
            <v>SO</v>
          </cell>
          <cell r="E1649" t="str">
            <v>23010</v>
          </cell>
        </row>
        <row r="1650">
          <cell r="A1650" t="str">
            <v>CIVO</v>
          </cell>
          <cell r="B1650" t="str">
            <v>014022</v>
          </cell>
          <cell r="C1650" t="str">
            <v>SO</v>
          </cell>
          <cell r="D1650" t="str">
            <v>SO</v>
          </cell>
          <cell r="E1650" t="str">
            <v>23010</v>
          </cell>
        </row>
        <row r="1651">
          <cell r="A1651" t="str">
            <v>COLORINA</v>
          </cell>
          <cell r="B1651" t="str">
            <v>014023</v>
          </cell>
          <cell r="C1651" t="str">
            <v>SO</v>
          </cell>
          <cell r="D1651" t="str">
            <v>SO</v>
          </cell>
          <cell r="E1651" t="str">
            <v>23010</v>
          </cell>
        </row>
        <row r="1652">
          <cell r="A1652" t="str">
            <v>COSIO VALTELLINO</v>
          </cell>
          <cell r="B1652" t="str">
            <v>014024</v>
          </cell>
          <cell r="C1652" t="str">
            <v>SO</v>
          </cell>
          <cell r="D1652" t="str">
            <v>SO</v>
          </cell>
          <cell r="E1652" t="str">
            <v>23013</v>
          </cell>
        </row>
        <row r="1653">
          <cell r="A1653" t="str">
            <v>DAZIO</v>
          </cell>
          <cell r="B1653" t="str">
            <v>014025</v>
          </cell>
          <cell r="C1653" t="str">
            <v>SO</v>
          </cell>
          <cell r="D1653" t="str">
            <v>SO</v>
          </cell>
          <cell r="E1653" t="str">
            <v>23010</v>
          </cell>
        </row>
        <row r="1654">
          <cell r="A1654" t="str">
            <v>DELEBIO</v>
          </cell>
          <cell r="B1654" t="str">
            <v>014026</v>
          </cell>
          <cell r="C1654" t="str">
            <v>SO</v>
          </cell>
          <cell r="D1654" t="str">
            <v>SO</v>
          </cell>
          <cell r="E1654" t="str">
            <v>23014</v>
          </cell>
        </row>
        <row r="1655">
          <cell r="A1655" t="str">
            <v>DUBINO</v>
          </cell>
          <cell r="B1655" t="str">
            <v>014027</v>
          </cell>
          <cell r="C1655" t="str">
            <v>SO</v>
          </cell>
          <cell r="D1655" t="str">
            <v>SO</v>
          </cell>
          <cell r="E1655" t="str">
            <v>23015</v>
          </cell>
        </row>
        <row r="1656">
          <cell r="A1656" t="str">
            <v>FAEDO VALTELLINO</v>
          </cell>
          <cell r="B1656" t="str">
            <v>014028</v>
          </cell>
          <cell r="C1656" t="str">
            <v>SO</v>
          </cell>
          <cell r="D1656" t="str">
            <v>SO</v>
          </cell>
          <cell r="E1656" t="str">
            <v>23020</v>
          </cell>
        </row>
        <row r="1657">
          <cell r="A1657" t="str">
            <v>FORCOLA</v>
          </cell>
          <cell r="B1657" t="str">
            <v>014029</v>
          </cell>
          <cell r="C1657" t="str">
            <v>SO</v>
          </cell>
          <cell r="D1657" t="str">
            <v>SO</v>
          </cell>
          <cell r="E1657" t="str">
            <v>23010</v>
          </cell>
        </row>
        <row r="1658">
          <cell r="A1658" t="str">
            <v>FUSINE</v>
          </cell>
          <cell r="B1658" t="str">
            <v>014030</v>
          </cell>
          <cell r="C1658" t="str">
            <v>SO</v>
          </cell>
          <cell r="D1658" t="str">
            <v>SO</v>
          </cell>
          <cell r="E1658" t="str">
            <v>23010</v>
          </cell>
        </row>
        <row r="1659">
          <cell r="A1659" t="str">
            <v>GEROLA ALTA</v>
          </cell>
          <cell r="B1659" t="str">
            <v>014031</v>
          </cell>
          <cell r="C1659" t="str">
            <v>SO</v>
          </cell>
          <cell r="D1659" t="str">
            <v>SO</v>
          </cell>
          <cell r="E1659" t="str">
            <v>23010</v>
          </cell>
        </row>
        <row r="1660">
          <cell r="A1660" t="str">
            <v>GORDONA</v>
          </cell>
          <cell r="B1660" t="str">
            <v>014032</v>
          </cell>
          <cell r="C1660" t="str">
            <v>SO</v>
          </cell>
          <cell r="D1660" t="str">
            <v>SO</v>
          </cell>
          <cell r="E1660" t="str">
            <v>23020</v>
          </cell>
        </row>
        <row r="1661">
          <cell r="A1661" t="str">
            <v>GROSIO</v>
          </cell>
          <cell r="B1661" t="str">
            <v>014033</v>
          </cell>
          <cell r="C1661" t="str">
            <v>SO</v>
          </cell>
          <cell r="D1661" t="str">
            <v>SO</v>
          </cell>
          <cell r="E1661" t="str">
            <v>23033</v>
          </cell>
        </row>
        <row r="1662">
          <cell r="A1662" t="str">
            <v>GROSOTTO</v>
          </cell>
          <cell r="B1662" t="str">
            <v>014034</v>
          </cell>
          <cell r="C1662" t="str">
            <v>SO</v>
          </cell>
          <cell r="D1662" t="str">
            <v>SO</v>
          </cell>
          <cell r="E1662" t="str">
            <v>23034</v>
          </cell>
        </row>
        <row r="1663">
          <cell r="A1663" t="str">
            <v>MADESIMO</v>
          </cell>
          <cell r="B1663" t="str">
            <v>014035</v>
          </cell>
          <cell r="C1663" t="str">
            <v>SO</v>
          </cell>
          <cell r="D1663" t="str">
            <v>SO</v>
          </cell>
          <cell r="E1663" t="str">
            <v>23024</v>
          </cell>
        </row>
        <row r="1664">
          <cell r="A1664" t="str">
            <v>LANZADA</v>
          </cell>
          <cell r="B1664" t="str">
            <v>014036</v>
          </cell>
          <cell r="C1664" t="str">
            <v>SO</v>
          </cell>
          <cell r="D1664" t="str">
            <v>SO</v>
          </cell>
          <cell r="E1664" t="str">
            <v>23020</v>
          </cell>
        </row>
        <row r="1665">
          <cell r="A1665" t="str">
            <v>LIVIGNO</v>
          </cell>
          <cell r="B1665" t="str">
            <v>014037</v>
          </cell>
          <cell r="C1665" t="str">
            <v>SO</v>
          </cell>
          <cell r="D1665" t="str">
            <v>SO</v>
          </cell>
          <cell r="E1665" t="str">
            <v>23030</v>
          </cell>
        </row>
        <row r="1666">
          <cell r="A1666" t="str">
            <v>LOVERO</v>
          </cell>
          <cell r="B1666" t="str">
            <v>014038</v>
          </cell>
          <cell r="C1666" t="str">
            <v>SO</v>
          </cell>
          <cell r="D1666" t="str">
            <v>SO</v>
          </cell>
          <cell r="E1666" t="str">
            <v>23030</v>
          </cell>
        </row>
        <row r="1667">
          <cell r="A1667" t="str">
            <v>MANTELLO</v>
          </cell>
          <cell r="B1667" t="str">
            <v>014039</v>
          </cell>
          <cell r="C1667" t="str">
            <v>SO</v>
          </cell>
          <cell r="D1667" t="str">
            <v>SO</v>
          </cell>
          <cell r="E1667" t="str">
            <v>23016</v>
          </cell>
        </row>
        <row r="1668">
          <cell r="A1668" t="str">
            <v>MAZZO DI VALTELLINA</v>
          </cell>
          <cell r="B1668" t="str">
            <v>014040</v>
          </cell>
          <cell r="C1668" t="str">
            <v>SO</v>
          </cell>
          <cell r="D1668" t="str">
            <v>SO</v>
          </cell>
          <cell r="E1668" t="str">
            <v>23030</v>
          </cell>
        </row>
        <row r="1669">
          <cell r="A1669" t="str">
            <v>MELLO</v>
          </cell>
          <cell r="B1669" t="str">
            <v>014041</v>
          </cell>
          <cell r="C1669" t="str">
            <v>SO</v>
          </cell>
          <cell r="D1669" t="str">
            <v>SO</v>
          </cell>
          <cell r="E1669" t="str">
            <v>23010</v>
          </cell>
        </row>
        <row r="1670">
          <cell r="A1670" t="str">
            <v>MESE</v>
          </cell>
          <cell r="B1670" t="str">
            <v>014043</v>
          </cell>
          <cell r="C1670" t="str">
            <v>SO</v>
          </cell>
          <cell r="D1670" t="str">
            <v>SO</v>
          </cell>
          <cell r="E1670" t="str">
            <v>23020</v>
          </cell>
        </row>
        <row r="1671">
          <cell r="A1671" t="str">
            <v>MONTAGNA IN VALTELLINA</v>
          </cell>
          <cell r="B1671" t="str">
            <v>014044</v>
          </cell>
          <cell r="C1671" t="str">
            <v>SO</v>
          </cell>
          <cell r="D1671" t="str">
            <v>SO</v>
          </cell>
          <cell r="E1671" t="str">
            <v>23020</v>
          </cell>
        </row>
        <row r="1672">
          <cell r="A1672" t="str">
            <v>MORBEGNO</v>
          </cell>
          <cell r="B1672" t="str">
            <v>014045</v>
          </cell>
          <cell r="C1672" t="str">
            <v>SO</v>
          </cell>
          <cell r="D1672" t="str">
            <v>SO</v>
          </cell>
          <cell r="E1672" t="str">
            <v>23017</v>
          </cell>
        </row>
        <row r="1673">
          <cell r="A1673" t="str">
            <v>NOVATE MEZZOLA</v>
          </cell>
          <cell r="B1673" t="str">
            <v>014046</v>
          </cell>
          <cell r="C1673" t="str">
            <v>SO</v>
          </cell>
          <cell r="D1673" t="str">
            <v>SO</v>
          </cell>
          <cell r="E1673" t="str">
            <v>23025</v>
          </cell>
        </row>
        <row r="1674">
          <cell r="A1674" t="str">
            <v>PEDESINA</v>
          </cell>
          <cell r="B1674" t="str">
            <v>014047</v>
          </cell>
          <cell r="C1674" t="str">
            <v>SO</v>
          </cell>
          <cell r="D1674" t="str">
            <v>SO</v>
          </cell>
          <cell r="E1674" t="str">
            <v>23010</v>
          </cell>
        </row>
        <row r="1675">
          <cell r="A1675" t="str">
            <v>PIANTEDO</v>
          </cell>
          <cell r="B1675" t="str">
            <v>014048</v>
          </cell>
          <cell r="C1675" t="str">
            <v>SO</v>
          </cell>
          <cell r="D1675" t="str">
            <v>SO</v>
          </cell>
          <cell r="E1675" t="str">
            <v>23010</v>
          </cell>
        </row>
        <row r="1676">
          <cell r="A1676" t="str">
            <v>PIATEDA</v>
          </cell>
          <cell r="B1676" t="str">
            <v>014049</v>
          </cell>
          <cell r="C1676" t="str">
            <v>SO</v>
          </cell>
          <cell r="D1676" t="str">
            <v>SO</v>
          </cell>
          <cell r="E1676" t="str">
            <v>23020</v>
          </cell>
        </row>
        <row r="1677">
          <cell r="A1677" t="str">
            <v>PIURO</v>
          </cell>
          <cell r="B1677" t="str">
            <v>014050</v>
          </cell>
          <cell r="C1677" t="str">
            <v>SO</v>
          </cell>
          <cell r="D1677" t="str">
            <v>SO</v>
          </cell>
          <cell r="E1677" t="str">
            <v>23020</v>
          </cell>
        </row>
        <row r="1678">
          <cell r="A1678" t="str">
            <v>POGGIRIDENTI</v>
          </cell>
          <cell r="B1678" t="str">
            <v>014051</v>
          </cell>
          <cell r="C1678" t="str">
            <v>SO</v>
          </cell>
          <cell r="D1678" t="str">
            <v>SO</v>
          </cell>
          <cell r="E1678" t="str">
            <v>23020</v>
          </cell>
        </row>
        <row r="1679">
          <cell r="A1679" t="str">
            <v>PONTE IN VALTELLINA</v>
          </cell>
          <cell r="B1679" t="str">
            <v>014052</v>
          </cell>
          <cell r="C1679" t="str">
            <v>SO</v>
          </cell>
          <cell r="D1679" t="str">
            <v>SO</v>
          </cell>
          <cell r="E1679" t="str">
            <v>23026</v>
          </cell>
        </row>
        <row r="1680">
          <cell r="A1680" t="str">
            <v>POSTALESIO</v>
          </cell>
          <cell r="B1680" t="str">
            <v>014053</v>
          </cell>
          <cell r="C1680" t="str">
            <v>SO</v>
          </cell>
          <cell r="D1680" t="str">
            <v>SO</v>
          </cell>
          <cell r="E1680" t="str">
            <v>23010</v>
          </cell>
        </row>
        <row r="1681">
          <cell r="A1681" t="str">
            <v>PRATA CAMPORTACCIO</v>
          </cell>
          <cell r="B1681" t="str">
            <v>014054</v>
          </cell>
          <cell r="C1681" t="str">
            <v>SO</v>
          </cell>
          <cell r="D1681" t="str">
            <v>SO</v>
          </cell>
          <cell r="E1681" t="str">
            <v>23020</v>
          </cell>
        </row>
        <row r="1682">
          <cell r="A1682" t="str">
            <v>RASURA</v>
          </cell>
          <cell r="B1682" t="str">
            <v>014055</v>
          </cell>
          <cell r="C1682" t="str">
            <v>SO</v>
          </cell>
          <cell r="D1682" t="str">
            <v>SO</v>
          </cell>
          <cell r="E1682" t="str">
            <v>23010</v>
          </cell>
        </row>
        <row r="1683">
          <cell r="A1683" t="str">
            <v>ROGOLO</v>
          </cell>
          <cell r="B1683" t="str">
            <v>014056</v>
          </cell>
          <cell r="C1683" t="str">
            <v>SO</v>
          </cell>
          <cell r="D1683" t="str">
            <v>SO</v>
          </cell>
          <cell r="E1683" t="str">
            <v>23010</v>
          </cell>
        </row>
        <row r="1684">
          <cell r="A1684" t="str">
            <v>SAMOLACO</v>
          </cell>
          <cell r="B1684" t="str">
            <v>014057</v>
          </cell>
          <cell r="C1684" t="str">
            <v>SO</v>
          </cell>
          <cell r="D1684" t="str">
            <v>SO</v>
          </cell>
          <cell r="E1684" t="str">
            <v>23027</v>
          </cell>
        </row>
        <row r="1685">
          <cell r="A1685" t="str">
            <v>SAN GIACOMO FILIPPO</v>
          </cell>
          <cell r="B1685" t="str">
            <v>014058</v>
          </cell>
          <cell r="C1685" t="str">
            <v>SO</v>
          </cell>
          <cell r="D1685" t="str">
            <v>SO</v>
          </cell>
          <cell r="E1685" t="str">
            <v>23020</v>
          </cell>
        </row>
        <row r="1686">
          <cell r="A1686" t="str">
            <v>SERNIO</v>
          </cell>
          <cell r="B1686" t="str">
            <v>014059</v>
          </cell>
          <cell r="C1686" t="str">
            <v>SO</v>
          </cell>
          <cell r="D1686" t="str">
            <v>SO</v>
          </cell>
          <cell r="E1686" t="str">
            <v>23030</v>
          </cell>
        </row>
        <row r="1687">
          <cell r="A1687" t="str">
            <v>SONDALO</v>
          </cell>
          <cell r="B1687" t="str">
            <v>014060</v>
          </cell>
          <cell r="C1687" t="str">
            <v>SO</v>
          </cell>
          <cell r="D1687" t="str">
            <v>SO</v>
          </cell>
          <cell r="E1687" t="str">
            <v>23035</v>
          </cell>
        </row>
        <row r="1688">
          <cell r="A1688" t="str">
            <v>SONDRIO</v>
          </cell>
          <cell r="B1688" t="str">
            <v>014061</v>
          </cell>
          <cell r="C1688" t="str">
            <v>SO</v>
          </cell>
          <cell r="D1688" t="str">
            <v>SO</v>
          </cell>
          <cell r="E1688" t="str">
            <v>23100</v>
          </cell>
        </row>
        <row r="1689">
          <cell r="A1689" t="str">
            <v>SPRIANA</v>
          </cell>
          <cell r="B1689" t="str">
            <v>014062</v>
          </cell>
          <cell r="C1689" t="str">
            <v>SO</v>
          </cell>
          <cell r="D1689" t="str">
            <v>SO</v>
          </cell>
          <cell r="E1689" t="str">
            <v>23020</v>
          </cell>
        </row>
        <row r="1690">
          <cell r="A1690" t="str">
            <v>TALAMONA</v>
          </cell>
          <cell r="B1690" t="str">
            <v>014063</v>
          </cell>
          <cell r="C1690" t="str">
            <v>SO</v>
          </cell>
          <cell r="D1690" t="str">
            <v>SO</v>
          </cell>
          <cell r="E1690" t="str">
            <v>23018</v>
          </cell>
        </row>
        <row r="1691">
          <cell r="A1691" t="str">
            <v>TARTANO</v>
          </cell>
          <cell r="B1691" t="str">
            <v>014064</v>
          </cell>
          <cell r="C1691" t="str">
            <v>SO</v>
          </cell>
          <cell r="D1691" t="str">
            <v>SO</v>
          </cell>
          <cell r="E1691" t="str">
            <v>23010</v>
          </cell>
        </row>
        <row r="1692">
          <cell r="A1692" t="str">
            <v>TEGLIO</v>
          </cell>
          <cell r="B1692" t="str">
            <v>014065</v>
          </cell>
          <cell r="C1692" t="str">
            <v>SO</v>
          </cell>
          <cell r="D1692" t="str">
            <v>SO</v>
          </cell>
          <cell r="E1692" t="str">
            <v>23036</v>
          </cell>
        </row>
        <row r="1693">
          <cell r="A1693" t="str">
            <v>TIRANO</v>
          </cell>
          <cell r="B1693" t="str">
            <v>014066</v>
          </cell>
          <cell r="C1693" t="str">
            <v>SO</v>
          </cell>
          <cell r="D1693" t="str">
            <v>SO</v>
          </cell>
          <cell r="E1693" t="str">
            <v>23037</v>
          </cell>
        </row>
        <row r="1694">
          <cell r="A1694" t="str">
            <v>TORRE DI SANTA MARIA</v>
          </cell>
          <cell r="B1694" t="str">
            <v>014067</v>
          </cell>
          <cell r="C1694" t="str">
            <v>SO</v>
          </cell>
          <cell r="D1694" t="str">
            <v>SO</v>
          </cell>
          <cell r="E1694" t="str">
            <v>23020</v>
          </cell>
        </row>
        <row r="1695">
          <cell r="A1695" t="str">
            <v>TOVO DI SANT'AGATA</v>
          </cell>
          <cell r="B1695" t="str">
            <v>014068</v>
          </cell>
          <cell r="C1695" t="str">
            <v>SO</v>
          </cell>
          <cell r="D1695" t="str">
            <v>SO</v>
          </cell>
          <cell r="E1695" t="str">
            <v>23030</v>
          </cell>
        </row>
        <row r="1696">
          <cell r="A1696" t="str">
            <v>TRAONA</v>
          </cell>
          <cell r="B1696" t="str">
            <v>014069</v>
          </cell>
          <cell r="C1696" t="str">
            <v>SO</v>
          </cell>
          <cell r="D1696" t="str">
            <v>SO</v>
          </cell>
          <cell r="E1696" t="str">
            <v>23019</v>
          </cell>
        </row>
        <row r="1697">
          <cell r="A1697" t="str">
            <v>TRESIVIO</v>
          </cell>
          <cell r="B1697" t="str">
            <v>014070</v>
          </cell>
          <cell r="C1697" t="str">
            <v>SO</v>
          </cell>
          <cell r="D1697" t="str">
            <v>SO</v>
          </cell>
          <cell r="E1697" t="str">
            <v>23020</v>
          </cell>
        </row>
        <row r="1698">
          <cell r="A1698" t="str">
            <v>VALDIDENTRO</v>
          </cell>
          <cell r="B1698" t="str">
            <v>014071</v>
          </cell>
          <cell r="C1698" t="str">
            <v>SO</v>
          </cell>
          <cell r="D1698" t="str">
            <v>SO</v>
          </cell>
          <cell r="E1698" t="str">
            <v>23038</v>
          </cell>
        </row>
        <row r="1699">
          <cell r="A1699" t="str">
            <v>VALDISOTTO</v>
          </cell>
          <cell r="B1699" t="str">
            <v>014072</v>
          </cell>
          <cell r="C1699" t="str">
            <v>SO</v>
          </cell>
          <cell r="D1699" t="str">
            <v>SO</v>
          </cell>
          <cell r="E1699" t="str">
            <v>23030</v>
          </cell>
        </row>
        <row r="1700">
          <cell r="A1700" t="str">
            <v>VALFURVA</v>
          </cell>
          <cell r="B1700" t="str">
            <v>014073</v>
          </cell>
          <cell r="C1700" t="str">
            <v>SO</v>
          </cell>
          <cell r="D1700" t="str">
            <v>SO</v>
          </cell>
          <cell r="E1700" t="str">
            <v>23030</v>
          </cell>
        </row>
        <row r="1701">
          <cell r="A1701" t="str">
            <v>VAL MASINO</v>
          </cell>
          <cell r="B1701" t="str">
            <v>014074</v>
          </cell>
          <cell r="C1701" t="str">
            <v>SO</v>
          </cell>
          <cell r="D1701" t="str">
            <v>SO</v>
          </cell>
          <cell r="E1701" t="str">
            <v>23010</v>
          </cell>
        </row>
        <row r="1702">
          <cell r="A1702" t="str">
            <v>VERCEIA</v>
          </cell>
          <cell r="B1702" t="str">
            <v>014075</v>
          </cell>
          <cell r="C1702" t="str">
            <v>SO</v>
          </cell>
          <cell r="D1702" t="str">
            <v>SO</v>
          </cell>
          <cell r="E1702" t="str">
            <v>23020</v>
          </cell>
        </row>
        <row r="1703">
          <cell r="A1703" t="str">
            <v>VERVIO</v>
          </cell>
          <cell r="B1703" t="str">
            <v>014076</v>
          </cell>
          <cell r="C1703" t="str">
            <v>SO</v>
          </cell>
          <cell r="D1703" t="str">
            <v>SO</v>
          </cell>
          <cell r="E1703" t="str">
            <v>23030</v>
          </cell>
        </row>
        <row r="1704">
          <cell r="A1704" t="str">
            <v>VILLA DI CHIAVENNA</v>
          </cell>
          <cell r="B1704" t="str">
            <v>014077</v>
          </cell>
          <cell r="C1704" t="str">
            <v>SO</v>
          </cell>
          <cell r="D1704" t="str">
            <v>SO</v>
          </cell>
          <cell r="E1704" t="str">
            <v>23029</v>
          </cell>
        </row>
        <row r="1705">
          <cell r="A1705" t="str">
            <v>VILLA DI TIRANO</v>
          </cell>
          <cell r="B1705" t="str">
            <v>014078</v>
          </cell>
          <cell r="C1705" t="str">
            <v>SO</v>
          </cell>
          <cell r="D1705" t="str">
            <v>SO</v>
          </cell>
          <cell r="E1705" t="str">
            <v>23030</v>
          </cell>
        </row>
        <row r="1706">
          <cell r="A1706" t="str">
            <v>ABBIATEGRASSO</v>
          </cell>
          <cell r="B1706" t="str">
            <v>015002</v>
          </cell>
          <cell r="C1706" t="str">
            <v>MI</v>
          </cell>
          <cell r="D1706" t="str">
            <v>MI</v>
          </cell>
          <cell r="E1706" t="str">
            <v>20081</v>
          </cell>
        </row>
        <row r="1707">
          <cell r="A1707" t="str">
            <v>ALBAIRATE</v>
          </cell>
          <cell r="B1707" t="str">
            <v>015005</v>
          </cell>
          <cell r="C1707" t="str">
            <v>MI</v>
          </cell>
          <cell r="D1707" t="str">
            <v>MI</v>
          </cell>
          <cell r="E1707" t="str">
            <v>20080</v>
          </cell>
        </row>
        <row r="1708">
          <cell r="A1708" t="str">
            <v>ARCONATE</v>
          </cell>
          <cell r="B1708" t="str">
            <v>015007</v>
          </cell>
          <cell r="C1708" t="str">
            <v>MI</v>
          </cell>
          <cell r="D1708" t="str">
            <v>MI</v>
          </cell>
          <cell r="E1708" t="str">
            <v>20020</v>
          </cell>
        </row>
        <row r="1709">
          <cell r="A1709" t="str">
            <v>ARESE</v>
          </cell>
          <cell r="B1709" t="str">
            <v>015009</v>
          </cell>
          <cell r="C1709" t="str">
            <v>MI</v>
          </cell>
          <cell r="D1709" t="str">
            <v>MI</v>
          </cell>
          <cell r="E1709" t="str">
            <v>20020</v>
          </cell>
        </row>
        <row r="1710">
          <cell r="A1710" t="str">
            <v>ARLUNO</v>
          </cell>
          <cell r="B1710" t="str">
            <v>015010</v>
          </cell>
          <cell r="C1710" t="str">
            <v>MI</v>
          </cell>
          <cell r="D1710" t="str">
            <v>MI</v>
          </cell>
          <cell r="E1710" t="str">
            <v>20010</v>
          </cell>
        </row>
        <row r="1711">
          <cell r="A1711" t="str">
            <v>ASSAGO</v>
          </cell>
          <cell r="B1711" t="str">
            <v>015011</v>
          </cell>
          <cell r="C1711" t="str">
            <v>MI</v>
          </cell>
          <cell r="D1711" t="str">
            <v>MI</v>
          </cell>
          <cell r="E1711" t="str">
            <v>20090</v>
          </cell>
        </row>
        <row r="1712">
          <cell r="A1712" t="str">
            <v>BAREGGIO</v>
          </cell>
          <cell r="B1712" t="str">
            <v>015012</v>
          </cell>
          <cell r="C1712" t="str">
            <v>MI</v>
          </cell>
          <cell r="D1712" t="str">
            <v>MI</v>
          </cell>
          <cell r="E1712" t="str">
            <v>20010</v>
          </cell>
        </row>
        <row r="1713">
          <cell r="A1713" t="str">
            <v>BASIANO</v>
          </cell>
          <cell r="B1713" t="str">
            <v>015014</v>
          </cell>
          <cell r="C1713" t="str">
            <v>MI</v>
          </cell>
          <cell r="D1713" t="str">
            <v>MI</v>
          </cell>
          <cell r="E1713" t="str">
            <v>20060</v>
          </cell>
        </row>
        <row r="1714">
          <cell r="A1714" t="str">
            <v>BASIGLIO</v>
          </cell>
          <cell r="B1714" t="str">
            <v>015015</v>
          </cell>
          <cell r="C1714" t="str">
            <v>MI</v>
          </cell>
          <cell r="D1714" t="str">
            <v>MI</v>
          </cell>
          <cell r="E1714" t="str">
            <v>20080</v>
          </cell>
        </row>
        <row r="1715">
          <cell r="A1715" t="str">
            <v>BELLINZAGO LOMBARDO</v>
          </cell>
          <cell r="B1715" t="str">
            <v>015016</v>
          </cell>
          <cell r="C1715" t="str">
            <v>MI</v>
          </cell>
          <cell r="D1715" t="str">
            <v>MI</v>
          </cell>
          <cell r="E1715" t="str">
            <v>20060</v>
          </cell>
        </row>
        <row r="1716">
          <cell r="A1716" t="str">
            <v>BERNATE TICINO</v>
          </cell>
          <cell r="B1716" t="str">
            <v>015019</v>
          </cell>
          <cell r="C1716" t="str">
            <v>MI</v>
          </cell>
          <cell r="D1716" t="str">
            <v>MI</v>
          </cell>
          <cell r="E1716" t="str">
            <v>20010</v>
          </cell>
        </row>
        <row r="1717">
          <cell r="A1717" t="str">
            <v>BESATE</v>
          </cell>
          <cell r="B1717" t="str">
            <v>015022</v>
          </cell>
          <cell r="C1717" t="str">
            <v>MI</v>
          </cell>
          <cell r="D1717" t="str">
            <v>MI</v>
          </cell>
          <cell r="E1717" t="str">
            <v>20080</v>
          </cell>
        </row>
        <row r="1718">
          <cell r="A1718" t="str">
            <v>BINASCO</v>
          </cell>
          <cell r="B1718" t="str">
            <v>015024</v>
          </cell>
          <cell r="C1718" t="str">
            <v>MI</v>
          </cell>
          <cell r="D1718" t="str">
            <v>MI</v>
          </cell>
          <cell r="E1718" t="str">
            <v>20082</v>
          </cell>
        </row>
        <row r="1719">
          <cell r="A1719" t="str">
            <v>BOFFALORA SOPRA TICINO</v>
          </cell>
          <cell r="B1719" t="str">
            <v>015026</v>
          </cell>
          <cell r="C1719" t="str">
            <v>MI</v>
          </cell>
          <cell r="D1719" t="str">
            <v>MI</v>
          </cell>
          <cell r="E1719" t="str">
            <v>20010</v>
          </cell>
        </row>
        <row r="1720">
          <cell r="A1720" t="str">
            <v>BOLLATE</v>
          </cell>
          <cell r="B1720" t="str">
            <v>015027</v>
          </cell>
          <cell r="C1720" t="str">
            <v>MI</v>
          </cell>
          <cell r="D1720" t="str">
            <v>MI</v>
          </cell>
          <cell r="E1720" t="str">
            <v>20021</v>
          </cell>
        </row>
        <row r="1721">
          <cell r="A1721" t="str">
            <v>BRESSO</v>
          </cell>
          <cell r="B1721" t="str">
            <v>015032</v>
          </cell>
          <cell r="C1721" t="str">
            <v>MI</v>
          </cell>
          <cell r="D1721" t="str">
            <v>MI</v>
          </cell>
          <cell r="E1721" t="str">
            <v>20091</v>
          </cell>
        </row>
        <row r="1722">
          <cell r="A1722" t="str">
            <v>BUBBIANO</v>
          </cell>
          <cell r="B1722" t="str">
            <v>015035</v>
          </cell>
          <cell r="C1722" t="str">
            <v>MI</v>
          </cell>
          <cell r="D1722" t="str">
            <v>MI</v>
          </cell>
          <cell r="E1722" t="str">
            <v>20080</v>
          </cell>
        </row>
        <row r="1723">
          <cell r="A1723" t="str">
            <v>BUCCINASCO</v>
          </cell>
          <cell r="B1723" t="str">
            <v>015036</v>
          </cell>
          <cell r="C1723" t="str">
            <v>MI</v>
          </cell>
          <cell r="D1723" t="str">
            <v>MI</v>
          </cell>
          <cell r="E1723" t="str">
            <v>20090</v>
          </cell>
        </row>
        <row r="1724">
          <cell r="A1724" t="str">
            <v>BUSCATE</v>
          </cell>
          <cell r="B1724" t="str">
            <v>015038</v>
          </cell>
          <cell r="C1724" t="str">
            <v>MI</v>
          </cell>
          <cell r="D1724" t="str">
            <v>MI</v>
          </cell>
          <cell r="E1724" t="str">
            <v>20010</v>
          </cell>
        </row>
        <row r="1725">
          <cell r="A1725" t="str">
            <v>BUSSERO</v>
          </cell>
          <cell r="B1725" t="str">
            <v>015040</v>
          </cell>
          <cell r="C1725" t="str">
            <v>MI</v>
          </cell>
          <cell r="D1725" t="str">
            <v>MI</v>
          </cell>
          <cell r="E1725" t="str">
            <v>20060</v>
          </cell>
        </row>
        <row r="1726">
          <cell r="A1726" t="str">
            <v>BUSTO GAROLFO</v>
          </cell>
          <cell r="B1726" t="str">
            <v>015041</v>
          </cell>
          <cell r="C1726" t="str">
            <v>MI</v>
          </cell>
          <cell r="D1726" t="str">
            <v>MI</v>
          </cell>
          <cell r="E1726" t="str">
            <v>20020</v>
          </cell>
        </row>
        <row r="1727">
          <cell r="A1727" t="str">
            <v>CALVIGNASCO</v>
          </cell>
          <cell r="B1727" t="str">
            <v>015042</v>
          </cell>
          <cell r="C1727" t="str">
            <v>MI</v>
          </cell>
          <cell r="D1727" t="str">
            <v>MI</v>
          </cell>
          <cell r="E1727" t="str">
            <v>20080</v>
          </cell>
        </row>
        <row r="1728">
          <cell r="A1728" t="str">
            <v>CAMBIAGO</v>
          </cell>
          <cell r="B1728" t="str">
            <v>015044</v>
          </cell>
          <cell r="C1728" t="str">
            <v>MI</v>
          </cell>
          <cell r="D1728" t="str">
            <v>MI</v>
          </cell>
          <cell r="E1728" t="str">
            <v>20040</v>
          </cell>
        </row>
        <row r="1729">
          <cell r="A1729" t="str">
            <v>CANEGRATE</v>
          </cell>
          <cell r="B1729" t="str">
            <v>015046</v>
          </cell>
          <cell r="C1729" t="str">
            <v>MI</v>
          </cell>
          <cell r="D1729" t="str">
            <v>MI</v>
          </cell>
          <cell r="E1729" t="str">
            <v>20010</v>
          </cell>
        </row>
        <row r="1730">
          <cell r="A1730" t="str">
            <v>CARPIANO</v>
          </cell>
          <cell r="B1730" t="str">
            <v>015050</v>
          </cell>
          <cell r="C1730" t="str">
            <v>MI</v>
          </cell>
          <cell r="D1730" t="str">
            <v>MI</v>
          </cell>
          <cell r="E1730" t="str">
            <v>20080</v>
          </cell>
        </row>
        <row r="1731">
          <cell r="A1731" t="str">
            <v>CARUGATE</v>
          </cell>
          <cell r="B1731" t="str">
            <v>015051</v>
          </cell>
          <cell r="C1731" t="str">
            <v>MI</v>
          </cell>
          <cell r="D1731" t="str">
            <v>MI</v>
          </cell>
          <cell r="E1731" t="str">
            <v>20061</v>
          </cell>
        </row>
        <row r="1732">
          <cell r="A1732" t="str">
            <v>CASARILE</v>
          </cell>
          <cell r="B1732" t="str">
            <v>015055</v>
          </cell>
          <cell r="C1732" t="str">
            <v>MI</v>
          </cell>
          <cell r="D1732" t="str">
            <v>MI</v>
          </cell>
          <cell r="E1732" t="str">
            <v>20080</v>
          </cell>
        </row>
        <row r="1733">
          <cell r="A1733" t="str">
            <v>CASOREZZO</v>
          </cell>
          <cell r="B1733" t="str">
            <v>015058</v>
          </cell>
          <cell r="C1733" t="str">
            <v>MI</v>
          </cell>
          <cell r="D1733" t="str">
            <v>MI</v>
          </cell>
          <cell r="E1733" t="str">
            <v>20010</v>
          </cell>
        </row>
        <row r="1734">
          <cell r="A1734" t="str">
            <v>CASSANO D'ADDA</v>
          </cell>
          <cell r="B1734" t="str">
            <v>015059</v>
          </cell>
          <cell r="C1734" t="str">
            <v>MI</v>
          </cell>
          <cell r="D1734" t="str">
            <v>MI</v>
          </cell>
          <cell r="E1734" t="str">
            <v>20062</v>
          </cell>
        </row>
        <row r="1735">
          <cell r="A1735" t="str">
            <v>CASSINA DE' PECCHI</v>
          </cell>
          <cell r="B1735" t="str">
            <v>015060</v>
          </cell>
          <cell r="C1735" t="str">
            <v>MI</v>
          </cell>
          <cell r="D1735" t="str">
            <v>MI</v>
          </cell>
          <cell r="E1735" t="str">
            <v>20060</v>
          </cell>
        </row>
        <row r="1736">
          <cell r="A1736" t="str">
            <v>CASSINETTA DI LUGAGNANO</v>
          </cell>
          <cell r="B1736" t="str">
            <v>015061</v>
          </cell>
          <cell r="C1736" t="str">
            <v>MI</v>
          </cell>
          <cell r="D1736" t="str">
            <v>MI</v>
          </cell>
          <cell r="E1736" t="str">
            <v>20081</v>
          </cell>
        </row>
        <row r="1737">
          <cell r="A1737" t="str">
            <v>CASTANO PRIMO</v>
          </cell>
          <cell r="B1737" t="str">
            <v>015062</v>
          </cell>
          <cell r="C1737" t="str">
            <v>MI</v>
          </cell>
          <cell r="D1737" t="str">
            <v>MI</v>
          </cell>
          <cell r="E1737" t="str">
            <v>20022</v>
          </cell>
        </row>
        <row r="1738">
          <cell r="A1738" t="str">
            <v>CERNUSCO SUL NAVIGLIO</v>
          </cell>
          <cell r="B1738" t="str">
            <v>015070</v>
          </cell>
          <cell r="C1738" t="str">
            <v>MI</v>
          </cell>
          <cell r="D1738" t="str">
            <v>MI</v>
          </cell>
          <cell r="E1738" t="str">
            <v>20063</v>
          </cell>
        </row>
        <row r="1739">
          <cell r="A1739" t="str">
            <v>CERRO AL LAMBRO</v>
          </cell>
          <cell r="B1739" t="str">
            <v>015071</v>
          </cell>
          <cell r="C1739" t="str">
            <v>MI</v>
          </cell>
          <cell r="D1739" t="str">
            <v>MI</v>
          </cell>
          <cell r="E1739" t="str">
            <v>20070</v>
          </cell>
        </row>
        <row r="1740">
          <cell r="A1740" t="str">
            <v>CERRO MAGGIORE</v>
          </cell>
          <cell r="B1740" t="str">
            <v>015072</v>
          </cell>
          <cell r="C1740" t="str">
            <v>MI</v>
          </cell>
          <cell r="D1740" t="str">
            <v>MI</v>
          </cell>
          <cell r="E1740" t="str">
            <v>20023</v>
          </cell>
        </row>
        <row r="1741">
          <cell r="A1741" t="str">
            <v>CESANO BOSCONE</v>
          </cell>
          <cell r="B1741" t="str">
            <v>015074</v>
          </cell>
          <cell r="C1741" t="str">
            <v>MI</v>
          </cell>
          <cell r="D1741" t="str">
            <v>MI</v>
          </cell>
          <cell r="E1741" t="str">
            <v>20090</v>
          </cell>
        </row>
        <row r="1742">
          <cell r="A1742" t="str">
            <v>CESATE</v>
          </cell>
          <cell r="B1742" t="str">
            <v>015076</v>
          </cell>
          <cell r="C1742" t="str">
            <v>MI</v>
          </cell>
          <cell r="D1742" t="str">
            <v>MI</v>
          </cell>
          <cell r="E1742" t="str">
            <v>20020</v>
          </cell>
        </row>
        <row r="1743">
          <cell r="A1743" t="str">
            <v>CINISELLO BALSAMO</v>
          </cell>
          <cell r="B1743" t="str">
            <v>015077</v>
          </cell>
          <cell r="C1743" t="str">
            <v>MI</v>
          </cell>
          <cell r="D1743" t="str">
            <v>MI</v>
          </cell>
          <cell r="E1743" t="str">
            <v>20092</v>
          </cell>
        </row>
        <row r="1744">
          <cell r="A1744" t="str">
            <v>CISLIANO</v>
          </cell>
          <cell r="B1744" t="str">
            <v>015078</v>
          </cell>
          <cell r="C1744" t="str">
            <v>MI</v>
          </cell>
          <cell r="D1744" t="str">
            <v>MI</v>
          </cell>
          <cell r="E1744" t="str">
            <v>20080</v>
          </cell>
        </row>
        <row r="1745">
          <cell r="A1745" t="str">
            <v>COLOGNO MONZESE</v>
          </cell>
          <cell r="B1745" t="str">
            <v>015081</v>
          </cell>
          <cell r="C1745" t="str">
            <v>MI</v>
          </cell>
          <cell r="D1745" t="str">
            <v>MI</v>
          </cell>
          <cell r="E1745" t="str">
            <v>20093</v>
          </cell>
        </row>
        <row r="1746">
          <cell r="A1746" t="str">
            <v>COLTURANO</v>
          </cell>
          <cell r="B1746" t="str">
            <v>015082</v>
          </cell>
          <cell r="C1746" t="str">
            <v>MI</v>
          </cell>
          <cell r="D1746" t="str">
            <v>MI</v>
          </cell>
          <cell r="E1746" t="str">
            <v>20060</v>
          </cell>
        </row>
        <row r="1747">
          <cell r="A1747" t="str">
            <v>CORBETTA</v>
          </cell>
          <cell r="B1747" t="str">
            <v>015085</v>
          </cell>
          <cell r="C1747" t="str">
            <v>MI</v>
          </cell>
          <cell r="D1747" t="str">
            <v>MI</v>
          </cell>
          <cell r="E1747" t="str">
            <v>20011</v>
          </cell>
        </row>
        <row r="1748">
          <cell r="A1748" t="str">
            <v>CORMANO</v>
          </cell>
          <cell r="B1748" t="str">
            <v>015086</v>
          </cell>
          <cell r="C1748" t="str">
            <v>MI</v>
          </cell>
          <cell r="D1748" t="str">
            <v>MI</v>
          </cell>
          <cell r="E1748" t="str">
            <v>20032</v>
          </cell>
        </row>
        <row r="1749">
          <cell r="A1749" t="str">
            <v>CORNAREDO</v>
          </cell>
          <cell r="B1749" t="str">
            <v>015087</v>
          </cell>
          <cell r="C1749" t="str">
            <v>MI</v>
          </cell>
          <cell r="D1749" t="str">
            <v>MI</v>
          </cell>
          <cell r="E1749" t="str">
            <v>20010</v>
          </cell>
        </row>
        <row r="1750">
          <cell r="A1750" t="str">
            <v>CORSICO</v>
          </cell>
          <cell r="B1750" t="str">
            <v>015093</v>
          </cell>
          <cell r="C1750" t="str">
            <v>MI</v>
          </cell>
          <cell r="D1750" t="str">
            <v>MI</v>
          </cell>
          <cell r="E1750" t="str">
            <v>20094</v>
          </cell>
        </row>
        <row r="1751">
          <cell r="A1751" t="str">
            <v>CUGGIONO</v>
          </cell>
          <cell r="B1751" t="str">
            <v>015096</v>
          </cell>
          <cell r="C1751" t="str">
            <v>MI</v>
          </cell>
          <cell r="D1751" t="str">
            <v>MI</v>
          </cell>
          <cell r="E1751" t="str">
            <v>20012</v>
          </cell>
        </row>
        <row r="1752">
          <cell r="A1752" t="str">
            <v>CUSAGO</v>
          </cell>
          <cell r="B1752" t="str">
            <v>015097</v>
          </cell>
          <cell r="C1752" t="str">
            <v>MI</v>
          </cell>
          <cell r="D1752" t="str">
            <v>MI</v>
          </cell>
          <cell r="E1752" t="str">
            <v>20090</v>
          </cell>
        </row>
        <row r="1753">
          <cell r="A1753" t="str">
            <v>CUSANO MILANINO</v>
          </cell>
          <cell r="B1753" t="str">
            <v>015098</v>
          </cell>
          <cell r="C1753" t="str">
            <v>MI</v>
          </cell>
          <cell r="D1753" t="str">
            <v>MI</v>
          </cell>
          <cell r="E1753" t="str">
            <v>20095</v>
          </cell>
        </row>
        <row r="1754">
          <cell r="A1754" t="str">
            <v>DAIRAGO</v>
          </cell>
          <cell r="B1754" t="str">
            <v>015099</v>
          </cell>
          <cell r="C1754" t="str">
            <v>MI</v>
          </cell>
          <cell r="D1754" t="str">
            <v>MI</v>
          </cell>
          <cell r="E1754" t="str">
            <v>20020</v>
          </cell>
        </row>
        <row r="1755">
          <cell r="A1755" t="str">
            <v>DRESANO</v>
          </cell>
          <cell r="B1755" t="str">
            <v>015101</v>
          </cell>
          <cell r="C1755" t="str">
            <v>MI</v>
          </cell>
          <cell r="D1755" t="str">
            <v>MI</v>
          </cell>
          <cell r="E1755" t="str">
            <v>20070</v>
          </cell>
        </row>
        <row r="1756">
          <cell r="A1756" t="str">
            <v>GAGGIANO</v>
          </cell>
          <cell r="B1756" t="str">
            <v>015103</v>
          </cell>
          <cell r="C1756" t="str">
            <v>MI</v>
          </cell>
          <cell r="D1756" t="str">
            <v>MI</v>
          </cell>
          <cell r="E1756" t="str">
            <v>20083</v>
          </cell>
        </row>
        <row r="1757">
          <cell r="A1757" t="str">
            <v>GARBAGNATE MILANESE</v>
          </cell>
          <cell r="B1757" t="str">
            <v>015105</v>
          </cell>
          <cell r="C1757" t="str">
            <v>MI</v>
          </cell>
          <cell r="D1757" t="str">
            <v>MI</v>
          </cell>
          <cell r="E1757" t="str">
            <v>20024</v>
          </cell>
        </row>
        <row r="1758">
          <cell r="A1758" t="str">
            <v>GESSATE</v>
          </cell>
          <cell r="B1758" t="str">
            <v>015106</v>
          </cell>
          <cell r="C1758" t="str">
            <v>MI</v>
          </cell>
          <cell r="D1758" t="str">
            <v>MI</v>
          </cell>
          <cell r="E1758" t="str">
            <v>20060</v>
          </cell>
        </row>
        <row r="1759">
          <cell r="A1759" t="str">
            <v>GORGONZOLA</v>
          </cell>
          <cell r="B1759" t="str">
            <v>015108</v>
          </cell>
          <cell r="C1759" t="str">
            <v>MI</v>
          </cell>
          <cell r="D1759" t="str">
            <v>MI</v>
          </cell>
          <cell r="E1759" t="str">
            <v>20064</v>
          </cell>
        </row>
        <row r="1760">
          <cell r="A1760" t="str">
            <v>GREZZAGO</v>
          </cell>
          <cell r="B1760" t="str">
            <v>015110</v>
          </cell>
          <cell r="C1760" t="str">
            <v>MI</v>
          </cell>
          <cell r="D1760" t="str">
            <v>MI</v>
          </cell>
          <cell r="E1760" t="str">
            <v>20056</v>
          </cell>
        </row>
        <row r="1761">
          <cell r="A1761" t="str">
            <v>GUDO VISCONTI</v>
          </cell>
          <cell r="B1761" t="str">
            <v>015112</v>
          </cell>
          <cell r="C1761" t="str">
            <v>MI</v>
          </cell>
          <cell r="D1761" t="str">
            <v>MI</v>
          </cell>
          <cell r="E1761" t="str">
            <v>20088</v>
          </cell>
        </row>
        <row r="1762">
          <cell r="A1762" t="str">
            <v>INVERUNO</v>
          </cell>
          <cell r="B1762" t="str">
            <v>015113</v>
          </cell>
          <cell r="C1762" t="str">
            <v>MI</v>
          </cell>
          <cell r="D1762" t="str">
            <v>MI</v>
          </cell>
          <cell r="E1762" t="str">
            <v>20010</v>
          </cell>
        </row>
        <row r="1763">
          <cell r="A1763" t="str">
            <v>INZAGO</v>
          </cell>
          <cell r="B1763" t="str">
            <v>015114</v>
          </cell>
          <cell r="C1763" t="str">
            <v>MI</v>
          </cell>
          <cell r="D1763" t="str">
            <v>MI</v>
          </cell>
          <cell r="E1763" t="str">
            <v>20065</v>
          </cell>
        </row>
        <row r="1764">
          <cell r="A1764" t="str">
            <v>LACCHIARELLA</v>
          </cell>
          <cell r="B1764" t="str">
            <v>015115</v>
          </cell>
          <cell r="C1764" t="str">
            <v>MI</v>
          </cell>
          <cell r="D1764" t="str">
            <v>MI</v>
          </cell>
          <cell r="E1764" t="str">
            <v>20084</v>
          </cell>
        </row>
        <row r="1765">
          <cell r="A1765" t="str">
            <v>LAINATE</v>
          </cell>
          <cell r="B1765" t="str">
            <v>015116</v>
          </cell>
          <cell r="C1765" t="str">
            <v>MI</v>
          </cell>
          <cell r="D1765" t="str">
            <v>MI</v>
          </cell>
          <cell r="E1765" t="str">
            <v>20020</v>
          </cell>
        </row>
        <row r="1766">
          <cell r="A1766" t="str">
            <v>LEGNANO</v>
          </cell>
          <cell r="B1766" t="str">
            <v>015118</v>
          </cell>
          <cell r="C1766" t="str">
            <v>MI</v>
          </cell>
          <cell r="D1766" t="str">
            <v>MI</v>
          </cell>
          <cell r="E1766" t="str">
            <v>20025</v>
          </cell>
        </row>
        <row r="1767">
          <cell r="A1767" t="str">
            <v>LISCATE</v>
          </cell>
          <cell r="B1767" t="str">
            <v>015122</v>
          </cell>
          <cell r="C1767" t="str">
            <v>MI</v>
          </cell>
          <cell r="D1767" t="str">
            <v>MI</v>
          </cell>
          <cell r="E1767" t="str">
            <v>20060</v>
          </cell>
        </row>
        <row r="1768">
          <cell r="A1768" t="str">
            <v>LOCATE DI TRIULZI</v>
          </cell>
          <cell r="B1768" t="str">
            <v>015125</v>
          </cell>
          <cell r="C1768" t="str">
            <v>MI</v>
          </cell>
          <cell r="D1768" t="str">
            <v>MI</v>
          </cell>
          <cell r="E1768" t="str">
            <v>20085</v>
          </cell>
        </row>
        <row r="1769">
          <cell r="A1769" t="str">
            <v>MAGENTA</v>
          </cell>
          <cell r="B1769" t="str">
            <v>015130</v>
          </cell>
          <cell r="C1769" t="str">
            <v>MI</v>
          </cell>
          <cell r="D1769" t="str">
            <v>MI</v>
          </cell>
          <cell r="E1769" t="str">
            <v>20013</v>
          </cell>
        </row>
        <row r="1770">
          <cell r="A1770" t="str">
            <v>MAGNAGO</v>
          </cell>
          <cell r="B1770" t="str">
            <v>015131</v>
          </cell>
          <cell r="C1770" t="str">
            <v>MI</v>
          </cell>
          <cell r="D1770" t="str">
            <v>MI</v>
          </cell>
          <cell r="E1770" t="str">
            <v>20020</v>
          </cell>
        </row>
        <row r="1771">
          <cell r="A1771" t="str">
            <v>MARCALLO CON CASONE</v>
          </cell>
          <cell r="B1771" t="str">
            <v>015134</v>
          </cell>
          <cell r="C1771" t="str">
            <v>MI</v>
          </cell>
          <cell r="D1771" t="str">
            <v>MI</v>
          </cell>
          <cell r="E1771" t="str">
            <v>20010</v>
          </cell>
        </row>
        <row r="1772">
          <cell r="A1772" t="str">
            <v>MASATE</v>
          </cell>
          <cell r="B1772" t="str">
            <v>015136</v>
          </cell>
          <cell r="C1772" t="str">
            <v>MI</v>
          </cell>
          <cell r="D1772" t="str">
            <v>MI</v>
          </cell>
          <cell r="E1772" t="str">
            <v>20060</v>
          </cell>
        </row>
        <row r="1773">
          <cell r="A1773" t="str">
            <v>MEDIGLIA</v>
          </cell>
          <cell r="B1773" t="str">
            <v>015139</v>
          </cell>
          <cell r="C1773" t="str">
            <v>MI</v>
          </cell>
          <cell r="D1773" t="str">
            <v>MI</v>
          </cell>
          <cell r="E1773" t="str">
            <v>20060</v>
          </cell>
        </row>
        <row r="1774">
          <cell r="A1774" t="str">
            <v>MELEGNANO</v>
          </cell>
          <cell r="B1774" t="str">
            <v>015140</v>
          </cell>
          <cell r="C1774" t="str">
            <v>MI</v>
          </cell>
          <cell r="D1774" t="str">
            <v>MI</v>
          </cell>
          <cell r="E1774" t="str">
            <v>20077</v>
          </cell>
        </row>
        <row r="1775">
          <cell r="A1775" t="str">
            <v>MELZO</v>
          </cell>
          <cell r="B1775" t="str">
            <v>015142</v>
          </cell>
          <cell r="C1775" t="str">
            <v>MI</v>
          </cell>
          <cell r="D1775" t="str">
            <v>MI</v>
          </cell>
          <cell r="E1775" t="str">
            <v>20066</v>
          </cell>
        </row>
        <row r="1776">
          <cell r="A1776" t="str">
            <v>MESERO</v>
          </cell>
          <cell r="B1776" t="str">
            <v>015144</v>
          </cell>
          <cell r="C1776" t="str">
            <v>MI</v>
          </cell>
          <cell r="D1776" t="str">
            <v>MI</v>
          </cell>
          <cell r="E1776" t="str">
            <v>20010</v>
          </cell>
        </row>
        <row r="1777">
          <cell r="A1777" t="str">
            <v>MILANO</v>
          </cell>
          <cell r="B1777" t="str">
            <v>015146</v>
          </cell>
          <cell r="C1777" t="str">
            <v>MI</v>
          </cell>
          <cell r="D1777" t="str">
            <v>MI</v>
          </cell>
          <cell r="E1777" t="str">
            <v>201xx</v>
          </cell>
        </row>
        <row r="1778">
          <cell r="A1778" t="str">
            <v>MORIMONDO</v>
          </cell>
          <cell r="B1778" t="str">
            <v>015150</v>
          </cell>
          <cell r="C1778" t="str">
            <v>MI</v>
          </cell>
          <cell r="D1778" t="str">
            <v>MI</v>
          </cell>
          <cell r="E1778" t="str">
            <v>20081</v>
          </cell>
        </row>
        <row r="1779">
          <cell r="A1779" t="str">
            <v>MOTTA VISCONTI</v>
          </cell>
          <cell r="B1779" t="str">
            <v>015151</v>
          </cell>
          <cell r="C1779" t="str">
            <v>MI</v>
          </cell>
          <cell r="D1779" t="str">
            <v>MI</v>
          </cell>
          <cell r="E1779" t="str">
            <v>20086</v>
          </cell>
        </row>
        <row r="1780">
          <cell r="A1780" t="str">
            <v>NERVIANO</v>
          </cell>
          <cell r="B1780" t="str">
            <v>015154</v>
          </cell>
          <cell r="C1780" t="str">
            <v>MI</v>
          </cell>
          <cell r="D1780" t="str">
            <v>MI</v>
          </cell>
          <cell r="E1780" t="str">
            <v>20014</v>
          </cell>
        </row>
        <row r="1781">
          <cell r="A1781" t="str">
            <v>NOSATE</v>
          </cell>
          <cell r="B1781" t="str">
            <v>015155</v>
          </cell>
          <cell r="C1781" t="str">
            <v>MI</v>
          </cell>
          <cell r="D1781" t="str">
            <v>MI</v>
          </cell>
          <cell r="E1781" t="str">
            <v>20020</v>
          </cell>
        </row>
        <row r="1782">
          <cell r="A1782" t="str">
            <v>NOVATE MILANESE</v>
          </cell>
          <cell r="B1782" t="str">
            <v>015157</v>
          </cell>
          <cell r="C1782" t="str">
            <v>MI</v>
          </cell>
          <cell r="D1782" t="str">
            <v>MI</v>
          </cell>
          <cell r="E1782" t="str">
            <v>20026</v>
          </cell>
        </row>
        <row r="1783">
          <cell r="A1783" t="str">
            <v>NOVIGLIO</v>
          </cell>
          <cell r="B1783" t="str">
            <v>015158</v>
          </cell>
          <cell r="C1783" t="str">
            <v>MI</v>
          </cell>
          <cell r="D1783" t="str">
            <v>MI</v>
          </cell>
          <cell r="E1783" t="str">
            <v>20082</v>
          </cell>
        </row>
        <row r="1784">
          <cell r="A1784" t="str">
            <v>OPERA</v>
          </cell>
          <cell r="B1784" t="str">
            <v>015159</v>
          </cell>
          <cell r="C1784" t="str">
            <v>MI</v>
          </cell>
          <cell r="D1784" t="str">
            <v>MI</v>
          </cell>
          <cell r="E1784" t="str">
            <v>20090</v>
          </cell>
        </row>
        <row r="1785">
          <cell r="A1785" t="str">
            <v>OSSONA</v>
          </cell>
          <cell r="B1785" t="str">
            <v>015164</v>
          </cell>
          <cell r="C1785" t="str">
            <v>MI</v>
          </cell>
          <cell r="D1785" t="str">
            <v>MI</v>
          </cell>
          <cell r="E1785" t="str">
            <v>20010</v>
          </cell>
        </row>
        <row r="1786">
          <cell r="A1786" t="str">
            <v>OZZERO</v>
          </cell>
          <cell r="B1786" t="str">
            <v>015165</v>
          </cell>
          <cell r="C1786" t="str">
            <v>MI</v>
          </cell>
          <cell r="D1786" t="str">
            <v>MI</v>
          </cell>
          <cell r="E1786" t="str">
            <v>20080</v>
          </cell>
        </row>
        <row r="1787">
          <cell r="A1787" t="str">
            <v>PADERNO DUGNANO</v>
          </cell>
          <cell r="B1787" t="str">
            <v>015166</v>
          </cell>
          <cell r="C1787" t="str">
            <v>MI</v>
          </cell>
          <cell r="D1787" t="str">
            <v>MI</v>
          </cell>
          <cell r="E1787" t="str">
            <v>20037</v>
          </cell>
        </row>
        <row r="1788">
          <cell r="A1788" t="str">
            <v>PANTIGLIATE</v>
          </cell>
          <cell r="B1788" t="str">
            <v>015167</v>
          </cell>
          <cell r="C1788" t="str">
            <v>MI</v>
          </cell>
          <cell r="D1788" t="str">
            <v>MI</v>
          </cell>
          <cell r="E1788" t="str">
            <v>20090</v>
          </cell>
        </row>
        <row r="1789">
          <cell r="A1789" t="str">
            <v>PARABIAGO</v>
          </cell>
          <cell r="B1789" t="str">
            <v>015168</v>
          </cell>
          <cell r="C1789" t="str">
            <v>MI</v>
          </cell>
          <cell r="D1789" t="str">
            <v>MI</v>
          </cell>
          <cell r="E1789" t="str">
            <v>20015</v>
          </cell>
        </row>
        <row r="1790">
          <cell r="A1790" t="str">
            <v>PAULLO</v>
          </cell>
          <cell r="B1790" t="str">
            <v>015169</v>
          </cell>
          <cell r="C1790" t="str">
            <v>MI</v>
          </cell>
          <cell r="D1790" t="str">
            <v>MI</v>
          </cell>
          <cell r="E1790" t="str">
            <v>20067</v>
          </cell>
        </row>
        <row r="1791">
          <cell r="A1791" t="str">
            <v>PERO</v>
          </cell>
          <cell r="B1791" t="str">
            <v>015170</v>
          </cell>
          <cell r="C1791" t="str">
            <v>MI</v>
          </cell>
          <cell r="D1791" t="str">
            <v>MI</v>
          </cell>
          <cell r="E1791" t="str">
            <v>20016</v>
          </cell>
        </row>
        <row r="1792">
          <cell r="A1792" t="str">
            <v>PESCHIERA BORROMEO</v>
          </cell>
          <cell r="B1792" t="str">
            <v>015171</v>
          </cell>
          <cell r="C1792" t="str">
            <v>MI</v>
          </cell>
          <cell r="D1792" t="str">
            <v>MI</v>
          </cell>
          <cell r="E1792" t="str">
            <v>20068</v>
          </cell>
        </row>
        <row r="1793">
          <cell r="A1793" t="str">
            <v>PESSANO CON BORNAGO</v>
          </cell>
          <cell r="B1793" t="str">
            <v>015172</v>
          </cell>
          <cell r="C1793" t="str">
            <v>MI</v>
          </cell>
          <cell r="D1793" t="str">
            <v>MI</v>
          </cell>
          <cell r="E1793" t="str">
            <v>20060</v>
          </cell>
        </row>
        <row r="1794">
          <cell r="A1794" t="str">
            <v>PIEVE EMANUELE</v>
          </cell>
          <cell r="B1794" t="str">
            <v>015173</v>
          </cell>
          <cell r="C1794" t="str">
            <v>MI</v>
          </cell>
          <cell r="D1794" t="str">
            <v>MI</v>
          </cell>
          <cell r="E1794" t="str">
            <v>20090</v>
          </cell>
        </row>
        <row r="1795">
          <cell r="A1795" t="str">
            <v>PIOLTELLO</v>
          </cell>
          <cell r="B1795" t="str">
            <v>015175</v>
          </cell>
          <cell r="C1795" t="str">
            <v>MI</v>
          </cell>
          <cell r="D1795" t="str">
            <v>MI</v>
          </cell>
          <cell r="E1795" t="str">
            <v>20096</v>
          </cell>
        </row>
        <row r="1796">
          <cell r="A1796" t="str">
            <v>POGLIANO MILANESE</v>
          </cell>
          <cell r="B1796" t="str">
            <v>015176</v>
          </cell>
          <cell r="C1796" t="str">
            <v>MI</v>
          </cell>
          <cell r="D1796" t="str">
            <v>MI</v>
          </cell>
          <cell r="E1796" t="str">
            <v>20010</v>
          </cell>
        </row>
        <row r="1797">
          <cell r="A1797" t="str">
            <v>POZZO D'ADDA</v>
          </cell>
          <cell r="B1797" t="str">
            <v>015177</v>
          </cell>
          <cell r="C1797" t="str">
            <v>MI</v>
          </cell>
          <cell r="D1797" t="str">
            <v>MI</v>
          </cell>
          <cell r="E1797" t="str">
            <v>20060</v>
          </cell>
        </row>
        <row r="1798">
          <cell r="A1798" t="str">
            <v>POZZUOLO MARTESANA</v>
          </cell>
          <cell r="B1798" t="str">
            <v>015178</v>
          </cell>
          <cell r="C1798" t="str">
            <v>MI</v>
          </cell>
          <cell r="D1798" t="str">
            <v>MI</v>
          </cell>
          <cell r="E1798" t="str">
            <v>20060</v>
          </cell>
        </row>
        <row r="1799">
          <cell r="A1799" t="str">
            <v>PREGNANA MILANESE</v>
          </cell>
          <cell r="B1799" t="str">
            <v>015179</v>
          </cell>
          <cell r="C1799" t="str">
            <v>MI</v>
          </cell>
          <cell r="D1799" t="str">
            <v>MI</v>
          </cell>
          <cell r="E1799" t="str">
            <v>20010</v>
          </cell>
        </row>
        <row r="1800">
          <cell r="A1800" t="str">
            <v>RESCALDINA</v>
          </cell>
          <cell r="B1800" t="str">
            <v>015181</v>
          </cell>
          <cell r="C1800" t="str">
            <v>MI</v>
          </cell>
          <cell r="D1800" t="str">
            <v>MI</v>
          </cell>
          <cell r="E1800" t="str">
            <v>20027</v>
          </cell>
        </row>
        <row r="1801">
          <cell r="A1801" t="str">
            <v>RHO</v>
          </cell>
          <cell r="B1801" t="str">
            <v>015182</v>
          </cell>
          <cell r="C1801" t="str">
            <v>MI</v>
          </cell>
          <cell r="D1801" t="str">
            <v>MI</v>
          </cell>
          <cell r="E1801" t="str">
            <v>20017</v>
          </cell>
        </row>
        <row r="1802">
          <cell r="A1802" t="str">
            <v>ROBECCHETTO CON INDUNO</v>
          </cell>
          <cell r="B1802" t="str">
            <v>015183</v>
          </cell>
          <cell r="C1802" t="str">
            <v>MI</v>
          </cell>
          <cell r="D1802" t="str">
            <v>MI</v>
          </cell>
          <cell r="E1802" t="str">
            <v>20020</v>
          </cell>
        </row>
        <row r="1803">
          <cell r="A1803" t="str">
            <v>ROBECCO SUL NAVIGLIO</v>
          </cell>
          <cell r="B1803" t="str">
            <v>015184</v>
          </cell>
          <cell r="C1803" t="str">
            <v>MI</v>
          </cell>
          <cell r="D1803" t="str">
            <v>MI</v>
          </cell>
          <cell r="E1803" t="str">
            <v>20087</v>
          </cell>
        </row>
        <row r="1804">
          <cell r="A1804" t="str">
            <v>RODANO</v>
          </cell>
          <cell r="B1804" t="str">
            <v>015185</v>
          </cell>
          <cell r="C1804" t="str">
            <v>MI</v>
          </cell>
          <cell r="D1804" t="str">
            <v>MI</v>
          </cell>
          <cell r="E1804" t="str">
            <v>20090</v>
          </cell>
        </row>
        <row r="1805">
          <cell r="A1805" t="str">
            <v>ROSATE</v>
          </cell>
          <cell r="B1805" t="str">
            <v>015188</v>
          </cell>
          <cell r="C1805" t="str">
            <v>MI</v>
          </cell>
          <cell r="D1805" t="str">
            <v>MI</v>
          </cell>
          <cell r="E1805" t="str">
            <v>20088</v>
          </cell>
        </row>
        <row r="1806">
          <cell r="A1806" t="str">
            <v>ROZZANO</v>
          </cell>
          <cell r="B1806" t="str">
            <v>015189</v>
          </cell>
          <cell r="C1806" t="str">
            <v>MI</v>
          </cell>
          <cell r="D1806" t="str">
            <v>MI</v>
          </cell>
          <cell r="E1806" t="str">
            <v>20089</v>
          </cell>
        </row>
        <row r="1807">
          <cell r="A1807" t="str">
            <v>SAN COLOMBANO AL LAMBRO</v>
          </cell>
          <cell r="B1807" t="str">
            <v>015191</v>
          </cell>
          <cell r="C1807" t="str">
            <v>MI</v>
          </cell>
          <cell r="D1807" t="str">
            <v>MI</v>
          </cell>
          <cell r="E1807" t="str">
            <v>20078</v>
          </cell>
        </row>
        <row r="1808">
          <cell r="A1808" t="str">
            <v>SAN DONATO MILANESE</v>
          </cell>
          <cell r="B1808" t="str">
            <v>015192</v>
          </cell>
          <cell r="C1808" t="str">
            <v>MI</v>
          </cell>
          <cell r="D1808" t="str">
            <v>MI</v>
          </cell>
          <cell r="E1808" t="str">
            <v>20097</v>
          </cell>
        </row>
        <row r="1809">
          <cell r="A1809" t="str">
            <v>SAN GIORGIO SU LEGNANO</v>
          </cell>
          <cell r="B1809" t="str">
            <v>015194</v>
          </cell>
          <cell r="C1809" t="str">
            <v>MI</v>
          </cell>
          <cell r="D1809" t="str">
            <v>MI</v>
          </cell>
          <cell r="E1809" t="str">
            <v>20010</v>
          </cell>
        </row>
        <row r="1810">
          <cell r="A1810" t="str">
            <v>SAN GIULIANO MILANESE</v>
          </cell>
          <cell r="B1810" t="str">
            <v>015195</v>
          </cell>
          <cell r="C1810" t="str">
            <v>MI</v>
          </cell>
          <cell r="D1810" t="str">
            <v>MI</v>
          </cell>
          <cell r="E1810" t="str">
            <v>20098</v>
          </cell>
        </row>
        <row r="1811">
          <cell r="A1811" t="str">
            <v>SANTO STEFANO TICINO</v>
          </cell>
          <cell r="B1811" t="str">
            <v>015200</v>
          </cell>
          <cell r="C1811" t="str">
            <v>MI</v>
          </cell>
          <cell r="D1811" t="str">
            <v>MI</v>
          </cell>
          <cell r="E1811" t="str">
            <v>20010</v>
          </cell>
        </row>
        <row r="1812">
          <cell r="A1812" t="str">
            <v>SAN VITTORE OLONA</v>
          </cell>
          <cell r="B1812" t="str">
            <v>015201</v>
          </cell>
          <cell r="C1812" t="str">
            <v>MI</v>
          </cell>
          <cell r="D1812" t="str">
            <v>MI</v>
          </cell>
          <cell r="E1812" t="str">
            <v>20028</v>
          </cell>
        </row>
        <row r="1813">
          <cell r="A1813" t="str">
            <v>SAN ZENONE AL LAMBRO</v>
          </cell>
          <cell r="B1813" t="str">
            <v>015202</v>
          </cell>
          <cell r="C1813" t="str">
            <v>MI</v>
          </cell>
          <cell r="D1813" t="str">
            <v>MI</v>
          </cell>
          <cell r="E1813" t="str">
            <v>20070</v>
          </cell>
        </row>
        <row r="1814">
          <cell r="A1814" t="str">
            <v>SEDRIANO</v>
          </cell>
          <cell r="B1814" t="str">
            <v>015204</v>
          </cell>
          <cell r="C1814" t="str">
            <v>MI</v>
          </cell>
          <cell r="D1814" t="str">
            <v>MI</v>
          </cell>
          <cell r="E1814" t="str">
            <v>20018</v>
          </cell>
        </row>
        <row r="1815">
          <cell r="A1815" t="str">
            <v>SEGRATE</v>
          </cell>
          <cell r="B1815" t="str">
            <v>015205</v>
          </cell>
          <cell r="C1815" t="str">
            <v>MI</v>
          </cell>
          <cell r="D1815" t="str">
            <v>MI</v>
          </cell>
          <cell r="E1815" t="str">
            <v>20090</v>
          </cell>
        </row>
        <row r="1816">
          <cell r="A1816" t="str">
            <v>SENAGO</v>
          </cell>
          <cell r="B1816" t="str">
            <v>015206</v>
          </cell>
          <cell r="C1816" t="str">
            <v>MI</v>
          </cell>
          <cell r="D1816" t="str">
            <v>MI</v>
          </cell>
          <cell r="E1816" t="str">
            <v>20030</v>
          </cell>
        </row>
        <row r="1817">
          <cell r="A1817" t="str">
            <v>SESTO SAN GIOVANNI</v>
          </cell>
          <cell r="B1817" t="str">
            <v>015209</v>
          </cell>
          <cell r="C1817" t="str">
            <v>MI</v>
          </cell>
          <cell r="D1817" t="str">
            <v>MI</v>
          </cell>
          <cell r="E1817" t="str">
            <v>20099</v>
          </cell>
        </row>
        <row r="1818">
          <cell r="A1818" t="str">
            <v>SETTALA</v>
          </cell>
          <cell r="B1818" t="str">
            <v>015210</v>
          </cell>
          <cell r="C1818" t="str">
            <v>MI</v>
          </cell>
          <cell r="D1818" t="str">
            <v>MI</v>
          </cell>
          <cell r="E1818" t="str">
            <v>20090</v>
          </cell>
        </row>
        <row r="1819">
          <cell r="A1819" t="str">
            <v>SETTIMO MILANESE</v>
          </cell>
          <cell r="B1819" t="str">
            <v>015211</v>
          </cell>
          <cell r="C1819" t="str">
            <v>MI</v>
          </cell>
          <cell r="D1819" t="str">
            <v>MI</v>
          </cell>
          <cell r="E1819" t="str">
            <v>20019</v>
          </cell>
        </row>
        <row r="1820">
          <cell r="A1820" t="str">
            <v>SOLARO</v>
          </cell>
          <cell r="B1820" t="str">
            <v>015213</v>
          </cell>
          <cell r="C1820" t="str">
            <v>MI</v>
          </cell>
          <cell r="D1820" t="str">
            <v>MI</v>
          </cell>
          <cell r="E1820" t="str">
            <v>20020</v>
          </cell>
        </row>
        <row r="1821">
          <cell r="A1821" t="str">
            <v>TREZZANO ROSA</v>
          </cell>
          <cell r="B1821" t="str">
            <v>015219</v>
          </cell>
          <cell r="C1821" t="str">
            <v>MI</v>
          </cell>
          <cell r="D1821" t="str">
            <v>MI</v>
          </cell>
          <cell r="E1821" t="str">
            <v>20060</v>
          </cell>
        </row>
        <row r="1822">
          <cell r="A1822" t="str">
            <v>TREZZANO SUL NAVIGLIO</v>
          </cell>
          <cell r="B1822" t="str">
            <v>015220</v>
          </cell>
          <cell r="C1822" t="str">
            <v>MI</v>
          </cell>
          <cell r="D1822" t="str">
            <v>MI</v>
          </cell>
          <cell r="E1822" t="str">
            <v>20090</v>
          </cell>
        </row>
        <row r="1823">
          <cell r="A1823" t="str">
            <v>TREZZO SULL'ADDA</v>
          </cell>
          <cell r="B1823" t="str">
            <v>015221</v>
          </cell>
          <cell r="C1823" t="str">
            <v>MI</v>
          </cell>
          <cell r="D1823" t="str">
            <v>MI</v>
          </cell>
          <cell r="E1823" t="str">
            <v>20056</v>
          </cell>
        </row>
        <row r="1824">
          <cell r="A1824" t="str">
            <v>TRIBIANO</v>
          </cell>
          <cell r="B1824" t="str">
            <v>015222</v>
          </cell>
          <cell r="C1824" t="str">
            <v>MI</v>
          </cell>
          <cell r="D1824" t="str">
            <v>MI</v>
          </cell>
          <cell r="E1824" t="str">
            <v>20067</v>
          </cell>
        </row>
        <row r="1825">
          <cell r="A1825" t="str">
            <v>TRUCCAZZANO</v>
          </cell>
          <cell r="B1825" t="str">
            <v>015224</v>
          </cell>
          <cell r="C1825" t="str">
            <v>MI</v>
          </cell>
          <cell r="D1825" t="str">
            <v>MI</v>
          </cell>
          <cell r="E1825" t="str">
            <v>20060</v>
          </cell>
        </row>
        <row r="1826">
          <cell r="A1826" t="str">
            <v>TURBIGO</v>
          </cell>
          <cell r="B1826" t="str">
            <v>015226</v>
          </cell>
          <cell r="C1826" t="str">
            <v>MI</v>
          </cell>
          <cell r="D1826" t="str">
            <v>MI</v>
          </cell>
          <cell r="E1826" t="str">
            <v>20029</v>
          </cell>
        </row>
        <row r="1827">
          <cell r="A1827" t="str">
            <v>VANZAGO</v>
          </cell>
          <cell r="B1827" t="str">
            <v>015229</v>
          </cell>
          <cell r="C1827" t="str">
            <v>MI</v>
          </cell>
          <cell r="D1827" t="str">
            <v>MI</v>
          </cell>
          <cell r="E1827" t="str">
            <v>20010</v>
          </cell>
        </row>
        <row r="1828">
          <cell r="A1828" t="str">
            <v>VAPRIO D'ADDA</v>
          </cell>
          <cell r="B1828" t="str">
            <v>015230</v>
          </cell>
          <cell r="C1828" t="str">
            <v>MI</v>
          </cell>
          <cell r="D1828" t="str">
            <v>MI</v>
          </cell>
          <cell r="E1828" t="str">
            <v>20069</v>
          </cell>
        </row>
        <row r="1829">
          <cell r="A1829" t="str">
            <v>VERNATE</v>
          </cell>
          <cell r="B1829" t="str">
            <v>015236</v>
          </cell>
          <cell r="C1829" t="str">
            <v>MI</v>
          </cell>
          <cell r="D1829" t="str">
            <v>MI</v>
          </cell>
          <cell r="E1829" t="str">
            <v>20080</v>
          </cell>
        </row>
        <row r="1830">
          <cell r="A1830" t="str">
            <v>VIGNATE</v>
          </cell>
          <cell r="B1830" t="str">
            <v>015237</v>
          </cell>
          <cell r="C1830" t="str">
            <v>MI</v>
          </cell>
          <cell r="D1830" t="str">
            <v>MI</v>
          </cell>
          <cell r="E1830" t="str">
            <v>20060</v>
          </cell>
        </row>
        <row r="1831">
          <cell r="A1831" t="str">
            <v>VIMODRONE</v>
          </cell>
          <cell r="B1831" t="str">
            <v>015242</v>
          </cell>
          <cell r="C1831" t="str">
            <v>MI</v>
          </cell>
          <cell r="D1831" t="str">
            <v>MI</v>
          </cell>
          <cell r="E1831" t="str">
            <v>20090</v>
          </cell>
        </row>
        <row r="1832">
          <cell r="A1832" t="str">
            <v>VITTUONE</v>
          </cell>
          <cell r="B1832" t="str">
            <v>015243</v>
          </cell>
          <cell r="C1832" t="str">
            <v>MI</v>
          </cell>
          <cell r="D1832" t="str">
            <v>MI</v>
          </cell>
          <cell r="E1832" t="str">
            <v>20010</v>
          </cell>
        </row>
        <row r="1833">
          <cell r="A1833" t="str">
            <v>VIZZOLO PREDABISSI</v>
          </cell>
          <cell r="B1833" t="str">
            <v>015244</v>
          </cell>
          <cell r="C1833" t="str">
            <v>MI</v>
          </cell>
          <cell r="D1833" t="str">
            <v>MI</v>
          </cell>
          <cell r="E1833" t="str">
            <v>20070</v>
          </cell>
        </row>
        <row r="1834">
          <cell r="A1834" t="str">
            <v>ZIBIDO SAN GIACOMO</v>
          </cell>
          <cell r="B1834" t="str">
            <v>015247</v>
          </cell>
          <cell r="C1834" t="str">
            <v>MI</v>
          </cell>
          <cell r="D1834" t="str">
            <v>MI</v>
          </cell>
          <cell r="E1834" t="str">
            <v>20080</v>
          </cell>
        </row>
        <row r="1835">
          <cell r="A1835" t="str">
            <v>VILLA CORTESE</v>
          </cell>
          <cell r="B1835" t="str">
            <v>015248</v>
          </cell>
          <cell r="C1835" t="str">
            <v>MI</v>
          </cell>
          <cell r="D1835" t="str">
            <v>MI</v>
          </cell>
          <cell r="E1835" t="str">
            <v>20020</v>
          </cell>
        </row>
        <row r="1836">
          <cell r="A1836" t="str">
            <v>VANZAGHELLO</v>
          </cell>
          <cell r="B1836" t="str">
            <v>015249</v>
          </cell>
          <cell r="C1836" t="str">
            <v>MI</v>
          </cell>
          <cell r="D1836" t="str">
            <v>MI</v>
          </cell>
          <cell r="E1836" t="str">
            <v>20020</v>
          </cell>
        </row>
        <row r="1837">
          <cell r="A1837" t="str">
            <v>BARANZATE</v>
          </cell>
          <cell r="B1837" t="str">
            <v>015250</v>
          </cell>
          <cell r="C1837" t="str">
            <v>MI</v>
          </cell>
          <cell r="D1837" t="str">
            <v>MI</v>
          </cell>
          <cell r="E1837" t="str">
            <v>20021</v>
          </cell>
        </row>
        <row r="1838">
          <cell r="A1838" t="str">
            <v>VERMEZZO CON ZELO</v>
          </cell>
          <cell r="B1838" t="str">
            <v>015251</v>
          </cell>
          <cell r="C1838" t="str">
            <v>MI</v>
          </cell>
          <cell r="D1838" t="e">
            <v>#N/A</v>
          </cell>
          <cell r="E1838" t="e">
            <v>#N/A</v>
          </cell>
        </row>
        <row r="1839">
          <cell r="A1839" t="str">
            <v>ADRARA SAN MARTINO</v>
          </cell>
          <cell r="B1839" t="str">
            <v>016001</v>
          </cell>
          <cell r="C1839" t="str">
            <v>BG</v>
          </cell>
          <cell r="D1839" t="str">
            <v>BG</v>
          </cell>
          <cell r="E1839" t="str">
            <v>24060</v>
          </cell>
        </row>
        <row r="1840">
          <cell r="A1840" t="str">
            <v>ADRARA SAN ROCCO</v>
          </cell>
          <cell r="B1840" t="str">
            <v>016002</v>
          </cell>
          <cell r="C1840" t="str">
            <v>BG</v>
          </cell>
          <cell r="D1840" t="str">
            <v>BG</v>
          </cell>
          <cell r="E1840" t="str">
            <v>24060</v>
          </cell>
        </row>
        <row r="1841">
          <cell r="A1841" t="str">
            <v>ALBANO SANT'ALESSANDRO</v>
          </cell>
          <cell r="B1841" t="str">
            <v>016003</v>
          </cell>
          <cell r="C1841" t="str">
            <v>BG</v>
          </cell>
          <cell r="D1841" t="str">
            <v>BG</v>
          </cell>
          <cell r="E1841" t="str">
            <v>24061</v>
          </cell>
        </row>
        <row r="1842">
          <cell r="A1842" t="str">
            <v>ALBINO</v>
          </cell>
          <cell r="B1842" t="str">
            <v>016004</v>
          </cell>
          <cell r="C1842" t="str">
            <v>BG</v>
          </cell>
          <cell r="D1842" t="str">
            <v>BG</v>
          </cell>
          <cell r="E1842" t="str">
            <v>24021</v>
          </cell>
        </row>
        <row r="1843">
          <cell r="A1843" t="str">
            <v>ALMÈ</v>
          </cell>
          <cell r="B1843" t="str">
            <v>016005</v>
          </cell>
          <cell r="C1843" t="str">
            <v>BG</v>
          </cell>
          <cell r="D1843" t="str">
            <v>BG</v>
          </cell>
          <cell r="E1843" t="str">
            <v>24011</v>
          </cell>
        </row>
        <row r="1844">
          <cell r="A1844" t="str">
            <v>ALMENNO SAN BARTOLOMEO</v>
          </cell>
          <cell r="B1844" t="str">
            <v>016006</v>
          </cell>
          <cell r="C1844" t="str">
            <v>BG</v>
          </cell>
          <cell r="D1844" t="str">
            <v>BG</v>
          </cell>
          <cell r="E1844" t="str">
            <v>24030</v>
          </cell>
        </row>
        <row r="1845">
          <cell r="A1845" t="str">
            <v>ALMENNO SAN SALVATORE</v>
          </cell>
          <cell r="B1845" t="str">
            <v>016007</v>
          </cell>
          <cell r="C1845" t="str">
            <v>BG</v>
          </cell>
          <cell r="D1845" t="str">
            <v>BG</v>
          </cell>
          <cell r="E1845" t="str">
            <v>24031</v>
          </cell>
        </row>
        <row r="1846">
          <cell r="A1846" t="str">
            <v>ALZANO LOMBARDO</v>
          </cell>
          <cell r="B1846" t="str">
            <v>016008</v>
          </cell>
          <cell r="C1846" t="str">
            <v>BG</v>
          </cell>
          <cell r="D1846" t="str">
            <v>BG</v>
          </cell>
          <cell r="E1846" t="str">
            <v>24022</v>
          </cell>
        </row>
        <row r="1847">
          <cell r="A1847" t="str">
            <v>AMBIVERE</v>
          </cell>
          <cell r="B1847" t="str">
            <v>016009</v>
          </cell>
          <cell r="C1847" t="str">
            <v>BG</v>
          </cell>
          <cell r="D1847" t="str">
            <v>BG</v>
          </cell>
          <cell r="E1847" t="str">
            <v>24030</v>
          </cell>
        </row>
        <row r="1848">
          <cell r="A1848" t="str">
            <v>ANTEGNATE</v>
          </cell>
          <cell r="B1848" t="str">
            <v>016010</v>
          </cell>
          <cell r="C1848" t="str">
            <v>BG</v>
          </cell>
          <cell r="D1848" t="str">
            <v>BG</v>
          </cell>
          <cell r="E1848" t="str">
            <v>24051</v>
          </cell>
        </row>
        <row r="1849">
          <cell r="A1849" t="str">
            <v>ARCENE</v>
          </cell>
          <cell r="B1849" t="str">
            <v>016011</v>
          </cell>
          <cell r="C1849" t="str">
            <v>BG</v>
          </cell>
          <cell r="D1849" t="str">
            <v>BG</v>
          </cell>
          <cell r="E1849" t="str">
            <v>24040</v>
          </cell>
        </row>
        <row r="1850">
          <cell r="A1850" t="str">
            <v>ARDESIO</v>
          </cell>
          <cell r="B1850" t="str">
            <v>016012</v>
          </cell>
          <cell r="C1850" t="str">
            <v>BG</v>
          </cell>
          <cell r="D1850" t="str">
            <v>BG</v>
          </cell>
          <cell r="E1850" t="str">
            <v>24020</v>
          </cell>
        </row>
        <row r="1851">
          <cell r="A1851" t="str">
            <v>ARZAGO D'ADDA</v>
          </cell>
          <cell r="B1851" t="str">
            <v>016013</v>
          </cell>
          <cell r="C1851" t="str">
            <v>BG</v>
          </cell>
          <cell r="D1851" t="str">
            <v>BG</v>
          </cell>
          <cell r="E1851" t="str">
            <v>24040</v>
          </cell>
        </row>
        <row r="1852">
          <cell r="A1852" t="str">
            <v>AVERARA</v>
          </cell>
          <cell r="B1852" t="str">
            <v>016014</v>
          </cell>
          <cell r="C1852" t="str">
            <v>BG</v>
          </cell>
          <cell r="D1852" t="str">
            <v>BG</v>
          </cell>
          <cell r="E1852" t="str">
            <v>24010</v>
          </cell>
        </row>
        <row r="1853">
          <cell r="A1853" t="str">
            <v>AVIATICO</v>
          </cell>
          <cell r="B1853" t="str">
            <v>016015</v>
          </cell>
          <cell r="C1853" t="str">
            <v>BG</v>
          </cell>
          <cell r="D1853" t="str">
            <v>BG</v>
          </cell>
          <cell r="E1853" t="str">
            <v>24020</v>
          </cell>
        </row>
        <row r="1854">
          <cell r="A1854" t="str">
            <v>AZZANO SAN PAOLO</v>
          </cell>
          <cell r="B1854" t="str">
            <v>016016</v>
          </cell>
          <cell r="C1854" t="str">
            <v>BG</v>
          </cell>
          <cell r="D1854" t="str">
            <v>BG</v>
          </cell>
          <cell r="E1854" t="str">
            <v>24052</v>
          </cell>
        </row>
        <row r="1855">
          <cell r="A1855" t="str">
            <v>AZZONE</v>
          </cell>
          <cell r="B1855" t="str">
            <v>016017</v>
          </cell>
          <cell r="C1855" t="str">
            <v>BG</v>
          </cell>
          <cell r="D1855" t="str">
            <v>BG</v>
          </cell>
          <cell r="E1855" t="str">
            <v>24020</v>
          </cell>
        </row>
        <row r="1856">
          <cell r="A1856" t="str">
            <v>BAGNATICA</v>
          </cell>
          <cell r="B1856" t="str">
            <v>016018</v>
          </cell>
          <cell r="C1856" t="str">
            <v>BG</v>
          </cell>
          <cell r="D1856" t="str">
            <v>BG</v>
          </cell>
          <cell r="E1856" t="str">
            <v>24060</v>
          </cell>
        </row>
        <row r="1857">
          <cell r="A1857" t="str">
            <v>BARBATA</v>
          </cell>
          <cell r="B1857" t="str">
            <v>016019</v>
          </cell>
          <cell r="C1857" t="str">
            <v>BG</v>
          </cell>
          <cell r="D1857" t="str">
            <v>BG</v>
          </cell>
          <cell r="E1857" t="str">
            <v>24040</v>
          </cell>
        </row>
        <row r="1858">
          <cell r="A1858" t="str">
            <v>BARIANO</v>
          </cell>
          <cell r="B1858" t="str">
            <v>016020</v>
          </cell>
          <cell r="C1858" t="str">
            <v>BG</v>
          </cell>
          <cell r="D1858" t="str">
            <v>BG</v>
          </cell>
          <cell r="E1858" t="str">
            <v>24050</v>
          </cell>
        </row>
        <row r="1859">
          <cell r="A1859" t="str">
            <v>BARZANA</v>
          </cell>
          <cell r="B1859" t="str">
            <v>016021</v>
          </cell>
          <cell r="C1859" t="str">
            <v>BG</v>
          </cell>
          <cell r="D1859" t="str">
            <v>BG</v>
          </cell>
          <cell r="E1859" t="str">
            <v>24030</v>
          </cell>
        </row>
        <row r="1860">
          <cell r="A1860" t="str">
            <v>BEDULITA</v>
          </cell>
          <cell r="B1860" t="str">
            <v>016022</v>
          </cell>
          <cell r="C1860" t="str">
            <v>BG</v>
          </cell>
          <cell r="D1860" t="str">
            <v>BG</v>
          </cell>
          <cell r="E1860" t="str">
            <v>24030</v>
          </cell>
        </row>
        <row r="1861">
          <cell r="A1861" t="str">
            <v>BERBENNO</v>
          </cell>
          <cell r="B1861" t="str">
            <v>016023</v>
          </cell>
          <cell r="C1861" t="str">
            <v>BG</v>
          </cell>
          <cell r="D1861" t="str">
            <v>BG</v>
          </cell>
          <cell r="E1861" t="str">
            <v>24030</v>
          </cell>
        </row>
        <row r="1862">
          <cell r="A1862" t="str">
            <v>BERGAMO</v>
          </cell>
          <cell r="B1862" t="str">
            <v>016024</v>
          </cell>
          <cell r="C1862" t="str">
            <v>BG</v>
          </cell>
          <cell r="D1862" t="str">
            <v>BG</v>
          </cell>
          <cell r="E1862" t="str">
            <v>241xx</v>
          </cell>
        </row>
        <row r="1863">
          <cell r="A1863" t="str">
            <v>BERZO SAN FERMO</v>
          </cell>
          <cell r="B1863" t="str">
            <v>016025</v>
          </cell>
          <cell r="C1863" t="str">
            <v>BG</v>
          </cell>
          <cell r="D1863" t="str">
            <v>BG</v>
          </cell>
          <cell r="E1863" t="str">
            <v>24060</v>
          </cell>
        </row>
        <row r="1864">
          <cell r="A1864" t="str">
            <v>BIANZANO</v>
          </cell>
          <cell r="B1864" t="str">
            <v>016026</v>
          </cell>
          <cell r="C1864" t="str">
            <v>BG</v>
          </cell>
          <cell r="D1864" t="str">
            <v>BG</v>
          </cell>
          <cell r="E1864" t="str">
            <v>24060</v>
          </cell>
        </row>
        <row r="1865">
          <cell r="A1865" t="str">
            <v>BLELLO</v>
          </cell>
          <cell r="B1865" t="str">
            <v>016027</v>
          </cell>
          <cell r="C1865" t="str">
            <v>BG</v>
          </cell>
          <cell r="D1865" t="str">
            <v>BG</v>
          </cell>
          <cell r="E1865" t="str">
            <v>24010</v>
          </cell>
        </row>
        <row r="1866">
          <cell r="A1866" t="str">
            <v>BOLGARE</v>
          </cell>
          <cell r="B1866" t="str">
            <v>016028</v>
          </cell>
          <cell r="C1866" t="str">
            <v>BG</v>
          </cell>
          <cell r="D1866" t="str">
            <v>BG</v>
          </cell>
          <cell r="E1866" t="str">
            <v>24060</v>
          </cell>
        </row>
        <row r="1867">
          <cell r="A1867" t="str">
            <v>BOLTIERE</v>
          </cell>
          <cell r="B1867" t="str">
            <v>016029</v>
          </cell>
          <cell r="C1867" t="str">
            <v>BG</v>
          </cell>
          <cell r="D1867" t="str">
            <v>BG</v>
          </cell>
          <cell r="E1867" t="str">
            <v>24040</v>
          </cell>
        </row>
        <row r="1868">
          <cell r="A1868" t="str">
            <v>BONATE SOPRA</v>
          </cell>
          <cell r="B1868" t="str">
            <v>016030</v>
          </cell>
          <cell r="C1868" t="str">
            <v>BG</v>
          </cell>
          <cell r="D1868" t="str">
            <v>BG</v>
          </cell>
          <cell r="E1868" t="str">
            <v>24040</v>
          </cell>
        </row>
        <row r="1869">
          <cell r="A1869" t="str">
            <v>BONATE SOTTO</v>
          </cell>
          <cell r="B1869" t="str">
            <v>016031</v>
          </cell>
          <cell r="C1869" t="str">
            <v>BG</v>
          </cell>
          <cell r="D1869" t="str">
            <v>BG</v>
          </cell>
          <cell r="E1869" t="str">
            <v>24040</v>
          </cell>
        </row>
        <row r="1870">
          <cell r="A1870" t="str">
            <v>BORGO DI TERZO</v>
          </cell>
          <cell r="B1870" t="str">
            <v>016032</v>
          </cell>
          <cell r="C1870" t="str">
            <v>BG</v>
          </cell>
          <cell r="D1870" t="str">
            <v>BG</v>
          </cell>
          <cell r="E1870" t="str">
            <v>24060</v>
          </cell>
        </row>
        <row r="1871">
          <cell r="A1871" t="str">
            <v>BOSSICO</v>
          </cell>
          <cell r="B1871" t="str">
            <v>016033</v>
          </cell>
          <cell r="C1871" t="str">
            <v>BG</v>
          </cell>
          <cell r="D1871" t="str">
            <v>BG</v>
          </cell>
          <cell r="E1871" t="str">
            <v>24060</v>
          </cell>
        </row>
        <row r="1872">
          <cell r="A1872" t="str">
            <v>BOTTANUCO</v>
          </cell>
          <cell r="B1872" t="str">
            <v>016034</v>
          </cell>
          <cell r="C1872" t="str">
            <v>BG</v>
          </cell>
          <cell r="D1872" t="str">
            <v>BG</v>
          </cell>
          <cell r="E1872" t="str">
            <v>24040</v>
          </cell>
        </row>
        <row r="1873">
          <cell r="A1873" t="str">
            <v>BRACCA</v>
          </cell>
          <cell r="B1873" t="str">
            <v>016035</v>
          </cell>
          <cell r="C1873" t="str">
            <v>BG</v>
          </cell>
          <cell r="D1873" t="str">
            <v>BG</v>
          </cell>
          <cell r="E1873" t="str">
            <v>24010</v>
          </cell>
        </row>
        <row r="1874">
          <cell r="A1874" t="str">
            <v>BRANZI</v>
          </cell>
          <cell r="B1874" t="str">
            <v>016036</v>
          </cell>
          <cell r="C1874" t="str">
            <v>BG</v>
          </cell>
          <cell r="D1874" t="str">
            <v>BG</v>
          </cell>
          <cell r="E1874" t="str">
            <v>24010</v>
          </cell>
        </row>
        <row r="1875">
          <cell r="A1875" t="str">
            <v>BREMBATE</v>
          </cell>
          <cell r="B1875" t="str">
            <v>016037</v>
          </cell>
          <cell r="C1875" t="str">
            <v>BG</v>
          </cell>
          <cell r="D1875" t="str">
            <v>BG</v>
          </cell>
          <cell r="E1875" t="str">
            <v>24041</v>
          </cell>
        </row>
        <row r="1876">
          <cell r="A1876" t="str">
            <v>BREMBATE DI SOPRA</v>
          </cell>
          <cell r="B1876" t="str">
            <v>016038</v>
          </cell>
          <cell r="C1876" t="str">
            <v>BG</v>
          </cell>
          <cell r="D1876" t="str">
            <v>BG</v>
          </cell>
          <cell r="E1876" t="str">
            <v>24030</v>
          </cell>
        </row>
        <row r="1877">
          <cell r="A1877" t="str">
            <v>BRIGNANO GERA D'ADDA</v>
          </cell>
          <cell r="B1877" t="str">
            <v>016040</v>
          </cell>
          <cell r="C1877" t="str">
            <v>BG</v>
          </cell>
          <cell r="D1877" t="str">
            <v>BG</v>
          </cell>
          <cell r="E1877" t="str">
            <v>24053</v>
          </cell>
        </row>
        <row r="1878">
          <cell r="A1878" t="str">
            <v>BRUMANO</v>
          </cell>
          <cell r="B1878" t="str">
            <v>016041</v>
          </cell>
          <cell r="C1878" t="str">
            <v>BG</v>
          </cell>
          <cell r="D1878" t="str">
            <v>BG</v>
          </cell>
          <cell r="E1878" t="str">
            <v>24037</v>
          </cell>
        </row>
        <row r="1879">
          <cell r="A1879" t="str">
            <v>BRUSAPORTO</v>
          </cell>
          <cell r="B1879" t="str">
            <v>016042</v>
          </cell>
          <cell r="C1879" t="str">
            <v>BG</v>
          </cell>
          <cell r="D1879" t="str">
            <v>BG</v>
          </cell>
          <cell r="E1879" t="str">
            <v>24060</v>
          </cell>
        </row>
        <row r="1880">
          <cell r="A1880" t="str">
            <v>CALCINATE</v>
          </cell>
          <cell r="B1880" t="str">
            <v>016043</v>
          </cell>
          <cell r="C1880" t="str">
            <v>BG</v>
          </cell>
          <cell r="D1880" t="str">
            <v>BG</v>
          </cell>
          <cell r="E1880" t="str">
            <v>24050</v>
          </cell>
        </row>
        <row r="1881">
          <cell r="A1881" t="str">
            <v>CALCIO</v>
          </cell>
          <cell r="B1881" t="str">
            <v>016044</v>
          </cell>
          <cell r="C1881" t="str">
            <v>BG</v>
          </cell>
          <cell r="D1881" t="str">
            <v>BG</v>
          </cell>
          <cell r="E1881" t="str">
            <v>24054</v>
          </cell>
        </row>
        <row r="1882">
          <cell r="A1882" t="str">
            <v>CALUSCO D'ADDA</v>
          </cell>
          <cell r="B1882" t="str">
            <v>016046</v>
          </cell>
          <cell r="C1882" t="str">
            <v>BG</v>
          </cell>
          <cell r="D1882" t="str">
            <v>BG</v>
          </cell>
          <cell r="E1882" t="str">
            <v>24033</v>
          </cell>
        </row>
        <row r="1883">
          <cell r="A1883" t="str">
            <v>CALVENZANO</v>
          </cell>
          <cell r="B1883" t="str">
            <v>016047</v>
          </cell>
          <cell r="C1883" t="str">
            <v>BG</v>
          </cell>
          <cell r="D1883" t="str">
            <v>BG</v>
          </cell>
          <cell r="E1883" t="str">
            <v>24040</v>
          </cell>
        </row>
        <row r="1884">
          <cell r="A1884" t="str">
            <v>CAMERATA CORNELLO</v>
          </cell>
          <cell r="B1884" t="str">
            <v>016048</v>
          </cell>
          <cell r="C1884" t="str">
            <v>BG</v>
          </cell>
          <cell r="D1884" t="str">
            <v>BG</v>
          </cell>
          <cell r="E1884" t="str">
            <v>24010</v>
          </cell>
        </row>
        <row r="1885">
          <cell r="A1885" t="str">
            <v>CANONICA D'ADDA</v>
          </cell>
          <cell r="B1885" t="str">
            <v>016049</v>
          </cell>
          <cell r="C1885" t="str">
            <v>BG</v>
          </cell>
          <cell r="D1885" t="str">
            <v>BG</v>
          </cell>
          <cell r="E1885" t="str">
            <v>24040</v>
          </cell>
        </row>
        <row r="1886">
          <cell r="A1886" t="str">
            <v>CAPIZZONE</v>
          </cell>
          <cell r="B1886" t="str">
            <v>016050</v>
          </cell>
          <cell r="C1886" t="str">
            <v>BG</v>
          </cell>
          <cell r="D1886" t="str">
            <v>BG</v>
          </cell>
          <cell r="E1886" t="str">
            <v>24030</v>
          </cell>
        </row>
        <row r="1887">
          <cell r="A1887" t="str">
            <v>CAPRIATE SAN GERVASIO</v>
          </cell>
          <cell r="B1887" t="str">
            <v>016051</v>
          </cell>
          <cell r="C1887" t="str">
            <v>BG</v>
          </cell>
          <cell r="D1887" t="str">
            <v>BG</v>
          </cell>
          <cell r="E1887" t="str">
            <v>24042</v>
          </cell>
        </row>
        <row r="1888">
          <cell r="A1888" t="str">
            <v>CAPRINO BERGAMASCO</v>
          </cell>
          <cell r="B1888" t="str">
            <v>016052</v>
          </cell>
          <cell r="C1888" t="str">
            <v>BG</v>
          </cell>
          <cell r="D1888" t="str">
            <v>BG</v>
          </cell>
          <cell r="E1888" t="str">
            <v>24030</v>
          </cell>
        </row>
        <row r="1889">
          <cell r="A1889" t="str">
            <v>CARAVAGGIO</v>
          </cell>
          <cell r="B1889" t="str">
            <v>016053</v>
          </cell>
          <cell r="C1889" t="str">
            <v>BG</v>
          </cell>
          <cell r="D1889" t="str">
            <v>BG</v>
          </cell>
          <cell r="E1889" t="str">
            <v>24043</v>
          </cell>
        </row>
        <row r="1890">
          <cell r="A1890" t="str">
            <v>CAROBBIO DEGLI ANGELI</v>
          </cell>
          <cell r="B1890" t="str">
            <v>016055</v>
          </cell>
          <cell r="C1890" t="str">
            <v>BG</v>
          </cell>
          <cell r="D1890" t="str">
            <v>BG</v>
          </cell>
          <cell r="E1890" t="str">
            <v>24060</v>
          </cell>
        </row>
        <row r="1891">
          <cell r="A1891" t="str">
            <v>CARONA</v>
          </cell>
          <cell r="B1891" t="str">
            <v>016056</v>
          </cell>
          <cell r="C1891" t="str">
            <v>BG</v>
          </cell>
          <cell r="D1891" t="str">
            <v>BG</v>
          </cell>
          <cell r="E1891" t="str">
            <v>24010</v>
          </cell>
        </row>
        <row r="1892">
          <cell r="A1892" t="str">
            <v>CARVICO</v>
          </cell>
          <cell r="B1892" t="str">
            <v>016057</v>
          </cell>
          <cell r="C1892" t="str">
            <v>BG</v>
          </cell>
          <cell r="D1892" t="str">
            <v>BG</v>
          </cell>
          <cell r="E1892" t="str">
            <v>24030</v>
          </cell>
        </row>
        <row r="1893">
          <cell r="A1893" t="str">
            <v>CASAZZA</v>
          </cell>
          <cell r="B1893" t="str">
            <v>016058</v>
          </cell>
          <cell r="C1893" t="str">
            <v>BG</v>
          </cell>
          <cell r="D1893" t="str">
            <v>BG</v>
          </cell>
          <cell r="E1893" t="str">
            <v>24060</v>
          </cell>
        </row>
        <row r="1894">
          <cell r="A1894" t="str">
            <v>CASIRATE D'ADDA</v>
          </cell>
          <cell r="B1894" t="str">
            <v>016059</v>
          </cell>
          <cell r="C1894" t="str">
            <v>BG</v>
          </cell>
          <cell r="D1894" t="str">
            <v>BG</v>
          </cell>
          <cell r="E1894" t="str">
            <v>24040</v>
          </cell>
        </row>
        <row r="1895">
          <cell r="A1895" t="str">
            <v>CASNIGO</v>
          </cell>
          <cell r="B1895" t="str">
            <v>016060</v>
          </cell>
          <cell r="C1895" t="str">
            <v>BG</v>
          </cell>
          <cell r="D1895" t="str">
            <v>BG</v>
          </cell>
          <cell r="E1895" t="str">
            <v>24020</v>
          </cell>
        </row>
        <row r="1896">
          <cell r="A1896" t="str">
            <v>CASSIGLIO</v>
          </cell>
          <cell r="B1896" t="str">
            <v>016061</v>
          </cell>
          <cell r="C1896" t="str">
            <v>BG</v>
          </cell>
          <cell r="D1896" t="str">
            <v>BG</v>
          </cell>
          <cell r="E1896" t="str">
            <v>24010</v>
          </cell>
        </row>
        <row r="1897">
          <cell r="A1897" t="str">
            <v>CASTELLI CALEPIO</v>
          </cell>
          <cell r="B1897" t="str">
            <v>016062</v>
          </cell>
          <cell r="C1897" t="str">
            <v>BG</v>
          </cell>
          <cell r="D1897" t="str">
            <v>BG</v>
          </cell>
          <cell r="E1897" t="str">
            <v>24060</v>
          </cell>
        </row>
        <row r="1898">
          <cell r="A1898" t="str">
            <v>CASTEL ROZZONE</v>
          </cell>
          <cell r="B1898" t="str">
            <v>016063</v>
          </cell>
          <cell r="C1898" t="str">
            <v>BG</v>
          </cell>
          <cell r="D1898" t="str">
            <v>BG</v>
          </cell>
          <cell r="E1898" t="str">
            <v>24040</v>
          </cell>
        </row>
        <row r="1899">
          <cell r="A1899" t="str">
            <v>CASTIONE DELLA PRESOLANA</v>
          </cell>
          <cell r="B1899" t="str">
            <v>016064</v>
          </cell>
          <cell r="C1899" t="str">
            <v>BG</v>
          </cell>
          <cell r="D1899" t="str">
            <v>BG</v>
          </cell>
          <cell r="E1899" t="str">
            <v>24020</v>
          </cell>
        </row>
        <row r="1900">
          <cell r="A1900" t="str">
            <v>CASTRO</v>
          </cell>
          <cell r="B1900" t="str">
            <v>016065</v>
          </cell>
          <cell r="C1900" t="str">
            <v>BG</v>
          </cell>
          <cell r="D1900" t="str">
            <v>BG</v>
          </cell>
          <cell r="E1900" t="str">
            <v>24063</v>
          </cell>
        </row>
        <row r="1901">
          <cell r="A1901" t="str">
            <v>CAVERNAGO</v>
          </cell>
          <cell r="B1901" t="str">
            <v>016066</v>
          </cell>
          <cell r="C1901" t="str">
            <v>BG</v>
          </cell>
          <cell r="D1901" t="str">
            <v>BG</v>
          </cell>
          <cell r="E1901" t="str">
            <v>24050</v>
          </cell>
        </row>
        <row r="1902">
          <cell r="A1902" t="str">
            <v>CAZZANO SANT'ANDREA</v>
          </cell>
          <cell r="B1902" t="str">
            <v>016067</v>
          </cell>
          <cell r="C1902" t="str">
            <v>BG</v>
          </cell>
          <cell r="D1902" t="str">
            <v>BG</v>
          </cell>
          <cell r="E1902" t="str">
            <v>24026</v>
          </cell>
        </row>
        <row r="1903">
          <cell r="A1903" t="str">
            <v>CENATE SOPRA</v>
          </cell>
          <cell r="B1903" t="str">
            <v>016068</v>
          </cell>
          <cell r="C1903" t="str">
            <v>BG</v>
          </cell>
          <cell r="D1903" t="str">
            <v>BG</v>
          </cell>
          <cell r="E1903" t="str">
            <v>24060</v>
          </cell>
        </row>
        <row r="1904">
          <cell r="A1904" t="str">
            <v>CENATE SOTTO</v>
          </cell>
          <cell r="B1904" t="str">
            <v>016069</v>
          </cell>
          <cell r="C1904" t="str">
            <v>BG</v>
          </cell>
          <cell r="D1904" t="str">
            <v>BG</v>
          </cell>
          <cell r="E1904" t="str">
            <v>24069</v>
          </cell>
        </row>
        <row r="1905">
          <cell r="A1905" t="str">
            <v>CENE</v>
          </cell>
          <cell r="B1905" t="str">
            <v>016070</v>
          </cell>
          <cell r="C1905" t="str">
            <v>BG</v>
          </cell>
          <cell r="D1905" t="str">
            <v>BG</v>
          </cell>
          <cell r="E1905" t="str">
            <v>24020</v>
          </cell>
        </row>
        <row r="1906">
          <cell r="A1906" t="str">
            <v>CERETE</v>
          </cell>
          <cell r="B1906" t="str">
            <v>016071</v>
          </cell>
          <cell r="C1906" t="str">
            <v>BG</v>
          </cell>
          <cell r="D1906" t="str">
            <v>BG</v>
          </cell>
          <cell r="E1906" t="str">
            <v>24020</v>
          </cell>
        </row>
        <row r="1907">
          <cell r="A1907" t="str">
            <v>CHIGNOLO D'ISOLA</v>
          </cell>
          <cell r="B1907" t="str">
            <v>016072</v>
          </cell>
          <cell r="C1907" t="str">
            <v>BG</v>
          </cell>
          <cell r="D1907" t="str">
            <v>BG</v>
          </cell>
          <cell r="E1907" t="str">
            <v>24040</v>
          </cell>
        </row>
        <row r="1908">
          <cell r="A1908" t="str">
            <v>CHIUDUNO</v>
          </cell>
          <cell r="B1908" t="str">
            <v>016073</v>
          </cell>
          <cell r="C1908" t="str">
            <v>BG</v>
          </cell>
          <cell r="D1908" t="str">
            <v>BG</v>
          </cell>
          <cell r="E1908" t="str">
            <v>24060</v>
          </cell>
        </row>
        <row r="1909">
          <cell r="A1909" t="str">
            <v>CISANO BERGAMASCO</v>
          </cell>
          <cell r="B1909" t="str">
            <v>016074</v>
          </cell>
          <cell r="C1909" t="str">
            <v>BG</v>
          </cell>
          <cell r="D1909" t="str">
            <v>BG</v>
          </cell>
          <cell r="E1909" t="str">
            <v>24034</v>
          </cell>
        </row>
        <row r="1910">
          <cell r="A1910" t="str">
            <v>CISERANO</v>
          </cell>
          <cell r="B1910" t="str">
            <v>016075</v>
          </cell>
          <cell r="C1910" t="str">
            <v>BG</v>
          </cell>
          <cell r="D1910" t="str">
            <v>BG</v>
          </cell>
          <cell r="E1910" t="str">
            <v>24040</v>
          </cell>
        </row>
        <row r="1911">
          <cell r="A1911" t="str">
            <v>CIVIDATE AL PIANO</v>
          </cell>
          <cell r="B1911" t="str">
            <v>016076</v>
          </cell>
          <cell r="C1911" t="str">
            <v>BG</v>
          </cell>
          <cell r="D1911" t="str">
            <v>BG</v>
          </cell>
          <cell r="E1911" t="str">
            <v>24050</v>
          </cell>
        </row>
        <row r="1912">
          <cell r="A1912" t="str">
            <v>CLUSONE</v>
          </cell>
          <cell r="B1912" t="str">
            <v>016077</v>
          </cell>
          <cell r="C1912" t="str">
            <v>BG</v>
          </cell>
          <cell r="D1912" t="str">
            <v>BG</v>
          </cell>
          <cell r="E1912" t="str">
            <v>24023</v>
          </cell>
        </row>
        <row r="1913">
          <cell r="A1913" t="str">
            <v>COLERE</v>
          </cell>
          <cell r="B1913" t="str">
            <v>016078</v>
          </cell>
          <cell r="C1913" t="str">
            <v>BG</v>
          </cell>
          <cell r="D1913" t="str">
            <v>BG</v>
          </cell>
          <cell r="E1913" t="str">
            <v>24020</v>
          </cell>
        </row>
        <row r="1914">
          <cell r="A1914" t="str">
            <v>COLOGNO AL SERIO</v>
          </cell>
          <cell r="B1914" t="str">
            <v>016079</v>
          </cell>
          <cell r="C1914" t="str">
            <v>BG</v>
          </cell>
          <cell r="D1914" t="str">
            <v>BG</v>
          </cell>
          <cell r="E1914" t="str">
            <v>24055</v>
          </cell>
        </row>
        <row r="1915">
          <cell r="A1915" t="str">
            <v>COLZATE</v>
          </cell>
          <cell r="B1915" t="str">
            <v>016080</v>
          </cell>
          <cell r="C1915" t="str">
            <v>BG</v>
          </cell>
          <cell r="D1915" t="str">
            <v>BG</v>
          </cell>
          <cell r="E1915" t="str">
            <v>24020</v>
          </cell>
        </row>
        <row r="1916">
          <cell r="A1916" t="str">
            <v>COMUN NUOVO</v>
          </cell>
          <cell r="B1916" t="str">
            <v>016081</v>
          </cell>
          <cell r="C1916" t="str">
            <v>BG</v>
          </cell>
          <cell r="D1916" t="str">
            <v>BG</v>
          </cell>
          <cell r="E1916" t="str">
            <v>24040</v>
          </cell>
        </row>
        <row r="1917">
          <cell r="A1917" t="str">
            <v>CORNA IMAGNA</v>
          </cell>
          <cell r="B1917" t="str">
            <v>016082</v>
          </cell>
          <cell r="C1917" t="str">
            <v>BG</v>
          </cell>
          <cell r="D1917" t="str">
            <v>BG</v>
          </cell>
          <cell r="E1917" t="str">
            <v>24030</v>
          </cell>
        </row>
        <row r="1918">
          <cell r="A1918" t="str">
            <v>CORTENUOVA</v>
          </cell>
          <cell r="B1918" t="str">
            <v>016083</v>
          </cell>
          <cell r="C1918" t="str">
            <v>BG</v>
          </cell>
          <cell r="D1918" t="str">
            <v>BG</v>
          </cell>
          <cell r="E1918" t="str">
            <v>24050</v>
          </cell>
        </row>
        <row r="1919">
          <cell r="A1919" t="str">
            <v>COSTA DI MEZZATE</v>
          </cell>
          <cell r="B1919" t="str">
            <v>016084</v>
          </cell>
          <cell r="C1919" t="str">
            <v>BG</v>
          </cell>
          <cell r="D1919" t="str">
            <v>BG</v>
          </cell>
          <cell r="E1919" t="str">
            <v>24060</v>
          </cell>
        </row>
        <row r="1920">
          <cell r="A1920" t="str">
            <v>COSTA VALLE IMAGNA</v>
          </cell>
          <cell r="B1920" t="str">
            <v>016085</v>
          </cell>
          <cell r="C1920" t="str">
            <v>BG</v>
          </cell>
          <cell r="D1920" t="str">
            <v>BG</v>
          </cell>
          <cell r="E1920" t="str">
            <v>24030</v>
          </cell>
        </row>
        <row r="1921">
          <cell r="A1921" t="str">
            <v>COSTA VOLPINO</v>
          </cell>
          <cell r="B1921" t="str">
            <v>016086</v>
          </cell>
          <cell r="C1921" t="str">
            <v>BG</v>
          </cell>
          <cell r="D1921" t="str">
            <v>BG</v>
          </cell>
          <cell r="E1921" t="str">
            <v>24062</v>
          </cell>
        </row>
        <row r="1922">
          <cell r="A1922" t="str">
            <v>COVO</v>
          </cell>
          <cell r="B1922" t="str">
            <v>016087</v>
          </cell>
          <cell r="C1922" t="str">
            <v>BG</v>
          </cell>
          <cell r="D1922" t="str">
            <v>BG</v>
          </cell>
          <cell r="E1922" t="str">
            <v>24050</v>
          </cell>
        </row>
        <row r="1923">
          <cell r="A1923" t="str">
            <v>CREDARO</v>
          </cell>
          <cell r="B1923" t="str">
            <v>016088</v>
          </cell>
          <cell r="C1923" t="str">
            <v>BG</v>
          </cell>
          <cell r="D1923" t="str">
            <v>BG</v>
          </cell>
          <cell r="E1923" t="str">
            <v>24060</v>
          </cell>
        </row>
        <row r="1924">
          <cell r="A1924" t="str">
            <v>CURNO</v>
          </cell>
          <cell r="B1924" t="str">
            <v>016089</v>
          </cell>
          <cell r="C1924" t="str">
            <v>BG</v>
          </cell>
          <cell r="D1924" t="str">
            <v>BG</v>
          </cell>
          <cell r="E1924" t="str">
            <v>24035</v>
          </cell>
        </row>
        <row r="1925">
          <cell r="A1925" t="str">
            <v>CUSIO</v>
          </cell>
          <cell r="B1925" t="str">
            <v>016090</v>
          </cell>
          <cell r="C1925" t="str">
            <v>BG</v>
          </cell>
          <cell r="D1925" t="str">
            <v>BG</v>
          </cell>
          <cell r="E1925" t="str">
            <v>24010</v>
          </cell>
        </row>
        <row r="1926">
          <cell r="A1926" t="str">
            <v>DALMINE</v>
          </cell>
          <cell r="B1926" t="str">
            <v>016091</v>
          </cell>
          <cell r="C1926" t="str">
            <v>BG</v>
          </cell>
          <cell r="D1926" t="str">
            <v>BG</v>
          </cell>
          <cell r="E1926" t="str">
            <v>24044</v>
          </cell>
        </row>
        <row r="1927">
          <cell r="A1927" t="str">
            <v>DOSSENA</v>
          </cell>
          <cell r="B1927" t="str">
            <v>016092</v>
          </cell>
          <cell r="C1927" t="str">
            <v>BG</v>
          </cell>
          <cell r="D1927" t="str">
            <v>BG</v>
          </cell>
          <cell r="E1927" t="str">
            <v>24010</v>
          </cell>
        </row>
        <row r="1928">
          <cell r="A1928" t="str">
            <v>ENDINE GAIANO</v>
          </cell>
          <cell r="B1928" t="str">
            <v>016093</v>
          </cell>
          <cell r="C1928" t="str">
            <v>BG</v>
          </cell>
          <cell r="D1928" t="str">
            <v>BG</v>
          </cell>
          <cell r="E1928" t="str">
            <v>24060</v>
          </cell>
        </row>
        <row r="1929">
          <cell r="A1929" t="str">
            <v>ENTRATICO</v>
          </cell>
          <cell r="B1929" t="str">
            <v>016094</v>
          </cell>
          <cell r="C1929" t="str">
            <v>BG</v>
          </cell>
          <cell r="D1929" t="str">
            <v>BG</v>
          </cell>
          <cell r="E1929" t="str">
            <v>24060</v>
          </cell>
        </row>
        <row r="1930">
          <cell r="A1930" t="str">
            <v>FARA GERA D'ADDA</v>
          </cell>
          <cell r="B1930" t="str">
            <v>016096</v>
          </cell>
          <cell r="C1930" t="str">
            <v>BG</v>
          </cell>
          <cell r="D1930" t="str">
            <v>BG</v>
          </cell>
          <cell r="E1930" t="str">
            <v>24045</v>
          </cell>
        </row>
        <row r="1931">
          <cell r="A1931" t="str">
            <v>FARA OLIVANA CON SOLA</v>
          </cell>
          <cell r="B1931" t="str">
            <v>016097</v>
          </cell>
          <cell r="C1931" t="str">
            <v>BG</v>
          </cell>
          <cell r="D1931" t="str">
            <v>BG</v>
          </cell>
          <cell r="E1931" t="str">
            <v>24058</v>
          </cell>
        </row>
        <row r="1932">
          <cell r="A1932" t="str">
            <v>FILAGO</v>
          </cell>
          <cell r="B1932" t="str">
            <v>016098</v>
          </cell>
          <cell r="C1932" t="str">
            <v>BG</v>
          </cell>
          <cell r="D1932" t="str">
            <v>BG</v>
          </cell>
          <cell r="E1932" t="str">
            <v>24040</v>
          </cell>
        </row>
        <row r="1933">
          <cell r="A1933" t="str">
            <v>FINO DEL MONTE</v>
          </cell>
          <cell r="B1933" t="str">
            <v>016099</v>
          </cell>
          <cell r="C1933" t="str">
            <v>BG</v>
          </cell>
          <cell r="D1933" t="str">
            <v>BG</v>
          </cell>
          <cell r="E1933" t="str">
            <v>24020</v>
          </cell>
        </row>
        <row r="1934">
          <cell r="A1934" t="str">
            <v>FIORANO AL SERIO</v>
          </cell>
          <cell r="B1934" t="str">
            <v>016100</v>
          </cell>
          <cell r="C1934" t="str">
            <v>BG</v>
          </cell>
          <cell r="D1934" t="str">
            <v>BG</v>
          </cell>
          <cell r="E1934" t="str">
            <v>24020</v>
          </cell>
        </row>
        <row r="1935">
          <cell r="A1935" t="str">
            <v>FONTANELLA</v>
          </cell>
          <cell r="B1935" t="str">
            <v>016101</v>
          </cell>
          <cell r="C1935" t="str">
            <v>BG</v>
          </cell>
          <cell r="D1935" t="str">
            <v>BG</v>
          </cell>
          <cell r="E1935" t="str">
            <v>24056</v>
          </cell>
        </row>
        <row r="1936">
          <cell r="A1936" t="str">
            <v>FONTENO</v>
          </cell>
          <cell r="B1936" t="str">
            <v>016102</v>
          </cell>
          <cell r="C1936" t="str">
            <v>BG</v>
          </cell>
          <cell r="D1936" t="str">
            <v>BG</v>
          </cell>
          <cell r="E1936" t="str">
            <v>24060</v>
          </cell>
        </row>
        <row r="1937">
          <cell r="A1937" t="str">
            <v>FOPPOLO</v>
          </cell>
          <cell r="B1937" t="str">
            <v>016103</v>
          </cell>
          <cell r="C1937" t="str">
            <v>BG</v>
          </cell>
          <cell r="D1937" t="str">
            <v>BG</v>
          </cell>
          <cell r="E1937" t="str">
            <v>24010</v>
          </cell>
        </row>
        <row r="1938">
          <cell r="A1938" t="str">
            <v>FORESTO SPARSO</v>
          </cell>
          <cell r="B1938" t="str">
            <v>016104</v>
          </cell>
          <cell r="C1938" t="str">
            <v>BG</v>
          </cell>
          <cell r="D1938" t="str">
            <v>BG</v>
          </cell>
          <cell r="E1938" t="str">
            <v>24060</v>
          </cell>
        </row>
        <row r="1939">
          <cell r="A1939" t="str">
            <v>FORNOVO SAN GIOVANNI</v>
          </cell>
          <cell r="B1939" t="str">
            <v>016105</v>
          </cell>
          <cell r="C1939" t="str">
            <v>BG</v>
          </cell>
          <cell r="D1939" t="str">
            <v>BG</v>
          </cell>
          <cell r="E1939" t="str">
            <v>24040</v>
          </cell>
        </row>
        <row r="1940">
          <cell r="A1940" t="str">
            <v>FUIPIANO VALLE IMAGNA</v>
          </cell>
          <cell r="B1940" t="str">
            <v>016106</v>
          </cell>
          <cell r="C1940" t="str">
            <v>BG</v>
          </cell>
          <cell r="D1940" t="str">
            <v>BG</v>
          </cell>
          <cell r="E1940" t="str">
            <v>24030</v>
          </cell>
        </row>
        <row r="1941">
          <cell r="A1941" t="str">
            <v>GANDELLINO</v>
          </cell>
          <cell r="B1941" t="str">
            <v>016107</v>
          </cell>
          <cell r="C1941" t="str">
            <v>BG</v>
          </cell>
          <cell r="D1941" t="str">
            <v>BG</v>
          </cell>
          <cell r="E1941" t="str">
            <v>24020</v>
          </cell>
        </row>
        <row r="1942">
          <cell r="A1942" t="str">
            <v>GANDINO</v>
          </cell>
          <cell r="B1942" t="str">
            <v>016108</v>
          </cell>
          <cell r="C1942" t="str">
            <v>BG</v>
          </cell>
          <cell r="D1942" t="str">
            <v>BG</v>
          </cell>
          <cell r="E1942" t="str">
            <v>24024</v>
          </cell>
        </row>
        <row r="1943">
          <cell r="A1943" t="str">
            <v>GANDOSSO</v>
          </cell>
          <cell r="B1943" t="str">
            <v>016109</v>
          </cell>
          <cell r="C1943" t="str">
            <v>BG</v>
          </cell>
          <cell r="D1943" t="str">
            <v>BG</v>
          </cell>
          <cell r="E1943" t="str">
            <v>24060</v>
          </cell>
        </row>
        <row r="1944">
          <cell r="A1944" t="str">
            <v>GAVERINA TERME</v>
          </cell>
          <cell r="B1944" t="str">
            <v>016110</v>
          </cell>
          <cell r="C1944" t="str">
            <v>BG</v>
          </cell>
          <cell r="D1944" t="str">
            <v>BG</v>
          </cell>
          <cell r="E1944" t="str">
            <v>24060</v>
          </cell>
        </row>
        <row r="1945">
          <cell r="A1945" t="str">
            <v>GAZZANIGA</v>
          </cell>
          <cell r="B1945" t="str">
            <v>016111</v>
          </cell>
          <cell r="C1945" t="str">
            <v>BG</v>
          </cell>
          <cell r="D1945" t="str">
            <v>BG</v>
          </cell>
          <cell r="E1945" t="str">
            <v>24025</v>
          </cell>
        </row>
        <row r="1946">
          <cell r="A1946" t="str">
            <v>GHISALBA</v>
          </cell>
          <cell r="B1946" t="str">
            <v>016113</v>
          </cell>
          <cell r="C1946" t="str">
            <v>BG</v>
          </cell>
          <cell r="D1946" t="str">
            <v>BG</v>
          </cell>
          <cell r="E1946" t="str">
            <v>24050</v>
          </cell>
        </row>
        <row r="1947">
          <cell r="A1947" t="str">
            <v>GORLAGO</v>
          </cell>
          <cell r="B1947" t="str">
            <v>016114</v>
          </cell>
          <cell r="C1947" t="str">
            <v>BG</v>
          </cell>
          <cell r="D1947" t="str">
            <v>BG</v>
          </cell>
          <cell r="E1947" t="str">
            <v>24060</v>
          </cell>
        </row>
        <row r="1948">
          <cell r="A1948" t="str">
            <v>GORLE</v>
          </cell>
          <cell r="B1948" t="str">
            <v>016115</v>
          </cell>
          <cell r="C1948" t="str">
            <v>BG</v>
          </cell>
          <cell r="D1948" t="str">
            <v>BG</v>
          </cell>
          <cell r="E1948" t="str">
            <v>24020</v>
          </cell>
        </row>
        <row r="1949">
          <cell r="A1949" t="str">
            <v>GORNO</v>
          </cell>
          <cell r="B1949" t="str">
            <v>016116</v>
          </cell>
          <cell r="C1949" t="str">
            <v>BG</v>
          </cell>
          <cell r="D1949" t="str">
            <v>BG</v>
          </cell>
          <cell r="E1949" t="str">
            <v>24020</v>
          </cell>
        </row>
        <row r="1950">
          <cell r="A1950" t="str">
            <v>GRASSOBBIO</v>
          </cell>
          <cell r="B1950" t="str">
            <v>016117</v>
          </cell>
          <cell r="C1950" t="str">
            <v>BG</v>
          </cell>
          <cell r="D1950" t="str">
            <v>BG</v>
          </cell>
          <cell r="E1950" t="str">
            <v>24050</v>
          </cell>
        </row>
        <row r="1951">
          <cell r="A1951" t="str">
            <v>GROMO</v>
          </cell>
          <cell r="B1951" t="str">
            <v>016118</v>
          </cell>
          <cell r="C1951" t="str">
            <v>BG</v>
          </cell>
          <cell r="D1951" t="str">
            <v>BG</v>
          </cell>
          <cell r="E1951" t="str">
            <v>24020</v>
          </cell>
        </row>
        <row r="1952">
          <cell r="A1952" t="str">
            <v>GRONE</v>
          </cell>
          <cell r="B1952" t="str">
            <v>016119</v>
          </cell>
          <cell r="C1952" t="str">
            <v>BG</v>
          </cell>
          <cell r="D1952" t="str">
            <v>BG</v>
          </cell>
          <cell r="E1952" t="str">
            <v>24060</v>
          </cell>
        </row>
        <row r="1953">
          <cell r="A1953" t="str">
            <v>GRUMELLO DEL MONTE</v>
          </cell>
          <cell r="B1953" t="str">
            <v>016120</v>
          </cell>
          <cell r="C1953" t="str">
            <v>BG</v>
          </cell>
          <cell r="D1953" t="str">
            <v>BG</v>
          </cell>
          <cell r="E1953" t="str">
            <v>24064</v>
          </cell>
        </row>
        <row r="1954">
          <cell r="A1954" t="str">
            <v>ISOLA DI FONDRA</v>
          </cell>
          <cell r="B1954" t="str">
            <v>016121</v>
          </cell>
          <cell r="C1954" t="str">
            <v>BG</v>
          </cell>
          <cell r="D1954" t="str">
            <v>BG</v>
          </cell>
          <cell r="E1954" t="str">
            <v>24010</v>
          </cell>
        </row>
        <row r="1955">
          <cell r="A1955" t="str">
            <v>ISSO</v>
          </cell>
          <cell r="B1955" t="str">
            <v>016122</v>
          </cell>
          <cell r="C1955" t="str">
            <v>BG</v>
          </cell>
          <cell r="D1955" t="str">
            <v>BG</v>
          </cell>
          <cell r="E1955" t="str">
            <v>24040</v>
          </cell>
        </row>
        <row r="1956">
          <cell r="A1956" t="str">
            <v>LALLIO</v>
          </cell>
          <cell r="B1956" t="str">
            <v>016123</v>
          </cell>
          <cell r="C1956" t="str">
            <v>BG</v>
          </cell>
          <cell r="D1956" t="str">
            <v>BG</v>
          </cell>
          <cell r="E1956" t="str">
            <v>24040</v>
          </cell>
        </row>
        <row r="1957">
          <cell r="A1957" t="str">
            <v>LEFFE</v>
          </cell>
          <cell r="B1957" t="str">
            <v>016124</v>
          </cell>
          <cell r="C1957" t="str">
            <v>BG</v>
          </cell>
          <cell r="D1957" t="str">
            <v>BG</v>
          </cell>
          <cell r="E1957" t="str">
            <v>24026</v>
          </cell>
        </row>
        <row r="1958">
          <cell r="A1958" t="str">
            <v>LENNA</v>
          </cell>
          <cell r="B1958" t="str">
            <v>016125</v>
          </cell>
          <cell r="C1958" t="str">
            <v>BG</v>
          </cell>
          <cell r="D1958" t="str">
            <v>BG</v>
          </cell>
          <cell r="E1958" t="str">
            <v>24010</v>
          </cell>
        </row>
        <row r="1959">
          <cell r="A1959" t="str">
            <v>LEVATE</v>
          </cell>
          <cell r="B1959" t="str">
            <v>016126</v>
          </cell>
          <cell r="C1959" t="str">
            <v>BG</v>
          </cell>
          <cell r="D1959" t="str">
            <v>BG</v>
          </cell>
          <cell r="E1959" t="str">
            <v>24040</v>
          </cell>
        </row>
        <row r="1960">
          <cell r="A1960" t="str">
            <v>LOCATELLO</v>
          </cell>
          <cell r="B1960" t="str">
            <v>016127</v>
          </cell>
          <cell r="C1960" t="str">
            <v>BG</v>
          </cell>
          <cell r="D1960" t="str">
            <v>BG</v>
          </cell>
          <cell r="E1960" t="str">
            <v>24030</v>
          </cell>
        </row>
        <row r="1961">
          <cell r="A1961" t="str">
            <v>LOVERE</v>
          </cell>
          <cell r="B1961" t="str">
            <v>016128</v>
          </cell>
          <cell r="C1961" t="str">
            <v>BG</v>
          </cell>
          <cell r="D1961" t="str">
            <v>BG</v>
          </cell>
          <cell r="E1961" t="str">
            <v>24065</v>
          </cell>
        </row>
        <row r="1962">
          <cell r="A1962" t="str">
            <v>LURANO</v>
          </cell>
          <cell r="B1962" t="str">
            <v>016129</v>
          </cell>
          <cell r="C1962" t="str">
            <v>BG</v>
          </cell>
          <cell r="D1962" t="str">
            <v>BG</v>
          </cell>
          <cell r="E1962" t="str">
            <v>24050</v>
          </cell>
        </row>
        <row r="1963">
          <cell r="A1963" t="str">
            <v>LUZZANA</v>
          </cell>
          <cell r="B1963" t="str">
            <v>016130</v>
          </cell>
          <cell r="C1963" t="str">
            <v>BG</v>
          </cell>
          <cell r="D1963" t="str">
            <v>BG</v>
          </cell>
          <cell r="E1963" t="str">
            <v>24069</v>
          </cell>
        </row>
        <row r="1964">
          <cell r="A1964" t="str">
            <v>MADONE</v>
          </cell>
          <cell r="B1964" t="str">
            <v>016131</v>
          </cell>
          <cell r="C1964" t="str">
            <v>BG</v>
          </cell>
          <cell r="D1964" t="str">
            <v>BG</v>
          </cell>
          <cell r="E1964" t="str">
            <v>24040</v>
          </cell>
        </row>
        <row r="1965">
          <cell r="A1965" t="str">
            <v>MAPELLO</v>
          </cell>
          <cell r="B1965" t="str">
            <v>016132</v>
          </cell>
          <cell r="C1965" t="str">
            <v>BG</v>
          </cell>
          <cell r="D1965" t="str">
            <v>BG</v>
          </cell>
          <cell r="E1965" t="str">
            <v>24030</v>
          </cell>
        </row>
        <row r="1966">
          <cell r="A1966" t="str">
            <v>MARTINENGO</v>
          </cell>
          <cell r="B1966" t="str">
            <v>016133</v>
          </cell>
          <cell r="C1966" t="str">
            <v>BG</v>
          </cell>
          <cell r="D1966" t="str">
            <v>BG</v>
          </cell>
          <cell r="E1966" t="str">
            <v>24057</v>
          </cell>
        </row>
        <row r="1967">
          <cell r="A1967" t="str">
            <v>MEZZOLDO</v>
          </cell>
          <cell r="B1967" t="str">
            <v>016134</v>
          </cell>
          <cell r="C1967" t="str">
            <v>BG</v>
          </cell>
          <cell r="D1967" t="str">
            <v>BG</v>
          </cell>
          <cell r="E1967" t="str">
            <v>24010</v>
          </cell>
        </row>
        <row r="1968">
          <cell r="A1968" t="str">
            <v>MISANO DI GERA D'ADDA</v>
          </cell>
          <cell r="B1968" t="str">
            <v>016135</v>
          </cell>
          <cell r="C1968" t="str">
            <v>BG</v>
          </cell>
          <cell r="D1968" t="str">
            <v>BG</v>
          </cell>
          <cell r="E1968" t="str">
            <v>24040</v>
          </cell>
        </row>
        <row r="1969">
          <cell r="A1969" t="str">
            <v>MOIO DE' CALVI</v>
          </cell>
          <cell r="B1969" t="str">
            <v>016136</v>
          </cell>
          <cell r="C1969" t="str">
            <v>BG</v>
          </cell>
          <cell r="D1969" t="str">
            <v>BG</v>
          </cell>
          <cell r="E1969" t="str">
            <v>24010</v>
          </cell>
        </row>
        <row r="1970">
          <cell r="A1970" t="str">
            <v>MONASTEROLO DEL CASTELLO</v>
          </cell>
          <cell r="B1970" t="str">
            <v>016137</v>
          </cell>
          <cell r="C1970" t="str">
            <v>BG</v>
          </cell>
          <cell r="D1970" t="str">
            <v>BG</v>
          </cell>
          <cell r="E1970" t="str">
            <v>24060</v>
          </cell>
        </row>
        <row r="1971">
          <cell r="A1971" t="str">
            <v>MONTELLO</v>
          </cell>
          <cell r="B1971" t="str">
            <v>016139</v>
          </cell>
          <cell r="C1971" t="str">
            <v>BG</v>
          </cell>
          <cell r="D1971" t="str">
            <v>BG</v>
          </cell>
          <cell r="E1971" t="str">
            <v>24060</v>
          </cell>
        </row>
        <row r="1972">
          <cell r="A1972" t="str">
            <v>MORENGO</v>
          </cell>
          <cell r="B1972" t="str">
            <v>016140</v>
          </cell>
          <cell r="C1972" t="str">
            <v>BG</v>
          </cell>
          <cell r="D1972" t="str">
            <v>BG</v>
          </cell>
          <cell r="E1972" t="str">
            <v>24050</v>
          </cell>
        </row>
        <row r="1973">
          <cell r="A1973" t="str">
            <v>MORNICO AL SERIO</v>
          </cell>
          <cell r="B1973" t="str">
            <v>016141</v>
          </cell>
          <cell r="C1973" t="str">
            <v>BG</v>
          </cell>
          <cell r="D1973" t="str">
            <v>BG</v>
          </cell>
          <cell r="E1973" t="str">
            <v>24050</v>
          </cell>
        </row>
        <row r="1974">
          <cell r="A1974" t="str">
            <v>MOZZANICA</v>
          </cell>
          <cell r="B1974" t="str">
            <v>016142</v>
          </cell>
          <cell r="C1974" t="str">
            <v>BG</v>
          </cell>
          <cell r="D1974" t="str">
            <v>BG</v>
          </cell>
          <cell r="E1974" t="str">
            <v>24050</v>
          </cell>
        </row>
        <row r="1975">
          <cell r="A1975" t="str">
            <v>MOZZO</v>
          </cell>
          <cell r="B1975" t="str">
            <v>016143</v>
          </cell>
          <cell r="C1975" t="str">
            <v>BG</v>
          </cell>
          <cell r="D1975" t="str">
            <v>BG</v>
          </cell>
          <cell r="E1975" t="str">
            <v>24030</v>
          </cell>
        </row>
        <row r="1976">
          <cell r="A1976" t="str">
            <v>NEMBRO</v>
          </cell>
          <cell r="B1976" t="str">
            <v>016144</v>
          </cell>
          <cell r="C1976" t="str">
            <v>BG</v>
          </cell>
          <cell r="D1976" t="str">
            <v>BG</v>
          </cell>
          <cell r="E1976" t="str">
            <v>24027</v>
          </cell>
        </row>
        <row r="1977">
          <cell r="A1977" t="str">
            <v>OLMO AL BREMBO</v>
          </cell>
          <cell r="B1977" t="str">
            <v>016145</v>
          </cell>
          <cell r="C1977" t="str">
            <v>BG</v>
          </cell>
          <cell r="D1977" t="str">
            <v>BG</v>
          </cell>
          <cell r="E1977" t="str">
            <v>24010</v>
          </cell>
        </row>
        <row r="1978">
          <cell r="A1978" t="str">
            <v>OLTRE IL COLLE</v>
          </cell>
          <cell r="B1978" t="str">
            <v>016146</v>
          </cell>
          <cell r="C1978" t="str">
            <v>BG</v>
          </cell>
          <cell r="D1978" t="str">
            <v>BG</v>
          </cell>
          <cell r="E1978" t="str">
            <v>24013</v>
          </cell>
        </row>
        <row r="1979">
          <cell r="A1979" t="str">
            <v>OLTRESSENDA ALTA</v>
          </cell>
          <cell r="B1979" t="str">
            <v>016147</v>
          </cell>
          <cell r="C1979" t="str">
            <v>BG</v>
          </cell>
          <cell r="D1979" t="str">
            <v>BG</v>
          </cell>
          <cell r="E1979" t="str">
            <v>24020</v>
          </cell>
        </row>
        <row r="1980">
          <cell r="A1980" t="str">
            <v>ONETA</v>
          </cell>
          <cell r="B1980" t="str">
            <v>016148</v>
          </cell>
          <cell r="C1980" t="str">
            <v>BG</v>
          </cell>
          <cell r="D1980" t="str">
            <v>BG</v>
          </cell>
          <cell r="E1980" t="str">
            <v>24020</v>
          </cell>
        </row>
        <row r="1981">
          <cell r="A1981" t="str">
            <v>ONORE</v>
          </cell>
          <cell r="B1981" t="str">
            <v>016149</v>
          </cell>
          <cell r="C1981" t="str">
            <v>BG</v>
          </cell>
          <cell r="D1981" t="str">
            <v>BG</v>
          </cell>
          <cell r="E1981" t="str">
            <v>24020</v>
          </cell>
        </row>
        <row r="1982">
          <cell r="A1982" t="str">
            <v>ORIO AL SERIO</v>
          </cell>
          <cell r="B1982" t="str">
            <v>016150</v>
          </cell>
          <cell r="C1982" t="str">
            <v>BG</v>
          </cell>
          <cell r="D1982" t="str">
            <v>BG</v>
          </cell>
          <cell r="E1982" t="str">
            <v>24050</v>
          </cell>
        </row>
        <row r="1983">
          <cell r="A1983" t="str">
            <v>ORNICA</v>
          </cell>
          <cell r="B1983" t="str">
            <v>016151</v>
          </cell>
          <cell r="C1983" t="str">
            <v>BG</v>
          </cell>
          <cell r="D1983" t="str">
            <v>BG</v>
          </cell>
          <cell r="E1983" t="str">
            <v>24010</v>
          </cell>
        </row>
        <row r="1984">
          <cell r="A1984" t="str">
            <v>OSIO SOPRA</v>
          </cell>
          <cell r="B1984" t="str">
            <v>016152</v>
          </cell>
          <cell r="C1984" t="str">
            <v>BG</v>
          </cell>
          <cell r="D1984" t="str">
            <v>BG</v>
          </cell>
          <cell r="E1984" t="str">
            <v>24040</v>
          </cell>
        </row>
        <row r="1985">
          <cell r="A1985" t="str">
            <v>OSIO SOTTO</v>
          </cell>
          <cell r="B1985" t="str">
            <v>016153</v>
          </cell>
          <cell r="C1985" t="str">
            <v>BG</v>
          </cell>
          <cell r="D1985" t="str">
            <v>BG</v>
          </cell>
          <cell r="E1985" t="str">
            <v>24046</v>
          </cell>
        </row>
        <row r="1986">
          <cell r="A1986" t="str">
            <v>PAGAZZANO</v>
          </cell>
          <cell r="B1986" t="str">
            <v>016154</v>
          </cell>
          <cell r="C1986" t="str">
            <v>BG</v>
          </cell>
          <cell r="D1986" t="str">
            <v>BG</v>
          </cell>
          <cell r="E1986" t="str">
            <v>24040</v>
          </cell>
        </row>
        <row r="1987">
          <cell r="A1987" t="str">
            <v>PALADINA</v>
          </cell>
          <cell r="B1987" t="str">
            <v>016155</v>
          </cell>
          <cell r="C1987" t="str">
            <v>BG</v>
          </cell>
          <cell r="D1987" t="str">
            <v>BG</v>
          </cell>
          <cell r="E1987" t="str">
            <v>24030</v>
          </cell>
        </row>
        <row r="1988">
          <cell r="A1988" t="str">
            <v>PALAZZAGO</v>
          </cell>
          <cell r="B1988" t="str">
            <v>016156</v>
          </cell>
          <cell r="C1988" t="str">
            <v>BG</v>
          </cell>
          <cell r="D1988" t="str">
            <v>BG</v>
          </cell>
          <cell r="E1988" t="str">
            <v>24030</v>
          </cell>
        </row>
        <row r="1989">
          <cell r="A1989" t="str">
            <v>PALOSCO</v>
          </cell>
          <cell r="B1989" t="str">
            <v>016157</v>
          </cell>
          <cell r="C1989" t="str">
            <v>BG</v>
          </cell>
          <cell r="D1989" t="str">
            <v>BG</v>
          </cell>
          <cell r="E1989" t="str">
            <v>24050</v>
          </cell>
        </row>
        <row r="1990">
          <cell r="A1990" t="str">
            <v>PARRE</v>
          </cell>
          <cell r="B1990" t="str">
            <v>016158</v>
          </cell>
          <cell r="C1990" t="str">
            <v>BG</v>
          </cell>
          <cell r="D1990" t="str">
            <v>BG</v>
          </cell>
          <cell r="E1990" t="str">
            <v>24020</v>
          </cell>
        </row>
        <row r="1991">
          <cell r="A1991" t="str">
            <v>PARZANICA</v>
          </cell>
          <cell r="B1991" t="str">
            <v>016159</v>
          </cell>
          <cell r="C1991" t="str">
            <v>BG</v>
          </cell>
          <cell r="D1991" t="str">
            <v>BG</v>
          </cell>
          <cell r="E1991" t="str">
            <v>24060</v>
          </cell>
        </row>
        <row r="1992">
          <cell r="A1992" t="str">
            <v>PEDRENGO</v>
          </cell>
          <cell r="B1992" t="str">
            <v>016160</v>
          </cell>
          <cell r="C1992" t="str">
            <v>BG</v>
          </cell>
          <cell r="D1992" t="str">
            <v>BG</v>
          </cell>
          <cell r="E1992" t="str">
            <v>24066</v>
          </cell>
        </row>
        <row r="1993">
          <cell r="A1993" t="str">
            <v>PEIA</v>
          </cell>
          <cell r="B1993" t="str">
            <v>016161</v>
          </cell>
          <cell r="C1993" t="str">
            <v>BG</v>
          </cell>
          <cell r="D1993" t="str">
            <v>BG</v>
          </cell>
          <cell r="E1993" t="str">
            <v>24020</v>
          </cell>
        </row>
        <row r="1994">
          <cell r="A1994" t="str">
            <v>PIANICO</v>
          </cell>
          <cell r="B1994" t="str">
            <v>016162</v>
          </cell>
          <cell r="C1994" t="str">
            <v>BG</v>
          </cell>
          <cell r="D1994" t="str">
            <v>BG</v>
          </cell>
          <cell r="E1994" t="str">
            <v>24060</v>
          </cell>
        </row>
        <row r="1995">
          <cell r="A1995" t="str">
            <v>PIARIO</v>
          </cell>
          <cell r="B1995" t="str">
            <v>016163</v>
          </cell>
          <cell r="C1995" t="str">
            <v>BG</v>
          </cell>
          <cell r="D1995" t="str">
            <v>BG</v>
          </cell>
          <cell r="E1995" t="str">
            <v>24020</v>
          </cell>
        </row>
        <row r="1996">
          <cell r="A1996" t="str">
            <v>PIAZZA BREMBANA</v>
          </cell>
          <cell r="B1996" t="str">
            <v>016164</v>
          </cell>
          <cell r="C1996" t="str">
            <v>BG</v>
          </cell>
          <cell r="D1996" t="str">
            <v>BG</v>
          </cell>
          <cell r="E1996" t="str">
            <v>24014</v>
          </cell>
        </row>
        <row r="1997">
          <cell r="A1997" t="str">
            <v>PIAZZATORRE</v>
          </cell>
          <cell r="B1997" t="str">
            <v>016165</v>
          </cell>
          <cell r="C1997" t="str">
            <v>BG</v>
          </cell>
          <cell r="D1997" t="str">
            <v>BG</v>
          </cell>
          <cell r="E1997" t="str">
            <v>24010</v>
          </cell>
        </row>
        <row r="1998">
          <cell r="A1998" t="str">
            <v>PIAZZOLO</v>
          </cell>
          <cell r="B1998" t="str">
            <v>016166</v>
          </cell>
          <cell r="C1998" t="str">
            <v>BG</v>
          </cell>
          <cell r="D1998" t="str">
            <v>BG</v>
          </cell>
          <cell r="E1998" t="str">
            <v>24010</v>
          </cell>
        </row>
        <row r="1999">
          <cell r="A1999" t="str">
            <v>POGNANO</v>
          </cell>
          <cell r="B1999" t="str">
            <v>016167</v>
          </cell>
          <cell r="C1999" t="str">
            <v>BG</v>
          </cell>
          <cell r="D1999" t="str">
            <v>BG</v>
          </cell>
          <cell r="E1999" t="str">
            <v>24040</v>
          </cell>
        </row>
        <row r="2000">
          <cell r="A2000" t="str">
            <v>PONTE NOSSA</v>
          </cell>
          <cell r="B2000" t="str">
            <v>016168</v>
          </cell>
          <cell r="C2000" t="str">
            <v>BG</v>
          </cell>
          <cell r="D2000" t="str">
            <v>BG</v>
          </cell>
          <cell r="E2000" t="str">
            <v>24028</v>
          </cell>
        </row>
        <row r="2001">
          <cell r="A2001" t="str">
            <v>PONTERANICA</v>
          </cell>
          <cell r="B2001" t="str">
            <v>016169</v>
          </cell>
          <cell r="C2001" t="str">
            <v>BG</v>
          </cell>
          <cell r="D2001" t="str">
            <v>BG</v>
          </cell>
          <cell r="E2001" t="str">
            <v>24010</v>
          </cell>
        </row>
        <row r="2002">
          <cell r="A2002" t="str">
            <v>PONTE SAN PIETRO</v>
          </cell>
          <cell r="B2002" t="str">
            <v>016170</v>
          </cell>
          <cell r="C2002" t="str">
            <v>BG</v>
          </cell>
          <cell r="D2002" t="str">
            <v>BG</v>
          </cell>
          <cell r="E2002" t="str">
            <v>24036</v>
          </cell>
        </row>
        <row r="2003">
          <cell r="A2003" t="str">
            <v>PONTIDA</v>
          </cell>
          <cell r="B2003" t="str">
            <v>016171</v>
          </cell>
          <cell r="C2003" t="str">
            <v>BG</v>
          </cell>
          <cell r="D2003" t="str">
            <v>BG</v>
          </cell>
          <cell r="E2003" t="str">
            <v>24030</v>
          </cell>
        </row>
        <row r="2004">
          <cell r="A2004" t="str">
            <v>PONTIROLO NUOVO</v>
          </cell>
          <cell r="B2004" t="str">
            <v>016172</v>
          </cell>
          <cell r="C2004" t="str">
            <v>BG</v>
          </cell>
          <cell r="D2004" t="str">
            <v>BG</v>
          </cell>
          <cell r="E2004" t="str">
            <v>24040</v>
          </cell>
        </row>
        <row r="2005">
          <cell r="A2005" t="str">
            <v>PRADALUNGA</v>
          </cell>
          <cell r="B2005" t="str">
            <v>016173</v>
          </cell>
          <cell r="C2005" t="str">
            <v>BG</v>
          </cell>
          <cell r="D2005" t="str">
            <v>BG</v>
          </cell>
          <cell r="E2005" t="str">
            <v>24020</v>
          </cell>
        </row>
        <row r="2006">
          <cell r="A2006" t="str">
            <v>PREDORE</v>
          </cell>
          <cell r="B2006" t="str">
            <v>016174</v>
          </cell>
          <cell r="C2006" t="str">
            <v>BG</v>
          </cell>
          <cell r="D2006" t="str">
            <v>BG</v>
          </cell>
          <cell r="E2006" t="str">
            <v>24060</v>
          </cell>
        </row>
        <row r="2007">
          <cell r="A2007" t="str">
            <v>PREMOLO</v>
          </cell>
          <cell r="B2007" t="str">
            <v>016175</v>
          </cell>
          <cell r="C2007" t="str">
            <v>BG</v>
          </cell>
          <cell r="D2007" t="str">
            <v>BG</v>
          </cell>
          <cell r="E2007" t="str">
            <v>24020</v>
          </cell>
        </row>
        <row r="2008">
          <cell r="A2008" t="str">
            <v>PRESEZZO</v>
          </cell>
          <cell r="B2008" t="str">
            <v>016176</v>
          </cell>
          <cell r="C2008" t="str">
            <v>BG</v>
          </cell>
          <cell r="D2008" t="str">
            <v>BG</v>
          </cell>
          <cell r="E2008" t="str">
            <v>24030</v>
          </cell>
        </row>
        <row r="2009">
          <cell r="A2009" t="str">
            <v>PUMENENGO</v>
          </cell>
          <cell r="B2009" t="str">
            <v>016177</v>
          </cell>
          <cell r="C2009" t="str">
            <v>BG</v>
          </cell>
          <cell r="D2009" t="str">
            <v>BG</v>
          </cell>
          <cell r="E2009" t="str">
            <v>24050</v>
          </cell>
        </row>
        <row r="2010">
          <cell r="A2010" t="str">
            <v>RANICA</v>
          </cell>
          <cell r="B2010" t="str">
            <v>016178</v>
          </cell>
          <cell r="C2010" t="str">
            <v>BG</v>
          </cell>
          <cell r="D2010" t="str">
            <v>BG</v>
          </cell>
          <cell r="E2010" t="str">
            <v>24020</v>
          </cell>
        </row>
        <row r="2011">
          <cell r="A2011" t="str">
            <v>RANZANICO</v>
          </cell>
          <cell r="B2011" t="str">
            <v>016179</v>
          </cell>
          <cell r="C2011" t="str">
            <v>BG</v>
          </cell>
          <cell r="D2011" t="str">
            <v>BG</v>
          </cell>
          <cell r="E2011" t="str">
            <v>24060</v>
          </cell>
        </row>
        <row r="2012">
          <cell r="A2012" t="str">
            <v>RIVA DI SOLTO</v>
          </cell>
          <cell r="B2012" t="str">
            <v>016180</v>
          </cell>
          <cell r="C2012" t="str">
            <v>BG</v>
          </cell>
          <cell r="D2012" t="str">
            <v>BG</v>
          </cell>
          <cell r="E2012" t="str">
            <v>24060</v>
          </cell>
        </row>
        <row r="2013">
          <cell r="A2013" t="str">
            <v>ROGNO</v>
          </cell>
          <cell r="B2013" t="str">
            <v>016182</v>
          </cell>
          <cell r="C2013" t="str">
            <v>BG</v>
          </cell>
          <cell r="D2013" t="str">
            <v>BG</v>
          </cell>
          <cell r="E2013" t="str">
            <v>24060</v>
          </cell>
        </row>
        <row r="2014">
          <cell r="A2014" t="str">
            <v>ROMANO DI LOMBARDIA</v>
          </cell>
          <cell r="B2014" t="str">
            <v>016183</v>
          </cell>
          <cell r="C2014" t="str">
            <v>BG</v>
          </cell>
          <cell r="D2014" t="str">
            <v>BG</v>
          </cell>
          <cell r="E2014" t="str">
            <v>24058</v>
          </cell>
        </row>
        <row r="2015">
          <cell r="A2015" t="str">
            <v>RONCOBELLO</v>
          </cell>
          <cell r="B2015" t="str">
            <v>016184</v>
          </cell>
          <cell r="C2015" t="str">
            <v>BG</v>
          </cell>
          <cell r="D2015" t="str">
            <v>BG</v>
          </cell>
          <cell r="E2015" t="str">
            <v>24010</v>
          </cell>
        </row>
        <row r="2016">
          <cell r="A2016" t="str">
            <v>RONCOLA</v>
          </cell>
          <cell r="B2016" t="str">
            <v>016185</v>
          </cell>
          <cell r="C2016" t="str">
            <v>BG</v>
          </cell>
          <cell r="D2016" t="str">
            <v>BG</v>
          </cell>
          <cell r="E2016" t="str">
            <v>24030</v>
          </cell>
        </row>
        <row r="2017">
          <cell r="A2017" t="str">
            <v>ROTA D'IMAGNA</v>
          </cell>
          <cell r="B2017" t="str">
            <v>016186</v>
          </cell>
          <cell r="C2017" t="str">
            <v>BG</v>
          </cell>
          <cell r="D2017" t="str">
            <v>BG</v>
          </cell>
          <cell r="E2017" t="str">
            <v>24037</v>
          </cell>
        </row>
        <row r="2018">
          <cell r="A2018" t="str">
            <v>ROVETTA</v>
          </cell>
          <cell r="B2018" t="str">
            <v>016187</v>
          </cell>
          <cell r="C2018" t="str">
            <v>BG</v>
          </cell>
          <cell r="D2018" t="str">
            <v>BG</v>
          </cell>
          <cell r="E2018" t="str">
            <v>24020</v>
          </cell>
        </row>
        <row r="2019">
          <cell r="A2019" t="str">
            <v>SAN GIOVANNI BIANCO</v>
          </cell>
          <cell r="B2019" t="str">
            <v>016188</v>
          </cell>
          <cell r="C2019" t="str">
            <v>BG</v>
          </cell>
          <cell r="D2019" t="str">
            <v>BG</v>
          </cell>
          <cell r="E2019" t="str">
            <v>24015</v>
          </cell>
        </row>
        <row r="2020">
          <cell r="A2020" t="str">
            <v>SAN PAOLO D'ARGON</v>
          </cell>
          <cell r="B2020" t="str">
            <v>016189</v>
          </cell>
          <cell r="C2020" t="str">
            <v>BG</v>
          </cell>
          <cell r="D2020" t="str">
            <v>BG</v>
          </cell>
          <cell r="E2020" t="str">
            <v>24060</v>
          </cell>
        </row>
        <row r="2021">
          <cell r="A2021" t="str">
            <v>SAN PELLEGRINO TERME</v>
          </cell>
          <cell r="B2021" t="str">
            <v>016190</v>
          </cell>
          <cell r="C2021" t="str">
            <v>BG</v>
          </cell>
          <cell r="D2021" t="str">
            <v>BG</v>
          </cell>
          <cell r="E2021" t="str">
            <v>24016</v>
          </cell>
        </row>
        <row r="2022">
          <cell r="A2022" t="str">
            <v>SANTA BRIGIDA</v>
          </cell>
          <cell r="B2022" t="str">
            <v>016191</v>
          </cell>
          <cell r="C2022" t="str">
            <v>BG</v>
          </cell>
          <cell r="D2022" t="str">
            <v>BG</v>
          </cell>
          <cell r="E2022" t="str">
            <v>24010</v>
          </cell>
        </row>
        <row r="2023">
          <cell r="A2023" t="str">
            <v>SARNICO</v>
          </cell>
          <cell r="B2023" t="str">
            <v>016193</v>
          </cell>
          <cell r="C2023" t="str">
            <v>BG</v>
          </cell>
          <cell r="D2023" t="str">
            <v>BG</v>
          </cell>
          <cell r="E2023" t="str">
            <v>24067</v>
          </cell>
        </row>
        <row r="2024">
          <cell r="A2024" t="str">
            <v>SCANZOROSCIATE</v>
          </cell>
          <cell r="B2024" t="str">
            <v>016194</v>
          </cell>
          <cell r="C2024" t="str">
            <v>BG</v>
          </cell>
          <cell r="D2024" t="str">
            <v>BG</v>
          </cell>
          <cell r="E2024" t="str">
            <v>24020</v>
          </cell>
        </row>
        <row r="2025">
          <cell r="A2025" t="str">
            <v>SCHILPARIO</v>
          </cell>
          <cell r="B2025" t="str">
            <v>016195</v>
          </cell>
          <cell r="C2025" t="str">
            <v>BG</v>
          </cell>
          <cell r="D2025" t="str">
            <v>BG</v>
          </cell>
          <cell r="E2025" t="str">
            <v>24020</v>
          </cell>
        </row>
        <row r="2026">
          <cell r="A2026" t="str">
            <v>SEDRINA</v>
          </cell>
          <cell r="B2026" t="str">
            <v>016196</v>
          </cell>
          <cell r="C2026" t="str">
            <v>BG</v>
          </cell>
          <cell r="D2026" t="str">
            <v>BG</v>
          </cell>
          <cell r="E2026" t="str">
            <v>24010</v>
          </cell>
        </row>
        <row r="2027">
          <cell r="A2027" t="str">
            <v>SELVINO</v>
          </cell>
          <cell r="B2027" t="str">
            <v>016197</v>
          </cell>
          <cell r="C2027" t="str">
            <v>BG</v>
          </cell>
          <cell r="D2027" t="str">
            <v>BG</v>
          </cell>
          <cell r="E2027" t="str">
            <v>24020</v>
          </cell>
        </row>
        <row r="2028">
          <cell r="A2028" t="str">
            <v>SERIATE</v>
          </cell>
          <cell r="B2028" t="str">
            <v>016198</v>
          </cell>
          <cell r="C2028" t="str">
            <v>BG</v>
          </cell>
          <cell r="D2028" t="str">
            <v>BG</v>
          </cell>
          <cell r="E2028" t="str">
            <v>24068</v>
          </cell>
        </row>
        <row r="2029">
          <cell r="A2029" t="str">
            <v>SERINA</v>
          </cell>
          <cell r="B2029" t="str">
            <v>016199</v>
          </cell>
          <cell r="C2029" t="str">
            <v>BG</v>
          </cell>
          <cell r="D2029" t="str">
            <v>BG</v>
          </cell>
          <cell r="E2029" t="str">
            <v>24017</v>
          </cell>
        </row>
        <row r="2030">
          <cell r="A2030" t="str">
            <v>SOLTO COLLINA</v>
          </cell>
          <cell r="B2030" t="str">
            <v>016200</v>
          </cell>
          <cell r="C2030" t="str">
            <v>BG</v>
          </cell>
          <cell r="D2030" t="str">
            <v>BG</v>
          </cell>
          <cell r="E2030" t="str">
            <v>24060</v>
          </cell>
        </row>
        <row r="2031">
          <cell r="A2031" t="str">
            <v>SONGAVAZZO</v>
          </cell>
          <cell r="B2031" t="str">
            <v>016201</v>
          </cell>
          <cell r="C2031" t="str">
            <v>BG</v>
          </cell>
          <cell r="D2031" t="str">
            <v>BG</v>
          </cell>
          <cell r="E2031" t="str">
            <v>24020</v>
          </cell>
        </row>
        <row r="2032">
          <cell r="A2032" t="str">
            <v>SORISOLE</v>
          </cell>
          <cell r="B2032" t="str">
            <v>016202</v>
          </cell>
          <cell r="C2032" t="str">
            <v>BG</v>
          </cell>
          <cell r="D2032" t="str">
            <v>BG</v>
          </cell>
          <cell r="E2032" t="str">
            <v>24010</v>
          </cell>
        </row>
        <row r="2033">
          <cell r="A2033" t="str">
            <v>SOTTO IL MONTE GIOVANNI XXIII</v>
          </cell>
          <cell r="B2033" t="str">
            <v>016203</v>
          </cell>
          <cell r="C2033" t="str">
            <v>BG</v>
          </cell>
          <cell r="D2033" t="str">
            <v>BG</v>
          </cell>
          <cell r="E2033" t="str">
            <v>24039</v>
          </cell>
        </row>
        <row r="2034">
          <cell r="A2034" t="str">
            <v>SOVERE</v>
          </cell>
          <cell r="B2034" t="str">
            <v>016204</v>
          </cell>
          <cell r="C2034" t="str">
            <v>BG</v>
          </cell>
          <cell r="D2034" t="str">
            <v>BG</v>
          </cell>
          <cell r="E2034" t="str">
            <v>24060</v>
          </cell>
        </row>
        <row r="2035">
          <cell r="A2035" t="str">
            <v>SPINONE AL LAGO</v>
          </cell>
          <cell r="B2035" t="str">
            <v>016205</v>
          </cell>
          <cell r="C2035" t="str">
            <v>BG</v>
          </cell>
          <cell r="D2035" t="str">
            <v>BG</v>
          </cell>
          <cell r="E2035" t="str">
            <v>24060</v>
          </cell>
        </row>
        <row r="2036">
          <cell r="A2036" t="str">
            <v>SPIRANO</v>
          </cell>
          <cell r="B2036" t="str">
            <v>016206</v>
          </cell>
          <cell r="C2036" t="str">
            <v>BG</v>
          </cell>
          <cell r="D2036" t="str">
            <v>BG</v>
          </cell>
          <cell r="E2036" t="str">
            <v>24050</v>
          </cell>
        </row>
        <row r="2037">
          <cell r="A2037" t="str">
            <v>STEZZANO</v>
          </cell>
          <cell r="B2037" t="str">
            <v>016207</v>
          </cell>
          <cell r="C2037" t="str">
            <v>BG</v>
          </cell>
          <cell r="D2037" t="str">
            <v>BG</v>
          </cell>
          <cell r="E2037" t="str">
            <v>24040</v>
          </cell>
        </row>
        <row r="2038">
          <cell r="A2038" t="str">
            <v>STROZZA</v>
          </cell>
          <cell r="B2038" t="str">
            <v>016208</v>
          </cell>
          <cell r="C2038" t="str">
            <v>BG</v>
          </cell>
          <cell r="D2038" t="str">
            <v>BG</v>
          </cell>
          <cell r="E2038" t="str">
            <v>24030</v>
          </cell>
        </row>
        <row r="2039">
          <cell r="A2039" t="str">
            <v>SUISIO</v>
          </cell>
          <cell r="B2039" t="str">
            <v>016209</v>
          </cell>
          <cell r="C2039" t="str">
            <v>BG</v>
          </cell>
          <cell r="D2039" t="str">
            <v>BG</v>
          </cell>
          <cell r="E2039" t="str">
            <v>24040</v>
          </cell>
        </row>
        <row r="2040">
          <cell r="A2040" t="str">
            <v>TALEGGIO</v>
          </cell>
          <cell r="B2040" t="str">
            <v>016210</v>
          </cell>
          <cell r="C2040" t="str">
            <v>BG</v>
          </cell>
          <cell r="D2040" t="str">
            <v>BG</v>
          </cell>
          <cell r="E2040" t="str">
            <v>24010</v>
          </cell>
        </row>
        <row r="2041">
          <cell r="A2041" t="str">
            <v>TAVERNOLA BERGAMASCA</v>
          </cell>
          <cell r="B2041" t="str">
            <v>016211</v>
          </cell>
          <cell r="C2041" t="str">
            <v>BG</v>
          </cell>
          <cell r="D2041" t="str">
            <v>BG</v>
          </cell>
          <cell r="E2041" t="str">
            <v>24060</v>
          </cell>
        </row>
        <row r="2042">
          <cell r="A2042" t="str">
            <v>TELGATE</v>
          </cell>
          <cell r="B2042" t="str">
            <v>016212</v>
          </cell>
          <cell r="C2042" t="str">
            <v>BG</v>
          </cell>
          <cell r="D2042" t="str">
            <v>BG</v>
          </cell>
          <cell r="E2042" t="str">
            <v>24060</v>
          </cell>
        </row>
        <row r="2043">
          <cell r="A2043" t="str">
            <v>TERNO D'ISOLA</v>
          </cell>
          <cell r="B2043" t="str">
            <v>016213</v>
          </cell>
          <cell r="C2043" t="str">
            <v>BG</v>
          </cell>
          <cell r="D2043" t="str">
            <v>BG</v>
          </cell>
          <cell r="E2043" t="str">
            <v>24030</v>
          </cell>
        </row>
        <row r="2044">
          <cell r="A2044" t="str">
            <v>TORRE BOLDONE</v>
          </cell>
          <cell r="B2044" t="str">
            <v>016214</v>
          </cell>
          <cell r="C2044" t="str">
            <v>BG</v>
          </cell>
          <cell r="D2044" t="str">
            <v>BG</v>
          </cell>
          <cell r="E2044" t="str">
            <v>24020</v>
          </cell>
        </row>
        <row r="2045">
          <cell r="A2045" t="str">
            <v>TORRE DE' BUSI</v>
          </cell>
          <cell r="B2045" t="str">
            <v>016215</v>
          </cell>
          <cell r="C2045" t="str">
            <v>BG</v>
          </cell>
          <cell r="D2045" t="str">
            <v>LC</v>
          </cell>
          <cell r="E2045" t="str">
            <v>23806</v>
          </cell>
        </row>
        <row r="2046">
          <cell r="A2046" t="str">
            <v>TORRE DE' ROVERI</v>
          </cell>
          <cell r="B2046" t="str">
            <v>016216</v>
          </cell>
          <cell r="C2046" t="str">
            <v>BG</v>
          </cell>
          <cell r="D2046" t="str">
            <v>BG</v>
          </cell>
          <cell r="E2046" t="str">
            <v>24060</v>
          </cell>
        </row>
        <row r="2047">
          <cell r="A2047" t="str">
            <v>TORRE PALLAVICINA</v>
          </cell>
          <cell r="B2047" t="str">
            <v>016217</v>
          </cell>
          <cell r="C2047" t="str">
            <v>BG</v>
          </cell>
          <cell r="D2047" t="str">
            <v>BG</v>
          </cell>
          <cell r="E2047" t="str">
            <v>24050</v>
          </cell>
        </row>
        <row r="2048">
          <cell r="A2048" t="str">
            <v>TRESCORE BALNEARIO</v>
          </cell>
          <cell r="B2048" t="str">
            <v>016218</v>
          </cell>
          <cell r="C2048" t="str">
            <v>BG</v>
          </cell>
          <cell r="D2048" t="str">
            <v>BG</v>
          </cell>
          <cell r="E2048" t="str">
            <v>24069</v>
          </cell>
        </row>
        <row r="2049">
          <cell r="A2049" t="str">
            <v>TREVIGLIO</v>
          </cell>
          <cell r="B2049" t="str">
            <v>016219</v>
          </cell>
          <cell r="C2049" t="str">
            <v>BG</v>
          </cell>
          <cell r="D2049" t="str">
            <v>BG</v>
          </cell>
          <cell r="E2049" t="str">
            <v>24047</v>
          </cell>
        </row>
        <row r="2050">
          <cell r="A2050" t="str">
            <v>TREVIOLO</v>
          </cell>
          <cell r="B2050" t="str">
            <v>016220</v>
          </cell>
          <cell r="C2050" t="str">
            <v>BG</v>
          </cell>
          <cell r="D2050" t="str">
            <v>BG</v>
          </cell>
          <cell r="E2050" t="str">
            <v>24048</v>
          </cell>
        </row>
        <row r="2051">
          <cell r="A2051" t="str">
            <v>UBIALE CLANEZZO</v>
          </cell>
          <cell r="B2051" t="str">
            <v>016221</v>
          </cell>
          <cell r="C2051" t="str">
            <v>BG</v>
          </cell>
          <cell r="D2051" t="str">
            <v>BG</v>
          </cell>
          <cell r="E2051" t="str">
            <v>24010</v>
          </cell>
        </row>
        <row r="2052">
          <cell r="A2052" t="str">
            <v>URGNANO</v>
          </cell>
          <cell r="B2052" t="str">
            <v>016222</v>
          </cell>
          <cell r="C2052" t="str">
            <v>BG</v>
          </cell>
          <cell r="D2052" t="str">
            <v>BG</v>
          </cell>
          <cell r="E2052" t="str">
            <v>24059</v>
          </cell>
        </row>
        <row r="2053">
          <cell r="A2053" t="str">
            <v>VALBONDIONE</v>
          </cell>
          <cell r="B2053" t="str">
            <v>016223</v>
          </cell>
          <cell r="C2053" t="str">
            <v>BG</v>
          </cell>
          <cell r="D2053" t="str">
            <v>BG</v>
          </cell>
          <cell r="E2053" t="str">
            <v>24020</v>
          </cell>
        </row>
        <row r="2054">
          <cell r="A2054" t="str">
            <v>VALBREMBO</v>
          </cell>
          <cell r="B2054" t="str">
            <v>016224</v>
          </cell>
          <cell r="C2054" t="str">
            <v>BG</v>
          </cell>
          <cell r="D2054" t="str">
            <v>BG</v>
          </cell>
          <cell r="E2054" t="str">
            <v>24030</v>
          </cell>
        </row>
        <row r="2055">
          <cell r="A2055" t="str">
            <v>VALGOGLIO</v>
          </cell>
          <cell r="B2055" t="str">
            <v>016225</v>
          </cell>
          <cell r="C2055" t="str">
            <v>BG</v>
          </cell>
          <cell r="D2055" t="str">
            <v>BG</v>
          </cell>
          <cell r="E2055" t="str">
            <v>24020</v>
          </cell>
        </row>
        <row r="2056">
          <cell r="A2056" t="str">
            <v>VALLEVE</v>
          </cell>
          <cell r="B2056" t="str">
            <v>016226</v>
          </cell>
          <cell r="C2056" t="str">
            <v>BG</v>
          </cell>
          <cell r="D2056" t="str">
            <v>BG</v>
          </cell>
          <cell r="E2056" t="str">
            <v>24010</v>
          </cell>
        </row>
        <row r="2057">
          <cell r="A2057" t="str">
            <v>VALNEGRA</v>
          </cell>
          <cell r="B2057" t="str">
            <v>016227</v>
          </cell>
          <cell r="C2057" t="str">
            <v>BG</v>
          </cell>
          <cell r="D2057" t="str">
            <v>BG</v>
          </cell>
          <cell r="E2057" t="str">
            <v>24010</v>
          </cell>
        </row>
        <row r="2058">
          <cell r="A2058" t="str">
            <v>VALTORTA</v>
          </cell>
          <cell r="B2058" t="str">
            <v>016229</v>
          </cell>
          <cell r="C2058" t="str">
            <v>BG</v>
          </cell>
          <cell r="D2058" t="str">
            <v>BG</v>
          </cell>
          <cell r="E2058" t="str">
            <v>24010</v>
          </cell>
        </row>
        <row r="2059">
          <cell r="A2059" t="str">
            <v>VEDESETA</v>
          </cell>
          <cell r="B2059" t="str">
            <v>016230</v>
          </cell>
          <cell r="C2059" t="str">
            <v>BG</v>
          </cell>
          <cell r="D2059" t="str">
            <v>BG</v>
          </cell>
          <cell r="E2059" t="str">
            <v>24010</v>
          </cell>
        </row>
        <row r="2060">
          <cell r="A2060" t="str">
            <v>VERDELLINO</v>
          </cell>
          <cell r="B2060" t="str">
            <v>016232</v>
          </cell>
          <cell r="C2060" t="str">
            <v>BG</v>
          </cell>
          <cell r="D2060" t="str">
            <v>BG</v>
          </cell>
          <cell r="E2060" t="str">
            <v>24040</v>
          </cell>
        </row>
        <row r="2061">
          <cell r="A2061" t="str">
            <v>VERDELLO</v>
          </cell>
          <cell r="B2061" t="str">
            <v>016233</v>
          </cell>
          <cell r="C2061" t="str">
            <v>BG</v>
          </cell>
          <cell r="D2061" t="str">
            <v>BG</v>
          </cell>
          <cell r="E2061" t="str">
            <v>24049</v>
          </cell>
        </row>
        <row r="2062">
          <cell r="A2062" t="str">
            <v>VERTOVA</v>
          </cell>
          <cell r="B2062" t="str">
            <v>016234</v>
          </cell>
          <cell r="C2062" t="str">
            <v>BG</v>
          </cell>
          <cell r="D2062" t="str">
            <v>BG</v>
          </cell>
          <cell r="E2062" t="str">
            <v>24029</v>
          </cell>
        </row>
        <row r="2063">
          <cell r="A2063" t="str">
            <v>VIADANICA</v>
          </cell>
          <cell r="B2063" t="str">
            <v>016235</v>
          </cell>
          <cell r="C2063" t="str">
            <v>BG</v>
          </cell>
          <cell r="D2063" t="str">
            <v>BG</v>
          </cell>
          <cell r="E2063" t="str">
            <v>24060</v>
          </cell>
        </row>
        <row r="2064">
          <cell r="A2064" t="str">
            <v>VIGANO SAN MARTINO</v>
          </cell>
          <cell r="B2064" t="str">
            <v>016236</v>
          </cell>
          <cell r="C2064" t="str">
            <v>BG</v>
          </cell>
          <cell r="D2064" t="str">
            <v>BG</v>
          </cell>
          <cell r="E2064" t="str">
            <v>24060</v>
          </cell>
        </row>
        <row r="2065">
          <cell r="A2065" t="str">
            <v>VIGOLO</v>
          </cell>
          <cell r="B2065" t="str">
            <v>016237</v>
          </cell>
          <cell r="C2065" t="str">
            <v>BG</v>
          </cell>
          <cell r="D2065" t="str">
            <v>BG</v>
          </cell>
          <cell r="E2065" t="str">
            <v>24060</v>
          </cell>
        </row>
        <row r="2066">
          <cell r="A2066" t="str">
            <v>VILLA D'ADDA</v>
          </cell>
          <cell r="B2066" t="str">
            <v>016238</v>
          </cell>
          <cell r="C2066" t="str">
            <v>BG</v>
          </cell>
          <cell r="D2066" t="str">
            <v>BG</v>
          </cell>
          <cell r="E2066" t="str">
            <v>24030</v>
          </cell>
        </row>
        <row r="2067">
          <cell r="A2067" t="str">
            <v>VILLA D'ALMÈ</v>
          </cell>
          <cell r="B2067" t="str">
            <v>016239</v>
          </cell>
          <cell r="C2067" t="str">
            <v>BG</v>
          </cell>
          <cell r="D2067" t="str">
            <v>BG</v>
          </cell>
          <cell r="E2067" t="str">
            <v>24018</v>
          </cell>
        </row>
        <row r="2068">
          <cell r="A2068" t="str">
            <v>VILLA DI SERIO</v>
          </cell>
          <cell r="B2068" t="str">
            <v>016240</v>
          </cell>
          <cell r="C2068" t="str">
            <v>BG</v>
          </cell>
          <cell r="D2068" t="str">
            <v>BG</v>
          </cell>
          <cell r="E2068" t="str">
            <v>24020</v>
          </cell>
        </row>
        <row r="2069">
          <cell r="A2069" t="str">
            <v>VILLA D'OGNA</v>
          </cell>
          <cell r="B2069" t="str">
            <v>016241</v>
          </cell>
          <cell r="C2069" t="str">
            <v>BG</v>
          </cell>
          <cell r="D2069" t="str">
            <v>BG</v>
          </cell>
          <cell r="E2069" t="str">
            <v>24020</v>
          </cell>
        </row>
        <row r="2070">
          <cell r="A2070" t="str">
            <v>VILLONGO</v>
          </cell>
          <cell r="B2070" t="str">
            <v>016242</v>
          </cell>
          <cell r="C2070" t="str">
            <v>BG</v>
          </cell>
          <cell r="D2070" t="str">
            <v>BG</v>
          </cell>
          <cell r="E2070" t="str">
            <v>24060</v>
          </cell>
        </row>
        <row r="2071">
          <cell r="A2071" t="str">
            <v>VILMINORE DI SCALVE</v>
          </cell>
          <cell r="B2071" t="str">
            <v>016243</v>
          </cell>
          <cell r="C2071" t="str">
            <v>BG</v>
          </cell>
          <cell r="D2071" t="str">
            <v>BG</v>
          </cell>
          <cell r="E2071" t="str">
            <v>24020</v>
          </cell>
        </row>
        <row r="2072">
          <cell r="A2072" t="str">
            <v>ZANDOBBIO</v>
          </cell>
          <cell r="B2072" t="str">
            <v>016244</v>
          </cell>
          <cell r="C2072" t="str">
            <v>BG</v>
          </cell>
          <cell r="D2072" t="str">
            <v>BG</v>
          </cell>
          <cell r="E2072" t="str">
            <v>24060</v>
          </cell>
        </row>
        <row r="2073">
          <cell r="A2073" t="str">
            <v>ZANICA</v>
          </cell>
          <cell r="B2073" t="str">
            <v>016245</v>
          </cell>
          <cell r="C2073" t="str">
            <v>BG</v>
          </cell>
          <cell r="D2073" t="str">
            <v>BG</v>
          </cell>
          <cell r="E2073" t="str">
            <v>24050</v>
          </cell>
        </row>
        <row r="2074">
          <cell r="A2074" t="str">
            <v>ZOGNO</v>
          </cell>
          <cell r="B2074" t="str">
            <v>016246</v>
          </cell>
          <cell r="C2074" t="str">
            <v>BG</v>
          </cell>
          <cell r="D2074" t="str">
            <v>BG</v>
          </cell>
          <cell r="E2074" t="str">
            <v>24019</v>
          </cell>
        </row>
        <row r="2075">
          <cell r="A2075" t="str">
            <v>COSTA SERINA</v>
          </cell>
          <cell r="B2075" t="str">
            <v>016247</v>
          </cell>
          <cell r="C2075" t="str">
            <v>BG</v>
          </cell>
          <cell r="D2075" t="str">
            <v>BG</v>
          </cell>
          <cell r="E2075" t="str">
            <v>24010</v>
          </cell>
        </row>
        <row r="2076">
          <cell r="A2076" t="str">
            <v>ALGUA</v>
          </cell>
          <cell r="B2076" t="str">
            <v>016248</v>
          </cell>
          <cell r="C2076" t="str">
            <v>BG</v>
          </cell>
          <cell r="D2076" t="str">
            <v>BG</v>
          </cell>
          <cell r="E2076" t="str">
            <v>24010</v>
          </cell>
        </row>
        <row r="2077">
          <cell r="A2077" t="str">
            <v>CORNALBA</v>
          </cell>
          <cell r="B2077" t="str">
            <v>016249</v>
          </cell>
          <cell r="C2077" t="str">
            <v>BG</v>
          </cell>
          <cell r="D2077" t="str">
            <v>BG</v>
          </cell>
          <cell r="E2077" t="str">
            <v>24017</v>
          </cell>
        </row>
        <row r="2078">
          <cell r="A2078" t="str">
            <v>MEDOLAGO</v>
          </cell>
          <cell r="B2078" t="str">
            <v>016250</v>
          </cell>
          <cell r="C2078" t="str">
            <v>BG</v>
          </cell>
          <cell r="D2078" t="str">
            <v>BG</v>
          </cell>
          <cell r="E2078" t="str">
            <v>24030</v>
          </cell>
        </row>
        <row r="2079">
          <cell r="A2079" t="str">
            <v>SOLZA</v>
          </cell>
          <cell r="B2079" t="str">
            <v>016251</v>
          </cell>
          <cell r="C2079" t="str">
            <v>BG</v>
          </cell>
          <cell r="D2079" t="str">
            <v>BG</v>
          </cell>
          <cell r="E2079" t="str">
            <v>24030</v>
          </cell>
        </row>
        <row r="2080">
          <cell r="A2080" t="str">
            <v>SANT'OMOBONO TERME</v>
          </cell>
          <cell r="B2080" t="str">
            <v>016252</v>
          </cell>
          <cell r="C2080" t="str">
            <v>BG</v>
          </cell>
          <cell r="D2080" t="str">
            <v>BG</v>
          </cell>
          <cell r="E2080" t="str">
            <v>24038</v>
          </cell>
        </row>
        <row r="2081">
          <cell r="A2081" t="str">
            <v>VAL BREMBILLA</v>
          </cell>
          <cell r="B2081" t="str">
            <v>016253</v>
          </cell>
          <cell r="C2081" t="str">
            <v>BG</v>
          </cell>
          <cell r="D2081" t="e">
            <v>#N/A</v>
          </cell>
          <cell r="E2081" t="e">
            <v>#N/A</v>
          </cell>
        </row>
        <row r="2082">
          <cell r="A2082" t="str">
            <v>ACQUAFREDDA</v>
          </cell>
          <cell r="B2082" t="str">
            <v>017001</v>
          </cell>
          <cell r="C2082" t="str">
            <v>BS</v>
          </cell>
          <cell r="D2082" t="str">
            <v>BS</v>
          </cell>
          <cell r="E2082" t="str">
            <v>25010</v>
          </cell>
        </row>
        <row r="2083">
          <cell r="A2083" t="str">
            <v>ADRO</v>
          </cell>
          <cell r="B2083" t="str">
            <v>017002</v>
          </cell>
          <cell r="C2083" t="str">
            <v>BS</v>
          </cell>
          <cell r="D2083" t="str">
            <v>BS</v>
          </cell>
          <cell r="E2083" t="str">
            <v>25030</v>
          </cell>
        </row>
        <row r="2084">
          <cell r="A2084" t="str">
            <v>AGNOSINE</v>
          </cell>
          <cell r="B2084" t="str">
            <v>017003</v>
          </cell>
          <cell r="C2084" t="str">
            <v>BS</v>
          </cell>
          <cell r="D2084" t="str">
            <v>BS</v>
          </cell>
          <cell r="E2084" t="str">
            <v>25071</v>
          </cell>
        </row>
        <row r="2085">
          <cell r="A2085" t="str">
            <v>ALFIANELLO</v>
          </cell>
          <cell r="B2085" t="str">
            <v>017004</v>
          </cell>
          <cell r="C2085" t="str">
            <v>BS</v>
          </cell>
          <cell r="D2085" t="str">
            <v>BS</v>
          </cell>
          <cell r="E2085" t="str">
            <v>25020</v>
          </cell>
        </row>
        <row r="2086">
          <cell r="A2086" t="str">
            <v>ANFO</v>
          </cell>
          <cell r="B2086" t="str">
            <v>017005</v>
          </cell>
          <cell r="C2086" t="str">
            <v>BS</v>
          </cell>
          <cell r="D2086" t="str">
            <v>BS</v>
          </cell>
          <cell r="E2086" t="str">
            <v>25070</v>
          </cell>
        </row>
        <row r="2087">
          <cell r="A2087" t="str">
            <v>ANGOLO TERME</v>
          </cell>
          <cell r="B2087" t="str">
            <v>017006</v>
          </cell>
          <cell r="C2087" t="str">
            <v>BS</v>
          </cell>
          <cell r="D2087" t="str">
            <v>BS</v>
          </cell>
          <cell r="E2087" t="str">
            <v>25040</v>
          </cell>
        </row>
        <row r="2088">
          <cell r="A2088" t="str">
            <v>ARTOGNE</v>
          </cell>
          <cell r="B2088" t="str">
            <v>017007</v>
          </cell>
          <cell r="C2088" t="str">
            <v>BS</v>
          </cell>
          <cell r="D2088" t="str">
            <v>BS</v>
          </cell>
          <cell r="E2088" t="str">
            <v>25040</v>
          </cell>
        </row>
        <row r="2089">
          <cell r="A2089" t="str">
            <v>AZZANO MELLA</v>
          </cell>
          <cell r="B2089" t="str">
            <v>017008</v>
          </cell>
          <cell r="C2089" t="str">
            <v>BS</v>
          </cell>
          <cell r="D2089" t="str">
            <v>BS</v>
          </cell>
          <cell r="E2089" t="str">
            <v>25020</v>
          </cell>
        </row>
        <row r="2090">
          <cell r="A2090" t="str">
            <v>BAGNOLO MELLA</v>
          </cell>
          <cell r="B2090" t="str">
            <v>017009</v>
          </cell>
          <cell r="C2090" t="str">
            <v>BS</v>
          </cell>
          <cell r="D2090" t="str">
            <v>BS</v>
          </cell>
          <cell r="E2090" t="str">
            <v>25021</v>
          </cell>
        </row>
        <row r="2091">
          <cell r="A2091" t="str">
            <v>BAGOLINO</v>
          </cell>
          <cell r="B2091" t="str">
            <v>017010</v>
          </cell>
          <cell r="C2091" t="str">
            <v>BS</v>
          </cell>
          <cell r="D2091" t="str">
            <v>BS</v>
          </cell>
          <cell r="E2091" t="str">
            <v>25072</v>
          </cell>
        </row>
        <row r="2092">
          <cell r="A2092" t="str">
            <v>BARBARIGA</v>
          </cell>
          <cell r="B2092" t="str">
            <v>017011</v>
          </cell>
          <cell r="C2092" t="str">
            <v>BS</v>
          </cell>
          <cell r="D2092" t="str">
            <v>BS</v>
          </cell>
          <cell r="E2092" t="str">
            <v>25030</v>
          </cell>
        </row>
        <row r="2093">
          <cell r="A2093" t="str">
            <v>BARGHE</v>
          </cell>
          <cell r="B2093" t="str">
            <v>017012</v>
          </cell>
          <cell r="C2093" t="str">
            <v>BS</v>
          </cell>
          <cell r="D2093" t="str">
            <v>BS</v>
          </cell>
          <cell r="E2093" t="str">
            <v>25070</v>
          </cell>
        </row>
        <row r="2094">
          <cell r="A2094" t="str">
            <v>BASSANO BRESCIANO</v>
          </cell>
          <cell r="B2094" t="str">
            <v>017013</v>
          </cell>
          <cell r="C2094" t="str">
            <v>BS</v>
          </cell>
          <cell r="D2094" t="str">
            <v>BS</v>
          </cell>
          <cell r="E2094" t="str">
            <v>25020</v>
          </cell>
        </row>
        <row r="2095">
          <cell r="A2095" t="str">
            <v>BEDIZZOLE</v>
          </cell>
          <cell r="B2095" t="str">
            <v>017014</v>
          </cell>
          <cell r="C2095" t="str">
            <v>BS</v>
          </cell>
          <cell r="D2095" t="str">
            <v>BS</v>
          </cell>
          <cell r="E2095" t="str">
            <v>25081</v>
          </cell>
        </row>
        <row r="2096">
          <cell r="A2096" t="str">
            <v>BERLINGO</v>
          </cell>
          <cell r="B2096" t="str">
            <v>017015</v>
          </cell>
          <cell r="C2096" t="str">
            <v>BS</v>
          </cell>
          <cell r="D2096" t="str">
            <v>BS</v>
          </cell>
          <cell r="E2096" t="str">
            <v>25030</v>
          </cell>
        </row>
        <row r="2097">
          <cell r="A2097" t="str">
            <v>BERZO DEMO</v>
          </cell>
          <cell r="B2097" t="str">
            <v>017016</v>
          </cell>
          <cell r="C2097" t="str">
            <v>BS</v>
          </cell>
          <cell r="D2097" t="str">
            <v>BS</v>
          </cell>
          <cell r="E2097" t="str">
            <v>25040</v>
          </cell>
        </row>
        <row r="2098">
          <cell r="A2098" t="str">
            <v>BERZO INFERIORE</v>
          </cell>
          <cell r="B2098" t="str">
            <v>017017</v>
          </cell>
          <cell r="C2098" t="str">
            <v>BS</v>
          </cell>
          <cell r="D2098" t="str">
            <v>BS</v>
          </cell>
          <cell r="E2098" t="str">
            <v>25040</v>
          </cell>
        </row>
        <row r="2099">
          <cell r="A2099" t="str">
            <v>BIENNO</v>
          </cell>
          <cell r="B2099" t="str">
            <v>017018</v>
          </cell>
          <cell r="C2099" t="str">
            <v>BS</v>
          </cell>
          <cell r="D2099" t="str">
            <v>BS</v>
          </cell>
          <cell r="E2099" t="str">
            <v>25040</v>
          </cell>
        </row>
        <row r="2100">
          <cell r="A2100" t="str">
            <v>BIONE</v>
          </cell>
          <cell r="B2100" t="str">
            <v>017019</v>
          </cell>
          <cell r="C2100" t="str">
            <v>BS</v>
          </cell>
          <cell r="D2100" t="str">
            <v>BS</v>
          </cell>
          <cell r="E2100" t="str">
            <v>25070</v>
          </cell>
        </row>
        <row r="2101">
          <cell r="A2101" t="str">
            <v>BORGO SAN GIACOMO</v>
          </cell>
          <cell r="B2101" t="str">
            <v>017020</v>
          </cell>
          <cell r="C2101" t="str">
            <v>BS</v>
          </cell>
          <cell r="D2101" t="str">
            <v>BS</v>
          </cell>
          <cell r="E2101" t="str">
            <v>25022</v>
          </cell>
        </row>
        <row r="2102">
          <cell r="A2102" t="str">
            <v>BORGOSATOLLO</v>
          </cell>
          <cell r="B2102" t="str">
            <v>017021</v>
          </cell>
          <cell r="C2102" t="str">
            <v>BS</v>
          </cell>
          <cell r="D2102" t="str">
            <v>BS</v>
          </cell>
          <cell r="E2102" t="str">
            <v>25010</v>
          </cell>
        </row>
        <row r="2103">
          <cell r="A2103" t="str">
            <v>BORNO</v>
          </cell>
          <cell r="B2103" t="str">
            <v>017022</v>
          </cell>
          <cell r="C2103" t="str">
            <v>BS</v>
          </cell>
          <cell r="D2103" t="str">
            <v>BS</v>
          </cell>
          <cell r="E2103" t="str">
            <v>25042</v>
          </cell>
        </row>
        <row r="2104">
          <cell r="A2104" t="str">
            <v>BOTTICINO</v>
          </cell>
          <cell r="B2104" t="str">
            <v>017023</v>
          </cell>
          <cell r="C2104" t="str">
            <v>BS</v>
          </cell>
          <cell r="D2104" t="str">
            <v>BS</v>
          </cell>
          <cell r="E2104" t="str">
            <v>25082</v>
          </cell>
        </row>
        <row r="2105">
          <cell r="A2105" t="str">
            <v>BOVEGNO</v>
          </cell>
          <cell r="B2105" t="str">
            <v>017024</v>
          </cell>
          <cell r="C2105" t="str">
            <v>BS</v>
          </cell>
          <cell r="D2105" t="str">
            <v>BS</v>
          </cell>
          <cell r="E2105" t="str">
            <v>25061</v>
          </cell>
        </row>
        <row r="2106">
          <cell r="A2106" t="str">
            <v>BOVEZZO</v>
          </cell>
          <cell r="B2106" t="str">
            <v>017025</v>
          </cell>
          <cell r="C2106" t="str">
            <v>BS</v>
          </cell>
          <cell r="D2106" t="str">
            <v>BS</v>
          </cell>
          <cell r="E2106" t="str">
            <v>25073</v>
          </cell>
        </row>
        <row r="2107">
          <cell r="A2107" t="str">
            <v>BRANDICO</v>
          </cell>
          <cell r="B2107" t="str">
            <v>017026</v>
          </cell>
          <cell r="C2107" t="str">
            <v>BS</v>
          </cell>
          <cell r="D2107" t="str">
            <v>BS</v>
          </cell>
          <cell r="E2107" t="str">
            <v>25030</v>
          </cell>
        </row>
        <row r="2108">
          <cell r="A2108" t="str">
            <v>BRAONE</v>
          </cell>
          <cell r="B2108" t="str">
            <v>017027</v>
          </cell>
          <cell r="C2108" t="str">
            <v>BS</v>
          </cell>
          <cell r="D2108" t="str">
            <v>BS</v>
          </cell>
          <cell r="E2108" t="str">
            <v>25040</v>
          </cell>
        </row>
        <row r="2109">
          <cell r="A2109" t="str">
            <v>BRENO</v>
          </cell>
          <cell r="B2109" t="str">
            <v>017028</v>
          </cell>
          <cell r="C2109" t="str">
            <v>BS</v>
          </cell>
          <cell r="D2109" t="str">
            <v>BS</v>
          </cell>
          <cell r="E2109" t="str">
            <v>25043</v>
          </cell>
        </row>
        <row r="2110">
          <cell r="A2110" t="str">
            <v>BRESCIA</v>
          </cell>
          <cell r="B2110" t="str">
            <v>017029</v>
          </cell>
          <cell r="C2110" t="str">
            <v>BS</v>
          </cell>
          <cell r="D2110" t="str">
            <v>BS</v>
          </cell>
          <cell r="E2110" t="str">
            <v>251xx</v>
          </cell>
        </row>
        <row r="2111">
          <cell r="A2111" t="str">
            <v>BRIONE</v>
          </cell>
          <cell r="B2111" t="str">
            <v>017030</v>
          </cell>
          <cell r="C2111" t="str">
            <v>BS</v>
          </cell>
          <cell r="D2111" t="str">
            <v>BS</v>
          </cell>
          <cell r="E2111" t="str">
            <v>25060</v>
          </cell>
        </row>
        <row r="2112">
          <cell r="A2112" t="str">
            <v>CAINO</v>
          </cell>
          <cell r="B2112" t="str">
            <v>017031</v>
          </cell>
          <cell r="C2112" t="str">
            <v>BS</v>
          </cell>
          <cell r="D2112" t="str">
            <v>BS</v>
          </cell>
          <cell r="E2112" t="str">
            <v>25070</v>
          </cell>
        </row>
        <row r="2113">
          <cell r="A2113" t="str">
            <v>CALCINATO</v>
          </cell>
          <cell r="B2113" t="str">
            <v>017032</v>
          </cell>
          <cell r="C2113" t="str">
            <v>BS</v>
          </cell>
          <cell r="D2113" t="str">
            <v>BS</v>
          </cell>
          <cell r="E2113" t="str">
            <v>25011</v>
          </cell>
        </row>
        <row r="2114">
          <cell r="A2114" t="str">
            <v>CALVAGESE DELLA RIVIERA</v>
          </cell>
          <cell r="B2114" t="str">
            <v>017033</v>
          </cell>
          <cell r="C2114" t="str">
            <v>BS</v>
          </cell>
          <cell r="D2114" t="str">
            <v>BS</v>
          </cell>
          <cell r="E2114" t="str">
            <v>25080</v>
          </cell>
        </row>
        <row r="2115">
          <cell r="A2115" t="str">
            <v>CALVISANO</v>
          </cell>
          <cell r="B2115" t="str">
            <v>017034</v>
          </cell>
          <cell r="C2115" t="str">
            <v>BS</v>
          </cell>
          <cell r="D2115" t="str">
            <v>BS</v>
          </cell>
          <cell r="E2115" t="str">
            <v>25012</v>
          </cell>
        </row>
        <row r="2116">
          <cell r="A2116" t="str">
            <v>CAPO DI PONTE</v>
          </cell>
          <cell r="B2116" t="str">
            <v>017035</v>
          </cell>
          <cell r="C2116" t="str">
            <v>BS</v>
          </cell>
          <cell r="D2116" t="str">
            <v>BS</v>
          </cell>
          <cell r="E2116" t="str">
            <v>25044</v>
          </cell>
        </row>
        <row r="2117">
          <cell r="A2117" t="str">
            <v>CAPOVALLE</v>
          </cell>
          <cell r="B2117" t="str">
            <v>017036</v>
          </cell>
          <cell r="C2117" t="str">
            <v>BS</v>
          </cell>
          <cell r="D2117" t="str">
            <v>BS</v>
          </cell>
          <cell r="E2117" t="str">
            <v>25070</v>
          </cell>
        </row>
        <row r="2118">
          <cell r="A2118" t="str">
            <v>CAPRIANO DEL COLLE</v>
          </cell>
          <cell r="B2118" t="str">
            <v>017037</v>
          </cell>
          <cell r="C2118" t="str">
            <v>BS</v>
          </cell>
          <cell r="D2118" t="str">
            <v>BS</v>
          </cell>
          <cell r="E2118" t="str">
            <v>25020</v>
          </cell>
        </row>
        <row r="2119">
          <cell r="A2119" t="str">
            <v>CAPRIOLO</v>
          </cell>
          <cell r="B2119" t="str">
            <v>017038</v>
          </cell>
          <cell r="C2119" t="str">
            <v>BS</v>
          </cell>
          <cell r="D2119" t="str">
            <v>BS</v>
          </cell>
          <cell r="E2119" t="str">
            <v>25031</v>
          </cell>
        </row>
        <row r="2120">
          <cell r="A2120" t="str">
            <v>CARPENEDOLO</v>
          </cell>
          <cell r="B2120" t="str">
            <v>017039</v>
          </cell>
          <cell r="C2120" t="str">
            <v>BS</v>
          </cell>
          <cell r="D2120" t="str">
            <v>BS</v>
          </cell>
          <cell r="E2120" t="str">
            <v>25013</v>
          </cell>
        </row>
        <row r="2121">
          <cell r="A2121" t="str">
            <v>CASTEGNATO</v>
          </cell>
          <cell r="B2121" t="str">
            <v>017040</v>
          </cell>
          <cell r="C2121" t="str">
            <v>BS</v>
          </cell>
          <cell r="D2121" t="str">
            <v>BS</v>
          </cell>
          <cell r="E2121" t="str">
            <v>25045</v>
          </cell>
        </row>
        <row r="2122">
          <cell r="A2122" t="str">
            <v>CASTELCOVATI</v>
          </cell>
          <cell r="B2122" t="str">
            <v>017041</v>
          </cell>
          <cell r="C2122" t="str">
            <v>BS</v>
          </cell>
          <cell r="D2122" t="str">
            <v>BS</v>
          </cell>
          <cell r="E2122" t="str">
            <v>25030</v>
          </cell>
        </row>
        <row r="2123">
          <cell r="A2123" t="str">
            <v>CASTEL MELLA</v>
          </cell>
          <cell r="B2123" t="str">
            <v>017042</v>
          </cell>
          <cell r="C2123" t="str">
            <v>BS</v>
          </cell>
          <cell r="D2123" t="str">
            <v>BS</v>
          </cell>
          <cell r="E2123" t="str">
            <v>25030</v>
          </cell>
        </row>
        <row r="2124">
          <cell r="A2124" t="str">
            <v>CASTENEDOLO</v>
          </cell>
          <cell r="B2124" t="str">
            <v>017043</v>
          </cell>
          <cell r="C2124" t="str">
            <v>BS</v>
          </cell>
          <cell r="D2124" t="str">
            <v>BS</v>
          </cell>
          <cell r="E2124" t="str">
            <v>25014</v>
          </cell>
        </row>
        <row r="2125">
          <cell r="A2125" t="str">
            <v>CASTO</v>
          </cell>
          <cell r="B2125" t="str">
            <v>017044</v>
          </cell>
          <cell r="C2125" t="str">
            <v>BS</v>
          </cell>
          <cell r="D2125" t="str">
            <v>BS</v>
          </cell>
          <cell r="E2125" t="str">
            <v>25070</v>
          </cell>
        </row>
        <row r="2126">
          <cell r="A2126" t="str">
            <v>CASTREZZATO</v>
          </cell>
          <cell r="B2126" t="str">
            <v>017045</v>
          </cell>
          <cell r="C2126" t="str">
            <v>BS</v>
          </cell>
          <cell r="D2126" t="str">
            <v>BS</v>
          </cell>
          <cell r="E2126" t="str">
            <v>25030</v>
          </cell>
        </row>
        <row r="2127">
          <cell r="A2127" t="str">
            <v>CAZZAGO SAN MARTINO</v>
          </cell>
          <cell r="B2127" t="str">
            <v>017046</v>
          </cell>
          <cell r="C2127" t="str">
            <v>BS</v>
          </cell>
          <cell r="D2127" t="str">
            <v>BS</v>
          </cell>
          <cell r="E2127" t="str">
            <v>25046</v>
          </cell>
        </row>
        <row r="2128">
          <cell r="A2128" t="str">
            <v>CEDEGOLO</v>
          </cell>
          <cell r="B2128" t="str">
            <v>017047</v>
          </cell>
          <cell r="C2128" t="str">
            <v>BS</v>
          </cell>
          <cell r="D2128" t="str">
            <v>BS</v>
          </cell>
          <cell r="E2128" t="str">
            <v>25051</v>
          </cell>
        </row>
        <row r="2129">
          <cell r="A2129" t="str">
            <v>CELLATICA</v>
          </cell>
          <cell r="B2129" t="str">
            <v>017048</v>
          </cell>
          <cell r="C2129" t="str">
            <v>BS</v>
          </cell>
          <cell r="D2129" t="str">
            <v>BS</v>
          </cell>
          <cell r="E2129" t="str">
            <v>25060</v>
          </cell>
        </row>
        <row r="2130">
          <cell r="A2130" t="str">
            <v>CERVENO</v>
          </cell>
          <cell r="B2130" t="str">
            <v>017049</v>
          </cell>
          <cell r="C2130" t="str">
            <v>BS</v>
          </cell>
          <cell r="D2130" t="str">
            <v>BS</v>
          </cell>
          <cell r="E2130" t="str">
            <v>25040</v>
          </cell>
        </row>
        <row r="2131">
          <cell r="A2131" t="str">
            <v>CETO</v>
          </cell>
          <cell r="B2131" t="str">
            <v>017050</v>
          </cell>
          <cell r="C2131" t="str">
            <v>BS</v>
          </cell>
          <cell r="D2131" t="str">
            <v>BS</v>
          </cell>
          <cell r="E2131" t="str">
            <v>25040</v>
          </cell>
        </row>
        <row r="2132">
          <cell r="A2132" t="str">
            <v>CEVO</v>
          </cell>
          <cell r="B2132" t="str">
            <v>017051</v>
          </cell>
          <cell r="C2132" t="str">
            <v>BS</v>
          </cell>
          <cell r="D2132" t="str">
            <v>BS</v>
          </cell>
          <cell r="E2132" t="str">
            <v>25040</v>
          </cell>
        </row>
        <row r="2133">
          <cell r="A2133" t="str">
            <v>CHIARI</v>
          </cell>
          <cell r="B2133" t="str">
            <v>017052</v>
          </cell>
          <cell r="C2133" t="str">
            <v>BS</v>
          </cell>
          <cell r="D2133" t="str">
            <v>BS</v>
          </cell>
          <cell r="E2133" t="str">
            <v>25032</v>
          </cell>
        </row>
        <row r="2134">
          <cell r="A2134" t="str">
            <v>CIGOLE</v>
          </cell>
          <cell r="B2134" t="str">
            <v>017053</v>
          </cell>
          <cell r="C2134" t="str">
            <v>BS</v>
          </cell>
          <cell r="D2134" t="str">
            <v>BS</v>
          </cell>
          <cell r="E2134" t="str">
            <v>25020</v>
          </cell>
        </row>
        <row r="2135">
          <cell r="A2135" t="str">
            <v>CIMBERGO</v>
          </cell>
          <cell r="B2135" t="str">
            <v>017054</v>
          </cell>
          <cell r="C2135" t="str">
            <v>BS</v>
          </cell>
          <cell r="D2135" t="str">
            <v>BS</v>
          </cell>
          <cell r="E2135" t="str">
            <v>25050</v>
          </cell>
        </row>
        <row r="2136">
          <cell r="A2136" t="str">
            <v>CIVIDATE CAMUNO</v>
          </cell>
          <cell r="B2136" t="str">
            <v>017055</v>
          </cell>
          <cell r="C2136" t="str">
            <v>BS</v>
          </cell>
          <cell r="D2136" t="str">
            <v>BS</v>
          </cell>
          <cell r="E2136" t="str">
            <v>25040</v>
          </cell>
        </row>
        <row r="2137">
          <cell r="A2137" t="str">
            <v>COCCAGLIO</v>
          </cell>
          <cell r="B2137" t="str">
            <v>017056</v>
          </cell>
          <cell r="C2137" t="str">
            <v>BS</v>
          </cell>
          <cell r="D2137" t="str">
            <v>BS</v>
          </cell>
          <cell r="E2137" t="str">
            <v>25030</v>
          </cell>
        </row>
        <row r="2138">
          <cell r="A2138" t="str">
            <v>COLLEBEATO</v>
          </cell>
          <cell r="B2138" t="str">
            <v>017057</v>
          </cell>
          <cell r="C2138" t="str">
            <v>BS</v>
          </cell>
          <cell r="D2138" t="str">
            <v>BS</v>
          </cell>
          <cell r="E2138" t="str">
            <v>25060</v>
          </cell>
        </row>
        <row r="2139">
          <cell r="A2139" t="str">
            <v>COLLIO</v>
          </cell>
          <cell r="B2139" t="str">
            <v>017058</v>
          </cell>
          <cell r="C2139" t="str">
            <v>BS</v>
          </cell>
          <cell r="D2139" t="str">
            <v>BS</v>
          </cell>
          <cell r="E2139" t="str">
            <v>25060</v>
          </cell>
        </row>
        <row r="2140">
          <cell r="A2140" t="str">
            <v>COLOGNE</v>
          </cell>
          <cell r="B2140" t="str">
            <v>017059</v>
          </cell>
          <cell r="C2140" t="str">
            <v>BS</v>
          </cell>
          <cell r="D2140" t="str">
            <v>BS</v>
          </cell>
          <cell r="E2140" t="str">
            <v>25033</v>
          </cell>
        </row>
        <row r="2141">
          <cell r="A2141" t="str">
            <v>COMEZZANO-CIZZAGO</v>
          </cell>
          <cell r="B2141" t="str">
            <v>017060</v>
          </cell>
          <cell r="C2141" t="str">
            <v>BS</v>
          </cell>
          <cell r="D2141" t="str">
            <v>BS</v>
          </cell>
          <cell r="E2141" t="str">
            <v>25030</v>
          </cell>
        </row>
        <row r="2142">
          <cell r="A2142" t="str">
            <v>CONCESIO</v>
          </cell>
          <cell r="B2142" t="str">
            <v>017061</v>
          </cell>
          <cell r="C2142" t="str">
            <v>BS</v>
          </cell>
          <cell r="D2142" t="str">
            <v>BS</v>
          </cell>
          <cell r="E2142" t="str">
            <v>25062</v>
          </cell>
        </row>
        <row r="2143">
          <cell r="A2143" t="str">
            <v>CORTE FRANCA</v>
          </cell>
          <cell r="B2143" t="str">
            <v>017062</v>
          </cell>
          <cell r="C2143" t="str">
            <v>BS</v>
          </cell>
          <cell r="D2143" t="str">
            <v>BS</v>
          </cell>
          <cell r="E2143" t="str">
            <v>25040</v>
          </cell>
        </row>
        <row r="2144">
          <cell r="A2144" t="str">
            <v>CORTENO GOLGI</v>
          </cell>
          <cell r="B2144" t="str">
            <v>017063</v>
          </cell>
          <cell r="C2144" t="str">
            <v>BS</v>
          </cell>
          <cell r="D2144" t="str">
            <v>BS</v>
          </cell>
          <cell r="E2144" t="str">
            <v>25040</v>
          </cell>
        </row>
        <row r="2145">
          <cell r="A2145" t="str">
            <v>CORZANO</v>
          </cell>
          <cell r="B2145" t="str">
            <v>017064</v>
          </cell>
          <cell r="C2145" t="str">
            <v>BS</v>
          </cell>
          <cell r="D2145" t="str">
            <v>BS</v>
          </cell>
          <cell r="E2145" t="str">
            <v>25030</v>
          </cell>
        </row>
        <row r="2146">
          <cell r="A2146" t="str">
            <v>DARFO BOARIO TERME</v>
          </cell>
          <cell r="B2146" t="str">
            <v>017065</v>
          </cell>
          <cell r="C2146" t="str">
            <v>BS</v>
          </cell>
          <cell r="D2146" t="str">
            <v>BS</v>
          </cell>
          <cell r="E2146" t="str">
            <v>25047</v>
          </cell>
        </row>
        <row r="2147">
          <cell r="A2147" t="str">
            <v>DELLO</v>
          </cell>
          <cell r="B2147" t="str">
            <v>017066</v>
          </cell>
          <cell r="C2147" t="str">
            <v>BS</v>
          </cell>
          <cell r="D2147" t="str">
            <v>BS</v>
          </cell>
          <cell r="E2147" t="str">
            <v>25020</v>
          </cell>
        </row>
        <row r="2148">
          <cell r="A2148" t="str">
            <v>DESENZANO DEL GARDA</v>
          </cell>
          <cell r="B2148" t="str">
            <v>017067</v>
          </cell>
          <cell r="C2148" t="str">
            <v>BS</v>
          </cell>
          <cell r="D2148" t="str">
            <v>BS</v>
          </cell>
          <cell r="E2148" t="str">
            <v>25015</v>
          </cell>
        </row>
        <row r="2149">
          <cell r="A2149" t="str">
            <v>EDOLO</v>
          </cell>
          <cell r="B2149" t="str">
            <v>017068</v>
          </cell>
          <cell r="C2149" t="str">
            <v>BS</v>
          </cell>
          <cell r="D2149" t="str">
            <v>BS</v>
          </cell>
          <cell r="E2149" t="str">
            <v>25048</v>
          </cell>
        </row>
        <row r="2150">
          <cell r="A2150" t="str">
            <v>ERBUSCO</v>
          </cell>
          <cell r="B2150" t="str">
            <v>017069</v>
          </cell>
          <cell r="C2150" t="str">
            <v>BS</v>
          </cell>
          <cell r="D2150" t="str">
            <v>BS</v>
          </cell>
          <cell r="E2150" t="str">
            <v>25030</v>
          </cell>
        </row>
        <row r="2151">
          <cell r="A2151" t="str">
            <v>ESINE</v>
          </cell>
          <cell r="B2151" t="str">
            <v>017070</v>
          </cell>
          <cell r="C2151" t="str">
            <v>BS</v>
          </cell>
          <cell r="D2151" t="str">
            <v>BS</v>
          </cell>
          <cell r="E2151" t="str">
            <v>25040</v>
          </cell>
        </row>
        <row r="2152">
          <cell r="A2152" t="str">
            <v>FIESSE</v>
          </cell>
          <cell r="B2152" t="str">
            <v>017071</v>
          </cell>
          <cell r="C2152" t="str">
            <v>BS</v>
          </cell>
          <cell r="D2152" t="str">
            <v>BS</v>
          </cell>
          <cell r="E2152" t="str">
            <v>25020</v>
          </cell>
        </row>
        <row r="2153">
          <cell r="A2153" t="str">
            <v>FLERO</v>
          </cell>
          <cell r="B2153" t="str">
            <v>017072</v>
          </cell>
          <cell r="C2153" t="str">
            <v>BS</v>
          </cell>
          <cell r="D2153" t="str">
            <v>BS</v>
          </cell>
          <cell r="E2153" t="str">
            <v>25020</v>
          </cell>
        </row>
        <row r="2154">
          <cell r="A2154" t="str">
            <v>GAMBARA</v>
          </cell>
          <cell r="B2154" t="str">
            <v>017073</v>
          </cell>
          <cell r="C2154" t="str">
            <v>BS</v>
          </cell>
          <cell r="D2154" t="str">
            <v>BS</v>
          </cell>
          <cell r="E2154" t="str">
            <v>25020</v>
          </cell>
        </row>
        <row r="2155">
          <cell r="A2155" t="str">
            <v>GARDONE RIVIERA</v>
          </cell>
          <cell r="B2155" t="str">
            <v>017074</v>
          </cell>
          <cell r="C2155" t="str">
            <v>BS</v>
          </cell>
          <cell r="D2155" t="str">
            <v>BS</v>
          </cell>
          <cell r="E2155" t="str">
            <v>25083</v>
          </cell>
        </row>
        <row r="2156">
          <cell r="A2156" t="str">
            <v>GARDONE VAL TROMPIA</v>
          </cell>
          <cell r="B2156" t="str">
            <v>017075</v>
          </cell>
          <cell r="C2156" t="str">
            <v>BS</v>
          </cell>
          <cell r="D2156" t="str">
            <v>BS</v>
          </cell>
          <cell r="E2156" t="str">
            <v>25063</v>
          </cell>
        </row>
        <row r="2157">
          <cell r="A2157" t="str">
            <v>GARGNANO</v>
          </cell>
          <cell r="B2157" t="str">
            <v>017076</v>
          </cell>
          <cell r="C2157" t="str">
            <v>BS</v>
          </cell>
          <cell r="D2157" t="str">
            <v>BS</v>
          </cell>
          <cell r="E2157" t="str">
            <v>25084</v>
          </cell>
        </row>
        <row r="2158">
          <cell r="A2158" t="str">
            <v>GAVARDO</v>
          </cell>
          <cell r="B2158" t="str">
            <v>017077</v>
          </cell>
          <cell r="C2158" t="str">
            <v>BS</v>
          </cell>
          <cell r="D2158" t="str">
            <v>BS</v>
          </cell>
          <cell r="E2158" t="str">
            <v>25085</v>
          </cell>
        </row>
        <row r="2159">
          <cell r="A2159" t="str">
            <v>GHEDI</v>
          </cell>
          <cell r="B2159" t="str">
            <v>017078</v>
          </cell>
          <cell r="C2159" t="str">
            <v>BS</v>
          </cell>
          <cell r="D2159" t="str">
            <v>BS</v>
          </cell>
          <cell r="E2159" t="str">
            <v>25016</v>
          </cell>
        </row>
        <row r="2160">
          <cell r="A2160" t="str">
            <v>GIANICO</v>
          </cell>
          <cell r="B2160" t="str">
            <v>017079</v>
          </cell>
          <cell r="C2160" t="str">
            <v>BS</v>
          </cell>
          <cell r="D2160" t="str">
            <v>BS</v>
          </cell>
          <cell r="E2160" t="str">
            <v>25040</v>
          </cell>
        </row>
        <row r="2161">
          <cell r="A2161" t="str">
            <v>GOTTOLENGO</v>
          </cell>
          <cell r="B2161" t="str">
            <v>017080</v>
          </cell>
          <cell r="C2161" t="str">
            <v>BS</v>
          </cell>
          <cell r="D2161" t="str">
            <v>BS</v>
          </cell>
          <cell r="E2161" t="str">
            <v>25023</v>
          </cell>
        </row>
        <row r="2162">
          <cell r="A2162" t="str">
            <v>GUSSAGO</v>
          </cell>
          <cell r="B2162" t="str">
            <v>017081</v>
          </cell>
          <cell r="C2162" t="str">
            <v>BS</v>
          </cell>
          <cell r="D2162" t="str">
            <v>BS</v>
          </cell>
          <cell r="E2162" t="str">
            <v>25064</v>
          </cell>
        </row>
        <row r="2163">
          <cell r="A2163" t="str">
            <v>IDRO</v>
          </cell>
          <cell r="B2163" t="str">
            <v>017082</v>
          </cell>
          <cell r="C2163" t="str">
            <v>BS</v>
          </cell>
          <cell r="D2163" t="str">
            <v>BS</v>
          </cell>
          <cell r="E2163" t="str">
            <v>25074</v>
          </cell>
        </row>
        <row r="2164">
          <cell r="A2164" t="str">
            <v>INCUDINE</v>
          </cell>
          <cell r="B2164" t="str">
            <v>017083</v>
          </cell>
          <cell r="C2164" t="str">
            <v>BS</v>
          </cell>
          <cell r="D2164" t="str">
            <v>BS</v>
          </cell>
          <cell r="E2164" t="str">
            <v>25040</v>
          </cell>
        </row>
        <row r="2165">
          <cell r="A2165" t="str">
            <v>IRMA</v>
          </cell>
          <cell r="B2165" t="str">
            <v>017084</v>
          </cell>
          <cell r="C2165" t="str">
            <v>BS</v>
          </cell>
          <cell r="D2165" t="str">
            <v>BS</v>
          </cell>
          <cell r="E2165" t="str">
            <v>25061</v>
          </cell>
        </row>
        <row r="2166">
          <cell r="A2166" t="str">
            <v>ISEO</v>
          </cell>
          <cell r="B2166" t="str">
            <v>017085</v>
          </cell>
          <cell r="C2166" t="str">
            <v>BS</v>
          </cell>
          <cell r="D2166" t="str">
            <v>BS</v>
          </cell>
          <cell r="E2166" t="str">
            <v>25049</v>
          </cell>
        </row>
        <row r="2167">
          <cell r="A2167" t="str">
            <v>ISORELLA</v>
          </cell>
          <cell r="B2167" t="str">
            <v>017086</v>
          </cell>
          <cell r="C2167" t="str">
            <v>BS</v>
          </cell>
          <cell r="D2167" t="str">
            <v>BS</v>
          </cell>
          <cell r="E2167" t="str">
            <v>25010</v>
          </cell>
        </row>
        <row r="2168">
          <cell r="A2168" t="str">
            <v>LAVENONE</v>
          </cell>
          <cell r="B2168" t="str">
            <v>017087</v>
          </cell>
          <cell r="C2168" t="str">
            <v>BS</v>
          </cell>
          <cell r="D2168" t="str">
            <v>BS</v>
          </cell>
          <cell r="E2168" t="str">
            <v>25074</v>
          </cell>
        </row>
        <row r="2169">
          <cell r="A2169" t="str">
            <v>LENO</v>
          </cell>
          <cell r="B2169" t="str">
            <v>017088</v>
          </cell>
          <cell r="C2169" t="str">
            <v>BS</v>
          </cell>
          <cell r="D2169" t="str">
            <v>BS</v>
          </cell>
          <cell r="E2169" t="str">
            <v>25024</v>
          </cell>
        </row>
        <row r="2170">
          <cell r="A2170" t="str">
            <v>LIMONE SUL GARDA</v>
          </cell>
          <cell r="B2170" t="str">
            <v>017089</v>
          </cell>
          <cell r="C2170" t="str">
            <v>BS</v>
          </cell>
          <cell r="D2170" t="str">
            <v>BS</v>
          </cell>
          <cell r="E2170" t="str">
            <v>25010</v>
          </cell>
        </row>
        <row r="2171">
          <cell r="A2171" t="str">
            <v>LODRINO</v>
          </cell>
          <cell r="B2171" t="str">
            <v>017090</v>
          </cell>
          <cell r="C2171" t="str">
            <v>BS</v>
          </cell>
          <cell r="D2171" t="str">
            <v>BS</v>
          </cell>
          <cell r="E2171" t="str">
            <v>25060</v>
          </cell>
        </row>
        <row r="2172">
          <cell r="A2172" t="str">
            <v>LOGRATO</v>
          </cell>
          <cell r="B2172" t="str">
            <v>017091</v>
          </cell>
          <cell r="C2172" t="str">
            <v>BS</v>
          </cell>
          <cell r="D2172" t="str">
            <v>BS</v>
          </cell>
          <cell r="E2172" t="str">
            <v>25030</v>
          </cell>
        </row>
        <row r="2173">
          <cell r="A2173" t="str">
            <v>LONATO DEL GARDA</v>
          </cell>
          <cell r="B2173" t="str">
            <v>017092</v>
          </cell>
          <cell r="C2173" t="str">
            <v>BS</v>
          </cell>
          <cell r="D2173" t="str">
            <v>BS</v>
          </cell>
          <cell r="E2173" t="str">
            <v>25017</v>
          </cell>
        </row>
        <row r="2174">
          <cell r="A2174" t="str">
            <v>LONGHENA</v>
          </cell>
          <cell r="B2174" t="str">
            <v>017093</v>
          </cell>
          <cell r="C2174" t="str">
            <v>BS</v>
          </cell>
          <cell r="D2174" t="str">
            <v>BS</v>
          </cell>
          <cell r="E2174" t="str">
            <v>25030</v>
          </cell>
        </row>
        <row r="2175">
          <cell r="A2175" t="str">
            <v>LOSINE</v>
          </cell>
          <cell r="B2175" t="str">
            <v>017094</v>
          </cell>
          <cell r="C2175" t="str">
            <v>BS</v>
          </cell>
          <cell r="D2175" t="str">
            <v>BS</v>
          </cell>
          <cell r="E2175" t="str">
            <v>25050</v>
          </cell>
        </row>
        <row r="2176">
          <cell r="A2176" t="str">
            <v>LOZIO</v>
          </cell>
          <cell r="B2176" t="str">
            <v>017095</v>
          </cell>
          <cell r="C2176" t="str">
            <v>BS</v>
          </cell>
          <cell r="D2176" t="str">
            <v>BS</v>
          </cell>
          <cell r="E2176" t="str">
            <v>25040</v>
          </cell>
        </row>
        <row r="2177">
          <cell r="A2177" t="str">
            <v>LUMEZZANE</v>
          </cell>
          <cell r="B2177" t="str">
            <v>017096</v>
          </cell>
          <cell r="C2177" t="str">
            <v>BS</v>
          </cell>
          <cell r="D2177" t="str">
            <v>BS</v>
          </cell>
          <cell r="E2177" t="str">
            <v>25065</v>
          </cell>
        </row>
        <row r="2178">
          <cell r="A2178" t="str">
            <v>MACLODIO</v>
          </cell>
          <cell r="B2178" t="str">
            <v>017097</v>
          </cell>
          <cell r="C2178" t="str">
            <v>BS</v>
          </cell>
          <cell r="D2178" t="str">
            <v>BS</v>
          </cell>
          <cell r="E2178" t="str">
            <v>25030</v>
          </cell>
        </row>
        <row r="2179">
          <cell r="A2179" t="str">
            <v>MAGASA</v>
          </cell>
          <cell r="B2179" t="str">
            <v>017098</v>
          </cell>
          <cell r="C2179" t="str">
            <v>BS</v>
          </cell>
          <cell r="D2179" t="str">
            <v>BS</v>
          </cell>
          <cell r="E2179" t="str">
            <v>25080</v>
          </cell>
        </row>
        <row r="2180">
          <cell r="A2180" t="str">
            <v>MAIRANO</v>
          </cell>
          <cell r="B2180" t="str">
            <v>017099</v>
          </cell>
          <cell r="C2180" t="str">
            <v>BS</v>
          </cell>
          <cell r="D2180" t="str">
            <v>BS</v>
          </cell>
          <cell r="E2180" t="str">
            <v>25030</v>
          </cell>
        </row>
        <row r="2181">
          <cell r="A2181" t="str">
            <v>MALEGNO</v>
          </cell>
          <cell r="B2181" t="str">
            <v>017100</v>
          </cell>
          <cell r="C2181" t="str">
            <v>BS</v>
          </cell>
          <cell r="D2181" t="str">
            <v>BS</v>
          </cell>
          <cell r="E2181" t="str">
            <v>25053</v>
          </cell>
        </row>
        <row r="2182">
          <cell r="A2182" t="str">
            <v>MALONNO</v>
          </cell>
          <cell r="B2182" t="str">
            <v>017101</v>
          </cell>
          <cell r="C2182" t="str">
            <v>BS</v>
          </cell>
          <cell r="D2182" t="str">
            <v>BS</v>
          </cell>
          <cell r="E2182" t="str">
            <v>25040</v>
          </cell>
        </row>
        <row r="2183">
          <cell r="A2183" t="str">
            <v>MANERBA DEL GARDA</v>
          </cell>
          <cell r="B2183" t="str">
            <v>017102</v>
          </cell>
          <cell r="C2183" t="str">
            <v>BS</v>
          </cell>
          <cell r="D2183" t="str">
            <v>BS</v>
          </cell>
          <cell r="E2183" t="str">
            <v>25080</v>
          </cell>
        </row>
        <row r="2184">
          <cell r="A2184" t="str">
            <v>MANERBIO</v>
          </cell>
          <cell r="B2184" t="str">
            <v>017103</v>
          </cell>
          <cell r="C2184" t="str">
            <v>BS</v>
          </cell>
          <cell r="D2184" t="str">
            <v>BS</v>
          </cell>
          <cell r="E2184" t="str">
            <v>25025</v>
          </cell>
        </row>
        <row r="2185">
          <cell r="A2185" t="str">
            <v>MARCHENO</v>
          </cell>
          <cell r="B2185" t="str">
            <v>017104</v>
          </cell>
          <cell r="C2185" t="str">
            <v>BS</v>
          </cell>
          <cell r="D2185" t="str">
            <v>BS</v>
          </cell>
          <cell r="E2185" t="str">
            <v>25060</v>
          </cell>
        </row>
        <row r="2186">
          <cell r="A2186" t="str">
            <v>MARMENTINO</v>
          </cell>
          <cell r="B2186" t="str">
            <v>017105</v>
          </cell>
          <cell r="C2186" t="str">
            <v>BS</v>
          </cell>
          <cell r="D2186" t="str">
            <v>BS</v>
          </cell>
          <cell r="E2186" t="str">
            <v>25060</v>
          </cell>
        </row>
        <row r="2187">
          <cell r="A2187" t="str">
            <v>MARONE</v>
          </cell>
          <cell r="B2187" t="str">
            <v>017106</v>
          </cell>
          <cell r="C2187" t="str">
            <v>BS</v>
          </cell>
          <cell r="D2187" t="str">
            <v>BS</v>
          </cell>
          <cell r="E2187" t="str">
            <v>25054</v>
          </cell>
        </row>
        <row r="2188">
          <cell r="A2188" t="str">
            <v>MAZZANO</v>
          </cell>
          <cell r="B2188" t="str">
            <v>017107</v>
          </cell>
          <cell r="C2188" t="str">
            <v>BS</v>
          </cell>
          <cell r="D2188" t="str">
            <v>BS</v>
          </cell>
          <cell r="E2188" t="str">
            <v>25080</v>
          </cell>
        </row>
        <row r="2189">
          <cell r="A2189" t="str">
            <v>MILZANO</v>
          </cell>
          <cell r="B2189" t="str">
            <v>017108</v>
          </cell>
          <cell r="C2189" t="str">
            <v>BS</v>
          </cell>
          <cell r="D2189" t="str">
            <v>BS</v>
          </cell>
          <cell r="E2189" t="str">
            <v>25020</v>
          </cell>
        </row>
        <row r="2190">
          <cell r="A2190" t="str">
            <v>MONIGA DEL GARDA</v>
          </cell>
          <cell r="B2190" t="str">
            <v>017109</v>
          </cell>
          <cell r="C2190" t="str">
            <v>BS</v>
          </cell>
          <cell r="D2190" t="str">
            <v>BS</v>
          </cell>
          <cell r="E2190" t="str">
            <v>25080</v>
          </cell>
        </row>
        <row r="2191">
          <cell r="A2191" t="str">
            <v>MONNO</v>
          </cell>
          <cell r="B2191" t="str">
            <v>017110</v>
          </cell>
          <cell r="C2191" t="str">
            <v>BS</v>
          </cell>
          <cell r="D2191" t="str">
            <v>BS</v>
          </cell>
          <cell r="E2191" t="str">
            <v>25040</v>
          </cell>
        </row>
        <row r="2192">
          <cell r="A2192" t="str">
            <v>MONTE ISOLA</v>
          </cell>
          <cell r="B2192" t="str">
            <v>017111</v>
          </cell>
          <cell r="C2192" t="str">
            <v>BS</v>
          </cell>
          <cell r="D2192" t="str">
            <v>BS</v>
          </cell>
          <cell r="E2192" t="str">
            <v>25050</v>
          </cell>
        </row>
        <row r="2193">
          <cell r="A2193" t="str">
            <v>MONTICELLI BRUSATI</v>
          </cell>
          <cell r="B2193" t="str">
            <v>017112</v>
          </cell>
          <cell r="C2193" t="str">
            <v>BS</v>
          </cell>
          <cell r="D2193" t="str">
            <v>BS</v>
          </cell>
          <cell r="E2193" t="str">
            <v>25040</v>
          </cell>
        </row>
        <row r="2194">
          <cell r="A2194" t="str">
            <v>MONTICHIARI</v>
          </cell>
          <cell r="B2194" t="str">
            <v>017113</v>
          </cell>
          <cell r="C2194" t="str">
            <v>BS</v>
          </cell>
          <cell r="D2194" t="str">
            <v>BS</v>
          </cell>
          <cell r="E2194" t="str">
            <v>25018</v>
          </cell>
        </row>
        <row r="2195">
          <cell r="A2195" t="str">
            <v>MONTIRONE</v>
          </cell>
          <cell r="B2195" t="str">
            <v>017114</v>
          </cell>
          <cell r="C2195" t="str">
            <v>BS</v>
          </cell>
          <cell r="D2195" t="str">
            <v>BS</v>
          </cell>
          <cell r="E2195" t="str">
            <v>25010</v>
          </cell>
        </row>
        <row r="2196">
          <cell r="A2196" t="str">
            <v>MURA</v>
          </cell>
          <cell r="B2196" t="str">
            <v>017115</v>
          </cell>
          <cell r="C2196" t="str">
            <v>BS</v>
          </cell>
          <cell r="D2196" t="str">
            <v>BS</v>
          </cell>
          <cell r="E2196" t="str">
            <v>25070</v>
          </cell>
        </row>
        <row r="2197">
          <cell r="A2197" t="str">
            <v>MUSCOLINE</v>
          </cell>
          <cell r="B2197" t="str">
            <v>017116</v>
          </cell>
          <cell r="C2197" t="str">
            <v>BS</v>
          </cell>
          <cell r="D2197" t="str">
            <v>BS</v>
          </cell>
          <cell r="E2197" t="str">
            <v>25080</v>
          </cell>
        </row>
        <row r="2198">
          <cell r="A2198" t="str">
            <v>NAVE</v>
          </cell>
          <cell r="B2198" t="str">
            <v>017117</v>
          </cell>
          <cell r="C2198" t="str">
            <v>BS</v>
          </cell>
          <cell r="D2198" t="str">
            <v>BS</v>
          </cell>
          <cell r="E2198" t="str">
            <v>25075</v>
          </cell>
        </row>
        <row r="2199">
          <cell r="A2199" t="str">
            <v>NIARDO</v>
          </cell>
          <cell r="B2199" t="str">
            <v>017118</v>
          </cell>
          <cell r="C2199" t="str">
            <v>BS</v>
          </cell>
          <cell r="D2199" t="str">
            <v>BS</v>
          </cell>
          <cell r="E2199" t="str">
            <v>25050</v>
          </cell>
        </row>
        <row r="2200">
          <cell r="A2200" t="str">
            <v>NUVOLENTO</v>
          </cell>
          <cell r="B2200" t="str">
            <v>017119</v>
          </cell>
          <cell r="C2200" t="str">
            <v>BS</v>
          </cell>
          <cell r="D2200" t="str">
            <v>BS</v>
          </cell>
          <cell r="E2200" t="str">
            <v>25080</v>
          </cell>
        </row>
        <row r="2201">
          <cell r="A2201" t="str">
            <v>NUVOLERA</v>
          </cell>
          <cell r="B2201" t="str">
            <v>017120</v>
          </cell>
          <cell r="C2201" t="str">
            <v>BS</v>
          </cell>
          <cell r="D2201" t="str">
            <v>BS</v>
          </cell>
          <cell r="E2201" t="str">
            <v>25080</v>
          </cell>
        </row>
        <row r="2202">
          <cell r="A2202" t="str">
            <v>ODOLO</v>
          </cell>
          <cell r="B2202" t="str">
            <v>017121</v>
          </cell>
          <cell r="C2202" t="str">
            <v>BS</v>
          </cell>
          <cell r="D2202" t="str">
            <v>BS</v>
          </cell>
          <cell r="E2202" t="str">
            <v>25076</v>
          </cell>
        </row>
        <row r="2203">
          <cell r="A2203" t="str">
            <v>OFFLAGA</v>
          </cell>
          <cell r="B2203" t="str">
            <v>017122</v>
          </cell>
          <cell r="C2203" t="str">
            <v>BS</v>
          </cell>
          <cell r="D2203" t="str">
            <v>BS</v>
          </cell>
          <cell r="E2203" t="str">
            <v>25020</v>
          </cell>
        </row>
        <row r="2204">
          <cell r="A2204" t="str">
            <v>OME</v>
          </cell>
          <cell r="B2204" t="str">
            <v>017123</v>
          </cell>
          <cell r="C2204" t="str">
            <v>BS</v>
          </cell>
          <cell r="D2204" t="str">
            <v>BS</v>
          </cell>
          <cell r="E2204" t="str">
            <v>25050</v>
          </cell>
        </row>
        <row r="2205">
          <cell r="A2205" t="str">
            <v>ONO SAN PIETRO</v>
          </cell>
          <cell r="B2205" t="str">
            <v>017124</v>
          </cell>
          <cell r="C2205" t="str">
            <v>BS</v>
          </cell>
          <cell r="D2205" t="str">
            <v>BS</v>
          </cell>
          <cell r="E2205" t="str">
            <v>25040</v>
          </cell>
        </row>
        <row r="2206">
          <cell r="A2206" t="str">
            <v>ORZINUOVI</v>
          </cell>
          <cell r="B2206" t="str">
            <v>017125</v>
          </cell>
          <cell r="C2206" t="str">
            <v>BS</v>
          </cell>
          <cell r="D2206" t="str">
            <v>BS</v>
          </cell>
          <cell r="E2206" t="str">
            <v>25034</v>
          </cell>
        </row>
        <row r="2207">
          <cell r="A2207" t="str">
            <v>ORZIVECCHI</v>
          </cell>
          <cell r="B2207" t="str">
            <v>017126</v>
          </cell>
          <cell r="C2207" t="str">
            <v>BS</v>
          </cell>
          <cell r="D2207" t="str">
            <v>BS</v>
          </cell>
          <cell r="E2207" t="str">
            <v>25030</v>
          </cell>
        </row>
        <row r="2208">
          <cell r="A2208" t="str">
            <v>OSPITALETTO</v>
          </cell>
          <cell r="B2208" t="str">
            <v>017127</v>
          </cell>
          <cell r="C2208" t="str">
            <v>BS</v>
          </cell>
          <cell r="D2208" t="str">
            <v>BS</v>
          </cell>
          <cell r="E2208" t="str">
            <v>25035</v>
          </cell>
        </row>
        <row r="2209">
          <cell r="A2209" t="str">
            <v>OSSIMO</v>
          </cell>
          <cell r="B2209" t="str">
            <v>017128</v>
          </cell>
          <cell r="C2209" t="str">
            <v>BS</v>
          </cell>
          <cell r="D2209" t="str">
            <v>BS</v>
          </cell>
          <cell r="E2209" t="str">
            <v>25050</v>
          </cell>
        </row>
        <row r="2210">
          <cell r="A2210" t="str">
            <v>PADENGHE SUL GARDA</v>
          </cell>
          <cell r="B2210" t="str">
            <v>017129</v>
          </cell>
          <cell r="C2210" t="str">
            <v>BS</v>
          </cell>
          <cell r="D2210" t="str">
            <v>BS</v>
          </cell>
          <cell r="E2210" t="str">
            <v>25080</v>
          </cell>
        </row>
        <row r="2211">
          <cell r="A2211" t="str">
            <v>PADERNO FRANCIACORTA</v>
          </cell>
          <cell r="B2211" t="str">
            <v>017130</v>
          </cell>
          <cell r="C2211" t="str">
            <v>BS</v>
          </cell>
          <cell r="D2211" t="str">
            <v>BS</v>
          </cell>
          <cell r="E2211" t="str">
            <v>25050</v>
          </cell>
        </row>
        <row r="2212">
          <cell r="A2212" t="str">
            <v>PAISCO LOVENO</v>
          </cell>
          <cell r="B2212" t="str">
            <v>017131</v>
          </cell>
          <cell r="C2212" t="str">
            <v>BS</v>
          </cell>
          <cell r="D2212" t="str">
            <v>BS</v>
          </cell>
          <cell r="E2212" t="str">
            <v>25050</v>
          </cell>
        </row>
        <row r="2213">
          <cell r="A2213" t="str">
            <v>PAITONE</v>
          </cell>
          <cell r="B2213" t="str">
            <v>017132</v>
          </cell>
          <cell r="C2213" t="str">
            <v>BS</v>
          </cell>
          <cell r="D2213" t="str">
            <v>BS</v>
          </cell>
          <cell r="E2213" t="str">
            <v>25080</v>
          </cell>
        </row>
        <row r="2214">
          <cell r="A2214" t="str">
            <v>PALAZZOLO SULL'OGLIO</v>
          </cell>
          <cell r="B2214" t="str">
            <v>017133</v>
          </cell>
          <cell r="C2214" t="str">
            <v>BS</v>
          </cell>
          <cell r="D2214" t="str">
            <v>BS</v>
          </cell>
          <cell r="E2214" t="str">
            <v>25036</v>
          </cell>
        </row>
        <row r="2215">
          <cell r="A2215" t="str">
            <v>PARATICO</v>
          </cell>
          <cell r="B2215" t="str">
            <v>017134</v>
          </cell>
          <cell r="C2215" t="str">
            <v>BS</v>
          </cell>
          <cell r="D2215" t="str">
            <v>BS</v>
          </cell>
          <cell r="E2215" t="str">
            <v>25030</v>
          </cell>
        </row>
        <row r="2216">
          <cell r="A2216" t="str">
            <v>PASPARDO</v>
          </cell>
          <cell r="B2216" t="str">
            <v>017135</v>
          </cell>
          <cell r="C2216" t="str">
            <v>BS</v>
          </cell>
          <cell r="D2216" t="str">
            <v>BS</v>
          </cell>
          <cell r="E2216" t="str">
            <v>25050</v>
          </cell>
        </row>
        <row r="2217">
          <cell r="A2217" t="str">
            <v>PASSIRANO</v>
          </cell>
          <cell r="B2217" t="str">
            <v>017136</v>
          </cell>
          <cell r="C2217" t="str">
            <v>BS</v>
          </cell>
          <cell r="D2217" t="str">
            <v>BS</v>
          </cell>
          <cell r="E2217" t="str">
            <v>25050</v>
          </cell>
        </row>
        <row r="2218">
          <cell r="A2218" t="str">
            <v>PAVONE DEL MELLA</v>
          </cell>
          <cell r="B2218" t="str">
            <v>017137</v>
          </cell>
          <cell r="C2218" t="str">
            <v>BS</v>
          </cell>
          <cell r="D2218" t="str">
            <v>BS</v>
          </cell>
          <cell r="E2218" t="str">
            <v>25020</v>
          </cell>
        </row>
        <row r="2219">
          <cell r="A2219" t="str">
            <v>SAN PAOLO</v>
          </cell>
          <cell r="B2219" t="str">
            <v>017138</v>
          </cell>
          <cell r="C2219" t="str">
            <v>BS</v>
          </cell>
          <cell r="D2219" t="str">
            <v>BS</v>
          </cell>
          <cell r="E2219" t="str">
            <v>25020</v>
          </cell>
        </row>
        <row r="2220">
          <cell r="A2220" t="str">
            <v>PERTICA ALTA</v>
          </cell>
          <cell r="B2220" t="str">
            <v>017139</v>
          </cell>
          <cell r="C2220" t="str">
            <v>BS</v>
          </cell>
          <cell r="D2220" t="str">
            <v>BS</v>
          </cell>
          <cell r="E2220" t="str">
            <v>25070</v>
          </cell>
        </row>
        <row r="2221">
          <cell r="A2221" t="str">
            <v>PERTICA BASSA</v>
          </cell>
          <cell r="B2221" t="str">
            <v>017140</v>
          </cell>
          <cell r="C2221" t="str">
            <v>BS</v>
          </cell>
          <cell r="D2221" t="str">
            <v>BS</v>
          </cell>
          <cell r="E2221" t="str">
            <v>25078</v>
          </cell>
        </row>
        <row r="2222">
          <cell r="A2222" t="str">
            <v>PEZZAZE</v>
          </cell>
          <cell r="B2222" t="str">
            <v>017141</v>
          </cell>
          <cell r="C2222" t="str">
            <v>BS</v>
          </cell>
          <cell r="D2222" t="str">
            <v>BS</v>
          </cell>
          <cell r="E2222" t="str">
            <v>25060</v>
          </cell>
        </row>
        <row r="2223">
          <cell r="A2223" t="str">
            <v>PIAN CAMUNO</v>
          </cell>
          <cell r="B2223" t="str">
            <v>017142</v>
          </cell>
          <cell r="C2223" t="str">
            <v>BS</v>
          </cell>
          <cell r="D2223" t="str">
            <v>BS</v>
          </cell>
          <cell r="E2223" t="str">
            <v>25050</v>
          </cell>
        </row>
        <row r="2224">
          <cell r="A2224" t="str">
            <v>PISOGNE</v>
          </cell>
          <cell r="B2224" t="str">
            <v>017143</v>
          </cell>
          <cell r="C2224" t="str">
            <v>BS</v>
          </cell>
          <cell r="D2224" t="str">
            <v>BS</v>
          </cell>
          <cell r="E2224" t="str">
            <v>25055</v>
          </cell>
        </row>
        <row r="2225">
          <cell r="A2225" t="str">
            <v>POLAVENO</v>
          </cell>
          <cell r="B2225" t="str">
            <v>017144</v>
          </cell>
          <cell r="C2225" t="str">
            <v>BS</v>
          </cell>
          <cell r="D2225" t="str">
            <v>BS</v>
          </cell>
          <cell r="E2225" t="str">
            <v>25060</v>
          </cell>
        </row>
        <row r="2226">
          <cell r="A2226" t="str">
            <v>POLPENAZZE DEL GARDA</v>
          </cell>
          <cell r="B2226" t="str">
            <v>017145</v>
          </cell>
          <cell r="C2226" t="str">
            <v>BS</v>
          </cell>
          <cell r="D2226" t="str">
            <v>BS</v>
          </cell>
          <cell r="E2226" t="str">
            <v>25080</v>
          </cell>
        </row>
        <row r="2227">
          <cell r="A2227" t="str">
            <v>POMPIANO</v>
          </cell>
          <cell r="B2227" t="str">
            <v>017146</v>
          </cell>
          <cell r="C2227" t="str">
            <v>BS</v>
          </cell>
          <cell r="D2227" t="str">
            <v>BS</v>
          </cell>
          <cell r="E2227" t="str">
            <v>25030</v>
          </cell>
        </row>
        <row r="2228">
          <cell r="A2228" t="str">
            <v>PONCARALE</v>
          </cell>
          <cell r="B2228" t="str">
            <v>017147</v>
          </cell>
          <cell r="C2228" t="str">
            <v>BS</v>
          </cell>
          <cell r="D2228" t="str">
            <v>BS</v>
          </cell>
          <cell r="E2228" t="str">
            <v>25020</v>
          </cell>
        </row>
        <row r="2229">
          <cell r="A2229" t="str">
            <v>PONTE DI LEGNO</v>
          </cell>
          <cell r="B2229" t="str">
            <v>017148</v>
          </cell>
          <cell r="C2229" t="str">
            <v>BS</v>
          </cell>
          <cell r="D2229" t="str">
            <v>BS</v>
          </cell>
          <cell r="E2229" t="str">
            <v>25056</v>
          </cell>
        </row>
        <row r="2230">
          <cell r="A2230" t="str">
            <v>PONTEVICO</v>
          </cell>
          <cell r="B2230" t="str">
            <v>017149</v>
          </cell>
          <cell r="C2230" t="str">
            <v>BS</v>
          </cell>
          <cell r="D2230" t="str">
            <v>BS</v>
          </cell>
          <cell r="E2230" t="str">
            <v>25026</v>
          </cell>
        </row>
        <row r="2231">
          <cell r="A2231" t="str">
            <v>PONTOGLIO</v>
          </cell>
          <cell r="B2231" t="str">
            <v>017150</v>
          </cell>
          <cell r="C2231" t="str">
            <v>BS</v>
          </cell>
          <cell r="D2231" t="str">
            <v>BS</v>
          </cell>
          <cell r="E2231" t="str">
            <v>25037</v>
          </cell>
        </row>
        <row r="2232">
          <cell r="A2232" t="str">
            <v>POZZOLENGO</v>
          </cell>
          <cell r="B2232" t="str">
            <v>017151</v>
          </cell>
          <cell r="C2232" t="str">
            <v>BS</v>
          </cell>
          <cell r="D2232" t="str">
            <v>BS</v>
          </cell>
          <cell r="E2232" t="str">
            <v>25010</v>
          </cell>
        </row>
        <row r="2233">
          <cell r="A2233" t="str">
            <v>PRALBOINO</v>
          </cell>
          <cell r="B2233" t="str">
            <v>017152</v>
          </cell>
          <cell r="C2233" t="str">
            <v>BS</v>
          </cell>
          <cell r="D2233" t="str">
            <v>BS</v>
          </cell>
          <cell r="E2233" t="str">
            <v>25020</v>
          </cell>
        </row>
        <row r="2234">
          <cell r="A2234" t="str">
            <v>PRESEGLIE</v>
          </cell>
          <cell r="B2234" t="str">
            <v>017153</v>
          </cell>
          <cell r="C2234" t="str">
            <v>BS</v>
          </cell>
          <cell r="D2234" t="str">
            <v>BS</v>
          </cell>
          <cell r="E2234" t="str">
            <v>25070</v>
          </cell>
        </row>
        <row r="2235">
          <cell r="A2235" t="str">
            <v>PREVALLE</v>
          </cell>
          <cell r="B2235" t="str">
            <v>017155</v>
          </cell>
          <cell r="C2235" t="str">
            <v>BS</v>
          </cell>
          <cell r="D2235" t="str">
            <v>BS</v>
          </cell>
          <cell r="E2235" t="str">
            <v>25080</v>
          </cell>
        </row>
        <row r="2236">
          <cell r="A2236" t="str">
            <v>PROVAGLIO D'ISEO</v>
          </cell>
          <cell r="B2236" t="str">
            <v>017156</v>
          </cell>
          <cell r="C2236" t="str">
            <v>BS</v>
          </cell>
          <cell r="D2236" t="str">
            <v>BS</v>
          </cell>
          <cell r="E2236" t="str">
            <v>25050</v>
          </cell>
        </row>
        <row r="2237">
          <cell r="A2237" t="str">
            <v>PROVAGLIO VAL SABBIA</v>
          </cell>
          <cell r="B2237" t="str">
            <v>017157</v>
          </cell>
          <cell r="C2237" t="str">
            <v>BS</v>
          </cell>
          <cell r="D2237" t="str">
            <v>BS</v>
          </cell>
          <cell r="E2237" t="str">
            <v>25070</v>
          </cell>
        </row>
        <row r="2238">
          <cell r="A2238" t="str">
            <v>PUEGNAGO SUL GARDA</v>
          </cell>
          <cell r="B2238" t="str">
            <v>017158</v>
          </cell>
          <cell r="C2238" t="str">
            <v>BS</v>
          </cell>
          <cell r="D2238" t="str">
            <v>BS</v>
          </cell>
          <cell r="E2238" t="str">
            <v>25080</v>
          </cell>
        </row>
        <row r="2239">
          <cell r="A2239" t="str">
            <v>QUINZANO D'OGLIO</v>
          </cell>
          <cell r="B2239" t="str">
            <v>017159</v>
          </cell>
          <cell r="C2239" t="str">
            <v>BS</v>
          </cell>
          <cell r="D2239" t="str">
            <v>BS</v>
          </cell>
          <cell r="E2239" t="str">
            <v>25027</v>
          </cell>
        </row>
        <row r="2240">
          <cell r="A2240" t="str">
            <v>REMEDELLO</v>
          </cell>
          <cell r="B2240" t="str">
            <v>017160</v>
          </cell>
          <cell r="C2240" t="str">
            <v>BS</v>
          </cell>
          <cell r="D2240" t="str">
            <v>BS</v>
          </cell>
          <cell r="E2240" t="str">
            <v>25010</v>
          </cell>
        </row>
        <row r="2241">
          <cell r="A2241" t="str">
            <v>REZZATO</v>
          </cell>
          <cell r="B2241" t="str">
            <v>017161</v>
          </cell>
          <cell r="C2241" t="str">
            <v>BS</v>
          </cell>
          <cell r="D2241" t="str">
            <v>BS</v>
          </cell>
          <cell r="E2241" t="str">
            <v>25086</v>
          </cell>
        </row>
        <row r="2242">
          <cell r="A2242" t="str">
            <v>ROCCAFRANCA</v>
          </cell>
          <cell r="B2242" t="str">
            <v>017162</v>
          </cell>
          <cell r="C2242" t="str">
            <v>BS</v>
          </cell>
          <cell r="D2242" t="str">
            <v>BS</v>
          </cell>
          <cell r="E2242" t="str">
            <v>25030</v>
          </cell>
        </row>
        <row r="2243">
          <cell r="A2243" t="str">
            <v>RODENGO SAIANO</v>
          </cell>
          <cell r="B2243" t="str">
            <v>017163</v>
          </cell>
          <cell r="C2243" t="str">
            <v>BS</v>
          </cell>
          <cell r="D2243" t="str">
            <v>BS</v>
          </cell>
          <cell r="E2243" t="str">
            <v>25050</v>
          </cell>
        </row>
        <row r="2244">
          <cell r="A2244" t="str">
            <v>ROÈ VOLCIANO</v>
          </cell>
          <cell r="B2244" t="str">
            <v>017164</v>
          </cell>
          <cell r="C2244" t="str">
            <v>BS</v>
          </cell>
          <cell r="D2244" t="str">
            <v>BS</v>
          </cell>
          <cell r="E2244" t="str">
            <v>25077</v>
          </cell>
        </row>
        <row r="2245">
          <cell r="A2245" t="str">
            <v>RONCADELLE</v>
          </cell>
          <cell r="B2245" t="str">
            <v>017165</v>
          </cell>
          <cell r="C2245" t="str">
            <v>BS</v>
          </cell>
          <cell r="D2245" t="str">
            <v>BS</v>
          </cell>
          <cell r="E2245" t="str">
            <v>25030</v>
          </cell>
        </row>
        <row r="2246">
          <cell r="A2246" t="str">
            <v>ROVATO</v>
          </cell>
          <cell r="B2246" t="str">
            <v>017166</v>
          </cell>
          <cell r="C2246" t="str">
            <v>BS</v>
          </cell>
          <cell r="D2246" t="str">
            <v>BS</v>
          </cell>
          <cell r="E2246" t="str">
            <v>25038</v>
          </cell>
        </row>
        <row r="2247">
          <cell r="A2247" t="str">
            <v>RUDIANO</v>
          </cell>
          <cell r="B2247" t="str">
            <v>017167</v>
          </cell>
          <cell r="C2247" t="str">
            <v>BS</v>
          </cell>
          <cell r="D2247" t="str">
            <v>BS</v>
          </cell>
          <cell r="E2247" t="str">
            <v>25030</v>
          </cell>
        </row>
        <row r="2248">
          <cell r="A2248" t="str">
            <v>SABBIO CHIESE</v>
          </cell>
          <cell r="B2248" t="str">
            <v>017168</v>
          </cell>
          <cell r="C2248" t="str">
            <v>BS</v>
          </cell>
          <cell r="D2248" t="str">
            <v>BS</v>
          </cell>
          <cell r="E2248" t="str">
            <v>25070</v>
          </cell>
        </row>
        <row r="2249">
          <cell r="A2249" t="str">
            <v>SALE MARASINO</v>
          </cell>
          <cell r="B2249" t="str">
            <v>017169</v>
          </cell>
          <cell r="C2249" t="str">
            <v>BS</v>
          </cell>
          <cell r="D2249" t="str">
            <v>BS</v>
          </cell>
          <cell r="E2249" t="str">
            <v>25057</v>
          </cell>
        </row>
        <row r="2250">
          <cell r="A2250" t="str">
            <v>SALÒ</v>
          </cell>
          <cell r="B2250" t="str">
            <v>017170</v>
          </cell>
          <cell r="C2250" t="str">
            <v>BS</v>
          </cell>
          <cell r="D2250" t="str">
            <v>BS</v>
          </cell>
          <cell r="E2250" t="str">
            <v>25087</v>
          </cell>
        </row>
        <row r="2251">
          <cell r="A2251" t="str">
            <v>SAN FELICE DEL BENACO</v>
          </cell>
          <cell r="B2251" t="str">
            <v>017171</v>
          </cell>
          <cell r="C2251" t="str">
            <v>BS</v>
          </cell>
          <cell r="D2251" t="str">
            <v>BS</v>
          </cell>
          <cell r="E2251" t="str">
            <v>25010</v>
          </cell>
        </row>
        <row r="2252">
          <cell r="A2252" t="str">
            <v>SAN GERVASIO BRESCIANO</v>
          </cell>
          <cell r="B2252" t="str">
            <v>017172</v>
          </cell>
          <cell r="C2252" t="str">
            <v>BS</v>
          </cell>
          <cell r="D2252" t="str">
            <v>BS</v>
          </cell>
          <cell r="E2252" t="str">
            <v>25020</v>
          </cell>
        </row>
        <row r="2253">
          <cell r="A2253" t="str">
            <v>SAN ZENO NAVIGLIO</v>
          </cell>
          <cell r="B2253" t="str">
            <v>017173</v>
          </cell>
          <cell r="C2253" t="str">
            <v>BS</v>
          </cell>
          <cell r="D2253" t="str">
            <v>BS</v>
          </cell>
          <cell r="E2253" t="str">
            <v>25010</v>
          </cell>
        </row>
        <row r="2254">
          <cell r="A2254" t="str">
            <v>SAREZZO</v>
          </cell>
          <cell r="B2254" t="str">
            <v>017174</v>
          </cell>
          <cell r="C2254" t="str">
            <v>BS</v>
          </cell>
          <cell r="D2254" t="str">
            <v>BS</v>
          </cell>
          <cell r="E2254" t="str">
            <v>25068</v>
          </cell>
        </row>
        <row r="2255">
          <cell r="A2255" t="str">
            <v>SAVIORE DELL'ADAMELLO</v>
          </cell>
          <cell r="B2255" t="str">
            <v>017175</v>
          </cell>
          <cell r="C2255" t="str">
            <v>BS</v>
          </cell>
          <cell r="D2255" t="str">
            <v>BS</v>
          </cell>
          <cell r="E2255" t="str">
            <v>25040</v>
          </cell>
        </row>
        <row r="2256">
          <cell r="A2256" t="str">
            <v>SELLERO</v>
          </cell>
          <cell r="B2256" t="str">
            <v>017176</v>
          </cell>
          <cell r="C2256" t="str">
            <v>BS</v>
          </cell>
          <cell r="D2256" t="str">
            <v>BS</v>
          </cell>
          <cell r="E2256" t="str">
            <v>25050</v>
          </cell>
        </row>
        <row r="2257">
          <cell r="A2257" t="str">
            <v>SENIGA</v>
          </cell>
          <cell r="B2257" t="str">
            <v>017177</v>
          </cell>
          <cell r="C2257" t="str">
            <v>BS</v>
          </cell>
          <cell r="D2257" t="str">
            <v>BS</v>
          </cell>
          <cell r="E2257" t="str">
            <v>25020</v>
          </cell>
        </row>
        <row r="2258">
          <cell r="A2258" t="str">
            <v>SERLE</v>
          </cell>
          <cell r="B2258" t="str">
            <v>017178</v>
          </cell>
          <cell r="C2258" t="str">
            <v>BS</v>
          </cell>
          <cell r="D2258" t="str">
            <v>BS</v>
          </cell>
          <cell r="E2258" t="str">
            <v>25080</v>
          </cell>
        </row>
        <row r="2259">
          <cell r="A2259" t="str">
            <v>SIRMIONE</v>
          </cell>
          <cell r="B2259" t="str">
            <v>017179</v>
          </cell>
          <cell r="C2259" t="str">
            <v>BS</v>
          </cell>
          <cell r="D2259" t="str">
            <v>BS</v>
          </cell>
          <cell r="E2259" t="str">
            <v>25019</v>
          </cell>
        </row>
        <row r="2260">
          <cell r="A2260" t="str">
            <v>SOIANO DEL LAGO</v>
          </cell>
          <cell r="B2260" t="str">
            <v>017180</v>
          </cell>
          <cell r="C2260" t="str">
            <v>BS</v>
          </cell>
          <cell r="D2260" t="str">
            <v>BS</v>
          </cell>
          <cell r="E2260" t="str">
            <v>25080</v>
          </cell>
        </row>
        <row r="2261">
          <cell r="A2261" t="str">
            <v>SONICO</v>
          </cell>
          <cell r="B2261" t="str">
            <v>017181</v>
          </cell>
          <cell r="C2261" t="str">
            <v>BS</v>
          </cell>
          <cell r="D2261" t="str">
            <v>BS</v>
          </cell>
          <cell r="E2261" t="str">
            <v>25048</v>
          </cell>
        </row>
        <row r="2262">
          <cell r="A2262" t="str">
            <v>SULZANO</v>
          </cell>
          <cell r="B2262" t="str">
            <v>017182</v>
          </cell>
          <cell r="C2262" t="str">
            <v>BS</v>
          </cell>
          <cell r="D2262" t="str">
            <v>BS</v>
          </cell>
          <cell r="E2262" t="str">
            <v>25058</v>
          </cell>
        </row>
        <row r="2263">
          <cell r="A2263" t="str">
            <v>TAVERNOLE SUL MELLA</v>
          </cell>
          <cell r="B2263" t="str">
            <v>017183</v>
          </cell>
          <cell r="C2263" t="str">
            <v>BS</v>
          </cell>
          <cell r="D2263" t="str">
            <v>BS</v>
          </cell>
          <cell r="E2263" t="str">
            <v>25060</v>
          </cell>
        </row>
        <row r="2264">
          <cell r="A2264" t="str">
            <v>TEMÙ</v>
          </cell>
          <cell r="B2264" t="str">
            <v>017184</v>
          </cell>
          <cell r="C2264" t="str">
            <v>BS</v>
          </cell>
          <cell r="D2264" t="str">
            <v>BS</v>
          </cell>
          <cell r="E2264" t="str">
            <v>25050</v>
          </cell>
        </row>
        <row r="2265">
          <cell r="A2265" t="str">
            <v>TIGNALE</v>
          </cell>
          <cell r="B2265" t="str">
            <v>017185</v>
          </cell>
          <cell r="C2265" t="str">
            <v>BS</v>
          </cell>
          <cell r="D2265" t="str">
            <v>BS</v>
          </cell>
          <cell r="E2265" t="str">
            <v>25080</v>
          </cell>
        </row>
        <row r="2266">
          <cell r="A2266" t="str">
            <v>TORBOLE CASAGLIA</v>
          </cell>
          <cell r="B2266" t="str">
            <v>017186</v>
          </cell>
          <cell r="C2266" t="str">
            <v>BS</v>
          </cell>
          <cell r="D2266" t="str">
            <v>BS</v>
          </cell>
          <cell r="E2266" t="str">
            <v>25030</v>
          </cell>
        </row>
        <row r="2267">
          <cell r="A2267" t="str">
            <v>TOSCOLANO-MADERNO</v>
          </cell>
          <cell r="B2267" t="str">
            <v>017187</v>
          </cell>
          <cell r="C2267" t="str">
            <v>BS</v>
          </cell>
          <cell r="D2267" t="str">
            <v>BS</v>
          </cell>
          <cell r="E2267" t="str">
            <v>25088</v>
          </cell>
        </row>
        <row r="2268">
          <cell r="A2268" t="str">
            <v>TRAVAGLIATO</v>
          </cell>
          <cell r="B2268" t="str">
            <v>017188</v>
          </cell>
          <cell r="C2268" t="str">
            <v>BS</v>
          </cell>
          <cell r="D2268" t="str">
            <v>BS</v>
          </cell>
          <cell r="E2268" t="str">
            <v>25039</v>
          </cell>
        </row>
        <row r="2269">
          <cell r="A2269" t="str">
            <v>TREMOSINE SUL GARDA</v>
          </cell>
          <cell r="B2269" t="str">
            <v>017189</v>
          </cell>
          <cell r="C2269" t="str">
            <v>BS</v>
          </cell>
          <cell r="D2269" t="e">
            <v>#N/A</v>
          </cell>
          <cell r="E2269" t="e">
            <v>#N/A</v>
          </cell>
        </row>
        <row r="2270">
          <cell r="A2270" t="str">
            <v>TRENZANO</v>
          </cell>
          <cell r="B2270" t="str">
            <v>017190</v>
          </cell>
          <cell r="C2270" t="str">
            <v>BS</v>
          </cell>
          <cell r="D2270" t="str">
            <v>BS</v>
          </cell>
          <cell r="E2270" t="str">
            <v>25030</v>
          </cell>
        </row>
        <row r="2271">
          <cell r="A2271" t="str">
            <v>TREVISO BRESCIANO</v>
          </cell>
          <cell r="B2271" t="str">
            <v>017191</v>
          </cell>
          <cell r="C2271" t="str">
            <v>BS</v>
          </cell>
          <cell r="D2271" t="str">
            <v>BS</v>
          </cell>
          <cell r="E2271" t="str">
            <v>25070</v>
          </cell>
        </row>
        <row r="2272">
          <cell r="A2272" t="str">
            <v>URAGO D'OGLIO</v>
          </cell>
          <cell r="B2272" t="str">
            <v>017192</v>
          </cell>
          <cell r="C2272" t="str">
            <v>BS</v>
          </cell>
          <cell r="D2272" t="str">
            <v>BS</v>
          </cell>
          <cell r="E2272" t="str">
            <v>25030</v>
          </cell>
        </row>
        <row r="2273">
          <cell r="A2273" t="str">
            <v>VALLIO TERME</v>
          </cell>
          <cell r="B2273" t="str">
            <v>017193</v>
          </cell>
          <cell r="C2273" t="str">
            <v>BS</v>
          </cell>
          <cell r="D2273" t="str">
            <v>BS</v>
          </cell>
          <cell r="E2273" t="str">
            <v>25080</v>
          </cell>
        </row>
        <row r="2274">
          <cell r="A2274" t="str">
            <v>VALVESTINO</v>
          </cell>
          <cell r="B2274" t="str">
            <v>017194</v>
          </cell>
          <cell r="C2274" t="str">
            <v>BS</v>
          </cell>
          <cell r="D2274" t="str">
            <v>BS</v>
          </cell>
          <cell r="E2274" t="str">
            <v>25080</v>
          </cell>
        </row>
        <row r="2275">
          <cell r="A2275" t="str">
            <v>VEROLANUOVA</v>
          </cell>
          <cell r="B2275" t="str">
            <v>017195</v>
          </cell>
          <cell r="C2275" t="str">
            <v>BS</v>
          </cell>
          <cell r="D2275" t="str">
            <v>BS</v>
          </cell>
          <cell r="E2275" t="str">
            <v>25028</v>
          </cell>
        </row>
        <row r="2276">
          <cell r="A2276" t="str">
            <v>VEROLAVECCHIA</v>
          </cell>
          <cell r="B2276" t="str">
            <v>017196</v>
          </cell>
          <cell r="C2276" t="str">
            <v>BS</v>
          </cell>
          <cell r="D2276" t="str">
            <v>BS</v>
          </cell>
          <cell r="E2276" t="str">
            <v>25029</v>
          </cell>
        </row>
        <row r="2277">
          <cell r="A2277" t="str">
            <v>VESTONE</v>
          </cell>
          <cell r="B2277" t="str">
            <v>017197</v>
          </cell>
          <cell r="C2277" t="str">
            <v>BS</v>
          </cell>
          <cell r="D2277" t="str">
            <v>BS</v>
          </cell>
          <cell r="E2277" t="str">
            <v>25078</v>
          </cell>
        </row>
        <row r="2278">
          <cell r="A2278" t="str">
            <v>VEZZA D'OGLIO</v>
          </cell>
          <cell r="B2278" t="str">
            <v>017198</v>
          </cell>
          <cell r="C2278" t="str">
            <v>BS</v>
          </cell>
          <cell r="D2278" t="str">
            <v>BS</v>
          </cell>
          <cell r="E2278" t="str">
            <v>25059</v>
          </cell>
        </row>
        <row r="2279">
          <cell r="A2279" t="str">
            <v>VILLA CARCINA</v>
          </cell>
          <cell r="B2279" t="str">
            <v>017199</v>
          </cell>
          <cell r="C2279" t="str">
            <v>BS</v>
          </cell>
          <cell r="D2279" t="str">
            <v>BS</v>
          </cell>
          <cell r="E2279" t="str">
            <v>25069</v>
          </cell>
        </row>
        <row r="2280">
          <cell r="A2280" t="str">
            <v>VILLACHIARA</v>
          </cell>
          <cell r="B2280" t="str">
            <v>017200</v>
          </cell>
          <cell r="C2280" t="str">
            <v>BS</v>
          </cell>
          <cell r="D2280" t="str">
            <v>BS</v>
          </cell>
          <cell r="E2280" t="str">
            <v>25030</v>
          </cell>
        </row>
        <row r="2281">
          <cell r="A2281" t="str">
            <v>VILLANUOVA SUL CLISI</v>
          </cell>
          <cell r="B2281" t="str">
            <v>017201</v>
          </cell>
          <cell r="C2281" t="str">
            <v>BS</v>
          </cell>
          <cell r="D2281" t="str">
            <v>BS</v>
          </cell>
          <cell r="E2281" t="str">
            <v>25089</v>
          </cell>
        </row>
        <row r="2282">
          <cell r="A2282" t="str">
            <v>VIONE</v>
          </cell>
          <cell r="B2282" t="str">
            <v>017202</v>
          </cell>
          <cell r="C2282" t="str">
            <v>BS</v>
          </cell>
          <cell r="D2282" t="str">
            <v>BS</v>
          </cell>
          <cell r="E2282" t="str">
            <v>25050</v>
          </cell>
        </row>
        <row r="2283">
          <cell r="A2283" t="str">
            <v>VISANO</v>
          </cell>
          <cell r="B2283" t="str">
            <v>017203</v>
          </cell>
          <cell r="C2283" t="str">
            <v>BS</v>
          </cell>
          <cell r="D2283" t="str">
            <v>BS</v>
          </cell>
          <cell r="E2283" t="str">
            <v>25010</v>
          </cell>
        </row>
        <row r="2284">
          <cell r="A2284" t="str">
            <v>VOBARNO</v>
          </cell>
          <cell r="B2284" t="str">
            <v>017204</v>
          </cell>
          <cell r="C2284" t="str">
            <v>BS</v>
          </cell>
          <cell r="D2284" t="str">
            <v>BS</v>
          </cell>
          <cell r="E2284" t="str">
            <v>25079</v>
          </cell>
        </row>
        <row r="2285">
          <cell r="A2285" t="str">
            <v>ZONE</v>
          </cell>
          <cell r="B2285" t="str">
            <v>017205</v>
          </cell>
          <cell r="C2285" t="str">
            <v>BS</v>
          </cell>
          <cell r="D2285" t="str">
            <v>BS</v>
          </cell>
          <cell r="E2285" t="str">
            <v>25050</v>
          </cell>
        </row>
        <row r="2286">
          <cell r="A2286" t="str">
            <v>PIANCOGNO</v>
          </cell>
          <cell r="B2286" t="str">
            <v>017206</v>
          </cell>
          <cell r="C2286" t="str">
            <v>BS</v>
          </cell>
          <cell r="D2286" t="str">
            <v>BS</v>
          </cell>
          <cell r="E2286" t="str">
            <v>25052</v>
          </cell>
        </row>
        <row r="2287">
          <cell r="A2287" t="str">
            <v>ALAGNA</v>
          </cell>
          <cell r="B2287" t="str">
            <v>018001</v>
          </cell>
          <cell r="C2287" t="str">
            <v>PV</v>
          </cell>
          <cell r="D2287" t="str">
            <v>PV</v>
          </cell>
          <cell r="E2287" t="str">
            <v>27020</v>
          </cell>
        </row>
        <row r="2288">
          <cell r="A2288" t="str">
            <v>ALBAREDO ARNABOLDI</v>
          </cell>
          <cell r="B2288" t="str">
            <v>018002</v>
          </cell>
          <cell r="C2288" t="str">
            <v>PV</v>
          </cell>
          <cell r="D2288" t="str">
            <v>PV</v>
          </cell>
          <cell r="E2288" t="str">
            <v>27040</v>
          </cell>
        </row>
        <row r="2289">
          <cell r="A2289" t="str">
            <v>ALBONESE</v>
          </cell>
          <cell r="B2289" t="str">
            <v>018003</v>
          </cell>
          <cell r="C2289" t="str">
            <v>PV</v>
          </cell>
          <cell r="D2289" t="str">
            <v>PV</v>
          </cell>
          <cell r="E2289" t="str">
            <v>27020</v>
          </cell>
        </row>
        <row r="2290">
          <cell r="A2290" t="str">
            <v>ALBUZZANO</v>
          </cell>
          <cell r="B2290" t="str">
            <v>018004</v>
          </cell>
          <cell r="C2290" t="str">
            <v>PV</v>
          </cell>
          <cell r="D2290" t="str">
            <v>PV</v>
          </cell>
          <cell r="E2290" t="str">
            <v>27010</v>
          </cell>
        </row>
        <row r="2291">
          <cell r="A2291" t="str">
            <v>ARENA PO</v>
          </cell>
          <cell r="B2291" t="str">
            <v>018005</v>
          </cell>
          <cell r="C2291" t="str">
            <v>PV</v>
          </cell>
          <cell r="D2291" t="str">
            <v>PV</v>
          </cell>
          <cell r="E2291" t="str">
            <v>27040</v>
          </cell>
        </row>
        <row r="2292">
          <cell r="A2292" t="str">
            <v>BADIA PAVESE</v>
          </cell>
          <cell r="B2292" t="str">
            <v>018006</v>
          </cell>
          <cell r="C2292" t="str">
            <v>PV</v>
          </cell>
          <cell r="D2292" t="str">
            <v>PV</v>
          </cell>
          <cell r="E2292" t="str">
            <v>27010</v>
          </cell>
        </row>
        <row r="2293">
          <cell r="A2293" t="str">
            <v>BAGNARIA</v>
          </cell>
          <cell r="B2293" t="str">
            <v>018007</v>
          </cell>
          <cell r="C2293" t="str">
            <v>PV</v>
          </cell>
          <cell r="D2293" t="str">
            <v>PV</v>
          </cell>
          <cell r="E2293" t="str">
            <v>27050</v>
          </cell>
        </row>
        <row r="2294">
          <cell r="A2294" t="str">
            <v>BARBIANELLO</v>
          </cell>
          <cell r="B2294" t="str">
            <v>018008</v>
          </cell>
          <cell r="C2294" t="str">
            <v>PV</v>
          </cell>
          <cell r="D2294" t="str">
            <v>PV</v>
          </cell>
          <cell r="E2294" t="str">
            <v>27041</v>
          </cell>
        </row>
        <row r="2295">
          <cell r="A2295" t="str">
            <v>BASCAPÈ</v>
          </cell>
          <cell r="B2295" t="str">
            <v>018009</v>
          </cell>
          <cell r="C2295" t="str">
            <v>PV</v>
          </cell>
          <cell r="D2295" t="str">
            <v>PV</v>
          </cell>
          <cell r="E2295" t="str">
            <v>27010</v>
          </cell>
        </row>
        <row r="2296">
          <cell r="A2296" t="str">
            <v>BASTIDA PANCARANA</v>
          </cell>
          <cell r="B2296" t="str">
            <v>018011</v>
          </cell>
          <cell r="C2296" t="str">
            <v>PV</v>
          </cell>
          <cell r="D2296" t="str">
            <v>PV</v>
          </cell>
          <cell r="E2296" t="str">
            <v>27050</v>
          </cell>
        </row>
        <row r="2297">
          <cell r="A2297" t="str">
            <v>BATTUDA</v>
          </cell>
          <cell r="B2297" t="str">
            <v>018012</v>
          </cell>
          <cell r="C2297" t="str">
            <v>PV</v>
          </cell>
          <cell r="D2297" t="str">
            <v>PV</v>
          </cell>
          <cell r="E2297" t="str">
            <v>27020</v>
          </cell>
        </row>
        <row r="2298">
          <cell r="A2298" t="str">
            <v>BELGIOIOSO</v>
          </cell>
          <cell r="B2298" t="str">
            <v>018013</v>
          </cell>
          <cell r="C2298" t="str">
            <v>PV</v>
          </cell>
          <cell r="D2298" t="str">
            <v>PV</v>
          </cell>
          <cell r="E2298" t="str">
            <v>27011</v>
          </cell>
        </row>
        <row r="2299">
          <cell r="A2299" t="str">
            <v>BEREGUARDO</v>
          </cell>
          <cell r="B2299" t="str">
            <v>018014</v>
          </cell>
          <cell r="C2299" t="str">
            <v>PV</v>
          </cell>
          <cell r="D2299" t="str">
            <v>PV</v>
          </cell>
          <cell r="E2299" t="str">
            <v>27021</v>
          </cell>
        </row>
        <row r="2300">
          <cell r="A2300" t="str">
            <v>BORGARELLO</v>
          </cell>
          <cell r="B2300" t="str">
            <v>018015</v>
          </cell>
          <cell r="C2300" t="str">
            <v>PV</v>
          </cell>
          <cell r="D2300" t="str">
            <v>PV</v>
          </cell>
          <cell r="E2300" t="str">
            <v>27010</v>
          </cell>
        </row>
        <row r="2301">
          <cell r="A2301" t="str">
            <v>BORGO PRIOLO</v>
          </cell>
          <cell r="B2301" t="str">
            <v>018016</v>
          </cell>
          <cell r="C2301" t="str">
            <v>PV</v>
          </cell>
          <cell r="D2301" t="str">
            <v>PV</v>
          </cell>
          <cell r="E2301" t="str">
            <v>27040</v>
          </cell>
        </row>
        <row r="2302">
          <cell r="A2302" t="str">
            <v>BORGORATTO MORMOROLO</v>
          </cell>
          <cell r="B2302" t="str">
            <v>018017</v>
          </cell>
          <cell r="C2302" t="str">
            <v>PV</v>
          </cell>
          <cell r="D2302" t="str">
            <v>PV</v>
          </cell>
          <cell r="E2302" t="str">
            <v>27040</v>
          </cell>
        </row>
        <row r="2303">
          <cell r="A2303" t="str">
            <v>BORGO SAN SIRO</v>
          </cell>
          <cell r="B2303" t="str">
            <v>018018</v>
          </cell>
          <cell r="C2303" t="str">
            <v>PV</v>
          </cell>
          <cell r="D2303" t="str">
            <v>PV</v>
          </cell>
          <cell r="E2303" t="str">
            <v>27020</v>
          </cell>
        </row>
        <row r="2304">
          <cell r="A2304" t="str">
            <v>BORNASCO</v>
          </cell>
          <cell r="B2304" t="str">
            <v>018019</v>
          </cell>
          <cell r="C2304" t="str">
            <v>PV</v>
          </cell>
          <cell r="D2304" t="str">
            <v>PV</v>
          </cell>
          <cell r="E2304" t="str">
            <v>27010</v>
          </cell>
        </row>
        <row r="2305">
          <cell r="A2305" t="str">
            <v>BOSNASCO</v>
          </cell>
          <cell r="B2305" t="str">
            <v>018020</v>
          </cell>
          <cell r="C2305" t="str">
            <v>PV</v>
          </cell>
          <cell r="D2305" t="str">
            <v>PV</v>
          </cell>
          <cell r="E2305" t="str">
            <v>27040</v>
          </cell>
        </row>
        <row r="2306">
          <cell r="A2306" t="str">
            <v>BRALLO DI PREGOLA</v>
          </cell>
          <cell r="B2306" t="str">
            <v>018021</v>
          </cell>
          <cell r="C2306" t="str">
            <v>PV</v>
          </cell>
          <cell r="D2306" t="str">
            <v>PV</v>
          </cell>
          <cell r="E2306" t="str">
            <v>27050</v>
          </cell>
        </row>
        <row r="2307">
          <cell r="A2307" t="str">
            <v>BREME</v>
          </cell>
          <cell r="B2307" t="str">
            <v>018022</v>
          </cell>
          <cell r="C2307" t="str">
            <v>PV</v>
          </cell>
          <cell r="D2307" t="str">
            <v>PV</v>
          </cell>
          <cell r="E2307" t="str">
            <v>27020</v>
          </cell>
        </row>
        <row r="2308">
          <cell r="A2308" t="str">
            <v>BRESSANA BOTTARONE</v>
          </cell>
          <cell r="B2308" t="str">
            <v>018023</v>
          </cell>
          <cell r="C2308" t="str">
            <v>PV</v>
          </cell>
          <cell r="D2308" t="str">
            <v>PV</v>
          </cell>
          <cell r="E2308" t="str">
            <v>27042</v>
          </cell>
        </row>
        <row r="2309">
          <cell r="A2309" t="str">
            <v>BRONI</v>
          </cell>
          <cell r="B2309" t="str">
            <v>018024</v>
          </cell>
          <cell r="C2309" t="str">
            <v>PV</v>
          </cell>
          <cell r="D2309" t="str">
            <v>PV</v>
          </cell>
          <cell r="E2309" t="str">
            <v>27043</v>
          </cell>
        </row>
        <row r="2310">
          <cell r="A2310" t="str">
            <v>CALVIGNANO</v>
          </cell>
          <cell r="B2310" t="str">
            <v>018025</v>
          </cell>
          <cell r="C2310" t="str">
            <v>PV</v>
          </cell>
          <cell r="D2310" t="str">
            <v>PV</v>
          </cell>
          <cell r="E2310" t="str">
            <v>27040</v>
          </cell>
        </row>
        <row r="2311">
          <cell r="A2311" t="str">
            <v>CAMPOSPINOSO</v>
          </cell>
          <cell r="B2311" t="str">
            <v>018026</v>
          </cell>
          <cell r="C2311" t="str">
            <v>PV</v>
          </cell>
          <cell r="D2311" t="str">
            <v>PV</v>
          </cell>
          <cell r="E2311" t="str">
            <v>27040</v>
          </cell>
        </row>
        <row r="2312">
          <cell r="A2312" t="str">
            <v>CANDIA LOMELLINA</v>
          </cell>
          <cell r="B2312" t="str">
            <v>018027</v>
          </cell>
          <cell r="C2312" t="str">
            <v>PV</v>
          </cell>
          <cell r="D2312" t="str">
            <v>PV</v>
          </cell>
          <cell r="E2312" t="str">
            <v>27031</v>
          </cell>
        </row>
        <row r="2313">
          <cell r="A2313" t="str">
            <v>CANNETO PAVESE</v>
          </cell>
          <cell r="B2313" t="str">
            <v>018029</v>
          </cell>
          <cell r="C2313" t="str">
            <v>PV</v>
          </cell>
          <cell r="D2313" t="str">
            <v>PV</v>
          </cell>
          <cell r="E2313" t="str">
            <v>27044</v>
          </cell>
        </row>
        <row r="2314">
          <cell r="A2314" t="str">
            <v>CARBONARA AL TICINO</v>
          </cell>
          <cell r="B2314" t="str">
            <v>018030</v>
          </cell>
          <cell r="C2314" t="str">
            <v>PV</v>
          </cell>
          <cell r="D2314" t="str">
            <v>PV</v>
          </cell>
          <cell r="E2314" t="str">
            <v>27020</v>
          </cell>
        </row>
        <row r="2315">
          <cell r="A2315" t="str">
            <v>CASANOVA LONATI</v>
          </cell>
          <cell r="B2315" t="str">
            <v>018031</v>
          </cell>
          <cell r="C2315" t="str">
            <v>PV</v>
          </cell>
          <cell r="D2315" t="str">
            <v>PV</v>
          </cell>
          <cell r="E2315" t="str">
            <v>27041</v>
          </cell>
        </row>
        <row r="2316">
          <cell r="A2316" t="str">
            <v>CASATISMA</v>
          </cell>
          <cell r="B2316" t="str">
            <v>018032</v>
          </cell>
          <cell r="C2316" t="str">
            <v>PV</v>
          </cell>
          <cell r="D2316" t="str">
            <v>PV</v>
          </cell>
          <cell r="E2316" t="str">
            <v>27040</v>
          </cell>
        </row>
        <row r="2317">
          <cell r="A2317" t="str">
            <v>CASEI GEROLA</v>
          </cell>
          <cell r="B2317" t="str">
            <v>018033</v>
          </cell>
          <cell r="C2317" t="str">
            <v>PV</v>
          </cell>
          <cell r="D2317" t="str">
            <v>PV</v>
          </cell>
          <cell r="E2317" t="str">
            <v>27050</v>
          </cell>
        </row>
        <row r="2318">
          <cell r="A2318" t="str">
            <v>CASORATE PRIMO</v>
          </cell>
          <cell r="B2318" t="str">
            <v>018034</v>
          </cell>
          <cell r="C2318" t="str">
            <v>PV</v>
          </cell>
          <cell r="D2318" t="str">
            <v>PV</v>
          </cell>
          <cell r="E2318" t="str">
            <v>27022</v>
          </cell>
        </row>
        <row r="2319">
          <cell r="A2319" t="str">
            <v>CASSOLNOVO</v>
          </cell>
          <cell r="B2319" t="str">
            <v>018035</v>
          </cell>
          <cell r="C2319" t="str">
            <v>PV</v>
          </cell>
          <cell r="D2319" t="str">
            <v>PV</v>
          </cell>
          <cell r="E2319" t="str">
            <v>27023</v>
          </cell>
        </row>
        <row r="2320">
          <cell r="A2320" t="str">
            <v>CASTANA</v>
          </cell>
          <cell r="B2320" t="str">
            <v>018036</v>
          </cell>
          <cell r="C2320" t="str">
            <v>PV</v>
          </cell>
          <cell r="D2320" t="str">
            <v>PV</v>
          </cell>
          <cell r="E2320" t="str">
            <v>27040</v>
          </cell>
        </row>
        <row r="2321">
          <cell r="A2321" t="str">
            <v>CASTEGGIO</v>
          </cell>
          <cell r="B2321" t="str">
            <v>018037</v>
          </cell>
          <cell r="C2321" t="str">
            <v>PV</v>
          </cell>
          <cell r="D2321" t="str">
            <v>PV</v>
          </cell>
          <cell r="E2321" t="str">
            <v>27045</v>
          </cell>
        </row>
        <row r="2322">
          <cell r="A2322" t="str">
            <v>CASTELLETTO DI BRANDUZZO</v>
          </cell>
          <cell r="B2322" t="str">
            <v>018038</v>
          </cell>
          <cell r="C2322" t="str">
            <v>PV</v>
          </cell>
          <cell r="D2322" t="str">
            <v>PV</v>
          </cell>
          <cell r="E2322" t="str">
            <v>27040</v>
          </cell>
        </row>
        <row r="2323">
          <cell r="A2323" t="str">
            <v>CASTELLO D'AGOGNA</v>
          </cell>
          <cell r="B2323" t="str">
            <v>018039</v>
          </cell>
          <cell r="C2323" t="str">
            <v>PV</v>
          </cell>
          <cell r="D2323" t="str">
            <v>PV</v>
          </cell>
          <cell r="E2323" t="str">
            <v>27030</v>
          </cell>
        </row>
        <row r="2324">
          <cell r="A2324" t="str">
            <v>CASTELNOVETTO</v>
          </cell>
          <cell r="B2324" t="str">
            <v>018040</v>
          </cell>
          <cell r="C2324" t="str">
            <v>PV</v>
          </cell>
          <cell r="D2324" t="str">
            <v>PV</v>
          </cell>
          <cell r="E2324" t="str">
            <v>27030</v>
          </cell>
        </row>
        <row r="2325">
          <cell r="A2325" t="str">
            <v>CAVA MANARA</v>
          </cell>
          <cell r="B2325" t="str">
            <v>018041</v>
          </cell>
          <cell r="C2325" t="str">
            <v>PV</v>
          </cell>
          <cell r="D2325" t="str">
            <v>PV</v>
          </cell>
          <cell r="E2325" t="str">
            <v>27051</v>
          </cell>
        </row>
        <row r="2326">
          <cell r="A2326" t="str">
            <v>CECIMA</v>
          </cell>
          <cell r="B2326" t="str">
            <v>018042</v>
          </cell>
          <cell r="C2326" t="str">
            <v>PV</v>
          </cell>
          <cell r="D2326" t="str">
            <v>PV</v>
          </cell>
          <cell r="E2326" t="str">
            <v>27050</v>
          </cell>
        </row>
        <row r="2327">
          <cell r="A2327" t="str">
            <v>CERANOVA</v>
          </cell>
          <cell r="B2327" t="str">
            <v>018043</v>
          </cell>
          <cell r="C2327" t="str">
            <v>PV</v>
          </cell>
          <cell r="D2327" t="str">
            <v>PV</v>
          </cell>
          <cell r="E2327" t="str">
            <v>27010</v>
          </cell>
        </row>
        <row r="2328">
          <cell r="A2328" t="str">
            <v>CERETTO LOMELLINA</v>
          </cell>
          <cell r="B2328" t="str">
            <v>018044</v>
          </cell>
          <cell r="C2328" t="str">
            <v>PV</v>
          </cell>
          <cell r="D2328" t="str">
            <v>PV</v>
          </cell>
          <cell r="E2328" t="str">
            <v>27030</v>
          </cell>
        </row>
        <row r="2329">
          <cell r="A2329" t="str">
            <v>CERGNAGO</v>
          </cell>
          <cell r="B2329" t="str">
            <v>018045</v>
          </cell>
          <cell r="C2329" t="str">
            <v>PV</v>
          </cell>
          <cell r="D2329" t="str">
            <v>PV</v>
          </cell>
          <cell r="E2329" t="str">
            <v>27020</v>
          </cell>
        </row>
        <row r="2330">
          <cell r="A2330" t="str">
            <v>CERTOSA DI PAVIA</v>
          </cell>
          <cell r="B2330" t="str">
            <v>018046</v>
          </cell>
          <cell r="C2330" t="str">
            <v>PV</v>
          </cell>
          <cell r="D2330" t="str">
            <v>PV</v>
          </cell>
          <cell r="E2330" t="str">
            <v>27012</v>
          </cell>
        </row>
        <row r="2331">
          <cell r="A2331" t="str">
            <v>CERVESINA</v>
          </cell>
          <cell r="B2331" t="str">
            <v>018047</v>
          </cell>
          <cell r="C2331" t="str">
            <v>PV</v>
          </cell>
          <cell r="D2331" t="str">
            <v>PV</v>
          </cell>
          <cell r="E2331" t="str">
            <v>27050</v>
          </cell>
        </row>
        <row r="2332">
          <cell r="A2332" t="str">
            <v>CHIGNOLO PO</v>
          </cell>
          <cell r="B2332" t="str">
            <v>018048</v>
          </cell>
          <cell r="C2332" t="str">
            <v>PV</v>
          </cell>
          <cell r="D2332" t="str">
            <v>PV</v>
          </cell>
          <cell r="E2332" t="str">
            <v>27013</v>
          </cell>
        </row>
        <row r="2333">
          <cell r="A2333" t="str">
            <v>CIGOGNOLA</v>
          </cell>
          <cell r="B2333" t="str">
            <v>018049</v>
          </cell>
          <cell r="C2333" t="str">
            <v>PV</v>
          </cell>
          <cell r="D2333" t="str">
            <v>PV</v>
          </cell>
          <cell r="E2333" t="str">
            <v>27040</v>
          </cell>
        </row>
        <row r="2334">
          <cell r="A2334" t="str">
            <v>CILAVEGNA</v>
          </cell>
          <cell r="B2334" t="str">
            <v>018050</v>
          </cell>
          <cell r="C2334" t="str">
            <v>PV</v>
          </cell>
          <cell r="D2334" t="str">
            <v>PV</v>
          </cell>
          <cell r="E2334" t="str">
            <v>27024</v>
          </cell>
        </row>
        <row r="2335">
          <cell r="A2335" t="str">
            <v>CODEVILLA</v>
          </cell>
          <cell r="B2335" t="str">
            <v>018051</v>
          </cell>
          <cell r="C2335" t="str">
            <v>PV</v>
          </cell>
          <cell r="D2335" t="str">
            <v>PV</v>
          </cell>
          <cell r="E2335" t="str">
            <v>27050</v>
          </cell>
        </row>
        <row r="2336">
          <cell r="A2336" t="str">
            <v>CONFIENZA</v>
          </cell>
          <cell r="B2336" t="str">
            <v>018052</v>
          </cell>
          <cell r="C2336" t="str">
            <v>PV</v>
          </cell>
          <cell r="D2336" t="str">
            <v>PV</v>
          </cell>
          <cell r="E2336" t="str">
            <v>27030</v>
          </cell>
        </row>
        <row r="2337">
          <cell r="A2337" t="str">
            <v>COPIANO</v>
          </cell>
          <cell r="B2337" t="str">
            <v>018053</v>
          </cell>
          <cell r="C2337" t="str">
            <v>PV</v>
          </cell>
          <cell r="D2337" t="str">
            <v>PV</v>
          </cell>
          <cell r="E2337" t="str">
            <v>27010</v>
          </cell>
        </row>
        <row r="2338">
          <cell r="A2338" t="str">
            <v>CORANA</v>
          </cell>
          <cell r="B2338" t="str">
            <v>018054</v>
          </cell>
          <cell r="C2338" t="str">
            <v>PV</v>
          </cell>
          <cell r="D2338" t="str">
            <v>PV</v>
          </cell>
          <cell r="E2338" t="str">
            <v>27050</v>
          </cell>
        </row>
        <row r="2339">
          <cell r="A2339" t="str">
            <v>CORVINO SAN QUIRICO</v>
          </cell>
          <cell r="B2339" t="str">
            <v>018057</v>
          </cell>
          <cell r="C2339" t="str">
            <v>PV</v>
          </cell>
          <cell r="D2339" t="str">
            <v>PV</v>
          </cell>
          <cell r="E2339" t="str">
            <v>27050</v>
          </cell>
        </row>
        <row r="2340">
          <cell r="A2340" t="str">
            <v>COSTA DE' NOBILI</v>
          </cell>
          <cell r="B2340" t="str">
            <v>018058</v>
          </cell>
          <cell r="C2340" t="str">
            <v>PV</v>
          </cell>
          <cell r="D2340" t="str">
            <v>PV</v>
          </cell>
          <cell r="E2340" t="str">
            <v>27010</v>
          </cell>
        </row>
        <row r="2341">
          <cell r="A2341" t="str">
            <v>COZZO</v>
          </cell>
          <cell r="B2341" t="str">
            <v>018059</v>
          </cell>
          <cell r="C2341" t="str">
            <v>PV</v>
          </cell>
          <cell r="D2341" t="str">
            <v>PV</v>
          </cell>
          <cell r="E2341" t="str">
            <v>27030</v>
          </cell>
        </row>
        <row r="2342">
          <cell r="A2342" t="str">
            <v>CURA CARPIGNANO</v>
          </cell>
          <cell r="B2342" t="str">
            <v>018060</v>
          </cell>
          <cell r="C2342" t="str">
            <v>PV</v>
          </cell>
          <cell r="D2342" t="str">
            <v>PV</v>
          </cell>
          <cell r="E2342" t="str">
            <v>27010</v>
          </cell>
        </row>
        <row r="2343">
          <cell r="A2343" t="str">
            <v>DORNO</v>
          </cell>
          <cell r="B2343" t="str">
            <v>018061</v>
          </cell>
          <cell r="C2343" t="str">
            <v>PV</v>
          </cell>
          <cell r="D2343" t="str">
            <v>PV</v>
          </cell>
          <cell r="E2343" t="str">
            <v>27020</v>
          </cell>
        </row>
        <row r="2344">
          <cell r="A2344" t="str">
            <v>FERRERA ERBOGNONE</v>
          </cell>
          <cell r="B2344" t="str">
            <v>018062</v>
          </cell>
          <cell r="C2344" t="str">
            <v>PV</v>
          </cell>
          <cell r="D2344" t="str">
            <v>PV</v>
          </cell>
          <cell r="E2344" t="str">
            <v>27032</v>
          </cell>
        </row>
        <row r="2345">
          <cell r="A2345" t="str">
            <v>FILIGHERA</v>
          </cell>
          <cell r="B2345" t="str">
            <v>018063</v>
          </cell>
          <cell r="C2345" t="str">
            <v>PV</v>
          </cell>
          <cell r="D2345" t="str">
            <v>PV</v>
          </cell>
          <cell r="E2345" t="str">
            <v>27010</v>
          </cell>
        </row>
        <row r="2346">
          <cell r="A2346" t="str">
            <v>FORTUNAGO</v>
          </cell>
          <cell r="B2346" t="str">
            <v>018064</v>
          </cell>
          <cell r="C2346" t="str">
            <v>PV</v>
          </cell>
          <cell r="D2346" t="str">
            <v>PV</v>
          </cell>
          <cell r="E2346" t="str">
            <v>27040</v>
          </cell>
        </row>
        <row r="2347">
          <cell r="A2347" t="str">
            <v>FRASCAROLO</v>
          </cell>
          <cell r="B2347" t="str">
            <v>018065</v>
          </cell>
          <cell r="C2347" t="str">
            <v>PV</v>
          </cell>
          <cell r="D2347" t="str">
            <v>PV</v>
          </cell>
          <cell r="E2347" t="str">
            <v>27030</v>
          </cell>
        </row>
        <row r="2348">
          <cell r="A2348" t="str">
            <v>GALLIAVOLA</v>
          </cell>
          <cell r="B2348" t="str">
            <v>018066</v>
          </cell>
          <cell r="C2348" t="str">
            <v>PV</v>
          </cell>
          <cell r="D2348" t="str">
            <v>PV</v>
          </cell>
          <cell r="E2348" t="str">
            <v>27034</v>
          </cell>
        </row>
        <row r="2349">
          <cell r="A2349" t="str">
            <v>GAMBARANA</v>
          </cell>
          <cell r="B2349" t="str">
            <v>018067</v>
          </cell>
          <cell r="C2349" t="str">
            <v>PV</v>
          </cell>
          <cell r="D2349" t="str">
            <v>PV</v>
          </cell>
          <cell r="E2349" t="str">
            <v>27030</v>
          </cell>
        </row>
        <row r="2350">
          <cell r="A2350" t="str">
            <v>GAMBOLÒ</v>
          </cell>
          <cell r="B2350" t="str">
            <v>018068</v>
          </cell>
          <cell r="C2350" t="str">
            <v>PV</v>
          </cell>
          <cell r="D2350" t="str">
            <v>PV</v>
          </cell>
          <cell r="E2350" t="str">
            <v>27025</v>
          </cell>
        </row>
        <row r="2351">
          <cell r="A2351" t="str">
            <v>GARLASCO</v>
          </cell>
          <cell r="B2351" t="str">
            <v>018069</v>
          </cell>
          <cell r="C2351" t="str">
            <v>PV</v>
          </cell>
          <cell r="D2351" t="str">
            <v>PV</v>
          </cell>
          <cell r="E2351" t="str">
            <v>27026</v>
          </cell>
        </row>
        <row r="2352">
          <cell r="A2352" t="str">
            <v>GERENZAGO</v>
          </cell>
          <cell r="B2352" t="str">
            <v>018071</v>
          </cell>
          <cell r="C2352" t="str">
            <v>PV</v>
          </cell>
          <cell r="D2352" t="str">
            <v>PV</v>
          </cell>
          <cell r="E2352" t="str">
            <v>27010</v>
          </cell>
        </row>
        <row r="2353">
          <cell r="A2353" t="str">
            <v>GIUSSAGO</v>
          </cell>
          <cell r="B2353" t="str">
            <v>018072</v>
          </cell>
          <cell r="C2353" t="str">
            <v>PV</v>
          </cell>
          <cell r="D2353" t="str">
            <v>PV</v>
          </cell>
          <cell r="E2353" t="str">
            <v>27010</v>
          </cell>
        </row>
        <row r="2354">
          <cell r="A2354" t="str">
            <v>GODIASCO SALICE TERME</v>
          </cell>
          <cell r="B2354" t="str">
            <v>018073</v>
          </cell>
          <cell r="C2354" t="str">
            <v>PV</v>
          </cell>
          <cell r="D2354" t="e">
            <v>#N/A</v>
          </cell>
          <cell r="E2354" t="e">
            <v>#N/A</v>
          </cell>
        </row>
        <row r="2355">
          <cell r="A2355" t="str">
            <v>GOLFERENZO</v>
          </cell>
          <cell r="B2355" t="str">
            <v>018074</v>
          </cell>
          <cell r="C2355" t="str">
            <v>PV</v>
          </cell>
          <cell r="D2355" t="str">
            <v>PV</v>
          </cell>
          <cell r="E2355" t="str">
            <v>27047</v>
          </cell>
        </row>
        <row r="2356">
          <cell r="A2356" t="str">
            <v>GRAVELLONA LOMELLINA</v>
          </cell>
          <cell r="B2356" t="str">
            <v>018075</v>
          </cell>
          <cell r="C2356" t="str">
            <v>PV</v>
          </cell>
          <cell r="D2356" t="str">
            <v>PV</v>
          </cell>
          <cell r="E2356" t="str">
            <v>27020</v>
          </cell>
        </row>
        <row r="2357">
          <cell r="A2357" t="str">
            <v>GROPELLO CAIROLI</v>
          </cell>
          <cell r="B2357" t="str">
            <v>018076</v>
          </cell>
          <cell r="C2357" t="str">
            <v>PV</v>
          </cell>
          <cell r="D2357" t="str">
            <v>PV</v>
          </cell>
          <cell r="E2357" t="str">
            <v>27027</v>
          </cell>
        </row>
        <row r="2358">
          <cell r="A2358" t="str">
            <v>INVERNO E MONTELEONE</v>
          </cell>
          <cell r="B2358" t="str">
            <v>018077</v>
          </cell>
          <cell r="C2358" t="str">
            <v>PV</v>
          </cell>
          <cell r="D2358" t="str">
            <v>PV</v>
          </cell>
          <cell r="E2358" t="str">
            <v>27010</v>
          </cell>
        </row>
        <row r="2359">
          <cell r="A2359" t="str">
            <v>LANDRIANO</v>
          </cell>
          <cell r="B2359" t="str">
            <v>018078</v>
          </cell>
          <cell r="C2359" t="str">
            <v>PV</v>
          </cell>
          <cell r="D2359" t="str">
            <v>PV</v>
          </cell>
          <cell r="E2359" t="str">
            <v>27015</v>
          </cell>
        </row>
        <row r="2360">
          <cell r="A2360" t="str">
            <v>LANGOSCO</v>
          </cell>
          <cell r="B2360" t="str">
            <v>018079</v>
          </cell>
          <cell r="C2360" t="str">
            <v>PV</v>
          </cell>
          <cell r="D2360" t="str">
            <v>PV</v>
          </cell>
          <cell r="E2360" t="str">
            <v>27030</v>
          </cell>
        </row>
        <row r="2361">
          <cell r="A2361" t="str">
            <v>LARDIRAGO</v>
          </cell>
          <cell r="B2361" t="str">
            <v>018080</v>
          </cell>
          <cell r="C2361" t="str">
            <v>PV</v>
          </cell>
          <cell r="D2361" t="str">
            <v>PV</v>
          </cell>
          <cell r="E2361" t="str">
            <v>27016</v>
          </cell>
        </row>
        <row r="2362">
          <cell r="A2362" t="str">
            <v>LINAROLO</v>
          </cell>
          <cell r="B2362" t="str">
            <v>018081</v>
          </cell>
          <cell r="C2362" t="str">
            <v>PV</v>
          </cell>
          <cell r="D2362" t="str">
            <v>PV</v>
          </cell>
          <cell r="E2362" t="str">
            <v>27010</v>
          </cell>
        </row>
        <row r="2363">
          <cell r="A2363" t="str">
            <v>LIRIO</v>
          </cell>
          <cell r="B2363" t="str">
            <v>018082</v>
          </cell>
          <cell r="C2363" t="str">
            <v>PV</v>
          </cell>
          <cell r="D2363" t="str">
            <v>PV</v>
          </cell>
          <cell r="E2363" t="str">
            <v>27040</v>
          </cell>
        </row>
        <row r="2364">
          <cell r="A2364" t="str">
            <v>LOMELLO</v>
          </cell>
          <cell r="B2364" t="str">
            <v>018083</v>
          </cell>
          <cell r="C2364" t="str">
            <v>PV</v>
          </cell>
          <cell r="D2364" t="str">
            <v>PV</v>
          </cell>
          <cell r="E2364" t="str">
            <v>27034</v>
          </cell>
        </row>
        <row r="2365">
          <cell r="A2365" t="str">
            <v>LUNGAVILLA</v>
          </cell>
          <cell r="B2365" t="str">
            <v>018084</v>
          </cell>
          <cell r="C2365" t="str">
            <v>PV</v>
          </cell>
          <cell r="D2365" t="str">
            <v>PV</v>
          </cell>
          <cell r="E2365" t="str">
            <v>27053</v>
          </cell>
        </row>
        <row r="2366">
          <cell r="A2366" t="str">
            <v>MAGHERNO</v>
          </cell>
          <cell r="B2366" t="str">
            <v>018085</v>
          </cell>
          <cell r="C2366" t="str">
            <v>PV</v>
          </cell>
          <cell r="D2366" t="str">
            <v>PV</v>
          </cell>
          <cell r="E2366" t="str">
            <v>27010</v>
          </cell>
        </row>
        <row r="2367">
          <cell r="A2367" t="str">
            <v>MARCIGNAGO</v>
          </cell>
          <cell r="B2367" t="str">
            <v>018086</v>
          </cell>
          <cell r="C2367" t="str">
            <v>PV</v>
          </cell>
          <cell r="D2367" t="str">
            <v>PV</v>
          </cell>
          <cell r="E2367" t="str">
            <v>27020</v>
          </cell>
        </row>
        <row r="2368">
          <cell r="A2368" t="str">
            <v>MARZANO</v>
          </cell>
          <cell r="B2368" t="str">
            <v>018087</v>
          </cell>
          <cell r="C2368" t="str">
            <v>PV</v>
          </cell>
          <cell r="D2368" t="str">
            <v>PV</v>
          </cell>
          <cell r="E2368" t="str">
            <v>27010</v>
          </cell>
        </row>
        <row r="2369">
          <cell r="A2369" t="str">
            <v>MEDE</v>
          </cell>
          <cell r="B2369" t="str">
            <v>018088</v>
          </cell>
          <cell r="C2369" t="str">
            <v>PV</v>
          </cell>
          <cell r="D2369" t="str">
            <v>PV</v>
          </cell>
          <cell r="E2369" t="str">
            <v>27035</v>
          </cell>
        </row>
        <row r="2370">
          <cell r="A2370" t="str">
            <v>MENCONICO</v>
          </cell>
          <cell r="B2370" t="str">
            <v>018089</v>
          </cell>
          <cell r="C2370" t="str">
            <v>PV</v>
          </cell>
          <cell r="D2370" t="str">
            <v>PV</v>
          </cell>
          <cell r="E2370" t="str">
            <v>27050</v>
          </cell>
        </row>
        <row r="2371">
          <cell r="A2371" t="str">
            <v>MEZZANA BIGLI</v>
          </cell>
          <cell r="B2371" t="str">
            <v>018090</v>
          </cell>
          <cell r="C2371" t="str">
            <v>PV</v>
          </cell>
          <cell r="D2371" t="str">
            <v>PV</v>
          </cell>
          <cell r="E2371" t="str">
            <v>27030</v>
          </cell>
        </row>
        <row r="2372">
          <cell r="A2372" t="str">
            <v>MEZZANA RABATTONE</v>
          </cell>
          <cell r="B2372" t="str">
            <v>018091</v>
          </cell>
          <cell r="C2372" t="str">
            <v>PV</v>
          </cell>
          <cell r="D2372" t="str">
            <v>PV</v>
          </cell>
          <cell r="E2372" t="str">
            <v>27030</v>
          </cell>
        </row>
        <row r="2373">
          <cell r="A2373" t="str">
            <v>MEZZANINO</v>
          </cell>
          <cell r="B2373" t="str">
            <v>018092</v>
          </cell>
          <cell r="C2373" t="str">
            <v>PV</v>
          </cell>
          <cell r="D2373" t="str">
            <v>PV</v>
          </cell>
          <cell r="E2373" t="str">
            <v>27040</v>
          </cell>
        </row>
        <row r="2374">
          <cell r="A2374" t="str">
            <v>MIRADOLO TERME</v>
          </cell>
          <cell r="B2374" t="str">
            <v>018093</v>
          </cell>
          <cell r="C2374" t="str">
            <v>PV</v>
          </cell>
          <cell r="D2374" t="str">
            <v>PV</v>
          </cell>
          <cell r="E2374" t="str">
            <v>27010</v>
          </cell>
        </row>
        <row r="2375">
          <cell r="A2375" t="str">
            <v>MONTALTO PAVESE</v>
          </cell>
          <cell r="B2375" t="str">
            <v>018094</v>
          </cell>
          <cell r="C2375" t="str">
            <v>PV</v>
          </cell>
          <cell r="D2375" t="str">
            <v>PV</v>
          </cell>
          <cell r="E2375" t="str">
            <v>27040</v>
          </cell>
        </row>
        <row r="2376">
          <cell r="A2376" t="str">
            <v>MONTEBELLO DELLA BATTAGLIA</v>
          </cell>
          <cell r="B2376" t="str">
            <v>018095</v>
          </cell>
          <cell r="C2376" t="str">
            <v>PV</v>
          </cell>
          <cell r="D2376" t="str">
            <v>PV</v>
          </cell>
          <cell r="E2376" t="str">
            <v>27054</v>
          </cell>
        </row>
        <row r="2377">
          <cell r="A2377" t="str">
            <v>MONTECALVO VERSIGGIA</v>
          </cell>
          <cell r="B2377" t="str">
            <v>018096</v>
          </cell>
          <cell r="C2377" t="str">
            <v>PV</v>
          </cell>
          <cell r="D2377" t="str">
            <v>PV</v>
          </cell>
          <cell r="E2377" t="str">
            <v>27047</v>
          </cell>
        </row>
        <row r="2378">
          <cell r="A2378" t="str">
            <v>MONTESCANO</v>
          </cell>
          <cell r="B2378" t="str">
            <v>018097</v>
          </cell>
          <cell r="C2378" t="str">
            <v>PV</v>
          </cell>
          <cell r="D2378" t="str">
            <v>PV</v>
          </cell>
          <cell r="E2378" t="str">
            <v>27040</v>
          </cell>
        </row>
        <row r="2379">
          <cell r="A2379" t="str">
            <v>MONTESEGALE</v>
          </cell>
          <cell r="B2379" t="str">
            <v>018098</v>
          </cell>
          <cell r="C2379" t="str">
            <v>PV</v>
          </cell>
          <cell r="D2379" t="str">
            <v>PV</v>
          </cell>
          <cell r="E2379" t="str">
            <v>27052</v>
          </cell>
        </row>
        <row r="2380">
          <cell r="A2380" t="str">
            <v>MONTICELLI PAVESE</v>
          </cell>
          <cell r="B2380" t="str">
            <v>018099</v>
          </cell>
          <cell r="C2380" t="str">
            <v>PV</v>
          </cell>
          <cell r="D2380" t="str">
            <v>PV</v>
          </cell>
          <cell r="E2380" t="str">
            <v>27010</v>
          </cell>
        </row>
        <row r="2381">
          <cell r="A2381" t="str">
            <v>MONTÙ BECCARIA</v>
          </cell>
          <cell r="B2381" t="str">
            <v>018100</v>
          </cell>
          <cell r="C2381" t="str">
            <v>PV</v>
          </cell>
          <cell r="D2381" t="str">
            <v>PV</v>
          </cell>
          <cell r="E2381" t="str">
            <v>27040</v>
          </cell>
        </row>
        <row r="2382">
          <cell r="A2382" t="str">
            <v>MORNICO LOSANA</v>
          </cell>
          <cell r="B2382" t="str">
            <v>018101</v>
          </cell>
          <cell r="C2382" t="str">
            <v>PV</v>
          </cell>
          <cell r="D2382" t="str">
            <v>PV</v>
          </cell>
          <cell r="E2382" t="str">
            <v>27040</v>
          </cell>
        </row>
        <row r="2383">
          <cell r="A2383" t="str">
            <v>MORTARA</v>
          </cell>
          <cell r="B2383" t="str">
            <v>018102</v>
          </cell>
          <cell r="C2383" t="str">
            <v>PV</v>
          </cell>
          <cell r="D2383" t="str">
            <v>PV</v>
          </cell>
          <cell r="E2383" t="str">
            <v>27036</v>
          </cell>
        </row>
        <row r="2384">
          <cell r="A2384" t="str">
            <v>NICORVO</v>
          </cell>
          <cell r="B2384" t="str">
            <v>018103</v>
          </cell>
          <cell r="C2384" t="str">
            <v>PV</v>
          </cell>
          <cell r="D2384" t="str">
            <v>PV</v>
          </cell>
          <cell r="E2384" t="str">
            <v>27020</v>
          </cell>
        </row>
        <row r="2385">
          <cell r="A2385" t="str">
            <v>OLEVANO DI LOMELLINA</v>
          </cell>
          <cell r="B2385" t="str">
            <v>018104</v>
          </cell>
          <cell r="C2385" t="str">
            <v>PV</v>
          </cell>
          <cell r="D2385" t="str">
            <v>PV</v>
          </cell>
          <cell r="E2385" t="str">
            <v>27020</v>
          </cell>
        </row>
        <row r="2386">
          <cell r="A2386" t="str">
            <v>OLIVA GESSI</v>
          </cell>
          <cell r="B2386" t="str">
            <v>018105</v>
          </cell>
          <cell r="C2386" t="str">
            <v>PV</v>
          </cell>
          <cell r="D2386" t="str">
            <v>PV</v>
          </cell>
          <cell r="E2386" t="str">
            <v>27050</v>
          </cell>
        </row>
        <row r="2387">
          <cell r="A2387" t="str">
            <v>OTTOBIANO</v>
          </cell>
          <cell r="B2387" t="str">
            <v>018106</v>
          </cell>
          <cell r="C2387" t="str">
            <v>PV</v>
          </cell>
          <cell r="D2387" t="str">
            <v>PV</v>
          </cell>
          <cell r="E2387" t="str">
            <v>27030</v>
          </cell>
        </row>
        <row r="2388">
          <cell r="A2388" t="str">
            <v>PALESTRO</v>
          </cell>
          <cell r="B2388" t="str">
            <v>018107</v>
          </cell>
          <cell r="C2388" t="str">
            <v>PV</v>
          </cell>
          <cell r="D2388" t="str">
            <v>PV</v>
          </cell>
          <cell r="E2388" t="str">
            <v>27030</v>
          </cell>
        </row>
        <row r="2389">
          <cell r="A2389" t="str">
            <v>PANCARANA</v>
          </cell>
          <cell r="B2389" t="str">
            <v>018108</v>
          </cell>
          <cell r="C2389" t="str">
            <v>PV</v>
          </cell>
          <cell r="D2389" t="str">
            <v>PV</v>
          </cell>
          <cell r="E2389" t="str">
            <v>27050</v>
          </cell>
        </row>
        <row r="2390">
          <cell r="A2390" t="str">
            <v>PARONA</v>
          </cell>
          <cell r="B2390" t="str">
            <v>018109</v>
          </cell>
          <cell r="C2390" t="str">
            <v>PV</v>
          </cell>
          <cell r="D2390" t="str">
            <v>PV</v>
          </cell>
          <cell r="E2390" t="str">
            <v>27020</v>
          </cell>
        </row>
        <row r="2391">
          <cell r="A2391" t="str">
            <v>PAVIA</v>
          </cell>
          <cell r="B2391" t="str">
            <v>018110</v>
          </cell>
          <cell r="C2391" t="str">
            <v>PV</v>
          </cell>
          <cell r="D2391" t="str">
            <v>PV</v>
          </cell>
          <cell r="E2391" t="str">
            <v>27100</v>
          </cell>
        </row>
        <row r="2392">
          <cell r="A2392" t="str">
            <v>PIETRA DE' GIORGI</v>
          </cell>
          <cell r="B2392" t="str">
            <v>018111</v>
          </cell>
          <cell r="C2392" t="str">
            <v>PV</v>
          </cell>
          <cell r="D2392" t="str">
            <v>PV</v>
          </cell>
          <cell r="E2392" t="str">
            <v>27040</v>
          </cell>
        </row>
        <row r="2393">
          <cell r="A2393" t="str">
            <v>PIEVE ALBIGNOLA</v>
          </cell>
          <cell r="B2393" t="str">
            <v>018112</v>
          </cell>
          <cell r="C2393" t="str">
            <v>PV</v>
          </cell>
          <cell r="D2393" t="str">
            <v>PV</v>
          </cell>
          <cell r="E2393" t="str">
            <v>27030</v>
          </cell>
        </row>
        <row r="2394">
          <cell r="A2394" t="str">
            <v>PIEVE DEL CAIRO</v>
          </cell>
          <cell r="B2394" t="str">
            <v>018113</v>
          </cell>
          <cell r="C2394" t="str">
            <v>PV</v>
          </cell>
          <cell r="D2394" t="str">
            <v>PV</v>
          </cell>
          <cell r="E2394" t="str">
            <v>27037</v>
          </cell>
        </row>
        <row r="2395">
          <cell r="A2395" t="str">
            <v>PIEVE PORTO MORONE</v>
          </cell>
          <cell r="B2395" t="str">
            <v>018114</v>
          </cell>
          <cell r="C2395" t="str">
            <v>PV</v>
          </cell>
          <cell r="D2395" t="str">
            <v>PV</v>
          </cell>
          <cell r="E2395" t="str">
            <v>27017</v>
          </cell>
        </row>
        <row r="2396">
          <cell r="A2396" t="str">
            <v>PINAROLO PO</v>
          </cell>
          <cell r="B2396" t="str">
            <v>018115</v>
          </cell>
          <cell r="C2396" t="str">
            <v>PV</v>
          </cell>
          <cell r="D2396" t="str">
            <v>PV</v>
          </cell>
          <cell r="E2396" t="str">
            <v>27040</v>
          </cell>
        </row>
        <row r="2397">
          <cell r="A2397" t="str">
            <v>PIZZALE</v>
          </cell>
          <cell r="B2397" t="str">
            <v>018116</v>
          </cell>
          <cell r="C2397" t="str">
            <v>PV</v>
          </cell>
          <cell r="D2397" t="str">
            <v>PV</v>
          </cell>
          <cell r="E2397" t="str">
            <v>27050</v>
          </cell>
        </row>
        <row r="2398">
          <cell r="A2398" t="str">
            <v>PONTE NIZZA</v>
          </cell>
          <cell r="B2398" t="str">
            <v>018117</v>
          </cell>
          <cell r="C2398" t="str">
            <v>PV</v>
          </cell>
          <cell r="D2398" t="str">
            <v>PV</v>
          </cell>
          <cell r="E2398" t="str">
            <v>27050</v>
          </cell>
        </row>
        <row r="2399">
          <cell r="A2399" t="str">
            <v>PORTALBERA</v>
          </cell>
          <cell r="B2399" t="str">
            <v>018118</v>
          </cell>
          <cell r="C2399" t="str">
            <v>PV</v>
          </cell>
          <cell r="D2399" t="str">
            <v>PV</v>
          </cell>
          <cell r="E2399" t="str">
            <v>27040</v>
          </cell>
        </row>
        <row r="2400">
          <cell r="A2400" t="str">
            <v>REA</v>
          </cell>
          <cell r="B2400" t="str">
            <v>018119</v>
          </cell>
          <cell r="C2400" t="str">
            <v>PV</v>
          </cell>
          <cell r="D2400" t="str">
            <v>PV</v>
          </cell>
          <cell r="E2400" t="str">
            <v>27040</v>
          </cell>
        </row>
        <row r="2401">
          <cell r="A2401" t="str">
            <v>REDAVALLE</v>
          </cell>
          <cell r="B2401" t="str">
            <v>018120</v>
          </cell>
          <cell r="C2401" t="str">
            <v>PV</v>
          </cell>
          <cell r="D2401" t="str">
            <v>PV</v>
          </cell>
          <cell r="E2401" t="str">
            <v>27050</v>
          </cell>
        </row>
        <row r="2402">
          <cell r="A2402" t="str">
            <v>RETORBIDO</v>
          </cell>
          <cell r="B2402" t="str">
            <v>018121</v>
          </cell>
          <cell r="C2402" t="str">
            <v>PV</v>
          </cell>
          <cell r="D2402" t="str">
            <v>PV</v>
          </cell>
          <cell r="E2402" t="str">
            <v>27050</v>
          </cell>
        </row>
        <row r="2403">
          <cell r="A2403" t="str">
            <v>RIVANAZZANO TERME</v>
          </cell>
          <cell r="B2403" t="str">
            <v>018122</v>
          </cell>
          <cell r="C2403" t="str">
            <v>PV</v>
          </cell>
          <cell r="D2403" t="str">
            <v>PV</v>
          </cell>
          <cell r="E2403" t="str">
            <v>27055</v>
          </cell>
        </row>
        <row r="2404">
          <cell r="A2404" t="str">
            <v>ROBBIO</v>
          </cell>
          <cell r="B2404" t="str">
            <v>018123</v>
          </cell>
          <cell r="C2404" t="str">
            <v>PV</v>
          </cell>
          <cell r="D2404" t="str">
            <v>PV</v>
          </cell>
          <cell r="E2404" t="str">
            <v>27038</v>
          </cell>
        </row>
        <row r="2405">
          <cell r="A2405" t="str">
            <v>ROBECCO PAVESE</v>
          </cell>
          <cell r="B2405" t="str">
            <v>018124</v>
          </cell>
          <cell r="C2405" t="str">
            <v>PV</v>
          </cell>
          <cell r="D2405" t="str">
            <v>PV</v>
          </cell>
          <cell r="E2405" t="str">
            <v>27042</v>
          </cell>
        </row>
        <row r="2406">
          <cell r="A2406" t="str">
            <v>ROCCA DE' GIORGI</v>
          </cell>
          <cell r="B2406" t="str">
            <v>018125</v>
          </cell>
          <cell r="C2406" t="str">
            <v>PV</v>
          </cell>
          <cell r="D2406" t="str">
            <v>PV</v>
          </cell>
          <cell r="E2406" t="str">
            <v>27040</v>
          </cell>
        </row>
        <row r="2407">
          <cell r="A2407" t="str">
            <v>ROCCA SUSELLA</v>
          </cell>
          <cell r="B2407" t="str">
            <v>018126</v>
          </cell>
          <cell r="C2407" t="str">
            <v>PV</v>
          </cell>
          <cell r="D2407" t="str">
            <v>PV</v>
          </cell>
          <cell r="E2407" t="str">
            <v>27052</v>
          </cell>
        </row>
        <row r="2408">
          <cell r="A2408" t="str">
            <v>ROGNANO</v>
          </cell>
          <cell r="B2408" t="str">
            <v>018127</v>
          </cell>
          <cell r="C2408" t="str">
            <v>PV</v>
          </cell>
          <cell r="D2408" t="str">
            <v>PV</v>
          </cell>
          <cell r="E2408" t="str">
            <v>27010</v>
          </cell>
        </row>
        <row r="2409">
          <cell r="A2409" t="str">
            <v>ROMAGNESE</v>
          </cell>
          <cell r="B2409" t="str">
            <v>018128</v>
          </cell>
          <cell r="C2409" t="str">
            <v>PV</v>
          </cell>
          <cell r="D2409" t="str">
            <v>PV</v>
          </cell>
          <cell r="E2409" t="str">
            <v>27050</v>
          </cell>
        </row>
        <row r="2410">
          <cell r="A2410" t="str">
            <v>RONCARO</v>
          </cell>
          <cell r="B2410" t="str">
            <v>018129</v>
          </cell>
          <cell r="C2410" t="str">
            <v>PV</v>
          </cell>
          <cell r="D2410" t="str">
            <v>PV</v>
          </cell>
          <cell r="E2410" t="str">
            <v>27010</v>
          </cell>
        </row>
        <row r="2411">
          <cell r="A2411" t="str">
            <v>ROSASCO</v>
          </cell>
          <cell r="B2411" t="str">
            <v>018130</v>
          </cell>
          <cell r="C2411" t="str">
            <v>PV</v>
          </cell>
          <cell r="D2411" t="str">
            <v>PV</v>
          </cell>
          <cell r="E2411" t="str">
            <v>27030</v>
          </cell>
        </row>
        <row r="2412">
          <cell r="A2412" t="str">
            <v>ROVESCALA</v>
          </cell>
          <cell r="B2412" t="str">
            <v>018131</v>
          </cell>
          <cell r="C2412" t="str">
            <v>PV</v>
          </cell>
          <cell r="D2412" t="str">
            <v>PV</v>
          </cell>
          <cell r="E2412" t="str">
            <v>27040</v>
          </cell>
        </row>
        <row r="2413">
          <cell r="A2413" t="str">
            <v>SAN CIPRIANO PO</v>
          </cell>
          <cell r="B2413" t="str">
            <v>018133</v>
          </cell>
          <cell r="C2413" t="str">
            <v>PV</v>
          </cell>
          <cell r="D2413" t="str">
            <v>PV</v>
          </cell>
          <cell r="E2413" t="str">
            <v>27043</v>
          </cell>
        </row>
        <row r="2414">
          <cell r="A2414" t="str">
            <v>SAN DAMIANO AL COLLE</v>
          </cell>
          <cell r="B2414" t="str">
            <v>018134</v>
          </cell>
          <cell r="C2414" t="str">
            <v>PV</v>
          </cell>
          <cell r="D2414" t="str">
            <v>PV</v>
          </cell>
          <cell r="E2414" t="str">
            <v>27040</v>
          </cell>
        </row>
        <row r="2415">
          <cell r="A2415" t="str">
            <v>SAN GENESIO ED UNITI</v>
          </cell>
          <cell r="B2415" t="str">
            <v>018135</v>
          </cell>
          <cell r="C2415" t="str">
            <v>PV</v>
          </cell>
          <cell r="D2415" t="str">
            <v>PV</v>
          </cell>
          <cell r="E2415" t="str">
            <v>27010</v>
          </cell>
        </row>
        <row r="2416">
          <cell r="A2416" t="str">
            <v>SAN GIORGIO DI LOMELLINA</v>
          </cell>
          <cell r="B2416" t="str">
            <v>018136</v>
          </cell>
          <cell r="C2416" t="str">
            <v>PV</v>
          </cell>
          <cell r="D2416" t="str">
            <v>PV</v>
          </cell>
          <cell r="E2416" t="str">
            <v>27020</v>
          </cell>
        </row>
        <row r="2417">
          <cell r="A2417" t="str">
            <v>SAN MARTINO SICCOMARIO</v>
          </cell>
          <cell r="B2417" t="str">
            <v>018137</v>
          </cell>
          <cell r="C2417" t="str">
            <v>PV</v>
          </cell>
          <cell r="D2417" t="str">
            <v>PV</v>
          </cell>
          <cell r="E2417" t="str">
            <v>27028</v>
          </cell>
        </row>
        <row r="2418">
          <cell r="A2418" t="str">
            <v>SANNAZZARO DE' BURGONDI</v>
          </cell>
          <cell r="B2418" t="str">
            <v>018138</v>
          </cell>
          <cell r="C2418" t="str">
            <v>PV</v>
          </cell>
          <cell r="D2418" t="str">
            <v>PV</v>
          </cell>
          <cell r="E2418" t="str">
            <v>27039</v>
          </cell>
        </row>
        <row r="2419">
          <cell r="A2419" t="str">
            <v>SANTA CRISTINA E BISSONE</v>
          </cell>
          <cell r="B2419" t="str">
            <v>018139</v>
          </cell>
          <cell r="C2419" t="str">
            <v>PV</v>
          </cell>
          <cell r="D2419" t="str">
            <v>PV</v>
          </cell>
          <cell r="E2419" t="str">
            <v>27010</v>
          </cell>
        </row>
        <row r="2420">
          <cell r="A2420" t="str">
            <v>SANTA GIULETTA</v>
          </cell>
          <cell r="B2420" t="str">
            <v>018140</v>
          </cell>
          <cell r="C2420" t="str">
            <v>PV</v>
          </cell>
          <cell r="D2420" t="str">
            <v>PV</v>
          </cell>
          <cell r="E2420" t="str">
            <v>27046</v>
          </cell>
        </row>
        <row r="2421">
          <cell r="A2421" t="str">
            <v>SANT'ALESSIO CON VIALONE</v>
          </cell>
          <cell r="B2421" t="str">
            <v>018141</v>
          </cell>
          <cell r="C2421" t="str">
            <v>PV</v>
          </cell>
          <cell r="D2421" t="str">
            <v>PV</v>
          </cell>
          <cell r="E2421" t="str">
            <v>27016</v>
          </cell>
        </row>
        <row r="2422">
          <cell r="A2422" t="str">
            <v>SANTA MARGHERITA DI STAFFORA</v>
          </cell>
          <cell r="B2422" t="str">
            <v>018142</v>
          </cell>
          <cell r="C2422" t="str">
            <v>PV</v>
          </cell>
          <cell r="D2422" t="str">
            <v>PV</v>
          </cell>
          <cell r="E2422" t="str">
            <v>27050</v>
          </cell>
        </row>
        <row r="2423">
          <cell r="A2423" t="str">
            <v>SANTA MARIA DELLA VERSA</v>
          </cell>
          <cell r="B2423" t="str">
            <v>018143</v>
          </cell>
          <cell r="C2423" t="str">
            <v>PV</v>
          </cell>
          <cell r="D2423" t="str">
            <v>PV</v>
          </cell>
          <cell r="E2423" t="str">
            <v>27047</v>
          </cell>
        </row>
        <row r="2424">
          <cell r="A2424" t="str">
            <v>SANT'ANGELO LOMELLINA</v>
          </cell>
          <cell r="B2424" t="str">
            <v>018144</v>
          </cell>
          <cell r="C2424" t="str">
            <v>PV</v>
          </cell>
          <cell r="D2424" t="str">
            <v>PV</v>
          </cell>
          <cell r="E2424" t="str">
            <v>27030</v>
          </cell>
        </row>
        <row r="2425">
          <cell r="A2425" t="str">
            <v>SAN ZENONE AL PO</v>
          </cell>
          <cell r="B2425" t="str">
            <v>018145</v>
          </cell>
          <cell r="C2425" t="str">
            <v>PV</v>
          </cell>
          <cell r="D2425" t="str">
            <v>PV</v>
          </cell>
          <cell r="E2425" t="str">
            <v>27010</v>
          </cell>
        </row>
        <row r="2426">
          <cell r="A2426" t="str">
            <v>SARTIRANA LOMELLINA</v>
          </cell>
          <cell r="B2426" t="str">
            <v>018146</v>
          </cell>
          <cell r="C2426" t="str">
            <v>PV</v>
          </cell>
          <cell r="D2426" t="str">
            <v>PV</v>
          </cell>
          <cell r="E2426" t="str">
            <v>27020</v>
          </cell>
        </row>
        <row r="2427">
          <cell r="A2427" t="str">
            <v>SCALDASOLE</v>
          </cell>
          <cell r="B2427" t="str">
            <v>018147</v>
          </cell>
          <cell r="C2427" t="str">
            <v>PV</v>
          </cell>
          <cell r="D2427" t="str">
            <v>PV</v>
          </cell>
          <cell r="E2427" t="str">
            <v>27020</v>
          </cell>
        </row>
        <row r="2428">
          <cell r="A2428" t="str">
            <v>SEMIANA</v>
          </cell>
          <cell r="B2428" t="str">
            <v>018148</v>
          </cell>
          <cell r="C2428" t="str">
            <v>PV</v>
          </cell>
          <cell r="D2428" t="str">
            <v>PV</v>
          </cell>
          <cell r="E2428" t="str">
            <v>27020</v>
          </cell>
        </row>
        <row r="2429">
          <cell r="A2429" t="str">
            <v>SILVANO PIETRA</v>
          </cell>
          <cell r="B2429" t="str">
            <v>018149</v>
          </cell>
          <cell r="C2429" t="str">
            <v>PV</v>
          </cell>
          <cell r="D2429" t="str">
            <v>PV</v>
          </cell>
          <cell r="E2429" t="str">
            <v>27050</v>
          </cell>
        </row>
        <row r="2430">
          <cell r="A2430" t="str">
            <v>SIZIANO</v>
          </cell>
          <cell r="B2430" t="str">
            <v>018150</v>
          </cell>
          <cell r="C2430" t="str">
            <v>PV</v>
          </cell>
          <cell r="D2430" t="str">
            <v>PV</v>
          </cell>
          <cell r="E2430" t="str">
            <v>27010</v>
          </cell>
        </row>
        <row r="2431">
          <cell r="A2431" t="str">
            <v>SOMMO</v>
          </cell>
          <cell r="B2431" t="str">
            <v>018151</v>
          </cell>
          <cell r="C2431" t="str">
            <v>PV</v>
          </cell>
          <cell r="D2431" t="str">
            <v>PV</v>
          </cell>
          <cell r="E2431" t="str">
            <v>27048</v>
          </cell>
        </row>
        <row r="2432">
          <cell r="A2432" t="str">
            <v>SPESSA</v>
          </cell>
          <cell r="B2432" t="str">
            <v>018152</v>
          </cell>
          <cell r="C2432" t="str">
            <v>PV</v>
          </cell>
          <cell r="D2432" t="str">
            <v>PV</v>
          </cell>
          <cell r="E2432" t="str">
            <v>27010</v>
          </cell>
        </row>
        <row r="2433">
          <cell r="A2433" t="str">
            <v>STRADELLA</v>
          </cell>
          <cell r="B2433" t="str">
            <v>018153</v>
          </cell>
          <cell r="C2433" t="str">
            <v>PV</v>
          </cell>
          <cell r="D2433" t="str">
            <v>PV</v>
          </cell>
          <cell r="E2433" t="str">
            <v>27049</v>
          </cell>
        </row>
        <row r="2434">
          <cell r="A2434" t="str">
            <v>SUARDI</v>
          </cell>
          <cell r="B2434" t="str">
            <v>018154</v>
          </cell>
          <cell r="C2434" t="str">
            <v>PV</v>
          </cell>
          <cell r="D2434" t="str">
            <v>PV</v>
          </cell>
          <cell r="E2434" t="str">
            <v>27030</v>
          </cell>
        </row>
        <row r="2435">
          <cell r="A2435" t="str">
            <v>TORRAZZA COSTE</v>
          </cell>
          <cell r="B2435" t="str">
            <v>018155</v>
          </cell>
          <cell r="C2435" t="str">
            <v>PV</v>
          </cell>
          <cell r="D2435" t="str">
            <v>PV</v>
          </cell>
          <cell r="E2435" t="str">
            <v>27050</v>
          </cell>
        </row>
        <row r="2436">
          <cell r="A2436" t="str">
            <v>TORRE BERETTI E CASTELLARO</v>
          </cell>
          <cell r="B2436" t="str">
            <v>018156</v>
          </cell>
          <cell r="C2436" t="str">
            <v>PV</v>
          </cell>
          <cell r="D2436" t="str">
            <v>PV</v>
          </cell>
          <cell r="E2436" t="str">
            <v>27030</v>
          </cell>
        </row>
        <row r="2437">
          <cell r="A2437" t="str">
            <v>TORRE D'ARESE</v>
          </cell>
          <cell r="B2437" t="str">
            <v>018157</v>
          </cell>
          <cell r="C2437" t="str">
            <v>PV</v>
          </cell>
          <cell r="D2437" t="str">
            <v>PV</v>
          </cell>
          <cell r="E2437" t="str">
            <v>27010</v>
          </cell>
        </row>
        <row r="2438">
          <cell r="A2438" t="str">
            <v>TORRE DE' NEGRI</v>
          </cell>
          <cell r="B2438" t="str">
            <v>018158</v>
          </cell>
          <cell r="C2438" t="str">
            <v>PV</v>
          </cell>
          <cell r="D2438" t="str">
            <v>PV</v>
          </cell>
          <cell r="E2438" t="str">
            <v>27011</v>
          </cell>
        </row>
        <row r="2439">
          <cell r="A2439" t="str">
            <v>TORRE D'ISOLA</v>
          </cell>
          <cell r="B2439" t="str">
            <v>018159</v>
          </cell>
          <cell r="C2439" t="str">
            <v>PV</v>
          </cell>
          <cell r="D2439" t="str">
            <v>PV</v>
          </cell>
          <cell r="E2439" t="str">
            <v>27020</v>
          </cell>
        </row>
        <row r="2440">
          <cell r="A2440" t="str">
            <v>TORREVECCHIA PIA</v>
          </cell>
          <cell r="B2440" t="str">
            <v>018160</v>
          </cell>
          <cell r="C2440" t="str">
            <v>PV</v>
          </cell>
          <cell r="D2440" t="str">
            <v>PV</v>
          </cell>
          <cell r="E2440" t="str">
            <v>27010</v>
          </cell>
        </row>
        <row r="2441">
          <cell r="A2441" t="str">
            <v>TORRICELLA VERZATE</v>
          </cell>
          <cell r="B2441" t="str">
            <v>018161</v>
          </cell>
          <cell r="C2441" t="str">
            <v>PV</v>
          </cell>
          <cell r="D2441" t="str">
            <v>PV</v>
          </cell>
          <cell r="E2441" t="str">
            <v>27050</v>
          </cell>
        </row>
        <row r="2442">
          <cell r="A2442" t="str">
            <v>TRAVACÒ SICCOMARIO</v>
          </cell>
          <cell r="B2442" t="str">
            <v>018162</v>
          </cell>
          <cell r="C2442" t="str">
            <v>PV</v>
          </cell>
          <cell r="D2442" t="str">
            <v>PV</v>
          </cell>
          <cell r="E2442" t="str">
            <v>27020</v>
          </cell>
        </row>
        <row r="2443">
          <cell r="A2443" t="str">
            <v>TRIVOLZIO</v>
          </cell>
          <cell r="B2443" t="str">
            <v>018163</v>
          </cell>
          <cell r="C2443" t="str">
            <v>PV</v>
          </cell>
          <cell r="D2443" t="str">
            <v>PV</v>
          </cell>
          <cell r="E2443" t="str">
            <v>27020</v>
          </cell>
        </row>
        <row r="2444">
          <cell r="A2444" t="str">
            <v>TROMELLO</v>
          </cell>
          <cell r="B2444" t="str">
            <v>018164</v>
          </cell>
          <cell r="C2444" t="str">
            <v>PV</v>
          </cell>
          <cell r="D2444" t="str">
            <v>PV</v>
          </cell>
          <cell r="E2444" t="str">
            <v>27020</v>
          </cell>
        </row>
        <row r="2445">
          <cell r="A2445" t="str">
            <v>TROVO</v>
          </cell>
          <cell r="B2445" t="str">
            <v>018165</v>
          </cell>
          <cell r="C2445" t="str">
            <v>PV</v>
          </cell>
          <cell r="D2445" t="str">
            <v>PV</v>
          </cell>
          <cell r="E2445" t="str">
            <v>27020</v>
          </cell>
        </row>
        <row r="2446">
          <cell r="A2446" t="str">
            <v>VAL DI NIZZA</v>
          </cell>
          <cell r="B2446" t="str">
            <v>018166</v>
          </cell>
          <cell r="C2446" t="str">
            <v>PV</v>
          </cell>
          <cell r="D2446" t="str">
            <v>PV</v>
          </cell>
          <cell r="E2446" t="str">
            <v>27050</v>
          </cell>
        </row>
        <row r="2447">
          <cell r="A2447" t="str">
            <v>VALEGGIO</v>
          </cell>
          <cell r="B2447" t="str">
            <v>018167</v>
          </cell>
          <cell r="C2447" t="str">
            <v>PV</v>
          </cell>
          <cell r="D2447" t="str">
            <v>PV</v>
          </cell>
          <cell r="E2447" t="str">
            <v>27020</v>
          </cell>
        </row>
        <row r="2448">
          <cell r="A2448" t="str">
            <v>VALLE LOMELLINA</v>
          </cell>
          <cell r="B2448" t="str">
            <v>018168</v>
          </cell>
          <cell r="C2448" t="str">
            <v>PV</v>
          </cell>
          <cell r="D2448" t="str">
            <v>PV</v>
          </cell>
          <cell r="E2448" t="str">
            <v>27020</v>
          </cell>
        </row>
        <row r="2449">
          <cell r="A2449" t="str">
            <v>VALLE SALIMBENE</v>
          </cell>
          <cell r="B2449" t="str">
            <v>018169</v>
          </cell>
          <cell r="C2449" t="str">
            <v>PV</v>
          </cell>
          <cell r="D2449" t="str">
            <v>PV</v>
          </cell>
          <cell r="E2449" t="str">
            <v>27010</v>
          </cell>
        </row>
        <row r="2450">
          <cell r="A2450" t="str">
            <v>VARZI</v>
          </cell>
          <cell r="B2450" t="str">
            <v>018171</v>
          </cell>
          <cell r="C2450" t="str">
            <v>PV</v>
          </cell>
          <cell r="D2450" t="str">
            <v>PV</v>
          </cell>
          <cell r="E2450" t="str">
            <v>27057</v>
          </cell>
        </row>
        <row r="2451">
          <cell r="A2451" t="str">
            <v>VELEZZO LOMELLINA</v>
          </cell>
          <cell r="B2451" t="str">
            <v>018172</v>
          </cell>
          <cell r="C2451" t="str">
            <v>PV</v>
          </cell>
          <cell r="D2451" t="str">
            <v>PV</v>
          </cell>
          <cell r="E2451" t="str">
            <v>27020</v>
          </cell>
        </row>
        <row r="2452">
          <cell r="A2452" t="str">
            <v>VELLEZZO BELLINI</v>
          </cell>
          <cell r="B2452" t="str">
            <v>018173</v>
          </cell>
          <cell r="C2452" t="str">
            <v>PV</v>
          </cell>
          <cell r="D2452" t="str">
            <v>PV</v>
          </cell>
          <cell r="E2452" t="str">
            <v>27010</v>
          </cell>
        </row>
        <row r="2453">
          <cell r="A2453" t="str">
            <v>VERRETTO</v>
          </cell>
          <cell r="B2453" t="str">
            <v>018174</v>
          </cell>
          <cell r="C2453" t="str">
            <v>PV</v>
          </cell>
          <cell r="D2453" t="str">
            <v>PV</v>
          </cell>
          <cell r="E2453" t="str">
            <v>27053</v>
          </cell>
        </row>
        <row r="2454">
          <cell r="A2454" t="str">
            <v>VERRUA PO</v>
          </cell>
          <cell r="B2454" t="str">
            <v>018175</v>
          </cell>
          <cell r="C2454" t="str">
            <v>PV</v>
          </cell>
          <cell r="D2454" t="str">
            <v>PV</v>
          </cell>
          <cell r="E2454" t="str">
            <v>27040</v>
          </cell>
        </row>
        <row r="2455">
          <cell r="A2455" t="str">
            <v>VIDIGULFO</v>
          </cell>
          <cell r="B2455" t="str">
            <v>018176</v>
          </cell>
          <cell r="C2455" t="str">
            <v>PV</v>
          </cell>
          <cell r="D2455" t="str">
            <v>PV</v>
          </cell>
          <cell r="E2455" t="str">
            <v>27018</v>
          </cell>
        </row>
        <row r="2456">
          <cell r="A2456" t="str">
            <v>VIGEVANO</v>
          </cell>
          <cell r="B2456" t="str">
            <v>018177</v>
          </cell>
          <cell r="C2456" t="str">
            <v>PV</v>
          </cell>
          <cell r="D2456" t="str">
            <v>PV</v>
          </cell>
          <cell r="E2456" t="str">
            <v>27029</v>
          </cell>
        </row>
        <row r="2457">
          <cell r="A2457" t="str">
            <v>VILLA BISCOSSI</v>
          </cell>
          <cell r="B2457" t="str">
            <v>018178</v>
          </cell>
          <cell r="C2457" t="str">
            <v>PV</v>
          </cell>
          <cell r="D2457" t="str">
            <v>PV</v>
          </cell>
          <cell r="E2457" t="str">
            <v>27035</v>
          </cell>
        </row>
        <row r="2458">
          <cell r="A2458" t="str">
            <v>VILLANOVA D'ARDENGHI</v>
          </cell>
          <cell r="B2458" t="str">
            <v>018179</v>
          </cell>
          <cell r="C2458" t="str">
            <v>PV</v>
          </cell>
          <cell r="D2458" t="str">
            <v>PV</v>
          </cell>
          <cell r="E2458" t="str">
            <v>27030</v>
          </cell>
        </row>
        <row r="2459">
          <cell r="A2459" t="str">
            <v>VILLANTERIO</v>
          </cell>
          <cell r="B2459" t="str">
            <v>018180</v>
          </cell>
          <cell r="C2459" t="str">
            <v>PV</v>
          </cell>
          <cell r="D2459" t="str">
            <v>PV</v>
          </cell>
          <cell r="E2459" t="str">
            <v>27019</v>
          </cell>
        </row>
        <row r="2460">
          <cell r="A2460" t="str">
            <v>VISTARINO</v>
          </cell>
          <cell r="B2460" t="str">
            <v>018181</v>
          </cell>
          <cell r="C2460" t="str">
            <v>PV</v>
          </cell>
          <cell r="D2460" t="str">
            <v>PV</v>
          </cell>
          <cell r="E2460" t="str">
            <v>27010</v>
          </cell>
        </row>
        <row r="2461">
          <cell r="A2461" t="str">
            <v>VOGHERA</v>
          </cell>
          <cell r="B2461" t="str">
            <v>018182</v>
          </cell>
          <cell r="C2461" t="str">
            <v>PV</v>
          </cell>
          <cell r="D2461" t="str">
            <v>PV</v>
          </cell>
          <cell r="E2461" t="str">
            <v>27058</v>
          </cell>
        </row>
        <row r="2462">
          <cell r="A2462" t="str">
            <v>VOLPARA</v>
          </cell>
          <cell r="B2462" t="str">
            <v>018183</v>
          </cell>
          <cell r="C2462" t="str">
            <v>PV</v>
          </cell>
          <cell r="D2462" t="str">
            <v>PV</v>
          </cell>
          <cell r="E2462" t="str">
            <v>27047</v>
          </cell>
        </row>
        <row r="2463">
          <cell r="A2463" t="str">
            <v>ZAVATTARELLO</v>
          </cell>
          <cell r="B2463" t="str">
            <v>018184</v>
          </cell>
          <cell r="C2463" t="str">
            <v>PV</v>
          </cell>
          <cell r="D2463" t="str">
            <v>PV</v>
          </cell>
          <cell r="E2463" t="str">
            <v>27059</v>
          </cell>
        </row>
        <row r="2464">
          <cell r="A2464" t="str">
            <v>ZECCONE</v>
          </cell>
          <cell r="B2464" t="str">
            <v>018185</v>
          </cell>
          <cell r="C2464" t="str">
            <v>PV</v>
          </cell>
          <cell r="D2464" t="str">
            <v>PV</v>
          </cell>
          <cell r="E2464" t="str">
            <v>27010</v>
          </cell>
        </row>
        <row r="2465">
          <cell r="A2465" t="str">
            <v>ZEME</v>
          </cell>
          <cell r="B2465" t="str">
            <v>018186</v>
          </cell>
          <cell r="C2465" t="str">
            <v>PV</v>
          </cell>
          <cell r="D2465" t="str">
            <v>PV</v>
          </cell>
          <cell r="E2465" t="str">
            <v>27030</v>
          </cell>
        </row>
        <row r="2466">
          <cell r="A2466" t="str">
            <v>ZENEVREDO</v>
          </cell>
          <cell r="B2466" t="str">
            <v>018187</v>
          </cell>
          <cell r="C2466" t="str">
            <v>PV</v>
          </cell>
          <cell r="D2466" t="str">
            <v>PV</v>
          </cell>
          <cell r="E2466" t="str">
            <v>27049</v>
          </cell>
        </row>
        <row r="2467">
          <cell r="A2467" t="str">
            <v>ZERBO</v>
          </cell>
          <cell r="B2467" t="str">
            <v>018188</v>
          </cell>
          <cell r="C2467" t="str">
            <v>PV</v>
          </cell>
          <cell r="D2467" t="str">
            <v>PV</v>
          </cell>
          <cell r="E2467" t="str">
            <v>27017</v>
          </cell>
        </row>
        <row r="2468">
          <cell r="A2468" t="str">
            <v>ZERBOLÒ</v>
          </cell>
          <cell r="B2468" t="str">
            <v>018189</v>
          </cell>
          <cell r="C2468" t="str">
            <v>PV</v>
          </cell>
          <cell r="D2468" t="str">
            <v>PV</v>
          </cell>
          <cell r="E2468" t="str">
            <v>27020</v>
          </cell>
        </row>
        <row r="2469">
          <cell r="A2469" t="str">
            <v>ZINASCO</v>
          </cell>
          <cell r="B2469" t="str">
            <v>018190</v>
          </cell>
          <cell r="C2469" t="str">
            <v>PV</v>
          </cell>
          <cell r="D2469" t="str">
            <v>PV</v>
          </cell>
          <cell r="E2469" t="str">
            <v>27030</v>
          </cell>
        </row>
        <row r="2470">
          <cell r="A2470" t="str">
            <v>CORNALE E BASTIDA</v>
          </cell>
          <cell r="B2470" t="str">
            <v>018191</v>
          </cell>
          <cell r="C2470" t="str">
            <v>PV</v>
          </cell>
          <cell r="D2470" t="e">
            <v>#N/A</v>
          </cell>
          <cell r="E2470" t="e">
            <v>#N/A</v>
          </cell>
        </row>
        <row r="2471">
          <cell r="A2471" t="str">
            <v>CORTEOLONA E GENZONE</v>
          </cell>
          <cell r="B2471" t="str">
            <v>018192</v>
          </cell>
          <cell r="C2471" t="str">
            <v>PV</v>
          </cell>
          <cell r="D2471" t="e">
            <v>#N/A</v>
          </cell>
          <cell r="E2471" t="e">
            <v>#N/A</v>
          </cell>
        </row>
        <row r="2472">
          <cell r="A2472" t="str">
            <v>COLLI VERDI</v>
          </cell>
          <cell r="B2472" t="str">
            <v>018193</v>
          </cell>
          <cell r="C2472" t="str">
            <v>PV</v>
          </cell>
          <cell r="D2472" t="e">
            <v>#N/A</v>
          </cell>
          <cell r="E2472" t="e">
            <v>#N/A</v>
          </cell>
        </row>
        <row r="2473">
          <cell r="A2473" t="str">
            <v>ACQUANEGRA CREMONESE</v>
          </cell>
          <cell r="B2473" t="str">
            <v>019001</v>
          </cell>
          <cell r="C2473" t="str">
            <v>CR</v>
          </cell>
          <cell r="D2473" t="str">
            <v>CR</v>
          </cell>
          <cell r="E2473" t="str">
            <v>26020</v>
          </cell>
        </row>
        <row r="2474">
          <cell r="A2474" t="str">
            <v>AGNADELLO</v>
          </cell>
          <cell r="B2474" t="str">
            <v>019002</v>
          </cell>
          <cell r="C2474" t="str">
            <v>CR</v>
          </cell>
          <cell r="D2474" t="str">
            <v>CR</v>
          </cell>
          <cell r="E2474" t="str">
            <v>26020</v>
          </cell>
        </row>
        <row r="2475">
          <cell r="A2475" t="str">
            <v>ANNICCO</v>
          </cell>
          <cell r="B2475" t="str">
            <v>019003</v>
          </cell>
          <cell r="C2475" t="str">
            <v>CR</v>
          </cell>
          <cell r="D2475" t="str">
            <v>CR</v>
          </cell>
          <cell r="E2475" t="str">
            <v>26021</v>
          </cell>
        </row>
        <row r="2476">
          <cell r="A2476" t="str">
            <v>AZZANELLO</v>
          </cell>
          <cell r="B2476" t="str">
            <v>019004</v>
          </cell>
          <cell r="C2476" t="str">
            <v>CR</v>
          </cell>
          <cell r="D2476" t="str">
            <v>CR</v>
          </cell>
          <cell r="E2476" t="str">
            <v>26010</v>
          </cell>
        </row>
        <row r="2477">
          <cell r="A2477" t="str">
            <v>BAGNOLO CREMASCO</v>
          </cell>
          <cell r="B2477" t="str">
            <v>019005</v>
          </cell>
          <cell r="C2477" t="str">
            <v>CR</v>
          </cell>
          <cell r="D2477" t="str">
            <v>CR</v>
          </cell>
          <cell r="E2477" t="str">
            <v>26010</v>
          </cell>
        </row>
        <row r="2478">
          <cell r="A2478" t="str">
            <v>BONEMERSE</v>
          </cell>
          <cell r="B2478" t="str">
            <v>019006</v>
          </cell>
          <cell r="C2478" t="str">
            <v>CR</v>
          </cell>
          <cell r="D2478" t="str">
            <v>CR</v>
          </cell>
          <cell r="E2478" t="str">
            <v>26040</v>
          </cell>
        </row>
        <row r="2479">
          <cell r="A2479" t="str">
            <v>BORDOLANO</v>
          </cell>
          <cell r="B2479" t="str">
            <v>019007</v>
          </cell>
          <cell r="C2479" t="str">
            <v>CR</v>
          </cell>
          <cell r="D2479" t="str">
            <v>CR</v>
          </cell>
          <cell r="E2479" t="str">
            <v>26020</v>
          </cell>
        </row>
        <row r="2480">
          <cell r="A2480" t="str">
            <v>CALVATONE</v>
          </cell>
          <cell r="B2480" t="str">
            <v>019009</v>
          </cell>
          <cell r="C2480" t="str">
            <v>CR</v>
          </cell>
          <cell r="D2480" t="str">
            <v>CR</v>
          </cell>
          <cell r="E2480" t="str">
            <v>26030</v>
          </cell>
        </row>
        <row r="2481">
          <cell r="A2481" t="str">
            <v>CAMISANO</v>
          </cell>
          <cell r="B2481" t="str">
            <v>019010</v>
          </cell>
          <cell r="C2481" t="str">
            <v>CR</v>
          </cell>
          <cell r="D2481" t="str">
            <v>CR</v>
          </cell>
          <cell r="E2481" t="str">
            <v>26010</v>
          </cell>
        </row>
        <row r="2482">
          <cell r="A2482" t="str">
            <v>CAMPAGNOLA CREMASCA</v>
          </cell>
          <cell r="B2482" t="str">
            <v>019011</v>
          </cell>
          <cell r="C2482" t="str">
            <v>CR</v>
          </cell>
          <cell r="D2482" t="str">
            <v>CR</v>
          </cell>
          <cell r="E2482" t="str">
            <v>26010</v>
          </cell>
        </row>
        <row r="2483">
          <cell r="A2483" t="str">
            <v>CAPERGNANICA</v>
          </cell>
          <cell r="B2483" t="str">
            <v>019012</v>
          </cell>
          <cell r="C2483" t="str">
            <v>CR</v>
          </cell>
          <cell r="D2483" t="str">
            <v>CR</v>
          </cell>
          <cell r="E2483" t="str">
            <v>26010</v>
          </cell>
        </row>
        <row r="2484">
          <cell r="A2484" t="str">
            <v>CAPPELLA CANTONE</v>
          </cell>
          <cell r="B2484" t="str">
            <v>019013</v>
          </cell>
          <cell r="C2484" t="str">
            <v>CR</v>
          </cell>
          <cell r="D2484" t="str">
            <v>CR</v>
          </cell>
          <cell r="E2484" t="str">
            <v>26020</v>
          </cell>
        </row>
        <row r="2485">
          <cell r="A2485" t="str">
            <v>CAPPELLA DE' PICENARDI</v>
          </cell>
          <cell r="B2485" t="str">
            <v>019014</v>
          </cell>
          <cell r="C2485" t="str">
            <v>CR</v>
          </cell>
          <cell r="D2485" t="str">
            <v>CR</v>
          </cell>
          <cell r="E2485" t="str">
            <v>26030</v>
          </cell>
        </row>
        <row r="2486">
          <cell r="A2486" t="str">
            <v>CAPRALBA</v>
          </cell>
          <cell r="B2486" t="str">
            <v>019015</v>
          </cell>
          <cell r="C2486" t="str">
            <v>CR</v>
          </cell>
          <cell r="D2486" t="str">
            <v>CR</v>
          </cell>
          <cell r="E2486" t="str">
            <v>26010</v>
          </cell>
        </row>
        <row r="2487">
          <cell r="A2487" t="str">
            <v>CASALBUTTANO ED UNITI</v>
          </cell>
          <cell r="B2487" t="str">
            <v>019016</v>
          </cell>
          <cell r="C2487" t="str">
            <v>CR</v>
          </cell>
          <cell r="D2487" t="str">
            <v>CR</v>
          </cell>
          <cell r="E2487" t="str">
            <v>26011</v>
          </cell>
        </row>
        <row r="2488">
          <cell r="A2488" t="str">
            <v>CASALE CREMASCO-VIDOLASCO</v>
          </cell>
          <cell r="B2488" t="str">
            <v>019017</v>
          </cell>
          <cell r="C2488" t="str">
            <v>CR</v>
          </cell>
          <cell r="D2488" t="str">
            <v>CR</v>
          </cell>
          <cell r="E2488" t="str">
            <v>26010</v>
          </cell>
        </row>
        <row r="2489">
          <cell r="A2489" t="str">
            <v>CASALETTO CEREDANO</v>
          </cell>
          <cell r="B2489" t="str">
            <v>019018</v>
          </cell>
          <cell r="C2489" t="str">
            <v>CR</v>
          </cell>
          <cell r="D2489" t="str">
            <v>CR</v>
          </cell>
          <cell r="E2489" t="str">
            <v>26010</v>
          </cell>
        </row>
        <row r="2490">
          <cell r="A2490" t="str">
            <v>CASALETTO DI SOPRA</v>
          </cell>
          <cell r="B2490" t="str">
            <v>019019</v>
          </cell>
          <cell r="C2490" t="str">
            <v>CR</v>
          </cell>
          <cell r="D2490" t="str">
            <v>CR</v>
          </cell>
          <cell r="E2490" t="str">
            <v>26014</v>
          </cell>
        </row>
        <row r="2491">
          <cell r="A2491" t="str">
            <v>CASALETTO VAPRIO</v>
          </cell>
          <cell r="B2491" t="str">
            <v>019020</v>
          </cell>
          <cell r="C2491" t="str">
            <v>CR</v>
          </cell>
          <cell r="D2491" t="str">
            <v>CR</v>
          </cell>
          <cell r="E2491" t="str">
            <v>26010</v>
          </cell>
        </row>
        <row r="2492">
          <cell r="A2492" t="str">
            <v>CASALMAGGIORE</v>
          </cell>
          <cell r="B2492" t="str">
            <v>019021</v>
          </cell>
          <cell r="C2492" t="str">
            <v>CR</v>
          </cell>
          <cell r="D2492" t="str">
            <v>CR</v>
          </cell>
          <cell r="E2492" t="str">
            <v>26041</v>
          </cell>
        </row>
        <row r="2493">
          <cell r="A2493" t="str">
            <v>CASALMORANO</v>
          </cell>
          <cell r="B2493" t="str">
            <v>019022</v>
          </cell>
          <cell r="C2493" t="str">
            <v>CR</v>
          </cell>
          <cell r="D2493" t="str">
            <v>CR</v>
          </cell>
          <cell r="E2493" t="str">
            <v>26020</v>
          </cell>
        </row>
        <row r="2494">
          <cell r="A2494" t="str">
            <v>CASTELDIDONE</v>
          </cell>
          <cell r="B2494" t="str">
            <v>019023</v>
          </cell>
          <cell r="C2494" t="str">
            <v>CR</v>
          </cell>
          <cell r="D2494" t="str">
            <v>CR</v>
          </cell>
          <cell r="E2494" t="str">
            <v>26030</v>
          </cell>
        </row>
        <row r="2495">
          <cell r="A2495" t="str">
            <v>CASTEL GABBIANO</v>
          </cell>
          <cell r="B2495" t="str">
            <v>019024</v>
          </cell>
          <cell r="C2495" t="str">
            <v>CR</v>
          </cell>
          <cell r="D2495" t="str">
            <v>CR</v>
          </cell>
          <cell r="E2495" t="str">
            <v>26010</v>
          </cell>
        </row>
        <row r="2496">
          <cell r="A2496" t="str">
            <v>CASTELLEONE</v>
          </cell>
          <cell r="B2496" t="str">
            <v>019025</v>
          </cell>
          <cell r="C2496" t="str">
            <v>CR</v>
          </cell>
          <cell r="D2496" t="str">
            <v>CR</v>
          </cell>
          <cell r="E2496" t="str">
            <v>26012</v>
          </cell>
        </row>
        <row r="2497">
          <cell r="A2497" t="str">
            <v>CASTELVERDE</v>
          </cell>
          <cell r="B2497" t="str">
            <v>019026</v>
          </cell>
          <cell r="C2497" t="str">
            <v>CR</v>
          </cell>
          <cell r="D2497" t="str">
            <v>CR</v>
          </cell>
          <cell r="E2497" t="str">
            <v>26022</v>
          </cell>
        </row>
        <row r="2498">
          <cell r="A2498" t="str">
            <v>CASTELVISCONTI</v>
          </cell>
          <cell r="B2498" t="str">
            <v>019027</v>
          </cell>
          <cell r="C2498" t="str">
            <v>CR</v>
          </cell>
          <cell r="D2498" t="str">
            <v>CR</v>
          </cell>
          <cell r="E2498" t="str">
            <v>26010</v>
          </cell>
        </row>
        <row r="2499">
          <cell r="A2499" t="str">
            <v>CELLA DATI</v>
          </cell>
          <cell r="B2499" t="str">
            <v>019028</v>
          </cell>
          <cell r="C2499" t="str">
            <v>CR</v>
          </cell>
          <cell r="D2499" t="str">
            <v>CR</v>
          </cell>
          <cell r="E2499" t="str">
            <v>26040</v>
          </cell>
        </row>
        <row r="2500">
          <cell r="A2500" t="str">
            <v>CHIEVE</v>
          </cell>
          <cell r="B2500" t="str">
            <v>019029</v>
          </cell>
          <cell r="C2500" t="str">
            <v>CR</v>
          </cell>
          <cell r="D2500" t="str">
            <v>CR</v>
          </cell>
          <cell r="E2500" t="str">
            <v>26010</v>
          </cell>
        </row>
        <row r="2501">
          <cell r="A2501" t="str">
            <v>CICOGNOLO</v>
          </cell>
          <cell r="B2501" t="str">
            <v>019030</v>
          </cell>
          <cell r="C2501" t="str">
            <v>CR</v>
          </cell>
          <cell r="D2501" t="str">
            <v>CR</v>
          </cell>
          <cell r="E2501" t="str">
            <v>26030</v>
          </cell>
        </row>
        <row r="2502">
          <cell r="A2502" t="str">
            <v>CINGIA DE' BOTTI</v>
          </cell>
          <cell r="B2502" t="str">
            <v>019031</v>
          </cell>
          <cell r="C2502" t="str">
            <v>CR</v>
          </cell>
          <cell r="D2502" t="str">
            <v>CR</v>
          </cell>
          <cell r="E2502" t="str">
            <v>26042</v>
          </cell>
        </row>
        <row r="2503">
          <cell r="A2503" t="str">
            <v>CORTE DE' CORTESI CON CIGNONE</v>
          </cell>
          <cell r="B2503" t="str">
            <v>019032</v>
          </cell>
          <cell r="C2503" t="str">
            <v>CR</v>
          </cell>
          <cell r="D2503" t="str">
            <v>CR</v>
          </cell>
          <cell r="E2503" t="str">
            <v>26020</v>
          </cell>
        </row>
        <row r="2504">
          <cell r="A2504" t="str">
            <v>CORTE DE' FRATI</v>
          </cell>
          <cell r="B2504" t="str">
            <v>019033</v>
          </cell>
          <cell r="C2504" t="str">
            <v>CR</v>
          </cell>
          <cell r="D2504" t="str">
            <v>CR</v>
          </cell>
          <cell r="E2504" t="str">
            <v>26010</v>
          </cell>
        </row>
        <row r="2505">
          <cell r="A2505" t="str">
            <v>CREDERA RUBBIANO</v>
          </cell>
          <cell r="B2505" t="str">
            <v>019034</v>
          </cell>
          <cell r="C2505" t="str">
            <v>CR</v>
          </cell>
          <cell r="D2505" t="str">
            <v>CR</v>
          </cell>
          <cell r="E2505" t="str">
            <v>26010</v>
          </cell>
        </row>
        <row r="2506">
          <cell r="A2506" t="str">
            <v>CREMA</v>
          </cell>
          <cell r="B2506" t="str">
            <v>019035</v>
          </cell>
          <cell r="C2506" t="str">
            <v>CR</v>
          </cell>
          <cell r="D2506" t="str">
            <v>CR</v>
          </cell>
          <cell r="E2506" t="str">
            <v>26013</v>
          </cell>
        </row>
        <row r="2507">
          <cell r="A2507" t="str">
            <v>CREMONA</v>
          </cell>
          <cell r="B2507" t="str">
            <v>019036</v>
          </cell>
          <cell r="C2507" t="str">
            <v>CR</v>
          </cell>
          <cell r="D2507" t="str">
            <v>CR</v>
          </cell>
          <cell r="E2507" t="str">
            <v>26100</v>
          </cell>
        </row>
        <row r="2508">
          <cell r="A2508" t="str">
            <v>CREMOSANO</v>
          </cell>
          <cell r="B2508" t="str">
            <v>019037</v>
          </cell>
          <cell r="C2508" t="str">
            <v>CR</v>
          </cell>
          <cell r="D2508" t="str">
            <v>CR</v>
          </cell>
          <cell r="E2508" t="str">
            <v>26010</v>
          </cell>
        </row>
        <row r="2509">
          <cell r="A2509" t="str">
            <v>CROTTA D'ADDA</v>
          </cell>
          <cell r="B2509" t="str">
            <v>019038</v>
          </cell>
          <cell r="C2509" t="str">
            <v>CR</v>
          </cell>
          <cell r="D2509" t="str">
            <v>CR</v>
          </cell>
          <cell r="E2509" t="str">
            <v>26020</v>
          </cell>
        </row>
        <row r="2510">
          <cell r="A2510" t="str">
            <v>CUMIGNANO SUL NAVIGLIO</v>
          </cell>
          <cell r="B2510" t="str">
            <v>019039</v>
          </cell>
          <cell r="C2510" t="str">
            <v>CR</v>
          </cell>
          <cell r="D2510" t="str">
            <v>CR</v>
          </cell>
          <cell r="E2510" t="str">
            <v>26020</v>
          </cell>
        </row>
        <row r="2511">
          <cell r="A2511" t="str">
            <v>DEROVERE</v>
          </cell>
          <cell r="B2511" t="str">
            <v>019040</v>
          </cell>
          <cell r="C2511" t="str">
            <v>CR</v>
          </cell>
          <cell r="D2511" t="str">
            <v>CR</v>
          </cell>
          <cell r="E2511" t="str">
            <v>26040</v>
          </cell>
        </row>
        <row r="2512">
          <cell r="A2512" t="str">
            <v>DOVERA</v>
          </cell>
          <cell r="B2512" t="str">
            <v>019041</v>
          </cell>
          <cell r="C2512" t="str">
            <v>CR</v>
          </cell>
          <cell r="D2512" t="str">
            <v>CR</v>
          </cell>
          <cell r="E2512" t="str">
            <v>26010</v>
          </cell>
        </row>
        <row r="2513">
          <cell r="A2513" t="str">
            <v>FIESCO</v>
          </cell>
          <cell r="B2513" t="str">
            <v>019043</v>
          </cell>
          <cell r="C2513" t="str">
            <v>CR</v>
          </cell>
          <cell r="D2513" t="str">
            <v>CR</v>
          </cell>
          <cell r="E2513" t="str">
            <v>26010</v>
          </cell>
        </row>
        <row r="2514">
          <cell r="A2514" t="str">
            <v>FORMIGARA</v>
          </cell>
          <cell r="B2514" t="str">
            <v>019044</v>
          </cell>
          <cell r="C2514" t="str">
            <v>CR</v>
          </cell>
          <cell r="D2514" t="str">
            <v>CR</v>
          </cell>
          <cell r="E2514" t="str">
            <v>26020</v>
          </cell>
        </row>
        <row r="2515">
          <cell r="A2515" t="str">
            <v>GABBIONETA-BINANUOVA</v>
          </cell>
          <cell r="B2515" t="str">
            <v>019045</v>
          </cell>
          <cell r="C2515" t="str">
            <v>CR</v>
          </cell>
          <cell r="D2515" t="str">
            <v>CR</v>
          </cell>
          <cell r="E2515" t="str">
            <v>26030</v>
          </cell>
        </row>
        <row r="2516">
          <cell r="A2516" t="str">
            <v>GADESCO-PIEVE DELMONA</v>
          </cell>
          <cell r="B2516" t="str">
            <v>019046</v>
          </cell>
          <cell r="C2516" t="str">
            <v>CR</v>
          </cell>
          <cell r="D2516" t="str">
            <v>CR</v>
          </cell>
          <cell r="E2516" t="str">
            <v>26030</v>
          </cell>
        </row>
        <row r="2517">
          <cell r="A2517" t="str">
            <v>GENIVOLTA</v>
          </cell>
          <cell r="B2517" t="str">
            <v>019047</v>
          </cell>
          <cell r="C2517" t="str">
            <v>CR</v>
          </cell>
          <cell r="D2517" t="str">
            <v>CR</v>
          </cell>
          <cell r="E2517" t="str">
            <v>26020</v>
          </cell>
        </row>
        <row r="2518">
          <cell r="A2518" t="str">
            <v>GERRE DE' CAPRIOLI</v>
          </cell>
          <cell r="B2518" t="str">
            <v>019048</v>
          </cell>
          <cell r="C2518" t="str">
            <v>CR</v>
          </cell>
          <cell r="D2518" t="str">
            <v>CR</v>
          </cell>
          <cell r="E2518" t="str">
            <v>26040</v>
          </cell>
        </row>
        <row r="2519">
          <cell r="A2519" t="str">
            <v>GOMBITO</v>
          </cell>
          <cell r="B2519" t="str">
            <v>019049</v>
          </cell>
          <cell r="C2519" t="str">
            <v>CR</v>
          </cell>
          <cell r="D2519" t="str">
            <v>CR</v>
          </cell>
          <cell r="E2519" t="str">
            <v>26020</v>
          </cell>
        </row>
        <row r="2520">
          <cell r="A2520" t="str">
            <v>GRONTARDO</v>
          </cell>
          <cell r="B2520" t="str">
            <v>019050</v>
          </cell>
          <cell r="C2520" t="str">
            <v>CR</v>
          </cell>
          <cell r="D2520" t="str">
            <v>CR</v>
          </cell>
          <cell r="E2520" t="str">
            <v>26044</v>
          </cell>
        </row>
        <row r="2521">
          <cell r="A2521" t="str">
            <v>GRUMELLO CREMONESE ED UNITI</v>
          </cell>
          <cell r="B2521" t="str">
            <v>019051</v>
          </cell>
          <cell r="C2521" t="str">
            <v>CR</v>
          </cell>
          <cell r="D2521" t="str">
            <v>CR</v>
          </cell>
          <cell r="E2521" t="str">
            <v>26023</v>
          </cell>
        </row>
        <row r="2522">
          <cell r="A2522" t="str">
            <v>GUSSOLA</v>
          </cell>
          <cell r="B2522" t="str">
            <v>019052</v>
          </cell>
          <cell r="C2522" t="str">
            <v>CR</v>
          </cell>
          <cell r="D2522" t="str">
            <v>CR</v>
          </cell>
          <cell r="E2522" t="str">
            <v>26040</v>
          </cell>
        </row>
        <row r="2523">
          <cell r="A2523" t="str">
            <v>ISOLA DOVARESE</v>
          </cell>
          <cell r="B2523" t="str">
            <v>019053</v>
          </cell>
          <cell r="C2523" t="str">
            <v>CR</v>
          </cell>
          <cell r="D2523" t="str">
            <v>CR</v>
          </cell>
          <cell r="E2523" t="str">
            <v>26031</v>
          </cell>
        </row>
        <row r="2524">
          <cell r="A2524" t="str">
            <v>IZANO</v>
          </cell>
          <cell r="B2524" t="str">
            <v>019054</v>
          </cell>
          <cell r="C2524" t="str">
            <v>CR</v>
          </cell>
          <cell r="D2524" t="str">
            <v>CR</v>
          </cell>
          <cell r="E2524" t="str">
            <v>26010</v>
          </cell>
        </row>
        <row r="2525">
          <cell r="A2525" t="str">
            <v>MADIGNANO</v>
          </cell>
          <cell r="B2525" t="str">
            <v>019055</v>
          </cell>
          <cell r="C2525" t="str">
            <v>CR</v>
          </cell>
          <cell r="D2525" t="str">
            <v>CR</v>
          </cell>
          <cell r="E2525" t="str">
            <v>26020</v>
          </cell>
        </row>
        <row r="2526">
          <cell r="A2526" t="str">
            <v>MALAGNINO</v>
          </cell>
          <cell r="B2526" t="str">
            <v>019056</v>
          </cell>
          <cell r="C2526" t="str">
            <v>CR</v>
          </cell>
          <cell r="D2526" t="str">
            <v>CR</v>
          </cell>
          <cell r="E2526" t="str">
            <v>26030</v>
          </cell>
        </row>
        <row r="2527">
          <cell r="A2527" t="str">
            <v>MARTIGNANA DI PO</v>
          </cell>
          <cell r="B2527" t="str">
            <v>019057</v>
          </cell>
          <cell r="C2527" t="str">
            <v>CR</v>
          </cell>
          <cell r="D2527" t="str">
            <v>CR</v>
          </cell>
          <cell r="E2527" t="str">
            <v>26040</v>
          </cell>
        </row>
        <row r="2528">
          <cell r="A2528" t="str">
            <v>MONTE CREMASCO</v>
          </cell>
          <cell r="B2528" t="str">
            <v>019058</v>
          </cell>
          <cell r="C2528" t="str">
            <v>CR</v>
          </cell>
          <cell r="D2528" t="str">
            <v>CR</v>
          </cell>
          <cell r="E2528" t="str">
            <v>26010</v>
          </cell>
        </row>
        <row r="2529">
          <cell r="A2529" t="str">
            <v>MONTODINE</v>
          </cell>
          <cell r="B2529" t="str">
            <v>019059</v>
          </cell>
          <cell r="C2529" t="str">
            <v>CR</v>
          </cell>
          <cell r="D2529" t="str">
            <v>CR</v>
          </cell>
          <cell r="E2529" t="str">
            <v>26010</v>
          </cell>
        </row>
        <row r="2530">
          <cell r="A2530" t="str">
            <v>MOSCAZZANO</v>
          </cell>
          <cell r="B2530" t="str">
            <v>019060</v>
          </cell>
          <cell r="C2530" t="str">
            <v>CR</v>
          </cell>
          <cell r="D2530" t="str">
            <v>CR</v>
          </cell>
          <cell r="E2530" t="str">
            <v>26010</v>
          </cell>
        </row>
        <row r="2531">
          <cell r="A2531" t="str">
            <v>MOTTA BALUFFI</v>
          </cell>
          <cell r="B2531" t="str">
            <v>019061</v>
          </cell>
          <cell r="C2531" t="str">
            <v>CR</v>
          </cell>
          <cell r="D2531" t="str">
            <v>CR</v>
          </cell>
          <cell r="E2531" t="str">
            <v>26045</v>
          </cell>
        </row>
        <row r="2532">
          <cell r="A2532" t="str">
            <v>OFFANENGO</v>
          </cell>
          <cell r="B2532" t="str">
            <v>019062</v>
          </cell>
          <cell r="C2532" t="str">
            <v>CR</v>
          </cell>
          <cell r="D2532" t="str">
            <v>CR</v>
          </cell>
          <cell r="E2532" t="str">
            <v>26010</v>
          </cell>
        </row>
        <row r="2533">
          <cell r="A2533" t="str">
            <v>OLMENETA</v>
          </cell>
          <cell r="B2533" t="str">
            <v>019063</v>
          </cell>
          <cell r="C2533" t="str">
            <v>CR</v>
          </cell>
          <cell r="D2533" t="str">
            <v>CR</v>
          </cell>
          <cell r="E2533" t="str">
            <v>26010</v>
          </cell>
        </row>
        <row r="2534">
          <cell r="A2534" t="str">
            <v>OSTIANO</v>
          </cell>
          <cell r="B2534" t="str">
            <v>019064</v>
          </cell>
          <cell r="C2534" t="str">
            <v>CR</v>
          </cell>
          <cell r="D2534" t="str">
            <v>CR</v>
          </cell>
          <cell r="E2534" t="str">
            <v>26032</v>
          </cell>
        </row>
        <row r="2535">
          <cell r="A2535" t="str">
            <v>PADERNO PONCHIELLI</v>
          </cell>
          <cell r="B2535" t="str">
            <v>019065</v>
          </cell>
          <cell r="C2535" t="str">
            <v>CR</v>
          </cell>
          <cell r="D2535" t="str">
            <v>CR</v>
          </cell>
          <cell r="E2535" t="str">
            <v>26024</v>
          </cell>
        </row>
        <row r="2536">
          <cell r="A2536" t="str">
            <v>PALAZZO PIGNANO</v>
          </cell>
          <cell r="B2536" t="str">
            <v>019066</v>
          </cell>
          <cell r="C2536" t="str">
            <v>CR</v>
          </cell>
          <cell r="D2536" t="str">
            <v>CR</v>
          </cell>
          <cell r="E2536" t="str">
            <v>26020</v>
          </cell>
        </row>
        <row r="2537">
          <cell r="A2537" t="str">
            <v>PANDINO</v>
          </cell>
          <cell r="B2537" t="str">
            <v>019067</v>
          </cell>
          <cell r="C2537" t="str">
            <v>CR</v>
          </cell>
          <cell r="D2537" t="str">
            <v>CR</v>
          </cell>
          <cell r="E2537" t="str">
            <v>26025</v>
          </cell>
        </row>
        <row r="2538">
          <cell r="A2538" t="str">
            <v>PERSICO DOSIMO</v>
          </cell>
          <cell r="B2538" t="str">
            <v>019068</v>
          </cell>
          <cell r="C2538" t="str">
            <v>CR</v>
          </cell>
          <cell r="D2538" t="str">
            <v>CR</v>
          </cell>
          <cell r="E2538" t="str">
            <v>26043</v>
          </cell>
        </row>
        <row r="2539">
          <cell r="A2539" t="str">
            <v>PESCAROLO ED UNITI</v>
          </cell>
          <cell r="B2539" t="str">
            <v>019069</v>
          </cell>
          <cell r="C2539" t="str">
            <v>CR</v>
          </cell>
          <cell r="D2539" t="str">
            <v>CR</v>
          </cell>
          <cell r="E2539" t="str">
            <v>26033</v>
          </cell>
        </row>
        <row r="2540">
          <cell r="A2540" t="str">
            <v>PESSINA CREMONESE</v>
          </cell>
          <cell r="B2540" t="str">
            <v>019070</v>
          </cell>
          <cell r="C2540" t="str">
            <v>CR</v>
          </cell>
          <cell r="D2540" t="str">
            <v>CR</v>
          </cell>
          <cell r="E2540" t="str">
            <v>26030</v>
          </cell>
        </row>
        <row r="2541">
          <cell r="A2541" t="str">
            <v>PIANENGO</v>
          </cell>
          <cell r="B2541" t="str">
            <v>019072</v>
          </cell>
          <cell r="C2541" t="str">
            <v>CR</v>
          </cell>
          <cell r="D2541" t="str">
            <v>CR</v>
          </cell>
          <cell r="E2541" t="str">
            <v>26010</v>
          </cell>
        </row>
        <row r="2542">
          <cell r="A2542" t="str">
            <v>PIERANICA</v>
          </cell>
          <cell r="B2542" t="str">
            <v>019073</v>
          </cell>
          <cell r="C2542" t="str">
            <v>CR</v>
          </cell>
          <cell r="D2542" t="str">
            <v>CR</v>
          </cell>
          <cell r="E2542" t="str">
            <v>26017</v>
          </cell>
        </row>
        <row r="2543">
          <cell r="A2543" t="str">
            <v>PIEVE D'OLMI</v>
          </cell>
          <cell r="B2543" t="str">
            <v>019074</v>
          </cell>
          <cell r="C2543" t="str">
            <v>CR</v>
          </cell>
          <cell r="D2543" t="str">
            <v>CR</v>
          </cell>
          <cell r="E2543" t="str">
            <v>26040</v>
          </cell>
        </row>
        <row r="2544">
          <cell r="A2544" t="str">
            <v>PIEVE SAN GIACOMO</v>
          </cell>
          <cell r="B2544" t="str">
            <v>019075</v>
          </cell>
          <cell r="C2544" t="str">
            <v>CR</v>
          </cell>
          <cell r="D2544" t="str">
            <v>CR</v>
          </cell>
          <cell r="E2544" t="str">
            <v>26035</v>
          </cell>
        </row>
        <row r="2545">
          <cell r="A2545" t="str">
            <v>PIZZIGHETTONE</v>
          </cell>
          <cell r="B2545" t="str">
            <v>019076</v>
          </cell>
          <cell r="C2545" t="str">
            <v>CR</v>
          </cell>
          <cell r="D2545" t="str">
            <v>CR</v>
          </cell>
          <cell r="E2545" t="str">
            <v>26026</v>
          </cell>
        </row>
        <row r="2546">
          <cell r="A2546" t="str">
            <v>POZZAGLIO ED UNITI</v>
          </cell>
          <cell r="B2546" t="str">
            <v>019077</v>
          </cell>
          <cell r="C2546" t="str">
            <v>CR</v>
          </cell>
          <cell r="D2546" t="str">
            <v>CR</v>
          </cell>
          <cell r="E2546" t="str">
            <v>26010</v>
          </cell>
        </row>
        <row r="2547">
          <cell r="A2547" t="str">
            <v>QUINTANO</v>
          </cell>
          <cell r="B2547" t="str">
            <v>019078</v>
          </cell>
          <cell r="C2547" t="str">
            <v>CR</v>
          </cell>
          <cell r="D2547" t="str">
            <v>CR</v>
          </cell>
          <cell r="E2547" t="str">
            <v>26017</v>
          </cell>
        </row>
        <row r="2548">
          <cell r="A2548" t="str">
            <v>RICENGO</v>
          </cell>
          <cell r="B2548" t="str">
            <v>019079</v>
          </cell>
          <cell r="C2548" t="str">
            <v>CR</v>
          </cell>
          <cell r="D2548" t="str">
            <v>CR</v>
          </cell>
          <cell r="E2548" t="str">
            <v>26010</v>
          </cell>
        </row>
        <row r="2549">
          <cell r="A2549" t="str">
            <v>RIPALTA ARPINA</v>
          </cell>
          <cell r="B2549" t="str">
            <v>019080</v>
          </cell>
          <cell r="C2549" t="str">
            <v>CR</v>
          </cell>
          <cell r="D2549" t="str">
            <v>CR</v>
          </cell>
          <cell r="E2549" t="str">
            <v>26010</v>
          </cell>
        </row>
        <row r="2550">
          <cell r="A2550" t="str">
            <v>RIPALTA CREMASCA</v>
          </cell>
          <cell r="B2550" t="str">
            <v>019081</v>
          </cell>
          <cell r="C2550" t="str">
            <v>CR</v>
          </cell>
          <cell r="D2550" t="str">
            <v>CR</v>
          </cell>
          <cell r="E2550" t="str">
            <v>26010</v>
          </cell>
        </row>
        <row r="2551">
          <cell r="A2551" t="str">
            <v>RIPALTA GUERINA</v>
          </cell>
          <cell r="B2551" t="str">
            <v>019082</v>
          </cell>
          <cell r="C2551" t="str">
            <v>CR</v>
          </cell>
          <cell r="D2551" t="str">
            <v>CR</v>
          </cell>
          <cell r="E2551" t="str">
            <v>26010</v>
          </cell>
        </row>
        <row r="2552">
          <cell r="A2552" t="str">
            <v>RIVAROLO DEL RE ED UNITI</v>
          </cell>
          <cell r="B2552" t="str">
            <v>019083</v>
          </cell>
          <cell r="C2552" t="str">
            <v>CR</v>
          </cell>
          <cell r="D2552" t="str">
            <v>CR</v>
          </cell>
          <cell r="E2552" t="str">
            <v>26036</v>
          </cell>
        </row>
        <row r="2553">
          <cell r="A2553" t="str">
            <v>RIVOLTA D'ADDA</v>
          </cell>
          <cell r="B2553" t="str">
            <v>019084</v>
          </cell>
          <cell r="C2553" t="str">
            <v>CR</v>
          </cell>
          <cell r="D2553" t="str">
            <v>CR</v>
          </cell>
          <cell r="E2553" t="str">
            <v>26027</v>
          </cell>
        </row>
        <row r="2554">
          <cell r="A2554" t="str">
            <v>ROBECCO D'OGLIO</v>
          </cell>
          <cell r="B2554" t="str">
            <v>019085</v>
          </cell>
          <cell r="C2554" t="str">
            <v>CR</v>
          </cell>
          <cell r="D2554" t="str">
            <v>CR</v>
          </cell>
          <cell r="E2554" t="str">
            <v>26010</v>
          </cell>
        </row>
        <row r="2555">
          <cell r="A2555" t="str">
            <v>ROMANENGO</v>
          </cell>
          <cell r="B2555" t="str">
            <v>019086</v>
          </cell>
          <cell r="C2555" t="str">
            <v>CR</v>
          </cell>
          <cell r="D2555" t="str">
            <v>CR</v>
          </cell>
          <cell r="E2555" t="str">
            <v>26014</v>
          </cell>
        </row>
        <row r="2556">
          <cell r="A2556" t="str">
            <v>SALVIROLA</v>
          </cell>
          <cell r="B2556" t="str">
            <v>019087</v>
          </cell>
          <cell r="C2556" t="str">
            <v>CR</v>
          </cell>
          <cell r="D2556" t="str">
            <v>CR</v>
          </cell>
          <cell r="E2556" t="str">
            <v>26010</v>
          </cell>
        </row>
        <row r="2557">
          <cell r="A2557" t="str">
            <v>SAN BASSANO</v>
          </cell>
          <cell r="B2557" t="str">
            <v>019088</v>
          </cell>
          <cell r="C2557" t="str">
            <v>CR</v>
          </cell>
          <cell r="D2557" t="str">
            <v>CR</v>
          </cell>
          <cell r="E2557" t="str">
            <v>26020</v>
          </cell>
        </row>
        <row r="2558">
          <cell r="A2558" t="str">
            <v>SAN DANIELE PO</v>
          </cell>
          <cell r="B2558" t="str">
            <v>019089</v>
          </cell>
          <cell r="C2558" t="str">
            <v>CR</v>
          </cell>
          <cell r="D2558" t="str">
            <v>CR</v>
          </cell>
          <cell r="E2558" t="str">
            <v>26046</v>
          </cell>
        </row>
        <row r="2559">
          <cell r="A2559" t="str">
            <v>SAN GIOVANNI IN CROCE</v>
          </cell>
          <cell r="B2559" t="str">
            <v>019090</v>
          </cell>
          <cell r="C2559" t="str">
            <v>CR</v>
          </cell>
          <cell r="D2559" t="str">
            <v>CR</v>
          </cell>
          <cell r="E2559" t="str">
            <v>26037</v>
          </cell>
        </row>
        <row r="2560">
          <cell r="A2560" t="str">
            <v>SAN MARTINO DEL LAGO</v>
          </cell>
          <cell r="B2560" t="str">
            <v>019091</v>
          </cell>
          <cell r="C2560" t="str">
            <v>CR</v>
          </cell>
          <cell r="D2560" t="str">
            <v>CR</v>
          </cell>
          <cell r="E2560" t="str">
            <v>26040</v>
          </cell>
        </row>
        <row r="2561">
          <cell r="A2561" t="str">
            <v>SCANDOLARA RAVARA</v>
          </cell>
          <cell r="B2561" t="str">
            <v>019092</v>
          </cell>
          <cell r="C2561" t="str">
            <v>CR</v>
          </cell>
          <cell r="D2561" t="str">
            <v>CR</v>
          </cell>
          <cell r="E2561" t="str">
            <v>26040</v>
          </cell>
        </row>
        <row r="2562">
          <cell r="A2562" t="str">
            <v>SCANDOLARA RIPA D'OGLIO</v>
          </cell>
          <cell r="B2562" t="str">
            <v>019093</v>
          </cell>
          <cell r="C2562" t="str">
            <v>CR</v>
          </cell>
          <cell r="D2562" t="str">
            <v>CR</v>
          </cell>
          <cell r="E2562" t="str">
            <v>26047</v>
          </cell>
        </row>
        <row r="2563">
          <cell r="A2563" t="str">
            <v>SERGNANO</v>
          </cell>
          <cell r="B2563" t="str">
            <v>019094</v>
          </cell>
          <cell r="C2563" t="str">
            <v>CR</v>
          </cell>
          <cell r="D2563" t="str">
            <v>CR</v>
          </cell>
          <cell r="E2563" t="str">
            <v>26010</v>
          </cell>
        </row>
        <row r="2564">
          <cell r="A2564" t="str">
            <v>SESTO ED UNITI</v>
          </cell>
          <cell r="B2564" t="str">
            <v>019095</v>
          </cell>
          <cell r="C2564" t="str">
            <v>CR</v>
          </cell>
          <cell r="D2564" t="str">
            <v>CR</v>
          </cell>
          <cell r="E2564" t="str">
            <v>26028</v>
          </cell>
        </row>
        <row r="2565">
          <cell r="A2565" t="str">
            <v>SOLAROLO RAINERIO</v>
          </cell>
          <cell r="B2565" t="str">
            <v>019096</v>
          </cell>
          <cell r="C2565" t="str">
            <v>CR</v>
          </cell>
          <cell r="D2565" t="str">
            <v>CR</v>
          </cell>
          <cell r="E2565" t="str">
            <v>26030</v>
          </cell>
        </row>
        <row r="2566">
          <cell r="A2566" t="str">
            <v>SONCINO</v>
          </cell>
          <cell r="B2566" t="str">
            <v>019097</v>
          </cell>
          <cell r="C2566" t="str">
            <v>CR</v>
          </cell>
          <cell r="D2566" t="str">
            <v>CR</v>
          </cell>
          <cell r="E2566" t="str">
            <v>26029</v>
          </cell>
        </row>
        <row r="2567">
          <cell r="A2567" t="str">
            <v>SORESINA</v>
          </cell>
          <cell r="B2567" t="str">
            <v>019098</v>
          </cell>
          <cell r="C2567" t="str">
            <v>CR</v>
          </cell>
          <cell r="D2567" t="str">
            <v>CR</v>
          </cell>
          <cell r="E2567" t="str">
            <v>26015</v>
          </cell>
        </row>
        <row r="2568">
          <cell r="A2568" t="str">
            <v>SOSPIRO</v>
          </cell>
          <cell r="B2568" t="str">
            <v>019099</v>
          </cell>
          <cell r="C2568" t="str">
            <v>CR</v>
          </cell>
          <cell r="D2568" t="str">
            <v>CR</v>
          </cell>
          <cell r="E2568" t="str">
            <v>26048</v>
          </cell>
        </row>
        <row r="2569">
          <cell r="A2569" t="str">
            <v>SPINADESCO</v>
          </cell>
          <cell r="B2569" t="str">
            <v>019100</v>
          </cell>
          <cell r="C2569" t="str">
            <v>CR</v>
          </cell>
          <cell r="D2569" t="str">
            <v>CR</v>
          </cell>
          <cell r="E2569" t="str">
            <v>26020</v>
          </cell>
        </row>
        <row r="2570">
          <cell r="A2570" t="str">
            <v>SPINEDA</v>
          </cell>
          <cell r="B2570" t="str">
            <v>019101</v>
          </cell>
          <cell r="C2570" t="str">
            <v>CR</v>
          </cell>
          <cell r="D2570" t="str">
            <v>CR</v>
          </cell>
          <cell r="E2570" t="str">
            <v>26030</v>
          </cell>
        </row>
        <row r="2571">
          <cell r="A2571" t="str">
            <v>SPINO D'ADDA</v>
          </cell>
          <cell r="B2571" t="str">
            <v>019102</v>
          </cell>
          <cell r="C2571" t="str">
            <v>CR</v>
          </cell>
          <cell r="D2571" t="str">
            <v>CR</v>
          </cell>
          <cell r="E2571" t="str">
            <v>26016</v>
          </cell>
        </row>
        <row r="2572">
          <cell r="A2572" t="str">
            <v>STAGNO LOMBARDO</v>
          </cell>
          <cell r="B2572" t="str">
            <v>019103</v>
          </cell>
          <cell r="C2572" t="str">
            <v>CR</v>
          </cell>
          <cell r="D2572" t="str">
            <v>CR</v>
          </cell>
          <cell r="E2572" t="str">
            <v>26049</v>
          </cell>
        </row>
        <row r="2573">
          <cell r="A2573" t="str">
            <v>TICENGO</v>
          </cell>
          <cell r="B2573" t="str">
            <v>019104</v>
          </cell>
          <cell r="C2573" t="str">
            <v>CR</v>
          </cell>
          <cell r="D2573" t="str">
            <v>CR</v>
          </cell>
          <cell r="E2573" t="str">
            <v>26020</v>
          </cell>
        </row>
        <row r="2574">
          <cell r="A2574" t="str">
            <v>TORLINO VIMERCATI</v>
          </cell>
          <cell r="B2574" t="str">
            <v>019105</v>
          </cell>
          <cell r="C2574" t="str">
            <v>CR</v>
          </cell>
          <cell r="D2574" t="str">
            <v>CR</v>
          </cell>
          <cell r="E2574" t="str">
            <v>26017</v>
          </cell>
        </row>
        <row r="2575">
          <cell r="A2575" t="str">
            <v>TORNATA</v>
          </cell>
          <cell r="B2575" t="str">
            <v>019106</v>
          </cell>
          <cell r="C2575" t="str">
            <v>CR</v>
          </cell>
          <cell r="D2575" t="str">
            <v>CR</v>
          </cell>
          <cell r="E2575" t="str">
            <v>26030</v>
          </cell>
        </row>
        <row r="2576">
          <cell r="A2576" t="str">
            <v>TORRE DE' PICENARDI</v>
          </cell>
          <cell r="B2576" t="str">
            <v>019107</v>
          </cell>
          <cell r="C2576" t="str">
            <v>CR</v>
          </cell>
          <cell r="D2576" t="str">
            <v>CR</v>
          </cell>
          <cell r="E2576" t="str">
            <v>26038</v>
          </cell>
        </row>
        <row r="2577">
          <cell r="A2577" t="str">
            <v>TORRICELLA DEL PIZZO</v>
          </cell>
          <cell r="B2577" t="str">
            <v>019108</v>
          </cell>
          <cell r="C2577" t="str">
            <v>CR</v>
          </cell>
          <cell r="D2577" t="str">
            <v>CR</v>
          </cell>
          <cell r="E2577" t="str">
            <v>26040</v>
          </cell>
        </row>
        <row r="2578">
          <cell r="A2578" t="str">
            <v>TRESCORE CREMASCO</v>
          </cell>
          <cell r="B2578" t="str">
            <v>019109</v>
          </cell>
          <cell r="C2578" t="str">
            <v>CR</v>
          </cell>
          <cell r="D2578" t="str">
            <v>CR</v>
          </cell>
          <cell r="E2578" t="str">
            <v>26017</v>
          </cell>
        </row>
        <row r="2579">
          <cell r="A2579" t="str">
            <v>TRIGOLO</v>
          </cell>
          <cell r="B2579" t="str">
            <v>019110</v>
          </cell>
          <cell r="C2579" t="str">
            <v>CR</v>
          </cell>
          <cell r="D2579" t="str">
            <v>CR</v>
          </cell>
          <cell r="E2579" t="str">
            <v>26018</v>
          </cell>
        </row>
        <row r="2580">
          <cell r="A2580" t="str">
            <v>VAIANO CREMASCO</v>
          </cell>
          <cell r="B2580" t="str">
            <v>019111</v>
          </cell>
          <cell r="C2580" t="str">
            <v>CR</v>
          </cell>
          <cell r="D2580" t="str">
            <v>CR</v>
          </cell>
          <cell r="E2580" t="str">
            <v>26010</v>
          </cell>
        </row>
        <row r="2581">
          <cell r="A2581" t="str">
            <v>VAILATE</v>
          </cell>
          <cell r="B2581" t="str">
            <v>019112</v>
          </cell>
          <cell r="C2581" t="str">
            <v>CR</v>
          </cell>
          <cell r="D2581" t="str">
            <v>CR</v>
          </cell>
          <cell r="E2581" t="str">
            <v>26019</v>
          </cell>
        </row>
        <row r="2582">
          <cell r="A2582" t="str">
            <v>VESCOVATO</v>
          </cell>
          <cell r="B2582" t="str">
            <v>019113</v>
          </cell>
          <cell r="C2582" t="str">
            <v>CR</v>
          </cell>
          <cell r="D2582" t="str">
            <v>CR</v>
          </cell>
          <cell r="E2582" t="str">
            <v>26039</v>
          </cell>
        </row>
        <row r="2583">
          <cell r="A2583" t="str">
            <v>VOLONGO</v>
          </cell>
          <cell r="B2583" t="str">
            <v>019114</v>
          </cell>
          <cell r="C2583" t="str">
            <v>CR</v>
          </cell>
          <cell r="D2583" t="str">
            <v>CR</v>
          </cell>
          <cell r="E2583" t="str">
            <v>26030</v>
          </cell>
        </row>
        <row r="2584">
          <cell r="A2584" t="str">
            <v>VOLTIDO</v>
          </cell>
          <cell r="B2584" t="str">
            <v>019115</v>
          </cell>
          <cell r="C2584" t="str">
            <v>CR</v>
          </cell>
          <cell r="D2584" t="str">
            <v>CR</v>
          </cell>
          <cell r="E2584" t="str">
            <v>26030</v>
          </cell>
        </row>
        <row r="2585">
          <cell r="A2585" t="str">
            <v>PIADENA DRIZZONA</v>
          </cell>
          <cell r="B2585" t="str">
            <v>019116</v>
          </cell>
          <cell r="C2585" t="str">
            <v>CR</v>
          </cell>
          <cell r="D2585" t="e">
            <v>#N/A</v>
          </cell>
          <cell r="E2585" t="e">
            <v>#N/A</v>
          </cell>
        </row>
        <row r="2586">
          <cell r="A2586" t="str">
            <v>ACQUANEGRA SUL CHIESE</v>
          </cell>
          <cell r="B2586" t="str">
            <v>020001</v>
          </cell>
          <cell r="C2586" t="str">
            <v>MN</v>
          </cell>
          <cell r="D2586" t="str">
            <v>MN</v>
          </cell>
          <cell r="E2586" t="str">
            <v>46011</v>
          </cell>
        </row>
        <row r="2587">
          <cell r="A2587" t="str">
            <v>ASOLA</v>
          </cell>
          <cell r="B2587" t="str">
            <v>020002</v>
          </cell>
          <cell r="C2587" t="str">
            <v>MN</v>
          </cell>
          <cell r="D2587" t="str">
            <v>MN</v>
          </cell>
          <cell r="E2587" t="str">
            <v>46041</v>
          </cell>
        </row>
        <row r="2588">
          <cell r="A2588" t="str">
            <v>BAGNOLO SAN VITO</v>
          </cell>
          <cell r="B2588" t="str">
            <v>020003</v>
          </cell>
          <cell r="C2588" t="str">
            <v>MN</v>
          </cell>
          <cell r="D2588" t="str">
            <v>MN</v>
          </cell>
          <cell r="E2588" t="str">
            <v>46031</v>
          </cell>
        </row>
        <row r="2589">
          <cell r="A2589" t="str">
            <v>BOZZOLO</v>
          </cell>
          <cell r="B2589" t="str">
            <v>020007</v>
          </cell>
          <cell r="C2589" t="str">
            <v>MN</v>
          </cell>
          <cell r="D2589" t="str">
            <v>MN</v>
          </cell>
          <cell r="E2589" t="str">
            <v>46012</v>
          </cell>
        </row>
        <row r="2590">
          <cell r="A2590" t="str">
            <v>CANNETO SULL'OGLIO</v>
          </cell>
          <cell r="B2590" t="str">
            <v>020008</v>
          </cell>
          <cell r="C2590" t="str">
            <v>MN</v>
          </cell>
          <cell r="D2590" t="str">
            <v>MN</v>
          </cell>
          <cell r="E2590" t="str">
            <v>46013</v>
          </cell>
        </row>
        <row r="2591">
          <cell r="A2591" t="str">
            <v>CASALMORO</v>
          </cell>
          <cell r="B2591" t="str">
            <v>020010</v>
          </cell>
          <cell r="C2591" t="str">
            <v>MN</v>
          </cell>
          <cell r="D2591" t="str">
            <v>MN</v>
          </cell>
          <cell r="E2591" t="str">
            <v>46040</v>
          </cell>
        </row>
        <row r="2592">
          <cell r="A2592" t="str">
            <v>CASALOLDO</v>
          </cell>
          <cell r="B2592" t="str">
            <v>020011</v>
          </cell>
          <cell r="C2592" t="str">
            <v>MN</v>
          </cell>
          <cell r="D2592" t="str">
            <v>MN</v>
          </cell>
          <cell r="E2592" t="str">
            <v>46040</v>
          </cell>
        </row>
        <row r="2593">
          <cell r="A2593" t="str">
            <v>CASALROMANO</v>
          </cell>
          <cell r="B2593" t="str">
            <v>020012</v>
          </cell>
          <cell r="C2593" t="str">
            <v>MN</v>
          </cell>
          <cell r="D2593" t="str">
            <v>MN</v>
          </cell>
          <cell r="E2593" t="str">
            <v>46040</v>
          </cell>
        </row>
        <row r="2594">
          <cell r="A2594" t="str">
            <v>CASTELBELFORTE</v>
          </cell>
          <cell r="B2594" t="str">
            <v>020013</v>
          </cell>
          <cell r="C2594" t="str">
            <v>MN</v>
          </cell>
          <cell r="D2594" t="str">
            <v>MN</v>
          </cell>
          <cell r="E2594" t="str">
            <v>46032</v>
          </cell>
        </row>
        <row r="2595">
          <cell r="A2595" t="str">
            <v>CASTEL D'ARIO</v>
          </cell>
          <cell r="B2595" t="str">
            <v>020014</v>
          </cell>
          <cell r="C2595" t="str">
            <v>MN</v>
          </cell>
          <cell r="D2595" t="str">
            <v>MN</v>
          </cell>
          <cell r="E2595" t="str">
            <v>46033</v>
          </cell>
        </row>
        <row r="2596">
          <cell r="A2596" t="str">
            <v>CASTEL GOFFREDO</v>
          </cell>
          <cell r="B2596" t="str">
            <v>020015</v>
          </cell>
          <cell r="C2596" t="str">
            <v>MN</v>
          </cell>
          <cell r="D2596" t="str">
            <v>MN</v>
          </cell>
          <cell r="E2596" t="str">
            <v>46042</v>
          </cell>
        </row>
        <row r="2597">
          <cell r="A2597" t="str">
            <v>CASTELLUCCHIO</v>
          </cell>
          <cell r="B2597" t="str">
            <v>020016</v>
          </cell>
          <cell r="C2597" t="str">
            <v>MN</v>
          </cell>
          <cell r="D2597" t="str">
            <v>MN</v>
          </cell>
          <cell r="E2597" t="str">
            <v>46014</v>
          </cell>
        </row>
        <row r="2598">
          <cell r="A2598" t="str">
            <v>CASTIGLIONE DELLE STIVIERE</v>
          </cell>
          <cell r="B2598" t="str">
            <v>020017</v>
          </cell>
          <cell r="C2598" t="str">
            <v>MN</v>
          </cell>
          <cell r="D2598" t="str">
            <v>MN</v>
          </cell>
          <cell r="E2598" t="str">
            <v>46043</v>
          </cell>
        </row>
        <row r="2599">
          <cell r="A2599" t="str">
            <v>CAVRIANA</v>
          </cell>
          <cell r="B2599" t="str">
            <v>020018</v>
          </cell>
          <cell r="C2599" t="str">
            <v>MN</v>
          </cell>
          <cell r="D2599" t="str">
            <v>MN</v>
          </cell>
          <cell r="E2599" t="str">
            <v>46040</v>
          </cell>
        </row>
        <row r="2600">
          <cell r="A2600" t="str">
            <v>CERESARA</v>
          </cell>
          <cell r="B2600" t="str">
            <v>020019</v>
          </cell>
          <cell r="C2600" t="str">
            <v>MN</v>
          </cell>
          <cell r="D2600" t="str">
            <v>MN</v>
          </cell>
          <cell r="E2600" t="str">
            <v>46040</v>
          </cell>
        </row>
        <row r="2601">
          <cell r="A2601" t="str">
            <v>COMMESSAGGIO</v>
          </cell>
          <cell r="B2601" t="str">
            <v>020020</v>
          </cell>
          <cell r="C2601" t="str">
            <v>MN</v>
          </cell>
          <cell r="D2601" t="str">
            <v>MN</v>
          </cell>
          <cell r="E2601" t="str">
            <v>46010</v>
          </cell>
        </row>
        <row r="2602">
          <cell r="A2602" t="str">
            <v>CURTATONE</v>
          </cell>
          <cell r="B2602" t="str">
            <v>020021</v>
          </cell>
          <cell r="C2602" t="str">
            <v>MN</v>
          </cell>
          <cell r="D2602" t="str">
            <v>MN</v>
          </cell>
          <cell r="E2602" t="str">
            <v>46010</v>
          </cell>
        </row>
        <row r="2603">
          <cell r="A2603" t="str">
            <v>DOSOLO</v>
          </cell>
          <cell r="B2603" t="str">
            <v>020022</v>
          </cell>
          <cell r="C2603" t="str">
            <v>MN</v>
          </cell>
          <cell r="D2603" t="str">
            <v>MN</v>
          </cell>
          <cell r="E2603" t="str">
            <v>46030</v>
          </cell>
        </row>
        <row r="2604">
          <cell r="A2604" t="str">
            <v>GAZOLDO DEGLI IPPOLITI</v>
          </cell>
          <cell r="B2604" t="str">
            <v>020024</v>
          </cell>
          <cell r="C2604" t="str">
            <v>MN</v>
          </cell>
          <cell r="D2604" t="str">
            <v>MN</v>
          </cell>
          <cell r="E2604" t="str">
            <v>46040</v>
          </cell>
        </row>
        <row r="2605">
          <cell r="A2605" t="str">
            <v>GAZZUOLO</v>
          </cell>
          <cell r="B2605" t="str">
            <v>020025</v>
          </cell>
          <cell r="C2605" t="str">
            <v>MN</v>
          </cell>
          <cell r="D2605" t="str">
            <v>MN</v>
          </cell>
          <cell r="E2605" t="str">
            <v>46010</v>
          </cell>
        </row>
        <row r="2606">
          <cell r="A2606" t="str">
            <v>GOITO</v>
          </cell>
          <cell r="B2606" t="str">
            <v>020026</v>
          </cell>
          <cell r="C2606" t="str">
            <v>MN</v>
          </cell>
          <cell r="D2606" t="str">
            <v>MN</v>
          </cell>
          <cell r="E2606" t="str">
            <v>46044</v>
          </cell>
        </row>
        <row r="2607">
          <cell r="A2607" t="str">
            <v>GONZAGA</v>
          </cell>
          <cell r="B2607" t="str">
            <v>020027</v>
          </cell>
          <cell r="C2607" t="str">
            <v>MN</v>
          </cell>
          <cell r="D2607" t="str">
            <v>MN</v>
          </cell>
          <cell r="E2607" t="str">
            <v>46023</v>
          </cell>
        </row>
        <row r="2608">
          <cell r="A2608" t="str">
            <v>GUIDIZZOLO</v>
          </cell>
          <cell r="B2608" t="str">
            <v>020028</v>
          </cell>
          <cell r="C2608" t="str">
            <v>MN</v>
          </cell>
          <cell r="D2608" t="str">
            <v>MN</v>
          </cell>
          <cell r="E2608" t="str">
            <v>46040</v>
          </cell>
        </row>
        <row r="2609">
          <cell r="A2609" t="str">
            <v>MAGNACAVALLO</v>
          </cell>
          <cell r="B2609" t="str">
            <v>020029</v>
          </cell>
          <cell r="C2609" t="str">
            <v>MN</v>
          </cell>
          <cell r="D2609" t="str">
            <v>MN</v>
          </cell>
          <cell r="E2609" t="str">
            <v>46020</v>
          </cell>
        </row>
        <row r="2610">
          <cell r="A2610" t="str">
            <v>MANTOVA</v>
          </cell>
          <cell r="B2610" t="str">
            <v>020030</v>
          </cell>
          <cell r="C2610" t="str">
            <v>MN</v>
          </cell>
          <cell r="D2610" t="str">
            <v>MN</v>
          </cell>
          <cell r="E2610" t="str">
            <v>46100</v>
          </cell>
        </row>
        <row r="2611">
          <cell r="A2611" t="str">
            <v>MARCARIA</v>
          </cell>
          <cell r="B2611" t="str">
            <v>020031</v>
          </cell>
          <cell r="C2611" t="str">
            <v>MN</v>
          </cell>
          <cell r="D2611" t="str">
            <v>MN</v>
          </cell>
          <cell r="E2611" t="str">
            <v>46010</v>
          </cell>
        </row>
        <row r="2612">
          <cell r="A2612" t="str">
            <v>MARIANA MANTOVANA</v>
          </cell>
          <cell r="B2612" t="str">
            <v>020032</v>
          </cell>
          <cell r="C2612" t="str">
            <v>MN</v>
          </cell>
          <cell r="D2612" t="str">
            <v>MN</v>
          </cell>
          <cell r="E2612" t="str">
            <v>46010</v>
          </cell>
        </row>
        <row r="2613">
          <cell r="A2613" t="str">
            <v>MARMIROLO</v>
          </cell>
          <cell r="B2613" t="str">
            <v>020033</v>
          </cell>
          <cell r="C2613" t="str">
            <v>MN</v>
          </cell>
          <cell r="D2613" t="str">
            <v>MN</v>
          </cell>
          <cell r="E2613" t="str">
            <v>46045</v>
          </cell>
        </row>
        <row r="2614">
          <cell r="A2614" t="str">
            <v>MEDOLE</v>
          </cell>
          <cell r="B2614" t="str">
            <v>020034</v>
          </cell>
          <cell r="C2614" t="str">
            <v>MN</v>
          </cell>
          <cell r="D2614" t="str">
            <v>MN</v>
          </cell>
          <cell r="E2614" t="str">
            <v>46046</v>
          </cell>
        </row>
        <row r="2615">
          <cell r="A2615" t="str">
            <v>MOGLIA</v>
          </cell>
          <cell r="B2615" t="str">
            <v>020035</v>
          </cell>
          <cell r="C2615" t="str">
            <v>MN</v>
          </cell>
          <cell r="D2615" t="str">
            <v>MN</v>
          </cell>
          <cell r="E2615" t="str">
            <v>46024</v>
          </cell>
        </row>
        <row r="2616">
          <cell r="A2616" t="str">
            <v>MONZAMBANO</v>
          </cell>
          <cell r="B2616" t="str">
            <v>020036</v>
          </cell>
          <cell r="C2616" t="str">
            <v>MN</v>
          </cell>
          <cell r="D2616" t="str">
            <v>MN</v>
          </cell>
          <cell r="E2616" t="str">
            <v>46040</v>
          </cell>
        </row>
        <row r="2617">
          <cell r="A2617" t="str">
            <v>MOTTEGGIANA</v>
          </cell>
          <cell r="B2617" t="str">
            <v>020037</v>
          </cell>
          <cell r="C2617" t="str">
            <v>MN</v>
          </cell>
          <cell r="D2617" t="str">
            <v>MN</v>
          </cell>
          <cell r="E2617" t="str">
            <v>46020</v>
          </cell>
        </row>
        <row r="2618">
          <cell r="A2618" t="str">
            <v>OSTIGLIA</v>
          </cell>
          <cell r="B2618" t="str">
            <v>020038</v>
          </cell>
          <cell r="C2618" t="str">
            <v>MN</v>
          </cell>
          <cell r="D2618" t="str">
            <v>MN</v>
          </cell>
          <cell r="E2618" t="str">
            <v>46035</v>
          </cell>
        </row>
        <row r="2619">
          <cell r="A2619" t="str">
            <v>PEGOGNAGA</v>
          </cell>
          <cell r="B2619" t="str">
            <v>020039</v>
          </cell>
          <cell r="C2619" t="str">
            <v>MN</v>
          </cell>
          <cell r="D2619" t="str">
            <v>MN</v>
          </cell>
          <cell r="E2619" t="str">
            <v>46020</v>
          </cell>
        </row>
        <row r="2620">
          <cell r="A2620" t="str">
            <v>PIUBEGA</v>
          </cell>
          <cell r="B2620" t="str">
            <v>020041</v>
          </cell>
          <cell r="C2620" t="str">
            <v>MN</v>
          </cell>
          <cell r="D2620" t="str">
            <v>MN</v>
          </cell>
          <cell r="E2620" t="str">
            <v>46040</v>
          </cell>
        </row>
        <row r="2621">
          <cell r="A2621" t="str">
            <v>POGGIO RUSCO</v>
          </cell>
          <cell r="B2621" t="str">
            <v>020042</v>
          </cell>
          <cell r="C2621" t="str">
            <v>MN</v>
          </cell>
          <cell r="D2621" t="str">
            <v>MN</v>
          </cell>
          <cell r="E2621" t="str">
            <v>46025</v>
          </cell>
        </row>
        <row r="2622">
          <cell r="A2622" t="str">
            <v>POMPONESCO</v>
          </cell>
          <cell r="B2622" t="str">
            <v>020043</v>
          </cell>
          <cell r="C2622" t="str">
            <v>MN</v>
          </cell>
          <cell r="D2622" t="str">
            <v>MN</v>
          </cell>
          <cell r="E2622" t="str">
            <v>46030</v>
          </cell>
        </row>
        <row r="2623">
          <cell r="A2623" t="str">
            <v>PONTI SUL MINCIO</v>
          </cell>
          <cell r="B2623" t="str">
            <v>020044</v>
          </cell>
          <cell r="C2623" t="str">
            <v>MN</v>
          </cell>
          <cell r="D2623" t="str">
            <v>MN</v>
          </cell>
          <cell r="E2623" t="str">
            <v>46040</v>
          </cell>
        </row>
        <row r="2624">
          <cell r="A2624" t="str">
            <v>PORTO MANTOVANO</v>
          </cell>
          <cell r="B2624" t="str">
            <v>020045</v>
          </cell>
          <cell r="C2624" t="str">
            <v>MN</v>
          </cell>
          <cell r="D2624" t="str">
            <v>MN</v>
          </cell>
          <cell r="E2624" t="str">
            <v>46047</v>
          </cell>
        </row>
        <row r="2625">
          <cell r="A2625" t="str">
            <v>QUINGENTOLE</v>
          </cell>
          <cell r="B2625" t="str">
            <v>020046</v>
          </cell>
          <cell r="C2625" t="str">
            <v>MN</v>
          </cell>
          <cell r="D2625" t="str">
            <v>MN</v>
          </cell>
          <cell r="E2625" t="str">
            <v>46020</v>
          </cell>
        </row>
        <row r="2626">
          <cell r="A2626" t="str">
            <v>QUISTELLO</v>
          </cell>
          <cell r="B2626" t="str">
            <v>020047</v>
          </cell>
          <cell r="C2626" t="str">
            <v>MN</v>
          </cell>
          <cell r="D2626" t="str">
            <v>MN</v>
          </cell>
          <cell r="E2626" t="str">
            <v>46026</v>
          </cell>
        </row>
        <row r="2627">
          <cell r="A2627" t="str">
            <v>REDONDESCO</v>
          </cell>
          <cell r="B2627" t="str">
            <v>020048</v>
          </cell>
          <cell r="C2627" t="str">
            <v>MN</v>
          </cell>
          <cell r="D2627" t="str">
            <v>MN</v>
          </cell>
          <cell r="E2627" t="str">
            <v>46010</v>
          </cell>
        </row>
        <row r="2628">
          <cell r="A2628" t="str">
            <v>RIVAROLO MANTOVANO</v>
          </cell>
          <cell r="B2628" t="str">
            <v>020050</v>
          </cell>
          <cell r="C2628" t="str">
            <v>MN</v>
          </cell>
          <cell r="D2628" t="str">
            <v>MN</v>
          </cell>
          <cell r="E2628" t="str">
            <v>46017</v>
          </cell>
        </row>
        <row r="2629">
          <cell r="A2629" t="str">
            <v>RODIGO</v>
          </cell>
          <cell r="B2629" t="str">
            <v>020051</v>
          </cell>
          <cell r="C2629" t="str">
            <v>MN</v>
          </cell>
          <cell r="D2629" t="str">
            <v>MN</v>
          </cell>
          <cell r="E2629" t="str">
            <v>46040</v>
          </cell>
        </row>
        <row r="2630">
          <cell r="A2630" t="str">
            <v>RONCOFERRARO</v>
          </cell>
          <cell r="B2630" t="str">
            <v>020052</v>
          </cell>
          <cell r="C2630" t="str">
            <v>MN</v>
          </cell>
          <cell r="D2630" t="str">
            <v>MN</v>
          </cell>
          <cell r="E2630" t="str">
            <v>46037</v>
          </cell>
        </row>
        <row r="2631">
          <cell r="A2631" t="str">
            <v>ROVERBELLA</v>
          </cell>
          <cell r="B2631" t="str">
            <v>020053</v>
          </cell>
          <cell r="C2631" t="str">
            <v>MN</v>
          </cell>
          <cell r="D2631" t="str">
            <v>MN</v>
          </cell>
          <cell r="E2631" t="str">
            <v>46048</v>
          </cell>
        </row>
        <row r="2632">
          <cell r="A2632" t="str">
            <v>SABBIONETA</v>
          </cell>
          <cell r="B2632" t="str">
            <v>020054</v>
          </cell>
          <cell r="C2632" t="str">
            <v>MN</v>
          </cell>
          <cell r="D2632" t="str">
            <v>MN</v>
          </cell>
          <cell r="E2632" t="str">
            <v>46018</v>
          </cell>
        </row>
        <row r="2633">
          <cell r="A2633" t="str">
            <v>SAN BENEDETTO PO</v>
          </cell>
          <cell r="B2633" t="str">
            <v>020055</v>
          </cell>
          <cell r="C2633" t="str">
            <v>MN</v>
          </cell>
          <cell r="D2633" t="str">
            <v>MN</v>
          </cell>
          <cell r="E2633" t="str">
            <v>46027</v>
          </cell>
        </row>
        <row r="2634">
          <cell r="A2634" t="str">
            <v>SAN GIACOMO DELLE SEGNATE</v>
          </cell>
          <cell r="B2634" t="str">
            <v>020056</v>
          </cell>
          <cell r="C2634" t="str">
            <v>MN</v>
          </cell>
          <cell r="D2634" t="str">
            <v>MN</v>
          </cell>
          <cell r="E2634" t="str">
            <v>46020</v>
          </cell>
        </row>
        <row r="2635">
          <cell r="A2635" t="str">
            <v>SAN GIORGIO BIGARELLO</v>
          </cell>
          <cell r="B2635" t="str">
            <v>020057</v>
          </cell>
          <cell r="C2635" t="str">
            <v>MN</v>
          </cell>
          <cell r="D2635" t="e">
            <v>#N/A</v>
          </cell>
          <cell r="E2635" t="e">
            <v>#N/A</v>
          </cell>
        </row>
        <row r="2636">
          <cell r="A2636" t="str">
            <v>SAN GIOVANNI DEL DOSSO</v>
          </cell>
          <cell r="B2636" t="str">
            <v>020058</v>
          </cell>
          <cell r="C2636" t="str">
            <v>MN</v>
          </cell>
          <cell r="D2636" t="str">
            <v>MN</v>
          </cell>
          <cell r="E2636" t="str">
            <v>46020</v>
          </cell>
        </row>
        <row r="2637">
          <cell r="A2637" t="str">
            <v>SAN MARTINO DALL'ARGINE</v>
          </cell>
          <cell r="B2637" t="str">
            <v>020059</v>
          </cell>
          <cell r="C2637" t="str">
            <v>MN</v>
          </cell>
          <cell r="D2637" t="str">
            <v>MN</v>
          </cell>
          <cell r="E2637" t="str">
            <v>46010</v>
          </cell>
        </row>
        <row r="2638">
          <cell r="A2638" t="str">
            <v>SCHIVENOGLIA</v>
          </cell>
          <cell r="B2638" t="str">
            <v>020060</v>
          </cell>
          <cell r="C2638" t="str">
            <v>MN</v>
          </cell>
          <cell r="D2638" t="str">
            <v>MN</v>
          </cell>
          <cell r="E2638" t="str">
            <v>46020</v>
          </cell>
        </row>
        <row r="2639">
          <cell r="A2639" t="str">
            <v>SERMIDE E FELONICA</v>
          </cell>
          <cell r="B2639" t="str">
            <v>020061</v>
          </cell>
          <cell r="C2639" t="str">
            <v>MN</v>
          </cell>
          <cell r="D2639" t="e">
            <v>#N/A</v>
          </cell>
          <cell r="E2639" t="e">
            <v>#N/A</v>
          </cell>
        </row>
        <row r="2640">
          <cell r="A2640" t="str">
            <v>SERRAVALLE A PO</v>
          </cell>
          <cell r="B2640" t="str">
            <v>020062</v>
          </cell>
          <cell r="C2640" t="str">
            <v>MN</v>
          </cell>
          <cell r="D2640" t="str">
            <v>MN</v>
          </cell>
          <cell r="E2640" t="str">
            <v>46030</v>
          </cell>
        </row>
        <row r="2641">
          <cell r="A2641" t="str">
            <v>SOLFERINO</v>
          </cell>
          <cell r="B2641" t="str">
            <v>020063</v>
          </cell>
          <cell r="C2641" t="str">
            <v>MN</v>
          </cell>
          <cell r="D2641" t="str">
            <v>MN</v>
          </cell>
          <cell r="E2641" t="str">
            <v>46040</v>
          </cell>
        </row>
        <row r="2642">
          <cell r="A2642" t="str">
            <v>SUSTINENTE</v>
          </cell>
          <cell r="B2642" t="str">
            <v>020064</v>
          </cell>
          <cell r="C2642" t="str">
            <v>MN</v>
          </cell>
          <cell r="D2642" t="str">
            <v>MN</v>
          </cell>
          <cell r="E2642" t="str">
            <v>46030</v>
          </cell>
        </row>
        <row r="2643">
          <cell r="A2643" t="str">
            <v>SUZZARA</v>
          </cell>
          <cell r="B2643" t="str">
            <v>020065</v>
          </cell>
          <cell r="C2643" t="str">
            <v>MN</v>
          </cell>
          <cell r="D2643" t="str">
            <v>MN</v>
          </cell>
          <cell r="E2643" t="str">
            <v>46029</v>
          </cell>
        </row>
        <row r="2644">
          <cell r="A2644" t="str">
            <v>VIADANA</v>
          </cell>
          <cell r="B2644" t="str">
            <v>020066</v>
          </cell>
          <cell r="C2644" t="str">
            <v>MN</v>
          </cell>
          <cell r="D2644" t="str">
            <v>MN</v>
          </cell>
          <cell r="E2644" t="str">
            <v>46019</v>
          </cell>
        </row>
        <row r="2645">
          <cell r="A2645" t="str">
            <v>VILLIMPENTA</v>
          </cell>
          <cell r="B2645" t="str">
            <v>020068</v>
          </cell>
          <cell r="C2645" t="str">
            <v>MN</v>
          </cell>
          <cell r="D2645" t="str">
            <v>MN</v>
          </cell>
          <cell r="E2645" t="str">
            <v>46039</v>
          </cell>
        </row>
        <row r="2646">
          <cell r="A2646" t="str">
            <v>VOLTA MANTOVANA</v>
          </cell>
          <cell r="B2646" t="str">
            <v>020070</v>
          </cell>
          <cell r="C2646" t="str">
            <v>MN</v>
          </cell>
          <cell r="D2646" t="str">
            <v>MN</v>
          </cell>
          <cell r="E2646" t="str">
            <v>46049</v>
          </cell>
        </row>
        <row r="2647">
          <cell r="A2647" t="str">
            <v>BORGO VIRGILIO</v>
          </cell>
          <cell r="B2647" t="str">
            <v>020071</v>
          </cell>
          <cell r="C2647" t="str">
            <v>MN</v>
          </cell>
          <cell r="D2647" t="e">
            <v>#N/A</v>
          </cell>
          <cell r="E2647" t="e">
            <v>#N/A</v>
          </cell>
        </row>
        <row r="2648">
          <cell r="A2648" t="str">
            <v>BORGO MANTOVANO</v>
          </cell>
          <cell r="B2648" t="str">
            <v>020072</v>
          </cell>
          <cell r="C2648" t="str">
            <v>MN</v>
          </cell>
          <cell r="D2648" t="e">
            <v>#N/A</v>
          </cell>
          <cell r="E2648" t="e">
            <v>#N/A</v>
          </cell>
        </row>
        <row r="2649">
          <cell r="A2649" t="str">
            <v>BORGOCARBONARA</v>
          </cell>
          <cell r="B2649" t="str">
            <v>020073</v>
          </cell>
          <cell r="C2649" t="str">
            <v>MN</v>
          </cell>
          <cell r="D2649" t="e">
            <v>#N/A</v>
          </cell>
          <cell r="E2649" t="e">
            <v>#N/A</v>
          </cell>
        </row>
        <row r="2650">
          <cell r="A2650" t="str">
            <v>ALDINO</v>
          </cell>
          <cell r="B2650" t="str">
            <v>021001</v>
          </cell>
          <cell r="C2650" t="str">
            <v>BZ</v>
          </cell>
          <cell r="D2650" t="str">
            <v>BZ</v>
          </cell>
          <cell r="E2650" t="str">
            <v>39040</v>
          </cell>
        </row>
        <row r="2651">
          <cell r="A2651" t="str">
            <v>ANDRIANO</v>
          </cell>
          <cell r="B2651" t="str">
            <v>021002</v>
          </cell>
          <cell r="C2651" t="str">
            <v>BZ</v>
          </cell>
          <cell r="D2651" t="str">
            <v>BZ</v>
          </cell>
          <cell r="E2651" t="str">
            <v>39010</v>
          </cell>
        </row>
        <row r="2652">
          <cell r="A2652" t="str">
            <v>ANTERIVO</v>
          </cell>
          <cell r="B2652" t="str">
            <v>021003</v>
          </cell>
          <cell r="C2652" t="str">
            <v>BZ</v>
          </cell>
          <cell r="D2652" t="str">
            <v>BZ</v>
          </cell>
          <cell r="E2652" t="str">
            <v>39040</v>
          </cell>
        </row>
        <row r="2653">
          <cell r="A2653" t="str">
            <v>APPIANO SULLA STRADA DEL VINO</v>
          </cell>
          <cell r="B2653" t="str">
            <v>021004</v>
          </cell>
          <cell r="C2653" t="str">
            <v>BZ</v>
          </cell>
          <cell r="D2653" t="str">
            <v>BZ</v>
          </cell>
          <cell r="E2653" t="str">
            <v>39057</v>
          </cell>
        </row>
        <row r="2654">
          <cell r="A2654" t="str">
            <v>AVELENGO</v>
          </cell>
          <cell r="B2654" t="str">
            <v>021005</v>
          </cell>
          <cell r="C2654" t="str">
            <v>BZ</v>
          </cell>
          <cell r="D2654" t="str">
            <v>BZ</v>
          </cell>
          <cell r="E2654" t="str">
            <v>39010</v>
          </cell>
        </row>
        <row r="2655">
          <cell r="A2655" t="str">
            <v>BADIA</v>
          </cell>
          <cell r="B2655" t="str">
            <v>021006</v>
          </cell>
          <cell r="C2655" t="str">
            <v>BZ</v>
          </cell>
          <cell r="D2655" t="str">
            <v>BZ</v>
          </cell>
          <cell r="E2655" t="str">
            <v>39036</v>
          </cell>
        </row>
        <row r="2656">
          <cell r="A2656" t="str">
            <v>BARBIANO</v>
          </cell>
          <cell r="B2656" t="str">
            <v>021007</v>
          </cell>
          <cell r="C2656" t="str">
            <v>BZ</v>
          </cell>
          <cell r="D2656" t="str">
            <v>BZ</v>
          </cell>
          <cell r="E2656" t="str">
            <v>39040</v>
          </cell>
        </row>
        <row r="2657">
          <cell r="A2657" t="str">
            <v>BOLZANO</v>
          </cell>
          <cell r="B2657" t="str">
            <v>021008</v>
          </cell>
          <cell r="C2657" t="str">
            <v>BZ</v>
          </cell>
          <cell r="D2657" t="str">
            <v>BZ</v>
          </cell>
          <cell r="E2657" t="str">
            <v>39100</v>
          </cell>
        </row>
        <row r="2658">
          <cell r="A2658" t="str">
            <v>BRAIES</v>
          </cell>
          <cell r="B2658" t="str">
            <v>021009</v>
          </cell>
          <cell r="C2658" t="str">
            <v>BZ</v>
          </cell>
          <cell r="D2658" t="str">
            <v>BZ</v>
          </cell>
          <cell r="E2658" t="str">
            <v>39030</v>
          </cell>
        </row>
        <row r="2659">
          <cell r="A2659" t="str">
            <v>BRENNERO</v>
          </cell>
          <cell r="B2659" t="str">
            <v>021010</v>
          </cell>
          <cell r="C2659" t="str">
            <v>BZ</v>
          </cell>
          <cell r="D2659" t="str">
            <v>BZ</v>
          </cell>
          <cell r="E2659" t="str">
            <v>39041</v>
          </cell>
        </row>
        <row r="2660">
          <cell r="A2660" t="str">
            <v>BRESSANONE</v>
          </cell>
          <cell r="B2660" t="str">
            <v>021011</v>
          </cell>
          <cell r="C2660" t="str">
            <v>BZ</v>
          </cell>
          <cell r="D2660" t="str">
            <v>BZ</v>
          </cell>
          <cell r="E2660" t="str">
            <v>39042</v>
          </cell>
        </row>
        <row r="2661">
          <cell r="A2661" t="str">
            <v>BRONZOLO</v>
          </cell>
          <cell r="B2661" t="str">
            <v>021012</v>
          </cell>
          <cell r="C2661" t="str">
            <v>BZ</v>
          </cell>
          <cell r="D2661" t="str">
            <v>BZ</v>
          </cell>
          <cell r="E2661" t="str">
            <v>39051</v>
          </cell>
        </row>
        <row r="2662">
          <cell r="A2662" t="str">
            <v>BRUNICO</v>
          </cell>
          <cell r="B2662" t="str">
            <v>021013</v>
          </cell>
          <cell r="C2662" t="str">
            <v>BZ</v>
          </cell>
          <cell r="D2662" t="str">
            <v>BZ</v>
          </cell>
          <cell r="E2662" t="str">
            <v>39031</v>
          </cell>
        </row>
        <row r="2663">
          <cell r="A2663" t="str">
            <v>CAINES</v>
          </cell>
          <cell r="B2663" t="str">
            <v>021014</v>
          </cell>
          <cell r="C2663" t="str">
            <v>BZ</v>
          </cell>
          <cell r="D2663" t="str">
            <v>BZ</v>
          </cell>
          <cell r="E2663" t="str">
            <v>39010</v>
          </cell>
        </row>
        <row r="2664">
          <cell r="A2664" t="str">
            <v>CALDARO SULLA STRADA DEL VINO</v>
          </cell>
          <cell r="B2664" t="str">
            <v>021015</v>
          </cell>
          <cell r="C2664" t="str">
            <v>BZ</v>
          </cell>
          <cell r="D2664" t="str">
            <v>BZ</v>
          </cell>
          <cell r="E2664" t="str">
            <v>39052</v>
          </cell>
        </row>
        <row r="2665">
          <cell r="A2665" t="str">
            <v>CAMPO DI TRENS</v>
          </cell>
          <cell r="B2665" t="str">
            <v>021016</v>
          </cell>
          <cell r="C2665" t="str">
            <v>BZ</v>
          </cell>
          <cell r="D2665" t="str">
            <v>BZ</v>
          </cell>
          <cell r="E2665" t="str">
            <v>39040</v>
          </cell>
        </row>
        <row r="2666">
          <cell r="A2666" t="str">
            <v>CAMPO TURES</v>
          </cell>
          <cell r="B2666" t="str">
            <v>021017</v>
          </cell>
          <cell r="C2666" t="str">
            <v>BZ</v>
          </cell>
          <cell r="D2666" t="str">
            <v>BZ</v>
          </cell>
          <cell r="E2666" t="str">
            <v>39032</v>
          </cell>
        </row>
        <row r="2667">
          <cell r="A2667" t="str">
            <v>CASTELBELLO-CIARDES</v>
          </cell>
          <cell r="B2667" t="str">
            <v>021018</v>
          </cell>
          <cell r="C2667" t="str">
            <v>BZ</v>
          </cell>
          <cell r="D2667" t="str">
            <v>BZ</v>
          </cell>
          <cell r="E2667" t="str">
            <v>39020</v>
          </cell>
        </row>
        <row r="2668">
          <cell r="A2668" t="str">
            <v>CASTELROTTO</v>
          </cell>
          <cell r="B2668" t="str">
            <v>021019</v>
          </cell>
          <cell r="C2668" t="str">
            <v>BZ</v>
          </cell>
          <cell r="D2668" t="str">
            <v>BZ</v>
          </cell>
          <cell r="E2668" t="str">
            <v>39040</v>
          </cell>
        </row>
        <row r="2669">
          <cell r="A2669" t="str">
            <v>CERMES</v>
          </cell>
          <cell r="B2669" t="str">
            <v>021020</v>
          </cell>
          <cell r="C2669" t="str">
            <v>BZ</v>
          </cell>
          <cell r="D2669" t="str">
            <v>BZ</v>
          </cell>
          <cell r="E2669" t="str">
            <v>39010</v>
          </cell>
        </row>
        <row r="2670">
          <cell r="A2670" t="str">
            <v>CHIENES</v>
          </cell>
          <cell r="B2670" t="str">
            <v>021021</v>
          </cell>
          <cell r="C2670" t="str">
            <v>BZ</v>
          </cell>
          <cell r="D2670" t="str">
            <v>BZ</v>
          </cell>
          <cell r="E2670" t="str">
            <v>39030</v>
          </cell>
        </row>
        <row r="2671">
          <cell r="A2671" t="str">
            <v>CHIUSA</v>
          </cell>
          <cell r="B2671" t="str">
            <v>021022</v>
          </cell>
          <cell r="C2671" t="str">
            <v>BZ</v>
          </cell>
          <cell r="D2671" t="str">
            <v>BZ</v>
          </cell>
          <cell r="E2671" t="str">
            <v>39043</v>
          </cell>
        </row>
        <row r="2672">
          <cell r="A2672" t="str">
            <v>CORNEDO ALL'ISARCO</v>
          </cell>
          <cell r="B2672" t="str">
            <v>021023</v>
          </cell>
          <cell r="C2672" t="str">
            <v>BZ</v>
          </cell>
          <cell r="D2672" t="str">
            <v>BZ</v>
          </cell>
          <cell r="E2672" t="str">
            <v>39053</v>
          </cell>
        </row>
        <row r="2673">
          <cell r="A2673" t="str">
            <v>CORTACCIA SULLA STRADA DEL VINO</v>
          </cell>
          <cell r="B2673" t="str">
            <v>021024</v>
          </cell>
          <cell r="C2673" t="str">
            <v>BZ</v>
          </cell>
          <cell r="D2673" t="str">
            <v>BZ</v>
          </cell>
          <cell r="E2673" t="str">
            <v>39040</v>
          </cell>
        </row>
        <row r="2674">
          <cell r="A2674" t="str">
            <v>CORTINA SULLA STRADA DEL VINO</v>
          </cell>
          <cell r="B2674" t="str">
            <v>021025</v>
          </cell>
          <cell r="C2674" t="str">
            <v>BZ</v>
          </cell>
          <cell r="D2674" t="str">
            <v>BZ</v>
          </cell>
          <cell r="E2674" t="str">
            <v>39040</v>
          </cell>
        </row>
        <row r="2675">
          <cell r="A2675" t="str">
            <v>CORVARA IN BADIA</v>
          </cell>
          <cell r="B2675" t="str">
            <v>021026</v>
          </cell>
          <cell r="C2675" t="str">
            <v>BZ</v>
          </cell>
          <cell r="D2675" t="str">
            <v>BZ</v>
          </cell>
          <cell r="E2675" t="str">
            <v>39033</v>
          </cell>
        </row>
        <row r="2676">
          <cell r="A2676" t="str">
            <v>CURON VENOSTA</v>
          </cell>
          <cell r="B2676" t="str">
            <v>021027</v>
          </cell>
          <cell r="C2676" t="str">
            <v>BZ</v>
          </cell>
          <cell r="D2676" t="str">
            <v>BZ</v>
          </cell>
          <cell r="E2676" t="str">
            <v>39027</v>
          </cell>
        </row>
        <row r="2677">
          <cell r="A2677" t="str">
            <v>DOBBIACO</v>
          </cell>
          <cell r="B2677" t="str">
            <v>021028</v>
          </cell>
          <cell r="C2677" t="str">
            <v>BZ</v>
          </cell>
          <cell r="D2677" t="str">
            <v>BZ</v>
          </cell>
          <cell r="E2677" t="str">
            <v>39034</v>
          </cell>
        </row>
        <row r="2678">
          <cell r="A2678" t="str">
            <v>EGNA</v>
          </cell>
          <cell r="B2678" t="str">
            <v>021029</v>
          </cell>
          <cell r="C2678" t="str">
            <v>BZ</v>
          </cell>
          <cell r="D2678" t="str">
            <v>BZ</v>
          </cell>
          <cell r="E2678" t="str">
            <v>39044</v>
          </cell>
        </row>
        <row r="2679">
          <cell r="A2679" t="str">
            <v>FALZES</v>
          </cell>
          <cell r="B2679" t="str">
            <v>021030</v>
          </cell>
          <cell r="C2679" t="str">
            <v>BZ</v>
          </cell>
          <cell r="D2679" t="str">
            <v>BZ</v>
          </cell>
          <cell r="E2679" t="str">
            <v>39030</v>
          </cell>
        </row>
        <row r="2680">
          <cell r="A2680" t="str">
            <v>FIÈ ALLO SCILIAR</v>
          </cell>
          <cell r="B2680" t="str">
            <v>021031</v>
          </cell>
          <cell r="C2680" t="str">
            <v>BZ</v>
          </cell>
          <cell r="D2680" t="str">
            <v>BZ</v>
          </cell>
          <cell r="E2680" t="str">
            <v>39050</v>
          </cell>
        </row>
        <row r="2681">
          <cell r="A2681" t="str">
            <v>FORTEZZA</v>
          </cell>
          <cell r="B2681" t="str">
            <v>021032</v>
          </cell>
          <cell r="C2681" t="str">
            <v>BZ</v>
          </cell>
          <cell r="D2681" t="str">
            <v>BZ</v>
          </cell>
          <cell r="E2681" t="str">
            <v>39045</v>
          </cell>
        </row>
        <row r="2682">
          <cell r="A2682" t="str">
            <v>FUNES</v>
          </cell>
          <cell r="B2682" t="str">
            <v>021033</v>
          </cell>
          <cell r="C2682" t="str">
            <v>BZ</v>
          </cell>
          <cell r="D2682" t="str">
            <v>BZ</v>
          </cell>
          <cell r="E2682" t="str">
            <v>39040</v>
          </cell>
        </row>
        <row r="2683">
          <cell r="A2683" t="str">
            <v>GAIS</v>
          </cell>
          <cell r="B2683" t="str">
            <v>021034</v>
          </cell>
          <cell r="C2683" t="str">
            <v>BZ</v>
          </cell>
          <cell r="D2683" t="str">
            <v>BZ</v>
          </cell>
          <cell r="E2683" t="str">
            <v>39030</v>
          </cell>
        </row>
        <row r="2684">
          <cell r="A2684" t="str">
            <v>GARGAZZONE</v>
          </cell>
          <cell r="B2684" t="str">
            <v>021035</v>
          </cell>
          <cell r="C2684" t="str">
            <v>BZ</v>
          </cell>
          <cell r="D2684" t="str">
            <v>BZ</v>
          </cell>
          <cell r="E2684" t="str">
            <v>39010</v>
          </cell>
        </row>
        <row r="2685">
          <cell r="A2685" t="str">
            <v>GLORENZA</v>
          </cell>
          <cell r="B2685" t="str">
            <v>021036</v>
          </cell>
          <cell r="C2685" t="str">
            <v>BZ</v>
          </cell>
          <cell r="D2685" t="str">
            <v>BZ</v>
          </cell>
          <cell r="E2685" t="str">
            <v>39020</v>
          </cell>
        </row>
        <row r="2686">
          <cell r="A2686" t="str">
            <v>LACES</v>
          </cell>
          <cell r="B2686" t="str">
            <v>021037</v>
          </cell>
          <cell r="C2686" t="str">
            <v>BZ</v>
          </cell>
          <cell r="D2686" t="str">
            <v>BZ</v>
          </cell>
          <cell r="E2686" t="str">
            <v>39021</v>
          </cell>
        </row>
        <row r="2687">
          <cell r="A2687" t="str">
            <v>LAGUNDO</v>
          </cell>
          <cell r="B2687" t="str">
            <v>021038</v>
          </cell>
          <cell r="C2687" t="str">
            <v>BZ</v>
          </cell>
          <cell r="D2687" t="str">
            <v>BZ</v>
          </cell>
          <cell r="E2687" t="str">
            <v>39022</v>
          </cell>
        </row>
        <row r="2688">
          <cell r="A2688" t="str">
            <v>LAION</v>
          </cell>
          <cell r="B2688" t="str">
            <v>021039</v>
          </cell>
          <cell r="C2688" t="str">
            <v>BZ</v>
          </cell>
          <cell r="D2688" t="str">
            <v>BZ</v>
          </cell>
          <cell r="E2688" t="str">
            <v>39040</v>
          </cell>
        </row>
        <row r="2689">
          <cell r="A2689" t="str">
            <v>LAIVES</v>
          </cell>
          <cell r="B2689" t="str">
            <v>021040</v>
          </cell>
          <cell r="C2689" t="str">
            <v>BZ</v>
          </cell>
          <cell r="D2689" t="str">
            <v>BZ</v>
          </cell>
          <cell r="E2689" t="str">
            <v>39055</v>
          </cell>
        </row>
        <row r="2690">
          <cell r="A2690" t="str">
            <v>LANA</v>
          </cell>
          <cell r="B2690" t="str">
            <v>021041</v>
          </cell>
          <cell r="C2690" t="str">
            <v>BZ</v>
          </cell>
          <cell r="D2690" t="str">
            <v>BZ</v>
          </cell>
          <cell r="E2690" t="str">
            <v>39011</v>
          </cell>
        </row>
        <row r="2691">
          <cell r="A2691" t="str">
            <v>LASA</v>
          </cell>
          <cell r="B2691" t="str">
            <v>021042</v>
          </cell>
          <cell r="C2691" t="str">
            <v>BZ</v>
          </cell>
          <cell r="D2691" t="str">
            <v>BZ</v>
          </cell>
          <cell r="E2691" t="str">
            <v>39023</v>
          </cell>
        </row>
        <row r="2692">
          <cell r="A2692" t="str">
            <v>LAUREGNO</v>
          </cell>
          <cell r="B2692" t="str">
            <v>021043</v>
          </cell>
          <cell r="C2692" t="str">
            <v>BZ</v>
          </cell>
          <cell r="D2692" t="str">
            <v>BZ</v>
          </cell>
          <cell r="E2692" t="str">
            <v>39040</v>
          </cell>
        </row>
        <row r="2693">
          <cell r="A2693" t="str">
            <v>LUSON</v>
          </cell>
          <cell r="B2693" t="str">
            <v>021044</v>
          </cell>
          <cell r="C2693" t="str">
            <v>BZ</v>
          </cell>
          <cell r="D2693" t="str">
            <v>BZ</v>
          </cell>
          <cell r="E2693" t="str">
            <v>39040</v>
          </cell>
        </row>
        <row r="2694">
          <cell r="A2694" t="str">
            <v>MAGRÈ SULLA STRADA DEL VINO</v>
          </cell>
          <cell r="B2694" t="str">
            <v>021045</v>
          </cell>
          <cell r="C2694" t="str">
            <v>BZ</v>
          </cell>
          <cell r="D2694" t="str">
            <v>BZ</v>
          </cell>
          <cell r="E2694" t="str">
            <v>39040</v>
          </cell>
        </row>
        <row r="2695">
          <cell r="A2695" t="str">
            <v>MALLES VENOSTA</v>
          </cell>
          <cell r="B2695" t="str">
            <v>021046</v>
          </cell>
          <cell r="C2695" t="str">
            <v>BZ</v>
          </cell>
          <cell r="D2695" t="str">
            <v>BZ</v>
          </cell>
          <cell r="E2695" t="str">
            <v>39024</v>
          </cell>
        </row>
        <row r="2696">
          <cell r="A2696" t="str">
            <v>MAREBBE</v>
          </cell>
          <cell r="B2696" t="str">
            <v>021047</v>
          </cell>
          <cell r="C2696" t="str">
            <v>BZ</v>
          </cell>
          <cell r="D2696" t="str">
            <v>BZ</v>
          </cell>
          <cell r="E2696" t="str">
            <v>39030</v>
          </cell>
        </row>
        <row r="2697">
          <cell r="A2697" t="str">
            <v>MARLENGO</v>
          </cell>
          <cell r="B2697" t="str">
            <v>021048</v>
          </cell>
          <cell r="C2697" t="str">
            <v>BZ</v>
          </cell>
          <cell r="D2697" t="str">
            <v>BZ</v>
          </cell>
          <cell r="E2697" t="str">
            <v>39020</v>
          </cell>
        </row>
        <row r="2698">
          <cell r="A2698" t="str">
            <v>MARTELLO</v>
          </cell>
          <cell r="B2698" t="str">
            <v>021049</v>
          </cell>
          <cell r="C2698" t="str">
            <v>BZ</v>
          </cell>
          <cell r="D2698" t="str">
            <v>BZ</v>
          </cell>
          <cell r="E2698" t="str">
            <v>39020</v>
          </cell>
        </row>
        <row r="2699">
          <cell r="A2699" t="str">
            <v>MELTINA</v>
          </cell>
          <cell r="B2699" t="str">
            <v>021050</v>
          </cell>
          <cell r="C2699" t="str">
            <v>BZ</v>
          </cell>
          <cell r="D2699" t="str">
            <v>BZ</v>
          </cell>
          <cell r="E2699" t="str">
            <v>39010</v>
          </cell>
        </row>
        <row r="2700">
          <cell r="A2700" t="str">
            <v>MERANO</v>
          </cell>
          <cell r="B2700" t="str">
            <v>021051</v>
          </cell>
          <cell r="C2700" t="str">
            <v>BZ</v>
          </cell>
          <cell r="D2700" t="str">
            <v>BZ</v>
          </cell>
          <cell r="E2700" t="str">
            <v>39012</v>
          </cell>
        </row>
        <row r="2701">
          <cell r="A2701" t="str">
            <v>MONGUELFO-TESIDO</v>
          </cell>
          <cell r="B2701" t="str">
            <v>021052</v>
          </cell>
          <cell r="C2701" t="str">
            <v>BZ</v>
          </cell>
          <cell r="D2701" t="str">
            <v>BZ</v>
          </cell>
          <cell r="E2701" t="str">
            <v>39035</v>
          </cell>
        </row>
        <row r="2702">
          <cell r="A2702" t="str">
            <v>MONTAGNA</v>
          </cell>
          <cell r="B2702" t="str">
            <v>021053</v>
          </cell>
          <cell r="C2702" t="str">
            <v>BZ</v>
          </cell>
          <cell r="D2702" t="str">
            <v>BZ</v>
          </cell>
          <cell r="E2702" t="str">
            <v>39040</v>
          </cell>
        </row>
        <row r="2703">
          <cell r="A2703" t="str">
            <v>MOSO IN PASSIRIA</v>
          </cell>
          <cell r="B2703" t="str">
            <v>021054</v>
          </cell>
          <cell r="C2703" t="str">
            <v>BZ</v>
          </cell>
          <cell r="D2703" t="str">
            <v>BZ</v>
          </cell>
          <cell r="E2703" t="str">
            <v>39013</v>
          </cell>
        </row>
        <row r="2704">
          <cell r="A2704" t="str">
            <v>NALLES</v>
          </cell>
          <cell r="B2704" t="str">
            <v>021055</v>
          </cell>
          <cell r="C2704" t="str">
            <v>BZ</v>
          </cell>
          <cell r="D2704" t="str">
            <v>BZ</v>
          </cell>
          <cell r="E2704" t="str">
            <v>39010</v>
          </cell>
        </row>
        <row r="2705">
          <cell r="A2705" t="str">
            <v>NATURNO</v>
          </cell>
          <cell r="B2705" t="str">
            <v>021056</v>
          </cell>
          <cell r="C2705" t="str">
            <v>BZ</v>
          </cell>
          <cell r="D2705" t="str">
            <v>BZ</v>
          </cell>
          <cell r="E2705" t="str">
            <v>39025</v>
          </cell>
        </row>
        <row r="2706">
          <cell r="A2706" t="str">
            <v>NAZ-SCIAVES</v>
          </cell>
          <cell r="B2706" t="str">
            <v>021057</v>
          </cell>
          <cell r="C2706" t="str">
            <v>BZ</v>
          </cell>
          <cell r="D2706" t="str">
            <v>BZ</v>
          </cell>
          <cell r="E2706" t="str">
            <v>39040</v>
          </cell>
        </row>
        <row r="2707">
          <cell r="A2707" t="str">
            <v>NOVA LEVANTE</v>
          </cell>
          <cell r="B2707" t="str">
            <v>021058</v>
          </cell>
          <cell r="C2707" t="str">
            <v>BZ</v>
          </cell>
          <cell r="D2707" t="str">
            <v>BZ</v>
          </cell>
          <cell r="E2707" t="str">
            <v>39056</v>
          </cell>
        </row>
        <row r="2708">
          <cell r="A2708" t="str">
            <v>NOVA PONENTE</v>
          </cell>
          <cell r="B2708" t="str">
            <v>021059</v>
          </cell>
          <cell r="C2708" t="str">
            <v>BZ</v>
          </cell>
          <cell r="D2708" t="str">
            <v>BZ</v>
          </cell>
          <cell r="E2708" t="str">
            <v>39050</v>
          </cell>
        </row>
        <row r="2709">
          <cell r="A2709" t="str">
            <v>ORA</v>
          </cell>
          <cell r="B2709" t="str">
            <v>021060</v>
          </cell>
          <cell r="C2709" t="str">
            <v>BZ</v>
          </cell>
          <cell r="D2709" t="str">
            <v>BZ</v>
          </cell>
          <cell r="E2709" t="str">
            <v>39040</v>
          </cell>
        </row>
        <row r="2710">
          <cell r="A2710" t="str">
            <v>ORTISEI</v>
          </cell>
          <cell r="B2710" t="str">
            <v>021061</v>
          </cell>
          <cell r="C2710" t="str">
            <v>BZ</v>
          </cell>
          <cell r="D2710" t="str">
            <v>BZ</v>
          </cell>
          <cell r="E2710" t="str">
            <v>39046</v>
          </cell>
        </row>
        <row r="2711">
          <cell r="A2711" t="str">
            <v>PARCINES</v>
          </cell>
          <cell r="B2711" t="str">
            <v>021062</v>
          </cell>
          <cell r="C2711" t="str">
            <v>BZ</v>
          </cell>
          <cell r="D2711" t="str">
            <v>BZ</v>
          </cell>
          <cell r="E2711" t="str">
            <v>39020</v>
          </cell>
        </row>
        <row r="2712">
          <cell r="A2712" t="str">
            <v>PERCA</v>
          </cell>
          <cell r="B2712" t="str">
            <v>021063</v>
          </cell>
          <cell r="C2712" t="str">
            <v>BZ</v>
          </cell>
          <cell r="D2712" t="str">
            <v>BZ</v>
          </cell>
          <cell r="E2712" t="str">
            <v>39030</v>
          </cell>
        </row>
        <row r="2713">
          <cell r="A2713" t="str">
            <v>PLAUS</v>
          </cell>
          <cell r="B2713" t="str">
            <v>021064</v>
          </cell>
          <cell r="C2713" t="str">
            <v>BZ</v>
          </cell>
          <cell r="D2713" t="str">
            <v>BZ</v>
          </cell>
          <cell r="E2713" t="str">
            <v>39025</v>
          </cell>
        </row>
        <row r="2714">
          <cell r="A2714" t="str">
            <v>PONTE GARDENA</v>
          </cell>
          <cell r="B2714" t="str">
            <v>021065</v>
          </cell>
          <cell r="C2714" t="str">
            <v>BZ</v>
          </cell>
          <cell r="D2714" t="str">
            <v>BZ</v>
          </cell>
          <cell r="E2714" t="str">
            <v>39040</v>
          </cell>
        </row>
        <row r="2715">
          <cell r="A2715" t="str">
            <v>POSTAL</v>
          </cell>
          <cell r="B2715" t="str">
            <v>021066</v>
          </cell>
          <cell r="C2715" t="str">
            <v>BZ</v>
          </cell>
          <cell r="D2715" t="str">
            <v>BZ</v>
          </cell>
          <cell r="E2715" t="str">
            <v>39014</v>
          </cell>
        </row>
        <row r="2716">
          <cell r="A2716" t="str">
            <v>PRATO ALLO STELVIO</v>
          </cell>
          <cell r="B2716" t="str">
            <v>021067</v>
          </cell>
          <cell r="C2716" t="str">
            <v>BZ</v>
          </cell>
          <cell r="D2716" t="str">
            <v>BZ</v>
          </cell>
          <cell r="E2716" t="str">
            <v>39026</v>
          </cell>
        </row>
        <row r="2717">
          <cell r="A2717" t="str">
            <v>PREDOI</v>
          </cell>
          <cell r="B2717" t="str">
            <v>021068</v>
          </cell>
          <cell r="C2717" t="str">
            <v>BZ</v>
          </cell>
          <cell r="D2717" t="str">
            <v>BZ</v>
          </cell>
          <cell r="E2717" t="str">
            <v>39030</v>
          </cell>
        </row>
        <row r="2718">
          <cell r="A2718" t="str">
            <v>PROVES</v>
          </cell>
          <cell r="B2718" t="str">
            <v>021069</v>
          </cell>
          <cell r="C2718" t="str">
            <v>BZ</v>
          </cell>
          <cell r="D2718" t="str">
            <v>BZ</v>
          </cell>
          <cell r="E2718" t="str">
            <v>39040</v>
          </cell>
        </row>
        <row r="2719">
          <cell r="A2719" t="str">
            <v>RACINES</v>
          </cell>
          <cell r="B2719" t="str">
            <v>021070</v>
          </cell>
          <cell r="C2719" t="str">
            <v>BZ</v>
          </cell>
          <cell r="D2719" t="str">
            <v>BZ</v>
          </cell>
          <cell r="E2719" t="str">
            <v>39040</v>
          </cell>
        </row>
        <row r="2720">
          <cell r="A2720" t="str">
            <v>RASUN-ANTERSELVA</v>
          </cell>
          <cell r="B2720" t="str">
            <v>021071</v>
          </cell>
          <cell r="C2720" t="str">
            <v>BZ</v>
          </cell>
          <cell r="D2720" t="e">
            <v>#N/A</v>
          </cell>
          <cell r="E2720" t="e">
            <v>#N/A</v>
          </cell>
        </row>
        <row r="2721">
          <cell r="A2721" t="str">
            <v>RENON</v>
          </cell>
          <cell r="B2721" t="str">
            <v>021072</v>
          </cell>
          <cell r="C2721" t="str">
            <v>BZ</v>
          </cell>
          <cell r="D2721" t="str">
            <v>BZ</v>
          </cell>
          <cell r="E2721" t="str">
            <v>39054</v>
          </cell>
        </row>
        <row r="2722">
          <cell r="A2722" t="str">
            <v>RIFIANO</v>
          </cell>
          <cell r="B2722" t="str">
            <v>021073</v>
          </cell>
          <cell r="C2722" t="str">
            <v>BZ</v>
          </cell>
          <cell r="D2722" t="str">
            <v>BZ</v>
          </cell>
          <cell r="E2722" t="str">
            <v>39010</v>
          </cell>
        </row>
        <row r="2723">
          <cell r="A2723" t="str">
            <v>RIO DI PUSTERIA</v>
          </cell>
          <cell r="B2723" t="str">
            <v>021074</v>
          </cell>
          <cell r="C2723" t="str">
            <v>BZ</v>
          </cell>
          <cell r="D2723" t="str">
            <v>BZ</v>
          </cell>
          <cell r="E2723" t="str">
            <v>39037</v>
          </cell>
        </row>
        <row r="2724">
          <cell r="A2724" t="str">
            <v>RODENGO</v>
          </cell>
          <cell r="B2724" t="str">
            <v>021075</v>
          </cell>
          <cell r="C2724" t="str">
            <v>BZ</v>
          </cell>
          <cell r="D2724" t="str">
            <v>BZ</v>
          </cell>
          <cell r="E2724" t="str">
            <v>39037</v>
          </cell>
        </row>
        <row r="2725">
          <cell r="A2725" t="str">
            <v>SALORNO SULLA STRADA DEL VINO</v>
          </cell>
          <cell r="B2725" t="str">
            <v>021076</v>
          </cell>
          <cell r="C2725" t="str">
            <v>BZ</v>
          </cell>
          <cell r="D2725" t="e">
            <v>#N/A</v>
          </cell>
          <cell r="E2725" t="e">
            <v>#N/A</v>
          </cell>
        </row>
        <row r="2726">
          <cell r="A2726" t="str">
            <v>SAN CANDIDO</v>
          </cell>
          <cell r="B2726" t="str">
            <v>021077</v>
          </cell>
          <cell r="C2726" t="str">
            <v>BZ</v>
          </cell>
          <cell r="D2726" t="str">
            <v>BZ</v>
          </cell>
          <cell r="E2726" t="str">
            <v>39038</v>
          </cell>
        </row>
        <row r="2727">
          <cell r="A2727" t="str">
            <v>SAN GENESIO ATESINO</v>
          </cell>
          <cell r="B2727" t="str">
            <v>021079</v>
          </cell>
          <cell r="C2727" t="str">
            <v>BZ</v>
          </cell>
          <cell r="D2727" t="str">
            <v>BZ</v>
          </cell>
          <cell r="E2727" t="str">
            <v>39050</v>
          </cell>
        </row>
        <row r="2728">
          <cell r="A2728" t="str">
            <v>SAN LEONARDO IN PASSIRIA</v>
          </cell>
          <cell r="B2728" t="str">
            <v>021080</v>
          </cell>
          <cell r="C2728" t="str">
            <v>BZ</v>
          </cell>
          <cell r="D2728" t="str">
            <v>BZ</v>
          </cell>
          <cell r="E2728" t="str">
            <v>39015</v>
          </cell>
        </row>
        <row r="2729">
          <cell r="A2729" t="str">
            <v>SAN LORENZO DI SEBATO</v>
          </cell>
          <cell r="B2729" t="str">
            <v>021081</v>
          </cell>
          <cell r="C2729" t="str">
            <v>BZ</v>
          </cell>
          <cell r="D2729" t="str">
            <v>BZ</v>
          </cell>
          <cell r="E2729" t="str">
            <v>39030</v>
          </cell>
        </row>
        <row r="2730">
          <cell r="A2730" t="str">
            <v>SAN MARTINO IN BADIA</v>
          </cell>
          <cell r="B2730" t="str">
            <v>021082</v>
          </cell>
          <cell r="C2730" t="str">
            <v>BZ</v>
          </cell>
          <cell r="D2730" t="str">
            <v>BZ</v>
          </cell>
          <cell r="E2730" t="str">
            <v>39030</v>
          </cell>
        </row>
        <row r="2731">
          <cell r="A2731" t="str">
            <v>SAN MARTINO IN PASSIRIA</v>
          </cell>
          <cell r="B2731" t="str">
            <v>021083</v>
          </cell>
          <cell r="C2731" t="str">
            <v>BZ</v>
          </cell>
          <cell r="D2731" t="str">
            <v>BZ</v>
          </cell>
          <cell r="E2731" t="str">
            <v>39010</v>
          </cell>
        </row>
        <row r="2732">
          <cell r="A2732" t="str">
            <v>SAN PANCRAZIO</v>
          </cell>
          <cell r="B2732" t="str">
            <v>021084</v>
          </cell>
          <cell r="C2732" t="str">
            <v>BZ</v>
          </cell>
          <cell r="D2732" t="str">
            <v>BZ</v>
          </cell>
          <cell r="E2732" t="str">
            <v>39010</v>
          </cell>
        </row>
        <row r="2733">
          <cell r="A2733" t="str">
            <v>SANTA CRISTINA VALGARDENA</v>
          </cell>
          <cell r="B2733" t="str">
            <v>021085</v>
          </cell>
          <cell r="C2733" t="str">
            <v>BZ</v>
          </cell>
          <cell r="D2733" t="str">
            <v>BZ</v>
          </cell>
          <cell r="E2733" t="str">
            <v>39047</v>
          </cell>
        </row>
        <row r="2734">
          <cell r="A2734" t="str">
            <v>SARENTINO</v>
          </cell>
          <cell r="B2734" t="str">
            <v>021086</v>
          </cell>
          <cell r="C2734" t="str">
            <v>BZ</v>
          </cell>
          <cell r="D2734" t="str">
            <v>BZ</v>
          </cell>
          <cell r="E2734" t="str">
            <v>39058</v>
          </cell>
        </row>
        <row r="2735">
          <cell r="A2735" t="str">
            <v>SCENA</v>
          </cell>
          <cell r="B2735" t="str">
            <v>021087</v>
          </cell>
          <cell r="C2735" t="str">
            <v>BZ</v>
          </cell>
          <cell r="D2735" t="str">
            <v>BZ</v>
          </cell>
          <cell r="E2735" t="str">
            <v>39017</v>
          </cell>
        </row>
        <row r="2736">
          <cell r="A2736" t="str">
            <v>SELVA DEI MOLINI</v>
          </cell>
          <cell r="B2736" t="str">
            <v>021088</v>
          </cell>
          <cell r="C2736" t="str">
            <v>BZ</v>
          </cell>
          <cell r="D2736" t="str">
            <v>BZ</v>
          </cell>
          <cell r="E2736" t="str">
            <v>39030</v>
          </cell>
        </row>
        <row r="2737">
          <cell r="A2737" t="str">
            <v>SELVA DI VAL GARDENA</v>
          </cell>
          <cell r="B2737" t="str">
            <v>021089</v>
          </cell>
          <cell r="C2737" t="str">
            <v>BZ</v>
          </cell>
          <cell r="D2737" t="str">
            <v>BZ</v>
          </cell>
          <cell r="E2737" t="str">
            <v>39048</v>
          </cell>
        </row>
        <row r="2738">
          <cell r="A2738" t="str">
            <v>SENALES</v>
          </cell>
          <cell r="B2738" t="str">
            <v>021091</v>
          </cell>
          <cell r="C2738" t="str">
            <v>BZ</v>
          </cell>
          <cell r="D2738" t="str">
            <v>BZ</v>
          </cell>
          <cell r="E2738" t="str">
            <v>39020</v>
          </cell>
        </row>
        <row r="2739">
          <cell r="A2739" t="str">
            <v>SESTO</v>
          </cell>
          <cell r="B2739" t="str">
            <v>021092</v>
          </cell>
          <cell r="C2739" t="str">
            <v>BZ</v>
          </cell>
          <cell r="D2739" t="str">
            <v>BZ</v>
          </cell>
          <cell r="E2739" t="str">
            <v>39030</v>
          </cell>
        </row>
        <row r="2740">
          <cell r="A2740" t="str">
            <v>SILANDRO</v>
          </cell>
          <cell r="B2740" t="str">
            <v>021093</v>
          </cell>
          <cell r="C2740" t="str">
            <v>BZ</v>
          </cell>
          <cell r="D2740" t="str">
            <v>BZ</v>
          </cell>
          <cell r="E2740" t="str">
            <v>39028</v>
          </cell>
        </row>
        <row r="2741">
          <cell r="A2741" t="str">
            <v>SLUDERNO</v>
          </cell>
          <cell r="B2741" t="str">
            <v>021094</v>
          </cell>
          <cell r="C2741" t="str">
            <v>BZ</v>
          </cell>
          <cell r="D2741" t="str">
            <v>BZ</v>
          </cell>
          <cell r="E2741" t="str">
            <v>39020</v>
          </cell>
        </row>
        <row r="2742">
          <cell r="A2742" t="str">
            <v>STELVIO</v>
          </cell>
          <cell r="B2742" t="str">
            <v>021095</v>
          </cell>
          <cell r="C2742" t="str">
            <v>BZ</v>
          </cell>
          <cell r="D2742" t="str">
            <v>BZ</v>
          </cell>
          <cell r="E2742" t="str">
            <v>39029</v>
          </cell>
        </row>
        <row r="2743">
          <cell r="A2743" t="str">
            <v>TERENTO</v>
          </cell>
          <cell r="B2743" t="str">
            <v>021096</v>
          </cell>
          <cell r="C2743" t="str">
            <v>BZ</v>
          </cell>
          <cell r="D2743" t="str">
            <v>BZ</v>
          </cell>
          <cell r="E2743" t="str">
            <v>39030</v>
          </cell>
        </row>
        <row r="2744">
          <cell r="A2744" t="str">
            <v>TERLANO</v>
          </cell>
          <cell r="B2744" t="str">
            <v>021097</v>
          </cell>
          <cell r="C2744" t="str">
            <v>BZ</v>
          </cell>
          <cell r="D2744" t="str">
            <v>BZ</v>
          </cell>
          <cell r="E2744" t="str">
            <v>39018</v>
          </cell>
        </row>
        <row r="2745">
          <cell r="A2745" t="str">
            <v>TERMENO SULLA STRADA DEL VINO</v>
          </cell>
          <cell r="B2745" t="str">
            <v>021098</v>
          </cell>
          <cell r="C2745" t="str">
            <v>BZ</v>
          </cell>
          <cell r="D2745" t="str">
            <v>BZ</v>
          </cell>
          <cell r="E2745" t="str">
            <v>39040</v>
          </cell>
        </row>
        <row r="2746">
          <cell r="A2746" t="str">
            <v>TESIMO</v>
          </cell>
          <cell r="B2746" t="str">
            <v>021099</v>
          </cell>
          <cell r="C2746" t="str">
            <v>BZ</v>
          </cell>
          <cell r="D2746" t="str">
            <v>BZ</v>
          </cell>
          <cell r="E2746" t="str">
            <v>39010</v>
          </cell>
        </row>
        <row r="2747">
          <cell r="A2747" t="str">
            <v>TIRES</v>
          </cell>
          <cell r="B2747" t="str">
            <v>021100</v>
          </cell>
          <cell r="C2747" t="str">
            <v>BZ</v>
          </cell>
          <cell r="D2747" t="str">
            <v>BZ</v>
          </cell>
          <cell r="E2747" t="str">
            <v>39050</v>
          </cell>
        </row>
        <row r="2748">
          <cell r="A2748" t="str">
            <v>TIROLO</v>
          </cell>
          <cell r="B2748" t="str">
            <v>021101</v>
          </cell>
          <cell r="C2748" t="str">
            <v>BZ</v>
          </cell>
          <cell r="D2748" t="str">
            <v>BZ</v>
          </cell>
          <cell r="E2748" t="str">
            <v>39019</v>
          </cell>
        </row>
        <row r="2749">
          <cell r="A2749" t="str">
            <v>TRODENA NEL PARCO NATURALE</v>
          </cell>
          <cell r="B2749" t="str">
            <v>021102</v>
          </cell>
          <cell r="C2749" t="str">
            <v>BZ</v>
          </cell>
          <cell r="D2749" t="str">
            <v>BZ</v>
          </cell>
          <cell r="E2749" t="str">
            <v>39040</v>
          </cell>
        </row>
        <row r="2750">
          <cell r="A2750" t="str">
            <v>TUBRE</v>
          </cell>
          <cell r="B2750" t="str">
            <v>021103</v>
          </cell>
          <cell r="C2750" t="str">
            <v>BZ</v>
          </cell>
          <cell r="D2750" t="str">
            <v>BZ</v>
          </cell>
          <cell r="E2750" t="str">
            <v>39020</v>
          </cell>
        </row>
        <row r="2751">
          <cell r="A2751" t="str">
            <v>ULTIMO</v>
          </cell>
          <cell r="B2751" t="str">
            <v>021104</v>
          </cell>
          <cell r="C2751" t="str">
            <v>BZ</v>
          </cell>
          <cell r="D2751" t="str">
            <v>BZ</v>
          </cell>
          <cell r="E2751" t="str">
            <v>39016</v>
          </cell>
        </row>
        <row r="2752">
          <cell r="A2752" t="str">
            <v>VADENA</v>
          </cell>
          <cell r="B2752" t="str">
            <v>021105</v>
          </cell>
          <cell r="C2752" t="str">
            <v>BZ</v>
          </cell>
          <cell r="D2752" t="str">
            <v>BZ</v>
          </cell>
          <cell r="E2752" t="str">
            <v>39051</v>
          </cell>
        </row>
        <row r="2753">
          <cell r="A2753" t="str">
            <v>VALDAORA</v>
          </cell>
          <cell r="B2753" t="str">
            <v>021106</v>
          </cell>
          <cell r="C2753" t="str">
            <v>BZ</v>
          </cell>
          <cell r="D2753" t="str">
            <v>BZ</v>
          </cell>
          <cell r="E2753" t="str">
            <v>39030</v>
          </cell>
        </row>
        <row r="2754">
          <cell r="A2754" t="str">
            <v>VAL DI VIZZE</v>
          </cell>
          <cell r="B2754" t="str">
            <v>021107</v>
          </cell>
          <cell r="C2754" t="str">
            <v>BZ</v>
          </cell>
          <cell r="D2754" t="str">
            <v>BZ</v>
          </cell>
          <cell r="E2754" t="str">
            <v>39049</v>
          </cell>
        </row>
        <row r="2755">
          <cell r="A2755" t="str">
            <v>VALLE AURINA</v>
          </cell>
          <cell r="B2755" t="str">
            <v>021108</v>
          </cell>
          <cell r="C2755" t="str">
            <v>BZ</v>
          </cell>
          <cell r="D2755" t="str">
            <v>BZ</v>
          </cell>
          <cell r="E2755" t="str">
            <v>39030</v>
          </cell>
        </row>
        <row r="2756">
          <cell r="A2756" t="str">
            <v>VALLE DI CASIES</v>
          </cell>
          <cell r="B2756" t="str">
            <v>021109</v>
          </cell>
          <cell r="C2756" t="str">
            <v>BZ</v>
          </cell>
          <cell r="D2756" t="str">
            <v>BZ</v>
          </cell>
          <cell r="E2756" t="str">
            <v>39030</v>
          </cell>
        </row>
        <row r="2757">
          <cell r="A2757" t="str">
            <v>VANDOIES</v>
          </cell>
          <cell r="B2757" t="str">
            <v>021110</v>
          </cell>
          <cell r="C2757" t="str">
            <v>BZ</v>
          </cell>
          <cell r="D2757" t="str">
            <v>BZ</v>
          </cell>
          <cell r="E2757" t="str">
            <v>39030</v>
          </cell>
        </row>
        <row r="2758">
          <cell r="A2758" t="str">
            <v>VARNA</v>
          </cell>
          <cell r="B2758" t="str">
            <v>021111</v>
          </cell>
          <cell r="C2758" t="str">
            <v>BZ</v>
          </cell>
          <cell r="D2758" t="str">
            <v>BZ</v>
          </cell>
          <cell r="E2758" t="str">
            <v>39040</v>
          </cell>
        </row>
        <row r="2759">
          <cell r="A2759" t="str">
            <v>VERANO</v>
          </cell>
          <cell r="B2759" t="str">
            <v>021112</v>
          </cell>
          <cell r="C2759" t="str">
            <v>BZ</v>
          </cell>
          <cell r="D2759" t="str">
            <v>BZ</v>
          </cell>
          <cell r="E2759" t="str">
            <v>39010</v>
          </cell>
        </row>
        <row r="2760">
          <cell r="A2760" t="str">
            <v>VILLABASSA</v>
          </cell>
          <cell r="B2760" t="str">
            <v>021113</v>
          </cell>
          <cell r="C2760" t="str">
            <v>BZ</v>
          </cell>
          <cell r="D2760" t="str">
            <v>BZ</v>
          </cell>
          <cell r="E2760" t="str">
            <v>39039</v>
          </cell>
        </row>
        <row r="2761">
          <cell r="A2761" t="str">
            <v>VILLANDRO</v>
          </cell>
          <cell r="B2761" t="str">
            <v>021114</v>
          </cell>
          <cell r="C2761" t="str">
            <v>BZ</v>
          </cell>
          <cell r="D2761" t="str">
            <v>BZ</v>
          </cell>
          <cell r="E2761" t="str">
            <v>39040</v>
          </cell>
        </row>
        <row r="2762">
          <cell r="A2762" t="str">
            <v>VIPITENO</v>
          </cell>
          <cell r="B2762" t="str">
            <v>021115</v>
          </cell>
          <cell r="C2762" t="str">
            <v>BZ</v>
          </cell>
          <cell r="D2762" t="str">
            <v>BZ</v>
          </cell>
          <cell r="E2762" t="str">
            <v>39049</v>
          </cell>
        </row>
        <row r="2763">
          <cell r="A2763" t="str">
            <v>VELTURNO</v>
          </cell>
          <cell r="B2763" t="str">
            <v>021116</v>
          </cell>
          <cell r="C2763" t="str">
            <v>BZ</v>
          </cell>
          <cell r="D2763" t="str">
            <v>BZ</v>
          </cell>
          <cell r="E2763" t="str">
            <v>39040</v>
          </cell>
        </row>
        <row r="2764">
          <cell r="A2764" t="str">
            <v>LA VALLE</v>
          </cell>
          <cell r="B2764" t="str">
            <v>021117</v>
          </cell>
          <cell r="C2764" t="str">
            <v>BZ</v>
          </cell>
          <cell r="D2764" t="str">
            <v>BZ</v>
          </cell>
          <cell r="E2764" t="str">
            <v>39030</v>
          </cell>
        </row>
        <row r="2765">
          <cell r="A2765" t="str">
            <v>SENALE-SAN FELICE</v>
          </cell>
          <cell r="B2765" t="str">
            <v>021118</v>
          </cell>
          <cell r="C2765" t="str">
            <v>BZ</v>
          </cell>
          <cell r="D2765" t="str">
            <v>BZ</v>
          </cell>
          <cell r="E2765" t="str">
            <v>39010</v>
          </cell>
        </row>
        <row r="2766">
          <cell r="A2766" t="str">
            <v>ALA</v>
          </cell>
          <cell r="B2766" t="str">
            <v>022001</v>
          </cell>
          <cell r="C2766" t="str">
            <v>TN</v>
          </cell>
          <cell r="D2766" t="str">
            <v>TN</v>
          </cell>
          <cell r="E2766" t="str">
            <v>38061</v>
          </cell>
        </row>
        <row r="2767">
          <cell r="A2767" t="str">
            <v>ALBIANO</v>
          </cell>
          <cell r="B2767" t="str">
            <v>022002</v>
          </cell>
          <cell r="C2767" t="str">
            <v>TN</v>
          </cell>
          <cell r="D2767" t="str">
            <v>TN</v>
          </cell>
          <cell r="E2767" t="str">
            <v>38041</v>
          </cell>
        </row>
        <row r="2768">
          <cell r="A2768" t="str">
            <v>ALDENO</v>
          </cell>
          <cell r="B2768" t="str">
            <v>022003</v>
          </cell>
          <cell r="C2768" t="str">
            <v>TN</v>
          </cell>
          <cell r="D2768" t="str">
            <v>TN</v>
          </cell>
          <cell r="E2768" t="str">
            <v>38060</v>
          </cell>
        </row>
        <row r="2769">
          <cell r="A2769" t="str">
            <v>ANDALO</v>
          </cell>
          <cell r="B2769" t="str">
            <v>022005</v>
          </cell>
          <cell r="C2769" t="str">
            <v>TN</v>
          </cell>
          <cell r="D2769" t="str">
            <v>TN</v>
          </cell>
          <cell r="E2769" t="str">
            <v>38010</v>
          </cell>
        </row>
        <row r="2770">
          <cell r="A2770" t="str">
            <v>ARCO</v>
          </cell>
          <cell r="B2770" t="str">
            <v>022006</v>
          </cell>
          <cell r="C2770" t="str">
            <v>TN</v>
          </cell>
          <cell r="D2770" t="str">
            <v>TN</v>
          </cell>
          <cell r="E2770" t="str">
            <v>38062</v>
          </cell>
        </row>
        <row r="2771">
          <cell r="A2771" t="str">
            <v>AVIO</v>
          </cell>
          <cell r="B2771" t="str">
            <v>022007</v>
          </cell>
          <cell r="C2771" t="str">
            <v>TN</v>
          </cell>
          <cell r="D2771" t="str">
            <v>TN</v>
          </cell>
          <cell r="E2771" t="str">
            <v>38063</v>
          </cell>
        </row>
        <row r="2772">
          <cell r="A2772" t="str">
            <v>BASELGA DI PINÈ</v>
          </cell>
          <cell r="B2772" t="str">
            <v>022009</v>
          </cell>
          <cell r="C2772" t="str">
            <v>TN</v>
          </cell>
          <cell r="D2772" t="str">
            <v>TN</v>
          </cell>
          <cell r="E2772" t="str">
            <v>38042</v>
          </cell>
        </row>
        <row r="2773">
          <cell r="A2773" t="str">
            <v>BEDOLLO</v>
          </cell>
          <cell r="B2773" t="str">
            <v>022011</v>
          </cell>
          <cell r="C2773" t="str">
            <v>TN</v>
          </cell>
          <cell r="D2773" t="str">
            <v>TN</v>
          </cell>
          <cell r="E2773" t="str">
            <v>38043</v>
          </cell>
        </row>
        <row r="2774">
          <cell r="A2774" t="str">
            <v>BESENELLO</v>
          </cell>
          <cell r="B2774" t="str">
            <v>022013</v>
          </cell>
          <cell r="C2774" t="str">
            <v>TN</v>
          </cell>
          <cell r="D2774" t="str">
            <v>TN</v>
          </cell>
          <cell r="E2774" t="str">
            <v>38060</v>
          </cell>
        </row>
        <row r="2775">
          <cell r="A2775" t="str">
            <v>BIENO</v>
          </cell>
          <cell r="B2775" t="str">
            <v>022015</v>
          </cell>
          <cell r="C2775" t="str">
            <v>TN</v>
          </cell>
          <cell r="D2775" t="str">
            <v>TN</v>
          </cell>
          <cell r="E2775" t="str">
            <v>38050</v>
          </cell>
        </row>
        <row r="2776">
          <cell r="A2776" t="str">
            <v>BLEGGIO SUPERIORE</v>
          </cell>
          <cell r="B2776" t="str">
            <v>022017</v>
          </cell>
          <cell r="C2776" t="str">
            <v>TN</v>
          </cell>
          <cell r="D2776" t="str">
            <v>TN</v>
          </cell>
          <cell r="E2776" t="str">
            <v>38071</v>
          </cell>
        </row>
        <row r="2777">
          <cell r="A2777" t="str">
            <v>BOCENAGO</v>
          </cell>
          <cell r="B2777" t="str">
            <v>022018</v>
          </cell>
          <cell r="C2777" t="str">
            <v>TN</v>
          </cell>
          <cell r="D2777" t="str">
            <v>TN</v>
          </cell>
          <cell r="E2777" t="str">
            <v>38080</v>
          </cell>
        </row>
        <row r="2778">
          <cell r="A2778" t="str">
            <v>BONDONE</v>
          </cell>
          <cell r="B2778" t="str">
            <v>022021</v>
          </cell>
          <cell r="C2778" t="str">
            <v>TN</v>
          </cell>
          <cell r="D2778" t="str">
            <v>TN</v>
          </cell>
          <cell r="E2778" t="str">
            <v>38080</v>
          </cell>
        </row>
        <row r="2779">
          <cell r="A2779" t="str">
            <v>BORGO VALSUGANA</v>
          </cell>
          <cell r="B2779" t="str">
            <v>022022</v>
          </cell>
          <cell r="C2779" t="str">
            <v>TN</v>
          </cell>
          <cell r="D2779" t="str">
            <v>TN</v>
          </cell>
          <cell r="E2779" t="str">
            <v>38051</v>
          </cell>
        </row>
        <row r="2780">
          <cell r="A2780" t="str">
            <v>BRENTONICO</v>
          </cell>
          <cell r="B2780" t="str">
            <v>022025</v>
          </cell>
          <cell r="C2780" t="str">
            <v>TN</v>
          </cell>
          <cell r="D2780" t="str">
            <v>TN</v>
          </cell>
          <cell r="E2780" t="str">
            <v>38060</v>
          </cell>
        </row>
        <row r="2781">
          <cell r="A2781" t="str">
            <v>BRESIMO</v>
          </cell>
          <cell r="B2781" t="str">
            <v>022026</v>
          </cell>
          <cell r="C2781" t="str">
            <v>TN</v>
          </cell>
          <cell r="D2781" t="str">
            <v>TN</v>
          </cell>
          <cell r="E2781" t="str">
            <v>38020</v>
          </cell>
        </row>
        <row r="2782">
          <cell r="A2782" t="str">
            <v>CADERZONE TERME</v>
          </cell>
          <cell r="B2782" t="str">
            <v>022029</v>
          </cell>
          <cell r="C2782" t="str">
            <v>TN</v>
          </cell>
          <cell r="D2782" t="str">
            <v>TN</v>
          </cell>
          <cell r="E2782" t="str">
            <v>38080</v>
          </cell>
        </row>
        <row r="2783">
          <cell r="A2783" t="str">
            <v>CALCERANICA AL LAGO</v>
          </cell>
          <cell r="B2783" t="str">
            <v>022032</v>
          </cell>
          <cell r="C2783" t="str">
            <v>TN</v>
          </cell>
          <cell r="D2783" t="str">
            <v>TN</v>
          </cell>
          <cell r="E2783" t="str">
            <v>38050</v>
          </cell>
        </row>
        <row r="2784">
          <cell r="A2784" t="str">
            <v>CALDES</v>
          </cell>
          <cell r="B2784" t="str">
            <v>022033</v>
          </cell>
          <cell r="C2784" t="str">
            <v>TN</v>
          </cell>
          <cell r="D2784" t="str">
            <v>TN</v>
          </cell>
          <cell r="E2784" t="str">
            <v>38022</v>
          </cell>
        </row>
        <row r="2785">
          <cell r="A2785" t="str">
            <v>CALDONAZZO</v>
          </cell>
          <cell r="B2785" t="str">
            <v>022034</v>
          </cell>
          <cell r="C2785" t="str">
            <v>TN</v>
          </cell>
          <cell r="D2785" t="str">
            <v>TN</v>
          </cell>
          <cell r="E2785" t="str">
            <v>38052</v>
          </cell>
        </row>
        <row r="2786">
          <cell r="A2786" t="str">
            <v>CALLIANO</v>
          </cell>
          <cell r="B2786" t="str">
            <v>022035</v>
          </cell>
          <cell r="C2786" t="str">
            <v>TN</v>
          </cell>
          <cell r="D2786" t="str">
            <v>AT</v>
          </cell>
          <cell r="E2786" t="str">
            <v>14031</v>
          </cell>
        </row>
        <row r="2787">
          <cell r="A2787" t="str">
            <v>CAMPITELLO DI FASSA</v>
          </cell>
          <cell r="B2787" t="str">
            <v>022036</v>
          </cell>
          <cell r="C2787" t="str">
            <v>TN</v>
          </cell>
          <cell r="D2787" t="str">
            <v>TN</v>
          </cell>
          <cell r="E2787" t="str">
            <v>38031</v>
          </cell>
        </row>
        <row r="2788">
          <cell r="A2788" t="str">
            <v>CAMPODENNO</v>
          </cell>
          <cell r="B2788" t="str">
            <v>022037</v>
          </cell>
          <cell r="C2788" t="str">
            <v>TN</v>
          </cell>
          <cell r="D2788" t="str">
            <v>TN</v>
          </cell>
          <cell r="E2788" t="str">
            <v>38010</v>
          </cell>
        </row>
        <row r="2789">
          <cell r="A2789" t="str">
            <v>CANAL SAN BOVO</v>
          </cell>
          <cell r="B2789" t="str">
            <v>022038</v>
          </cell>
          <cell r="C2789" t="str">
            <v>TN</v>
          </cell>
          <cell r="D2789" t="str">
            <v>TN</v>
          </cell>
          <cell r="E2789" t="str">
            <v>38050</v>
          </cell>
        </row>
        <row r="2790">
          <cell r="A2790" t="str">
            <v>CANAZEI</v>
          </cell>
          <cell r="B2790" t="str">
            <v>022039</v>
          </cell>
          <cell r="C2790" t="str">
            <v>TN</v>
          </cell>
          <cell r="D2790" t="str">
            <v>TN</v>
          </cell>
          <cell r="E2790" t="str">
            <v>38032</v>
          </cell>
        </row>
        <row r="2791">
          <cell r="A2791" t="str">
            <v>CAPRIANA</v>
          </cell>
          <cell r="B2791" t="str">
            <v>022040</v>
          </cell>
          <cell r="C2791" t="str">
            <v>TN</v>
          </cell>
          <cell r="D2791" t="str">
            <v>TN</v>
          </cell>
          <cell r="E2791" t="str">
            <v>38030</v>
          </cell>
        </row>
        <row r="2792">
          <cell r="A2792" t="str">
            <v>CARISOLO</v>
          </cell>
          <cell r="B2792" t="str">
            <v>022042</v>
          </cell>
          <cell r="C2792" t="str">
            <v>TN</v>
          </cell>
          <cell r="D2792" t="str">
            <v>TN</v>
          </cell>
          <cell r="E2792" t="str">
            <v>38080</v>
          </cell>
        </row>
        <row r="2793">
          <cell r="A2793" t="str">
            <v>CARZANO</v>
          </cell>
          <cell r="B2793" t="str">
            <v>022043</v>
          </cell>
          <cell r="C2793" t="str">
            <v>TN</v>
          </cell>
          <cell r="D2793" t="str">
            <v>TN</v>
          </cell>
          <cell r="E2793" t="str">
            <v>38050</v>
          </cell>
        </row>
        <row r="2794">
          <cell r="A2794" t="str">
            <v>CASTEL CONDINO</v>
          </cell>
          <cell r="B2794" t="str">
            <v>022045</v>
          </cell>
          <cell r="C2794" t="str">
            <v>TN</v>
          </cell>
          <cell r="D2794" t="str">
            <v>TN</v>
          </cell>
          <cell r="E2794" t="str">
            <v>38082</v>
          </cell>
        </row>
        <row r="2795">
          <cell r="A2795" t="str">
            <v>CASTELLO-MOLINA DI FIEMME</v>
          </cell>
          <cell r="B2795" t="str">
            <v>022047</v>
          </cell>
          <cell r="C2795" t="str">
            <v>TN</v>
          </cell>
          <cell r="D2795" t="str">
            <v>TN</v>
          </cell>
          <cell r="E2795" t="str">
            <v>38030</v>
          </cell>
        </row>
        <row r="2796">
          <cell r="A2796" t="str">
            <v>CASTELLO TESINO</v>
          </cell>
          <cell r="B2796" t="str">
            <v>022048</v>
          </cell>
          <cell r="C2796" t="str">
            <v>TN</v>
          </cell>
          <cell r="D2796" t="str">
            <v>TN</v>
          </cell>
          <cell r="E2796" t="str">
            <v>38053</v>
          </cell>
        </row>
        <row r="2797">
          <cell r="A2797" t="str">
            <v>CASTELNUOVO</v>
          </cell>
          <cell r="B2797" t="str">
            <v>022049</v>
          </cell>
          <cell r="C2797" t="str">
            <v>TN</v>
          </cell>
          <cell r="D2797" t="str">
            <v>TN</v>
          </cell>
          <cell r="E2797" t="str">
            <v>38050</v>
          </cell>
        </row>
        <row r="2798">
          <cell r="A2798" t="str">
            <v>CAVALESE</v>
          </cell>
          <cell r="B2798" t="str">
            <v>022050</v>
          </cell>
          <cell r="C2798" t="str">
            <v>TN</v>
          </cell>
          <cell r="D2798" t="str">
            <v>TN</v>
          </cell>
          <cell r="E2798" t="str">
            <v>38033</v>
          </cell>
        </row>
        <row r="2799">
          <cell r="A2799" t="str">
            <v>CAVARENO</v>
          </cell>
          <cell r="B2799" t="str">
            <v>022051</v>
          </cell>
          <cell r="C2799" t="str">
            <v>TN</v>
          </cell>
          <cell r="D2799" t="str">
            <v>TN</v>
          </cell>
          <cell r="E2799" t="str">
            <v>38011</v>
          </cell>
        </row>
        <row r="2800">
          <cell r="A2800" t="str">
            <v>CAVEDAGO</v>
          </cell>
          <cell r="B2800" t="str">
            <v>022052</v>
          </cell>
          <cell r="C2800" t="str">
            <v>TN</v>
          </cell>
          <cell r="D2800" t="str">
            <v>TN</v>
          </cell>
          <cell r="E2800" t="str">
            <v>38010</v>
          </cell>
        </row>
        <row r="2801">
          <cell r="A2801" t="str">
            <v>CAVEDINE</v>
          </cell>
          <cell r="B2801" t="str">
            <v>022053</v>
          </cell>
          <cell r="C2801" t="str">
            <v>TN</v>
          </cell>
          <cell r="D2801" t="str">
            <v>TN</v>
          </cell>
          <cell r="E2801" t="str">
            <v>38073</v>
          </cell>
        </row>
        <row r="2802">
          <cell r="A2802" t="str">
            <v>CAVIZZANA</v>
          </cell>
          <cell r="B2802" t="str">
            <v>022054</v>
          </cell>
          <cell r="C2802" t="str">
            <v>TN</v>
          </cell>
          <cell r="D2802" t="str">
            <v>TN</v>
          </cell>
          <cell r="E2802" t="str">
            <v>38022</v>
          </cell>
        </row>
        <row r="2803">
          <cell r="A2803" t="str">
            <v>CIMONE</v>
          </cell>
          <cell r="B2803" t="str">
            <v>022058</v>
          </cell>
          <cell r="C2803" t="str">
            <v>TN</v>
          </cell>
          <cell r="D2803" t="str">
            <v>TN</v>
          </cell>
          <cell r="E2803" t="str">
            <v>38060</v>
          </cell>
        </row>
        <row r="2804">
          <cell r="A2804" t="str">
            <v>CINTE TESINO</v>
          </cell>
          <cell r="B2804" t="str">
            <v>022059</v>
          </cell>
          <cell r="C2804" t="str">
            <v>TN</v>
          </cell>
          <cell r="D2804" t="str">
            <v>TN</v>
          </cell>
          <cell r="E2804" t="str">
            <v>38050</v>
          </cell>
        </row>
        <row r="2805">
          <cell r="A2805" t="str">
            <v>CIS</v>
          </cell>
          <cell r="B2805" t="str">
            <v>022060</v>
          </cell>
          <cell r="C2805" t="str">
            <v>TN</v>
          </cell>
          <cell r="D2805" t="str">
            <v>TN</v>
          </cell>
          <cell r="E2805" t="str">
            <v>38020</v>
          </cell>
        </row>
        <row r="2806">
          <cell r="A2806" t="str">
            <v>CIVEZZANO</v>
          </cell>
          <cell r="B2806" t="str">
            <v>022061</v>
          </cell>
          <cell r="C2806" t="str">
            <v>TN</v>
          </cell>
          <cell r="D2806" t="str">
            <v>TN</v>
          </cell>
          <cell r="E2806" t="str">
            <v>38045</v>
          </cell>
        </row>
        <row r="2807">
          <cell r="A2807" t="str">
            <v>CLES</v>
          </cell>
          <cell r="B2807" t="str">
            <v>022062</v>
          </cell>
          <cell r="C2807" t="str">
            <v>TN</v>
          </cell>
          <cell r="D2807" t="str">
            <v>TN</v>
          </cell>
          <cell r="E2807" t="str">
            <v>38023</v>
          </cell>
        </row>
        <row r="2808">
          <cell r="A2808" t="str">
            <v>COMMEZZADURA</v>
          </cell>
          <cell r="B2808" t="str">
            <v>022064</v>
          </cell>
          <cell r="C2808" t="str">
            <v>TN</v>
          </cell>
          <cell r="D2808" t="str">
            <v>TN</v>
          </cell>
          <cell r="E2808" t="str">
            <v>38020</v>
          </cell>
        </row>
        <row r="2809">
          <cell r="A2809" t="str">
            <v>CROVIANA</v>
          </cell>
          <cell r="B2809" t="str">
            <v>022068</v>
          </cell>
          <cell r="C2809" t="str">
            <v>TN</v>
          </cell>
          <cell r="D2809" t="str">
            <v>TN</v>
          </cell>
          <cell r="E2809" t="str">
            <v>38027</v>
          </cell>
        </row>
        <row r="2810">
          <cell r="A2810" t="str">
            <v>DAMBEL</v>
          </cell>
          <cell r="B2810" t="str">
            <v>022071</v>
          </cell>
          <cell r="C2810" t="str">
            <v>TN</v>
          </cell>
          <cell r="D2810" t="str">
            <v>TN</v>
          </cell>
          <cell r="E2810" t="str">
            <v>38010</v>
          </cell>
        </row>
        <row r="2811">
          <cell r="A2811" t="str">
            <v>DENNO</v>
          </cell>
          <cell r="B2811" t="str">
            <v>022074</v>
          </cell>
          <cell r="C2811" t="str">
            <v>TN</v>
          </cell>
          <cell r="D2811" t="str">
            <v>TN</v>
          </cell>
          <cell r="E2811" t="str">
            <v>38010</v>
          </cell>
        </row>
        <row r="2812">
          <cell r="A2812" t="str">
            <v>DRENA</v>
          </cell>
          <cell r="B2812" t="str">
            <v>022078</v>
          </cell>
          <cell r="C2812" t="str">
            <v>TN</v>
          </cell>
          <cell r="D2812" t="str">
            <v>TN</v>
          </cell>
          <cell r="E2812" t="str">
            <v>38074</v>
          </cell>
        </row>
        <row r="2813">
          <cell r="A2813" t="str">
            <v>DRO</v>
          </cell>
          <cell r="B2813" t="str">
            <v>022079</v>
          </cell>
          <cell r="C2813" t="str">
            <v>TN</v>
          </cell>
          <cell r="D2813" t="str">
            <v>TN</v>
          </cell>
          <cell r="E2813" t="str">
            <v>38074</v>
          </cell>
        </row>
        <row r="2814">
          <cell r="A2814" t="str">
            <v>FAI DELLA PAGANELLA</v>
          </cell>
          <cell r="B2814" t="str">
            <v>022081</v>
          </cell>
          <cell r="C2814" t="str">
            <v>TN</v>
          </cell>
          <cell r="D2814" t="str">
            <v>TN</v>
          </cell>
          <cell r="E2814" t="str">
            <v>38010</v>
          </cell>
        </row>
        <row r="2815">
          <cell r="A2815" t="str">
            <v>FIAVÈ</v>
          </cell>
          <cell r="B2815" t="str">
            <v>022083</v>
          </cell>
          <cell r="C2815" t="str">
            <v>TN</v>
          </cell>
          <cell r="D2815" t="str">
            <v>TN</v>
          </cell>
          <cell r="E2815" t="str">
            <v>38075</v>
          </cell>
        </row>
        <row r="2816">
          <cell r="A2816" t="str">
            <v>FIEROZZO</v>
          </cell>
          <cell r="B2816" t="str">
            <v>022085</v>
          </cell>
          <cell r="C2816" t="str">
            <v>TN</v>
          </cell>
          <cell r="D2816" t="str">
            <v>TN</v>
          </cell>
          <cell r="E2816" t="str">
            <v>38050</v>
          </cell>
        </row>
        <row r="2817">
          <cell r="A2817" t="str">
            <v>FOLGARIA</v>
          </cell>
          <cell r="B2817" t="str">
            <v>022087</v>
          </cell>
          <cell r="C2817" t="str">
            <v>TN</v>
          </cell>
          <cell r="D2817" t="str">
            <v>TN</v>
          </cell>
          <cell r="E2817" t="str">
            <v>38064</v>
          </cell>
        </row>
        <row r="2818">
          <cell r="A2818" t="str">
            <v>FORNACE</v>
          </cell>
          <cell r="B2818" t="str">
            <v>022089</v>
          </cell>
          <cell r="C2818" t="str">
            <v>TN</v>
          </cell>
          <cell r="D2818" t="str">
            <v>TN</v>
          </cell>
          <cell r="E2818" t="str">
            <v>38040</v>
          </cell>
        </row>
        <row r="2819">
          <cell r="A2819" t="str">
            <v>FRASSILONGO</v>
          </cell>
          <cell r="B2819" t="str">
            <v>022090</v>
          </cell>
          <cell r="C2819" t="str">
            <v>TN</v>
          </cell>
          <cell r="D2819" t="str">
            <v>TN</v>
          </cell>
          <cell r="E2819" t="str">
            <v>38050</v>
          </cell>
        </row>
        <row r="2820">
          <cell r="A2820" t="str">
            <v>GARNIGA TERME</v>
          </cell>
          <cell r="B2820" t="str">
            <v>022091</v>
          </cell>
          <cell r="C2820" t="str">
            <v>TN</v>
          </cell>
          <cell r="D2820" t="str">
            <v>TN</v>
          </cell>
          <cell r="E2820" t="str">
            <v>38060</v>
          </cell>
        </row>
        <row r="2821">
          <cell r="A2821" t="str">
            <v>GIOVO</v>
          </cell>
          <cell r="B2821" t="str">
            <v>022092</v>
          </cell>
          <cell r="C2821" t="str">
            <v>TN</v>
          </cell>
          <cell r="D2821" t="str">
            <v>TN</v>
          </cell>
          <cell r="E2821" t="str">
            <v>38030</v>
          </cell>
        </row>
        <row r="2822">
          <cell r="A2822" t="str">
            <v>GIUSTINO</v>
          </cell>
          <cell r="B2822" t="str">
            <v>022093</v>
          </cell>
          <cell r="C2822" t="str">
            <v>TN</v>
          </cell>
          <cell r="D2822" t="str">
            <v>TN</v>
          </cell>
          <cell r="E2822" t="str">
            <v>38086</v>
          </cell>
        </row>
        <row r="2823">
          <cell r="A2823" t="str">
            <v>GRIGNO</v>
          </cell>
          <cell r="B2823" t="str">
            <v>022095</v>
          </cell>
          <cell r="C2823" t="str">
            <v>TN</v>
          </cell>
          <cell r="D2823" t="str">
            <v>TN</v>
          </cell>
          <cell r="E2823" t="str">
            <v>38055</v>
          </cell>
        </row>
        <row r="2824">
          <cell r="A2824" t="str">
            <v>IMER</v>
          </cell>
          <cell r="B2824" t="str">
            <v>022097</v>
          </cell>
          <cell r="C2824" t="str">
            <v>TN</v>
          </cell>
          <cell r="D2824" t="str">
            <v>TN</v>
          </cell>
          <cell r="E2824" t="str">
            <v>38050</v>
          </cell>
        </row>
        <row r="2825">
          <cell r="A2825" t="str">
            <v>ISERA</v>
          </cell>
          <cell r="B2825" t="str">
            <v>022098</v>
          </cell>
          <cell r="C2825" t="str">
            <v>TN</v>
          </cell>
          <cell r="D2825" t="str">
            <v>TN</v>
          </cell>
          <cell r="E2825" t="str">
            <v>38060</v>
          </cell>
        </row>
        <row r="2826">
          <cell r="A2826" t="str">
            <v>LAVARONE</v>
          </cell>
          <cell r="B2826" t="str">
            <v>022102</v>
          </cell>
          <cell r="C2826" t="str">
            <v>TN</v>
          </cell>
          <cell r="D2826" t="str">
            <v>TN</v>
          </cell>
          <cell r="E2826" t="str">
            <v>38046</v>
          </cell>
        </row>
        <row r="2827">
          <cell r="A2827" t="str">
            <v>LAVIS</v>
          </cell>
          <cell r="B2827" t="str">
            <v>022103</v>
          </cell>
          <cell r="C2827" t="str">
            <v>TN</v>
          </cell>
          <cell r="D2827" t="str">
            <v>TN</v>
          </cell>
          <cell r="E2827" t="str">
            <v>38015</v>
          </cell>
        </row>
        <row r="2828">
          <cell r="A2828" t="str">
            <v>LEVICO TERME</v>
          </cell>
          <cell r="B2828" t="str">
            <v>022104</v>
          </cell>
          <cell r="C2828" t="str">
            <v>TN</v>
          </cell>
          <cell r="D2828" t="str">
            <v>TN</v>
          </cell>
          <cell r="E2828" t="str">
            <v>38056</v>
          </cell>
        </row>
        <row r="2829">
          <cell r="A2829" t="str">
            <v>LIVO</v>
          </cell>
          <cell r="B2829" t="str">
            <v>022106</v>
          </cell>
          <cell r="C2829" t="str">
            <v>TN</v>
          </cell>
          <cell r="D2829" t="str">
            <v>TN</v>
          </cell>
          <cell r="E2829" t="str">
            <v>38020</v>
          </cell>
        </row>
        <row r="2830">
          <cell r="A2830" t="str">
            <v>LONA-LASES</v>
          </cell>
          <cell r="B2830" t="str">
            <v>022108</v>
          </cell>
          <cell r="C2830" t="str">
            <v>TN</v>
          </cell>
          <cell r="D2830" t="str">
            <v>TN</v>
          </cell>
          <cell r="E2830" t="str">
            <v>38040</v>
          </cell>
        </row>
        <row r="2831">
          <cell r="A2831" t="str">
            <v>LUSERNA</v>
          </cell>
          <cell r="B2831" t="str">
            <v>022109</v>
          </cell>
          <cell r="C2831" t="str">
            <v>TN</v>
          </cell>
          <cell r="D2831" t="str">
            <v>TN</v>
          </cell>
          <cell r="E2831" t="str">
            <v>38040</v>
          </cell>
        </row>
        <row r="2832">
          <cell r="A2832" t="str">
            <v>MALÈ</v>
          </cell>
          <cell r="B2832" t="str">
            <v>022110</v>
          </cell>
          <cell r="C2832" t="str">
            <v>TN</v>
          </cell>
          <cell r="D2832" t="str">
            <v>TN</v>
          </cell>
          <cell r="E2832" t="str">
            <v>38027</v>
          </cell>
        </row>
        <row r="2833">
          <cell r="A2833" t="str">
            <v>MASSIMENO</v>
          </cell>
          <cell r="B2833" t="str">
            <v>022112</v>
          </cell>
          <cell r="C2833" t="str">
            <v>TN</v>
          </cell>
          <cell r="D2833" t="str">
            <v>TN</v>
          </cell>
          <cell r="E2833" t="str">
            <v>38086</v>
          </cell>
        </row>
        <row r="2834">
          <cell r="A2834" t="str">
            <v>MAZZIN</v>
          </cell>
          <cell r="B2834" t="str">
            <v>022113</v>
          </cell>
          <cell r="C2834" t="str">
            <v>TN</v>
          </cell>
          <cell r="D2834" t="str">
            <v>TN</v>
          </cell>
          <cell r="E2834" t="str">
            <v>38030</v>
          </cell>
        </row>
        <row r="2835">
          <cell r="A2835" t="str">
            <v>MEZZANA</v>
          </cell>
          <cell r="B2835" t="str">
            <v>022114</v>
          </cell>
          <cell r="C2835" t="str">
            <v>TN</v>
          </cell>
          <cell r="D2835" t="str">
            <v>TN</v>
          </cell>
          <cell r="E2835" t="str">
            <v>38020</v>
          </cell>
        </row>
        <row r="2836">
          <cell r="A2836" t="str">
            <v>MEZZANO</v>
          </cell>
          <cell r="B2836" t="str">
            <v>022115</v>
          </cell>
          <cell r="C2836" t="str">
            <v>TN</v>
          </cell>
          <cell r="D2836" t="str">
            <v>TN</v>
          </cell>
          <cell r="E2836" t="str">
            <v>38050</v>
          </cell>
        </row>
        <row r="2837">
          <cell r="A2837" t="str">
            <v>MEZZOCORONA</v>
          </cell>
          <cell r="B2837" t="str">
            <v>022116</v>
          </cell>
          <cell r="C2837" t="str">
            <v>TN</v>
          </cell>
          <cell r="D2837" t="str">
            <v>TN</v>
          </cell>
          <cell r="E2837" t="str">
            <v>38016</v>
          </cell>
        </row>
        <row r="2838">
          <cell r="A2838" t="str">
            <v>MEZZOLOMBARDO</v>
          </cell>
          <cell r="B2838" t="str">
            <v>022117</v>
          </cell>
          <cell r="C2838" t="str">
            <v>TN</v>
          </cell>
          <cell r="D2838" t="str">
            <v>TN</v>
          </cell>
          <cell r="E2838" t="str">
            <v>38017</v>
          </cell>
        </row>
        <row r="2839">
          <cell r="A2839" t="str">
            <v>MOENA</v>
          </cell>
          <cell r="B2839" t="str">
            <v>022118</v>
          </cell>
          <cell r="C2839" t="str">
            <v>TN</v>
          </cell>
          <cell r="D2839" t="str">
            <v>TN</v>
          </cell>
          <cell r="E2839" t="str">
            <v>38035</v>
          </cell>
        </row>
        <row r="2840">
          <cell r="A2840" t="str">
            <v>MOLVENO</v>
          </cell>
          <cell r="B2840" t="str">
            <v>022120</v>
          </cell>
          <cell r="C2840" t="str">
            <v>TN</v>
          </cell>
          <cell r="D2840" t="str">
            <v>TN</v>
          </cell>
          <cell r="E2840" t="str">
            <v>38018</v>
          </cell>
        </row>
        <row r="2841">
          <cell r="A2841" t="str">
            <v>MORI</v>
          </cell>
          <cell r="B2841" t="str">
            <v>022123</v>
          </cell>
          <cell r="C2841" t="str">
            <v>TN</v>
          </cell>
          <cell r="D2841" t="str">
            <v>TN</v>
          </cell>
          <cell r="E2841" t="str">
            <v>38065</v>
          </cell>
        </row>
        <row r="2842">
          <cell r="A2842" t="str">
            <v>NAGO-TORBOLE</v>
          </cell>
          <cell r="B2842" t="str">
            <v>022124</v>
          </cell>
          <cell r="C2842" t="str">
            <v>TN</v>
          </cell>
          <cell r="D2842" t="str">
            <v>TN</v>
          </cell>
          <cell r="E2842" t="str">
            <v>38069</v>
          </cell>
        </row>
        <row r="2843">
          <cell r="A2843" t="str">
            <v>NOGAREDO</v>
          </cell>
          <cell r="B2843" t="str">
            <v>022127</v>
          </cell>
          <cell r="C2843" t="str">
            <v>TN</v>
          </cell>
          <cell r="D2843" t="str">
            <v>TN</v>
          </cell>
          <cell r="E2843" t="str">
            <v>38060</v>
          </cell>
        </row>
        <row r="2844">
          <cell r="A2844" t="str">
            <v>NOMI</v>
          </cell>
          <cell r="B2844" t="str">
            <v>022128</v>
          </cell>
          <cell r="C2844" t="str">
            <v>TN</v>
          </cell>
          <cell r="D2844" t="str">
            <v>TN</v>
          </cell>
          <cell r="E2844" t="str">
            <v>38060</v>
          </cell>
        </row>
        <row r="2845">
          <cell r="A2845" t="str">
            <v>NOVALEDO</v>
          </cell>
          <cell r="B2845" t="str">
            <v>022129</v>
          </cell>
          <cell r="C2845" t="str">
            <v>TN</v>
          </cell>
          <cell r="D2845" t="str">
            <v>TN</v>
          </cell>
          <cell r="E2845" t="str">
            <v>38050</v>
          </cell>
        </row>
        <row r="2846">
          <cell r="A2846" t="str">
            <v>OSPEDALETTO</v>
          </cell>
          <cell r="B2846" t="str">
            <v>022130</v>
          </cell>
          <cell r="C2846" t="str">
            <v>TN</v>
          </cell>
          <cell r="D2846" t="str">
            <v>TN</v>
          </cell>
          <cell r="E2846" t="str">
            <v>38050</v>
          </cell>
        </row>
        <row r="2847">
          <cell r="A2847" t="str">
            <v>OSSANA</v>
          </cell>
          <cell r="B2847" t="str">
            <v>022131</v>
          </cell>
          <cell r="C2847" t="str">
            <v>TN</v>
          </cell>
          <cell r="D2847" t="str">
            <v>TN</v>
          </cell>
          <cell r="E2847" t="str">
            <v>38026</v>
          </cell>
        </row>
        <row r="2848">
          <cell r="A2848" t="str">
            <v>PALÙ DEL FERSINA</v>
          </cell>
          <cell r="B2848" t="str">
            <v>022133</v>
          </cell>
          <cell r="C2848" t="str">
            <v>TN</v>
          </cell>
          <cell r="D2848" t="str">
            <v>TN</v>
          </cell>
          <cell r="E2848" t="str">
            <v>38050</v>
          </cell>
        </row>
        <row r="2849">
          <cell r="A2849" t="str">
            <v>PANCHIÀ</v>
          </cell>
          <cell r="B2849" t="str">
            <v>022134</v>
          </cell>
          <cell r="C2849" t="str">
            <v>TN</v>
          </cell>
          <cell r="D2849" t="str">
            <v>TN</v>
          </cell>
          <cell r="E2849" t="str">
            <v>38030</v>
          </cell>
        </row>
        <row r="2850">
          <cell r="A2850" t="str">
            <v>RONZO-CHIENIS</v>
          </cell>
          <cell r="B2850" t="str">
            <v>022135</v>
          </cell>
          <cell r="C2850" t="str">
            <v>TN</v>
          </cell>
          <cell r="D2850" t="str">
            <v>TN</v>
          </cell>
          <cell r="E2850" t="str">
            <v>38060</v>
          </cell>
        </row>
        <row r="2851">
          <cell r="A2851" t="str">
            <v>PEIO</v>
          </cell>
          <cell r="B2851" t="str">
            <v>022136</v>
          </cell>
          <cell r="C2851" t="str">
            <v>TN</v>
          </cell>
          <cell r="D2851" t="str">
            <v>TN</v>
          </cell>
          <cell r="E2851" t="str">
            <v>38024</v>
          </cell>
        </row>
        <row r="2852">
          <cell r="A2852" t="str">
            <v>PELLIZZANO</v>
          </cell>
          <cell r="B2852" t="str">
            <v>022137</v>
          </cell>
          <cell r="C2852" t="str">
            <v>TN</v>
          </cell>
          <cell r="D2852" t="str">
            <v>TN</v>
          </cell>
          <cell r="E2852" t="str">
            <v>38020</v>
          </cell>
        </row>
        <row r="2853">
          <cell r="A2853" t="str">
            <v>PELUGO</v>
          </cell>
          <cell r="B2853" t="str">
            <v>022138</v>
          </cell>
          <cell r="C2853" t="str">
            <v>TN</v>
          </cell>
          <cell r="D2853" t="str">
            <v>TN</v>
          </cell>
          <cell r="E2853" t="str">
            <v>38079</v>
          </cell>
        </row>
        <row r="2854">
          <cell r="A2854" t="str">
            <v>PERGINE VALSUGANA</v>
          </cell>
          <cell r="B2854" t="str">
            <v>022139</v>
          </cell>
          <cell r="C2854" t="str">
            <v>TN</v>
          </cell>
          <cell r="D2854" t="str">
            <v>TN</v>
          </cell>
          <cell r="E2854" t="str">
            <v>38057</v>
          </cell>
        </row>
        <row r="2855">
          <cell r="A2855" t="str">
            <v>PIEVE TESINO</v>
          </cell>
          <cell r="B2855" t="str">
            <v>022142</v>
          </cell>
          <cell r="C2855" t="str">
            <v>TN</v>
          </cell>
          <cell r="D2855" t="str">
            <v>TN</v>
          </cell>
          <cell r="E2855" t="str">
            <v>38050</v>
          </cell>
        </row>
        <row r="2856">
          <cell r="A2856" t="str">
            <v>PINZOLO</v>
          </cell>
          <cell r="B2856" t="str">
            <v>022143</v>
          </cell>
          <cell r="C2856" t="str">
            <v>TN</v>
          </cell>
          <cell r="D2856" t="str">
            <v>TN</v>
          </cell>
          <cell r="E2856" t="str">
            <v>38086</v>
          </cell>
        </row>
        <row r="2857">
          <cell r="A2857" t="str">
            <v>POMAROLO</v>
          </cell>
          <cell r="B2857" t="str">
            <v>022144</v>
          </cell>
          <cell r="C2857" t="str">
            <v>TN</v>
          </cell>
          <cell r="D2857" t="str">
            <v>TN</v>
          </cell>
          <cell r="E2857" t="str">
            <v>38060</v>
          </cell>
        </row>
        <row r="2858">
          <cell r="A2858" t="str">
            <v>PREDAZZO</v>
          </cell>
          <cell r="B2858" t="str">
            <v>022147</v>
          </cell>
          <cell r="C2858" t="str">
            <v>TN</v>
          </cell>
          <cell r="D2858" t="str">
            <v>TN</v>
          </cell>
          <cell r="E2858" t="str">
            <v>38037</v>
          </cell>
        </row>
        <row r="2859">
          <cell r="A2859" t="str">
            <v>RABBI</v>
          </cell>
          <cell r="B2859" t="str">
            <v>022150</v>
          </cell>
          <cell r="C2859" t="str">
            <v>TN</v>
          </cell>
          <cell r="D2859" t="str">
            <v>TN</v>
          </cell>
          <cell r="E2859" t="str">
            <v>38020</v>
          </cell>
        </row>
        <row r="2860">
          <cell r="A2860" t="str">
            <v>RIVA DEL GARDA</v>
          </cell>
          <cell r="B2860" t="str">
            <v>022153</v>
          </cell>
          <cell r="C2860" t="str">
            <v>TN</v>
          </cell>
          <cell r="D2860" t="str">
            <v>TN</v>
          </cell>
          <cell r="E2860" t="str">
            <v>38066</v>
          </cell>
        </row>
        <row r="2861">
          <cell r="A2861" t="str">
            <v>ROMENO</v>
          </cell>
          <cell r="B2861" t="str">
            <v>022155</v>
          </cell>
          <cell r="C2861" t="str">
            <v>TN</v>
          </cell>
          <cell r="D2861" t="str">
            <v>TN</v>
          </cell>
          <cell r="E2861" t="str">
            <v>38010</v>
          </cell>
        </row>
        <row r="2862">
          <cell r="A2862" t="str">
            <v>RONCEGNO TERME</v>
          </cell>
          <cell r="B2862" t="str">
            <v>022156</v>
          </cell>
          <cell r="C2862" t="str">
            <v>TN</v>
          </cell>
          <cell r="D2862" t="str">
            <v>TN</v>
          </cell>
          <cell r="E2862" t="str">
            <v>38050</v>
          </cell>
        </row>
        <row r="2863">
          <cell r="A2863" t="str">
            <v>RONCHI VALSUGANA</v>
          </cell>
          <cell r="B2863" t="str">
            <v>022157</v>
          </cell>
          <cell r="C2863" t="str">
            <v>TN</v>
          </cell>
          <cell r="D2863" t="str">
            <v>TN</v>
          </cell>
          <cell r="E2863" t="str">
            <v>38050</v>
          </cell>
        </row>
        <row r="2864">
          <cell r="A2864" t="str">
            <v>RONZONE</v>
          </cell>
          <cell r="B2864" t="str">
            <v>022159</v>
          </cell>
          <cell r="C2864" t="str">
            <v>TN</v>
          </cell>
          <cell r="D2864" t="str">
            <v>TN</v>
          </cell>
          <cell r="E2864" t="str">
            <v>38010</v>
          </cell>
        </row>
        <row r="2865">
          <cell r="A2865" t="str">
            <v>ROVERÈ DELLA LUNA</v>
          </cell>
          <cell r="B2865" t="str">
            <v>022160</v>
          </cell>
          <cell r="C2865" t="str">
            <v>TN</v>
          </cell>
          <cell r="D2865" t="str">
            <v>TN</v>
          </cell>
          <cell r="E2865" t="str">
            <v>38030</v>
          </cell>
        </row>
        <row r="2866">
          <cell r="A2866" t="str">
            <v>ROVERETO</v>
          </cell>
          <cell r="B2866" t="str">
            <v>022161</v>
          </cell>
          <cell r="C2866" t="str">
            <v>TN</v>
          </cell>
          <cell r="D2866" t="str">
            <v>TN</v>
          </cell>
          <cell r="E2866" t="str">
            <v>38068</v>
          </cell>
        </row>
        <row r="2867">
          <cell r="A2867" t="str">
            <v>RUFFRÈ-MENDOLA</v>
          </cell>
          <cell r="B2867" t="str">
            <v>022162</v>
          </cell>
          <cell r="C2867" t="str">
            <v>TN</v>
          </cell>
          <cell r="D2867" t="str">
            <v>TN</v>
          </cell>
          <cell r="E2867" t="str">
            <v>38010</v>
          </cell>
        </row>
        <row r="2868">
          <cell r="A2868" t="str">
            <v>RUMO</v>
          </cell>
          <cell r="B2868" t="str">
            <v>022163</v>
          </cell>
          <cell r="C2868" t="str">
            <v>TN</v>
          </cell>
          <cell r="D2868" t="str">
            <v>TN</v>
          </cell>
          <cell r="E2868" t="str">
            <v>38020</v>
          </cell>
        </row>
        <row r="2869">
          <cell r="A2869" t="str">
            <v>SAGRON MIS</v>
          </cell>
          <cell r="B2869" t="str">
            <v>022164</v>
          </cell>
          <cell r="C2869" t="str">
            <v>TN</v>
          </cell>
          <cell r="D2869" t="str">
            <v>TN</v>
          </cell>
          <cell r="E2869" t="str">
            <v>38050</v>
          </cell>
        </row>
        <row r="2870">
          <cell r="A2870" t="str">
            <v>SAMONE</v>
          </cell>
          <cell r="B2870" t="str">
            <v>022165</v>
          </cell>
          <cell r="C2870" t="str">
            <v>TN</v>
          </cell>
          <cell r="D2870" t="str">
            <v>TO</v>
          </cell>
          <cell r="E2870" t="str">
            <v>10010</v>
          </cell>
        </row>
        <row r="2871">
          <cell r="A2871" t="str">
            <v>SAN MICHELE ALL'ADIGE</v>
          </cell>
          <cell r="B2871" t="str">
            <v>022167</v>
          </cell>
          <cell r="C2871" t="str">
            <v>TN</v>
          </cell>
          <cell r="D2871" t="str">
            <v>TN</v>
          </cell>
          <cell r="E2871" t="str">
            <v>38010</v>
          </cell>
        </row>
        <row r="2872">
          <cell r="A2872" t="str">
            <v>SANT'ORSOLA TERME</v>
          </cell>
          <cell r="B2872" t="str">
            <v>022168</v>
          </cell>
          <cell r="C2872" t="str">
            <v>TN</v>
          </cell>
          <cell r="D2872" t="str">
            <v>TN</v>
          </cell>
          <cell r="E2872" t="str">
            <v>38050</v>
          </cell>
        </row>
        <row r="2873">
          <cell r="A2873" t="str">
            <v>SANZENO</v>
          </cell>
          <cell r="B2873" t="str">
            <v>022169</v>
          </cell>
          <cell r="C2873" t="str">
            <v>TN</v>
          </cell>
          <cell r="D2873" t="str">
            <v>TN</v>
          </cell>
          <cell r="E2873" t="str">
            <v>38010</v>
          </cell>
        </row>
        <row r="2874">
          <cell r="A2874" t="str">
            <v>SARNONICO</v>
          </cell>
          <cell r="B2874" t="str">
            <v>022170</v>
          </cell>
          <cell r="C2874" t="str">
            <v>TN</v>
          </cell>
          <cell r="D2874" t="str">
            <v>TN</v>
          </cell>
          <cell r="E2874" t="str">
            <v>38011</v>
          </cell>
        </row>
        <row r="2875">
          <cell r="A2875" t="str">
            <v>SCURELLE</v>
          </cell>
          <cell r="B2875" t="str">
            <v>022171</v>
          </cell>
          <cell r="C2875" t="str">
            <v>TN</v>
          </cell>
          <cell r="D2875" t="str">
            <v>TN</v>
          </cell>
          <cell r="E2875" t="str">
            <v>38050</v>
          </cell>
        </row>
        <row r="2876">
          <cell r="A2876" t="str">
            <v>SEGONZANO</v>
          </cell>
          <cell r="B2876" t="str">
            <v>022172</v>
          </cell>
          <cell r="C2876" t="str">
            <v>TN</v>
          </cell>
          <cell r="D2876" t="str">
            <v>TN</v>
          </cell>
          <cell r="E2876" t="str">
            <v>38047</v>
          </cell>
        </row>
        <row r="2877">
          <cell r="A2877" t="str">
            <v>SFRUZ</v>
          </cell>
          <cell r="B2877" t="str">
            <v>022173</v>
          </cell>
          <cell r="C2877" t="str">
            <v>TN</v>
          </cell>
          <cell r="D2877" t="str">
            <v>TN</v>
          </cell>
          <cell r="E2877" t="str">
            <v>38010</v>
          </cell>
        </row>
        <row r="2878">
          <cell r="A2878" t="str">
            <v>SORAGA DI FASSA</v>
          </cell>
          <cell r="B2878" t="str">
            <v>022176</v>
          </cell>
          <cell r="C2878" t="str">
            <v>TN</v>
          </cell>
          <cell r="D2878" t="e">
            <v>#N/A</v>
          </cell>
          <cell r="E2878" t="e">
            <v>#N/A</v>
          </cell>
        </row>
        <row r="2879">
          <cell r="A2879" t="str">
            <v>SOVER</v>
          </cell>
          <cell r="B2879" t="str">
            <v>022177</v>
          </cell>
          <cell r="C2879" t="str">
            <v>TN</v>
          </cell>
          <cell r="D2879" t="str">
            <v>TN</v>
          </cell>
          <cell r="E2879" t="str">
            <v>38048</v>
          </cell>
        </row>
        <row r="2880">
          <cell r="A2880" t="str">
            <v>SPIAZZO</v>
          </cell>
          <cell r="B2880" t="str">
            <v>022179</v>
          </cell>
          <cell r="C2880" t="str">
            <v>TN</v>
          </cell>
          <cell r="D2880" t="str">
            <v>TN</v>
          </cell>
          <cell r="E2880" t="str">
            <v>38088</v>
          </cell>
        </row>
        <row r="2881">
          <cell r="A2881" t="str">
            <v>SPORMAGGIORE</v>
          </cell>
          <cell r="B2881" t="str">
            <v>022180</v>
          </cell>
          <cell r="C2881" t="str">
            <v>TN</v>
          </cell>
          <cell r="D2881" t="str">
            <v>TN</v>
          </cell>
          <cell r="E2881" t="str">
            <v>38010</v>
          </cell>
        </row>
        <row r="2882">
          <cell r="A2882" t="str">
            <v>SPORMINORE</v>
          </cell>
          <cell r="B2882" t="str">
            <v>022181</v>
          </cell>
          <cell r="C2882" t="str">
            <v>TN</v>
          </cell>
          <cell r="D2882" t="str">
            <v>TN</v>
          </cell>
          <cell r="E2882" t="str">
            <v>38010</v>
          </cell>
        </row>
        <row r="2883">
          <cell r="A2883" t="str">
            <v>STENICO</v>
          </cell>
          <cell r="B2883" t="str">
            <v>022182</v>
          </cell>
          <cell r="C2883" t="str">
            <v>TN</v>
          </cell>
          <cell r="D2883" t="str">
            <v>TN</v>
          </cell>
          <cell r="E2883" t="str">
            <v>38070</v>
          </cell>
        </row>
        <row r="2884">
          <cell r="A2884" t="str">
            <v>STORO</v>
          </cell>
          <cell r="B2884" t="str">
            <v>022183</v>
          </cell>
          <cell r="C2884" t="str">
            <v>TN</v>
          </cell>
          <cell r="D2884" t="str">
            <v>TN</v>
          </cell>
          <cell r="E2884" t="str">
            <v>38089</v>
          </cell>
        </row>
        <row r="2885">
          <cell r="A2885" t="str">
            <v>STREMBO</v>
          </cell>
          <cell r="B2885" t="str">
            <v>022184</v>
          </cell>
          <cell r="C2885" t="str">
            <v>TN</v>
          </cell>
          <cell r="D2885" t="str">
            <v>TN</v>
          </cell>
          <cell r="E2885" t="str">
            <v>38080</v>
          </cell>
        </row>
        <row r="2886">
          <cell r="A2886" t="str">
            <v>TELVE</v>
          </cell>
          <cell r="B2886" t="str">
            <v>022188</v>
          </cell>
          <cell r="C2886" t="str">
            <v>TN</v>
          </cell>
          <cell r="D2886" t="str">
            <v>TN</v>
          </cell>
          <cell r="E2886" t="str">
            <v>38050</v>
          </cell>
        </row>
        <row r="2887">
          <cell r="A2887" t="str">
            <v>TELVE DI SOPRA</v>
          </cell>
          <cell r="B2887" t="str">
            <v>022189</v>
          </cell>
          <cell r="C2887" t="str">
            <v>TN</v>
          </cell>
          <cell r="D2887" t="str">
            <v>TN</v>
          </cell>
          <cell r="E2887" t="str">
            <v>38050</v>
          </cell>
        </row>
        <row r="2888">
          <cell r="A2888" t="str">
            <v>TENNA</v>
          </cell>
          <cell r="B2888" t="str">
            <v>022190</v>
          </cell>
          <cell r="C2888" t="str">
            <v>TN</v>
          </cell>
          <cell r="D2888" t="str">
            <v>TN</v>
          </cell>
          <cell r="E2888" t="str">
            <v>38050</v>
          </cell>
        </row>
        <row r="2889">
          <cell r="A2889" t="str">
            <v>TENNO</v>
          </cell>
          <cell r="B2889" t="str">
            <v>022191</v>
          </cell>
          <cell r="C2889" t="str">
            <v>TN</v>
          </cell>
          <cell r="D2889" t="str">
            <v>TN</v>
          </cell>
          <cell r="E2889" t="str">
            <v>38060</v>
          </cell>
        </row>
        <row r="2890">
          <cell r="A2890" t="str">
            <v>TERRAGNOLO</v>
          </cell>
          <cell r="B2890" t="str">
            <v>022193</v>
          </cell>
          <cell r="C2890" t="str">
            <v>TN</v>
          </cell>
          <cell r="D2890" t="str">
            <v>TN</v>
          </cell>
          <cell r="E2890" t="str">
            <v>38060</v>
          </cell>
        </row>
        <row r="2891">
          <cell r="A2891" t="str">
            <v>TERZOLAS</v>
          </cell>
          <cell r="B2891" t="str">
            <v>022195</v>
          </cell>
          <cell r="C2891" t="str">
            <v>TN</v>
          </cell>
          <cell r="D2891" t="str">
            <v>TN</v>
          </cell>
          <cell r="E2891" t="str">
            <v>38027</v>
          </cell>
        </row>
        <row r="2892">
          <cell r="A2892" t="str">
            <v>TESERO</v>
          </cell>
          <cell r="B2892" t="str">
            <v>022196</v>
          </cell>
          <cell r="C2892" t="str">
            <v>TN</v>
          </cell>
          <cell r="D2892" t="str">
            <v>TN</v>
          </cell>
          <cell r="E2892" t="str">
            <v>38038</v>
          </cell>
        </row>
        <row r="2893">
          <cell r="A2893" t="str">
            <v>TIONE DI TRENTO</v>
          </cell>
          <cell r="B2893" t="str">
            <v>022199</v>
          </cell>
          <cell r="C2893" t="str">
            <v>TN</v>
          </cell>
          <cell r="D2893" t="str">
            <v>TN</v>
          </cell>
          <cell r="E2893" t="str">
            <v>38079</v>
          </cell>
        </row>
        <row r="2894">
          <cell r="A2894" t="str">
            <v>TON</v>
          </cell>
          <cell r="B2894" t="str">
            <v>022200</v>
          </cell>
          <cell r="C2894" t="str">
            <v>TN</v>
          </cell>
          <cell r="D2894" t="str">
            <v>TN</v>
          </cell>
          <cell r="E2894" t="str">
            <v>38010</v>
          </cell>
        </row>
        <row r="2895">
          <cell r="A2895" t="str">
            <v>TORCEGNO</v>
          </cell>
          <cell r="B2895" t="str">
            <v>022202</v>
          </cell>
          <cell r="C2895" t="str">
            <v>TN</v>
          </cell>
          <cell r="D2895" t="str">
            <v>TN</v>
          </cell>
          <cell r="E2895" t="str">
            <v>38050</v>
          </cell>
        </row>
        <row r="2896">
          <cell r="A2896" t="str">
            <v>TRAMBILENO</v>
          </cell>
          <cell r="B2896" t="str">
            <v>022203</v>
          </cell>
          <cell r="C2896" t="str">
            <v>TN</v>
          </cell>
          <cell r="D2896" t="str">
            <v>TN</v>
          </cell>
          <cell r="E2896" t="str">
            <v>38068</v>
          </cell>
        </row>
        <row r="2897">
          <cell r="A2897" t="str">
            <v>TRENTO</v>
          </cell>
          <cell r="B2897" t="str">
            <v>022205</v>
          </cell>
          <cell r="C2897" t="str">
            <v>TN</v>
          </cell>
          <cell r="D2897" t="str">
            <v>TN</v>
          </cell>
          <cell r="E2897" t="str">
            <v>3812x</v>
          </cell>
        </row>
        <row r="2898">
          <cell r="A2898" t="str">
            <v>VALFLORIANA</v>
          </cell>
          <cell r="B2898" t="str">
            <v>022209</v>
          </cell>
          <cell r="C2898" t="str">
            <v>TN</v>
          </cell>
          <cell r="D2898" t="str">
            <v>TN</v>
          </cell>
          <cell r="E2898" t="str">
            <v>38040</v>
          </cell>
        </row>
        <row r="2899">
          <cell r="A2899" t="str">
            <v>VALLARSA</v>
          </cell>
          <cell r="B2899" t="str">
            <v>022210</v>
          </cell>
          <cell r="C2899" t="str">
            <v>TN</v>
          </cell>
          <cell r="D2899" t="str">
            <v>TN</v>
          </cell>
          <cell r="E2899" t="str">
            <v>38060</v>
          </cell>
        </row>
        <row r="2900">
          <cell r="A2900" t="str">
            <v>VERMIGLIO</v>
          </cell>
          <cell r="B2900" t="str">
            <v>022213</v>
          </cell>
          <cell r="C2900" t="str">
            <v>TN</v>
          </cell>
          <cell r="D2900" t="str">
            <v>TN</v>
          </cell>
          <cell r="E2900" t="str">
            <v>38029</v>
          </cell>
        </row>
        <row r="2901">
          <cell r="A2901" t="str">
            <v>VIGNOLA-FALESINA</v>
          </cell>
          <cell r="B2901" t="str">
            <v>022216</v>
          </cell>
          <cell r="C2901" t="str">
            <v>TN</v>
          </cell>
          <cell r="D2901" t="str">
            <v>TN</v>
          </cell>
          <cell r="E2901" t="str">
            <v>38057</v>
          </cell>
        </row>
        <row r="2902">
          <cell r="A2902" t="str">
            <v>VILLA LAGARINA</v>
          </cell>
          <cell r="B2902" t="str">
            <v>022222</v>
          </cell>
          <cell r="C2902" t="str">
            <v>TN</v>
          </cell>
          <cell r="D2902" t="str">
            <v>TN</v>
          </cell>
          <cell r="E2902" t="str">
            <v>38060</v>
          </cell>
        </row>
        <row r="2903">
          <cell r="A2903" t="str">
            <v>VOLANO</v>
          </cell>
          <cell r="B2903" t="str">
            <v>022224</v>
          </cell>
          <cell r="C2903" t="str">
            <v>TN</v>
          </cell>
          <cell r="D2903" t="str">
            <v>TN</v>
          </cell>
          <cell r="E2903" t="str">
            <v>38060</v>
          </cell>
        </row>
        <row r="2904">
          <cell r="A2904" t="str">
            <v>ZIANO DI FIEMME</v>
          </cell>
          <cell r="B2904" t="str">
            <v>022226</v>
          </cell>
          <cell r="C2904" t="str">
            <v>TN</v>
          </cell>
          <cell r="D2904" t="str">
            <v>TN</v>
          </cell>
          <cell r="E2904" t="str">
            <v>38030</v>
          </cell>
        </row>
        <row r="2905">
          <cell r="A2905" t="str">
            <v>COMANO TERME</v>
          </cell>
          <cell r="B2905" t="str">
            <v>022228</v>
          </cell>
          <cell r="C2905" t="str">
            <v>TN</v>
          </cell>
          <cell r="D2905" t="str">
            <v>TN</v>
          </cell>
          <cell r="E2905" t="str">
            <v>38077</v>
          </cell>
        </row>
        <row r="2906">
          <cell r="A2906" t="str">
            <v>LEDRO</v>
          </cell>
          <cell r="B2906" t="str">
            <v>022229</v>
          </cell>
          <cell r="C2906" t="str">
            <v>TN</v>
          </cell>
          <cell r="D2906" t="str">
            <v>TN</v>
          </cell>
          <cell r="E2906" t="str">
            <v>38067</v>
          </cell>
        </row>
        <row r="2907">
          <cell r="A2907" t="str">
            <v>PREDAIA</v>
          </cell>
          <cell r="B2907" t="str">
            <v>022230</v>
          </cell>
          <cell r="C2907" t="str">
            <v>TN</v>
          </cell>
          <cell r="D2907" t="e">
            <v>#N/A</v>
          </cell>
          <cell r="E2907" t="e">
            <v>#N/A</v>
          </cell>
        </row>
        <row r="2908">
          <cell r="A2908" t="str">
            <v>SAN LORENZO DORSINO</v>
          </cell>
          <cell r="B2908" t="str">
            <v>022231</v>
          </cell>
          <cell r="C2908" t="str">
            <v>TN</v>
          </cell>
          <cell r="D2908" t="e">
            <v>#N/A</v>
          </cell>
          <cell r="E2908" t="e">
            <v>#N/A</v>
          </cell>
        </row>
        <row r="2909">
          <cell r="A2909" t="str">
            <v>VALDAONE</v>
          </cell>
          <cell r="B2909" t="str">
            <v>022232</v>
          </cell>
          <cell r="C2909" t="str">
            <v>TN</v>
          </cell>
          <cell r="D2909" t="e">
            <v>#N/A</v>
          </cell>
          <cell r="E2909" t="e">
            <v>#N/A</v>
          </cell>
        </row>
        <row r="2910">
          <cell r="A2910" t="str">
            <v>DIMARO FOLGARIDA</v>
          </cell>
          <cell r="B2910" t="str">
            <v>022233</v>
          </cell>
          <cell r="C2910" t="str">
            <v>TN</v>
          </cell>
          <cell r="D2910" t="e">
            <v>#N/A</v>
          </cell>
          <cell r="E2910" t="e">
            <v>#N/A</v>
          </cell>
        </row>
        <row r="2911">
          <cell r="A2911" t="str">
            <v>PIEVE DI BONO-PREZZO</v>
          </cell>
          <cell r="B2911" t="str">
            <v>022234</v>
          </cell>
          <cell r="C2911" t="str">
            <v>TN</v>
          </cell>
          <cell r="D2911" t="e">
            <v>#N/A</v>
          </cell>
          <cell r="E2911" t="e">
            <v>#N/A</v>
          </cell>
        </row>
        <row r="2912">
          <cell r="A2912" t="str">
            <v>ALTAVALLE</v>
          </cell>
          <cell r="B2912" t="str">
            <v>022235</v>
          </cell>
          <cell r="C2912" t="str">
            <v>TN</v>
          </cell>
          <cell r="D2912" t="e">
            <v>#N/A</v>
          </cell>
          <cell r="E2912" t="e">
            <v>#N/A</v>
          </cell>
        </row>
        <row r="2913">
          <cell r="A2913" t="str">
            <v>ALTOPIANO DELLA VIGOLANA</v>
          </cell>
          <cell r="B2913" t="str">
            <v>022236</v>
          </cell>
          <cell r="C2913" t="str">
            <v>TN</v>
          </cell>
          <cell r="D2913" t="e">
            <v>#N/A</v>
          </cell>
          <cell r="E2913" t="e">
            <v>#N/A</v>
          </cell>
        </row>
        <row r="2914">
          <cell r="A2914" t="str">
            <v>AMBLAR-DON</v>
          </cell>
          <cell r="B2914" t="str">
            <v>022237</v>
          </cell>
          <cell r="C2914" t="str">
            <v>TN</v>
          </cell>
          <cell r="D2914" t="e">
            <v>#N/A</v>
          </cell>
          <cell r="E2914" t="e">
            <v>#N/A</v>
          </cell>
        </row>
        <row r="2915">
          <cell r="A2915" t="str">
            <v>BORGO CHIESE</v>
          </cell>
          <cell r="B2915" t="str">
            <v>022238</v>
          </cell>
          <cell r="C2915" t="str">
            <v>TN</v>
          </cell>
          <cell r="D2915" t="e">
            <v>#N/A</v>
          </cell>
          <cell r="E2915" t="e">
            <v>#N/A</v>
          </cell>
        </row>
        <row r="2916">
          <cell r="A2916" t="str">
            <v>BORGO LARES</v>
          </cell>
          <cell r="B2916" t="str">
            <v>022239</v>
          </cell>
          <cell r="C2916" t="str">
            <v>TN</v>
          </cell>
          <cell r="D2916" t="e">
            <v>#N/A</v>
          </cell>
          <cell r="E2916" t="e">
            <v>#N/A</v>
          </cell>
        </row>
        <row r="2917">
          <cell r="A2917" t="str">
            <v>CASTEL IVANO</v>
          </cell>
          <cell r="B2917" t="str">
            <v>022240</v>
          </cell>
          <cell r="C2917" t="str">
            <v>TN</v>
          </cell>
          <cell r="D2917" t="e">
            <v>#N/A</v>
          </cell>
          <cell r="E2917" t="e">
            <v>#N/A</v>
          </cell>
        </row>
        <row r="2918">
          <cell r="A2918" t="str">
            <v>CEMBRA LISIGNAGO</v>
          </cell>
          <cell r="B2918" t="str">
            <v>022241</v>
          </cell>
          <cell r="C2918" t="str">
            <v>TN</v>
          </cell>
          <cell r="D2918" t="e">
            <v>#N/A</v>
          </cell>
          <cell r="E2918" t="e">
            <v>#N/A</v>
          </cell>
        </row>
        <row r="2919">
          <cell r="A2919" t="str">
            <v>CONTÀ</v>
          </cell>
          <cell r="B2919" t="str">
            <v>022242</v>
          </cell>
          <cell r="C2919" t="str">
            <v>TN</v>
          </cell>
          <cell r="D2919" t="e">
            <v>#N/A</v>
          </cell>
          <cell r="E2919" t="e">
            <v>#N/A</v>
          </cell>
        </row>
        <row r="2920">
          <cell r="A2920" t="str">
            <v>MADRUZZO</v>
          </cell>
          <cell r="B2920" t="str">
            <v>022243</v>
          </cell>
          <cell r="C2920" t="str">
            <v>TN</v>
          </cell>
          <cell r="D2920" t="e">
            <v>#N/A</v>
          </cell>
          <cell r="E2920" t="e">
            <v>#N/A</v>
          </cell>
        </row>
        <row r="2921">
          <cell r="A2921" t="str">
            <v>PORTE DI RENDENA</v>
          </cell>
          <cell r="B2921" t="str">
            <v>022244</v>
          </cell>
          <cell r="C2921" t="str">
            <v>TN</v>
          </cell>
          <cell r="D2921" t="e">
            <v>#N/A</v>
          </cell>
          <cell r="E2921" t="e">
            <v>#N/A</v>
          </cell>
        </row>
        <row r="2922">
          <cell r="A2922" t="str">
            <v>PRIMIERO SAN MARTINO DI CASTROZZA</v>
          </cell>
          <cell r="B2922" t="str">
            <v>022245</v>
          </cell>
          <cell r="C2922" t="str">
            <v>TN</v>
          </cell>
          <cell r="D2922" t="e">
            <v>#N/A</v>
          </cell>
          <cell r="E2922" t="e">
            <v>#N/A</v>
          </cell>
        </row>
        <row r="2923">
          <cell r="A2923" t="str">
            <v>SELLA GIUDICARIE</v>
          </cell>
          <cell r="B2923" t="str">
            <v>022246</v>
          </cell>
          <cell r="C2923" t="str">
            <v>TN</v>
          </cell>
          <cell r="D2923" t="e">
            <v>#N/A</v>
          </cell>
          <cell r="E2923" t="e">
            <v>#N/A</v>
          </cell>
        </row>
        <row r="2924">
          <cell r="A2924" t="str">
            <v>TRE VILLE</v>
          </cell>
          <cell r="B2924" t="str">
            <v>022247</v>
          </cell>
          <cell r="C2924" t="str">
            <v>TN</v>
          </cell>
          <cell r="D2924" t="e">
            <v>#N/A</v>
          </cell>
          <cell r="E2924" t="e">
            <v>#N/A</v>
          </cell>
        </row>
        <row r="2925">
          <cell r="A2925" t="str">
            <v>VALLELAGHI</v>
          </cell>
          <cell r="B2925" t="str">
            <v>022248</v>
          </cell>
          <cell r="C2925" t="str">
            <v>TN</v>
          </cell>
          <cell r="D2925" t="e">
            <v>#N/A</v>
          </cell>
          <cell r="E2925" t="e">
            <v>#N/A</v>
          </cell>
        </row>
        <row r="2926">
          <cell r="A2926" t="str">
            <v>VILLE D'ANAUNIA</v>
          </cell>
          <cell r="B2926" t="str">
            <v>022249</v>
          </cell>
          <cell r="C2926" t="str">
            <v>TN</v>
          </cell>
          <cell r="D2926" t="e">
            <v>#N/A</v>
          </cell>
          <cell r="E2926" t="e">
            <v>#N/A</v>
          </cell>
        </row>
        <row r="2927">
          <cell r="A2927" t="str">
            <v>SÈN JAN DI FASSA</v>
          </cell>
          <cell r="B2927" t="str">
            <v>022250</v>
          </cell>
          <cell r="C2927" t="str">
            <v>TN</v>
          </cell>
          <cell r="D2927" t="e">
            <v>#N/A</v>
          </cell>
          <cell r="E2927" t="e">
            <v>#N/A</v>
          </cell>
        </row>
        <row r="2928">
          <cell r="A2928" t="str">
            <v>TERRE D'ADIGE</v>
          </cell>
          <cell r="B2928" t="str">
            <v>022251</v>
          </cell>
          <cell r="C2928" t="str">
            <v>TN</v>
          </cell>
          <cell r="D2928" t="e">
            <v>#N/A</v>
          </cell>
          <cell r="E2928" t="e">
            <v>#N/A</v>
          </cell>
        </row>
        <row r="2929">
          <cell r="A2929" t="str">
            <v>BORGO D'ANAUNIA</v>
          </cell>
          <cell r="B2929" t="str">
            <v>022252</v>
          </cell>
          <cell r="C2929" t="str">
            <v>TN</v>
          </cell>
          <cell r="D2929" t="e">
            <v>#N/A</v>
          </cell>
          <cell r="E2929" t="e">
            <v>#N/A</v>
          </cell>
        </row>
        <row r="2930">
          <cell r="A2930" t="str">
            <v>NOVELLA</v>
          </cell>
          <cell r="B2930" t="str">
            <v>022253</v>
          </cell>
          <cell r="C2930" t="str">
            <v>TN</v>
          </cell>
          <cell r="D2930" t="e">
            <v>#N/A</v>
          </cell>
          <cell r="E2930" t="e">
            <v>#N/A</v>
          </cell>
        </row>
        <row r="2931">
          <cell r="A2931" t="str">
            <v>VILLE DI FIEMME</v>
          </cell>
          <cell r="B2931" t="str">
            <v>022254</v>
          </cell>
          <cell r="C2931" t="str">
            <v>TN</v>
          </cell>
          <cell r="D2931" t="e">
            <v>#N/A</v>
          </cell>
          <cell r="E2931" t="e">
            <v>#N/A</v>
          </cell>
        </row>
        <row r="2932">
          <cell r="A2932" t="str">
            <v>AFFI</v>
          </cell>
          <cell r="B2932" t="str">
            <v>023001</v>
          </cell>
          <cell r="C2932" t="str">
            <v>VR</v>
          </cell>
          <cell r="D2932" t="str">
            <v>VR</v>
          </cell>
          <cell r="E2932" t="str">
            <v>37010</v>
          </cell>
        </row>
        <row r="2933">
          <cell r="A2933" t="str">
            <v>ALBAREDO D'ADIGE</v>
          </cell>
          <cell r="B2933" t="str">
            <v>023002</v>
          </cell>
          <cell r="C2933" t="str">
            <v>VR</v>
          </cell>
          <cell r="D2933" t="str">
            <v>VR</v>
          </cell>
          <cell r="E2933" t="str">
            <v>37041</v>
          </cell>
        </row>
        <row r="2934">
          <cell r="A2934" t="str">
            <v>ANGIARI</v>
          </cell>
          <cell r="B2934" t="str">
            <v>023003</v>
          </cell>
          <cell r="C2934" t="str">
            <v>VR</v>
          </cell>
          <cell r="D2934" t="str">
            <v>VR</v>
          </cell>
          <cell r="E2934" t="str">
            <v>37050</v>
          </cell>
        </row>
        <row r="2935">
          <cell r="A2935" t="str">
            <v>ARCOLE</v>
          </cell>
          <cell r="B2935" t="str">
            <v>023004</v>
          </cell>
          <cell r="C2935" t="str">
            <v>VR</v>
          </cell>
          <cell r="D2935" t="str">
            <v>VR</v>
          </cell>
          <cell r="E2935" t="str">
            <v>37040</v>
          </cell>
        </row>
        <row r="2936">
          <cell r="A2936" t="str">
            <v>BADIA CALAVENA</v>
          </cell>
          <cell r="B2936" t="str">
            <v>023005</v>
          </cell>
          <cell r="C2936" t="str">
            <v>VR</v>
          </cell>
          <cell r="D2936" t="str">
            <v>VR</v>
          </cell>
          <cell r="E2936" t="str">
            <v>37030</v>
          </cell>
        </row>
        <row r="2937">
          <cell r="A2937" t="str">
            <v>BARDOLINO</v>
          </cell>
          <cell r="B2937" t="str">
            <v>023006</v>
          </cell>
          <cell r="C2937" t="str">
            <v>VR</v>
          </cell>
          <cell r="D2937" t="str">
            <v>VR</v>
          </cell>
          <cell r="E2937" t="str">
            <v>37011</v>
          </cell>
        </row>
        <row r="2938">
          <cell r="A2938" t="str">
            <v>BELFIORE</v>
          </cell>
          <cell r="B2938" t="str">
            <v>023007</v>
          </cell>
          <cell r="C2938" t="str">
            <v>VR</v>
          </cell>
          <cell r="D2938" t="str">
            <v>VR</v>
          </cell>
          <cell r="E2938" t="str">
            <v>37050</v>
          </cell>
        </row>
        <row r="2939">
          <cell r="A2939" t="str">
            <v>BEVILACQUA</v>
          </cell>
          <cell r="B2939" t="str">
            <v>023008</v>
          </cell>
          <cell r="C2939" t="str">
            <v>VR</v>
          </cell>
          <cell r="D2939" t="str">
            <v>VR</v>
          </cell>
          <cell r="E2939" t="str">
            <v>37040</v>
          </cell>
        </row>
        <row r="2940">
          <cell r="A2940" t="str">
            <v>BONAVIGO</v>
          </cell>
          <cell r="B2940" t="str">
            <v>023009</v>
          </cell>
          <cell r="C2940" t="str">
            <v>VR</v>
          </cell>
          <cell r="D2940" t="str">
            <v>VR</v>
          </cell>
          <cell r="E2940" t="str">
            <v>37040</v>
          </cell>
        </row>
        <row r="2941">
          <cell r="A2941" t="str">
            <v>BOSCHI SANT'ANNA</v>
          </cell>
          <cell r="B2941" t="str">
            <v>023010</v>
          </cell>
          <cell r="C2941" t="str">
            <v>VR</v>
          </cell>
          <cell r="D2941" t="str">
            <v>VR</v>
          </cell>
          <cell r="E2941" t="str">
            <v>37040</v>
          </cell>
        </row>
        <row r="2942">
          <cell r="A2942" t="str">
            <v>BOSCO CHIESANUOVA</v>
          </cell>
          <cell r="B2942" t="str">
            <v>023011</v>
          </cell>
          <cell r="C2942" t="str">
            <v>VR</v>
          </cell>
          <cell r="D2942" t="str">
            <v>VR</v>
          </cell>
          <cell r="E2942" t="str">
            <v>37021</v>
          </cell>
        </row>
        <row r="2943">
          <cell r="A2943" t="str">
            <v>BOVOLONE</v>
          </cell>
          <cell r="B2943" t="str">
            <v>023012</v>
          </cell>
          <cell r="C2943" t="str">
            <v>VR</v>
          </cell>
          <cell r="D2943" t="str">
            <v>VR</v>
          </cell>
          <cell r="E2943" t="str">
            <v>37051</v>
          </cell>
        </row>
        <row r="2944">
          <cell r="A2944" t="str">
            <v>BRENTINO BELLUNO</v>
          </cell>
          <cell r="B2944" t="str">
            <v>023013</v>
          </cell>
          <cell r="C2944" t="str">
            <v>VR</v>
          </cell>
          <cell r="D2944" t="str">
            <v>VR</v>
          </cell>
          <cell r="E2944" t="str">
            <v>37020</v>
          </cell>
        </row>
        <row r="2945">
          <cell r="A2945" t="str">
            <v>BRENZONE SUL GARDA</v>
          </cell>
          <cell r="B2945" t="str">
            <v>023014</v>
          </cell>
          <cell r="C2945" t="str">
            <v>VR</v>
          </cell>
          <cell r="D2945" t="e">
            <v>#N/A</v>
          </cell>
          <cell r="E2945" t="e">
            <v>#N/A</v>
          </cell>
        </row>
        <row r="2946">
          <cell r="A2946" t="str">
            <v>BUSSOLENGO</v>
          </cell>
          <cell r="B2946" t="str">
            <v>023015</v>
          </cell>
          <cell r="C2946" t="str">
            <v>VR</v>
          </cell>
          <cell r="D2946" t="str">
            <v>VR</v>
          </cell>
          <cell r="E2946" t="str">
            <v>37012</v>
          </cell>
        </row>
        <row r="2947">
          <cell r="A2947" t="str">
            <v>BUTTAPIETRA</v>
          </cell>
          <cell r="B2947" t="str">
            <v>023016</v>
          </cell>
          <cell r="C2947" t="str">
            <v>VR</v>
          </cell>
          <cell r="D2947" t="str">
            <v>VR</v>
          </cell>
          <cell r="E2947" t="str">
            <v>37060</v>
          </cell>
        </row>
        <row r="2948">
          <cell r="A2948" t="str">
            <v>CALDIERO</v>
          </cell>
          <cell r="B2948" t="str">
            <v>023017</v>
          </cell>
          <cell r="C2948" t="str">
            <v>VR</v>
          </cell>
          <cell r="D2948" t="str">
            <v>VR</v>
          </cell>
          <cell r="E2948" t="str">
            <v>37042</v>
          </cell>
        </row>
        <row r="2949">
          <cell r="A2949" t="str">
            <v>CAPRINO VERONESE</v>
          </cell>
          <cell r="B2949" t="str">
            <v>023018</v>
          </cell>
          <cell r="C2949" t="str">
            <v>VR</v>
          </cell>
          <cell r="D2949" t="str">
            <v>VR</v>
          </cell>
          <cell r="E2949" t="str">
            <v>37013</v>
          </cell>
        </row>
        <row r="2950">
          <cell r="A2950" t="str">
            <v>CASALEONE</v>
          </cell>
          <cell r="B2950" t="str">
            <v>023019</v>
          </cell>
          <cell r="C2950" t="str">
            <v>VR</v>
          </cell>
          <cell r="D2950" t="str">
            <v>VR</v>
          </cell>
          <cell r="E2950" t="str">
            <v>37052</v>
          </cell>
        </row>
        <row r="2951">
          <cell r="A2951" t="str">
            <v>CASTAGNARO</v>
          </cell>
          <cell r="B2951" t="str">
            <v>023020</v>
          </cell>
          <cell r="C2951" t="str">
            <v>VR</v>
          </cell>
          <cell r="D2951" t="str">
            <v>VR</v>
          </cell>
          <cell r="E2951" t="str">
            <v>37043</v>
          </cell>
        </row>
        <row r="2952">
          <cell r="A2952" t="str">
            <v>CASTEL D'AZZANO</v>
          </cell>
          <cell r="B2952" t="str">
            <v>023021</v>
          </cell>
          <cell r="C2952" t="str">
            <v>VR</v>
          </cell>
          <cell r="D2952" t="str">
            <v>VR</v>
          </cell>
          <cell r="E2952" t="str">
            <v>37060</v>
          </cell>
        </row>
        <row r="2953">
          <cell r="A2953" t="str">
            <v>CASTELNUOVO DEL GARDA</v>
          </cell>
          <cell r="B2953" t="str">
            <v>023022</v>
          </cell>
          <cell r="C2953" t="str">
            <v>VR</v>
          </cell>
          <cell r="D2953" t="str">
            <v>VR</v>
          </cell>
          <cell r="E2953" t="str">
            <v>37014</v>
          </cell>
        </row>
        <row r="2954">
          <cell r="A2954" t="str">
            <v>CAVAION VERONESE</v>
          </cell>
          <cell r="B2954" t="str">
            <v>023023</v>
          </cell>
          <cell r="C2954" t="str">
            <v>VR</v>
          </cell>
          <cell r="D2954" t="str">
            <v>VR</v>
          </cell>
          <cell r="E2954" t="str">
            <v>37010</v>
          </cell>
        </row>
        <row r="2955">
          <cell r="A2955" t="str">
            <v>CAZZANO DI TRAMIGNA</v>
          </cell>
          <cell r="B2955" t="str">
            <v>023024</v>
          </cell>
          <cell r="C2955" t="str">
            <v>VR</v>
          </cell>
          <cell r="D2955" t="str">
            <v>VR</v>
          </cell>
          <cell r="E2955" t="str">
            <v>37030</v>
          </cell>
        </row>
        <row r="2956">
          <cell r="A2956" t="str">
            <v>CEREA</v>
          </cell>
          <cell r="B2956" t="str">
            <v>023025</v>
          </cell>
          <cell r="C2956" t="str">
            <v>VR</v>
          </cell>
          <cell r="D2956" t="str">
            <v>VR</v>
          </cell>
          <cell r="E2956" t="str">
            <v>37053</v>
          </cell>
        </row>
        <row r="2957">
          <cell r="A2957" t="str">
            <v>CERRO VERONESE</v>
          </cell>
          <cell r="B2957" t="str">
            <v>023026</v>
          </cell>
          <cell r="C2957" t="str">
            <v>VR</v>
          </cell>
          <cell r="D2957" t="str">
            <v>VR</v>
          </cell>
          <cell r="E2957" t="str">
            <v>37020</v>
          </cell>
        </row>
        <row r="2958">
          <cell r="A2958" t="str">
            <v>COLOGNA VENETA</v>
          </cell>
          <cell r="B2958" t="str">
            <v>023027</v>
          </cell>
          <cell r="C2958" t="str">
            <v>VR</v>
          </cell>
          <cell r="D2958" t="str">
            <v>VR</v>
          </cell>
          <cell r="E2958" t="str">
            <v>37044</v>
          </cell>
        </row>
        <row r="2959">
          <cell r="A2959" t="str">
            <v>COLOGNOLA AI COLLI</v>
          </cell>
          <cell r="B2959" t="str">
            <v>023028</v>
          </cell>
          <cell r="C2959" t="str">
            <v>VR</v>
          </cell>
          <cell r="D2959" t="str">
            <v>VR</v>
          </cell>
          <cell r="E2959" t="str">
            <v>37030</v>
          </cell>
        </row>
        <row r="2960">
          <cell r="A2960" t="str">
            <v>CONCAMARISE</v>
          </cell>
          <cell r="B2960" t="str">
            <v>023029</v>
          </cell>
          <cell r="C2960" t="str">
            <v>VR</v>
          </cell>
          <cell r="D2960" t="str">
            <v>VR</v>
          </cell>
          <cell r="E2960" t="str">
            <v>37050</v>
          </cell>
        </row>
        <row r="2961">
          <cell r="A2961" t="str">
            <v>COSTERMANO SUL GARDA</v>
          </cell>
          <cell r="B2961" t="str">
            <v>023030</v>
          </cell>
          <cell r="C2961" t="str">
            <v>VR</v>
          </cell>
          <cell r="D2961" t="e">
            <v>#N/A</v>
          </cell>
          <cell r="E2961" t="e">
            <v>#N/A</v>
          </cell>
        </row>
        <row r="2962">
          <cell r="A2962" t="str">
            <v>DOLCÈ</v>
          </cell>
          <cell r="B2962" t="str">
            <v>023031</v>
          </cell>
          <cell r="C2962" t="str">
            <v>VR</v>
          </cell>
          <cell r="D2962" t="str">
            <v>VR</v>
          </cell>
          <cell r="E2962" t="str">
            <v>37020</v>
          </cell>
        </row>
        <row r="2963">
          <cell r="A2963" t="str">
            <v>ERBÈ</v>
          </cell>
          <cell r="B2963" t="str">
            <v>023032</v>
          </cell>
          <cell r="C2963" t="str">
            <v>VR</v>
          </cell>
          <cell r="D2963" t="str">
            <v>VR</v>
          </cell>
          <cell r="E2963" t="str">
            <v>37060</v>
          </cell>
        </row>
        <row r="2964">
          <cell r="A2964" t="str">
            <v>ERBEZZO</v>
          </cell>
          <cell r="B2964" t="str">
            <v>023033</v>
          </cell>
          <cell r="C2964" t="str">
            <v>VR</v>
          </cell>
          <cell r="D2964" t="str">
            <v>VR</v>
          </cell>
          <cell r="E2964" t="str">
            <v>37020</v>
          </cell>
        </row>
        <row r="2965">
          <cell r="A2965" t="str">
            <v>FERRARA DI MONTE BALDO</v>
          </cell>
          <cell r="B2965" t="str">
            <v>023034</v>
          </cell>
          <cell r="C2965" t="str">
            <v>VR</v>
          </cell>
          <cell r="D2965" t="str">
            <v>VR</v>
          </cell>
          <cell r="E2965" t="str">
            <v>37020</v>
          </cell>
        </row>
        <row r="2966">
          <cell r="A2966" t="str">
            <v>FUMANE</v>
          </cell>
          <cell r="B2966" t="str">
            <v>023035</v>
          </cell>
          <cell r="C2966" t="str">
            <v>VR</v>
          </cell>
          <cell r="D2966" t="str">
            <v>VR</v>
          </cell>
          <cell r="E2966" t="str">
            <v>37022</v>
          </cell>
        </row>
        <row r="2967">
          <cell r="A2967" t="str">
            <v>GARDA</v>
          </cell>
          <cell r="B2967" t="str">
            <v>023036</v>
          </cell>
          <cell r="C2967" t="str">
            <v>VR</v>
          </cell>
          <cell r="D2967" t="str">
            <v>VR</v>
          </cell>
          <cell r="E2967" t="str">
            <v>37016</v>
          </cell>
        </row>
        <row r="2968">
          <cell r="A2968" t="str">
            <v>GAZZO VERONESE</v>
          </cell>
          <cell r="B2968" t="str">
            <v>023037</v>
          </cell>
          <cell r="C2968" t="str">
            <v>VR</v>
          </cell>
          <cell r="D2968" t="str">
            <v>VR</v>
          </cell>
          <cell r="E2968" t="str">
            <v>37060</v>
          </cell>
        </row>
        <row r="2969">
          <cell r="A2969" t="str">
            <v>GREZZANA</v>
          </cell>
          <cell r="B2969" t="str">
            <v>023038</v>
          </cell>
          <cell r="C2969" t="str">
            <v>VR</v>
          </cell>
          <cell r="D2969" t="str">
            <v>VR</v>
          </cell>
          <cell r="E2969" t="str">
            <v>37023</v>
          </cell>
        </row>
        <row r="2970">
          <cell r="A2970" t="str">
            <v>ILLASI</v>
          </cell>
          <cell r="B2970" t="str">
            <v>023039</v>
          </cell>
          <cell r="C2970" t="str">
            <v>VR</v>
          </cell>
          <cell r="D2970" t="str">
            <v>VR</v>
          </cell>
          <cell r="E2970" t="str">
            <v>37031</v>
          </cell>
        </row>
        <row r="2971">
          <cell r="A2971" t="str">
            <v>ISOLA DELLA SCALA</v>
          </cell>
          <cell r="B2971" t="str">
            <v>023040</v>
          </cell>
          <cell r="C2971" t="str">
            <v>VR</v>
          </cell>
          <cell r="D2971" t="str">
            <v>VR</v>
          </cell>
          <cell r="E2971" t="str">
            <v>37063</v>
          </cell>
        </row>
        <row r="2972">
          <cell r="A2972" t="str">
            <v>ISOLA RIZZA</v>
          </cell>
          <cell r="B2972" t="str">
            <v>023041</v>
          </cell>
          <cell r="C2972" t="str">
            <v>VR</v>
          </cell>
          <cell r="D2972" t="str">
            <v>VR</v>
          </cell>
          <cell r="E2972" t="str">
            <v>37050</v>
          </cell>
        </row>
        <row r="2973">
          <cell r="A2973" t="str">
            <v>LAVAGNO</v>
          </cell>
          <cell r="B2973" t="str">
            <v>023042</v>
          </cell>
          <cell r="C2973" t="str">
            <v>VR</v>
          </cell>
          <cell r="D2973" t="str">
            <v>VR</v>
          </cell>
          <cell r="E2973" t="str">
            <v>37030</v>
          </cell>
        </row>
        <row r="2974">
          <cell r="A2974" t="str">
            <v>LAZISE</v>
          </cell>
          <cell r="B2974" t="str">
            <v>023043</v>
          </cell>
          <cell r="C2974" t="str">
            <v>VR</v>
          </cell>
          <cell r="D2974" t="str">
            <v>VR</v>
          </cell>
          <cell r="E2974" t="str">
            <v>37017</v>
          </cell>
        </row>
        <row r="2975">
          <cell r="A2975" t="str">
            <v>LEGNAGO</v>
          </cell>
          <cell r="B2975" t="str">
            <v>023044</v>
          </cell>
          <cell r="C2975" t="str">
            <v>VR</v>
          </cell>
          <cell r="D2975" t="str">
            <v>VR</v>
          </cell>
          <cell r="E2975" t="str">
            <v>37045</v>
          </cell>
        </row>
        <row r="2976">
          <cell r="A2976" t="str">
            <v>MALCESINE</v>
          </cell>
          <cell r="B2976" t="str">
            <v>023045</v>
          </cell>
          <cell r="C2976" t="str">
            <v>VR</v>
          </cell>
          <cell r="D2976" t="str">
            <v>VR</v>
          </cell>
          <cell r="E2976" t="str">
            <v>37018</v>
          </cell>
        </row>
        <row r="2977">
          <cell r="A2977" t="str">
            <v>MARANO DI VALPOLICELLA</v>
          </cell>
          <cell r="B2977" t="str">
            <v>023046</v>
          </cell>
          <cell r="C2977" t="str">
            <v>VR</v>
          </cell>
          <cell r="D2977" t="str">
            <v>VR</v>
          </cell>
          <cell r="E2977" t="str">
            <v>37020</v>
          </cell>
        </row>
        <row r="2978">
          <cell r="A2978" t="str">
            <v>MEZZANE DI SOTTO</v>
          </cell>
          <cell r="B2978" t="str">
            <v>023047</v>
          </cell>
          <cell r="C2978" t="str">
            <v>VR</v>
          </cell>
          <cell r="D2978" t="str">
            <v>VR</v>
          </cell>
          <cell r="E2978" t="str">
            <v>37030</v>
          </cell>
        </row>
        <row r="2979">
          <cell r="A2979" t="str">
            <v>MINERBE</v>
          </cell>
          <cell r="B2979" t="str">
            <v>023048</v>
          </cell>
          <cell r="C2979" t="str">
            <v>VR</v>
          </cell>
          <cell r="D2979" t="str">
            <v>VR</v>
          </cell>
          <cell r="E2979" t="str">
            <v>37046</v>
          </cell>
        </row>
        <row r="2980">
          <cell r="A2980" t="str">
            <v>MONTECCHIA DI CROSARA</v>
          </cell>
          <cell r="B2980" t="str">
            <v>023049</v>
          </cell>
          <cell r="C2980" t="str">
            <v>VR</v>
          </cell>
          <cell r="D2980" t="str">
            <v>VR</v>
          </cell>
          <cell r="E2980" t="str">
            <v>37030</v>
          </cell>
        </row>
        <row r="2981">
          <cell r="A2981" t="str">
            <v>MONTEFORTE D'ALPONE</v>
          </cell>
          <cell r="B2981" t="str">
            <v>023050</v>
          </cell>
          <cell r="C2981" t="str">
            <v>VR</v>
          </cell>
          <cell r="D2981" t="str">
            <v>VR</v>
          </cell>
          <cell r="E2981" t="str">
            <v>37032</v>
          </cell>
        </row>
        <row r="2982">
          <cell r="A2982" t="str">
            <v>MOZZECANE</v>
          </cell>
          <cell r="B2982" t="str">
            <v>023051</v>
          </cell>
          <cell r="C2982" t="str">
            <v>VR</v>
          </cell>
          <cell r="D2982" t="str">
            <v>VR</v>
          </cell>
          <cell r="E2982" t="str">
            <v>37060</v>
          </cell>
        </row>
        <row r="2983">
          <cell r="A2983" t="str">
            <v>NEGRAR DI VALPOLICELLA</v>
          </cell>
          <cell r="B2983" t="str">
            <v>023052</v>
          </cell>
          <cell r="C2983" t="str">
            <v>VR</v>
          </cell>
          <cell r="D2983" t="e">
            <v>#N/A</v>
          </cell>
          <cell r="E2983" t="e">
            <v>#N/A</v>
          </cell>
        </row>
        <row r="2984">
          <cell r="A2984" t="str">
            <v>NOGARA</v>
          </cell>
          <cell r="B2984" t="str">
            <v>023053</v>
          </cell>
          <cell r="C2984" t="str">
            <v>VR</v>
          </cell>
          <cell r="D2984" t="str">
            <v>VR</v>
          </cell>
          <cell r="E2984" t="str">
            <v>37054</v>
          </cell>
        </row>
        <row r="2985">
          <cell r="A2985" t="str">
            <v>NOGAROLE ROCCA</v>
          </cell>
          <cell r="B2985" t="str">
            <v>023054</v>
          </cell>
          <cell r="C2985" t="str">
            <v>VR</v>
          </cell>
          <cell r="D2985" t="str">
            <v>VR</v>
          </cell>
          <cell r="E2985" t="str">
            <v>37060</v>
          </cell>
        </row>
        <row r="2986">
          <cell r="A2986" t="str">
            <v>OPPEANO</v>
          </cell>
          <cell r="B2986" t="str">
            <v>023055</v>
          </cell>
          <cell r="C2986" t="str">
            <v>VR</v>
          </cell>
          <cell r="D2986" t="str">
            <v>VR</v>
          </cell>
          <cell r="E2986" t="str">
            <v>37050</v>
          </cell>
        </row>
        <row r="2987">
          <cell r="A2987" t="str">
            <v>PALÙ</v>
          </cell>
          <cell r="B2987" t="str">
            <v>023056</v>
          </cell>
          <cell r="C2987" t="str">
            <v>VR</v>
          </cell>
          <cell r="D2987" t="str">
            <v>VR</v>
          </cell>
          <cell r="E2987" t="str">
            <v>37050</v>
          </cell>
        </row>
        <row r="2988">
          <cell r="A2988" t="str">
            <v>PASTRENGO</v>
          </cell>
          <cell r="B2988" t="str">
            <v>023057</v>
          </cell>
          <cell r="C2988" t="str">
            <v>VR</v>
          </cell>
          <cell r="D2988" t="str">
            <v>VR</v>
          </cell>
          <cell r="E2988" t="str">
            <v>37010</v>
          </cell>
        </row>
        <row r="2989">
          <cell r="A2989" t="str">
            <v>PESCANTINA</v>
          </cell>
          <cell r="B2989" t="str">
            <v>023058</v>
          </cell>
          <cell r="C2989" t="str">
            <v>VR</v>
          </cell>
          <cell r="D2989" t="str">
            <v>VR</v>
          </cell>
          <cell r="E2989" t="str">
            <v>37026</v>
          </cell>
        </row>
        <row r="2990">
          <cell r="A2990" t="str">
            <v>PESCHIERA DEL GARDA</v>
          </cell>
          <cell r="B2990" t="str">
            <v>023059</v>
          </cell>
          <cell r="C2990" t="str">
            <v>VR</v>
          </cell>
          <cell r="D2990" t="str">
            <v>VR</v>
          </cell>
          <cell r="E2990" t="str">
            <v>37019</v>
          </cell>
        </row>
        <row r="2991">
          <cell r="A2991" t="str">
            <v>POVEGLIANO VERONESE</v>
          </cell>
          <cell r="B2991" t="str">
            <v>023060</v>
          </cell>
          <cell r="C2991" t="str">
            <v>VR</v>
          </cell>
          <cell r="D2991" t="str">
            <v>VR</v>
          </cell>
          <cell r="E2991" t="str">
            <v>37064</v>
          </cell>
        </row>
        <row r="2992">
          <cell r="A2992" t="str">
            <v>PRESSANA</v>
          </cell>
          <cell r="B2992" t="str">
            <v>023061</v>
          </cell>
          <cell r="C2992" t="str">
            <v>VR</v>
          </cell>
          <cell r="D2992" t="str">
            <v>VR</v>
          </cell>
          <cell r="E2992" t="str">
            <v>37040</v>
          </cell>
        </row>
        <row r="2993">
          <cell r="A2993" t="str">
            <v>RIVOLI VERONESE</v>
          </cell>
          <cell r="B2993" t="str">
            <v>023062</v>
          </cell>
          <cell r="C2993" t="str">
            <v>VR</v>
          </cell>
          <cell r="D2993" t="str">
            <v>VR</v>
          </cell>
          <cell r="E2993" t="str">
            <v>37010</v>
          </cell>
        </row>
        <row r="2994">
          <cell r="A2994" t="str">
            <v>RONCÀ</v>
          </cell>
          <cell r="B2994" t="str">
            <v>023063</v>
          </cell>
          <cell r="C2994" t="str">
            <v>VR</v>
          </cell>
          <cell r="D2994" t="str">
            <v>VR</v>
          </cell>
          <cell r="E2994" t="str">
            <v>37030</v>
          </cell>
        </row>
        <row r="2995">
          <cell r="A2995" t="str">
            <v>RONCO ALL'ADIGE</v>
          </cell>
          <cell r="B2995" t="str">
            <v>023064</v>
          </cell>
          <cell r="C2995" t="str">
            <v>VR</v>
          </cell>
          <cell r="D2995" t="str">
            <v>VR</v>
          </cell>
          <cell r="E2995" t="str">
            <v>37055</v>
          </cell>
        </row>
        <row r="2996">
          <cell r="A2996" t="str">
            <v>ROVERCHIARA</v>
          </cell>
          <cell r="B2996" t="str">
            <v>023065</v>
          </cell>
          <cell r="C2996" t="str">
            <v>VR</v>
          </cell>
          <cell r="D2996" t="str">
            <v>VR</v>
          </cell>
          <cell r="E2996" t="str">
            <v>37050</v>
          </cell>
        </row>
        <row r="2997">
          <cell r="A2997" t="str">
            <v>ROVEREDO DI GUÀ</v>
          </cell>
          <cell r="B2997" t="str">
            <v>023066</v>
          </cell>
          <cell r="C2997" t="str">
            <v>VR</v>
          </cell>
          <cell r="D2997" t="str">
            <v>VR</v>
          </cell>
          <cell r="E2997" t="str">
            <v>37040</v>
          </cell>
        </row>
        <row r="2998">
          <cell r="A2998" t="str">
            <v>ROVERÈ VERONESE</v>
          </cell>
          <cell r="B2998" t="str">
            <v>023067</v>
          </cell>
          <cell r="C2998" t="str">
            <v>VR</v>
          </cell>
          <cell r="D2998" t="str">
            <v>VR</v>
          </cell>
          <cell r="E2998" t="str">
            <v>37028</v>
          </cell>
        </row>
        <row r="2999">
          <cell r="A2999" t="str">
            <v>SALIZZOLE</v>
          </cell>
          <cell r="B2999" t="str">
            <v>023068</v>
          </cell>
          <cell r="C2999" t="str">
            <v>VR</v>
          </cell>
          <cell r="D2999" t="str">
            <v>VR</v>
          </cell>
          <cell r="E2999" t="str">
            <v>37056</v>
          </cell>
        </row>
        <row r="3000">
          <cell r="A3000" t="str">
            <v>SAN BONIFACIO</v>
          </cell>
          <cell r="B3000" t="str">
            <v>023069</v>
          </cell>
          <cell r="C3000" t="str">
            <v>VR</v>
          </cell>
          <cell r="D3000" t="str">
            <v>VR</v>
          </cell>
          <cell r="E3000" t="str">
            <v>37047</v>
          </cell>
        </row>
        <row r="3001">
          <cell r="A3001" t="str">
            <v>SAN GIOVANNI ILARIONE</v>
          </cell>
          <cell r="B3001" t="str">
            <v>023070</v>
          </cell>
          <cell r="C3001" t="str">
            <v>VR</v>
          </cell>
          <cell r="D3001" t="str">
            <v>VR</v>
          </cell>
          <cell r="E3001" t="str">
            <v>37035</v>
          </cell>
        </row>
        <row r="3002">
          <cell r="A3002" t="str">
            <v>SAN GIOVANNI LUPATOTO</v>
          </cell>
          <cell r="B3002" t="str">
            <v>023071</v>
          </cell>
          <cell r="C3002" t="str">
            <v>VR</v>
          </cell>
          <cell r="D3002" t="str">
            <v>VR</v>
          </cell>
          <cell r="E3002" t="str">
            <v>37057</v>
          </cell>
        </row>
        <row r="3003">
          <cell r="A3003" t="str">
            <v>SANGUINETTO</v>
          </cell>
          <cell r="B3003" t="str">
            <v>023072</v>
          </cell>
          <cell r="C3003" t="str">
            <v>VR</v>
          </cell>
          <cell r="D3003" t="str">
            <v>VR</v>
          </cell>
          <cell r="E3003" t="str">
            <v>37058</v>
          </cell>
        </row>
        <row r="3004">
          <cell r="A3004" t="str">
            <v>SAN MARTINO BUON ALBERGO</v>
          </cell>
          <cell r="B3004" t="str">
            <v>023073</v>
          </cell>
          <cell r="C3004" t="str">
            <v>VR</v>
          </cell>
          <cell r="D3004" t="str">
            <v>VR</v>
          </cell>
          <cell r="E3004" t="str">
            <v>37036</v>
          </cell>
        </row>
        <row r="3005">
          <cell r="A3005" t="str">
            <v>SAN MAURO DI SALINE</v>
          </cell>
          <cell r="B3005" t="str">
            <v>023074</v>
          </cell>
          <cell r="C3005" t="str">
            <v>VR</v>
          </cell>
          <cell r="D3005" t="str">
            <v>VR</v>
          </cell>
          <cell r="E3005" t="str">
            <v>37030</v>
          </cell>
        </row>
        <row r="3006">
          <cell r="A3006" t="str">
            <v>SAN PIETRO DI MORUBIO</v>
          </cell>
          <cell r="B3006" t="str">
            <v>023075</v>
          </cell>
          <cell r="C3006" t="str">
            <v>VR</v>
          </cell>
          <cell r="D3006" t="str">
            <v>VR</v>
          </cell>
          <cell r="E3006" t="str">
            <v>37050</v>
          </cell>
        </row>
        <row r="3007">
          <cell r="A3007" t="str">
            <v>SAN PIETRO IN CARIANO</v>
          </cell>
          <cell r="B3007" t="str">
            <v>023076</v>
          </cell>
          <cell r="C3007" t="str">
            <v>VR</v>
          </cell>
          <cell r="D3007" t="str">
            <v>VR</v>
          </cell>
          <cell r="E3007" t="str">
            <v>37029</v>
          </cell>
        </row>
        <row r="3008">
          <cell r="A3008" t="str">
            <v>SANT'AMBROGIO DI VALPOLICELLA</v>
          </cell>
          <cell r="B3008" t="str">
            <v>023077</v>
          </cell>
          <cell r="C3008" t="str">
            <v>VR</v>
          </cell>
          <cell r="D3008" t="str">
            <v>VR</v>
          </cell>
          <cell r="E3008" t="str">
            <v>37015</v>
          </cell>
        </row>
        <row r="3009">
          <cell r="A3009" t="str">
            <v>SANT'ANNA D'ALFAEDO</v>
          </cell>
          <cell r="B3009" t="str">
            <v>023078</v>
          </cell>
          <cell r="C3009" t="str">
            <v>VR</v>
          </cell>
          <cell r="D3009" t="str">
            <v>VR</v>
          </cell>
          <cell r="E3009" t="str">
            <v>37020</v>
          </cell>
        </row>
        <row r="3010">
          <cell r="A3010" t="str">
            <v>SAN ZENO DI MONTAGNA</v>
          </cell>
          <cell r="B3010" t="str">
            <v>023079</v>
          </cell>
          <cell r="C3010" t="str">
            <v>VR</v>
          </cell>
          <cell r="D3010" t="str">
            <v>VR</v>
          </cell>
          <cell r="E3010" t="str">
            <v>37010</v>
          </cell>
        </row>
        <row r="3011">
          <cell r="A3011" t="str">
            <v>SELVA DI PROGNO</v>
          </cell>
          <cell r="B3011" t="str">
            <v>023080</v>
          </cell>
          <cell r="C3011" t="str">
            <v>VR</v>
          </cell>
          <cell r="D3011" t="str">
            <v>VR</v>
          </cell>
          <cell r="E3011" t="str">
            <v>37030</v>
          </cell>
        </row>
        <row r="3012">
          <cell r="A3012" t="str">
            <v>SOAVE</v>
          </cell>
          <cell r="B3012" t="str">
            <v>023081</v>
          </cell>
          <cell r="C3012" t="str">
            <v>VR</v>
          </cell>
          <cell r="D3012" t="str">
            <v>VR</v>
          </cell>
          <cell r="E3012" t="str">
            <v>37038</v>
          </cell>
        </row>
        <row r="3013">
          <cell r="A3013" t="str">
            <v>SOMMACAMPAGNA</v>
          </cell>
          <cell r="B3013" t="str">
            <v>023082</v>
          </cell>
          <cell r="C3013" t="str">
            <v>VR</v>
          </cell>
          <cell r="D3013" t="str">
            <v>VR</v>
          </cell>
          <cell r="E3013" t="str">
            <v>37066</v>
          </cell>
        </row>
        <row r="3014">
          <cell r="A3014" t="str">
            <v>SONA</v>
          </cell>
          <cell r="B3014" t="str">
            <v>023083</v>
          </cell>
          <cell r="C3014" t="str">
            <v>VR</v>
          </cell>
          <cell r="D3014" t="str">
            <v>VR</v>
          </cell>
          <cell r="E3014" t="str">
            <v>37060</v>
          </cell>
        </row>
        <row r="3015">
          <cell r="A3015" t="str">
            <v>SORGÀ</v>
          </cell>
          <cell r="B3015" t="str">
            <v>023084</v>
          </cell>
          <cell r="C3015" t="str">
            <v>VR</v>
          </cell>
          <cell r="D3015" t="str">
            <v>VR</v>
          </cell>
          <cell r="E3015" t="str">
            <v>37060</v>
          </cell>
        </row>
        <row r="3016">
          <cell r="A3016" t="str">
            <v>TERRAZZO</v>
          </cell>
          <cell r="B3016" t="str">
            <v>023085</v>
          </cell>
          <cell r="C3016" t="str">
            <v>VR</v>
          </cell>
          <cell r="D3016" t="str">
            <v>VR</v>
          </cell>
          <cell r="E3016" t="str">
            <v>37040</v>
          </cell>
        </row>
        <row r="3017">
          <cell r="A3017" t="str">
            <v>TORRI DEL BENACO</v>
          </cell>
          <cell r="B3017" t="str">
            <v>023086</v>
          </cell>
          <cell r="C3017" t="str">
            <v>VR</v>
          </cell>
          <cell r="D3017" t="str">
            <v>VR</v>
          </cell>
          <cell r="E3017" t="str">
            <v>37010</v>
          </cell>
        </row>
        <row r="3018">
          <cell r="A3018" t="str">
            <v>TREGNAGO</v>
          </cell>
          <cell r="B3018" t="str">
            <v>023087</v>
          </cell>
          <cell r="C3018" t="str">
            <v>VR</v>
          </cell>
          <cell r="D3018" t="str">
            <v>VR</v>
          </cell>
          <cell r="E3018" t="str">
            <v>37039</v>
          </cell>
        </row>
        <row r="3019">
          <cell r="A3019" t="str">
            <v>TREVENZUOLO</v>
          </cell>
          <cell r="B3019" t="str">
            <v>023088</v>
          </cell>
          <cell r="C3019" t="str">
            <v>VR</v>
          </cell>
          <cell r="D3019" t="str">
            <v>VR</v>
          </cell>
          <cell r="E3019" t="str">
            <v>37060</v>
          </cell>
        </row>
        <row r="3020">
          <cell r="A3020" t="str">
            <v>VALEGGIO SUL MINCIO</v>
          </cell>
          <cell r="B3020" t="str">
            <v>023089</v>
          </cell>
          <cell r="C3020" t="str">
            <v>VR</v>
          </cell>
          <cell r="D3020" t="str">
            <v>VR</v>
          </cell>
          <cell r="E3020" t="str">
            <v>37067</v>
          </cell>
        </row>
        <row r="3021">
          <cell r="A3021" t="str">
            <v>VELO VERONESE</v>
          </cell>
          <cell r="B3021" t="str">
            <v>023090</v>
          </cell>
          <cell r="C3021" t="str">
            <v>VR</v>
          </cell>
          <cell r="D3021" t="str">
            <v>VR</v>
          </cell>
          <cell r="E3021" t="str">
            <v>37030</v>
          </cell>
        </row>
        <row r="3022">
          <cell r="A3022" t="str">
            <v>VERONA</v>
          </cell>
          <cell r="B3022" t="str">
            <v>023091</v>
          </cell>
          <cell r="C3022" t="str">
            <v>VR</v>
          </cell>
          <cell r="D3022" t="str">
            <v>VR</v>
          </cell>
          <cell r="E3022" t="str">
            <v>371xx</v>
          </cell>
        </row>
        <row r="3023">
          <cell r="A3023" t="str">
            <v>VERONELLA</v>
          </cell>
          <cell r="B3023" t="str">
            <v>023092</v>
          </cell>
          <cell r="C3023" t="str">
            <v>VR</v>
          </cell>
          <cell r="D3023" t="str">
            <v>VR</v>
          </cell>
          <cell r="E3023" t="str">
            <v>37040</v>
          </cell>
        </row>
        <row r="3024">
          <cell r="A3024" t="str">
            <v>VESTENANOVA</v>
          </cell>
          <cell r="B3024" t="str">
            <v>023093</v>
          </cell>
          <cell r="C3024" t="str">
            <v>VR</v>
          </cell>
          <cell r="D3024" t="str">
            <v>VR</v>
          </cell>
          <cell r="E3024" t="str">
            <v>37030</v>
          </cell>
        </row>
        <row r="3025">
          <cell r="A3025" t="str">
            <v>VIGASIO</v>
          </cell>
          <cell r="B3025" t="str">
            <v>023094</v>
          </cell>
          <cell r="C3025" t="str">
            <v>VR</v>
          </cell>
          <cell r="D3025" t="str">
            <v>VR</v>
          </cell>
          <cell r="E3025" t="str">
            <v>37068</v>
          </cell>
        </row>
        <row r="3026">
          <cell r="A3026" t="str">
            <v>VILLA BARTOLOMEA</v>
          </cell>
          <cell r="B3026" t="str">
            <v>023095</v>
          </cell>
          <cell r="C3026" t="str">
            <v>VR</v>
          </cell>
          <cell r="D3026" t="str">
            <v>VR</v>
          </cell>
          <cell r="E3026" t="str">
            <v>37049</v>
          </cell>
        </row>
        <row r="3027">
          <cell r="A3027" t="str">
            <v>VILLAFRANCA DI VERONA</v>
          </cell>
          <cell r="B3027" t="str">
            <v>023096</v>
          </cell>
          <cell r="C3027" t="str">
            <v>VR</v>
          </cell>
          <cell r="D3027" t="str">
            <v>VR</v>
          </cell>
          <cell r="E3027" t="str">
            <v>37069</v>
          </cell>
        </row>
        <row r="3028">
          <cell r="A3028" t="str">
            <v>ZEVIO</v>
          </cell>
          <cell r="B3028" t="str">
            <v>023097</v>
          </cell>
          <cell r="C3028" t="str">
            <v>VR</v>
          </cell>
          <cell r="D3028" t="str">
            <v>VR</v>
          </cell>
          <cell r="E3028" t="str">
            <v>37059</v>
          </cell>
        </row>
        <row r="3029">
          <cell r="A3029" t="str">
            <v>ZIMELLA</v>
          </cell>
          <cell r="B3029" t="str">
            <v>023098</v>
          </cell>
          <cell r="C3029" t="str">
            <v>VR</v>
          </cell>
          <cell r="D3029" t="str">
            <v>VR</v>
          </cell>
          <cell r="E3029" t="str">
            <v>37040</v>
          </cell>
        </row>
        <row r="3030">
          <cell r="A3030" t="str">
            <v>AGUGLIARO</v>
          </cell>
          <cell r="B3030" t="str">
            <v>024001</v>
          </cell>
          <cell r="C3030" t="str">
            <v>VI</v>
          </cell>
          <cell r="D3030" t="str">
            <v>VI</v>
          </cell>
          <cell r="E3030" t="str">
            <v>36020</v>
          </cell>
        </row>
        <row r="3031">
          <cell r="A3031" t="str">
            <v>ALBETTONE</v>
          </cell>
          <cell r="B3031" t="str">
            <v>024002</v>
          </cell>
          <cell r="C3031" t="str">
            <v>VI</v>
          </cell>
          <cell r="D3031" t="str">
            <v>VI</v>
          </cell>
          <cell r="E3031" t="str">
            <v>36020</v>
          </cell>
        </row>
        <row r="3032">
          <cell r="A3032" t="str">
            <v>ALONTE</v>
          </cell>
          <cell r="B3032" t="str">
            <v>024003</v>
          </cell>
          <cell r="C3032" t="str">
            <v>VI</v>
          </cell>
          <cell r="D3032" t="str">
            <v>VI</v>
          </cell>
          <cell r="E3032" t="str">
            <v>36045</v>
          </cell>
        </row>
        <row r="3033">
          <cell r="A3033" t="str">
            <v>ALTAVILLA VICENTINA</v>
          </cell>
          <cell r="B3033" t="str">
            <v>024004</v>
          </cell>
          <cell r="C3033" t="str">
            <v>VI</v>
          </cell>
          <cell r="D3033" t="str">
            <v>VI</v>
          </cell>
          <cell r="E3033" t="str">
            <v>36077</v>
          </cell>
        </row>
        <row r="3034">
          <cell r="A3034" t="str">
            <v>ALTISSIMO</v>
          </cell>
          <cell r="B3034" t="str">
            <v>024005</v>
          </cell>
          <cell r="C3034" t="str">
            <v>VI</v>
          </cell>
          <cell r="D3034" t="str">
            <v>VI</v>
          </cell>
          <cell r="E3034" t="str">
            <v>36070</v>
          </cell>
        </row>
        <row r="3035">
          <cell r="A3035" t="str">
            <v>ARCUGNANO</v>
          </cell>
          <cell r="B3035" t="str">
            <v>024006</v>
          </cell>
          <cell r="C3035" t="str">
            <v>VI</v>
          </cell>
          <cell r="D3035" t="str">
            <v>VI</v>
          </cell>
          <cell r="E3035" t="str">
            <v>36057</v>
          </cell>
        </row>
        <row r="3036">
          <cell r="A3036" t="str">
            <v>ARSIERO</v>
          </cell>
          <cell r="B3036" t="str">
            <v>024007</v>
          </cell>
          <cell r="C3036" t="str">
            <v>VI</v>
          </cell>
          <cell r="D3036" t="str">
            <v>VI</v>
          </cell>
          <cell r="E3036" t="str">
            <v>36011</v>
          </cell>
        </row>
        <row r="3037">
          <cell r="A3037" t="str">
            <v>ARZIGNANO</v>
          </cell>
          <cell r="B3037" t="str">
            <v>024008</v>
          </cell>
          <cell r="C3037" t="str">
            <v>VI</v>
          </cell>
          <cell r="D3037" t="str">
            <v>VI</v>
          </cell>
          <cell r="E3037" t="str">
            <v>36071</v>
          </cell>
        </row>
        <row r="3038">
          <cell r="A3038" t="str">
            <v>ASIAGO</v>
          </cell>
          <cell r="B3038" t="str">
            <v>024009</v>
          </cell>
          <cell r="C3038" t="str">
            <v>VI</v>
          </cell>
          <cell r="D3038" t="str">
            <v>VI</v>
          </cell>
          <cell r="E3038" t="str">
            <v>36012</v>
          </cell>
        </row>
        <row r="3039">
          <cell r="A3039" t="str">
            <v>ASIGLIANO VENETO</v>
          </cell>
          <cell r="B3039" t="str">
            <v>024010</v>
          </cell>
          <cell r="C3039" t="str">
            <v>VI</v>
          </cell>
          <cell r="D3039" t="str">
            <v>VI</v>
          </cell>
          <cell r="E3039" t="str">
            <v>36020</v>
          </cell>
        </row>
        <row r="3040">
          <cell r="A3040" t="str">
            <v>BASSANO DEL GRAPPA</v>
          </cell>
          <cell r="B3040" t="str">
            <v>024012</v>
          </cell>
          <cell r="C3040" t="str">
            <v>VI</v>
          </cell>
          <cell r="D3040" t="str">
            <v>VI</v>
          </cell>
          <cell r="E3040" t="str">
            <v>36061</v>
          </cell>
        </row>
        <row r="3041">
          <cell r="A3041" t="str">
            <v>BOLZANO VICENTINO</v>
          </cell>
          <cell r="B3041" t="str">
            <v>024013</v>
          </cell>
          <cell r="C3041" t="str">
            <v>VI</v>
          </cell>
          <cell r="D3041" t="str">
            <v>VI</v>
          </cell>
          <cell r="E3041" t="str">
            <v>36050</v>
          </cell>
        </row>
        <row r="3042">
          <cell r="A3042" t="str">
            <v>BREGANZE</v>
          </cell>
          <cell r="B3042" t="str">
            <v>024014</v>
          </cell>
          <cell r="C3042" t="str">
            <v>VI</v>
          </cell>
          <cell r="D3042" t="str">
            <v>VI</v>
          </cell>
          <cell r="E3042" t="str">
            <v>36042</v>
          </cell>
        </row>
        <row r="3043">
          <cell r="A3043" t="str">
            <v>BRENDOLA</v>
          </cell>
          <cell r="B3043" t="str">
            <v>024015</v>
          </cell>
          <cell r="C3043" t="str">
            <v>VI</v>
          </cell>
          <cell r="D3043" t="str">
            <v>VI</v>
          </cell>
          <cell r="E3043" t="str">
            <v>36040</v>
          </cell>
        </row>
        <row r="3044">
          <cell r="A3044" t="str">
            <v>BRESSANVIDO</v>
          </cell>
          <cell r="B3044" t="str">
            <v>024016</v>
          </cell>
          <cell r="C3044" t="str">
            <v>VI</v>
          </cell>
          <cell r="D3044" t="str">
            <v>VI</v>
          </cell>
          <cell r="E3044" t="str">
            <v>36050</v>
          </cell>
        </row>
        <row r="3045">
          <cell r="A3045" t="str">
            <v>BROGLIANO</v>
          </cell>
          <cell r="B3045" t="str">
            <v>024017</v>
          </cell>
          <cell r="C3045" t="str">
            <v>VI</v>
          </cell>
          <cell r="D3045" t="str">
            <v>VI</v>
          </cell>
          <cell r="E3045" t="str">
            <v>36070</v>
          </cell>
        </row>
        <row r="3046">
          <cell r="A3046" t="str">
            <v>CALDOGNO</v>
          </cell>
          <cell r="B3046" t="str">
            <v>024018</v>
          </cell>
          <cell r="C3046" t="str">
            <v>VI</v>
          </cell>
          <cell r="D3046" t="str">
            <v>VI</v>
          </cell>
          <cell r="E3046" t="str">
            <v>36030</v>
          </cell>
        </row>
        <row r="3047">
          <cell r="A3047" t="str">
            <v>CALTRANO</v>
          </cell>
          <cell r="B3047" t="str">
            <v>024019</v>
          </cell>
          <cell r="C3047" t="str">
            <v>VI</v>
          </cell>
          <cell r="D3047" t="str">
            <v>VI</v>
          </cell>
          <cell r="E3047" t="str">
            <v>36030</v>
          </cell>
        </row>
        <row r="3048">
          <cell r="A3048" t="str">
            <v>CALVENE</v>
          </cell>
          <cell r="B3048" t="str">
            <v>024020</v>
          </cell>
          <cell r="C3048" t="str">
            <v>VI</v>
          </cell>
          <cell r="D3048" t="str">
            <v>VI</v>
          </cell>
          <cell r="E3048" t="str">
            <v>36030</v>
          </cell>
        </row>
        <row r="3049">
          <cell r="A3049" t="str">
            <v>CAMISANO VICENTINO</v>
          </cell>
          <cell r="B3049" t="str">
            <v>024021</v>
          </cell>
          <cell r="C3049" t="str">
            <v>VI</v>
          </cell>
          <cell r="D3049" t="str">
            <v>VI</v>
          </cell>
          <cell r="E3049" t="str">
            <v>36043</v>
          </cell>
        </row>
        <row r="3050">
          <cell r="A3050" t="str">
            <v>CAMPIGLIA DEI BERICI</v>
          </cell>
          <cell r="B3050" t="str">
            <v>024022</v>
          </cell>
          <cell r="C3050" t="str">
            <v>VI</v>
          </cell>
          <cell r="D3050" t="str">
            <v>VI</v>
          </cell>
          <cell r="E3050" t="str">
            <v>36020</v>
          </cell>
        </row>
        <row r="3051">
          <cell r="A3051" t="str">
            <v>CARRÈ</v>
          </cell>
          <cell r="B3051" t="str">
            <v>024024</v>
          </cell>
          <cell r="C3051" t="str">
            <v>VI</v>
          </cell>
          <cell r="D3051" t="str">
            <v>VI</v>
          </cell>
          <cell r="E3051" t="str">
            <v>36010</v>
          </cell>
        </row>
        <row r="3052">
          <cell r="A3052" t="str">
            <v>CARTIGLIANO</v>
          </cell>
          <cell r="B3052" t="str">
            <v>024025</v>
          </cell>
          <cell r="C3052" t="str">
            <v>VI</v>
          </cell>
          <cell r="D3052" t="str">
            <v>VI</v>
          </cell>
          <cell r="E3052" t="str">
            <v>36050</v>
          </cell>
        </row>
        <row r="3053">
          <cell r="A3053" t="str">
            <v>CASSOLA</v>
          </cell>
          <cell r="B3053" t="str">
            <v>024026</v>
          </cell>
          <cell r="C3053" t="str">
            <v>VI</v>
          </cell>
          <cell r="D3053" t="str">
            <v>VI</v>
          </cell>
          <cell r="E3053" t="str">
            <v>36022</v>
          </cell>
        </row>
        <row r="3054">
          <cell r="A3054" t="str">
            <v>CASTEGNERO</v>
          </cell>
          <cell r="B3054" t="str">
            <v>024027</v>
          </cell>
          <cell r="C3054" t="str">
            <v>VI</v>
          </cell>
          <cell r="D3054" t="str">
            <v>VI</v>
          </cell>
          <cell r="E3054" t="str">
            <v>36020</v>
          </cell>
        </row>
        <row r="3055">
          <cell r="A3055" t="str">
            <v>CASTELGOMBERTO</v>
          </cell>
          <cell r="B3055" t="str">
            <v>024028</v>
          </cell>
          <cell r="C3055" t="str">
            <v>VI</v>
          </cell>
          <cell r="D3055" t="str">
            <v>VI</v>
          </cell>
          <cell r="E3055" t="str">
            <v>36070</v>
          </cell>
        </row>
        <row r="3056">
          <cell r="A3056" t="str">
            <v>CHIAMPO</v>
          </cell>
          <cell r="B3056" t="str">
            <v>024029</v>
          </cell>
          <cell r="C3056" t="str">
            <v>VI</v>
          </cell>
          <cell r="D3056" t="str">
            <v>VI</v>
          </cell>
          <cell r="E3056" t="str">
            <v>36072</v>
          </cell>
        </row>
        <row r="3057">
          <cell r="A3057" t="str">
            <v>CHIUPPANO</v>
          </cell>
          <cell r="B3057" t="str">
            <v>024030</v>
          </cell>
          <cell r="C3057" t="str">
            <v>VI</v>
          </cell>
          <cell r="D3057" t="str">
            <v>VI</v>
          </cell>
          <cell r="E3057" t="str">
            <v>36010</v>
          </cell>
        </row>
        <row r="3058">
          <cell r="A3058" t="str">
            <v>COGOLLO DEL CENGIO</v>
          </cell>
          <cell r="B3058" t="str">
            <v>024032</v>
          </cell>
          <cell r="C3058" t="str">
            <v>VI</v>
          </cell>
          <cell r="D3058" t="str">
            <v>VI</v>
          </cell>
          <cell r="E3058" t="str">
            <v>36010</v>
          </cell>
        </row>
        <row r="3059">
          <cell r="A3059" t="str">
            <v>CORNEDO VICENTINO</v>
          </cell>
          <cell r="B3059" t="str">
            <v>024034</v>
          </cell>
          <cell r="C3059" t="str">
            <v>VI</v>
          </cell>
          <cell r="D3059" t="str">
            <v>VI</v>
          </cell>
          <cell r="E3059" t="str">
            <v>36073</v>
          </cell>
        </row>
        <row r="3060">
          <cell r="A3060" t="str">
            <v>COSTABISSARA</v>
          </cell>
          <cell r="B3060" t="str">
            <v>024035</v>
          </cell>
          <cell r="C3060" t="str">
            <v>VI</v>
          </cell>
          <cell r="D3060" t="str">
            <v>VI</v>
          </cell>
          <cell r="E3060" t="str">
            <v>36030</v>
          </cell>
        </row>
        <row r="3061">
          <cell r="A3061" t="str">
            <v>CREAZZO</v>
          </cell>
          <cell r="B3061" t="str">
            <v>024036</v>
          </cell>
          <cell r="C3061" t="str">
            <v>VI</v>
          </cell>
          <cell r="D3061" t="str">
            <v>VI</v>
          </cell>
          <cell r="E3061" t="str">
            <v>36051</v>
          </cell>
        </row>
        <row r="3062">
          <cell r="A3062" t="str">
            <v>CRESPADORO</v>
          </cell>
          <cell r="B3062" t="str">
            <v>024037</v>
          </cell>
          <cell r="C3062" t="str">
            <v>VI</v>
          </cell>
          <cell r="D3062" t="str">
            <v>VI</v>
          </cell>
          <cell r="E3062" t="str">
            <v>36070</v>
          </cell>
        </row>
        <row r="3063">
          <cell r="A3063" t="str">
            <v>DUEVILLE</v>
          </cell>
          <cell r="B3063" t="str">
            <v>024038</v>
          </cell>
          <cell r="C3063" t="str">
            <v>VI</v>
          </cell>
          <cell r="D3063" t="str">
            <v>VI</v>
          </cell>
          <cell r="E3063" t="str">
            <v>36031</v>
          </cell>
        </row>
        <row r="3064">
          <cell r="A3064" t="str">
            <v>ENEGO</v>
          </cell>
          <cell r="B3064" t="str">
            <v>024039</v>
          </cell>
          <cell r="C3064" t="str">
            <v>VI</v>
          </cell>
          <cell r="D3064" t="str">
            <v>VI</v>
          </cell>
          <cell r="E3064" t="str">
            <v>36052</v>
          </cell>
        </row>
        <row r="3065">
          <cell r="A3065" t="str">
            <v>FARA VICENTINO</v>
          </cell>
          <cell r="B3065" t="str">
            <v>024040</v>
          </cell>
          <cell r="C3065" t="str">
            <v>VI</v>
          </cell>
          <cell r="D3065" t="str">
            <v>VI</v>
          </cell>
          <cell r="E3065" t="str">
            <v>36030</v>
          </cell>
        </row>
        <row r="3066">
          <cell r="A3066" t="str">
            <v>FOZA</v>
          </cell>
          <cell r="B3066" t="str">
            <v>024041</v>
          </cell>
          <cell r="C3066" t="str">
            <v>VI</v>
          </cell>
          <cell r="D3066" t="str">
            <v>VI</v>
          </cell>
          <cell r="E3066" t="str">
            <v>36010</v>
          </cell>
        </row>
        <row r="3067">
          <cell r="A3067" t="str">
            <v>GALLIO</v>
          </cell>
          <cell r="B3067" t="str">
            <v>024042</v>
          </cell>
          <cell r="C3067" t="str">
            <v>VI</v>
          </cell>
          <cell r="D3067" t="str">
            <v>VI</v>
          </cell>
          <cell r="E3067" t="str">
            <v>36032</v>
          </cell>
        </row>
        <row r="3068">
          <cell r="A3068" t="str">
            <v>GAMBELLARA</v>
          </cell>
          <cell r="B3068" t="str">
            <v>024043</v>
          </cell>
          <cell r="C3068" t="str">
            <v>VI</v>
          </cell>
          <cell r="D3068" t="str">
            <v>VI</v>
          </cell>
          <cell r="E3068" t="str">
            <v>36053</v>
          </cell>
        </row>
        <row r="3069">
          <cell r="A3069" t="str">
            <v>GAMBUGLIANO</v>
          </cell>
          <cell r="B3069" t="str">
            <v>024044</v>
          </cell>
          <cell r="C3069" t="str">
            <v>VI</v>
          </cell>
          <cell r="D3069" t="str">
            <v>VI</v>
          </cell>
          <cell r="E3069" t="str">
            <v>36050</v>
          </cell>
        </row>
        <row r="3070">
          <cell r="A3070" t="str">
            <v>GRISIGNANO DI ZOCCO</v>
          </cell>
          <cell r="B3070" t="str">
            <v>024046</v>
          </cell>
          <cell r="C3070" t="str">
            <v>VI</v>
          </cell>
          <cell r="D3070" t="str">
            <v>VI</v>
          </cell>
          <cell r="E3070" t="str">
            <v>36040</v>
          </cell>
        </row>
        <row r="3071">
          <cell r="A3071" t="str">
            <v>GRUMOLO DELLE ABBADESSE</v>
          </cell>
          <cell r="B3071" t="str">
            <v>024047</v>
          </cell>
          <cell r="C3071" t="str">
            <v>VI</v>
          </cell>
          <cell r="D3071" t="str">
            <v>VI</v>
          </cell>
          <cell r="E3071" t="str">
            <v>36040</v>
          </cell>
        </row>
        <row r="3072">
          <cell r="A3072" t="str">
            <v>ISOLA VICENTINA</v>
          </cell>
          <cell r="B3072" t="str">
            <v>024048</v>
          </cell>
          <cell r="C3072" t="str">
            <v>VI</v>
          </cell>
          <cell r="D3072" t="str">
            <v>VI</v>
          </cell>
          <cell r="E3072" t="str">
            <v>36033</v>
          </cell>
        </row>
        <row r="3073">
          <cell r="A3073" t="str">
            <v>LAGHI</v>
          </cell>
          <cell r="B3073" t="str">
            <v>024049</v>
          </cell>
          <cell r="C3073" t="str">
            <v>VI</v>
          </cell>
          <cell r="D3073" t="str">
            <v>VI</v>
          </cell>
          <cell r="E3073" t="str">
            <v>36010</v>
          </cell>
        </row>
        <row r="3074">
          <cell r="A3074" t="str">
            <v>LASTEBASSE</v>
          </cell>
          <cell r="B3074" t="str">
            <v>024050</v>
          </cell>
          <cell r="C3074" t="str">
            <v>VI</v>
          </cell>
          <cell r="D3074" t="str">
            <v>VI</v>
          </cell>
          <cell r="E3074" t="str">
            <v>36040</v>
          </cell>
        </row>
        <row r="3075">
          <cell r="A3075" t="str">
            <v>LONGARE</v>
          </cell>
          <cell r="B3075" t="str">
            <v>024051</v>
          </cell>
          <cell r="C3075" t="str">
            <v>VI</v>
          </cell>
          <cell r="D3075" t="str">
            <v>VI</v>
          </cell>
          <cell r="E3075" t="str">
            <v>36023</v>
          </cell>
        </row>
        <row r="3076">
          <cell r="A3076" t="str">
            <v>LONIGO</v>
          </cell>
          <cell r="B3076" t="str">
            <v>024052</v>
          </cell>
          <cell r="C3076" t="str">
            <v>VI</v>
          </cell>
          <cell r="D3076" t="str">
            <v>VI</v>
          </cell>
          <cell r="E3076" t="str">
            <v>36045</v>
          </cell>
        </row>
        <row r="3077">
          <cell r="A3077" t="str">
            <v>LUGO DI VICENZA</v>
          </cell>
          <cell r="B3077" t="str">
            <v>024053</v>
          </cell>
          <cell r="C3077" t="str">
            <v>VI</v>
          </cell>
          <cell r="D3077" t="str">
            <v>VI</v>
          </cell>
          <cell r="E3077" t="str">
            <v>36030</v>
          </cell>
        </row>
        <row r="3078">
          <cell r="A3078" t="str">
            <v>MALO</v>
          </cell>
          <cell r="B3078" t="str">
            <v>024055</v>
          </cell>
          <cell r="C3078" t="str">
            <v>VI</v>
          </cell>
          <cell r="D3078" t="str">
            <v>VI</v>
          </cell>
          <cell r="E3078" t="str">
            <v>36034</v>
          </cell>
        </row>
        <row r="3079">
          <cell r="A3079" t="str">
            <v>MARANO VICENTINO</v>
          </cell>
          <cell r="B3079" t="str">
            <v>024056</v>
          </cell>
          <cell r="C3079" t="str">
            <v>VI</v>
          </cell>
          <cell r="D3079" t="str">
            <v>VI</v>
          </cell>
          <cell r="E3079" t="str">
            <v>36035</v>
          </cell>
        </row>
        <row r="3080">
          <cell r="A3080" t="str">
            <v>MAROSTICA</v>
          </cell>
          <cell r="B3080" t="str">
            <v>024057</v>
          </cell>
          <cell r="C3080" t="str">
            <v>VI</v>
          </cell>
          <cell r="D3080" t="str">
            <v>VI</v>
          </cell>
          <cell r="E3080" t="str">
            <v>36063</v>
          </cell>
        </row>
        <row r="3081">
          <cell r="A3081" t="str">
            <v>MONTEBELLO VICENTINO</v>
          </cell>
          <cell r="B3081" t="str">
            <v>024060</v>
          </cell>
          <cell r="C3081" t="str">
            <v>VI</v>
          </cell>
          <cell r="D3081" t="str">
            <v>VI</v>
          </cell>
          <cell r="E3081" t="str">
            <v>36054</v>
          </cell>
        </row>
        <row r="3082">
          <cell r="A3082" t="str">
            <v>MONTECCHIO MAGGIORE</v>
          </cell>
          <cell r="B3082" t="str">
            <v>024061</v>
          </cell>
          <cell r="C3082" t="str">
            <v>VI</v>
          </cell>
          <cell r="D3082" t="str">
            <v>VI</v>
          </cell>
          <cell r="E3082" t="str">
            <v>36075</v>
          </cell>
        </row>
        <row r="3083">
          <cell r="A3083" t="str">
            <v>MONTECCHIO PRECALCINO</v>
          </cell>
          <cell r="B3083" t="str">
            <v>024062</v>
          </cell>
          <cell r="C3083" t="str">
            <v>VI</v>
          </cell>
          <cell r="D3083" t="str">
            <v>VI</v>
          </cell>
          <cell r="E3083" t="str">
            <v>36030</v>
          </cell>
        </row>
        <row r="3084">
          <cell r="A3084" t="str">
            <v>MONTE DI MALO</v>
          </cell>
          <cell r="B3084" t="str">
            <v>024063</v>
          </cell>
          <cell r="C3084" t="str">
            <v>VI</v>
          </cell>
          <cell r="D3084" t="str">
            <v>VI</v>
          </cell>
          <cell r="E3084" t="str">
            <v>36030</v>
          </cell>
        </row>
        <row r="3085">
          <cell r="A3085" t="str">
            <v>MONTEGALDA</v>
          </cell>
          <cell r="B3085" t="str">
            <v>024064</v>
          </cell>
          <cell r="C3085" t="str">
            <v>VI</v>
          </cell>
          <cell r="D3085" t="str">
            <v>VI</v>
          </cell>
          <cell r="E3085" t="str">
            <v>36047</v>
          </cell>
        </row>
        <row r="3086">
          <cell r="A3086" t="str">
            <v>MONTEGALDELLA</v>
          </cell>
          <cell r="B3086" t="str">
            <v>024065</v>
          </cell>
          <cell r="C3086" t="str">
            <v>VI</v>
          </cell>
          <cell r="D3086" t="str">
            <v>VI</v>
          </cell>
          <cell r="E3086" t="str">
            <v>36047</v>
          </cell>
        </row>
        <row r="3087">
          <cell r="A3087" t="str">
            <v>MONTEVIALE</v>
          </cell>
          <cell r="B3087" t="str">
            <v>024066</v>
          </cell>
          <cell r="C3087" t="str">
            <v>VI</v>
          </cell>
          <cell r="D3087" t="str">
            <v>VI</v>
          </cell>
          <cell r="E3087" t="str">
            <v>36050</v>
          </cell>
        </row>
        <row r="3088">
          <cell r="A3088" t="str">
            <v>MONTICELLO CONTE OTTO</v>
          </cell>
          <cell r="B3088" t="str">
            <v>024067</v>
          </cell>
          <cell r="C3088" t="str">
            <v>VI</v>
          </cell>
          <cell r="D3088" t="str">
            <v>VI</v>
          </cell>
          <cell r="E3088" t="str">
            <v>36010</v>
          </cell>
        </row>
        <row r="3089">
          <cell r="A3089" t="str">
            <v>MONTORSO VICENTINO</v>
          </cell>
          <cell r="B3089" t="str">
            <v>024068</v>
          </cell>
          <cell r="C3089" t="str">
            <v>VI</v>
          </cell>
          <cell r="D3089" t="str">
            <v>VI</v>
          </cell>
          <cell r="E3089" t="str">
            <v>36050</v>
          </cell>
        </row>
        <row r="3090">
          <cell r="A3090" t="str">
            <v>MUSSOLENTE</v>
          </cell>
          <cell r="B3090" t="str">
            <v>024070</v>
          </cell>
          <cell r="C3090" t="str">
            <v>VI</v>
          </cell>
          <cell r="D3090" t="str">
            <v>VI</v>
          </cell>
          <cell r="E3090" t="str">
            <v>36065</v>
          </cell>
        </row>
        <row r="3091">
          <cell r="A3091" t="str">
            <v>NANTO</v>
          </cell>
          <cell r="B3091" t="str">
            <v>024071</v>
          </cell>
          <cell r="C3091" t="str">
            <v>VI</v>
          </cell>
          <cell r="D3091" t="str">
            <v>VI</v>
          </cell>
          <cell r="E3091" t="str">
            <v>36024</v>
          </cell>
        </row>
        <row r="3092">
          <cell r="A3092" t="str">
            <v>NOGAROLE VICENTINO</v>
          </cell>
          <cell r="B3092" t="str">
            <v>024072</v>
          </cell>
          <cell r="C3092" t="str">
            <v>VI</v>
          </cell>
          <cell r="D3092" t="str">
            <v>VI</v>
          </cell>
          <cell r="E3092" t="str">
            <v>36070</v>
          </cell>
        </row>
        <row r="3093">
          <cell r="A3093" t="str">
            <v>NOVE</v>
          </cell>
          <cell r="B3093" t="str">
            <v>024073</v>
          </cell>
          <cell r="C3093" t="str">
            <v>VI</v>
          </cell>
          <cell r="D3093" t="str">
            <v>VI</v>
          </cell>
          <cell r="E3093" t="str">
            <v>36055</v>
          </cell>
        </row>
        <row r="3094">
          <cell r="A3094" t="str">
            <v>NOVENTA VICENTINA</v>
          </cell>
          <cell r="B3094" t="str">
            <v>024074</v>
          </cell>
          <cell r="C3094" t="str">
            <v>VI</v>
          </cell>
          <cell r="D3094" t="str">
            <v>VI</v>
          </cell>
          <cell r="E3094" t="str">
            <v>36025</v>
          </cell>
        </row>
        <row r="3095">
          <cell r="A3095" t="str">
            <v>ORGIANO</v>
          </cell>
          <cell r="B3095" t="str">
            <v>024075</v>
          </cell>
          <cell r="C3095" t="str">
            <v>VI</v>
          </cell>
          <cell r="D3095" t="str">
            <v>VI</v>
          </cell>
          <cell r="E3095" t="str">
            <v>36040</v>
          </cell>
        </row>
        <row r="3096">
          <cell r="A3096" t="str">
            <v>PEDEMONTE</v>
          </cell>
          <cell r="B3096" t="str">
            <v>024076</v>
          </cell>
          <cell r="C3096" t="str">
            <v>VI</v>
          </cell>
          <cell r="D3096" t="str">
            <v>VI</v>
          </cell>
          <cell r="E3096" t="str">
            <v>36040</v>
          </cell>
        </row>
        <row r="3097">
          <cell r="A3097" t="str">
            <v>PIANEZZE</v>
          </cell>
          <cell r="B3097" t="str">
            <v>024077</v>
          </cell>
          <cell r="C3097" t="str">
            <v>VI</v>
          </cell>
          <cell r="D3097" t="str">
            <v>VI</v>
          </cell>
          <cell r="E3097" t="str">
            <v>36060</v>
          </cell>
        </row>
        <row r="3098">
          <cell r="A3098" t="str">
            <v>PIOVENE ROCCHETTE</v>
          </cell>
          <cell r="B3098" t="str">
            <v>024078</v>
          </cell>
          <cell r="C3098" t="str">
            <v>VI</v>
          </cell>
          <cell r="D3098" t="str">
            <v>VI</v>
          </cell>
          <cell r="E3098" t="str">
            <v>36013</v>
          </cell>
        </row>
        <row r="3099">
          <cell r="A3099" t="str">
            <v>POJANA MAGGIORE</v>
          </cell>
          <cell r="B3099" t="str">
            <v>024079</v>
          </cell>
          <cell r="C3099" t="str">
            <v>VI</v>
          </cell>
          <cell r="D3099" t="str">
            <v>VI</v>
          </cell>
          <cell r="E3099" t="str">
            <v>36026</v>
          </cell>
        </row>
        <row r="3100">
          <cell r="A3100" t="str">
            <v>POSINA</v>
          </cell>
          <cell r="B3100" t="str">
            <v>024080</v>
          </cell>
          <cell r="C3100" t="str">
            <v>VI</v>
          </cell>
          <cell r="D3100" t="str">
            <v>VI</v>
          </cell>
          <cell r="E3100" t="str">
            <v>36010</v>
          </cell>
        </row>
        <row r="3101">
          <cell r="A3101" t="str">
            <v>POVE DEL GRAPPA</v>
          </cell>
          <cell r="B3101" t="str">
            <v>024081</v>
          </cell>
          <cell r="C3101" t="str">
            <v>VI</v>
          </cell>
          <cell r="D3101" t="str">
            <v>VI</v>
          </cell>
          <cell r="E3101" t="str">
            <v>36020</v>
          </cell>
        </row>
        <row r="3102">
          <cell r="A3102" t="str">
            <v>POZZOLEONE</v>
          </cell>
          <cell r="B3102" t="str">
            <v>024082</v>
          </cell>
          <cell r="C3102" t="str">
            <v>VI</v>
          </cell>
          <cell r="D3102" t="str">
            <v>VI</v>
          </cell>
          <cell r="E3102" t="str">
            <v>36050</v>
          </cell>
        </row>
        <row r="3103">
          <cell r="A3103" t="str">
            <v>QUINTO VICENTINO</v>
          </cell>
          <cell r="B3103" t="str">
            <v>024083</v>
          </cell>
          <cell r="C3103" t="str">
            <v>VI</v>
          </cell>
          <cell r="D3103" t="str">
            <v>VI</v>
          </cell>
          <cell r="E3103" t="str">
            <v>36050</v>
          </cell>
        </row>
        <row r="3104">
          <cell r="A3104" t="str">
            <v>RECOARO TERME</v>
          </cell>
          <cell r="B3104" t="str">
            <v>024084</v>
          </cell>
          <cell r="C3104" t="str">
            <v>VI</v>
          </cell>
          <cell r="D3104" t="str">
            <v>VI</v>
          </cell>
          <cell r="E3104" t="str">
            <v>36076</v>
          </cell>
        </row>
        <row r="3105">
          <cell r="A3105" t="str">
            <v>ROANA</v>
          </cell>
          <cell r="B3105" t="str">
            <v>024085</v>
          </cell>
          <cell r="C3105" t="str">
            <v>VI</v>
          </cell>
          <cell r="D3105" t="str">
            <v>VI</v>
          </cell>
          <cell r="E3105" t="str">
            <v>36010</v>
          </cell>
        </row>
        <row r="3106">
          <cell r="A3106" t="str">
            <v>ROMANO D'EZZELINO</v>
          </cell>
          <cell r="B3106" t="str">
            <v>024086</v>
          </cell>
          <cell r="C3106" t="str">
            <v>VI</v>
          </cell>
          <cell r="D3106" t="str">
            <v>VI</v>
          </cell>
          <cell r="E3106" t="str">
            <v>36060</v>
          </cell>
        </row>
        <row r="3107">
          <cell r="A3107" t="str">
            <v>ROSÀ</v>
          </cell>
          <cell r="B3107" t="str">
            <v>024087</v>
          </cell>
          <cell r="C3107" t="str">
            <v>VI</v>
          </cell>
          <cell r="D3107" t="str">
            <v>VI</v>
          </cell>
          <cell r="E3107" t="str">
            <v>36027</v>
          </cell>
        </row>
        <row r="3108">
          <cell r="A3108" t="str">
            <v>ROSSANO VENETO</v>
          </cell>
          <cell r="B3108" t="str">
            <v>024088</v>
          </cell>
          <cell r="C3108" t="str">
            <v>VI</v>
          </cell>
          <cell r="D3108" t="str">
            <v>VI</v>
          </cell>
          <cell r="E3108" t="str">
            <v>36028</v>
          </cell>
        </row>
        <row r="3109">
          <cell r="A3109" t="str">
            <v>ROTZO</v>
          </cell>
          <cell r="B3109" t="str">
            <v>024089</v>
          </cell>
          <cell r="C3109" t="str">
            <v>VI</v>
          </cell>
          <cell r="D3109" t="str">
            <v>VI</v>
          </cell>
          <cell r="E3109" t="str">
            <v>36010</v>
          </cell>
        </row>
        <row r="3110">
          <cell r="A3110" t="str">
            <v>SALCEDO</v>
          </cell>
          <cell r="B3110" t="str">
            <v>024090</v>
          </cell>
          <cell r="C3110" t="str">
            <v>VI</v>
          </cell>
          <cell r="D3110" t="str">
            <v>VI</v>
          </cell>
          <cell r="E3110" t="str">
            <v>36040</v>
          </cell>
        </row>
        <row r="3111">
          <cell r="A3111" t="str">
            <v>SANDRIGO</v>
          </cell>
          <cell r="B3111" t="str">
            <v>024091</v>
          </cell>
          <cell r="C3111" t="str">
            <v>VI</v>
          </cell>
          <cell r="D3111" t="str">
            <v>VI</v>
          </cell>
          <cell r="E3111" t="str">
            <v>36066</v>
          </cell>
        </row>
        <row r="3112">
          <cell r="A3112" t="str">
            <v>SAN PIETRO MUSSOLINO</v>
          </cell>
          <cell r="B3112" t="str">
            <v>024094</v>
          </cell>
          <cell r="C3112" t="str">
            <v>VI</v>
          </cell>
          <cell r="D3112" t="str">
            <v>VI</v>
          </cell>
          <cell r="E3112" t="str">
            <v>36070</v>
          </cell>
        </row>
        <row r="3113">
          <cell r="A3113" t="str">
            <v>SANTORSO</v>
          </cell>
          <cell r="B3113" t="str">
            <v>024095</v>
          </cell>
          <cell r="C3113" t="str">
            <v>VI</v>
          </cell>
          <cell r="D3113" t="str">
            <v>VI</v>
          </cell>
          <cell r="E3113" t="str">
            <v>36014</v>
          </cell>
        </row>
        <row r="3114">
          <cell r="A3114" t="str">
            <v>SAN VITO DI LEGUZZANO</v>
          </cell>
          <cell r="B3114" t="str">
            <v>024096</v>
          </cell>
          <cell r="C3114" t="str">
            <v>VI</v>
          </cell>
          <cell r="D3114" t="str">
            <v>VI</v>
          </cell>
          <cell r="E3114" t="str">
            <v>36030</v>
          </cell>
        </row>
        <row r="3115">
          <cell r="A3115" t="str">
            <v>SARCEDO</v>
          </cell>
          <cell r="B3115" t="str">
            <v>024097</v>
          </cell>
          <cell r="C3115" t="str">
            <v>VI</v>
          </cell>
          <cell r="D3115" t="str">
            <v>VI</v>
          </cell>
          <cell r="E3115" t="str">
            <v>36030</v>
          </cell>
        </row>
        <row r="3116">
          <cell r="A3116" t="str">
            <v>SAREGO</v>
          </cell>
          <cell r="B3116" t="str">
            <v>024098</v>
          </cell>
          <cell r="C3116" t="str">
            <v>VI</v>
          </cell>
          <cell r="D3116" t="str">
            <v>VI</v>
          </cell>
          <cell r="E3116" t="str">
            <v>36040</v>
          </cell>
        </row>
        <row r="3117">
          <cell r="A3117" t="str">
            <v>SCHIAVON</v>
          </cell>
          <cell r="B3117" t="str">
            <v>024099</v>
          </cell>
          <cell r="C3117" t="str">
            <v>VI</v>
          </cell>
          <cell r="D3117" t="str">
            <v>VI</v>
          </cell>
          <cell r="E3117" t="str">
            <v>36060</v>
          </cell>
        </row>
        <row r="3118">
          <cell r="A3118" t="str">
            <v>SCHIO</v>
          </cell>
          <cell r="B3118" t="str">
            <v>024100</v>
          </cell>
          <cell r="C3118" t="str">
            <v>VI</v>
          </cell>
          <cell r="D3118" t="str">
            <v>VI</v>
          </cell>
          <cell r="E3118" t="str">
            <v>36015</v>
          </cell>
        </row>
        <row r="3119">
          <cell r="A3119" t="str">
            <v>SOLAGNA</v>
          </cell>
          <cell r="B3119" t="str">
            <v>024101</v>
          </cell>
          <cell r="C3119" t="str">
            <v>VI</v>
          </cell>
          <cell r="D3119" t="str">
            <v>VI</v>
          </cell>
          <cell r="E3119" t="str">
            <v>36020</v>
          </cell>
        </row>
        <row r="3120">
          <cell r="A3120" t="str">
            <v>SOSSANO</v>
          </cell>
          <cell r="B3120" t="str">
            <v>024102</v>
          </cell>
          <cell r="C3120" t="str">
            <v>VI</v>
          </cell>
          <cell r="D3120" t="str">
            <v>VI</v>
          </cell>
          <cell r="E3120" t="str">
            <v>36040</v>
          </cell>
        </row>
        <row r="3121">
          <cell r="A3121" t="str">
            <v>SOVIZZO</v>
          </cell>
          <cell r="B3121" t="str">
            <v>024103</v>
          </cell>
          <cell r="C3121" t="str">
            <v>VI</v>
          </cell>
          <cell r="D3121" t="str">
            <v>VI</v>
          </cell>
          <cell r="E3121" t="str">
            <v>36050</v>
          </cell>
        </row>
        <row r="3122">
          <cell r="A3122" t="str">
            <v>TEZZE SUL BRENTA</v>
          </cell>
          <cell r="B3122" t="str">
            <v>024104</v>
          </cell>
          <cell r="C3122" t="str">
            <v>VI</v>
          </cell>
          <cell r="D3122" t="str">
            <v>VI</v>
          </cell>
          <cell r="E3122" t="str">
            <v>36056</v>
          </cell>
        </row>
        <row r="3123">
          <cell r="A3123" t="str">
            <v>THIENE</v>
          </cell>
          <cell r="B3123" t="str">
            <v>024105</v>
          </cell>
          <cell r="C3123" t="str">
            <v>VI</v>
          </cell>
          <cell r="D3123" t="str">
            <v>VI</v>
          </cell>
          <cell r="E3123" t="str">
            <v>36016</v>
          </cell>
        </row>
        <row r="3124">
          <cell r="A3124" t="str">
            <v>TONEZZA DEL CIMONE</v>
          </cell>
          <cell r="B3124" t="str">
            <v>024106</v>
          </cell>
          <cell r="C3124" t="str">
            <v>VI</v>
          </cell>
          <cell r="D3124" t="str">
            <v>VI</v>
          </cell>
          <cell r="E3124" t="str">
            <v>36040</v>
          </cell>
        </row>
        <row r="3125">
          <cell r="A3125" t="str">
            <v>TORREBELVICINO</v>
          </cell>
          <cell r="B3125" t="str">
            <v>024107</v>
          </cell>
          <cell r="C3125" t="str">
            <v>VI</v>
          </cell>
          <cell r="D3125" t="str">
            <v>VI</v>
          </cell>
          <cell r="E3125" t="str">
            <v>36036</v>
          </cell>
        </row>
        <row r="3126">
          <cell r="A3126" t="str">
            <v>TORRI DI QUARTESOLO</v>
          </cell>
          <cell r="B3126" t="str">
            <v>024108</v>
          </cell>
          <cell r="C3126" t="str">
            <v>VI</v>
          </cell>
          <cell r="D3126" t="str">
            <v>VI</v>
          </cell>
          <cell r="E3126" t="str">
            <v>36040</v>
          </cell>
        </row>
        <row r="3127">
          <cell r="A3127" t="str">
            <v>TRISSINO</v>
          </cell>
          <cell r="B3127" t="str">
            <v>024110</v>
          </cell>
          <cell r="C3127" t="str">
            <v>VI</v>
          </cell>
          <cell r="D3127" t="str">
            <v>VI</v>
          </cell>
          <cell r="E3127" t="str">
            <v>36070</v>
          </cell>
        </row>
        <row r="3128">
          <cell r="A3128" t="str">
            <v>VALDAGNO</v>
          </cell>
          <cell r="B3128" t="str">
            <v>024111</v>
          </cell>
          <cell r="C3128" t="str">
            <v>VI</v>
          </cell>
          <cell r="D3128" t="str">
            <v>VI</v>
          </cell>
          <cell r="E3128" t="str">
            <v>36078</v>
          </cell>
        </row>
        <row r="3129">
          <cell r="A3129" t="str">
            <v>VALDASTICO</v>
          </cell>
          <cell r="B3129" t="str">
            <v>024112</v>
          </cell>
          <cell r="C3129" t="str">
            <v>VI</v>
          </cell>
          <cell r="D3129" t="str">
            <v>VI</v>
          </cell>
          <cell r="E3129" t="str">
            <v>36040</v>
          </cell>
        </row>
        <row r="3130">
          <cell r="A3130" t="str">
            <v>VALLI DEL PASUBIO</v>
          </cell>
          <cell r="B3130" t="str">
            <v>024113</v>
          </cell>
          <cell r="C3130" t="str">
            <v>VI</v>
          </cell>
          <cell r="D3130" t="str">
            <v>VI</v>
          </cell>
          <cell r="E3130" t="str">
            <v>36030</v>
          </cell>
        </row>
        <row r="3131">
          <cell r="A3131" t="str">
            <v>VELO D'ASTICO</v>
          </cell>
          <cell r="B3131" t="str">
            <v>024115</v>
          </cell>
          <cell r="C3131" t="str">
            <v>VI</v>
          </cell>
          <cell r="D3131" t="str">
            <v>VI</v>
          </cell>
          <cell r="E3131" t="str">
            <v>36010</v>
          </cell>
        </row>
        <row r="3132">
          <cell r="A3132" t="str">
            <v>VICENZA</v>
          </cell>
          <cell r="B3132" t="str">
            <v>024116</v>
          </cell>
          <cell r="C3132" t="str">
            <v>VI</v>
          </cell>
          <cell r="D3132" t="str">
            <v>VI</v>
          </cell>
          <cell r="E3132" t="str">
            <v>36100</v>
          </cell>
        </row>
        <row r="3133">
          <cell r="A3133" t="str">
            <v>VILLAGA</v>
          </cell>
          <cell r="B3133" t="str">
            <v>024117</v>
          </cell>
          <cell r="C3133" t="str">
            <v>VI</v>
          </cell>
          <cell r="D3133" t="str">
            <v>VI</v>
          </cell>
          <cell r="E3133" t="str">
            <v>36021</v>
          </cell>
        </row>
        <row r="3134">
          <cell r="A3134" t="str">
            <v>VILLAVERLA</v>
          </cell>
          <cell r="B3134" t="str">
            <v>024118</v>
          </cell>
          <cell r="C3134" t="str">
            <v>VI</v>
          </cell>
          <cell r="D3134" t="str">
            <v>VI</v>
          </cell>
          <cell r="E3134" t="str">
            <v>36030</v>
          </cell>
        </row>
        <row r="3135">
          <cell r="A3135" t="str">
            <v>ZANÈ</v>
          </cell>
          <cell r="B3135" t="str">
            <v>024119</v>
          </cell>
          <cell r="C3135" t="str">
            <v>VI</v>
          </cell>
          <cell r="D3135" t="str">
            <v>VI</v>
          </cell>
          <cell r="E3135" t="str">
            <v>36010</v>
          </cell>
        </row>
        <row r="3136">
          <cell r="A3136" t="str">
            <v>ZERMEGHEDO</v>
          </cell>
          <cell r="B3136" t="str">
            <v>024120</v>
          </cell>
          <cell r="C3136" t="str">
            <v>VI</v>
          </cell>
          <cell r="D3136" t="str">
            <v>VI</v>
          </cell>
          <cell r="E3136" t="str">
            <v>36050</v>
          </cell>
        </row>
        <row r="3137">
          <cell r="A3137" t="str">
            <v>ZOVENCEDO</v>
          </cell>
          <cell r="B3137" t="str">
            <v>024121</v>
          </cell>
          <cell r="C3137" t="str">
            <v>VI</v>
          </cell>
          <cell r="D3137" t="str">
            <v>VI</v>
          </cell>
          <cell r="E3137" t="str">
            <v>36020</v>
          </cell>
        </row>
        <row r="3138">
          <cell r="A3138" t="str">
            <v>ZUGLIANO</v>
          </cell>
          <cell r="B3138" t="str">
            <v>024122</v>
          </cell>
          <cell r="C3138" t="str">
            <v>VI</v>
          </cell>
          <cell r="D3138" t="str">
            <v>VI</v>
          </cell>
          <cell r="E3138" t="str">
            <v>36030</v>
          </cell>
        </row>
        <row r="3139">
          <cell r="A3139" t="str">
            <v>VAL LIONA</v>
          </cell>
          <cell r="B3139" t="str">
            <v>024123</v>
          </cell>
          <cell r="C3139" t="str">
            <v>VI</v>
          </cell>
          <cell r="D3139" t="e">
            <v>#N/A</v>
          </cell>
          <cell r="E3139" t="e">
            <v>#N/A</v>
          </cell>
        </row>
        <row r="3140">
          <cell r="A3140" t="str">
            <v>BARBARANO MOSSANO</v>
          </cell>
          <cell r="B3140" t="str">
            <v>024124</v>
          </cell>
          <cell r="C3140" t="str">
            <v>VI</v>
          </cell>
          <cell r="D3140" t="e">
            <v>#N/A</v>
          </cell>
          <cell r="E3140" t="e">
            <v>#N/A</v>
          </cell>
        </row>
        <row r="3141">
          <cell r="A3141" t="str">
            <v>VALBRENTA</v>
          </cell>
          <cell r="B3141" t="str">
            <v>024125</v>
          </cell>
          <cell r="C3141" t="str">
            <v>VI</v>
          </cell>
          <cell r="D3141" t="e">
            <v>#N/A</v>
          </cell>
          <cell r="E3141" t="e">
            <v>#N/A</v>
          </cell>
        </row>
        <row r="3142">
          <cell r="A3142" t="str">
            <v>COLCERESA</v>
          </cell>
          <cell r="B3142" t="str">
            <v>024126</v>
          </cell>
          <cell r="C3142" t="str">
            <v>VI</v>
          </cell>
          <cell r="D3142" t="e">
            <v>#N/A</v>
          </cell>
          <cell r="E3142" t="e">
            <v>#N/A</v>
          </cell>
        </row>
        <row r="3143">
          <cell r="A3143" t="str">
            <v>LUSIANA CONCO</v>
          </cell>
          <cell r="B3143" t="str">
            <v>024127</v>
          </cell>
          <cell r="C3143" t="str">
            <v>VI</v>
          </cell>
          <cell r="D3143" t="e">
            <v>#N/A</v>
          </cell>
          <cell r="E3143" t="e">
            <v>#N/A</v>
          </cell>
        </row>
        <row r="3144">
          <cell r="A3144" t="str">
            <v>AGORDO</v>
          </cell>
          <cell r="B3144" t="str">
            <v>025001</v>
          </cell>
          <cell r="C3144" t="str">
            <v>BL</v>
          </cell>
          <cell r="D3144" t="str">
            <v>BL</v>
          </cell>
          <cell r="E3144" t="str">
            <v>32021</v>
          </cell>
        </row>
        <row r="3145">
          <cell r="A3145" t="str">
            <v>ALANO DI PIAVE</v>
          </cell>
          <cell r="B3145" t="str">
            <v>025002</v>
          </cell>
          <cell r="C3145" t="str">
            <v>BL</v>
          </cell>
          <cell r="D3145" t="str">
            <v>BL</v>
          </cell>
          <cell r="E3145" t="str">
            <v>32031</v>
          </cell>
        </row>
        <row r="3146">
          <cell r="A3146" t="str">
            <v>ALLEGHE</v>
          </cell>
          <cell r="B3146" t="str">
            <v>025003</v>
          </cell>
          <cell r="C3146" t="str">
            <v>BL</v>
          </cell>
          <cell r="D3146" t="str">
            <v>BL</v>
          </cell>
          <cell r="E3146" t="str">
            <v>32022</v>
          </cell>
        </row>
        <row r="3147">
          <cell r="A3147" t="str">
            <v>ARSIÈ</v>
          </cell>
          <cell r="B3147" t="str">
            <v>025004</v>
          </cell>
          <cell r="C3147" t="str">
            <v>BL</v>
          </cell>
          <cell r="D3147" t="str">
            <v>BL</v>
          </cell>
          <cell r="E3147" t="str">
            <v>32030</v>
          </cell>
        </row>
        <row r="3148">
          <cell r="A3148" t="str">
            <v>AURONZO DI CADORE</v>
          </cell>
          <cell r="B3148" t="str">
            <v>025005</v>
          </cell>
          <cell r="C3148" t="str">
            <v>BL</v>
          </cell>
          <cell r="D3148" t="str">
            <v>BL</v>
          </cell>
          <cell r="E3148" t="str">
            <v>32041</v>
          </cell>
        </row>
        <row r="3149">
          <cell r="A3149" t="str">
            <v>BELLUNO</v>
          </cell>
          <cell r="B3149" t="str">
            <v>025006</v>
          </cell>
          <cell r="C3149" t="str">
            <v>BL</v>
          </cell>
          <cell r="D3149" t="str">
            <v>BL</v>
          </cell>
          <cell r="E3149" t="str">
            <v>32100</v>
          </cell>
        </row>
        <row r="3150">
          <cell r="A3150" t="str">
            <v>BORCA DI CADORE</v>
          </cell>
          <cell r="B3150" t="str">
            <v>025007</v>
          </cell>
          <cell r="C3150" t="str">
            <v>BL</v>
          </cell>
          <cell r="D3150" t="str">
            <v>BL</v>
          </cell>
          <cell r="E3150" t="str">
            <v>32040</v>
          </cell>
        </row>
        <row r="3151">
          <cell r="A3151" t="str">
            <v>CALALZO DI CADORE</v>
          </cell>
          <cell r="B3151" t="str">
            <v>025008</v>
          </cell>
          <cell r="C3151" t="str">
            <v>BL</v>
          </cell>
          <cell r="D3151" t="str">
            <v>BL</v>
          </cell>
          <cell r="E3151" t="str">
            <v>32042</v>
          </cell>
        </row>
        <row r="3152">
          <cell r="A3152" t="str">
            <v>CENCENIGHE AGORDINO</v>
          </cell>
          <cell r="B3152" t="str">
            <v>025010</v>
          </cell>
          <cell r="C3152" t="str">
            <v>BL</v>
          </cell>
          <cell r="D3152" t="str">
            <v>BL</v>
          </cell>
          <cell r="E3152" t="str">
            <v>32020</v>
          </cell>
        </row>
        <row r="3153">
          <cell r="A3153" t="str">
            <v>CESIOMAGGIORE</v>
          </cell>
          <cell r="B3153" t="str">
            <v>025011</v>
          </cell>
          <cell r="C3153" t="str">
            <v>BL</v>
          </cell>
          <cell r="D3153" t="str">
            <v>BL</v>
          </cell>
          <cell r="E3153" t="str">
            <v>32030</v>
          </cell>
        </row>
        <row r="3154">
          <cell r="A3154" t="str">
            <v>CHIES D'ALPAGO</v>
          </cell>
          <cell r="B3154" t="str">
            <v>025012</v>
          </cell>
          <cell r="C3154" t="str">
            <v>BL</v>
          </cell>
          <cell r="D3154" t="str">
            <v>BL</v>
          </cell>
          <cell r="E3154" t="str">
            <v>32010</v>
          </cell>
        </row>
        <row r="3155">
          <cell r="A3155" t="str">
            <v>CIBIANA DI CADORE</v>
          </cell>
          <cell r="B3155" t="str">
            <v>025013</v>
          </cell>
          <cell r="C3155" t="str">
            <v>BL</v>
          </cell>
          <cell r="D3155" t="str">
            <v>BL</v>
          </cell>
          <cell r="E3155" t="str">
            <v>32040</v>
          </cell>
        </row>
        <row r="3156">
          <cell r="A3156" t="str">
            <v>COLLE SANTA LUCIA</v>
          </cell>
          <cell r="B3156" t="str">
            <v>025014</v>
          </cell>
          <cell r="C3156" t="str">
            <v>BL</v>
          </cell>
          <cell r="D3156" t="str">
            <v>BL</v>
          </cell>
          <cell r="E3156" t="str">
            <v>32020</v>
          </cell>
        </row>
        <row r="3157">
          <cell r="A3157" t="str">
            <v>COMELICO SUPERIORE</v>
          </cell>
          <cell r="B3157" t="str">
            <v>025015</v>
          </cell>
          <cell r="C3157" t="str">
            <v>BL</v>
          </cell>
          <cell r="D3157" t="str">
            <v>BL</v>
          </cell>
          <cell r="E3157" t="str">
            <v>32040</v>
          </cell>
        </row>
        <row r="3158">
          <cell r="A3158" t="str">
            <v>CORTINA D'AMPEZZO</v>
          </cell>
          <cell r="B3158" t="str">
            <v>025016</v>
          </cell>
          <cell r="C3158" t="str">
            <v>BL</v>
          </cell>
          <cell r="D3158" t="str">
            <v>BL</v>
          </cell>
          <cell r="E3158" t="str">
            <v>32043</v>
          </cell>
        </row>
        <row r="3159">
          <cell r="A3159" t="str">
            <v>DANTA DI CADORE</v>
          </cell>
          <cell r="B3159" t="str">
            <v>025017</v>
          </cell>
          <cell r="C3159" t="str">
            <v>BL</v>
          </cell>
          <cell r="D3159" t="str">
            <v>BL</v>
          </cell>
          <cell r="E3159" t="str">
            <v>32040</v>
          </cell>
        </row>
        <row r="3160">
          <cell r="A3160" t="str">
            <v>DOMEGGE DI CADORE</v>
          </cell>
          <cell r="B3160" t="str">
            <v>025018</v>
          </cell>
          <cell r="C3160" t="str">
            <v>BL</v>
          </cell>
          <cell r="D3160" t="str">
            <v>BL</v>
          </cell>
          <cell r="E3160" t="str">
            <v>32040</v>
          </cell>
        </row>
        <row r="3161">
          <cell r="A3161" t="str">
            <v>FALCADE</v>
          </cell>
          <cell r="B3161" t="str">
            <v>025019</v>
          </cell>
          <cell r="C3161" t="str">
            <v>BL</v>
          </cell>
          <cell r="D3161" t="str">
            <v>BL</v>
          </cell>
          <cell r="E3161" t="str">
            <v>32020</v>
          </cell>
        </row>
        <row r="3162">
          <cell r="A3162" t="str">
            <v>FELTRE</v>
          </cell>
          <cell r="B3162" t="str">
            <v>025021</v>
          </cell>
          <cell r="C3162" t="str">
            <v>BL</v>
          </cell>
          <cell r="D3162" t="str">
            <v>BL</v>
          </cell>
          <cell r="E3162" t="str">
            <v>32032</v>
          </cell>
        </row>
        <row r="3163">
          <cell r="A3163" t="str">
            <v>FONZASO</v>
          </cell>
          <cell r="B3163" t="str">
            <v>025022</v>
          </cell>
          <cell r="C3163" t="str">
            <v>BL</v>
          </cell>
          <cell r="D3163" t="str">
            <v>BL</v>
          </cell>
          <cell r="E3163" t="str">
            <v>32030</v>
          </cell>
        </row>
        <row r="3164">
          <cell r="A3164" t="str">
            <v>CANALE D'AGORDO</v>
          </cell>
          <cell r="B3164" t="str">
            <v>025023</v>
          </cell>
          <cell r="C3164" t="str">
            <v>BL</v>
          </cell>
          <cell r="D3164" t="str">
            <v>BL</v>
          </cell>
          <cell r="E3164" t="str">
            <v>32020</v>
          </cell>
        </row>
        <row r="3165">
          <cell r="A3165" t="str">
            <v>GOSALDO</v>
          </cell>
          <cell r="B3165" t="str">
            <v>025025</v>
          </cell>
          <cell r="C3165" t="str">
            <v>BL</v>
          </cell>
          <cell r="D3165" t="str">
            <v>BL</v>
          </cell>
          <cell r="E3165" t="str">
            <v>32020</v>
          </cell>
        </row>
        <row r="3166">
          <cell r="A3166" t="str">
            <v>LAMON</v>
          </cell>
          <cell r="B3166" t="str">
            <v>025026</v>
          </cell>
          <cell r="C3166" t="str">
            <v>BL</v>
          </cell>
          <cell r="D3166" t="str">
            <v>BL</v>
          </cell>
          <cell r="E3166" t="str">
            <v>32033</v>
          </cell>
        </row>
        <row r="3167">
          <cell r="A3167" t="str">
            <v>LA VALLE AGORDINA</v>
          </cell>
          <cell r="B3167" t="str">
            <v>025027</v>
          </cell>
          <cell r="C3167" t="str">
            <v>BL</v>
          </cell>
          <cell r="D3167" t="str">
            <v>BL</v>
          </cell>
          <cell r="E3167" t="str">
            <v>32020</v>
          </cell>
        </row>
        <row r="3168">
          <cell r="A3168" t="str">
            <v>LIMANA</v>
          </cell>
          <cell r="B3168" t="str">
            <v>025029</v>
          </cell>
          <cell r="C3168" t="str">
            <v>BL</v>
          </cell>
          <cell r="D3168" t="str">
            <v>BL</v>
          </cell>
          <cell r="E3168" t="str">
            <v>32020</v>
          </cell>
        </row>
        <row r="3169">
          <cell r="A3169" t="str">
            <v>LIVINALLONGO DEL COL DI LANA</v>
          </cell>
          <cell r="B3169" t="str">
            <v>025030</v>
          </cell>
          <cell r="C3169" t="str">
            <v>BL</v>
          </cell>
          <cell r="D3169" t="str">
            <v>BL</v>
          </cell>
          <cell r="E3169" t="str">
            <v>32020</v>
          </cell>
        </row>
        <row r="3170">
          <cell r="A3170" t="str">
            <v>LORENZAGO DI CADORE</v>
          </cell>
          <cell r="B3170" t="str">
            <v>025032</v>
          </cell>
          <cell r="C3170" t="str">
            <v>BL</v>
          </cell>
          <cell r="D3170" t="str">
            <v>BL</v>
          </cell>
          <cell r="E3170" t="str">
            <v>32040</v>
          </cell>
        </row>
        <row r="3171">
          <cell r="A3171" t="str">
            <v>LOZZO DI CADORE</v>
          </cell>
          <cell r="B3171" t="str">
            <v>025033</v>
          </cell>
          <cell r="C3171" t="str">
            <v>BL</v>
          </cell>
          <cell r="D3171" t="str">
            <v>BL</v>
          </cell>
          <cell r="E3171" t="str">
            <v>32040</v>
          </cell>
        </row>
        <row r="3172">
          <cell r="A3172" t="str">
            <v>OSPITALE DI CADORE</v>
          </cell>
          <cell r="B3172" t="str">
            <v>025035</v>
          </cell>
          <cell r="C3172" t="str">
            <v>BL</v>
          </cell>
          <cell r="D3172" t="str">
            <v>BL</v>
          </cell>
          <cell r="E3172" t="str">
            <v>32010</v>
          </cell>
        </row>
        <row r="3173">
          <cell r="A3173" t="str">
            <v>PEDAVENA</v>
          </cell>
          <cell r="B3173" t="str">
            <v>025036</v>
          </cell>
          <cell r="C3173" t="str">
            <v>BL</v>
          </cell>
          <cell r="D3173" t="str">
            <v>BL</v>
          </cell>
          <cell r="E3173" t="str">
            <v>32034</v>
          </cell>
        </row>
        <row r="3174">
          <cell r="A3174" t="str">
            <v>PERAROLO DI CADORE</v>
          </cell>
          <cell r="B3174" t="str">
            <v>025037</v>
          </cell>
          <cell r="C3174" t="str">
            <v>BL</v>
          </cell>
          <cell r="D3174" t="str">
            <v>BL</v>
          </cell>
          <cell r="E3174" t="str">
            <v>32010</v>
          </cell>
        </row>
        <row r="3175">
          <cell r="A3175" t="str">
            <v>PIEVE DI CADORE</v>
          </cell>
          <cell r="B3175" t="str">
            <v>025039</v>
          </cell>
          <cell r="C3175" t="str">
            <v>BL</v>
          </cell>
          <cell r="D3175" t="str">
            <v>BL</v>
          </cell>
          <cell r="E3175" t="str">
            <v>32044</v>
          </cell>
        </row>
        <row r="3176">
          <cell r="A3176" t="str">
            <v>PONTE NELLE ALPI</v>
          </cell>
          <cell r="B3176" t="str">
            <v>025040</v>
          </cell>
          <cell r="C3176" t="str">
            <v>BL</v>
          </cell>
          <cell r="D3176" t="str">
            <v>BL</v>
          </cell>
          <cell r="E3176" t="str">
            <v>32014</v>
          </cell>
        </row>
        <row r="3177">
          <cell r="A3177" t="str">
            <v>RIVAMONTE AGORDINO</v>
          </cell>
          <cell r="B3177" t="str">
            <v>025043</v>
          </cell>
          <cell r="C3177" t="str">
            <v>BL</v>
          </cell>
          <cell r="D3177" t="str">
            <v>BL</v>
          </cell>
          <cell r="E3177" t="str">
            <v>32020</v>
          </cell>
        </row>
        <row r="3178">
          <cell r="A3178" t="str">
            <v>ROCCA PIETORE</v>
          </cell>
          <cell r="B3178" t="str">
            <v>025044</v>
          </cell>
          <cell r="C3178" t="str">
            <v>BL</v>
          </cell>
          <cell r="D3178" t="str">
            <v>BL</v>
          </cell>
          <cell r="E3178" t="str">
            <v>32020</v>
          </cell>
        </row>
        <row r="3179">
          <cell r="A3179" t="str">
            <v>SAN GREGORIO NELLE ALPI</v>
          </cell>
          <cell r="B3179" t="str">
            <v>025045</v>
          </cell>
          <cell r="C3179" t="str">
            <v>BL</v>
          </cell>
          <cell r="D3179" t="str">
            <v>BL</v>
          </cell>
          <cell r="E3179" t="str">
            <v>32030</v>
          </cell>
        </row>
        <row r="3180">
          <cell r="A3180" t="str">
            <v>SAN NICOLÒ DI COMELICO</v>
          </cell>
          <cell r="B3180" t="str">
            <v>025046</v>
          </cell>
          <cell r="C3180" t="str">
            <v>BL</v>
          </cell>
          <cell r="D3180" t="str">
            <v>BL</v>
          </cell>
          <cell r="E3180" t="str">
            <v>32040</v>
          </cell>
        </row>
        <row r="3181">
          <cell r="A3181" t="str">
            <v>SAN PIETRO DI CADORE</v>
          </cell>
          <cell r="B3181" t="str">
            <v>025047</v>
          </cell>
          <cell r="C3181" t="str">
            <v>BL</v>
          </cell>
          <cell r="D3181" t="str">
            <v>BL</v>
          </cell>
          <cell r="E3181" t="str">
            <v>32040</v>
          </cell>
        </row>
        <row r="3182">
          <cell r="A3182" t="str">
            <v>SANTA GIUSTINA</v>
          </cell>
          <cell r="B3182" t="str">
            <v>025048</v>
          </cell>
          <cell r="C3182" t="str">
            <v>BL</v>
          </cell>
          <cell r="D3182" t="str">
            <v>BL</v>
          </cell>
          <cell r="E3182" t="str">
            <v>32035</v>
          </cell>
        </row>
        <row r="3183">
          <cell r="A3183" t="str">
            <v>SAN TOMASO AGORDINO</v>
          </cell>
          <cell r="B3183" t="str">
            <v>025049</v>
          </cell>
          <cell r="C3183" t="str">
            <v>BL</v>
          </cell>
          <cell r="D3183" t="str">
            <v>BL</v>
          </cell>
          <cell r="E3183" t="str">
            <v>32020</v>
          </cell>
        </row>
        <row r="3184">
          <cell r="A3184" t="str">
            <v>SANTO STEFANO DI CADORE</v>
          </cell>
          <cell r="B3184" t="str">
            <v>025050</v>
          </cell>
          <cell r="C3184" t="str">
            <v>BL</v>
          </cell>
          <cell r="D3184" t="str">
            <v>BL</v>
          </cell>
          <cell r="E3184" t="str">
            <v>32045</v>
          </cell>
        </row>
        <row r="3185">
          <cell r="A3185" t="str">
            <v>SAN VITO DI CADORE</v>
          </cell>
          <cell r="B3185" t="str">
            <v>025051</v>
          </cell>
          <cell r="C3185" t="str">
            <v>BL</v>
          </cell>
          <cell r="D3185" t="str">
            <v>BL</v>
          </cell>
          <cell r="E3185" t="str">
            <v>32046</v>
          </cell>
        </row>
        <row r="3186">
          <cell r="A3186" t="str">
            <v>SEDICO</v>
          </cell>
          <cell r="B3186" t="str">
            <v>025053</v>
          </cell>
          <cell r="C3186" t="str">
            <v>BL</v>
          </cell>
          <cell r="D3186" t="str">
            <v>BL</v>
          </cell>
          <cell r="E3186" t="str">
            <v>32036</v>
          </cell>
        </row>
        <row r="3187">
          <cell r="A3187" t="str">
            <v>SELVA DI CADORE</v>
          </cell>
          <cell r="B3187" t="str">
            <v>025054</v>
          </cell>
          <cell r="C3187" t="str">
            <v>BL</v>
          </cell>
          <cell r="D3187" t="str">
            <v>BL</v>
          </cell>
          <cell r="E3187" t="str">
            <v>32020</v>
          </cell>
        </row>
        <row r="3188">
          <cell r="A3188" t="str">
            <v>SEREN DEL GRAPPA</v>
          </cell>
          <cell r="B3188" t="str">
            <v>025055</v>
          </cell>
          <cell r="C3188" t="str">
            <v>BL</v>
          </cell>
          <cell r="D3188" t="str">
            <v>BL</v>
          </cell>
          <cell r="E3188" t="str">
            <v>32030</v>
          </cell>
        </row>
        <row r="3189">
          <cell r="A3189" t="str">
            <v>SOSPIROLO</v>
          </cell>
          <cell r="B3189" t="str">
            <v>025056</v>
          </cell>
          <cell r="C3189" t="str">
            <v>BL</v>
          </cell>
          <cell r="D3189" t="str">
            <v>BL</v>
          </cell>
          <cell r="E3189" t="str">
            <v>32037</v>
          </cell>
        </row>
        <row r="3190">
          <cell r="A3190" t="str">
            <v>SOVERZENE</v>
          </cell>
          <cell r="B3190" t="str">
            <v>025057</v>
          </cell>
          <cell r="C3190" t="str">
            <v>BL</v>
          </cell>
          <cell r="D3190" t="str">
            <v>BL</v>
          </cell>
          <cell r="E3190" t="str">
            <v>32010</v>
          </cell>
        </row>
        <row r="3191">
          <cell r="A3191" t="str">
            <v>SOVRAMONTE</v>
          </cell>
          <cell r="B3191" t="str">
            <v>025058</v>
          </cell>
          <cell r="C3191" t="str">
            <v>BL</v>
          </cell>
          <cell r="D3191" t="str">
            <v>BL</v>
          </cell>
          <cell r="E3191" t="str">
            <v>32030</v>
          </cell>
        </row>
        <row r="3192">
          <cell r="A3192" t="str">
            <v>TAIBON AGORDINO</v>
          </cell>
          <cell r="B3192" t="str">
            <v>025059</v>
          </cell>
          <cell r="C3192" t="str">
            <v>BL</v>
          </cell>
          <cell r="D3192" t="str">
            <v>BL</v>
          </cell>
          <cell r="E3192" t="str">
            <v>32027</v>
          </cell>
        </row>
        <row r="3193">
          <cell r="A3193" t="str">
            <v>TAMBRE</v>
          </cell>
          <cell r="B3193" t="str">
            <v>025060</v>
          </cell>
          <cell r="C3193" t="str">
            <v>BL</v>
          </cell>
          <cell r="D3193" t="str">
            <v>BL</v>
          </cell>
          <cell r="E3193" t="str">
            <v>32010</v>
          </cell>
        </row>
        <row r="3194">
          <cell r="A3194" t="str">
            <v>VALLADA AGORDINA</v>
          </cell>
          <cell r="B3194" t="str">
            <v>025062</v>
          </cell>
          <cell r="C3194" t="str">
            <v>BL</v>
          </cell>
          <cell r="D3194" t="str">
            <v>BL</v>
          </cell>
          <cell r="E3194" t="str">
            <v>32020</v>
          </cell>
        </row>
        <row r="3195">
          <cell r="A3195" t="str">
            <v>VALLE DI CADORE</v>
          </cell>
          <cell r="B3195" t="str">
            <v>025063</v>
          </cell>
          <cell r="C3195" t="str">
            <v>BL</v>
          </cell>
          <cell r="D3195" t="str">
            <v>BL</v>
          </cell>
          <cell r="E3195" t="str">
            <v>32040</v>
          </cell>
        </row>
        <row r="3196">
          <cell r="A3196" t="str">
            <v>VIGO DI CADORE</v>
          </cell>
          <cell r="B3196" t="str">
            <v>025065</v>
          </cell>
          <cell r="C3196" t="str">
            <v>BL</v>
          </cell>
          <cell r="D3196" t="str">
            <v>BL</v>
          </cell>
          <cell r="E3196" t="str">
            <v>32040</v>
          </cell>
        </row>
        <row r="3197">
          <cell r="A3197" t="str">
            <v>VODO CADORE</v>
          </cell>
          <cell r="B3197" t="str">
            <v>025066</v>
          </cell>
          <cell r="C3197" t="str">
            <v>BL</v>
          </cell>
          <cell r="D3197" t="str">
            <v>BL</v>
          </cell>
          <cell r="E3197" t="str">
            <v>32040</v>
          </cell>
        </row>
        <row r="3198">
          <cell r="A3198" t="str">
            <v>VOLTAGO AGORDINO</v>
          </cell>
          <cell r="B3198" t="str">
            <v>025067</v>
          </cell>
          <cell r="C3198" t="str">
            <v>BL</v>
          </cell>
          <cell r="D3198" t="str">
            <v>BL</v>
          </cell>
          <cell r="E3198" t="str">
            <v>32020</v>
          </cell>
        </row>
        <row r="3199">
          <cell r="A3199" t="str">
            <v>ZOPPÈ DI CADORE</v>
          </cell>
          <cell r="B3199" t="str">
            <v>025069</v>
          </cell>
          <cell r="C3199" t="str">
            <v>BL</v>
          </cell>
          <cell r="D3199" t="str">
            <v>BL</v>
          </cell>
          <cell r="E3199" t="str">
            <v>32010</v>
          </cell>
        </row>
        <row r="3200">
          <cell r="A3200" t="str">
            <v>QUERO VAS</v>
          </cell>
          <cell r="B3200" t="str">
            <v>025070</v>
          </cell>
          <cell r="C3200" t="str">
            <v>BL</v>
          </cell>
          <cell r="D3200" t="e">
            <v>#N/A</v>
          </cell>
          <cell r="E3200" t="e">
            <v>#N/A</v>
          </cell>
        </row>
        <row r="3201">
          <cell r="A3201" t="str">
            <v>LONGARONE</v>
          </cell>
          <cell r="B3201" t="str">
            <v>025071</v>
          </cell>
          <cell r="C3201" t="str">
            <v>BL</v>
          </cell>
          <cell r="D3201" t="str">
            <v>BL</v>
          </cell>
          <cell r="E3201" t="str">
            <v>32013</v>
          </cell>
        </row>
        <row r="3202">
          <cell r="A3202" t="str">
            <v>ALPAGO</v>
          </cell>
          <cell r="B3202" t="str">
            <v>025072</v>
          </cell>
          <cell r="C3202" t="str">
            <v>BL</v>
          </cell>
          <cell r="D3202" t="e">
            <v>#N/A</v>
          </cell>
          <cell r="E3202" t="e">
            <v>#N/A</v>
          </cell>
        </row>
        <row r="3203">
          <cell r="A3203" t="str">
            <v>VAL DI ZOLDO</v>
          </cell>
          <cell r="B3203" t="str">
            <v>025073</v>
          </cell>
          <cell r="C3203" t="str">
            <v>BL</v>
          </cell>
          <cell r="D3203" t="e">
            <v>#N/A</v>
          </cell>
          <cell r="E3203" t="e">
            <v>#N/A</v>
          </cell>
        </row>
        <row r="3204">
          <cell r="A3204" t="str">
            <v>BORGO VALBELLUNA</v>
          </cell>
          <cell r="B3204" t="str">
            <v>025074</v>
          </cell>
          <cell r="C3204" t="str">
            <v>BL</v>
          </cell>
          <cell r="D3204" t="e">
            <v>#N/A</v>
          </cell>
          <cell r="E3204" t="e">
            <v>#N/A</v>
          </cell>
        </row>
        <row r="3205">
          <cell r="A3205" t="str">
            <v>ALTIVOLE</v>
          </cell>
          <cell r="B3205" t="str">
            <v>026001</v>
          </cell>
          <cell r="C3205" t="str">
            <v>TV</v>
          </cell>
          <cell r="D3205" t="str">
            <v>TV</v>
          </cell>
          <cell r="E3205" t="str">
            <v>31030</v>
          </cell>
        </row>
        <row r="3206">
          <cell r="A3206" t="str">
            <v>ARCADE</v>
          </cell>
          <cell r="B3206" t="str">
            <v>026002</v>
          </cell>
          <cell r="C3206" t="str">
            <v>TV</v>
          </cell>
          <cell r="D3206" t="str">
            <v>TV</v>
          </cell>
          <cell r="E3206" t="str">
            <v>31030</v>
          </cell>
        </row>
        <row r="3207">
          <cell r="A3207" t="str">
            <v>ASOLO</v>
          </cell>
          <cell r="B3207" t="str">
            <v>026003</v>
          </cell>
          <cell r="C3207" t="str">
            <v>TV</v>
          </cell>
          <cell r="D3207" t="str">
            <v>TV</v>
          </cell>
          <cell r="E3207" t="str">
            <v>31011</v>
          </cell>
        </row>
        <row r="3208">
          <cell r="A3208" t="str">
            <v>BORSO DEL GRAPPA</v>
          </cell>
          <cell r="B3208" t="str">
            <v>026004</v>
          </cell>
          <cell r="C3208" t="str">
            <v>TV</v>
          </cell>
          <cell r="D3208" t="str">
            <v>TV</v>
          </cell>
          <cell r="E3208" t="str">
            <v>31030</v>
          </cell>
        </row>
        <row r="3209">
          <cell r="A3209" t="str">
            <v>BREDA DI PIAVE</v>
          </cell>
          <cell r="B3209" t="str">
            <v>026005</v>
          </cell>
          <cell r="C3209" t="str">
            <v>TV</v>
          </cell>
          <cell r="D3209" t="str">
            <v>TV</v>
          </cell>
          <cell r="E3209" t="str">
            <v>31030</v>
          </cell>
        </row>
        <row r="3210">
          <cell r="A3210" t="str">
            <v>CAERANO DI SAN MARCO</v>
          </cell>
          <cell r="B3210" t="str">
            <v>026006</v>
          </cell>
          <cell r="C3210" t="str">
            <v>TV</v>
          </cell>
          <cell r="D3210" t="str">
            <v>TV</v>
          </cell>
          <cell r="E3210" t="str">
            <v>31031</v>
          </cell>
        </row>
        <row r="3211">
          <cell r="A3211" t="str">
            <v>CAPPELLA MAGGIORE</v>
          </cell>
          <cell r="B3211" t="str">
            <v>026007</v>
          </cell>
          <cell r="C3211" t="str">
            <v>TV</v>
          </cell>
          <cell r="D3211" t="str">
            <v>TV</v>
          </cell>
          <cell r="E3211" t="str">
            <v>31012</v>
          </cell>
        </row>
        <row r="3212">
          <cell r="A3212" t="str">
            <v>CARBONERA</v>
          </cell>
          <cell r="B3212" t="str">
            <v>026008</v>
          </cell>
          <cell r="C3212" t="str">
            <v>TV</v>
          </cell>
          <cell r="D3212" t="str">
            <v>TV</v>
          </cell>
          <cell r="E3212" t="str">
            <v>31030</v>
          </cell>
        </row>
        <row r="3213">
          <cell r="A3213" t="str">
            <v>CASALE SUL SILE</v>
          </cell>
          <cell r="B3213" t="str">
            <v>026009</v>
          </cell>
          <cell r="C3213" t="str">
            <v>TV</v>
          </cell>
          <cell r="D3213" t="str">
            <v>TV</v>
          </cell>
          <cell r="E3213" t="str">
            <v>31032</v>
          </cell>
        </row>
        <row r="3214">
          <cell r="A3214" t="str">
            <v>CASIER</v>
          </cell>
          <cell r="B3214" t="str">
            <v>026010</v>
          </cell>
          <cell r="C3214" t="str">
            <v>TV</v>
          </cell>
          <cell r="D3214" t="str">
            <v>TV</v>
          </cell>
          <cell r="E3214" t="str">
            <v>31030</v>
          </cell>
        </row>
        <row r="3215">
          <cell r="A3215" t="str">
            <v>CASTELCUCCO</v>
          </cell>
          <cell r="B3215" t="str">
            <v>026011</v>
          </cell>
          <cell r="C3215" t="str">
            <v>TV</v>
          </cell>
          <cell r="D3215" t="str">
            <v>TV</v>
          </cell>
          <cell r="E3215" t="str">
            <v>31030</v>
          </cell>
        </row>
        <row r="3216">
          <cell r="A3216" t="str">
            <v>CASTELFRANCO VENETO</v>
          </cell>
          <cell r="B3216" t="str">
            <v>026012</v>
          </cell>
          <cell r="C3216" t="str">
            <v>TV</v>
          </cell>
          <cell r="D3216" t="str">
            <v>TV</v>
          </cell>
          <cell r="E3216" t="str">
            <v>31033</v>
          </cell>
        </row>
        <row r="3217">
          <cell r="A3217" t="str">
            <v>CASTELLO DI GODEGO</v>
          </cell>
          <cell r="B3217" t="str">
            <v>026013</v>
          </cell>
          <cell r="C3217" t="str">
            <v>TV</v>
          </cell>
          <cell r="D3217" t="str">
            <v>TV</v>
          </cell>
          <cell r="E3217" t="str">
            <v>31030</v>
          </cell>
        </row>
        <row r="3218">
          <cell r="A3218" t="str">
            <v>CAVASO DEL TOMBA</v>
          </cell>
          <cell r="B3218" t="str">
            <v>026014</v>
          </cell>
          <cell r="C3218" t="str">
            <v>TV</v>
          </cell>
          <cell r="D3218" t="str">
            <v>TV</v>
          </cell>
          <cell r="E3218" t="str">
            <v>31034</v>
          </cell>
        </row>
        <row r="3219">
          <cell r="A3219" t="str">
            <v>CESSALTO</v>
          </cell>
          <cell r="B3219" t="str">
            <v>026015</v>
          </cell>
          <cell r="C3219" t="str">
            <v>TV</v>
          </cell>
          <cell r="D3219" t="str">
            <v>TV</v>
          </cell>
          <cell r="E3219" t="str">
            <v>31040</v>
          </cell>
        </row>
        <row r="3220">
          <cell r="A3220" t="str">
            <v>CHIARANO</v>
          </cell>
          <cell r="B3220" t="str">
            <v>026016</v>
          </cell>
          <cell r="C3220" t="str">
            <v>TV</v>
          </cell>
          <cell r="D3220" t="str">
            <v>TV</v>
          </cell>
          <cell r="E3220" t="str">
            <v>31040</v>
          </cell>
        </row>
        <row r="3221">
          <cell r="A3221" t="str">
            <v>CIMADOLMO</v>
          </cell>
          <cell r="B3221" t="str">
            <v>026017</v>
          </cell>
          <cell r="C3221" t="str">
            <v>TV</v>
          </cell>
          <cell r="D3221" t="str">
            <v>TV</v>
          </cell>
          <cell r="E3221" t="str">
            <v>31010</v>
          </cell>
        </row>
        <row r="3222">
          <cell r="A3222" t="str">
            <v>CISON DI VALMARINO</v>
          </cell>
          <cell r="B3222" t="str">
            <v>026018</v>
          </cell>
          <cell r="C3222" t="str">
            <v>TV</v>
          </cell>
          <cell r="D3222" t="str">
            <v>TV</v>
          </cell>
          <cell r="E3222" t="str">
            <v>31030</v>
          </cell>
        </row>
        <row r="3223">
          <cell r="A3223" t="str">
            <v>CODOGNÈ</v>
          </cell>
          <cell r="B3223" t="str">
            <v>026019</v>
          </cell>
          <cell r="C3223" t="str">
            <v>TV</v>
          </cell>
          <cell r="D3223" t="str">
            <v>TV</v>
          </cell>
          <cell r="E3223" t="str">
            <v>31013</v>
          </cell>
        </row>
        <row r="3224">
          <cell r="A3224" t="str">
            <v>COLLE UMBERTO</v>
          </cell>
          <cell r="B3224" t="str">
            <v>026020</v>
          </cell>
          <cell r="C3224" t="str">
            <v>TV</v>
          </cell>
          <cell r="D3224" t="str">
            <v>TV</v>
          </cell>
          <cell r="E3224" t="str">
            <v>31014</v>
          </cell>
        </row>
        <row r="3225">
          <cell r="A3225" t="str">
            <v>CONEGLIANO</v>
          </cell>
          <cell r="B3225" t="str">
            <v>026021</v>
          </cell>
          <cell r="C3225" t="str">
            <v>TV</v>
          </cell>
          <cell r="D3225" t="str">
            <v>TV</v>
          </cell>
          <cell r="E3225" t="str">
            <v>31015</v>
          </cell>
        </row>
        <row r="3226">
          <cell r="A3226" t="str">
            <v>CORDIGNANO</v>
          </cell>
          <cell r="B3226" t="str">
            <v>026022</v>
          </cell>
          <cell r="C3226" t="str">
            <v>TV</v>
          </cell>
          <cell r="D3226" t="str">
            <v>TV</v>
          </cell>
          <cell r="E3226" t="str">
            <v>31016</v>
          </cell>
        </row>
        <row r="3227">
          <cell r="A3227" t="str">
            <v>CORNUDA</v>
          </cell>
          <cell r="B3227" t="str">
            <v>026023</v>
          </cell>
          <cell r="C3227" t="str">
            <v>TV</v>
          </cell>
          <cell r="D3227" t="str">
            <v>TV</v>
          </cell>
          <cell r="E3227" t="str">
            <v>31041</v>
          </cell>
        </row>
        <row r="3228">
          <cell r="A3228" t="str">
            <v>CROCETTA DEL MONTELLO</v>
          </cell>
          <cell r="B3228" t="str">
            <v>026025</v>
          </cell>
          <cell r="C3228" t="str">
            <v>TV</v>
          </cell>
          <cell r="D3228" t="str">
            <v>TV</v>
          </cell>
          <cell r="E3228" t="str">
            <v>31035</v>
          </cell>
        </row>
        <row r="3229">
          <cell r="A3229" t="str">
            <v>FARRA DI SOLIGO</v>
          </cell>
          <cell r="B3229" t="str">
            <v>026026</v>
          </cell>
          <cell r="C3229" t="str">
            <v>TV</v>
          </cell>
          <cell r="D3229" t="str">
            <v>TV</v>
          </cell>
          <cell r="E3229" t="str">
            <v>31010</v>
          </cell>
        </row>
        <row r="3230">
          <cell r="A3230" t="str">
            <v>FOLLINA</v>
          </cell>
          <cell r="B3230" t="str">
            <v>026027</v>
          </cell>
          <cell r="C3230" t="str">
            <v>TV</v>
          </cell>
          <cell r="D3230" t="str">
            <v>TV</v>
          </cell>
          <cell r="E3230" t="str">
            <v>31051</v>
          </cell>
        </row>
        <row r="3231">
          <cell r="A3231" t="str">
            <v>FONTANELLE</v>
          </cell>
          <cell r="B3231" t="str">
            <v>026028</v>
          </cell>
          <cell r="C3231" t="str">
            <v>TV</v>
          </cell>
          <cell r="D3231" t="str">
            <v>TV</v>
          </cell>
          <cell r="E3231" t="str">
            <v>31043</v>
          </cell>
        </row>
        <row r="3232">
          <cell r="A3232" t="str">
            <v>FONTE</v>
          </cell>
          <cell r="B3232" t="str">
            <v>026029</v>
          </cell>
          <cell r="C3232" t="str">
            <v>TV</v>
          </cell>
          <cell r="D3232" t="str">
            <v>TV</v>
          </cell>
          <cell r="E3232" t="str">
            <v>31010</v>
          </cell>
        </row>
        <row r="3233">
          <cell r="A3233" t="str">
            <v>FREGONA</v>
          </cell>
          <cell r="B3233" t="str">
            <v>026030</v>
          </cell>
          <cell r="C3233" t="str">
            <v>TV</v>
          </cell>
          <cell r="D3233" t="str">
            <v>TV</v>
          </cell>
          <cell r="E3233" t="str">
            <v>31010</v>
          </cell>
        </row>
        <row r="3234">
          <cell r="A3234" t="str">
            <v>GAIARINE</v>
          </cell>
          <cell r="B3234" t="str">
            <v>026031</v>
          </cell>
          <cell r="C3234" t="str">
            <v>TV</v>
          </cell>
          <cell r="D3234" t="str">
            <v>TV</v>
          </cell>
          <cell r="E3234" t="str">
            <v>31018</v>
          </cell>
        </row>
        <row r="3235">
          <cell r="A3235" t="str">
            <v>GIAVERA DEL MONTELLO</v>
          </cell>
          <cell r="B3235" t="str">
            <v>026032</v>
          </cell>
          <cell r="C3235" t="str">
            <v>TV</v>
          </cell>
          <cell r="D3235" t="str">
            <v>TV</v>
          </cell>
          <cell r="E3235" t="str">
            <v>31040</v>
          </cell>
        </row>
        <row r="3236">
          <cell r="A3236" t="str">
            <v>GODEGA DI SANT'URBANO</v>
          </cell>
          <cell r="B3236" t="str">
            <v>026033</v>
          </cell>
          <cell r="C3236" t="str">
            <v>TV</v>
          </cell>
          <cell r="D3236" t="str">
            <v>TV</v>
          </cell>
          <cell r="E3236" t="str">
            <v>31010</v>
          </cell>
        </row>
        <row r="3237">
          <cell r="A3237" t="str">
            <v>GORGO AL MONTICANO</v>
          </cell>
          <cell r="B3237" t="str">
            <v>026034</v>
          </cell>
          <cell r="C3237" t="str">
            <v>TV</v>
          </cell>
          <cell r="D3237" t="str">
            <v>TV</v>
          </cell>
          <cell r="E3237" t="str">
            <v>31040</v>
          </cell>
        </row>
        <row r="3238">
          <cell r="A3238" t="str">
            <v>ISTRANA</v>
          </cell>
          <cell r="B3238" t="str">
            <v>026035</v>
          </cell>
          <cell r="C3238" t="str">
            <v>TV</v>
          </cell>
          <cell r="D3238" t="str">
            <v>TV</v>
          </cell>
          <cell r="E3238" t="str">
            <v>31036</v>
          </cell>
        </row>
        <row r="3239">
          <cell r="A3239" t="str">
            <v>LORIA</v>
          </cell>
          <cell r="B3239" t="str">
            <v>026036</v>
          </cell>
          <cell r="C3239" t="str">
            <v>TV</v>
          </cell>
          <cell r="D3239" t="str">
            <v>TV</v>
          </cell>
          <cell r="E3239" t="str">
            <v>31037</v>
          </cell>
        </row>
        <row r="3240">
          <cell r="A3240" t="str">
            <v>MANSUÈ</v>
          </cell>
          <cell r="B3240" t="str">
            <v>026037</v>
          </cell>
          <cell r="C3240" t="str">
            <v>TV</v>
          </cell>
          <cell r="D3240" t="str">
            <v>TV</v>
          </cell>
          <cell r="E3240" t="str">
            <v>31040</v>
          </cell>
        </row>
        <row r="3241">
          <cell r="A3241" t="str">
            <v>MARENO DI PIAVE</v>
          </cell>
          <cell r="B3241" t="str">
            <v>026038</v>
          </cell>
          <cell r="C3241" t="str">
            <v>TV</v>
          </cell>
          <cell r="D3241" t="str">
            <v>TV</v>
          </cell>
          <cell r="E3241" t="str">
            <v>31010</v>
          </cell>
        </row>
        <row r="3242">
          <cell r="A3242" t="str">
            <v>MASER</v>
          </cell>
          <cell r="B3242" t="str">
            <v>026039</v>
          </cell>
          <cell r="C3242" t="str">
            <v>TV</v>
          </cell>
          <cell r="D3242" t="str">
            <v>TV</v>
          </cell>
          <cell r="E3242" t="str">
            <v>31010</v>
          </cell>
        </row>
        <row r="3243">
          <cell r="A3243" t="str">
            <v>MASERADA SUL PIAVE</v>
          </cell>
          <cell r="B3243" t="str">
            <v>026040</v>
          </cell>
          <cell r="C3243" t="str">
            <v>TV</v>
          </cell>
          <cell r="D3243" t="str">
            <v>TV</v>
          </cell>
          <cell r="E3243" t="str">
            <v>31052</v>
          </cell>
        </row>
        <row r="3244">
          <cell r="A3244" t="str">
            <v>MEDUNA DI LIVENZA</v>
          </cell>
          <cell r="B3244" t="str">
            <v>026041</v>
          </cell>
          <cell r="C3244" t="str">
            <v>TV</v>
          </cell>
          <cell r="D3244" t="str">
            <v>TV</v>
          </cell>
          <cell r="E3244" t="str">
            <v>31040</v>
          </cell>
        </row>
        <row r="3245">
          <cell r="A3245" t="str">
            <v>MIANE</v>
          </cell>
          <cell r="B3245" t="str">
            <v>026042</v>
          </cell>
          <cell r="C3245" t="str">
            <v>TV</v>
          </cell>
          <cell r="D3245" t="str">
            <v>TV</v>
          </cell>
          <cell r="E3245" t="str">
            <v>31050</v>
          </cell>
        </row>
        <row r="3246">
          <cell r="A3246" t="str">
            <v>MOGLIANO VENETO</v>
          </cell>
          <cell r="B3246" t="str">
            <v>026043</v>
          </cell>
          <cell r="C3246" t="str">
            <v>TV</v>
          </cell>
          <cell r="D3246" t="str">
            <v>TV</v>
          </cell>
          <cell r="E3246" t="str">
            <v>31021</v>
          </cell>
        </row>
        <row r="3247">
          <cell r="A3247" t="str">
            <v>MONASTIER DI TREVISO</v>
          </cell>
          <cell r="B3247" t="str">
            <v>026044</v>
          </cell>
          <cell r="C3247" t="str">
            <v>TV</v>
          </cell>
          <cell r="D3247" t="str">
            <v>TV</v>
          </cell>
          <cell r="E3247" t="str">
            <v>31050</v>
          </cell>
        </row>
        <row r="3248">
          <cell r="A3248" t="str">
            <v>MONFUMO</v>
          </cell>
          <cell r="B3248" t="str">
            <v>026045</v>
          </cell>
          <cell r="C3248" t="str">
            <v>TV</v>
          </cell>
          <cell r="D3248" t="str">
            <v>TV</v>
          </cell>
          <cell r="E3248" t="str">
            <v>31010</v>
          </cell>
        </row>
        <row r="3249">
          <cell r="A3249" t="str">
            <v>MONTEBELLUNA</v>
          </cell>
          <cell r="B3249" t="str">
            <v>026046</v>
          </cell>
          <cell r="C3249" t="str">
            <v>TV</v>
          </cell>
          <cell r="D3249" t="str">
            <v>TV</v>
          </cell>
          <cell r="E3249" t="str">
            <v>31044</v>
          </cell>
        </row>
        <row r="3250">
          <cell r="A3250" t="str">
            <v>MORGANO</v>
          </cell>
          <cell r="B3250" t="str">
            <v>026047</v>
          </cell>
          <cell r="C3250" t="str">
            <v>TV</v>
          </cell>
          <cell r="D3250" t="str">
            <v>TV</v>
          </cell>
          <cell r="E3250" t="str">
            <v>31050</v>
          </cell>
        </row>
        <row r="3251">
          <cell r="A3251" t="str">
            <v>MORIAGO DELLA BATTAGLIA</v>
          </cell>
          <cell r="B3251" t="str">
            <v>026048</v>
          </cell>
          <cell r="C3251" t="str">
            <v>TV</v>
          </cell>
          <cell r="D3251" t="str">
            <v>TV</v>
          </cell>
          <cell r="E3251" t="str">
            <v>31010</v>
          </cell>
        </row>
        <row r="3252">
          <cell r="A3252" t="str">
            <v>MOTTA DI LIVENZA</v>
          </cell>
          <cell r="B3252" t="str">
            <v>026049</v>
          </cell>
          <cell r="C3252" t="str">
            <v>TV</v>
          </cell>
          <cell r="D3252" t="str">
            <v>TV</v>
          </cell>
          <cell r="E3252" t="str">
            <v>31045</v>
          </cell>
        </row>
        <row r="3253">
          <cell r="A3253" t="str">
            <v>NERVESA DELLA BATTAGLIA</v>
          </cell>
          <cell r="B3253" t="str">
            <v>026050</v>
          </cell>
          <cell r="C3253" t="str">
            <v>TV</v>
          </cell>
          <cell r="D3253" t="str">
            <v>TV</v>
          </cell>
          <cell r="E3253" t="str">
            <v>31040</v>
          </cell>
        </row>
        <row r="3254">
          <cell r="A3254" t="str">
            <v>ODERZO</v>
          </cell>
          <cell r="B3254" t="str">
            <v>026051</v>
          </cell>
          <cell r="C3254" t="str">
            <v>TV</v>
          </cell>
          <cell r="D3254" t="str">
            <v>TV</v>
          </cell>
          <cell r="E3254" t="str">
            <v>31046</v>
          </cell>
        </row>
        <row r="3255">
          <cell r="A3255" t="str">
            <v>ORMELLE</v>
          </cell>
          <cell r="B3255" t="str">
            <v>026052</v>
          </cell>
          <cell r="C3255" t="str">
            <v>TV</v>
          </cell>
          <cell r="D3255" t="str">
            <v>TV</v>
          </cell>
          <cell r="E3255" t="str">
            <v>31024</v>
          </cell>
        </row>
        <row r="3256">
          <cell r="A3256" t="str">
            <v>ORSAGO</v>
          </cell>
          <cell r="B3256" t="str">
            <v>026053</v>
          </cell>
          <cell r="C3256" t="str">
            <v>TV</v>
          </cell>
          <cell r="D3256" t="str">
            <v>TV</v>
          </cell>
          <cell r="E3256" t="str">
            <v>31010</v>
          </cell>
        </row>
        <row r="3257">
          <cell r="A3257" t="str">
            <v>PAESE</v>
          </cell>
          <cell r="B3257" t="str">
            <v>026055</v>
          </cell>
          <cell r="C3257" t="str">
            <v>TV</v>
          </cell>
          <cell r="D3257" t="str">
            <v>TV</v>
          </cell>
          <cell r="E3257" t="str">
            <v>31038</v>
          </cell>
        </row>
        <row r="3258">
          <cell r="A3258" t="str">
            <v>PEDEROBBA</v>
          </cell>
          <cell r="B3258" t="str">
            <v>026056</v>
          </cell>
          <cell r="C3258" t="str">
            <v>TV</v>
          </cell>
          <cell r="D3258" t="str">
            <v>TV</v>
          </cell>
          <cell r="E3258" t="str">
            <v>31040</v>
          </cell>
        </row>
        <row r="3259">
          <cell r="A3259" t="str">
            <v>PIEVE DI SOLIGO</v>
          </cell>
          <cell r="B3259" t="str">
            <v>026057</v>
          </cell>
          <cell r="C3259" t="str">
            <v>TV</v>
          </cell>
          <cell r="D3259" t="str">
            <v>TV</v>
          </cell>
          <cell r="E3259" t="str">
            <v>31053</v>
          </cell>
        </row>
        <row r="3260">
          <cell r="A3260" t="str">
            <v>PONTE DI PIAVE</v>
          </cell>
          <cell r="B3260" t="str">
            <v>026058</v>
          </cell>
          <cell r="C3260" t="str">
            <v>TV</v>
          </cell>
          <cell r="D3260" t="str">
            <v>TV</v>
          </cell>
          <cell r="E3260" t="str">
            <v>31047</v>
          </cell>
        </row>
        <row r="3261">
          <cell r="A3261" t="str">
            <v>PONZANO VENETO</v>
          </cell>
          <cell r="B3261" t="str">
            <v>026059</v>
          </cell>
          <cell r="C3261" t="str">
            <v>TV</v>
          </cell>
          <cell r="D3261" t="str">
            <v>TV</v>
          </cell>
          <cell r="E3261" t="str">
            <v>31050</v>
          </cell>
        </row>
        <row r="3262">
          <cell r="A3262" t="str">
            <v>PORTOBUFFOLÈ</v>
          </cell>
          <cell r="B3262" t="str">
            <v>026060</v>
          </cell>
          <cell r="C3262" t="str">
            <v>TV</v>
          </cell>
          <cell r="D3262" t="str">
            <v>TV</v>
          </cell>
          <cell r="E3262" t="str">
            <v>31040</v>
          </cell>
        </row>
        <row r="3263">
          <cell r="A3263" t="str">
            <v>POSSAGNO</v>
          </cell>
          <cell r="B3263" t="str">
            <v>026061</v>
          </cell>
          <cell r="C3263" t="str">
            <v>TV</v>
          </cell>
          <cell r="D3263" t="str">
            <v>TV</v>
          </cell>
          <cell r="E3263" t="str">
            <v>31054</v>
          </cell>
        </row>
        <row r="3264">
          <cell r="A3264" t="str">
            <v>POVEGLIANO</v>
          </cell>
          <cell r="B3264" t="str">
            <v>026062</v>
          </cell>
          <cell r="C3264" t="str">
            <v>TV</v>
          </cell>
          <cell r="D3264" t="str">
            <v>TV</v>
          </cell>
          <cell r="E3264" t="str">
            <v>31050</v>
          </cell>
        </row>
        <row r="3265">
          <cell r="A3265" t="str">
            <v>PREGANZIOL</v>
          </cell>
          <cell r="B3265" t="str">
            <v>026063</v>
          </cell>
          <cell r="C3265" t="str">
            <v>TV</v>
          </cell>
          <cell r="D3265" t="str">
            <v>TV</v>
          </cell>
          <cell r="E3265" t="str">
            <v>31022</v>
          </cell>
        </row>
        <row r="3266">
          <cell r="A3266" t="str">
            <v>QUINTO DI TREVISO</v>
          </cell>
          <cell r="B3266" t="str">
            <v>026064</v>
          </cell>
          <cell r="C3266" t="str">
            <v>TV</v>
          </cell>
          <cell r="D3266" t="str">
            <v>TV</v>
          </cell>
          <cell r="E3266" t="str">
            <v>31055</v>
          </cell>
        </row>
        <row r="3267">
          <cell r="A3267" t="str">
            <v>REFRONTOLO</v>
          </cell>
          <cell r="B3267" t="str">
            <v>026065</v>
          </cell>
          <cell r="C3267" t="str">
            <v>TV</v>
          </cell>
          <cell r="D3267" t="str">
            <v>TV</v>
          </cell>
          <cell r="E3267" t="str">
            <v>31020</v>
          </cell>
        </row>
        <row r="3268">
          <cell r="A3268" t="str">
            <v>RESANA</v>
          </cell>
          <cell r="B3268" t="str">
            <v>026066</v>
          </cell>
          <cell r="C3268" t="str">
            <v>TV</v>
          </cell>
          <cell r="D3268" t="str">
            <v>TV</v>
          </cell>
          <cell r="E3268" t="str">
            <v>31023</v>
          </cell>
        </row>
        <row r="3269">
          <cell r="A3269" t="str">
            <v>REVINE LAGO</v>
          </cell>
          <cell r="B3269" t="str">
            <v>026067</v>
          </cell>
          <cell r="C3269" t="str">
            <v>TV</v>
          </cell>
          <cell r="D3269" t="str">
            <v>TV</v>
          </cell>
          <cell r="E3269" t="str">
            <v>31020</v>
          </cell>
        </row>
        <row r="3270">
          <cell r="A3270" t="str">
            <v>RIESE PIO X</v>
          </cell>
          <cell r="B3270" t="str">
            <v>026068</v>
          </cell>
          <cell r="C3270" t="str">
            <v>TV</v>
          </cell>
          <cell r="D3270" t="str">
            <v>TV</v>
          </cell>
          <cell r="E3270" t="str">
            <v>31039</v>
          </cell>
        </row>
        <row r="3271">
          <cell r="A3271" t="str">
            <v>RONCADE</v>
          </cell>
          <cell r="B3271" t="str">
            <v>026069</v>
          </cell>
          <cell r="C3271" t="str">
            <v>TV</v>
          </cell>
          <cell r="D3271" t="str">
            <v>TV</v>
          </cell>
          <cell r="E3271" t="str">
            <v>31056</v>
          </cell>
        </row>
        <row r="3272">
          <cell r="A3272" t="str">
            <v>SALGAREDA</v>
          </cell>
          <cell r="B3272" t="str">
            <v>026070</v>
          </cell>
          <cell r="C3272" t="str">
            <v>TV</v>
          </cell>
          <cell r="D3272" t="str">
            <v>TV</v>
          </cell>
          <cell r="E3272" t="str">
            <v>31040</v>
          </cell>
        </row>
        <row r="3273">
          <cell r="A3273" t="str">
            <v>SAN BIAGIO DI CALLALTA</v>
          </cell>
          <cell r="B3273" t="str">
            <v>026071</v>
          </cell>
          <cell r="C3273" t="str">
            <v>TV</v>
          </cell>
          <cell r="D3273" t="str">
            <v>TV</v>
          </cell>
          <cell r="E3273" t="str">
            <v>31048</v>
          </cell>
        </row>
        <row r="3274">
          <cell r="A3274" t="str">
            <v>SAN FIOR</v>
          </cell>
          <cell r="B3274" t="str">
            <v>026072</v>
          </cell>
          <cell r="C3274" t="str">
            <v>TV</v>
          </cell>
          <cell r="D3274" t="str">
            <v>TV</v>
          </cell>
          <cell r="E3274" t="str">
            <v>31020</v>
          </cell>
        </row>
        <row r="3275">
          <cell r="A3275" t="str">
            <v>SAN PIETRO DI FELETTO</v>
          </cell>
          <cell r="B3275" t="str">
            <v>026073</v>
          </cell>
          <cell r="C3275" t="str">
            <v>TV</v>
          </cell>
          <cell r="D3275" t="str">
            <v>TV</v>
          </cell>
          <cell r="E3275" t="str">
            <v>31020</v>
          </cell>
        </row>
        <row r="3276">
          <cell r="A3276" t="str">
            <v>SAN POLO DI PIAVE</v>
          </cell>
          <cell r="B3276" t="str">
            <v>026074</v>
          </cell>
          <cell r="C3276" t="str">
            <v>TV</v>
          </cell>
          <cell r="D3276" t="str">
            <v>TV</v>
          </cell>
          <cell r="E3276" t="str">
            <v>31020</v>
          </cell>
        </row>
        <row r="3277">
          <cell r="A3277" t="str">
            <v>SANTA LUCIA DI PIAVE</v>
          </cell>
          <cell r="B3277" t="str">
            <v>026075</v>
          </cell>
          <cell r="C3277" t="str">
            <v>TV</v>
          </cell>
          <cell r="D3277" t="str">
            <v>TV</v>
          </cell>
          <cell r="E3277" t="str">
            <v>31025</v>
          </cell>
        </row>
        <row r="3278">
          <cell r="A3278" t="str">
            <v>SAN VENDEMIANO</v>
          </cell>
          <cell r="B3278" t="str">
            <v>026076</v>
          </cell>
          <cell r="C3278" t="str">
            <v>TV</v>
          </cell>
          <cell r="D3278" t="str">
            <v>TV</v>
          </cell>
          <cell r="E3278" t="str">
            <v>31020</v>
          </cell>
        </row>
        <row r="3279">
          <cell r="A3279" t="str">
            <v>SAN ZENONE DEGLI EZZELINI</v>
          </cell>
          <cell r="B3279" t="str">
            <v>026077</v>
          </cell>
          <cell r="C3279" t="str">
            <v>TV</v>
          </cell>
          <cell r="D3279" t="str">
            <v>TV</v>
          </cell>
          <cell r="E3279" t="str">
            <v>31020</v>
          </cell>
        </row>
        <row r="3280">
          <cell r="A3280" t="str">
            <v>SARMEDE</v>
          </cell>
          <cell r="B3280" t="str">
            <v>026078</v>
          </cell>
          <cell r="C3280" t="str">
            <v>TV</v>
          </cell>
          <cell r="D3280" t="str">
            <v>TV</v>
          </cell>
          <cell r="E3280" t="str">
            <v>31026</v>
          </cell>
        </row>
        <row r="3281">
          <cell r="A3281" t="str">
            <v>SEGUSINO</v>
          </cell>
          <cell r="B3281" t="str">
            <v>026079</v>
          </cell>
          <cell r="C3281" t="str">
            <v>TV</v>
          </cell>
          <cell r="D3281" t="str">
            <v>TV</v>
          </cell>
          <cell r="E3281" t="str">
            <v>31040</v>
          </cell>
        </row>
        <row r="3282">
          <cell r="A3282" t="str">
            <v>SERNAGLIA DELLA BATTAGLIA</v>
          </cell>
          <cell r="B3282" t="str">
            <v>026080</v>
          </cell>
          <cell r="C3282" t="str">
            <v>TV</v>
          </cell>
          <cell r="D3282" t="str">
            <v>TV</v>
          </cell>
          <cell r="E3282" t="str">
            <v>31020</v>
          </cell>
        </row>
        <row r="3283">
          <cell r="A3283" t="str">
            <v>SILEA</v>
          </cell>
          <cell r="B3283" t="str">
            <v>026081</v>
          </cell>
          <cell r="C3283" t="str">
            <v>TV</v>
          </cell>
          <cell r="D3283" t="str">
            <v>TV</v>
          </cell>
          <cell r="E3283" t="str">
            <v>31057</v>
          </cell>
        </row>
        <row r="3284">
          <cell r="A3284" t="str">
            <v>SPRESIANO</v>
          </cell>
          <cell r="B3284" t="str">
            <v>026082</v>
          </cell>
          <cell r="C3284" t="str">
            <v>TV</v>
          </cell>
          <cell r="D3284" t="str">
            <v>TV</v>
          </cell>
          <cell r="E3284" t="str">
            <v>31027</v>
          </cell>
        </row>
        <row r="3285">
          <cell r="A3285" t="str">
            <v>SUSEGANA</v>
          </cell>
          <cell r="B3285" t="str">
            <v>026083</v>
          </cell>
          <cell r="C3285" t="str">
            <v>TV</v>
          </cell>
          <cell r="D3285" t="str">
            <v>TV</v>
          </cell>
          <cell r="E3285" t="str">
            <v>31058</v>
          </cell>
        </row>
        <row r="3286">
          <cell r="A3286" t="str">
            <v>TARZO</v>
          </cell>
          <cell r="B3286" t="str">
            <v>026084</v>
          </cell>
          <cell r="C3286" t="str">
            <v>TV</v>
          </cell>
          <cell r="D3286" t="str">
            <v>TV</v>
          </cell>
          <cell r="E3286" t="str">
            <v>31020</v>
          </cell>
        </row>
        <row r="3287">
          <cell r="A3287" t="str">
            <v>TREVIGNANO</v>
          </cell>
          <cell r="B3287" t="str">
            <v>026085</v>
          </cell>
          <cell r="C3287" t="str">
            <v>TV</v>
          </cell>
          <cell r="D3287" t="str">
            <v>TV</v>
          </cell>
          <cell r="E3287" t="str">
            <v>31040</v>
          </cell>
        </row>
        <row r="3288">
          <cell r="A3288" t="str">
            <v>TREVISO</v>
          </cell>
          <cell r="B3288" t="str">
            <v>026086</v>
          </cell>
          <cell r="C3288" t="str">
            <v>TV</v>
          </cell>
          <cell r="D3288" t="str">
            <v>TV</v>
          </cell>
          <cell r="E3288" t="str">
            <v>31100</v>
          </cell>
        </row>
        <row r="3289">
          <cell r="A3289" t="str">
            <v>VALDOBBIADENE</v>
          </cell>
          <cell r="B3289" t="str">
            <v>026087</v>
          </cell>
          <cell r="C3289" t="str">
            <v>TV</v>
          </cell>
          <cell r="D3289" t="str">
            <v>TV</v>
          </cell>
          <cell r="E3289" t="str">
            <v>31049</v>
          </cell>
        </row>
        <row r="3290">
          <cell r="A3290" t="str">
            <v>VAZZOLA</v>
          </cell>
          <cell r="B3290" t="str">
            <v>026088</v>
          </cell>
          <cell r="C3290" t="str">
            <v>TV</v>
          </cell>
          <cell r="D3290" t="str">
            <v>TV</v>
          </cell>
          <cell r="E3290" t="str">
            <v>31028</v>
          </cell>
        </row>
        <row r="3291">
          <cell r="A3291" t="str">
            <v>VEDELAGO</v>
          </cell>
          <cell r="B3291" t="str">
            <v>026089</v>
          </cell>
          <cell r="C3291" t="str">
            <v>TV</v>
          </cell>
          <cell r="D3291" t="str">
            <v>TV</v>
          </cell>
          <cell r="E3291" t="str">
            <v>31050</v>
          </cell>
        </row>
        <row r="3292">
          <cell r="A3292" t="str">
            <v>VIDOR</v>
          </cell>
          <cell r="B3292" t="str">
            <v>026090</v>
          </cell>
          <cell r="C3292" t="str">
            <v>TV</v>
          </cell>
          <cell r="D3292" t="str">
            <v>TV</v>
          </cell>
          <cell r="E3292" t="str">
            <v>31020</v>
          </cell>
        </row>
        <row r="3293">
          <cell r="A3293" t="str">
            <v>VILLORBA</v>
          </cell>
          <cell r="B3293" t="str">
            <v>026091</v>
          </cell>
          <cell r="C3293" t="str">
            <v>TV</v>
          </cell>
          <cell r="D3293" t="str">
            <v>TV</v>
          </cell>
          <cell r="E3293" t="str">
            <v>31020</v>
          </cell>
        </row>
        <row r="3294">
          <cell r="A3294" t="str">
            <v>VITTORIO VENETO</v>
          </cell>
          <cell r="B3294" t="str">
            <v>026092</v>
          </cell>
          <cell r="C3294" t="str">
            <v>TV</v>
          </cell>
          <cell r="D3294" t="str">
            <v>TV</v>
          </cell>
          <cell r="E3294" t="str">
            <v>31029</v>
          </cell>
        </row>
        <row r="3295">
          <cell r="A3295" t="str">
            <v>VOLPAGO DEL MONTELLO</v>
          </cell>
          <cell r="B3295" t="str">
            <v>026093</v>
          </cell>
          <cell r="C3295" t="str">
            <v>TV</v>
          </cell>
          <cell r="D3295" t="str">
            <v>TV</v>
          </cell>
          <cell r="E3295" t="str">
            <v>31040</v>
          </cell>
        </row>
        <row r="3296">
          <cell r="A3296" t="str">
            <v>ZENSON DI PIAVE</v>
          </cell>
          <cell r="B3296" t="str">
            <v>026094</v>
          </cell>
          <cell r="C3296" t="str">
            <v>TV</v>
          </cell>
          <cell r="D3296" t="str">
            <v>TV</v>
          </cell>
          <cell r="E3296" t="str">
            <v>31050</v>
          </cell>
        </row>
        <row r="3297">
          <cell r="A3297" t="str">
            <v>ZERO BRANCO</v>
          </cell>
          <cell r="B3297" t="str">
            <v>026095</v>
          </cell>
          <cell r="C3297" t="str">
            <v>TV</v>
          </cell>
          <cell r="D3297" t="str">
            <v>TV</v>
          </cell>
          <cell r="E3297" t="str">
            <v>31059</v>
          </cell>
        </row>
        <row r="3298">
          <cell r="A3298" t="str">
            <v>PIEVE DEL GRAPPA</v>
          </cell>
          <cell r="B3298" t="str">
            <v>026096</v>
          </cell>
          <cell r="C3298" t="str">
            <v>TV</v>
          </cell>
          <cell r="D3298" t="e">
            <v>#N/A</v>
          </cell>
          <cell r="E3298" t="e">
            <v>#N/A</v>
          </cell>
        </row>
        <row r="3299">
          <cell r="A3299" t="str">
            <v>ANNONE VENETO</v>
          </cell>
          <cell r="B3299" t="str">
            <v>027001</v>
          </cell>
          <cell r="C3299" t="str">
            <v>VE</v>
          </cell>
          <cell r="D3299" t="str">
            <v>VE</v>
          </cell>
          <cell r="E3299" t="str">
            <v>30020</v>
          </cell>
        </row>
        <row r="3300">
          <cell r="A3300" t="str">
            <v>CAMPAGNA LUPIA</v>
          </cell>
          <cell r="B3300" t="str">
            <v>027002</v>
          </cell>
          <cell r="C3300" t="str">
            <v>VE</v>
          </cell>
          <cell r="D3300" t="str">
            <v>VE</v>
          </cell>
          <cell r="E3300" t="str">
            <v>30010</v>
          </cell>
        </row>
        <row r="3301">
          <cell r="A3301" t="str">
            <v>CAMPOLONGO MAGGIORE</v>
          </cell>
          <cell r="B3301" t="str">
            <v>027003</v>
          </cell>
          <cell r="C3301" t="str">
            <v>VE</v>
          </cell>
          <cell r="D3301" t="str">
            <v>VE</v>
          </cell>
          <cell r="E3301" t="str">
            <v>30010</v>
          </cell>
        </row>
        <row r="3302">
          <cell r="A3302" t="str">
            <v>CAMPONOGARA</v>
          </cell>
          <cell r="B3302" t="str">
            <v>027004</v>
          </cell>
          <cell r="C3302" t="str">
            <v>VE</v>
          </cell>
          <cell r="D3302" t="str">
            <v>VE</v>
          </cell>
          <cell r="E3302" t="str">
            <v>30010</v>
          </cell>
        </row>
        <row r="3303">
          <cell r="A3303" t="str">
            <v>CAORLE</v>
          </cell>
          <cell r="B3303" t="str">
            <v>027005</v>
          </cell>
          <cell r="C3303" t="str">
            <v>VE</v>
          </cell>
          <cell r="D3303" t="str">
            <v>VE</v>
          </cell>
          <cell r="E3303" t="str">
            <v>30021</v>
          </cell>
        </row>
        <row r="3304">
          <cell r="A3304" t="str">
            <v>CAVARZERE</v>
          </cell>
          <cell r="B3304" t="str">
            <v>027006</v>
          </cell>
          <cell r="C3304" t="str">
            <v>VE</v>
          </cell>
          <cell r="D3304" t="str">
            <v>VE</v>
          </cell>
          <cell r="E3304" t="str">
            <v>30014</v>
          </cell>
        </row>
        <row r="3305">
          <cell r="A3305" t="str">
            <v>CEGGIA</v>
          </cell>
          <cell r="B3305" t="str">
            <v>027007</v>
          </cell>
          <cell r="C3305" t="str">
            <v>VE</v>
          </cell>
          <cell r="D3305" t="str">
            <v>VE</v>
          </cell>
          <cell r="E3305" t="str">
            <v>30022</v>
          </cell>
        </row>
        <row r="3306">
          <cell r="A3306" t="str">
            <v>CHIOGGIA</v>
          </cell>
          <cell r="B3306" t="str">
            <v>027008</v>
          </cell>
          <cell r="C3306" t="str">
            <v>VE</v>
          </cell>
          <cell r="D3306" t="str">
            <v>VE</v>
          </cell>
          <cell r="E3306" t="str">
            <v>30015</v>
          </cell>
        </row>
        <row r="3307">
          <cell r="A3307" t="str">
            <v>CINTO CAOMAGGIORE</v>
          </cell>
          <cell r="B3307" t="str">
            <v>027009</v>
          </cell>
          <cell r="C3307" t="str">
            <v>VE</v>
          </cell>
          <cell r="D3307" t="str">
            <v>VE</v>
          </cell>
          <cell r="E3307" t="str">
            <v>30020</v>
          </cell>
        </row>
        <row r="3308">
          <cell r="A3308" t="str">
            <v>CONA</v>
          </cell>
          <cell r="B3308" t="str">
            <v>027010</v>
          </cell>
          <cell r="C3308" t="str">
            <v>VE</v>
          </cell>
          <cell r="D3308" t="str">
            <v>VE</v>
          </cell>
          <cell r="E3308" t="str">
            <v>30010</v>
          </cell>
        </row>
        <row r="3309">
          <cell r="A3309" t="str">
            <v>CONCORDIA SAGITTARIA</v>
          </cell>
          <cell r="B3309" t="str">
            <v>027011</v>
          </cell>
          <cell r="C3309" t="str">
            <v>VE</v>
          </cell>
          <cell r="D3309" t="str">
            <v>VE</v>
          </cell>
          <cell r="E3309" t="str">
            <v>30023</v>
          </cell>
        </row>
        <row r="3310">
          <cell r="A3310" t="str">
            <v>DOLO</v>
          </cell>
          <cell r="B3310" t="str">
            <v>027012</v>
          </cell>
          <cell r="C3310" t="str">
            <v>VE</v>
          </cell>
          <cell r="D3310" t="str">
            <v>VE</v>
          </cell>
          <cell r="E3310" t="str">
            <v>30031</v>
          </cell>
        </row>
        <row r="3311">
          <cell r="A3311" t="str">
            <v>ERACLEA</v>
          </cell>
          <cell r="B3311" t="str">
            <v>027013</v>
          </cell>
          <cell r="C3311" t="str">
            <v>VE</v>
          </cell>
          <cell r="D3311" t="str">
            <v>VE</v>
          </cell>
          <cell r="E3311" t="str">
            <v>30020</v>
          </cell>
        </row>
        <row r="3312">
          <cell r="A3312" t="str">
            <v>FIESSO D'ARTICO</v>
          </cell>
          <cell r="B3312" t="str">
            <v>027014</v>
          </cell>
          <cell r="C3312" t="str">
            <v>VE</v>
          </cell>
          <cell r="D3312" t="str">
            <v>VE</v>
          </cell>
          <cell r="E3312" t="str">
            <v>30032</v>
          </cell>
        </row>
        <row r="3313">
          <cell r="A3313" t="str">
            <v>FOSSALTA DI PIAVE</v>
          </cell>
          <cell r="B3313" t="str">
            <v>027015</v>
          </cell>
          <cell r="C3313" t="str">
            <v>VE</v>
          </cell>
          <cell r="D3313" t="str">
            <v>VE</v>
          </cell>
          <cell r="E3313" t="str">
            <v>30020</v>
          </cell>
        </row>
        <row r="3314">
          <cell r="A3314" t="str">
            <v>FOSSALTA DI PORTOGRUARO</v>
          </cell>
          <cell r="B3314" t="str">
            <v>027016</v>
          </cell>
          <cell r="C3314" t="str">
            <v>VE</v>
          </cell>
          <cell r="D3314" t="str">
            <v>VE</v>
          </cell>
          <cell r="E3314" t="str">
            <v>30025</v>
          </cell>
        </row>
        <row r="3315">
          <cell r="A3315" t="str">
            <v>FOSSÒ</v>
          </cell>
          <cell r="B3315" t="str">
            <v>027017</v>
          </cell>
          <cell r="C3315" t="str">
            <v>VE</v>
          </cell>
          <cell r="D3315" t="str">
            <v>VE</v>
          </cell>
          <cell r="E3315" t="str">
            <v>30030</v>
          </cell>
        </row>
        <row r="3316">
          <cell r="A3316" t="str">
            <v>GRUARO</v>
          </cell>
          <cell r="B3316" t="str">
            <v>027018</v>
          </cell>
          <cell r="C3316" t="str">
            <v>VE</v>
          </cell>
          <cell r="D3316" t="str">
            <v>VE</v>
          </cell>
          <cell r="E3316" t="str">
            <v>30020</v>
          </cell>
        </row>
        <row r="3317">
          <cell r="A3317" t="str">
            <v>JESOLO</v>
          </cell>
          <cell r="B3317" t="str">
            <v>027019</v>
          </cell>
          <cell r="C3317" t="str">
            <v>VE</v>
          </cell>
          <cell r="D3317" t="str">
            <v>VE</v>
          </cell>
          <cell r="E3317" t="str">
            <v>30016</v>
          </cell>
        </row>
        <row r="3318">
          <cell r="A3318" t="str">
            <v>MARCON</v>
          </cell>
          <cell r="B3318" t="str">
            <v>027020</v>
          </cell>
          <cell r="C3318" t="str">
            <v>VE</v>
          </cell>
          <cell r="D3318" t="str">
            <v>VE</v>
          </cell>
          <cell r="E3318" t="str">
            <v>30020</v>
          </cell>
        </row>
        <row r="3319">
          <cell r="A3319" t="str">
            <v>MARTELLAGO</v>
          </cell>
          <cell r="B3319" t="str">
            <v>027021</v>
          </cell>
          <cell r="C3319" t="str">
            <v>VE</v>
          </cell>
          <cell r="D3319" t="str">
            <v>VE</v>
          </cell>
          <cell r="E3319" t="str">
            <v>30030</v>
          </cell>
        </row>
        <row r="3320">
          <cell r="A3320" t="str">
            <v>MEOLO</v>
          </cell>
          <cell r="B3320" t="str">
            <v>027022</v>
          </cell>
          <cell r="C3320" t="str">
            <v>VE</v>
          </cell>
          <cell r="D3320" t="str">
            <v>VE</v>
          </cell>
          <cell r="E3320" t="str">
            <v>30020</v>
          </cell>
        </row>
        <row r="3321">
          <cell r="A3321" t="str">
            <v>MIRA</v>
          </cell>
          <cell r="B3321" t="str">
            <v>027023</v>
          </cell>
          <cell r="C3321" t="str">
            <v>VE</v>
          </cell>
          <cell r="D3321" t="str">
            <v>VE</v>
          </cell>
          <cell r="E3321" t="str">
            <v>30034</v>
          </cell>
        </row>
        <row r="3322">
          <cell r="A3322" t="str">
            <v>MIRANO</v>
          </cell>
          <cell r="B3322" t="str">
            <v>027024</v>
          </cell>
          <cell r="C3322" t="str">
            <v>VE</v>
          </cell>
          <cell r="D3322" t="str">
            <v>VE</v>
          </cell>
          <cell r="E3322" t="str">
            <v>30035</v>
          </cell>
        </row>
        <row r="3323">
          <cell r="A3323" t="str">
            <v>MUSILE DI PIAVE</v>
          </cell>
          <cell r="B3323" t="str">
            <v>027025</v>
          </cell>
          <cell r="C3323" t="str">
            <v>VE</v>
          </cell>
          <cell r="D3323" t="str">
            <v>VE</v>
          </cell>
          <cell r="E3323" t="str">
            <v>30024</v>
          </cell>
        </row>
        <row r="3324">
          <cell r="A3324" t="str">
            <v>NOALE</v>
          </cell>
          <cell r="B3324" t="str">
            <v>027026</v>
          </cell>
          <cell r="C3324" t="str">
            <v>VE</v>
          </cell>
          <cell r="D3324" t="str">
            <v>VE</v>
          </cell>
          <cell r="E3324" t="str">
            <v>30033</v>
          </cell>
        </row>
        <row r="3325">
          <cell r="A3325" t="str">
            <v>NOVENTA DI PIAVE</v>
          </cell>
          <cell r="B3325" t="str">
            <v>027027</v>
          </cell>
          <cell r="C3325" t="str">
            <v>VE</v>
          </cell>
          <cell r="D3325" t="str">
            <v>VE</v>
          </cell>
          <cell r="E3325" t="str">
            <v>30020</v>
          </cell>
        </row>
        <row r="3326">
          <cell r="A3326" t="str">
            <v>PIANIGA</v>
          </cell>
          <cell r="B3326" t="str">
            <v>027028</v>
          </cell>
          <cell r="C3326" t="str">
            <v>VE</v>
          </cell>
          <cell r="D3326" t="str">
            <v>VE</v>
          </cell>
          <cell r="E3326" t="str">
            <v>30030</v>
          </cell>
        </row>
        <row r="3327">
          <cell r="A3327" t="str">
            <v>PORTOGRUARO</v>
          </cell>
          <cell r="B3327" t="str">
            <v>027029</v>
          </cell>
          <cell r="C3327" t="str">
            <v>VE</v>
          </cell>
          <cell r="D3327" t="str">
            <v>VE</v>
          </cell>
          <cell r="E3327" t="str">
            <v>30026</v>
          </cell>
        </row>
        <row r="3328">
          <cell r="A3328" t="str">
            <v>PRAMAGGIORE</v>
          </cell>
          <cell r="B3328" t="str">
            <v>027030</v>
          </cell>
          <cell r="C3328" t="str">
            <v>VE</v>
          </cell>
          <cell r="D3328" t="str">
            <v>VE</v>
          </cell>
          <cell r="E3328" t="str">
            <v>30020</v>
          </cell>
        </row>
        <row r="3329">
          <cell r="A3329" t="str">
            <v>QUARTO D'ALTINO</v>
          </cell>
          <cell r="B3329" t="str">
            <v>027031</v>
          </cell>
          <cell r="C3329" t="str">
            <v>VE</v>
          </cell>
          <cell r="D3329" t="str">
            <v>VE</v>
          </cell>
          <cell r="E3329" t="str">
            <v>30020</v>
          </cell>
        </row>
        <row r="3330">
          <cell r="A3330" t="str">
            <v>SALZANO</v>
          </cell>
          <cell r="B3330" t="str">
            <v>027032</v>
          </cell>
          <cell r="C3330" t="str">
            <v>VE</v>
          </cell>
          <cell r="D3330" t="str">
            <v>VE</v>
          </cell>
          <cell r="E3330" t="str">
            <v>30030</v>
          </cell>
        </row>
        <row r="3331">
          <cell r="A3331" t="str">
            <v>SAN DONÀ DI PIAVE</v>
          </cell>
          <cell r="B3331" t="str">
            <v>027033</v>
          </cell>
          <cell r="C3331" t="str">
            <v>VE</v>
          </cell>
          <cell r="D3331" t="str">
            <v>VE</v>
          </cell>
          <cell r="E3331" t="str">
            <v>30027</v>
          </cell>
        </row>
        <row r="3332">
          <cell r="A3332" t="str">
            <v>SAN MICHELE AL TAGLIAMENTO</v>
          </cell>
          <cell r="B3332" t="str">
            <v>027034</v>
          </cell>
          <cell r="C3332" t="str">
            <v>VE</v>
          </cell>
          <cell r="D3332" t="str">
            <v>VE</v>
          </cell>
          <cell r="E3332" t="str">
            <v>30028</v>
          </cell>
        </row>
        <row r="3333">
          <cell r="A3333" t="str">
            <v>SANTA MARIA DI SALA</v>
          </cell>
          <cell r="B3333" t="str">
            <v>027035</v>
          </cell>
          <cell r="C3333" t="str">
            <v>VE</v>
          </cell>
          <cell r="D3333" t="str">
            <v>VE</v>
          </cell>
          <cell r="E3333" t="str">
            <v>30036</v>
          </cell>
        </row>
        <row r="3334">
          <cell r="A3334" t="str">
            <v>SAN STINO DI LIVENZA</v>
          </cell>
          <cell r="B3334" t="str">
            <v>027036</v>
          </cell>
          <cell r="C3334" t="str">
            <v>VE</v>
          </cell>
          <cell r="D3334" t="e">
            <v>#N/A</v>
          </cell>
          <cell r="E3334" t="e">
            <v>#N/A</v>
          </cell>
        </row>
        <row r="3335">
          <cell r="A3335" t="str">
            <v>SCORZÈ</v>
          </cell>
          <cell r="B3335" t="str">
            <v>027037</v>
          </cell>
          <cell r="C3335" t="str">
            <v>VE</v>
          </cell>
          <cell r="D3335" t="str">
            <v>VE</v>
          </cell>
          <cell r="E3335" t="str">
            <v>30037</v>
          </cell>
        </row>
        <row r="3336">
          <cell r="A3336" t="str">
            <v>SPINEA</v>
          </cell>
          <cell r="B3336" t="str">
            <v>027038</v>
          </cell>
          <cell r="C3336" t="str">
            <v>VE</v>
          </cell>
          <cell r="D3336" t="str">
            <v>VE</v>
          </cell>
          <cell r="E3336" t="str">
            <v>30038</v>
          </cell>
        </row>
        <row r="3337">
          <cell r="A3337" t="str">
            <v>STRA</v>
          </cell>
          <cell r="B3337" t="str">
            <v>027039</v>
          </cell>
          <cell r="C3337" t="str">
            <v>VE</v>
          </cell>
          <cell r="D3337" t="str">
            <v>VE</v>
          </cell>
          <cell r="E3337" t="str">
            <v>30039</v>
          </cell>
        </row>
        <row r="3338">
          <cell r="A3338" t="str">
            <v>TEGLIO VENETO</v>
          </cell>
          <cell r="B3338" t="str">
            <v>027040</v>
          </cell>
          <cell r="C3338" t="str">
            <v>VE</v>
          </cell>
          <cell r="D3338" t="str">
            <v>VE</v>
          </cell>
          <cell r="E3338" t="str">
            <v>30025</v>
          </cell>
        </row>
        <row r="3339">
          <cell r="A3339" t="str">
            <v>TORRE DI MOSTO</v>
          </cell>
          <cell r="B3339" t="str">
            <v>027041</v>
          </cell>
          <cell r="C3339" t="str">
            <v>VE</v>
          </cell>
          <cell r="D3339" t="str">
            <v>VE</v>
          </cell>
          <cell r="E3339" t="str">
            <v>30020</v>
          </cell>
        </row>
        <row r="3340">
          <cell r="A3340" t="str">
            <v>VENEZIA</v>
          </cell>
          <cell r="B3340" t="str">
            <v>027042</v>
          </cell>
          <cell r="C3340" t="str">
            <v>VE</v>
          </cell>
          <cell r="D3340" t="str">
            <v>VE</v>
          </cell>
          <cell r="E3340" t="str">
            <v>301xx</v>
          </cell>
        </row>
        <row r="3341">
          <cell r="A3341" t="str">
            <v>VIGONOVO</v>
          </cell>
          <cell r="B3341" t="str">
            <v>027043</v>
          </cell>
          <cell r="C3341" t="str">
            <v>VE</v>
          </cell>
          <cell r="D3341" t="str">
            <v>VE</v>
          </cell>
          <cell r="E3341" t="str">
            <v>30030</v>
          </cell>
        </row>
        <row r="3342">
          <cell r="A3342" t="str">
            <v>CAVALLINO-TREPORTI</v>
          </cell>
          <cell r="B3342" t="str">
            <v>027044</v>
          </cell>
          <cell r="C3342" t="str">
            <v>VE</v>
          </cell>
          <cell r="D3342" t="str">
            <v>VE</v>
          </cell>
          <cell r="E3342" t="str">
            <v>30013</v>
          </cell>
        </row>
        <row r="3343">
          <cell r="A3343" t="str">
            <v>ABANO TERME</v>
          </cell>
          <cell r="B3343" t="str">
            <v>028001</v>
          </cell>
          <cell r="C3343" t="str">
            <v>PD</v>
          </cell>
          <cell r="D3343" t="str">
            <v>PD</v>
          </cell>
          <cell r="E3343" t="str">
            <v>35031</v>
          </cell>
        </row>
        <row r="3344">
          <cell r="A3344" t="str">
            <v>AGNA</v>
          </cell>
          <cell r="B3344" t="str">
            <v>028002</v>
          </cell>
          <cell r="C3344" t="str">
            <v>PD</v>
          </cell>
          <cell r="D3344" t="str">
            <v>PD</v>
          </cell>
          <cell r="E3344" t="str">
            <v>35021</v>
          </cell>
        </row>
        <row r="3345">
          <cell r="A3345" t="str">
            <v>ALBIGNASEGO</v>
          </cell>
          <cell r="B3345" t="str">
            <v>028003</v>
          </cell>
          <cell r="C3345" t="str">
            <v>PD</v>
          </cell>
          <cell r="D3345" t="str">
            <v>PD</v>
          </cell>
          <cell r="E3345" t="str">
            <v>35020</v>
          </cell>
        </row>
        <row r="3346">
          <cell r="A3346" t="str">
            <v>ANGUILLARA VENETA</v>
          </cell>
          <cell r="B3346" t="str">
            <v>028004</v>
          </cell>
          <cell r="C3346" t="str">
            <v>PD</v>
          </cell>
          <cell r="D3346" t="str">
            <v>PD</v>
          </cell>
          <cell r="E3346" t="str">
            <v>35022</v>
          </cell>
        </row>
        <row r="3347">
          <cell r="A3347" t="str">
            <v>ARQUÀ PETRARCA</v>
          </cell>
          <cell r="B3347" t="str">
            <v>028005</v>
          </cell>
          <cell r="C3347" t="str">
            <v>PD</v>
          </cell>
          <cell r="D3347" t="str">
            <v>PD</v>
          </cell>
          <cell r="E3347" t="str">
            <v>35032</v>
          </cell>
        </row>
        <row r="3348">
          <cell r="A3348" t="str">
            <v>ARRE</v>
          </cell>
          <cell r="B3348" t="str">
            <v>028006</v>
          </cell>
          <cell r="C3348" t="str">
            <v>PD</v>
          </cell>
          <cell r="D3348" t="str">
            <v>PD</v>
          </cell>
          <cell r="E3348" t="str">
            <v>35020</v>
          </cell>
        </row>
        <row r="3349">
          <cell r="A3349" t="str">
            <v>ARZERGRANDE</v>
          </cell>
          <cell r="B3349" t="str">
            <v>028007</v>
          </cell>
          <cell r="C3349" t="str">
            <v>PD</v>
          </cell>
          <cell r="D3349" t="str">
            <v>PD</v>
          </cell>
          <cell r="E3349" t="str">
            <v>35020</v>
          </cell>
        </row>
        <row r="3350">
          <cell r="A3350" t="str">
            <v>BAGNOLI DI SOPRA</v>
          </cell>
          <cell r="B3350" t="str">
            <v>028008</v>
          </cell>
          <cell r="C3350" t="str">
            <v>PD</v>
          </cell>
          <cell r="D3350" t="str">
            <v>PD</v>
          </cell>
          <cell r="E3350" t="str">
            <v>35023</v>
          </cell>
        </row>
        <row r="3351">
          <cell r="A3351" t="str">
            <v>BAONE</v>
          </cell>
          <cell r="B3351" t="str">
            <v>028009</v>
          </cell>
          <cell r="C3351" t="str">
            <v>PD</v>
          </cell>
          <cell r="D3351" t="str">
            <v>PD</v>
          </cell>
          <cell r="E3351" t="str">
            <v>35030</v>
          </cell>
        </row>
        <row r="3352">
          <cell r="A3352" t="str">
            <v>BARBONA</v>
          </cell>
          <cell r="B3352" t="str">
            <v>028010</v>
          </cell>
          <cell r="C3352" t="str">
            <v>PD</v>
          </cell>
          <cell r="D3352" t="str">
            <v>PD</v>
          </cell>
          <cell r="E3352" t="str">
            <v>35040</v>
          </cell>
        </row>
        <row r="3353">
          <cell r="A3353" t="str">
            <v>BATTAGLIA TERME</v>
          </cell>
          <cell r="B3353" t="str">
            <v>028011</v>
          </cell>
          <cell r="C3353" t="str">
            <v>PD</v>
          </cell>
          <cell r="D3353" t="str">
            <v>PD</v>
          </cell>
          <cell r="E3353" t="str">
            <v>35041</v>
          </cell>
        </row>
        <row r="3354">
          <cell r="A3354" t="str">
            <v>BOARA PISANI</v>
          </cell>
          <cell r="B3354" t="str">
            <v>028012</v>
          </cell>
          <cell r="C3354" t="str">
            <v>PD</v>
          </cell>
          <cell r="D3354" t="str">
            <v>PD</v>
          </cell>
          <cell r="E3354" t="str">
            <v>35040</v>
          </cell>
        </row>
        <row r="3355">
          <cell r="A3355" t="str">
            <v>BORGORICCO</v>
          </cell>
          <cell r="B3355" t="str">
            <v>028013</v>
          </cell>
          <cell r="C3355" t="str">
            <v>PD</v>
          </cell>
          <cell r="D3355" t="str">
            <v>PD</v>
          </cell>
          <cell r="E3355" t="str">
            <v>35010</v>
          </cell>
        </row>
        <row r="3356">
          <cell r="A3356" t="str">
            <v>BOVOLENTA</v>
          </cell>
          <cell r="B3356" t="str">
            <v>028014</v>
          </cell>
          <cell r="C3356" t="str">
            <v>PD</v>
          </cell>
          <cell r="D3356" t="str">
            <v>PD</v>
          </cell>
          <cell r="E3356" t="str">
            <v>35024</v>
          </cell>
        </row>
        <row r="3357">
          <cell r="A3357" t="str">
            <v>BRUGINE</v>
          </cell>
          <cell r="B3357" t="str">
            <v>028015</v>
          </cell>
          <cell r="C3357" t="str">
            <v>PD</v>
          </cell>
          <cell r="D3357" t="str">
            <v>PD</v>
          </cell>
          <cell r="E3357" t="str">
            <v>35020</v>
          </cell>
        </row>
        <row r="3358">
          <cell r="A3358" t="str">
            <v>CADONEGHE</v>
          </cell>
          <cell r="B3358" t="str">
            <v>028016</v>
          </cell>
          <cell r="C3358" t="str">
            <v>PD</v>
          </cell>
          <cell r="D3358" t="str">
            <v>PD</v>
          </cell>
          <cell r="E3358" t="str">
            <v>35010</v>
          </cell>
        </row>
        <row r="3359">
          <cell r="A3359" t="str">
            <v>CAMPODARSEGO</v>
          </cell>
          <cell r="B3359" t="str">
            <v>028017</v>
          </cell>
          <cell r="C3359" t="str">
            <v>PD</v>
          </cell>
          <cell r="D3359" t="str">
            <v>PD</v>
          </cell>
          <cell r="E3359" t="str">
            <v>35011</v>
          </cell>
        </row>
        <row r="3360">
          <cell r="A3360" t="str">
            <v>CAMPODORO</v>
          </cell>
          <cell r="B3360" t="str">
            <v>028018</v>
          </cell>
          <cell r="C3360" t="str">
            <v>PD</v>
          </cell>
          <cell r="D3360" t="str">
            <v>PD</v>
          </cell>
          <cell r="E3360" t="str">
            <v>35010</v>
          </cell>
        </row>
        <row r="3361">
          <cell r="A3361" t="str">
            <v>CAMPOSAMPIERO</v>
          </cell>
          <cell r="B3361" t="str">
            <v>028019</v>
          </cell>
          <cell r="C3361" t="str">
            <v>PD</v>
          </cell>
          <cell r="D3361" t="str">
            <v>PD</v>
          </cell>
          <cell r="E3361" t="str">
            <v>35012</v>
          </cell>
        </row>
        <row r="3362">
          <cell r="A3362" t="str">
            <v>CAMPO SAN MARTINO</v>
          </cell>
          <cell r="B3362" t="str">
            <v>028020</v>
          </cell>
          <cell r="C3362" t="str">
            <v>PD</v>
          </cell>
          <cell r="D3362" t="str">
            <v>PD</v>
          </cell>
          <cell r="E3362" t="str">
            <v>35010</v>
          </cell>
        </row>
        <row r="3363">
          <cell r="A3363" t="str">
            <v>CANDIANA</v>
          </cell>
          <cell r="B3363" t="str">
            <v>028021</v>
          </cell>
          <cell r="C3363" t="str">
            <v>PD</v>
          </cell>
          <cell r="D3363" t="str">
            <v>PD</v>
          </cell>
          <cell r="E3363" t="str">
            <v>35020</v>
          </cell>
        </row>
        <row r="3364">
          <cell r="A3364" t="str">
            <v>CARCERI</v>
          </cell>
          <cell r="B3364" t="str">
            <v>028022</v>
          </cell>
          <cell r="C3364" t="str">
            <v>PD</v>
          </cell>
          <cell r="D3364" t="str">
            <v>PD</v>
          </cell>
          <cell r="E3364" t="str">
            <v>35040</v>
          </cell>
        </row>
        <row r="3365">
          <cell r="A3365" t="str">
            <v>CARMIGNANO DI BRENTA</v>
          </cell>
          <cell r="B3365" t="str">
            <v>028023</v>
          </cell>
          <cell r="C3365" t="str">
            <v>PD</v>
          </cell>
          <cell r="D3365" t="str">
            <v>PD</v>
          </cell>
          <cell r="E3365" t="str">
            <v>35010</v>
          </cell>
        </row>
        <row r="3366">
          <cell r="A3366" t="str">
            <v>CARTURA</v>
          </cell>
          <cell r="B3366" t="str">
            <v>028026</v>
          </cell>
          <cell r="C3366" t="str">
            <v>PD</v>
          </cell>
          <cell r="D3366" t="str">
            <v>PD</v>
          </cell>
          <cell r="E3366" t="str">
            <v>35025</v>
          </cell>
        </row>
        <row r="3367">
          <cell r="A3367" t="str">
            <v>CASALE DI SCODOSIA</v>
          </cell>
          <cell r="B3367" t="str">
            <v>028027</v>
          </cell>
          <cell r="C3367" t="str">
            <v>PD</v>
          </cell>
          <cell r="D3367" t="str">
            <v>PD</v>
          </cell>
          <cell r="E3367" t="str">
            <v>35040</v>
          </cell>
        </row>
        <row r="3368">
          <cell r="A3368" t="str">
            <v>CASALSERUGO</v>
          </cell>
          <cell r="B3368" t="str">
            <v>028028</v>
          </cell>
          <cell r="C3368" t="str">
            <v>PD</v>
          </cell>
          <cell r="D3368" t="str">
            <v>PD</v>
          </cell>
          <cell r="E3368" t="str">
            <v>35020</v>
          </cell>
        </row>
        <row r="3369">
          <cell r="A3369" t="str">
            <v>CASTELBALDO</v>
          </cell>
          <cell r="B3369" t="str">
            <v>028029</v>
          </cell>
          <cell r="C3369" t="str">
            <v>PD</v>
          </cell>
          <cell r="D3369" t="str">
            <v>PD</v>
          </cell>
          <cell r="E3369" t="str">
            <v>35040</v>
          </cell>
        </row>
        <row r="3370">
          <cell r="A3370" t="str">
            <v>CERVARESE SANTA CROCE</v>
          </cell>
          <cell r="B3370" t="str">
            <v>028030</v>
          </cell>
          <cell r="C3370" t="str">
            <v>PD</v>
          </cell>
          <cell r="D3370" t="str">
            <v>PD</v>
          </cell>
          <cell r="E3370" t="str">
            <v>35030</v>
          </cell>
        </row>
        <row r="3371">
          <cell r="A3371" t="str">
            <v>CINTO EUGANEO</v>
          </cell>
          <cell r="B3371" t="str">
            <v>028031</v>
          </cell>
          <cell r="C3371" t="str">
            <v>PD</v>
          </cell>
          <cell r="D3371" t="str">
            <v>PD</v>
          </cell>
          <cell r="E3371" t="str">
            <v>35030</v>
          </cell>
        </row>
        <row r="3372">
          <cell r="A3372" t="str">
            <v>CITTADELLA</v>
          </cell>
          <cell r="B3372" t="str">
            <v>028032</v>
          </cell>
          <cell r="C3372" t="str">
            <v>PD</v>
          </cell>
          <cell r="D3372" t="str">
            <v>PD</v>
          </cell>
          <cell r="E3372" t="str">
            <v>35013</v>
          </cell>
        </row>
        <row r="3373">
          <cell r="A3373" t="str">
            <v>CODEVIGO</v>
          </cell>
          <cell r="B3373" t="str">
            <v>028033</v>
          </cell>
          <cell r="C3373" t="str">
            <v>PD</v>
          </cell>
          <cell r="D3373" t="str">
            <v>PD</v>
          </cell>
          <cell r="E3373" t="str">
            <v>35020</v>
          </cell>
        </row>
        <row r="3374">
          <cell r="A3374" t="str">
            <v>CONSELVE</v>
          </cell>
          <cell r="B3374" t="str">
            <v>028034</v>
          </cell>
          <cell r="C3374" t="str">
            <v>PD</v>
          </cell>
          <cell r="D3374" t="str">
            <v>PD</v>
          </cell>
          <cell r="E3374" t="str">
            <v>35026</v>
          </cell>
        </row>
        <row r="3375">
          <cell r="A3375" t="str">
            <v>CORREZZOLA</v>
          </cell>
          <cell r="B3375" t="str">
            <v>028035</v>
          </cell>
          <cell r="C3375" t="str">
            <v>PD</v>
          </cell>
          <cell r="D3375" t="str">
            <v>PD</v>
          </cell>
          <cell r="E3375" t="str">
            <v>35020</v>
          </cell>
        </row>
        <row r="3376">
          <cell r="A3376" t="str">
            <v>CURTAROLO</v>
          </cell>
          <cell r="B3376" t="str">
            <v>028036</v>
          </cell>
          <cell r="C3376" t="str">
            <v>PD</v>
          </cell>
          <cell r="D3376" t="str">
            <v>PD</v>
          </cell>
          <cell r="E3376" t="str">
            <v>35010</v>
          </cell>
        </row>
        <row r="3377">
          <cell r="A3377" t="str">
            <v>ESTE</v>
          </cell>
          <cell r="B3377" t="str">
            <v>028037</v>
          </cell>
          <cell r="C3377" t="str">
            <v>PD</v>
          </cell>
          <cell r="D3377" t="str">
            <v>PD</v>
          </cell>
          <cell r="E3377" t="str">
            <v>35042</v>
          </cell>
        </row>
        <row r="3378">
          <cell r="A3378" t="str">
            <v>FONTANIVA</v>
          </cell>
          <cell r="B3378" t="str">
            <v>028038</v>
          </cell>
          <cell r="C3378" t="str">
            <v>PD</v>
          </cell>
          <cell r="D3378" t="str">
            <v>PD</v>
          </cell>
          <cell r="E3378" t="str">
            <v>35014</v>
          </cell>
        </row>
        <row r="3379">
          <cell r="A3379" t="str">
            <v>GALLIERA VENETA</v>
          </cell>
          <cell r="B3379" t="str">
            <v>028039</v>
          </cell>
          <cell r="C3379" t="str">
            <v>PD</v>
          </cell>
          <cell r="D3379" t="str">
            <v>PD</v>
          </cell>
          <cell r="E3379" t="str">
            <v>35015</v>
          </cell>
        </row>
        <row r="3380">
          <cell r="A3380" t="str">
            <v>GALZIGNANO TERME</v>
          </cell>
          <cell r="B3380" t="str">
            <v>028040</v>
          </cell>
          <cell r="C3380" t="str">
            <v>PD</v>
          </cell>
          <cell r="D3380" t="str">
            <v>PD</v>
          </cell>
          <cell r="E3380" t="str">
            <v>35030</v>
          </cell>
        </row>
        <row r="3381">
          <cell r="A3381" t="str">
            <v>GAZZO</v>
          </cell>
          <cell r="B3381" t="str">
            <v>028041</v>
          </cell>
          <cell r="C3381" t="str">
            <v>PD</v>
          </cell>
          <cell r="D3381" t="str">
            <v>PD</v>
          </cell>
          <cell r="E3381" t="str">
            <v>35010</v>
          </cell>
        </row>
        <row r="3382">
          <cell r="A3382" t="str">
            <v>GRANTORTO</v>
          </cell>
          <cell r="B3382" t="str">
            <v>028042</v>
          </cell>
          <cell r="C3382" t="str">
            <v>PD</v>
          </cell>
          <cell r="D3382" t="str">
            <v>PD</v>
          </cell>
          <cell r="E3382" t="str">
            <v>35010</v>
          </cell>
        </row>
        <row r="3383">
          <cell r="A3383" t="str">
            <v>GRANZE</v>
          </cell>
          <cell r="B3383" t="str">
            <v>028043</v>
          </cell>
          <cell r="C3383" t="str">
            <v>PD</v>
          </cell>
          <cell r="D3383" t="str">
            <v>PD</v>
          </cell>
          <cell r="E3383" t="str">
            <v>35040</v>
          </cell>
        </row>
        <row r="3384">
          <cell r="A3384" t="str">
            <v>LEGNARO</v>
          </cell>
          <cell r="B3384" t="str">
            <v>028044</v>
          </cell>
          <cell r="C3384" t="str">
            <v>PD</v>
          </cell>
          <cell r="D3384" t="str">
            <v>PD</v>
          </cell>
          <cell r="E3384" t="str">
            <v>35020</v>
          </cell>
        </row>
        <row r="3385">
          <cell r="A3385" t="str">
            <v>LIMENA</v>
          </cell>
          <cell r="B3385" t="str">
            <v>028045</v>
          </cell>
          <cell r="C3385" t="str">
            <v>PD</v>
          </cell>
          <cell r="D3385" t="str">
            <v>PD</v>
          </cell>
          <cell r="E3385" t="str">
            <v>35010</v>
          </cell>
        </row>
        <row r="3386">
          <cell r="A3386" t="str">
            <v>LOREGGIA</v>
          </cell>
          <cell r="B3386" t="str">
            <v>028046</v>
          </cell>
          <cell r="C3386" t="str">
            <v>PD</v>
          </cell>
          <cell r="D3386" t="str">
            <v>PD</v>
          </cell>
          <cell r="E3386" t="str">
            <v>35010</v>
          </cell>
        </row>
        <row r="3387">
          <cell r="A3387" t="str">
            <v>LOZZO ATESTINO</v>
          </cell>
          <cell r="B3387" t="str">
            <v>028047</v>
          </cell>
          <cell r="C3387" t="str">
            <v>PD</v>
          </cell>
          <cell r="D3387" t="str">
            <v>PD</v>
          </cell>
          <cell r="E3387" t="str">
            <v>35034</v>
          </cell>
        </row>
        <row r="3388">
          <cell r="A3388" t="str">
            <v>MASERÀ DI PADOVA</v>
          </cell>
          <cell r="B3388" t="str">
            <v>028048</v>
          </cell>
          <cell r="C3388" t="str">
            <v>PD</v>
          </cell>
          <cell r="D3388" t="str">
            <v>PD</v>
          </cell>
          <cell r="E3388" t="str">
            <v>35020</v>
          </cell>
        </row>
        <row r="3389">
          <cell r="A3389" t="str">
            <v>MASI</v>
          </cell>
          <cell r="B3389" t="str">
            <v>028049</v>
          </cell>
          <cell r="C3389" t="str">
            <v>PD</v>
          </cell>
          <cell r="D3389" t="str">
            <v>PD</v>
          </cell>
          <cell r="E3389" t="str">
            <v>35040</v>
          </cell>
        </row>
        <row r="3390">
          <cell r="A3390" t="str">
            <v>MASSANZAGO</v>
          </cell>
          <cell r="B3390" t="str">
            <v>028050</v>
          </cell>
          <cell r="C3390" t="str">
            <v>PD</v>
          </cell>
          <cell r="D3390" t="str">
            <v>PD</v>
          </cell>
          <cell r="E3390" t="str">
            <v>35010</v>
          </cell>
        </row>
        <row r="3391">
          <cell r="A3391" t="str">
            <v>MEGLIADINO SAN VITALE</v>
          </cell>
          <cell r="B3391" t="str">
            <v>028052</v>
          </cell>
          <cell r="C3391" t="str">
            <v>PD</v>
          </cell>
          <cell r="D3391" t="str">
            <v>PD</v>
          </cell>
          <cell r="E3391" t="str">
            <v>35040</v>
          </cell>
        </row>
        <row r="3392">
          <cell r="A3392" t="str">
            <v>MERLARA</v>
          </cell>
          <cell r="B3392" t="str">
            <v>028053</v>
          </cell>
          <cell r="C3392" t="str">
            <v>PD</v>
          </cell>
          <cell r="D3392" t="str">
            <v>PD</v>
          </cell>
          <cell r="E3392" t="str">
            <v>35040</v>
          </cell>
        </row>
        <row r="3393">
          <cell r="A3393" t="str">
            <v>MESTRINO</v>
          </cell>
          <cell r="B3393" t="str">
            <v>028054</v>
          </cell>
          <cell r="C3393" t="str">
            <v>PD</v>
          </cell>
          <cell r="D3393" t="str">
            <v>PD</v>
          </cell>
          <cell r="E3393" t="str">
            <v>35035</v>
          </cell>
        </row>
        <row r="3394">
          <cell r="A3394" t="str">
            <v>MONSELICE</v>
          </cell>
          <cell r="B3394" t="str">
            <v>028055</v>
          </cell>
          <cell r="C3394" t="str">
            <v>PD</v>
          </cell>
          <cell r="D3394" t="str">
            <v>PD</v>
          </cell>
          <cell r="E3394" t="str">
            <v>35043</v>
          </cell>
        </row>
        <row r="3395">
          <cell r="A3395" t="str">
            <v>MONTAGNANA</v>
          </cell>
          <cell r="B3395" t="str">
            <v>028056</v>
          </cell>
          <cell r="C3395" t="str">
            <v>PD</v>
          </cell>
          <cell r="D3395" t="str">
            <v>PD</v>
          </cell>
          <cell r="E3395" t="str">
            <v>35044</v>
          </cell>
        </row>
        <row r="3396">
          <cell r="A3396" t="str">
            <v>MONTEGROTTO TERME</v>
          </cell>
          <cell r="B3396" t="str">
            <v>028057</v>
          </cell>
          <cell r="C3396" t="str">
            <v>PD</v>
          </cell>
          <cell r="D3396" t="str">
            <v>PD</v>
          </cell>
          <cell r="E3396" t="str">
            <v>35036</v>
          </cell>
        </row>
        <row r="3397">
          <cell r="A3397" t="str">
            <v>NOVENTA PADOVANA</v>
          </cell>
          <cell r="B3397" t="str">
            <v>028058</v>
          </cell>
          <cell r="C3397" t="str">
            <v>PD</v>
          </cell>
          <cell r="D3397" t="str">
            <v>PD</v>
          </cell>
          <cell r="E3397" t="str">
            <v>35027</v>
          </cell>
        </row>
        <row r="3398">
          <cell r="A3398" t="str">
            <v>OSPEDALETTO EUGANEO</v>
          </cell>
          <cell r="B3398" t="str">
            <v>028059</v>
          </cell>
          <cell r="C3398" t="str">
            <v>PD</v>
          </cell>
          <cell r="D3398" t="str">
            <v>PD</v>
          </cell>
          <cell r="E3398" t="str">
            <v>35045</v>
          </cell>
        </row>
        <row r="3399">
          <cell r="A3399" t="str">
            <v>PADOVA</v>
          </cell>
          <cell r="B3399" t="str">
            <v>028060</v>
          </cell>
          <cell r="C3399" t="str">
            <v>PD</v>
          </cell>
          <cell r="D3399" t="str">
            <v>PD</v>
          </cell>
          <cell r="E3399" t="str">
            <v>351xx</v>
          </cell>
        </row>
        <row r="3400">
          <cell r="A3400" t="str">
            <v>PERNUMIA</v>
          </cell>
          <cell r="B3400" t="str">
            <v>028061</v>
          </cell>
          <cell r="C3400" t="str">
            <v>PD</v>
          </cell>
          <cell r="D3400" t="str">
            <v>PD</v>
          </cell>
          <cell r="E3400" t="str">
            <v>35020</v>
          </cell>
        </row>
        <row r="3401">
          <cell r="A3401" t="str">
            <v>PIACENZA D'ADIGE</v>
          </cell>
          <cell r="B3401" t="str">
            <v>028062</v>
          </cell>
          <cell r="C3401" t="str">
            <v>PD</v>
          </cell>
          <cell r="D3401" t="str">
            <v>PD</v>
          </cell>
          <cell r="E3401" t="str">
            <v>35040</v>
          </cell>
        </row>
        <row r="3402">
          <cell r="A3402" t="str">
            <v>PIAZZOLA SUL BRENTA</v>
          </cell>
          <cell r="B3402" t="str">
            <v>028063</v>
          </cell>
          <cell r="C3402" t="str">
            <v>PD</v>
          </cell>
          <cell r="D3402" t="str">
            <v>PD</v>
          </cell>
          <cell r="E3402" t="str">
            <v>35016</v>
          </cell>
        </row>
        <row r="3403">
          <cell r="A3403" t="str">
            <v>PIOMBINO DESE</v>
          </cell>
          <cell r="B3403" t="str">
            <v>028064</v>
          </cell>
          <cell r="C3403" t="str">
            <v>PD</v>
          </cell>
          <cell r="D3403" t="str">
            <v>PD</v>
          </cell>
          <cell r="E3403" t="str">
            <v>35017</v>
          </cell>
        </row>
        <row r="3404">
          <cell r="A3404" t="str">
            <v>PIOVE DI SACCO</v>
          </cell>
          <cell r="B3404" t="str">
            <v>028065</v>
          </cell>
          <cell r="C3404" t="str">
            <v>PD</v>
          </cell>
          <cell r="D3404" t="str">
            <v>PD</v>
          </cell>
          <cell r="E3404" t="str">
            <v>35028</v>
          </cell>
        </row>
        <row r="3405">
          <cell r="A3405" t="str">
            <v>POLVERARA</v>
          </cell>
          <cell r="B3405" t="str">
            <v>028066</v>
          </cell>
          <cell r="C3405" t="str">
            <v>PD</v>
          </cell>
          <cell r="D3405" t="str">
            <v>PD</v>
          </cell>
          <cell r="E3405" t="str">
            <v>35020</v>
          </cell>
        </row>
        <row r="3406">
          <cell r="A3406" t="str">
            <v>PONSO</v>
          </cell>
          <cell r="B3406" t="str">
            <v>028067</v>
          </cell>
          <cell r="C3406" t="str">
            <v>PD</v>
          </cell>
          <cell r="D3406" t="str">
            <v>PD</v>
          </cell>
          <cell r="E3406" t="str">
            <v>35040</v>
          </cell>
        </row>
        <row r="3407">
          <cell r="A3407" t="str">
            <v>PONTELONGO</v>
          </cell>
          <cell r="B3407" t="str">
            <v>028068</v>
          </cell>
          <cell r="C3407" t="str">
            <v>PD</v>
          </cell>
          <cell r="D3407" t="str">
            <v>PD</v>
          </cell>
          <cell r="E3407" t="str">
            <v>35029</v>
          </cell>
        </row>
        <row r="3408">
          <cell r="A3408" t="str">
            <v>PONTE SAN NICOLÒ</v>
          </cell>
          <cell r="B3408" t="str">
            <v>028069</v>
          </cell>
          <cell r="C3408" t="str">
            <v>PD</v>
          </cell>
          <cell r="D3408" t="str">
            <v>PD</v>
          </cell>
          <cell r="E3408" t="str">
            <v>35020</v>
          </cell>
        </row>
        <row r="3409">
          <cell r="A3409" t="str">
            <v>POZZONOVO</v>
          </cell>
          <cell r="B3409" t="str">
            <v>028070</v>
          </cell>
          <cell r="C3409" t="str">
            <v>PD</v>
          </cell>
          <cell r="D3409" t="str">
            <v>PD</v>
          </cell>
          <cell r="E3409" t="str">
            <v>35020</v>
          </cell>
        </row>
        <row r="3410">
          <cell r="A3410" t="str">
            <v>ROVOLON</v>
          </cell>
          <cell r="B3410" t="str">
            <v>028071</v>
          </cell>
          <cell r="C3410" t="str">
            <v>PD</v>
          </cell>
          <cell r="D3410" t="str">
            <v>PD</v>
          </cell>
          <cell r="E3410" t="str">
            <v>35030</v>
          </cell>
        </row>
        <row r="3411">
          <cell r="A3411" t="str">
            <v>RUBANO</v>
          </cell>
          <cell r="B3411" t="str">
            <v>028072</v>
          </cell>
          <cell r="C3411" t="str">
            <v>PD</v>
          </cell>
          <cell r="D3411" t="str">
            <v>PD</v>
          </cell>
          <cell r="E3411" t="str">
            <v>35030</v>
          </cell>
        </row>
        <row r="3412">
          <cell r="A3412" t="str">
            <v>SACCOLONGO</v>
          </cell>
          <cell r="B3412" t="str">
            <v>028073</v>
          </cell>
          <cell r="C3412" t="str">
            <v>PD</v>
          </cell>
          <cell r="D3412" t="str">
            <v>PD</v>
          </cell>
          <cell r="E3412" t="str">
            <v>35030</v>
          </cell>
        </row>
        <row r="3413">
          <cell r="A3413" t="str">
            <v>SAN GIORGIO DELLE PERTICHE</v>
          </cell>
          <cell r="B3413" t="str">
            <v>028075</v>
          </cell>
          <cell r="C3413" t="str">
            <v>PD</v>
          </cell>
          <cell r="D3413" t="str">
            <v>PD</v>
          </cell>
          <cell r="E3413" t="str">
            <v>35010</v>
          </cell>
        </row>
        <row r="3414">
          <cell r="A3414" t="str">
            <v>SAN GIORGIO IN BOSCO</v>
          </cell>
          <cell r="B3414" t="str">
            <v>028076</v>
          </cell>
          <cell r="C3414" t="str">
            <v>PD</v>
          </cell>
          <cell r="D3414" t="str">
            <v>PD</v>
          </cell>
          <cell r="E3414" t="str">
            <v>35010</v>
          </cell>
        </row>
        <row r="3415">
          <cell r="A3415" t="str">
            <v>SAN MARTINO DI LUPARI</v>
          </cell>
          <cell r="B3415" t="str">
            <v>028077</v>
          </cell>
          <cell r="C3415" t="str">
            <v>PD</v>
          </cell>
          <cell r="D3415" t="str">
            <v>PD</v>
          </cell>
          <cell r="E3415" t="str">
            <v>35018</v>
          </cell>
        </row>
        <row r="3416">
          <cell r="A3416" t="str">
            <v>SAN PIETRO IN GU</v>
          </cell>
          <cell r="B3416" t="str">
            <v>028078</v>
          </cell>
          <cell r="C3416" t="str">
            <v>PD</v>
          </cell>
          <cell r="D3416" t="str">
            <v>PD</v>
          </cell>
          <cell r="E3416" t="str">
            <v>35010</v>
          </cell>
        </row>
        <row r="3417">
          <cell r="A3417" t="str">
            <v>SAN PIETRO VIMINARIO</v>
          </cell>
          <cell r="B3417" t="str">
            <v>028079</v>
          </cell>
          <cell r="C3417" t="str">
            <v>PD</v>
          </cell>
          <cell r="D3417" t="str">
            <v>PD</v>
          </cell>
          <cell r="E3417" t="str">
            <v>35020</v>
          </cell>
        </row>
        <row r="3418">
          <cell r="A3418" t="str">
            <v>SANTA GIUSTINA IN COLLE</v>
          </cell>
          <cell r="B3418" t="str">
            <v>028080</v>
          </cell>
          <cell r="C3418" t="str">
            <v>PD</v>
          </cell>
          <cell r="D3418" t="str">
            <v>PD</v>
          </cell>
          <cell r="E3418" t="str">
            <v>35010</v>
          </cell>
        </row>
        <row r="3419">
          <cell r="A3419" t="str">
            <v>SANT'ANGELO DI PIOVE DI SACCO</v>
          </cell>
          <cell r="B3419" t="str">
            <v>028082</v>
          </cell>
          <cell r="C3419" t="str">
            <v>PD</v>
          </cell>
          <cell r="D3419" t="str">
            <v>PD</v>
          </cell>
          <cell r="E3419" t="str">
            <v>35020</v>
          </cell>
        </row>
        <row r="3420">
          <cell r="A3420" t="str">
            <v>SANT'ELENA</v>
          </cell>
          <cell r="B3420" t="str">
            <v>028083</v>
          </cell>
          <cell r="C3420" t="str">
            <v>PD</v>
          </cell>
          <cell r="D3420" t="str">
            <v>PD</v>
          </cell>
          <cell r="E3420" t="str">
            <v>35040</v>
          </cell>
        </row>
        <row r="3421">
          <cell r="A3421" t="str">
            <v>SANT'URBANO</v>
          </cell>
          <cell r="B3421" t="str">
            <v>028084</v>
          </cell>
          <cell r="C3421" t="str">
            <v>PD</v>
          </cell>
          <cell r="D3421" t="str">
            <v>PD</v>
          </cell>
          <cell r="E3421" t="str">
            <v>35040</v>
          </cell>
        </row>
        <row r="3422">
          <cell r="A3422" t="str">
            <v>SAONARA</v>
          </cell>
          <cell r="B3422" t="str">
            <v>028085</v>
          </cell>
          <cell r="C3422" t="str">
            <v>PD</v>
          </cell>
          <cell r="D3422" t="str">
            <v>PD</v>
          </cell>
          <cell r="E3422" t="str">
            <v>35020</v>
          </cell>
        </row>
        <row r="3423">
          <cell r="A3423" t="str">
            <v>SELVAZZANO DENTRO</v>
          </cell>
          <cell r="B3423" t="str">
            <v>028086</v>
          </cell>
          <cell r="C3423" t="str">
            <v>PD</v>
          </cell>
          <cell r="D3423" t="str">
            <v>PD</v>
          </cell>
          <cell r="E3423" t="str">
            <v>35030</v>
          </cell>
        </row>
        <row r="3424">
          <cell r="A3424" t="str">
            <v>SOLESINO</v>
          </cell>
          <cell r="B3424" t="str">
            <v>028087</v>
          </cell>
          <cell r="C3424" t="str">
            <v>PD</v>
          </cell>
          <cell r="D3424" t="str">
            <v>PD</v>
          </cell>
          <cell r="E3424" t="str">
            <v>35047</v>
          </cell>
        </row>
        <row r="3425">
          <cell r="A3425" t="str">
            <v>STANGHELLA</v>
          </cell>
          <cell r="B3425" t="str">
            <v>028088</v>
          </cell>
          <cell r="C3425" t="str">
            <v>PD</v>
          </cell>
          <cell r="D3425" t="str">
            <v>PD</v>
          </cell>
          <cell r="E3425" t="str">
            <v>35048</v>
          </cell>
        </row>
        <row r="3426">
          <cell r="A3426" t="str">
            <v>TEOLO</v>
          </cell>
          <cell r="B3426" t="str">
            <v>028089</v>
          </cell>
          <cell r="C3426" t="str">
            <v>PD</v>
          </cell>
          <cell r="D3426" t="str">
            <v>PD</v>
          </cell>
          <cell r="E3426" t="str">
            <v>35037</v>
          </cell>
        </row>
        <row r="3427">
          <cell r="A3427" t="str">
            <v>TERRASSA PADOVANA</v>
          </cell>
          <cell r="B3427" t="str">
            <v>028090</v>
          </cell>
          <cell r="C3427" t="str">
            <v>PD</v>
          </cell>
          <cell r="D3427" t="str">
            <v>PD</v>
          </cell>
          <cell r="E3427" t="str">
            <v>35020</v>
          </cell>
        </row>
        <row r="3428">
          <cell r="A3428" t="str">
            <v>TOMBOLO</v>
          </cell>
          <cell r="B3428" t="str">
            <v>028091</v>
          </cell>
          <cell r="C3428" t="str">
            <v>PD</v>
          </cell>
          <cell r="D3428" t="str">
            <v>PD</v>
          </cell>
          <cell r="E3428" t="str">
            <v>35019</v>
          </cell>
        </row>
        <row r="3429">
          <cell r="A3429" t="str">
            <v>TORREGLIA</v>
          </cell>
          <cell r="B3429" t="str">
            <v>028092</v>
          </cell>
          <cell r="C3429" t="str">
            <v>PD</v>
          </cell>
          <cell r="D3429" t="str">
            <v>PD</v>
          </cell>
          <cell r="E3429" t="str">
            <v>35038</v>
          </cell>
        </row>
        <row r="3430">
          <cell r="A3430" t="str">
            <v>TREBASELEGHE</v>
          </cell>
          <cell r="B3430" t="str">
            <v>028093</v>
          </cell>
          <cell r="C3430" t="str">
            <v>PD</v>
          </cell>
          <cell r="D3430" t="str">
            <v>PD</v>
          </cell>
          <cell r="E3430" t="str">
            <v>35010</v>
          </cell>
        </row>
        <row r="3431">
          <cell r="A3431" t="str">
            <v>TRIBANO</v>
          </cell>
          <cell r="B3431" t="str">
            <v>028094</v>
          </cell>
          <cell r="C3431" t="str">
            <v>PD</v>
          </cell>
          <cell r="D3431" t="str">
            <v>PD</v>
          </cell>
          <cell r="E3431" t="str">
            <v>35020</v>
          </cell>
        </row>
        <row r="3432">
          <cell r="A3432" t="str">
            <v>URBANA</v>
          </cell>
          <cell r="B3432" t="str">
            <v>028095</v>
          </cell>
          <cell r="C3432" t="str">
            <v>PD</v>
          </cell>
          <cell r="D3432" t="str">
            <v>PD</v>
          </cell>
          <cell r="E3432" t="str">
            <v>35040</v>
          </cell>
        </row>
        <row r="3433">
          <cell r="A3433" t="str">
            <v>VEGGIANO</v>
          </cell>
          <cell r="B3433" t="str">
            <v>028096</v>
          </cell>
          <cell r="C3433" t="str">
            <v>PD</v>
          </cell>
          <cell r="D3433" t="str">
            <v>PD</v>
          </cell>
          <cell r="E3433" t="str">
            <v>35030</v>
          </cell>
        </row>
        <row r="3434">
          <cell r="A3434" t="str">
            <v>VESCOVANA</v>
          </cell>
          <cell r="B3434" t="str">
            <v>028097</v>
          </cell>
          <cell r="C3434" t="str">
            <v>PD</v>
          </cell>
          <cell r="D3434" t="str">
            <v>PD</v>
          </cell>
          <cell r="E3434" t="str">
            <v>35040</v>
          </cell>
        </row>
        <row r="3435">
          <cell r="A3435" t="str">
            <v>VIGHIZZOLO D'ESTE</v>
          </cell>
          <cell r="B3435" t="str">
            <v>028098</v>
          </cell>
          <cell r="C3435" t="str">
            <v>PD</v>
          </cell>
          <cell r="D3435" t="str">
            <v>PD</v>
          </cell>
          <cell r="E3435" t="str">
            <v>35040</v>
          </cell>
        </row>
        <row r="3436">
          <cell r="A3436" t="str">
            <v>VIGODARZERE</v>
          </cell>
          <cell r="B3436" t="str">
            <v>028099</v>
          </cell>
          <cell r="C3436" t="str">
            <v>PD</v>
          </cell>
          <cell r="D3436" t="str">
            <v>PD</v>
          </cell>
          <cell r="E3436" t="str">
            <v>35010</v>
          </cell>
        </row>
        <row r="3437">
          <cell r="A3437" t="str">
            <v>VIGONZA</v>
          </cell>
          <cell r="B3437" t="str">
            <v>028100</v>
          </cell>
          <cell r="C3437" t="str">
            <v>PD</v>
          </cell>
          <cell r="D3437" t="str">
            <v>PD</v>
          </cell>
          <cell r="E3437" t="str">
            <v>35010</v>
          </cell>
        </row>
        <row r="3438">
          <cell r="A3438" t="str">
            <v>VILLA DEL CONTE</v>
          </cell>
          <cell r="B3438" t="str">
            <v>028101</v>
          </cell>
          <cell r="C3438" t="str">
            <v>PD</v>
          </cell>
          <cell r="D3438" t="str">
            <v>PD</v>
          </cell>
          <cell r="E3438" t="str">
            <v>35010</v>
          </cell>
        </row>
        <row r="3439">
          <cell r="A3439" t="str">
            <v>VILLA ESTENSE</v>
          </cell>
          <cell r="B3439" t="str">
            <v>028102</v>
          </cell>
          <cell r="C3439" t="str">
            <v>PD</v>
          </cell>
          <cell r="D3439" t="str">
            <v>PD</v>
          </cell>
          <cell r="E3439" t="str">
            <v>35040</v>
          </cell>
        </row>
        <row r="3440">
          <cell r="A3440" t="str">
            <v>VILLAFRANCA PADOVANA</v>
          </cell>
          <cell r="B3440" t="str">
            <v>028103</v>
          </cell>
          <cell r="C3440" t="str">
            <v>PD</v>
          </cell>
          <cell r="D3440" t="str">
            <v>PD</v>
          </cell>
          <cell r="E3440" t="str">
            <v>35010</v>
          </cell>
        </row>
        <row r="3441">
          <cell r="A3441" t="str">
            <v>VILLANOVA DI CAMPOSAMPIERO</v>
          </cell>
          <cell r="B3441" t="str">
            <v>028104</v>
          </cell>
          <cell r="C3441" t="str">
            <v>PD</v>
          </cell>
          <cell r="D3441" t="str">
            <v>PD</v>
          </cell>
          <cell r="E3441" t="str">
            <v>35010</v>
          </cell>
        </row>
        <row r="3442">
          <cell r="A3442" t="str">
            <v>VO'</v>
          </cell>
          <cell r="B3442" t="str">
            <v>028105</v>
          </cell>
          <cell r="C3442" t="str">
            <v>PD</v>
          </cell>
          <cell r="D3442" t="str">
            <v>PD</v>
          </cell>
          <cell r="E3442" t="str">
            <v>35030</v>
          </cell>
        </row>
        <row r="3443">
          <cell r="A3443" t="str">
            <v>DUE CARRARE</v>
          </cell>
          <cell r="B3443" t="str">
            <v>028106</v>
          </cell>
          <cell r="C3443" t="str">
            <v>PD</v>
          </cell>
          <cell r="D3443" t="str">
            <v>PD</v>
          </cell>
          <cell r="E3443" t="str">
            <v>35020</v>
          </cell>
        </row>
        <row r="3444">
          <cell r="A3444" t="str">
            <v>BORGO VENETO</v>
          </cell>
          <cell r="B3444" t="str">
            <v>028107</v>
          </cell>
          <cell r="C3444" t="str">
            <v>PD</v>
          </cell>
          <cell r="D3444" t="e">
            <v>#N/A</v>
          </cell>
          <cell r="E3444" t="e">
            <v>#N/A</v>
          </cell>
        </row>
        <row r="3445">
          <cell r="A3445" t="str">
            <v>ADRIA</v>
          </cell>
          <cell r="B3445" t="str">
            <v>029001</v>
          </cell>
          <cell r="C3445" t="str">
            <v>RO</v>
          </cell>
          <cell r="D3445" t="str">
            <v>RO</v>
          </cell>
          <cell r="E3445" t="str">
            <v>45011</v>
          </cell>
        </row>
        <row r="3446">
          <cell r="A3446" t="str">
            <v>ARIANO NEL POLESINE</v>
          </cell>
          <cell r="B3446" t="str">
            <v>029002</v>
          </cell>
          <cell r="C3446" t="str">
            <v>RO</v>
          </cell>
          <cell r="D3446" t="str">
            <v>RO</v>
          </cell>
          <cell r="E3446" t="str">
            <v>45012</v>
          </cell>
        </row>
        <row r="3447">
          <cell r="A3447" t="str">
            <v>ARQUÀ POLESINE</v>
          </cell>
          <cell r="B3447" t="str">
            <v>029003</v>
          </cell>
          <cell r="C3447" t="str">
            <v>RO</v>
          </cell>
          <cell r="D3447" t="str">
            <v>RO</v>
          </cell>
          <cell r="E3447" t="str">
            <v>45031</v>
          </cell>
        </row>
        <row r="3448">
          <cell r="A3448" t="str">
            <v>BADIA POLESINE</v>
          </cell>
          <cell r="B3448" t="str">
            <v>029004</v>
          </cell>
          <cell r="C3448" t="str">
            <v>RO</v>
          </cell>
          <cell r="D3448" t="str">
            <v>RO</v>
          </cell>
          <cell r="E3448" t="str">
            <v>45021</v>
          </cell>
        </row>
        <row r="3449">
          <cell r="A3449" t="str">
            <v>BAGNOLO DI PO</v>
          </cell>
          <cell r="B3449" t="str">
            <v>029005</v>
          </cell>
          <cell r="C3449" t="str">
            <v>RO</v>
          </cell>
          <cell r="D3449" t="str">
            <v>RO</v>
          </cell>
          <cell r="E3449" t="str">
            <v>45022</v>
          </cell>
        </row>
        <row r="3450">
          <cell r="A3450" t="str">
            <v>BERGANTINO</v>
          </cell>
          <cell r="B3450" t="str">
            <v>029006</v>
          </cell>
          <cell r="C3450" t="str">
            <v>RO</v>
          </cell>
          <cell r="D3450" t="str">
            <v>RO</v>
          </cell>
          <cell r="E3450" t="str">
            <v>45032</v>
          </cell>
        </row>
        <row r="3451">
          <cell r="A3451" t="str">
            <v>BOSARO</v>
          </cell>
          <cell r="B3451" t="str">
            <v>029007</v>
          </cell>
          <cell r="C3451" t="str">
            <v>RO</v>
          </cell>
          <cell r="D3451" t="str">
            <v>RO</v>
          </cell>
          <cell r="E3451" t="str">
            <v>45033</v>
          </cell>
        </row>
        <row r="3452">
          <cell r="A3452" t="str">
            <v>CALTO</v>
          </cell>
          <cell r="B3452" t="str">
            <v>029008</v>
          </cell>
          <cell r="C3452" t="str">
            <v>RO</v>
          </cell>
          <cell r="D3452" t="str">
            <v>RO</v>
          </cell>
          <cell r="E3452" t="str">
            <v>45030</v>
          </cell>
        </row>
        <row r="3453">
          <cell r="A3453" t="str">
            <v>CANARO</v>
          </cell>
          <cell r="B3453" t="str">
            <v>029009</v>
          </cell>
          <cell r="C3453" t="str">
            <v>RO</v>
          </cell>
          <cell r="D3453" t="str">
            <v>RO</v>
          </cell>
          <cell r="E3453" t="str">
            <v>45034</v>
          </cell>
        </row>
        <row r="3454">
          <cell r="A3454" t="str">
            <v>CANDA</v>
          </cell>
          <cell r="B3454" t="str">
            <v>029010</v>
          </cell>
          <cell r="C3454" t="str">
            <v>RO</v>
          </cell>
          <cell r="D3454" t="str">
            <v>RO</v>
          </cell>
          <cell r="E3454" t="str">
            <v>45020</v>
          </cell>
        </row>
        <row r="3455">
          <cell r="A3455" t="str">
            <v>CASTELGUGLIELMO</v>
          </cell>
          <cell r="B3455" t="str">
            <v>029011</v>
          </cell>
          <cell r="C3455" t="str">
            <v>RO</v>
          </cell>
          <cell r="D3455" t="str">
            <v>RO</v>
          </cell>
          <cell r="E3455" t="str">
            <v>45020</v>
          </cell>
        </row>
        <row r="3456">
          <cell r="A3456" t="str">
            <v>CASTELMASSA</v>
          </cell>
          <cell r="B3456" t="str">
            <v>029012</v>
          </cell>
          <cell r="C3456" t="str">
            <v>RO</v>
          </cell>
          <cell r="D3456" t="str">
            <v>RO</v>
          </cell>
          <cell r="E3456" t="str">
            <v>45035</v>
          </cell>
        </row>
        <row r="3457">
          <cell r="A3457" t="str">
            <v>CASTELNOVO BARIANO</v>
          </cell>
          <cell r="B3457" t="str">
            <v>029013</v>
          </cell>
          <cell r="C3457" t="str">
            <v>RO</v>
          </cell>
          <cell r="D3457" t="str">
            <v>RO</v>
          </cell>
          <cell r="E3457" t="str">
            <v>45030</v>
          </cell>
        </row>
        <row r="3458">
          <cell r="A3458" t="str">
            <v>CENESELLI</v>
          </cell>
          <cell r="B3458" t="str">
            <v>029014</v>
          </cell>
          <cell r="C3458" t="str">
            <v>RO</v>
          </cell>
          <cell r="D3458" t="str">
            <v>RO</v>
          </cell>
          <cell r="E3458" t="str">
            <v>45030</v>
          </cell>
        </row>
        <row r="3459">
          <cell r="A3459" t="str">
            <v>CEREGNANO</v>
          </cell>
          <cell r="B3459" t="str">
            <v>029015</v>
          </cell>
          <cell r="C3459" t="str">
            <v>RO</v>
          </cell>
          <cell r="D3459" t="str">
            <v>RO</v>
          </cell>
          <cell r="E3459" t="str">
            <v>45010</v>
          </cell>
        </row>
        <row r="3460">
          <cell r="A3460" t="str">
            <v>CORBOLA</v>
          </cell>
          <cell r="B3460" t="str">
            <v>029017</v>
          </cell>
          <cell r="C3460" t="str">
            <v>RO</v>
          </cell>
          <cell r="D3460" t="str">
            <v>RO</v>
          </cell>
          <cell r="E3460" t="str">
            <v>45015</v>
          </cell>
        </row>
        <row r="3461">
          <cell r="A3461" t="str">
            <v>COSTA DI ROVIGO</v>
          </cell>
          <cell r="B3461" t="str">
            <v>029018</v>
          </cell>
          <cell r="C3461" t="str">
            <v>RO</v>
          </cell>
          <cell r="D3461" t="str">
            <v>RO</v>
          </cell>
          <cell r="E3461" t="str">
            <v>45023</v>
          </cell>
        </row>
        <row r="3462">
          <cell r="A3462" t="str">
            <v>CRESPINO</v>
          </cell>
          <cell r="B3462" t="str">
            <v>029019</v>
          </cell>
          <cell r="C3462" t="str">
            <v>RO</v>
          </cell>
          <cell r="D3462" t="str">
            <v>RO</v>
          </cell>
          <cell r="E3462" t="str">
            <v>45030</v>
          </cell>
        </row>
        <row r="3463">
          <cell r="A3463" t="str">
            <v>FICAROLO</v>
          </cell>
          <cell r="B3463" t="str">
            <v>029021</v>
          </cell>
          <cell r="C3463" t="str">
            <v>RO</v>
          </cell>
          <cell r="D3463" t="str">
            <v>RO</v>
          </cell>
          <cell r="E3463" t="str">
            <v>45036</v>
          </cell>
        </row>
        <row r="3464">
          <cell r="A3464" t="str">
            <v>FIESSO UMBERTIANO</v>
          </cell>
          <cell r="B3464" t="str">
            <v>029022</v>
          </cell>
          <cell r="C3464" t="str">
            <v>RO</v>
          </cell>
          <cell r="D3464" t="str">
            <v>RO</v>
          </cell>
          <cell r="E3464" t="str">
            <v>45024</v>
          </cell>
        </row>
        <row r="3465">
          <cell r="A3465" t="str">
            <v>FRASSINELLE POLESINE</v>
          </cell>
          <cell r="B3465" t="str">
            <v>029023</v>
          </cell>
          <cell r="C3465" t="str">
            <v>RO</v>
          </cell>
          <cell r="D3465" t="str">
            <v>RO</v>
          </cell>
          <cell r="E3465" t="str">
            <v>45030</v>
          </cell>
        </row>
        <row r="3466">
          <cell r="A3466" t="str">
            <v>FRATTA POLESINE</v>
          </cell>
          <cell r="B3466" t="str">
            <v>029024</v>
          </cell>
          <cell r="C3466" t="str">
            <v>RO</v>
          </cell>
          <cell r="D3466" t="str">
            <v>RO</v>
          </cell>
          <cell r="E3466" t="str">
            <v>45025</v>
          </cell>
        </row>
        <row r="3467">
          <cell r="A3467" t="str">
            <v>GAIBA</v>
          </cell>
          <cell r="B3467" t="str">
            <v>029025</v>
          </cell>
          <cell r="C3467" t="str">
            <v>RO</v>
          </cell>
          <cell r="D3467" t="str">
            <v>RO</v>
          </cell>
          <cell r="E3467" t="str">
            <v>45030</v>
          </cell>
        </row>
        <row r="3468">
          <cell r="A3468" t="str">
            <v>GAVELLO</v>
          </cell>
          <cell r="B3468" t="str">
            <v>029026</v>
          </cell>
          <cell r="C3468" t="str">
            <v>RO</v>
          </cell>
          <cell r="D3468" t="str">
            <v>RO</v>
          </cell>
          <cell r="E3468" t="str">
            <v>45010</v>
          </cell>
        </row>
        <row r="3469">
          <cell r="A3469" t="str">
            <v>GIACCIANO CON BARUCHELLA</v>
          </cell>
          <cell r="B3469" t="str">
            <v>029027</v>
          </cell>
          <cell r="C3469" t="str">
            <v>RO</v>
          </cell>
          <cell r="D3469" t="str">
            <v>RO</v>
          </cell>
          <cell r="E3469" t="str">
            <v>45020</v>
          </cell>
        </row>
        <row r="3470">
          <cell r="A3470" t="str">
            <v>GUARDA VENETA</v>
          </cell>
          <cell r="B3470" t="str">
            <v>029028</v>
          </cell>
          <cell r="C3470" t="str">
            <v>RO</v>
          </cell>
          <cell r="D3470" t="str">
            <v>RO</v>
          </cell>
          <cell r="E3470" t="str">
            <v>45030</v>
          </cell>
        </row>
        <row r="3471">
          <cell r="A3471" t="str">
            <v>LENDINARA</v>
          </cell>
          <cell r="B3471" t="str">
            <v>029029</v>
          </cell>
          <cell r="C3471" t="str">
            <v>RO</v>
          </cell>
          <cell r="D3471" t="str">
            <v>RO</v>
          </cell>
          <cell r="E3471" t="str">
            <v>45026</v>
          </cell>
        </row>
        <row r="3472">
          <cell r="A3472" t="str">
            <v>LOREO</v>
          </cell>
          <cell r="B3472" t="str">
            <v>029030</v>
          </cell>
          <cell r="C3472" t="str">
            <v>RO</v>
          </cell>
          <cell r="D3472" t="str">
            <v>RO</v>
          </cell>
          <cell r="E3472" t="str">
            <v>45017</v>
          </cell>
        </row>
        <row r="3473">
          <cell r="A3473" t="str">
            <v>LUSIA</v>
          </cell>
          <cell r="B3473" t="str">
            <v>029031</v>
          </cell>
          <cell r="C3473" t="str">
            <v>RO</v>
          </cell>
          <cell r="D3473" t="str">
            <v>RO</v>
          </cell>
          <cell r="E3473" t="str">
            <v>45020</v>
          </cell>
        </row>
        <row r="3474">
          <cell r="A3474" t="str">
            <v>MELARA</v>
          </cell>
          <cell r="B3474" t="str">
            <v>029032</v>
          </cell>
          <cell r="C3474" t="str">
            <v>RO</v>
          </cell>
          <cell r="D3474" t="str">
            <v>RO</v>
          </cell>
          <cell r="E3474" t="str">
            <v>45037</v>
          </cell>
        </row>
        <row r="3475">
          <cell r="A3475" t="str">
            <v>OCCHIOBELLO</v>
          </cell>
          <cell r="B3475" t="str">
            <v>029033</v>
          </cell>
          <cell r="C3475" t="str">
            <v>RO</v>
          </cell>
          <cell r="D3475" t="str">
            <v>RO</v>
          </cell>
          <cell r="E3475" t="str">
            <v>45030</v>
          </cell>
        </row>
        <row r="3476">
          <cell r="A3476" t="str">
            <v>PAPOZZE</v>
          </cell>
          <cell r="B3476" t="str">
            <v>029034</v>
          </cell>
          <cell r="C3476" t="str">
            <v>RO</v>
          </cell>
          <cell r="D3476" t="str">
            <v>RO</v>
          </cell>
          <cell r="E3476" t="str">
            <v>45010</v>
          </cell>
        </row>
        <row r="3477">
          <cell r="A3477" t="str">
            <v>PETTORAZZA GRIMANI</v>
          </cell>
          <cell r="B3477" t="str">
            <v>029035</v>
          </cell>
          <cell r="C3477" t="str">
            <v>RO</v>
          </cell>
          <cell r="D3477" t="str">
            <v>RO</v>
          </cell>
          <cell r="E3477" t="str">
            <v>45010</v>
          </cell>
        </row>
        <row r="3478">
          <cell r="A3478" t="str">
            <v>PINCARA</v>
          </cell>
          <cell r="B3478" t="str">
            <v>029036</v>
          </cell>
          <cell r="C3478" t="str">
            <v>RO</v>
          </cell>
          <cell r="D3478" t="str">
            <v>RO</v>
          </cell>
          <cell r="E3478" t="str">
            <v>45020</v>
          </cell>
        </row>
        <row r="3479">
          <cell r="A3479" t="str">
            <v>POLESELLA</v>
          </cell>
          <cell r="B3479" t="str">
            <v>029037</v>
          </cell>
          <cell r="C3479" t="str">
            <v>RO</v>
          </cell>
          <cell r="D3479" t="str">
            <v>RO</v>
          </cell>
          <cell r="E3479" t="str">
            <v>45038</v>
          </cell>
        </row>
        <row r="3480">
          <cell r="A3480" t="str">
            <v>PONTECCHIO POLESINE</v>
          </cell>
          <cell r="B3480" t="str">
            <v>029038</v>
          </cell>
          <cell r="C3480" t="str">
            <v>RO</v>
          </cell>
          <cell r="D3480" t="str">
            <v>RO</v>
          </cell>
          <cell r="E3480" t="str">
            <v>45030</v>
          </cell>
        </row>
        <row r="3481">
          <cell r="A3481" t="str">
            <v>PORTO TOLLE</v>
          </cell>
          <cell r="B3481" t="str">
            <v>029039</v>
          </cell>
          <cell r="C3481" t="str">
            <v>RO</v>
          </cell>
          <cell r="D3481" t="str">
            <v>RO</v>
          </cell>
          <cell r="E3481" t="str">
            <v>45018</v>
          </cell>
        </row>
        <row r="3482">
          <cell r="A3482" t="str">
            <v>ROSOLINA</v>
          </cell>
          <cell r="B3482" t="str">
            <v>029040</v>
          </cell>
          <cell r="C3482" t="str">
            <v>RO</v>
          </cell>
          <cell r="D3482" t="str">
            <v>RO</v>
          </cell>
          <cell r="E3482" t="str">
            <v>45010</v>
          </cell>
        </row>
        <row r="3483">
          <cell r="A3483" t="str">
            <v>ROVIGO</v>
          </cell>
          <cell r="B3483" t="str">
            <v>029041</v>
          </cell>
          <cell r="C3483" t="str">
            <v>RO</v>
          </cell>
          <cell r="D3483" t="str">
            <v>RO</v>
          </cell>
          <cell r="E3483" t="str">
            <v>45100</v>
          </cell>
        </row>
        <row r="3484">
          <cell r="A3484" t="str">
            <v>SALARA</v>
          </cell>
          <cell r="B3484" t="str">
            <v>029042</v>
          </cell>
          <cell r="C3484" t="str">
            <v>RO</v>
          </cell>
          <cell r="D3484" t="str">
            <v>RO</v>
          </cell>
          <cell r="E3484" t="str">
            <v>45030</v>
          </cell>
        </row>
        <row r="3485">
          <cell r="A3485" t="str">
            <v>SAN BELLINO</v>
          </cell>
          <cell r="B3485" t="str">
            <v>029043</v>
          </cell>
          <cell r="C3485" t="str">
            <v>RO</v>
          </cell>
          <cell r="D3485" t="str">
            <v>RO</v>
          </cell>
          <cell r="E3485" t="str">
            <v>45020</v>
          </cell>
        </row>
        <row r="3486">
          <cell r="A3486" t="str">
            <v>SAN MARTINO DI VENEZZE</v>
          </cell>
          <cell r="B3486" t="str">
            <v>029044</v>
          </cell>
          <cell r="C3486" t="str">
            <v>RO</v>
          </cell>
          <cell r="D3486" t="str">
            <v>RO</v>
          </cell>
          <cell r="E3486" t="str">
            <v>45030</v>
          </cell>
        </row>
        <row r="3487">
          <cell r="A3487" t="str">
            <v>STIENTA</v>
          </cell>
          <cell r="B3487" t="str">
            <v>029045</v>
          </cell>
          <cell r="C3487" t="str">
            <v>RO</v>
          </cell>
          <cell r="D3487" t="str">
            <v>RO</v>
          </cell>
          <cell r="E3487" t="str">
            <v>45039</v>
          </cell>
        </row>
        <row r="3488">
          <cell r="A3488" t="str">
            <v>TAGLIO DI PO</v>
          </cell>
          <cell r="B3488" t="str">
            <v>029046</v>
          </cell>
          <cell r="C3488" t="str">
            <v>RO</v>
          </cell>
          <cell r="D3488" t="str">
            <v>RO</v>
          </cell>
          <cell r="E3488" t="str">
            <v>45019</v>
          </cell>
        </row>
        <row r="3489">
          <cell r="A3489" t="str">
            <v>TRECENTA</v>
          </cell>
          <cell r="B3489" t="str">
            <v>029047</v>
          </cell>
          <cell r="C3489" t="str">
            <v>RO</v>
          </cell>
          <cell r="D3489" t="str">
            <v>RO</v>
          </cell>
          <cell r="E3489" t="str">
            <v>45027</v>
          </cell>
        </row>
        <row r="3490">
          <cell r="A3490" t="str">
            <v>VILLADOSE</v>
          </cell>
          <cell r="B3490" t="str">
            <v>029048</v>
          </cell>
          <cell r="C3490" t="str">
            <v>RO</v>
          </cell>
          <cell r="D3490" t="str">
            <v>RO</v>
          </cell>
          <cell r="E3490" t="str">
            <v>45010</v>
          </cell>
        </row>
        <row r="3491">
          <cell r="A3491" t="str">
            <v>VILLAMARZANA</v>
          </cell>
          <cell r="B3491" t="str">
            <v>029049</v>
          </cell>
          <cell r="C3491" t="str">
            <v>RO</v>
          </cell>
          <cell r="D3491" t="str">
            <v>RO</v>
          </cell>
          <cell r="E3491" t="str">
            <v>45030</v>
          </cell>
        </row>
        <row r="3492">
          <cell r="A3492" t="str">
            <v>VILLANOVA DEL GHEBBO</v>
          </cell>
          <cell r="B3492" t="str">
            <v>029050</v>
          </cell>
          <cell r="C3492" t="str">
            <v>RO</v>
          </cell>
          <cell r="D3492" t="str">
            <v>RO</v>
          </cell>
          <cell r="E3492" t="str">
            <v>45020</v>
          </cell>
        </row>
        <row r="3493">
          <cell r="A3493" t="str">
            <v>VILLANOVA MARCHESANA</v>
          </cell>
          <cell r="B3493" t="str">
            <v>029051</v>
          </cell>
          <cell r="C3493" t="str">
            <v>RO</v>
          </cell>
          <cell r="D3493" t="str">
            <v>RO</v>
          </cell>
          <cell r="E3493" t="str">
            <v>45030</v>
          </cell>
        </row>
        <row r="3494">
          <cell r="A3494" t="str">
            <v>PORTO VIRO</v>
          </cell>
          <cell r="B3494" t="str">
            <v>029052</v>
          </cell>
          <cell r="C3494" t="str">
            <v>RO</v>
          </cell>
          <cell r="D3494" t="str">
            <v>RO</v>
          </cell>
          <cell r="E3494" t="str">
            <v>45014</v>
          </cell>
        </row>
        <row r="3495">
          <cell r="A3495" t="str">
            <v>AIELLO DEL FRIULI</v>
          </cell>
          <cell r="B3495" t="str">
            <v>030001</v>
          </cell>
          <cell r="C3495" t="str">
            <v>UD</v>
          </cell>
          <cell r="D3495" t="str">
            <v>UD</v>
          </cell>
          <cell r="E3495" t="str">
            <v>33041</v>
          </cell>
        </row>
        <row r="3496">
          <cell r="A3496" t="str">
            <v>AMARO</v>
          </cell>
          <cell r="B3496" t="str">
            <v>030002</v>
          </cell>
          <cell r="C3496" t="str">
            <v>UD</v>
          </cell>
          <cell r="D3496" t="str">
            <v>UD</v>
          </cell>
          <cell r="E3496" t="str">
            <v>33020</v>
          </cell>
        </row>
        <row r="3497">
          <cell r="A3497" t="str">
            <v>AMPEZZO</v>
          </cell>
          <cell r="B3497" t="str">
            <v>030003</v>
          </cell>
          <cell r="C3497" t="str">
            <v>UD</v>
          </cell>
          <cell r="D3497" t="str">
            <v>UD</v>
          </cell>
          <cell r="E3497" t="str">
            <v>33021</v>
          </cell>
        </row>
        <row r="3498">
          <cell r="A3498" t="str">
            <v>AQUILEIA</v>
          </cell>
          <cell r="B3498" t="str">
            <v>030004</v>
          </cell>
          <cell r="C3498" t="str">
            <v>UD</v>
          </cell>
          <cell r="D3498" t="str">
            <v>UD</v>
          </cell>
          <cell r="E3498" t="str">
            <v>33051</v>
          </cell>
        </row>
        <row r="3499">
          <cell r="A3499" t="str">
            <v>ARTA TERME</v>
          </cell>
          <cell r="B3499" t="str">
            <v>030005</v>
          </cell>
          <cell r="C3499" t="str">
            <v>UD</v>
          </cell>
          <cell r="D3499" t="str">
            <v>UD</v>
          </cell>
          <cell r="E3499" t="str">
            <v>33022</v>
          </cell>
        </row>
        <row r="3500">
          <cell r="A3500" t="str">
            <v>ARTEGNA</v>
          </cell>
          <cell r="B3500" t="str">
            <v>030006</v>
          </cell>
          <cell r="C3500" t="str">
            <v>UD</v>
          </cell>
          <cell r="D3500" t="str">
            <v>UD</v>
          </cell>
          <cell r="E3500" t="str">
            <v>33011</v>
          </cell>
        </row>
        <row r="3501">
          <cell r="A3501" t="str">
            <v>ATTIMIS</v>
          </cell>
          <cell r="B3501" t="str">
            <v>030007</v>
          </cell>
          <cell r="C3501" t="str">
            <v>UD</v>
          </cell>
          <cell r="D3501" t="str">
            <v>UD</v>
          </cell>
          <cell r="E3501" t="str">
            <v>33040</v>
          </cell>
        </row>
        <row r="3502">
          <cell r="A3502" t="str">
            <v>BAGNARIA ARSA</v>
          </cell>
          <cell r="B3502" t="str">
            <v>030008</v>
          </cell>
          <cell r="C3502" t="str">
            <v>UD</v>
          </cell>
          <cell r="D3502" t="str">
            <v>UD</v>
          </cell>
          <cell r="E3502" t="str">
            <v>33050</v>
          </cell>
        </row>
        <row r="3503">
          <cell r="A3503" t="str">
            <v>BASILIANO</v>
          </cell>
          <cell r="B3503" t="str">
            <v>030009</v>
          </cell>
          <cell r="C3503" t="str">
            <v>UD</v>
          </cell>
          <cell r="D3503" t="str">
            <v>UD</v>
          </cell>
          <cell r="E3503" t="str">
            <v>33031</v>
          </cell>
        </row>
        <row r="3504">
          <cell r="A3504" t="str">
            <v>BERTIOLO</v>
          </cell>
          <cell r="B3504" t="str">
            <v>030010</v>
          </cell>
          <cell r="C3504" t="str">
            <v>UD</v>
          </cell>
          <cell r="D3504" t="str">
            <v>UD</v>
          </cell>
          <cell r="E3504" t="str">
            <v>33032</v>
          </cell>
        </row>
        <row r="3505">
          <cell r="A3505" t="str">
            <v>BICINICCO</v>
          </cell>
          <cell r="B3505" t="str">
            <v>030011</v>
          </cell>
          <cell r="C3505" t="str">
            <v>UD</v>
          </cell>
          <cell r="D3505" t="str">
            <v>UD</v>
          </cell>
          <cell r="E3505" t="str">
            <v>33050</v>
          </cell>
        </row>
        <row r="3506">
          <cell r="A3506" t="str">
            <v>BORDANO</v>
          </cell>
          <cell r="B3506" t="str">
            <v>030012</v>
          </cell>
          <cell r="C3506" t="str">
            <v>UD</v>
          </cell>
          <cell r="D3506" t="str">
            <v>UD</v>
          </cell>
          <cell r="E3506" t="str">
            <v>33010</v>
          </cell>
        </row>
        <row r="3507">
          <cell r="A3507" t="str">
            <v>BUJA</v>
          </cell>
          <cell r="B3507" t="str">
            <v>030013</v>
          </cell>
          <cell r="C3507" t="str">
            <v>UD</v>
          </cell>
          <cell r="D3507" t="str">
            <v>UD</v>
          </cell>
          <cell r="E3507" t="str">
            <v>33030</v>
          </cell>
        </row>
        <row r="3508">
          <cell r="A3508" t="str">
            <v>BUTTRIO</v>
          </cell>
          <cell r="B3508" t="str">
            <v>030014</v>
          </cell>
          <cell r="C3508" t="str">
            <v>UD</v>
          </cell>
          <cell r="D3508" t="str">
            <v>UD</v>
          </cell>
          <cell r="E3508" t="str">
            <v>33042</v>
          </cell>
        </row>
        <row r="3509">
          <cell r="A3509" t="str">
            <v>CAMINO AL TAGLIAMENTO</v>
          </cell>
          <cell r="B3509" t="str">
            <v>030015</v>
          </cell>
          <cell r="C3509" t="str">
            <v>UD</v>
          </cell>
          <cell r="D3509" t="str">
            <v>UD</v>
          </cell>
          <cell r="E3509" t="str">
            <v>33030</v>
          </cell>
        </row>
        <row r="3510">
          <cell r="A3510" t="str">
            <v>CAMPOFORMIDO</v>
          </cell>
          <cell r="B3510" t="str">
            <v>030016</v>
          </cell>
          <cell r="C3510" t="str">
            <v>UD</v>
          </cell>
          <cell r="D3510" t="str">
            <v>UD</v>
          </cell>
          <cell r="E3510" t="str">
            <v>33030</v>
          </cell>
        </row>
        <row r="3511">
          <cell r="A3511" t="str">
            <v>CARLINO</v>
          </cell>
          <cell r="B3511" t="str">
            <v>030018</v>
          </cell>
          <cell r="C3511" t="str">
            <v>UD</v>
          </cell>
          <cell r="D3511" t="str">
            <v>UD</v>
          </cell>
          <cell r="E3511" t="str">
            <v>33050</v>
          </cell>
        </row>
        <row r="3512">
          <cell r="A3512" t="str">
            <v>CASSACCO</v>
          </cell>
          <cell r="B3512" t="str">
            <v>030019</v>
          </cell>
          <cell r="C3512" t="str">
            <v>UD</v>
          </cell>
          <cell r="D3512" t="str">
            <v>UD</v>
          </cell>
          <cell r="E3512" t="str">
            <v>33010</v>
          </cell>
        </row>
        <row r="3513">
          <cell r="A3513" t="str">
            <v>CASTIONS DI STRADA</v>
          </cell>
          <cell r="B3513" t="str">
            <v>030020</v>
          </cell>
          <cell r="C3513" t="str">
            <v>UD</v>
          </cell>
          <cell r="D3513" t="str">
            <v>UD</v>
          </cell>
          <cell r="E3513" t="str">
            <v>33050</v>
          </cell>
        </row>
        <row r="3514">
          <cell r="A3514" t="str">
            <v>CAVAZZO CARNICO</v>
          </cell>
          <cell r="B3514" t="str">
            <v>030021</v>
          </cell>
          <cell r="C3514" t="str">
            <v>UD</v>
          </cell>
          <cell r="D3514" t="str">
            <v>UD</v>
          </cell>
          <cell r="E3514" t="str">
            <v>33020</v>
          </cell>
        </row>
        <row r="3515">
          <cell r="A3515" t="str">
            <v>CERCIVENTO</v>
          </cell>
          <cell r="B3515" t="str">
            <v>030022</v>
          </cell>
          <cell r="C3515" t="str">
            <v>UD</v>
          </cell>
          <cell r="D3515" t="str">
            <v>UD</v>
          </cell>
          <cell r="E3515" t="str">
            <v>33020</v>
          </cell>
        </row>
        <row r="3516">
          <cell r="A3516" t="str">
            <v>CERVIGNANO DEL FRIULI</v>
          </cell>
          <cell r="B3516" t="str">
            <v>030023</v>
          </cell>
          <cell r="C3516" t="str">
            <v>UD</v>
          </cell>
          <cell r="D3516" t="str">
            <v>UD</v>
          </cell>
          <cell r="E3516" t="str">
            <v>33052</v>
          </cell>
        </row>
        <row r="3517">
          <cell r="A3517" t="str">
            <v>CHIOPRIS-VISCONE</v>
          </cell>
          <cell r="B3517" t="str">
            <v>030024</v>
          </cell>
          <cell r="C3517" t="str">
            <v>UD</v>
          </cell>
          <cell r="D3517" t="str">
            <v>UD</v>
          </cell>
          <cell r="E3517" t="str">
            <v>33048</v>
          </cell>
        </row>
        <row r="3518">
          <cell r="A3518" t="str">
            <v>CHIUSAFORTE</v>
          </cell>
          <cell r="B3518" t="str">
            <v>030025</v>
          </cell>
          <cell r="C3518" t="str">
            <v>UD</v>
          </cell>
          <cell r="D3518" t="str">
            <v>UD</v>
          </cell>
          <cell r="E3518" t="str">
            <v>33010</v>
          </cell>
        </row>
        <row r="3519">
          <cell r="A3519" t="str">
            <v>CIVIDALE DEL FRIULI</v>
          </cell>
          <cell r="B3519" t="str">
            <v>030026</v>
          </cell>
          <cell r="C3519" t="str">
            <v>UD</v>
          </cell>
          <cell r="D3519" t="str">
            <v>UD</v>
          </cell>
          <cell r="E3519" t="str">
            <v>33043</v>
          </cell>
        </row>
        <row r="3520">
          <cell r="A3520" t="str">
            <v>CODROIPO</v>
          </cell>
          <cell r="B3520" t="str">
            <v>030027</v>
          </cell>
          <cell r="C3520" t="str">
            <v>UD</v>
          </cell>
          <cell r="D3520" t="str">
            <v>UD</v>
          </cell>
          <cell r="E3520" t="str">
            <v>33033</v>
          </cell>
        </row>
        <row r="3521">
          <cell r="A3521" t="str">
            <v>COLLOREDO DI MONTE ALBANO</v>
          </cell>
          <cell r="B3521" t="str">
            <v>030028</v>
          </cell>
          <cell r="C3521" t="str">
            <v>UD</v>
          </cell>
          <cell r="D3521" t="str">
            <v>UD</v>
          </cell>
          <cell r="E3521" t="str">
            <v>33010</v>
          </cell>
        </row>
        <row r="3522">
          <cell r="A3522" t="str">
            <v>COMEGLIANS</v>
          </cell>
          <cell r="B3522" t="str">
            <v>030029</v>
          </cell>
          <cell r="C3522" t="str">
            <v>UD</v>
          </cell>
          <cell r="D3522" t="str">
            <v>UD</v>
          </cell>
          <cell r="E3522" t="str">
            <v>33023</v>
          </cell>
        </row>
        <row r="3523">
          <cell r="A3523" t="str">
            <v>CORNO DI ROSAZZO</v>
          </cell>
          <cell r="B3523" t="str">
            <v>030030</v>
          </cell>
          <cell r="C3523" t="str">
            <v>UD</v>
          </cell>
          <cell r="D3523" t="str">
            <v>UD</v>
          </cell>
          <cell r="E3523" t="str">
            <v>33040</v>
          </cell>
        </row>
        <row r="3524">
          <cell r="A3524" t="str">
            <v>COSEANO</v>
          </cell>
          <cell r="B3524" t="str">
            <v>030031</v>
          </cell>
          <cell r="C3524" t="str">
            <v>UD</v>
          </cell>
          <cell r="D3524" t="str">
            <v>UD</v>
          </cell>
          <cell r="E3524" t="str">
            <v>33030</v>
          </cell>
        </row>
        <row r="3525">
          <cell r="A3525" t="str">
            <v>DIGNANO</v>
          </cell>
          <cell r="B3525" t="str">
            <v>030032</v>
          </cell>
          <cell r="C3525" t="str">
            <v>UD</v>
          </cell>
          <cell r="D3525" t="str">
            <v>UD</v>
          </cell>
          <cell r="E3525" t="str">
            <v>33030</v>
          </cell>
        </row>
        <row r="3526">
          <cell r="A3526" t="str">
            <v>DOGNA</v>
          </cell>
          <cell r="B3526" t="str">
            <v>030033</v>
          </cell>
          <cell r="C3526" t="str">
            <v>UD</v>
          </cell>
          <cell r="D3526" t="str">
            <v>UD</v>
          </cell>
          <cell r="E3526" t="str">
            <v>33010</v>
          </cell>
        </row>
        <row r="3527">
          <cell r="A3527" t="str">
            <v>DRENCHIA</v>
          </cell>
          <cell r="B3527" t="str">
            <v>030034</v>
          </cell>
          <cell r="C3527" t="str">
            <v>UD</v>
          </cell>
          <cell r="D3527" t="str">
            <v>UD</v>
          </cell>
          <cell r="E3527" t="str">
            <v>33040</v>
          </cell>
        </row>
        <row r="3528">
          <cell r="A3528" t="str">
            <v>ENEMONZO</v>
          </cell>
          <cell r="B3528" t="str">
            <v>030035</v>
          </cell>
          <cell r="C3528" t="str">
            <v>UD</v>
          </cell>
          <cell r="D3528" t="str">
            <v>UD</v>
          </cell>
          <cell r="E3528" t="str">
            <v>33020</v>
          </cell>
        </row>
        <row r="3529">
          <cell r="A3529" t="str">
            <v>FAEDIS</v>
          </cell>
          <cell r="B3529" t="str">
            <v>030036</v>
          </cell>
          <cell r="C3529" t="str">
            <v>UD</v>
          </cell>
          <cell r="D3529" t="str">
            <v>UD</v>
          </cell>
          <cell r="E3529" t="str">
            <v>33040</v>
          </cell>
        </row>
        <row r="3530">
          <cell r="A3530" t="str">
            <v>FAGAGNA</v>
          </cell>
          <cell r="B3530" t="str">
            <v>030037</v>
          </cell>
          <cell r="C3530" t="str">
            <v>UD</v>
          </cell>
          <cell r="D3530" t="str">
            <v>UD</v>
          </cell>
          <cell r="E3530" t="str">
            <v>33034</v>
          </cell>
        </row>
        <row r="3531">
          <cell r="A3531" t="str">
            <v>FLAIBANO</v>
          </cell>
          <cell r="B3531" t="str">
            <v>030039</v>
          </cell>
          <cell r="C3531" t="str">
            <v>UD</v>
          </cell>
          <cell r="D3531" t="str">
            <v>UD</v>
          </cell>
          <cell r="E3531" t="str">
            <v>33030</v>
          </cell>
        </row>
        <row r="3532">
          <cell r="A3532" t="str">
            <v>FORNI AVOLTRI</v>
          </cell>
          <cell r="B3532" t="str">
            <v>030040</v>
          </cell>
          <cell r="C3532" t="str">
            <v>UD</v>
          </cell>
          <cell r="D3532" t="str">
            <v>UD</v>
          </cell>
          <cell r="E3532" t="str">
            <v>33020</v>
          </cell>
        </row>
        <row r="3533">
          <cell r="A3533" t="str">
            <v>FORNI DI SOPRA</v>
          </cell>
          <cell r="B3533" t="str">
            <v>030041</v>
          </cell>
          <cell r="C3533" t="str">
            <v>UD</v>
          </cell>
          <cell r="D3533" t="str">
            <v>UD</v>
          </cell>
          <cell r="E3533" t="str">
            <v>33024</v>
          </cell>
        </row>
        <row r="3534">
          <cell r="A3534" t="str">
            <v>FORNI DI SOTTO</v>
          </cell>
          <cell r="B3534" t="str">
            <v>030042</v>
          </cell>
          <cell r="C3534" t="str">
            <v>UD</v>
          </cell>
          <cell r="D3534" t="str">
            <v>UD</v>
          </cell>
          <cell r="E3534" t="str">
            <v>33020</v>
          </cell>
        </row>
        <row r="3535">
          <cell r="A3535" t="str">
            <v>GEMONA DEL FRIULI</v>
          </cell>
          <cell r="B3535" t="str">
            <v>030043</v>
          </cell>
          <cell r="C3535" t="str">
            <v>UD</v>
          </cell>
          <cell r="D3535" t="str">
            <v>UD</v>
          </cell>
          <cell r="E3535" t="str">
            <v>33013</v>
          </cell>
        </row>
        <row r="3536">
          <cell r="A3536" t="str">
            <v>GONARS</v>
          </cell>
          <cell r="B3536" t="str">
            <v>030044</v>
          </cell>
          <cell r="C3536" t="str">
            <v>UD</v>
          </cell>
          <cell r="D3536" t="str">
            <v>UD</v>
          </cell>
          <cell r="E3536" t="str">
            <v>33050</v>
          </cell>
        </row>
        <row r="3537">
          <cell r="A3537" t="str">
            <v>GRIMACCO</v>
          </cell>
          <cell r="B3537" t="str">
            <v>030045</v>
          </cell>
          <cell r="C3537" t="str">
            <v>UD</v>
          </cell>
          <cell r="D3537" t="str">
            <v>UD</v>
          </cell>
          <cell r="E3537" t="str">
            <v>33040</v>
          </cell>
        </row>
        <row r="3538">
          <cell r="A3538" t="str">
            <v>LATISANA</v>
          </cell>
          <cell r="B3538" t="str">
            <v>030046</v>
          </cell>
          <cell r="C3538" t="str">
            <v>UD</v>
          </cell>
          <cell r="D3538" t="str">
            <v>UD</v>
          </cell>
          <cell r="E3538" t="str">
            <v>33053</v>
          </cell>
        </row>
        <row r="3539">
          <cell r="A3539" t="str">
            <v>LAUCO</v>
          </cell>
          <cell r="B3539" t="str">
            <v>030047</v>
          </cell>
          <cell r="C3539" t="str">
            <v>UD</v>
          </cell>
          <cell r="D3539" t="str">
            <v>UD</v>
          </cell>
          <cell r="E3539" t="str">
            <v>33029</v>
          </cell>
        </row>
        <row r="3540">
          <cell r="A3540" t="str">
            <v>LESTIZZA</v>
          </cell>
          <cell r="B3540" t="str">
            <v>030048</v>
          </cell>
          <cell r="C3540" t="str">
            <v>UD</v>
          </cell>
          <cell r="D3540" t="str">
            <v>UD</v>
          </cell>
          <cell r="E3540" t="str">
            <v>33050</v>
          </cell>
        </row>
        <row r="3541">
          <cell r="A3541" t="str">
            <v>LIGNANO SABBIADORO</v>
          </cell>
          <cell r="B3541" t="str">
            <v>030049</v>
          </cell>
          <cell r="C3541" t="str">
            <v>UD</v>
          </cell>
          <cell r="D3541" t="str">
            <v>UD</v>
          </cell>
          <cell r="E3541" t="str">
            <v>33054</v>
          </cell>
        </row>
        <row r="3542">
          <cell r="A3542" t="str">
            <v>LUSEVERA</v>
          </cell>
          <cell r="B3542" t="str">
            <v>030051</v>
          </cell>
          <cell r="C3542" t="str">
            <v>UD</v>
          </cell>
          <cell r="D3542" t="str">
            <v>UD</v>
          </cell>
          <cell r="E3542" t="str">
            <v>33010</v>
          </cell>
        </row>
        <row r="3543">
          <cell r="A3543" t="str">
            <v>MAGNANO IN RIVIERA</v>
          </cell>
          <cell r="B3543" t="str">
            <v>030052</v>
          </cell>
          <cell r="C3543" t="str">
            <v>UD</v>
          </cell>
          <cell r="D3543" t="str">
            <v>UD</v>
          </cell>
          <cell r="E3543" t="str">
            <v>33010</v>
          </cell>
        </row>
        <row r="3544">
          <cell r="A3544" t="str">
            <v>MAJANO</v>
          </cell>
          <cell r="B3544" t="str">
            <v>030053</v>
          </cell>
          <cell r="C3544" t="str">
            <v>UD</v>
          </cell>
          <cell r="D3544" t="str">
            <v>UD</v>
          </cell>
          <cell r="E3544" t="str">
            <v>33030</v>
          </cell>
        </row>
        <row r="3545">
          <cell r="A3545" t="str">
            <v>MALBORGHETTO VALBRUNA</v>
          </cell>
          <cell r="B3545" t="str">
            <v>030054</v>
          </cell>
          <cell r="C3545" t="str">
            <v>UD</v>
          </cell>
          <cell r="D3545" t="str">
            <v>UD</v>
          </cell>
          <cell r="E3545" t="str">
            <v>33010</v>
          </cell>
        </row>
        <row r="3546">
          <cell r="A3546" t="str">
            <v>MANZANO</v>
          </cell>
          <cell r="B3546" t="str">
            <v>030055</v>
          </cell>
          <cell r="C3546" t="str">
            <v>UD</v>
          </cell>
          <cell r="D3546" t="str">
            <v>UD</v>
          </cell>
          <cell r="E3546" t="str">
            <v>33044</v>
          </cell>
        </row>
        <row r="3547">
          <cell r="A3547" t="str">
            <v>MARANO LAGUNARE</v>
          </cell>
          <cell r="B3547" t="str">
            <v>030056</v>
          </cell>
          <cell r="C3547" t="str">
            <v>UD</v>
          </cell>
          <cell r="D3547" t="str">
            <v>UD</v>
          </cell>
          <cell r="E3547" t="str">
            <v>33050</v>
          </cell>
        </row>
        <row r="3548">
          <cell r="A3548" t="str">
            <v>MARTIGNACCO</v>
          </cell>
          <cell r="B3548" t="str">
            <v>030057</v>
          </cell>
          <cell r="C3548" t="str">
            <v>UD</v>
          </cell>
          <cell r="D3548" t="str">
            <v>UD</v>
          </cell>
          <cell r="E3548" t="str">
            <v>33035</v>
          </cell>
        </row>
        <row r="3549">
          <cell r="A3549" t="str">
            <v>MERETO DI TOMBA</v>
          </cell>
          <cell r="B3549" t="str">
            <v>030058</v>
          </cell>
          <cell r="C3549" t="str">
            <v>UD</v>
          </cell>
          <cell r="D3549" t="str">
            <v>UD</v>
          </cell>
          <cell r="E3549" t="str">
            <v>33036</v>
          </cell>
        </row>
        <row r="3550">
          <cell r="A3550" t="str">
            <v>MOGGIO UDINESE</v>
          </cell>
          <cell r="B3550" t="str">
            <v>030059</v>
          </cell>
          <cell r="C3550" t="str">
            <v>UD</v>
          </cell>
          <cell r="D3550" t="str">
            <v>UD</v>
          </cell>
          <cell r="E3550" t="str">
            <v>33015</v>
          </cell>
        </row>
        <row r="3551">
          <cell r="A3551" t="str">
            <v>MOIMACCO</v>
          </cell>
          <cell r="B3551" t="str">
            <v>030060</v>
          </cell>
          <cell r="C3551" t="str">
            <v>UD</v>
          </cell>
          <cell r="D3551" t="str">
            <v>UD</v>
          </cell>
          <cell r="E3551" t="str">
            <v>33040</v>
          </cell>
        </row>
        <row r="3552">
          <cell r="A3552" t="str">
            <v>MONTENARS</v>
          </cell>
          <cell r="B3552" t="str">
            <v>030061</v>
          </cell>
          <cell r="C3552" t="str">
            <v>UD</v>
          </cell>
          <cell r="D3552" t="str">
            <v>UD</v>
          </cell>
          <cell r="E3552" t="str">
            <v>33010</v>
          </cell>
        </row>
        <row r="3553">
          <cell r="A3553" t="str">
            <v>MORTEGLIANO</v>
          </cell>
          <cell r="B3553" t="str">
            <v>030062</v>
          </cell>
          <cell r="C3553" t="str">
            <v>UD</v>
          </cell>
          <cell r="D3553" t="str">
            <v>UD</v>
          </cell>
          <cell r="E3553" t="str">
            <v>33050</v>
          </cell>
        </row>
        <row r="3554">
          <cell r="A3554" t="str">
            <v>MORUZZO</v>
          </cell>
          <cell r="B3554" t="str">
            <v>030063</v>
          </cell>
          <cell r="C3554" t="str">
            <v>UD</v>
          </cell>
          <cell r="D3554" t="str">
            <v>UD</v>
          </cell>
          <cell r="E3554" t="str">
            <v>33030</v>
          </cell>
        </row>
        <row r="3555">
          <cell r="A3555" t="str">
            <v>MUZZANA DEL TURGNANO</v>
          </cell>
          <cell r="B3555" t="str">
            <v>030064</v>
          </cell>
          <cell r="C3555" t="str">
            <v>UD</v>
          </cell>
          <cell r="D3555" t="str">
            <v>UD</v>
          </cell>
          <cell r="E3555" t="str">
            <v>33055</v>
          </cell>
        </row>
        <row r="3556">
          <cell r="A3556" t="str">
            <v>NIMIS</v>
          </cell>
          <cell r="B3556" t="str">
            <v>030065</v>
          </cell>
          <cell r="C3556" t="str">
            <v>UD</v>
          </cell>
          <cell r="D3556" t="str">
            <v>UD</v>
          </cell>
          <cell r="E3556" t="str">
            <v>33045</v>
          </cell>
        </row>
        <row r="3557">
          <cell r="A3557" t="str">
            <v>OSOPPO</v>
          </cell>
          <cell r="B3557" t="str">
            <v>030066</v>
          </cell>
          <cell r="C3557" t="str">
            <v>UD</v>
          </cell>
          <cell r="D3557" t="str">
            <v>UD</v>
          </cell>
          <cell r="E3557" t="str">
            <v>33010</v>
          </cell>
        </row>
        <row r="3558">
          <cell r="A3558" t="str">
            <v>OVARO</v>
          </cell>
          <cell r="B3558" t="str">
            <v>030067</v>
          </cell>
          <cell r="C3558" t="str">
            <v>UD</v>
          </cell>
          <cell r="D3558" t="str">
            <v>UD</v>
          </cell>
          <cell r="E3558" t="str">
            <v>33025</v>
          </cell>
        </row>
        <row r="3559">
          <cell r="A3559" t="str">
            <v>PAGNACCO</v>
          </cell>
          <cell r="B3559" t="str">
            <v>030068</v>
          </cell>
          <cell r="C3559" t="str">
            <v>UD</v>
          </cell>
          <cell r="D3559" t="str">
            <v>UD</v>
          </cell>
          <cell r="E3559" t="str">
            <v>33010</v>
          </cell>
        </row>
        <row r="3560">
          <cell r="A3560" t="str">
            <v>PALAZZOLO DELLO STELLA</v>
          </cell>
          <cell r="B3560" t="str">
            <v>030069</v>
          </cell>
          <cell r="C3560" t="str">
            <v>UD</v>
          </cell>
          <cell r="D3560" t="str">
            <v>UD</v>
          </cell>
          <cell r="E3560" t="str">
            <v>33056</v>
          </cell>
        </row>
        <row r="3561">
          <cell r="A3561" t="str">
            <v>PALMANOVA</v>
          </cell>
          <cell r="B3561" t="str">
            <v>030070</v>
          </cell>
          <cell r="C3561" t="str">
            <v>UD</v>
          </cell>
          <cell r="D3561" t="str">
            <v>UD</v>
          </cell>
          <cell r="E3561" t="str">
            <v>33057</v>
          </cell>
        </row>
        <row r="3562">
          <cell r="A3562" t="str">
            <v>PALUZZA</v>
          </cell>
          <cell r="B3562" t="str">
            <v>030071</v>
          </cell>
          <cell r="C3562" t="str">
            <v>UD</v>
          </cell>
          <cell r="D3562" t="str">
            <v>UD</v>
          </cell>
          <cell r="E3562" t="str">
            <v>33026</v>
          </cell>
        </row>
        <row r="3563">
          <cell r="A3563" t="str">
            <v>PASIAN DI PRATO</v>
          </cell>
          <cell r="B3563" t="str">
            <v>030072</v>
          </cell>
          <cell r="C3563" t="str">
            <v>UD</v>
          </cell>
          <cell r="D3563" t="str">
            <v>UD</v>
          </cell>
          <cell r="E3563" t="str">
            <v>33037</v>
          </cell>
        </row>
        <row r="3564">
          <cell r="A3564" t="str">
            <v>PAULARO</v>
          </cell>
          <cell r="B3564" t="str">
            <v>030073</v>
          </cell>
          <cell r="C3564" t="str">
            <v>UD</v>
          </cell>
          <cell r="D3564" t="str">
            <v>UD</v>
          </cell>
          <cell r="E3564" t="str">
            <v>33027</v>
          </cell>
        </row>
        <row r="3565">
          <cell r="A3565" t="str">
            <v>PAVIA DI UDINE</v>
          </cell>
          <cell r="B3565" t="str">
            <v>030074</v>
          </cell>
          <cell r="C3565" t="str">
            <v>UD</v>
          </cell>
          <cell r="D3565" t="str">
            <v>UD</v>
          </cell>
          <cell r="E3565" t="str">
            <v>33050</v>
          </cell>
        </row>
        <row r="3566">
          <cell r="A3566" t="str">
            <v>POCENIA</v>
          </cell>
          <cell r="B3566" t="str">
            <v>030075</v>
          </cell>
          <cell r="C3566" t="str">
            <v>UD</v>
          </cell>
          <cell r="D3566" t="str">
            <v>UD</v>
          </cell>
          <cell r="E3566" t="str">
            <v>33050</v>
          </cell>
        </row>
        <row r="3567">
          <cell r="A3567" t="str">
            <v>PONTEBBA</v>
          </cell>
          <cell r="B3567" t="str">
            <v>030076</v>
          </cell>
          <cell r="C3567" t="str">
            <v>UD</v>
          </cell>
          <cell r="D3567" t="str">
            <v>UD</v>
          </cell>
          <cell r="E3567" t="str">
            <v>33016</v>
          </cell>
        </row>
        <row r="3568">
          <cell r="A3568" t="str">
            <v>PORPETTO</v>
          </cell>
          <cell r="B3568" t="str">
            <v>030077</v>
          </cell>
          <cell r="C3568" t="str">
            <v>UD</v>
          </cell>
          <cell r="D3568" t="str">
            <v>UD</v>
          </cell>
          <cell r="E3568" t="str">
            <v>33050</v>
          </cell>
        </row>
        <row r="3569">
          <cell r="A3569" t="str">
            <v>POVOLETTO</v>
          </cell>
          <cell r="B3569" t="str">
            <v>030078</v>
          </cell>
          <cell r="C3569" t="str">
            <v>UD</v>
          </cell>
          <cell r="D3569" t="str">
            <v>UD</v>
          </cell>
          <cell r="E3569" t="str">
            <v>33040</v>
          </cell>
        </row>
        <row r="3570">
          <cell r="A3570" t="str">
            <v>POZZUOLO DEL FRIULI</v>
          </cell>
          <cell r="B3570" t="str">
            <v>030079</v>
          </cell>
          <cell r="C3570" t="str">
            <v>UD</v>
          </cell>
          <cell r="D3570" t="str">
            <v>UD</v>
          </cell>
          <cell r="E3570" t="str">
            <v>33050</v>
          </cell>
        </row>
        <row r="3571">
          <cell r="A3571" t="str">
            <v>PRADAMANO</v>
          </cell>
          <cell r="B3571" t="str">
            <v>030080</v>
          </cell>
          <cell r="C3571" t="str">
            <v>UD</v>
          </cell>
          <cell r="D3571" t="str">
            <v>UD</v>
          </cell>
          <cell r="E3571" t="str">
            <v>33040</v>
          </cell>
        </row>
        <row r="3572">
          <cell r="A3572" t="str">
            <v>PRATO CARNICO</v>
          </cell>
          <cell r="B3572" t="str">
            <v>030081</v>
          </cell>
          <cell r="C3572" t="str">
            <v>UD</v>
          </cell>
          <cell r="D3572" t="str">
            <v>UD</v>
          </cell>
          <cell r="E3572" t="str">
            <v>33020</v>
          </cell>
        </row>
        <row r="3573">
          <cell r="A3573" t="str">
            <v>PRECENICCO</v>
          </cell>
          <cell r="B3573" t="str">
            <v>030082</v>
          </cell>
          <cell r="C3573" t="str">
            <v>UD</v>
          </cell>
          <cell r="D3573" t="str">
            <v>UD</v>
          </cell>
          <cell r="E3573" t="str">
            <v>33050</v>
          </cell>
        </row>
        <row r="3574">
          <cell r="A3574" t="str">
            <v>PREMARIACCO</v>
          </cell>
          <cell r="B3574" t="str">
            <v>030083</v>
          </cell>
          <cell r="C3574" t="str">
            <v>UD</v>
          </cell>
          <cell r="D3574" t="str">
            <v>UD</v>
          </cell>
          <cell r="E3574" t="str">
            <v>33040</v>
          </cell>
        </row>
        <row r="3575">
          <cell r="A3575" t="str">
            <v>PREONE</v>
          </cell>
          <cell r="B3575" t="str">
            <v>030084</v>
          </cell>
          <cell r="C3575" t="str">
            <v>UD</v>
          </cell>
          <cell r="D3575" t="str">
            <v>UD</v>
          </cell>
          <cell r="E3575" t="str">
            <v>33020</v>
          </cell>
        </row>
        <row r="3576">
          <cell r="A3576" t="str">
            <v>PREPOTTO</v>
          </cell>
          <cell r="B3576" t="str">
            <v>030085</v>
          </cell>
          <cell r="C3576" t="str">
            <v>UD</v>
          </cell>
          <cell r="D3576" t="str">
            <v>UD</v>
          </cell>
          <cell r="E3576" t="str">
            <v>33040</v>
          </cell>
        </row>
        <row r="3577">
          <cell r="A3577" t="str">
            <v>PULFERO</v>
          </cell>
          <cell r="B3577" t="str">
            <v>030086</v>
          </cell>
          <cell r="C3577" t="str">
            <v>UD</v>
          </cell>
          <cell r="D3577" t="str">
            <v>UD</v>
          </cell>
          <cell r="E3577" t="str">
            <v>33046</v>
          </cell>
        </row>
        <row r="3578">
          <cell r="A3578" t="str">
            <v>RAGOGNA</v>
          </cell>
          <cell r="B3578" t="str">
            <v>030087</v>
          </cell>
          <cell r="C3578" t="str">
            <v>UD</v>
          </cell>
          <cell r="D3578" t="str">
            <v>UD</v>
          </cell>
          <cell r="E3578" t="str">
            <v>33030</v>
          </cell>
        </row>
        <row r="3579">
          <cell r="A3579" t="str">
            <v>RAVASCLETTO</v>
          </cell>
          <cell r="B3579" t="str">
            <v>030088</v>
          </cell>
          <cell r="C3579" t="str">
            <v>UD</v>
          </cell>
          <cell r="D3579" t="str">
            <v>UD</v>
          </cell>
          <cell r="E3579" t="str">
            <v>33020</v>
          </cell>
        </row>
        <row r="3580">
          <cell r="A3580" t="str">
            <v>RAVEO</v>
          </cell>
          <cell r="B3580" t="str">
            <v>030089</v>
          </cell>
          <cell r="C3580" t="str">
            <v>UD</v>
          </cell>
          <cell r="D3580" t="str">
            <v>UD</v>
          </cell>
          <cell r="E3580" t="str">
            <v>33029</v>
          </cell>
        </row>
        <row r="3581">
          <cell r="A3581" t="str">
            <v>REANA DEL ROJALE</v>
          </cell>
          <cell r="B3581" t="str">
            <v>030090</v>
          </cell>
          <cell r="C3581" t="str">
            <v>UD</v>
          </cell>
          <cell r="D3581" t="str">
            <v>UD</v>
          </cell>
          <cell r="E3581" t="str">
            <v>33010</v>
          </cell>
        </row>
        <row r="3582">
          <cell r="A3582" t="str">
            <v>REMANZACCO</v>
          </cell>
          <cell r="B3582" t="str">
            <v>030091</v>
          </cell>
          <cell r="C3582" t="str">
            <v>UD</v>
          </cell>
          <cell r="D3582" t="str">
            <v>UD</v>
          </cell>
          <cell r="E3582" t="str">
            <v>33047</v>
          </cell>
        </row>
        <row r="3583">
          <cell r="A3583" t="str">
            <v>RESIA</v>
          </cell>
          <cell r="B3583" t="str">
            <v>030092</v>
          </cell>
          <cell r="C3583" t="str">
            <v>UD</v>
          </cell>
          <cell r="D3583" t="str">
            <v>UD</v>
          </cell>
          <cell r="E3583" t="str">
            <v>33010</v>
          </cell>
        </row>
        <row r="3584">
          <cell r="A3584" t="str">
            <v>RESIUTTA</v>
          </cell>
          <cell r="B3584" t="str">
            <v>030093</v>
          </cell>
          <cell r="C3584" t="str">
            <v>UD</v>
          </cell>
          <cell r="D3584" t="str">
            <v>UD</v>
          </cell>
          <cell r="E3584" t="str">
            <v>33010</v>
          </cell>
        </row>
        <row r="3585">
          <cell r="A3585" t="str">
            <v>RIGOLATO</v>
          </cell>
          <cell r="B3585" t="str">
            <v>030094</v>
          </cell>
          <cell r="C3585" t="str">
            <v>UD</v>
          </cell>
          <cell r="D3585" t="str">
            <v>UD</v>
          </cell>
          <cell r="E3585" t="str">
            <v>33020</v>
          </cell>
        </row>
        <row r="3586">
          <cell r="A3586" t="str">
            <v>RIVE D'ARCANO</v>
          </cell>
          <cell r="B3586" t="str">
            <v>030095</v>
          </cell>
          <cell r="C3586" t="str">
            <v>UD</v>
          </cell>
          <cell r="D3586" t="str">
            <v>UD</v>
          </cell>
          <cell r="E3586" t="str">
            <v>33030</v>
          </cell>
        </row>
        <row r="3587">
          <cell r="A3587" t="str">
            <v>RONCHIS</v>
          </cell>
          <cell r="B3587" t="str">
            <v>030097</v>
          </cell>
          <cell r="C3587" t="str">
            <v>UD</v>
          </cell>
          <cell r="D3587" t="str">
            <v>UD</v>
          </cell>
          <cell r="E3587" t="str">
            <v>33050</v>
          </cell>
        </row>
        <row r="3588">
          <cell r="A3588" t="str">
            <v>RUDA</v>
          </cell>
          <cell r="B3588" t="str">
            <v>030098</v>
          </cell>
          <cell r="C3588" t="str">
            <v>UD</v>
          </cell>
          <cell r="D3588" t="str">
            <v>UD</v>
          </cell>
          <cell r="E3588" t="str">
            <v>33050</v>
          </cell>
        </row>
        <row r="3589">
          <cell r="A3589" t="str">
            <v>SAN DANIELE DEL FRIULI</v>
          </cell>
          <cell r="B3589" t="str">
            <v>030099</v>
          </cell>
          <cell r="C3589" t="str">
            <v>UD</v>
          </cell>
          <cell r="D3589" t="str">
            <v>UD</v>
          </cell>
          <cell r="E3589" t="str">
            <v>33038</v>
          </cell>
        </row>
        <row r="3590">
          <cell r="A3590" t="str">
            <v>SAN GIORGIO DI NOGARO</v>
          </cell>
          <cell r="B3590" t="str">
            <v>030100</v>
          </cell>
          <cell r="C3590" t="str">
            <v>UD</v>
          </cell>
          <cell r="D3590" t="str">
            <v>UD</v>
          </cell>
          <cell r="E3590" t="str">
            <v>33058</v>
          </cell>
        </row>
        <row r="3591">
          <cell r="A3591" t="str">
            <v>SAN GIOVANNI AL NATISONE</v>
          </cell>
          <cell r="B3591" t="str">
            <v>030101</v>
          </cell>
          <cell r="C3591" t="str">
            <v>UD</v>
          </cell>
          <cell r="D3591" t="str">
            <v>UD</v>
          </cell>
          <cell r="E3591" t="str">
            <v>33048</v>
          </cell>
        </row>
        <row r="3592">
          <cell r="A3592" t="str">
            <v>SAN LEONARDO</v>
          </cell>
          <cell r="B3592" t="str">
            <v>030102</v>
          </cell>
          <cell r="C3592" t="str">
            <v>UD</v>
          </cell>
          <cell r="D3592" t="str">
            <v>UD</v>
          </cell>
          <cell r="E3592" t="str">
            <v>33040</v>
          </cell>
        </row>
        <row r="3593">
          <cell r="A3593" t="str">
            <v>SAN PIETRO AL NATISONE</v>
          </cell>
          <cell r="B3593" t="str">
            <v>030103</v>
          </cell>
          <cell r="C3593" t="str">
            <v>UD</v>
          </cell>
          <cell r="D3593" t="str">
            <v>UD</v>
          </cell>
          <cell r="E3593" t="str">
            <v>33049</v>
          </cell>
        </row>
        <row r="3594">
          <cell r="A3594" t="str">
            <v>SANTA MARIA LA LONGA</v>
          </cell>
          <cell r="B3594" t="str">
            <v>030104</v>
          </cell>
          <cell r="C3594" t="str">
            <v>UD</v>
          </cell>
          <cell r="D3594" t="str">
            <v>UD</v>
          </cell>
          <cell r="E3594" t="str">
            <v>33050</v>
          </cell>
        </row>
        <row r="3595">
          <cell r="A3595" t="str">
            <v>SAN VITO AL TORRE</v>
          </cell>
          <cell r="B3595" t="str">
            <v>030105</v>
          </cell>
          <cell r="C3595" t="str">
            <v>UD</v>
          </cell>
          <cell r="D3595" t="str">
            <v>UD</v>
          </cell>
          <cell r="E3595" t="str">
            <v>33050</v>
          </cell>
        </row>
        <row r="3596">
          <cell r="A3596" t="str">
            <v>SAN VITO DI FAGAGNA</v>
          </cell>
          <cell r="B3596" t="str">
            <v>030106</v>
          </cell>
          <cell r="C3596" t="str">
            <v>UD</v>
          </cell>
          <cell r="D3596" t="str">
            <v>UD</v>
          </cell>
          <cell r="E3596" t="str">
            <v>33030</v>
          </cell>
        </row>
        <row r="3597">
          <cell r="A3597" t="str">
            <v>SAURIS</v>
          </cell>
          <cell r="B3597" t="str">
            <v>030107</v>
          </cell>
          <cell r="C3597" t="str">
            <v>UD</v>
          </cell>
          <cell r="D3597" t="str">
            <v>UD</v>
          </cell>
          <cell r="E3597" t="str">
            <v>33020</v>
          </cell>
        </row>
        <row r="3598">
          <cell r="A3598" t="str">
            <v>SAVOGNA</v>
          </cell>
          <cell r="B3598" t="str">
            <v>030108</v>
          </cell>
          <cell r="C3598" t="str">
            <v>UD</v>
          </cell>
          <cell r="D3598" t="str">
            <v>UD</v>
          </cell>
          <cell r="E3598" t="str">
            <v>33040</v>
          </cell>
        </row>
        <row r="3599">
          <cell r="A3599" t="str">
            <v>SEDEGLIANO</v>
          </cell>
          <cell r="B3599" t="str">
            <v>030109</v>
          </cell>
          <cell r="C3599" t="str">
            <v>UD</v>
          </cell>
          <cell r="D3599" t="str">
            <v>UD</v>
          </cell>
          <cell r="E3599" t="str">
            <v>33039</v>
          </cell>
        </row>
        <row r="3600">
          <cell r="A3600" t="str">
            <v>SOCCHIEVE</v>
          </cell>
          <cell r="B3600" t="str">
            <v>030110</v>
          </cell>
          <cell r="C3600" t="str">
            <v>UD</v>
          </cell>
          <cell r="D3600" t="str">
            <v>UD</v>
          </cell>
          <cell r="E3600" t="str">
            <v>33020</v>
          </cell>
        </row>
        <row r="3601">
          <cell r="A3601" t="str">
            <v>STREGNA</v>
          </cell>
          <cell r="B3601" t="str">
            <v>030111</v>
          </cell>
          <cell r="C3601" t="str">
            <v>UD</v>
          </cell>
          <cell r="D3601" t="str">
            <v>UD</v>
          </cell>
          <cell r="E3601" t="str">
            <v>33040</v>
          </cell>
        </row>
        <row r="3602">
          <cell r="A3602" t="str">
            <v>SUTRIO</v>
          </cell>
          <cell r="B3602" t="str">
            <v>030112</v>
          </cell>
          <cell r="C3602" t="str">
            <v>UD</v>
          </cell>
          <cell r="D3602" t="str">
            <v>UD</v>
          </cell>
          <cell r="E3602" t="str">
            <v>33020</v>
          </cell>
        </row>
        <row r="3603">
          <cell r="A3603" t="str">
            <v>TAIPANA</v>
          </cell>
          <cell r="B3603" t="str">
            <v>030113</v>
          </cell>
          <cell r="C3603" t="str">
            <v>UD</v>
          </cell>
          <cell r="D3603" t="str">
            <v>UD</v>
          </cell>
          <cell r="E3603" t="str">
            <v>33040</v>
          </cell>
        </row>
        <row r="3604">
          <cell r="A3604" t="str">
            <v>TALMASSONS</v>
          </cell>
          <cell r="B3604" t="str">
            <v>030114</v>
          </cell>
          <cell r="C3604" t="str">
            <v>UD</v>
          </cell>
          <cell r="D3604" t="str">
            <v>UD</v>
          </cell>
          <cell r="E3604" t="str">
            <v>33030</v>
          </cell>
        </row>
        <row r="3605">
          <cell r="A3605" t="str">
            <v>TARCENTO</v>
          </cell>
          <cell r="B3605" t="str">
            <v>030116</v>
          </cell>
          <cell r="C3605" t="str">
            <v>UD</v>
          </cell>
          <cell r="D3605" t="str">
            <v>UD</v>
          </cell>
          <cell r="E3605" t="str">
            <v>33017</v>
          </cell>
        </row>
        <row r="3606">
          <cell r="A3606" t="str">
            <v>TARVISIO</v>
          </cell>
          <cell r="B3606" t="str">
            <v>030117</v>
          </cell>
          <cell r="C3606" t="str">
            <v>UD</v>
          </cell>
          <cell r="D3606" t="str">
            <v>UD</v>
          </cell>
          <cell r="E3606" t="str">
            <v>33018</v>
          </cell>
        </row>
        <row r="3607">
          <cell r="A3607" t="str">
            <v>TAVAGNACCO</v>
          </cell>
          <cell r="B3607" t="str">
            <v>030118</v>
          </cell>
          <cell r="C3607" t="str">
            <v>UD</v>
          </cell>
          <cell r="D3607" t="str">
            <v>UD</v>
          </cell>
          <cell r="E3607" t="str">
            <v>33010</v>
          </cell>
        </row>
        <row r="3608">
          <cell r="A3608" t="str">
            <v>TERZO D'AQUILEIA</v>
          </cell>
          <cell r="B3608" t="str">
            <v>030120</v>
          </cell>
          <cell r="C3608" t="str">
            <v>UD</v>
          </cell>
          <cell r="D3608" t="str">
            <v>UD</v>
          </cell>
          <cell r="E3608" t="str">
            <v>33050</v>
          </cell>
        </row>
        <row r="3609">
          <cell r="A3609" t="str">
            <v>TOLMEZZO</v>
          </cell>
          <cell r="B3609" t="str">
            <v>030121</v>
          </cell>
          <cell r="C3609" t="str">
            <v>UD</v>
          </cell>
          <cell r="D3609" t="str">
            <v>UD</v>
          </cell>
          <cell r="E3609" t="str">
            <v>33028</v>
          </cell>
        </row>
        <row r="3610">
          <cell r="A3610" t="str">
            <v>TORREANO</v>
          </cell>
          <cell r="B3610" t="str">
            <v>030122</v>
          </cell>
          <cell r="C3610" t="str">
            <v>UD</v>
          </cell>
          <cell r="D3610" t="str">
            <v>UD</v>
          </cell>
          <cell r="E3610" t="str">
            <v>33040</v>
          </cell>
        </row>
        <row r="3611">
          <cell r="A3611" t="str">
            <v>TORVISCOSA</v>
          </cell>
          <cell r="B3611" t="str">
            <v>030123</v>
          </cell>
          <cell r="C3611" t="str">
            <v>UD</v>
          </cell>
          <cell r="D3611" t="str">
            <v>UD</v>
          </cell>
          <cell r="E3611" t="str">
            <v>33050</v>
          </cell>
        </row>
        <row r="3612">
          <cell r="A3612" t="str">
            <v>TRASAGHIS</v>
          </cell>
          <cell r="B3612" t="str">
            <v>030124</v>
          </cell>
          <cell r="C3612" t="str">
            <v>UD</v>
          </cell>
          <cell r="D3612" t="str">
            <v>UD</v>
          </cell>
          <cell r="E3612" t="str">
            <v>33010</v>
          </cell>
        </row>
        <row r="3613">
          <cell r="A3613" t="str">
            <v>TREPPO GRANDE</v>
          </cell>
          <cell r="B3613" t="str">
            <v>030126</v>
          </cell>
          <cell r="C3613" t="str">
            <v>UD</v>
          </cell>
          <cell r="D3613" t="str">
            <v>UD</v>
          </cell>
          <cell r="E3613" t="str">
            <v>33010</v>
          </cell>
        </row>
        <row r="3614">
          <cell r="A3614" t="str">
            <v>TRICESIMO</v>
          </cell>
          <cell r="B3614" t="str">
            <v>030127</v>
          </cell>
          <cell r="C3614" t="str">
            <v>UD</v>
          </cell>
          <cell r="D3614" t="str">
            <v>UD</v>
          </cell>
          <cell r="E3614" t="str">
            <v>33019</v>
          </cell>
        </row>
        <row r="3615">
          <cell r="A3615" t="str">
            <v>TRIVIGNANO UDINESE</v>
          </cell>
          <cell r="B3615" t="str">
            <v>030128</v>
          </cell>
          <cell r="C3615" t="str">
            <v>UD</v>
          </cell>
          <cell r="D3615" t="str">
            <v>UD</v>
          </cell>
          <cell r="E3615" t="str">
            <v>33050</v>
          </cell>
        </row>
        <row r="3616">
          <cell r="A3616" t="str">
            <v>UDINE</v>
          </cell>
          <cell r="B3616" t="str">
            <v>030129</v>
          </cell>
          <cell r="C3616" t="str">
            <v>UD</v>
          </cell>
          <cell r="D3616" t="str">
            <v>UD</v>
          </cell>
          <cell r="E3616" t="str">
            <v>33100</v>
          </cell>
        </row>
        <row r="3617">
          <cell r="A3617" t="str">
            <v>VARMO</v>
          </cell>
          <cell r="B3617" t="str">
            <v>030130</v>
          </cell>
          <cell r="C3617" t="str">
            <v>UD</v>
          </cell>
          <cell r="D3617" t="str">
            <v>UD</v>
          </cell>
          <cell r="E3617" t="str">
            <v>33030</v>
          </cell>
        </row>
        <row r="3618">
          <cell r="A3618" t="str">
            <v>VENZONE</v>
          </cell>
          <cell r="B3618" t="str">
            <v>030131</v>
          </cell>
          <cell r="C3618" t="str">
            <v>UD</v>
          </cell>
          <cell r="D3618" t="str">
            <v>UD</v>
          </cell>
          <cell r="E3618" t="str">
            <v>33010</v>
          </cell>
        </row>
        <row r="3619">
          <cell r="A3619" t="str">
            <v>VERZEGNIS</v>
          </cell>
          <cell r="B3619" t="str">
            <v>030132</v>
          </cell>
          <cell r="C3619" t="str">
            <v>UD</v>
          </cell>
          <cell r="D3619" t="str">
            <v>UD</v>
          </cell>
          <cell r="E3619" t="str">
            <v>33020</v>
          </cell>
        </row>
        <row r="3620">
          <cell r="A3620" t="str">
            <v>VILLA SANTINA</v>
          </cell>
          <cell r="B3620" t="str">
            <v>030133</v>
          </cell>
          <cell r="C3620" t="str">
            <v>UD</v>
          </cell>
          <cell r="D3620" t="str">
            <v>UD</v>
          </cell>
          <cell r="E3620" t="str">
            <v>33029</v>
          </cell>
        </row>
        <row r="3621">
          <cell r="A3621" t="str">
            <v>VISCO</v>
          </cell>
          <cell r="B3621" t="str">
            <v>030135</v>
          </cell>
          <cell r="C3621" t="str">
            <v>UD</v>
          </cell>
          <cell r="D3621" t="str">
            <v>UD</v>
          </cell>
          <cell r="E3621" t="str">
            <v>33040</v>
          </cell>
        </row>
        <row r="3622">
          <cell r="A3622" t="str">
            <v>ZUGLIO</v>
          </cell>
          <cell r="B3622" t="str">
            <v>030136</v>
          </cell>
          <cell r="C3622" t="str">
            <v>UD</v>
          </cell>
          <cell r="D3622" t="str">
            <v>UD</v>
          </cell>
          <cell r="E3622" t="str">
            <v>33020</v>
          </cell>
        </row>
        <row r="3623">
          <cell r="A3623" t="str">
            <v>FORGARIA NEL FRIULI</v>
          </cell>
          <cell r="B3623" t="str">
            <v>030137</v>
          </cell>
          <cell r="C3623" t="str">
            <v>UD</v>
          </cell>
          <cell r="D3623" t="str">
            <v>UD</v>
          </cell>
          <cell r="E3623" t="str">
            <v>33030</v>
          </cell>
        </row>
        <row r="3624">
          <cell r="A3624" t="str">
            <v>CAMPOLONGO TAPOGLIANO</v>
          </cell>
          <cell r="B3624" t="str">
            <v>030138</v>
          </cell>
          <cell r="C3624" t="str">
            <v>UD</v>
          </cell>
          <cell r="D3624" t="str">
            <v>UD</v>
          </cell>
          <cell r="E3624" t="str">
            <v>33040</v>
          </cell>
        </row>
        <row r="3625">
          <cell r="A3625" t="str">
            <v>RIVIGNANO TEOR</v>
          </cell>
          <cell r="B3625" t="str">
            <v>030188</v>
          </cell>
          <cell r="C3625" t="str">
            <v>UD</v>
          </cell>
          <cell r="D3625" t="e">
            <v>#N/A</v>
          </cell>
          <cell r="E3625" t="e">
            <v>#N/A</v>
          </cell>
        </row>
        <row r="3626">
          <cell r="A3626" t="str">
            <v>SAPPADA</v>
          </cell>
          <cell r="B3626" t="str">
            <v>030189</v>
          </cell>
          <cell r="C3626" t="str">
            <v>UD</v>
          </cell>
          <cell r="D3626" t="str">
            <v>BL</v>
          </cell>
          <cell r="E3626" t="str">
            <v>32047</v>
          </cell>
        </row>
        <row r="3627">
          <cell r="A3627" t="str">
            <v>FIUMICELLO VILLA VICENTINA</v>
          </cell>
          <cell r="B3627" t="str">
            <v>030190</v>
          </cell>
          <cell r="C3627" t="str">
            <v>UD</v>
          </cell>
          <cell r="D3627" t="e">
            <v>#N/A</v>
          </cell>
          <cell r="E3627" t="e">
            <v>#N/A</v>
          </cell>
        </row>
        <row r="3628">
          <cell r="A3628" t="str">
            <v>TREPPO LIGOSULLO</v>
          </cell>
          <cell r="B3628" t="str">
            <v>030191</v>
          </cell>
          <cell r="C3628" t="str">
            <v>UD</v>
          </cell>
          <cell r="D3628" t="e">
            <v>#N/A</v>
          </cell>
          <cell r="E3628" t="e">
            <v>#N/A</v>
          </cell>
        </row>
        <row r="3629">
          <cell r="A3629" t="str">
            <v>CAPRIVA DEL FRIULI</v>
          </cell>
          <cell r="B3629" t="str">
            <v>031001</v>
          </cell>
          <cell r="C3629" t="str">
            <v>GO</v>
          </cell>
          <cell r="D3629" t="str">
            <v>GO</v>
          </cell>
          <cell r="E3629" t="str">
            <v>34070</v>
          </cell>
        </row>
        <row r="3630">
          <cell r="A3630" t="str">
            <v>CORMONS</v>
          </cell>
          <cell r="B3630" t="str">
            <v>031002</v>
          </cell>
          <cell r="C3630" t="str">
            <v>GO</v>
          </cell>
          <cell r="D3630" t="str">
            <v>GO</v>
          </cell>
          <cell r="E3630" t="str">
            <v>34071</v>
          </cell>
        </row>
        <row r="3631">
          <cell r="A3631" t="str">
            <v>DOBERDÒ DEL LAGO</v>
          </cell>
          <cell r="B3631" t="str">
            <v>031003</v>
          </cell>
          <cell r="C3631" t="str">
            <v>GO</v>
          </cell>
          <cell r="D3631" t="str">
            <v>GO</v>
          </cell>
          <cell r="E3631" t="str">
            <v>34070</v>
          </cell>
        </row>
        <row r="3632">
          <cell r="A3632" t="str">
            <v>DOLEGNA DEL COLLIO</v>
          </cell>
          <cell r="B3632" t="str">
            <v>031004</v>
          </cell>
          <cell r="C3632" t="str">
            <v>GO</v>
          </cell>
          <cell r="D3632" t="str">
            <v>GO</v>
          </cell>
          <cell r="E3632" t="str">
            <v>34070</v>
          </cell>
        </row>
        <row r="3633">
          <cell r="A3633" t="str">
            <v>FARRA D'ISONZO</v>
          </cell>
          <cell r="B3633" t="str">
            <v>031005</v>
          </cell>
          <cell r="C3633" t="str">
            <v>GO</v>
          </cell>
          <cell r="D3633" t="str">
            <v>GO</v>
          </cell>
          <cell r="E3633" t="str">
            <v>34072</v>
          </cell>
        </row>
        <row r="3634">
          <cell r="A3634" t="str">
            <v>FOGLIANO REDIPUGLIA</v>
          </cell>
          <cell r="B3634" t="str">
            <v>031006</v>
          </cell>
          <cell r="C3634" t="str">
            <v>GO</v>
          </cell>
          <cell r="D3634" t="str">
            <v>GO</v>
          </cell>
          <cell r="E3634" t="str">
            <v>34070</v>
          </cell>
        </row>
        <row r="3635">
          <cell r="A3635" t="str">
            <v>GORIZIA</v>
          </cell>
          <cell r="B3635" t="str">
            <v>031007</v>
          </cell>
          <cell r="C3635" t="str">
            <v>GO</v>
          </cell>
          <cell r="D3635" t="str">
            <v>GO</v>
          </cell>
          <cell r="E3635" t="str">
            <v>34170</v>
          </cell>
        </row>
        <row r="3636">
          <cell r="A3636" t="str">
            <v>GRADISCA D'ISONZO</v>
          </cell>
          <cell r="B3636" t="str">
            <v>031008</v>
          </cell>
          <cell r="C3636" t="str">
            <v>GO</v>
          </cell>
          <cell r="D3636" t="str">
            <v>GO</v>
          </cell>
          <cell r="E3636" t="str">
            <v>34072</v>
          </cell>
        </row>
        <row r="3637">
          <cell r="A3637" t="str">
            <v>GRADO</v>
          </cell>
          <cell r="B3637" t="str">
            <v>031009</v>
          </cell>
          <cell r="C3637" t="str">
            <v>GO</v>
          </cell>
          <cell r="D3637" t="str">
            <v>GO</v>
          </cell>
          <cell r="E3637" t="str">
            <v>34073</v>
          </cell>
        </row>
        <row r="3638">
          <cell r="A3638" t="str">
            <v>MARIANO DEL FRIULI</v>
          </cell>
          <cell r="B3638" t="str">
            <v>031010</v>
          </cell>
          <cell r="C3638" t="str">
            <v>GO</v>
          </cell>
          <cell r="D3638" t="str">
            <v>GO</v>
          </cell>
          <cell r="E3638" t="str">
            <v>34070</v>
          </cell>
        </row>
        <row r="3639">
          <cell r="A3639" t="str">
            <v>MEDEA</v>
          </cell>
          <cell r="B3639" t="str">
            <v>031011</v>
          </cell>
          <cell r="C3639" t="str">
            <v>GO</v>
          </cell>
          <cell r="D3639" t="str">
            <v>GO</v>
          </cell>
          <cell r="E3639" t="str">
            <v>34076</v>
          </cell>
        </row>
        <row r="3640">
          <cell r="A3640" t="str">
            <v>MONFALCONE</v>
          </cell>
          <cell r="B3640" t="str">
            <v>031012</v>
          </cell>
          <cell r="C3640" t="str">
            <v>GO</v>
          </cell>
          <cell r="D3640" t="str">
            <v>GO</v>
          </cell>
          <cell r="E3640" t="str">
            <v>34074</v>
          </cell>
        </row>
        <row r="3641">
          <cell r="A3641" t="str">
            <v>MORARO</v>
          </cell>
          <cell r="B3641" t="str">
            <v>031013</v>
          </cell>
          <cell r="C3641" t="str">
            <v>GO</v>
          </cell>
          <cell r="D3641" t="str">
            <v>GO</v>
          </cell>
          <cell r="E3641" t="str">
            <v>34070</v>
          </cell>
        </row>
        <row r="3642">
          <cell r="A3642" t="str">
            <v>MOSSA</v>
          </cell>
          <cell r="B3642" t="str">
            <v>031014</v>
          </cell>
          <cell r="C3642" t="str">
            <v>GO</v>
          </cell>
          <cell r="D3642" t="str">
            <v>GO</v>
          </cell>
          <cell r="E3642" t="str">
            <v>34070</v>
          </cell>
        </row>
        <row r="3643">
          <cell r="A3643" t="str">
            <v>ROMANS D'ISONZO</v>
          </cell>
          <cell r="B3643" t="str">
            <v>031015</v>
          </cell>
          <cell r="C3643" t="str">
            <v>GO</v>
          </cell>
          <cell r="D3643" t="str">
            <v>GO</v>
          </cell>
          <cell r="E3643" t="str">
            <v>34076</v>
          </cell>
        </row>
        <row r="3644">
          <cell r="A3644" t="str">
            <v>RONCHI DEI LEGIONARI</v>
          </cell>
          <cell r="B3644" t="str">
            <v>031016</v>
          </cell>
          <cell r="C3644" t="str">
            <v>GO</v>
          </cell>
          <cell r="D3644" t="str">
            <v>GO</v>
          </cell>
          <cell r="E3644" t="str">
            <v>34077</v>
          </cell>
        </row>
        <row r="3645">
          <cell r="A3645" t="str">
            <v>SAGRADO</v>
          </cell>
          <cell r="B3645" t="str">
            <v>031017</v>
          </cell>
          <cell r="C3645" t="str">
            <v>GO</v>
          </cell>
          <cell r="D3645" t="str">
            <v>GO</v>
          </cell>
          <cell r="E3645" t="str">
            <v>34078</v>
          </cell>
        </row>
        <row r="3646">
          <cell r="A3646" t="str">
            <v>SAN CANZIAN D'ISONZO</v>
          </cell>
          <cell r="B3646" t="str">
            <v>031018</v>
          </cell>
          <cell r="C3646" t="str">
            <v>GO</v>
          </cell>
          <cell r="D3646" t="str">
            <v>GO</v>
          </cell>
          <cell r="E3646" t="str">
            <v>34075</v>
          </cell>
        </row>
        <row r="3647">
          <cell r="A3647" t="str">
            <v>SAN FLORIANO DEL COLLIO</v>
          </cell>
          <cell r="B3647" t="str">
            <v>031019</v>
          </cell>
          <cell r="C3647" t="str">
            <v>GO</v>
          </cell>
          <cell r="D3647" t="str">
            <v>GO</v>
          </cell>
          <cell r="E3647" t="str">
            <v>34070</v>
          </cell>
        </row>
        <row r="3648">
          <cell r="A3648" t="str">
            <v>SAN LORENZO ISONTINO</v>
          </cell>
          <cell r="B3648" t="str">
            <v>031020</v>
          </cell>
          <cell r="C3648" t="str">
            <v>GO</v>
          </cell>
          <cell r="D3648" t="str">
            <v>GO</v>
          </cell>
          <cell r="E3648" t="str">
            <v>34070</v>
          </cell>
        </row>
        <row r="3649">
          <cell r="A3649" t="str">
            <v>SAN PIER D'ISONZO</v>
          </cell>
          <cell r="B3649" t="str">
            <v>031021</v>
          </cell>
          <cell r="C3649" t="str">
            <v>GO</v>
          </cell>
          <cell r="D3649" t="str">
            <v>GO</v>
          </cell>
          <cell r="E3649" t="str">
            <v>34070</v>
          </cell>
        </row>
        <row r="3650">
          <cell r="A3650" t="str">
            <v>SAVOGNA D'ISONZO</v>
          </cell>
          <cell r="B3650" t="str">
            <v>031022</v>
          </cell>
          <cell r="C3650" t="str">
            <v>GO</v>
          </cell>
          <cell r="D3650" t="str">
            <v>GO</v>
          </cell>
          <cell r="E3650" t="str">
            <v>34070</v>
          </cell>
        </row>
        <row r="3651">
          <cell r="A3651" t="str">
            <v>STARANZANO</v>
          </cell>
          <cell r="B3651" t="str">
            <v>031023</v>
          </cell>
          <cell r="C3651" t="str">
            <v>GO</v>
          </cell>
          <cell r="D3651" t="str">
            <v>GO</v>
          </cell>
          <cell r="E3651" t="str">
            <v>34079</v>
          </cell>
        </row>
        <row r="3652">
          <cell r="A3652" t="str">
            <v>TURRIACO</v>
          </cell>
          <cell r="B3652" t="str">
            <v>031024</v>
          </cell>
          <cell r="C3652" t="str">
            <v>GO</v>
          </cell>
          <cell r="D3652" t="str">
            <v>GO</v>
          </cell>
          <cell r="E3652" t="str">
            <v>34070</v>
          </cell>
        </row>
        <row r="3653">
          <cell r="A3653" t="str">
            <v>VILLESSE</v>
          </cell>
          <cell r="B3653" t="str">
            <v>031025</v>
          </cell>
          <cell r="C3653" t="str">
            <v>GO</v>
          </cell>
          <cell r="D3653" t="str">
            <v>GO</v>
          </cell>
          <cell r="E3653" t="str">
            <v>34070</v>
          </cell>
        </row>
        <row r="3654">
          <cell r="A3654" t="str">
            <v>DUINO-AURISINA</v>
          </cell>
          <cell r="B3654" t="str">
            <v>032001</v>
          </cell>
          <cell r="C3654" t="str">
            <v>TS</v>
          </cell>
          <cell r="D3654" t="str">
            <v>TS</v>
          </cell>
          <cell r="E3654" t="str">
            <v>34011</v>
          </cell>
        </row>
        <row r="3655">
          <cell r="A3655" t="str">
            <v>MONRUPINO</v>
          </cell>
          <cell r="B3655" t="str">
            <v>032002</v>
          </cell>
          <cell r="C3655" t="str">
            <v>TS</v>
          </cell>
          <cell r="D3655" t="str">
            <v>TS</v>
          </cell>
          <cell r="E3655" t="str">
            <v>34016</v>
          </cell>
        </row>
        <row r="3656">
          <cell r="A3656" t="str">
            <v>MUGGIA</v>
          </cell>
          <cell r="B3656" t="str">
            <v>032003</v>
          </cell>
          <cell r="C3656" t="str">
            <v>TS</v>
          </cell>
          <cell r="D3656" t="str">
            <v>TS</v>
          </cell>
          <cell r="E3656" t="str">
            <v>34015</v>
          </cell>
        </row>
        <row r="3657">
          <cell r="A3657" t="str">
            <v>SAN DORLIGO DELLA VALLE-DOLINA</v>
          </cell>
          <cell r="B3657" t="str">
            <v>032004</v>
          </cell>
          <cell r="C3657" t="str">
            <v>TS</v>
          </cell>
          <cell r="D3657" t="e">
            <v>#N/A</v>
          </cell>
          <cell r="E3657" t="e">
            <v>#N/A</v>
          </cell>
        </row>
        <row r="3658">
          <cell r="A3658" t="str">
            <v>SGONICO</v>
          </cell>
          <cell r="B3658" t="str">
            <v>032005</v>
          </cell>
          <cell r="C3658" t="str">
            <v>TS</v>
          </cell>
          <cell r="D3658" t="str">
            <v>TS</v>
          </cell>
          <cell r="E3658" t="str">
            <v>34010</v>
          </cell>
        </row>
        <row r="3659">
          <cell r="A3659" t="str">
            <v>TRIESTE</v>
          </cell>
          <cell r="B3659" t="str">
            <v>032006</v>
          </cell>
          <cell r="C3659" t="str">
            <v>TS</v>
          </cell>
          <cell r="D3659" t="str">
            <v>TS</v>
          </cell>
          <cell r="E3659" t="str">
            <v>341xx</v>
          </cell>
        </row>
        <row r="3660">
          <cell r="A3660" t="str">
            <v>AGAZZANO</v>
          </cell>
          <cell r="B3660" t="str">
            <v>033001</v>
          </cell>
          <cell r="C3660" t="str">
            <v>PC</v>
          </cell>
          <cell r="D3660" t="str">
            <v>PC</v>
          </cell>
          <cell r="E3660" t="str">
            <v>29010</v>
          </cell>
        </row>
        <row r="3661">
          <cell r="A3661" t="str">
            <v>ALSENO</v>
          </cell>
          <cell r="B3661" t="str">
            <v>033002</v>
          </cell>
          <cell r="C3661" t="str">
            <v>PC</v>
          </cell>
          <cell r="D3661" t="str">
            <v>PC</v>
          </cell>
          <cell r="E3661" t="str">
            <v>29010</v>
          </cell>
        </row>
        <row r="3662">
          <cell r="A3662" t="str">
            <v>BESENZONE</v>
          </cell>
          <cell r="B3662" t="str">
            <v>033003</v>
          </cell>
          <cell r="C3662" t="str">
            <v>PC</v>
          </cell>
          <cell r="D3662" t="str">
            <v>PC</v>
          </cell>
          <cell r="E3662" t="str">
            <v>29010</v>
          </cell>
        </row>
        <row r="3663">
          <cell r="A3663" t="str">
            <v>BETTOLA</v>
          </cell>
          <cell r="B3663" t="str">
            <v>033004</v>
          </cell>
          <cell r="C3663" t="str">
            <v>PC</v>
          </cell>
          <cell r="D3663" t="str">
            <v>PC</v>
          </cell>
          <cell r="E3663" t="str">
            <v>29021</v>
          </cell>
        </row>
        <row r="3664">
          <cell r="A3664" t="str">
            <v>BOBBIO</v>
          </cell>
          <cell r="B3664" t="str">
            <v>033005</v>
          </cell>
          <cell r="C3664" t="str">
            <v>PC</v>
          </cell>
          <cell r="D3664" t="str">
            <v>PC</v>
          </cell>
          <cell r="E3664" t="str">
            <v>29022</v>
          </cell>
        </row>
        <row r="3665">
          <cell r="A3665" t="str">
            <v>BORGONOVO VAL TIDONE</v>
          </cell>
          <cell r="B3665" t="str">
            <v>033006</v>
          </cell>
          <cell r="C3665" t="str">
            <v>PC</v>
          </cell>
          <cell r="D3665" t="str">
            <v>PC</v>
          </cell>
          <cell r="E3665" t="str">
            <v>29011</v>
          </cell>
        </row>
        <row r="3666">
          <cell r="A3666" t="str">
            <v>CADEO</v>
          </cell>
          <cell r="B3666" t="str">
            <v>033007</v>
          </cell>
          <cell r="C3666" t="str">
            <v>PC</v>
          </cell>
          <cell r="D3666" t="str">
            <v>PC</v>
          </cell>
          <cell r="E3666" t="str">
            <v>29010</v>
          </cell>
        </row>
        <row r="3667">
          <cell r="A3667" t="str">
            <v>CALENDASCO</v>
          </cell>
          <cell r="B3667" t="str">
            <v>033008</v>
          </cell>
          <cell r="C3667" t="str">
            <v>PC</v>
          </cell>
          <cell r="D3667" t="str">
            <v>PC</v>
          </cell>
          <cell r="E3667" t="str">
            <v>29010</v>
          </cell>
        </row>
        <row r="3668">
          <cell r="A3668" t="str">
            <v>CAORSO</v>
          </cell>
          <cell r="B3668" t="str">
            <v>033010</v>
          </cell>
          <cell r="C3668" t="str">
            <v>PC</v>
          </cell>
          <cell r="D3668" t="str">
            <v>PC</v>
          </cell>
          <cell r="E3668" t="str">
            <v>29012</v>
          </cell>
        </row>
        <row r="3669">
          <cell r="A3669" t="str">
            <v>CARPANETO PIACENTINO</v>
          </cell>
          <cell r="B3669" t="str">
            <v>033011</v>
          </cell>
          <cell r="C3669" t="str">
            <v>PC</v>
          </cell>
          <cell r="D3669" t="str">
            <v>PC</v>
          </cell>
          <cell r="E3669" t="str">
            <v>29013</v>
          </cell>
        </row>
        <row r="3670">
          <cell r="A3670" t="str">
            <v>CASTELL'ARQUATO</v>
          </cell>
          <cell r="B3670" t="str">
            <v>033012</v>
          </cell>
          <cell r="C3670" t="str">
            <v>PC</v>
          </cell>
          <cell r="D3670" t="str">
            <v>PC</v>
          </cell>
          <cell r="E3670" t="str">
            <v>29014</v>
          </cell>
        </row>
        <row r="3671">
          <cell r="A3671" t="str">
            <v>CASTEL SAN GIOVANNI</v>
          </cell>
          <cell r="B3671" t="str">
            <v>033013</v>
          </cell>
          <cell r="C3671" t="str">
            <v>PC</v>
          </cell>
          <cell r="D3671" t="str">
            <v>PC</v>
          </cell>
          <cell r="E3671" t="str">
            <v>29015</v>
          </cell>
        </row>
        <row r="3672">
          <cell r="A3672" t="str">
            <v>CASTELVETRO PIACENTINO</v>
          </cell>
          <cell r="B3672" t="str">
            <v>033014</v>
          </cell>
          <cell r="C3672" t="str">
            <v>PC</v>
          </cell>
          <cell r="D3672" t="str">
            <v>PC</v>
          </cell>
          <cell r="E3672" t="str">
            <v>29010</v>
          </cell>
        </row>
        <row r="3673">
          <cell r="A3673" t="str">
            <v>CERIGNALE</v>
          </cell>
          <cell r="B3673" t="str">
            <v>033015</v>
          </cell>
          <cell r="C3673" t="str">
            <v>PC</v>
          </cell>
          <cell r="D3673" t="str">
            <v>PC</v>
          </cell>
          <cell r="E3673" t="str">
            <v>29020</v>
          </cell>
        </row>
        <row r="3674">
          <cell r="A3674" t="str">
            <v>COLI</v>
          </cell>
          <cell r="B3674" t="str">
            <v>033016</v>
          </cell>
          <cell r="C3674" t="str">
            <v>PC</v>
          </cell>
          <cell r="D3674" t="str">
            <v>PC</v>
          </cell>
          <cell r="E3674" t="str">
            <v>29020</v>
          </cell>
        </row>
        <row r="3675">
          <cell r="A3675" t="str">
            <v>CORTE BRUGNATELLA</v>
          </cell>
          <cell r="B3675" t="str">
            <v>033017</v>
          </cell>
          <cell r="C3675" t="str">
            <v>PC</v>
          </cell>
          <cell r="D3675" t="str">
            <v>PC</v>
          </cell>
          <cell r="E3675" t="str">
            <v>29020</v>
          </cell>
        </row>
        <row r="3676">
          <cell r="A3676" t="str">
            <v>CORTEMAGGIORE</v>
          </cell>
          <cell r="B3676" t="str">
            <v>033018</v>
          </cell>
          <cell r="C3676" t="str">
            <v>PC</v>
          </cell>
          <cell r="D3676" t="str">
            <v>PC</v>
          </cell>
          <cell r="E3676" t="str">
            <v>29016</v>
          </cell>
        </row>
        <row r="3677">
          <cell r="A3677" t="str">
            <v>FARINI</v>
          </cell>
          <cell r="B3677" t="str">
            <v>033019</v>
          </cell>
          <cell r="C3677" t="str">
            <v>PC</v>
          </cell>
          <cell r="D3677" t="str">
            <v>PC</v>
          </cell>
          <cell r="E3677" t="str">
            <v>29023</v>
          </cell>
        </row>
        <row r="3678">
          <cell r="A3678" t="str">
            <v>FERRIERE</v>
          </cell>
          <cell r="B3678" t="str">
            <v>033020</v>
          </cell>
          <cell r="C3678" t="str">
            <v>PC</v>
          </cell>
          <cell r="D3678" t="str">
            <v>PC</v>
          </cell>
          <cell r="E3678" t="str">
            <v>29024</v>
          </cell>
        </row>
        <row r="3679">
          <cell r="A3679" t="str">
            <v>FIORENZUOLA D'ARDA</v>
          </cell>
          <cell r="B3679" t="str">
            <v>033021</v>
          </cell>
          <cell r="C3679" t="str">
            <v>PC</v>
          </cell>
          <cell r="D3679" t="str">
            <v>PC</v>
          </cell>
          <cell r="E3679" t="str">
            <v>29017</v>
          </cell>
        </row>
        <row r="3680">
          <cell r="A3680" t="str">
            <v>GAZZOLA</v>
          </cell>
          <cell r="B3680" t="str">
            <v>033022</v>
          </cell>
          <cell r="C3680" t="str">
            <v>PC</v>
          </cell>
          <cell r="D3680" t="str">
            <v>PC</v>
          </cell>
          <cell r="E3680" t="str">
            <v>29010</v>
          </cell>
        </row>
        <row r="3681">
          <cell r="A3681" t="str">
            <v>GOSSOLENGO</v>
          </cell>
          <cell r="B3681" t="str">
            <v>033023</v>
          </cell>
          <cell r="C3681" t="str">
            <v>PC</v>
          </cell>
          <cell r="D3681" t="str">
            <v>PC</v>
          </cell>
          <cell r="E3681" t="str">
            <v>29020</v>
          </cell>
        </row>
        <row r="3682">
          <cell r="A3682" t="str">
            <v>GRAGNANO TREBBIENSE</v>
          </cell>
          <cell r="B3682" t="str">
            <v>033024</v>
          </cell>
          <cell r="C3682" t="str">
            <v>PC</v>
          </cell>
          <cell r="D3682" t="str">
            <v>PC</v>
          </cell>
          <cell r="E3682" t="str">
            <v>29010</v>
          </cell>
        </row>
        <row r="3683">
          <cell r="A3683" t="str">
            <v>GROPPARELLO</v>
          </cell>
          <cell r="B3683" t="str">
            <v>033025</v>
          </cell>
          <cell r="C3683" t="str">
            <v>PC</v>
          </cell>
          <cell r="D3683" t="str">
            <v>PC</v>
          </cell>
          <cell r="E3683" t="str">
            <v>29025</v>
          </cell>
        </row>
        <row r="3684">
          <cell r="A3684" t="str">
            <v>LUGAGNANO VAL D'ARDA</v>
          </cell>
          <cell r="B3684" t="str">
            <v>033026</v>
          </cell>
          <cell r="C3684" t="str">
            <v>PC</v>
          </cell>
          <cell r="D3684" t="str">
            <v>PC</v>
          </cell>
          <cell r="E3684" t="str">
            <v>29018</v>
          </cell>
        </row>
        <row r="3685">
          <cell r="A3685" t="str">
            <v>MONTICELLI D'ONGINA</v>
          </cell>
          <cell r="B3685" t="str">
            <v>033027</v>
          </cell>
          <cell r="C3685" t="str">
            <v>PC</v>
          </cell>
          <cell r="D3685" t="str">
            <v>PC</v>
          </cell>
          <cell r="E3685" t="str">
            <v>29010</v>
          </cell>
        </row>
        <row r="3686">
          <cell r="A3686" t="str">
            <v>MORFASSO</v>
          </cell>
          <cell r="B3686" t="str">
            <v>033028</v>
          </cell>
          <cell r="C3686" t="str">
            <v>PC</v>
          </cell>
          <cell r="D3686" t="str">
            <v>PC</v>
          </cell>
          <cell r="E3686" t="str">
            <v>29020</v>
          </cell>
        </row>
        <row r="3687">
          <cell r="A3687" t="str">
            <v>OTTONE</v>
          </cell>
          <cell r="B3687" t="str">
            <v>033030</v>
          </cell>
          <cell r="C3687" t="str">
            <v>PC</v>
          </cell>
          <cell r="D3687" t="str">
            <v>PC</v>
          </cell>
          <cell r="E3687" t="str">
            <v>29026</v>
          </cell>
        </row>
        <row r="3688">
          <cell r="A3688" t="str">
            <v>PIACENZA</v>
          </cell>
          <cell r="B3688" t="str">
            <v>033032</v>
          </cell>
          <cell r="C3688" t="str">
            <v>PC</v>
          </cell>
          <cell r="D3688" t="str">
            <v>PC</v>
          </cell>
          <cell r="E3688" t="str">
            <v>2912x</v>
          </cell>
        </row>
        <row r="3689">
          <cell r="A3689" t="str">
            <v>PIANELLO VAL TIDONE</v>
          </cell>
          <cell r="B3689" t="str">
            <v>033033</v>
          </cell>
          <cell r="C3689" t="str">
            <v>PC</v>
          </cell>
          <cell r="D3689" t="str">
            <v>PC</v>
          </cell>
          <cell r="E3689" t="str">
            <v>29010</v>
          </cell>
        </row>
        <row r="3690">
          <cell r="A3690" t="str">
            <v>PIOZZANO</v>
          </cell>
          <cell r="B3690" t="str">
            <v>033034</v>
          </cell>
          <cell r="C3690" t="str">
            <v>PC</v>
          </cell>
          <cell r="D3690" t="str">
            <v>PC</v>
          </cell>
          <cell r="E3690" t="str">
            <v>29010</v>
          </cell>
        </row>
        <row r="3691">
          <cell r="A3691" t="str">
            <v>PODENZANO</v>
          </cell>
          <cell r="B3691" t="str">
            <v>033035</v>
          </cell>
          <cell r="C3691" t="str">
            <v>PC</v>
          </cell>
          <cell r="D3691" t="str">
            <v>PC</v>
          </cell>
          <cell r="E3691" t="str">
            <v>29027</v>
          </cell>
        </row>
        <row r="3692">
          <cell r="A3692" t="str">
            <v>PONTE DELL'OLIO</v>
          </cell>
          <cell r="B3692" t="str">
            <v>033036</v>
          </cell>
          <cell r="C3692" t="str">
            <v>PC</v>
          </cell>
          <cell r="D3692" t="str">
            <v>PC</v>
          </cell>
          <cell r="E3692" t="str">
            <v>29028</v>
          </cell>
        </row>
        <row r="3693">
          <cell r="A3693" t="str">
            <v>PONTENURE</v>
          </cell>
          <cell r="B3693" t="str">
            <v>033037</v>
          </cell>
          <cell r="C3693" t="str">
            <v>PC</v>
          </cell>
          <cell r="D3693" t="str">
            <v>PC</v>
          </cell>
          <cell r="E3693" t="str">
            <v>29010</v>
          </cell>
        </row>
        <row r="3694">
          <cell r="A3694" t="str">
            <v>RIVERGARO</v>
          </cell>
          <cell r="B3694" t="str">
            <v>033038</v>
          </cell>
          <cell r="C3694" t="str">
            <v>PC</v>
          </cell>
          <cell r="D3694" t="str">
            <v>PC</v>
          </cell>
          <cell r="E3694" t="str">
            <v>29029</v>
          </cell>
        </row>
        <row r="3695">
          <cell r="A3695" t="str">
            <v>ROTTOFRENO</v>
          </cell>
          <cell r="B3695" t="str">
            <v>033039</v>
          </cell>
          <cell r="C3695" t="str">
            <v>PC</v>
          </cell>
          <cell r="D3695" t="str">
            <v>PC</v>
          </cell>
          <cell r="E3695" t="str">
            <v>29010</v>
          </cell>
        </row>
        <row r="3696">
          <cell r="A3696" t="str">
            <v>SAN GIORGIO PIACENTINO</v>
          </cell>
          <cell r="B3696" t="str">
            <v>033040</v>
          </cell>
          <cell r="C3696" t="str">
            <v>PC</v>
          </cell>
          <cell r="D3696" t="str">
            <v>PC</v>
          </cell>
          <cell r="E3696" t="str">
            <v>29019</v>
          </cell>
        </row>
        <row r="3697">
          <cell r="A3697" t="str">
            <v>SAN PIETRO IN CERRO</v>
          </cell>
          <cell r="B3697" t="str">
            <v>033041</v>
          </cell>
          <cell r="C3697" t="str">
            <v>PC</v>
          </cell>
          <cell r="D3697" t="str">
            <v>PC</v>
          </cell>
          <cell r="E3697" t="str">
            <v>29010</v>
          </cell>
        </row>
        <row r="3698">
          <cell r="A3698" t="str">
            <v>SARMATO</v>
          </cell>
          <cell r="B3698" t="str">
            <v>033042</v>
          </cell>
          <cell r="C3698" t="str">
            <v>PC</v>
          </cell>
          <cell r="D3698" t="str">
            <v>PC</v>
          </cell>
          <cell r="E3698" t="str">
            <v>29010</v>
          </cell>
        </row>
        <row r="3699">
          <cell r="A3699" t="str">
            <v>TRAVO</v>
          </cell>
          <cell r="B3699" t="str">
            <v>033043</v>
          </cell>
          <cell r="C3699" t="str">
            <v>PC</v>
          </cell>
          <cell r="D3699" t="str">
            <v>PC</v>
          </cell>
          <cell r="E3699" t="str">
            <v>29020</v>
          </cell>
        </row>
        <row r="3700">
          <cell r="A3700" t="str">
            <v>VERNASCA</v>
          </cell>
          <cell r="B3700" t="str">
            <v>033044</v>
          </cell>
          <cell r="C3700" t="str">
            <v>PC</v>
          </cell>
          <cell r="D3700" t="str">
            <v>PC</v>
          </cell>
          <cell r="E3700" t="str">
            <v>29010</v>
          </cell>
        </row>
        <row r="3701">
          <cell r="A3701" t="str">
            <v>VIGOLZONE</v>
          </cell>
          <cell r="B3701" t="str">
            <v>033045</v>
          </cell>
          <cell r="C3701" t="str">
            <v>PC</v>
          </cell>
          <cell r="D3701" t="str">
            <v>PC</v>
          </cell>
          <cell r="E3701" t="str">
            <v>29020</v>
          </cell>
        </row>
        <row r="3702">
          <cell r="A3702" t="str">
            <v>VILLANOVA SULL'ARDA</v>
          </cell>
          <cell r="B3702" t="str">
            <v>033046</v>
          </cell>
          <cell r="C3702" t="str">
            <v>PC</v>
          </cell>
          <cell r="D3702" t="str">
            <v>PC</v>
          </cell>
          <cell r="E3702" t="str">
            <v>29010</v>
          </cell>
        </row>
        <row r="3703">
          <cell r="A3703" t="str">
            <v>ZERBA</v>
          </cell>
          <cell r="B3703" t="str">
            <v>033047</v>
          </cell>
          <cell r="C3703" t="str">
            <v>PC</v>
          </cell>
          <cell r="D3703" t="str">
            <v>PC</v>
          </cell>
          <cell r="E3703" t="str">
            <v>29020</v>
          </cell>
        </row>
        <row r="3704">
          <cell r="A3704" t="str">
            <v>ZIANO PIACENTINO</v>
          </cell>
          <cell r="B3704" t="str">
            <v>033048</v>
          </cell>
          <cell r="C3704" t="str">
            <v>PC</v>
          </cell>
          <cell r="D3704" t="str">
            <v>PC</v>
          </cell>
          <cell r="E3704" t="str">
            <v>29010</v>
          </cell>
        </row>
        <row r="3705">
          <cell r="A3705" t="str">
            <v>ALTA VAL TIDONE</v>
          </cell>
          <cell r="B3705" t="str">
            <v>033049</v>
          </cell>
          <cell r="C3705" t="str">
            <v>PC</v>
          </cell>
          <cell r="D3705" t="e">
            <v>#N/A</v>
          </cell>
          <cell r="E3705" t="e">
            <v>#N/A</v>
          </cell>
        </row>
        <row r="3706">
          <cell r="A3706" t="str">
            <v>ALBARETO</v>
          </cell>
          <cell r="B3706" t="str">
            <v>034001</v>
          </cell>
          <cell r="C3706" t="str">
            <v>PR</v>
          </cell>
          <cell r="D3706" t="str">
            <v>PR</v>
          </cell>
          <cell r="E3706" t="str">
            <v>43051</v>
          </cell>
        </row>
        <row r="3707">
          <cell r="A3707" t="str">
            <v>BARDI</v>
          </cell>
          <cell r="B3707" t="str">
            <v>034002</v>
          </cell>
          <cell r="C3707" t="str">
            <v>PR</v>
          </cell>
          <cell r="D3707" t="str">
            <v>PR</v>
          </cell>
          <cell r="E3707" t="str">
            <v>43032</v>
          </cell>
        </row>
        <row r="3708">
          <cell r="A3708" t="str">
            <v>BEDONIA</v>
          </cell>
          <cell r="B3708" t="str">
            <v>034003</v>
          </cell>
          <cell r="C3708" t="str">
            <v>PR</v>
          </cell>
          <cell r="D3708" t="str">
            <v>PR</v>
          </cell>
          <cell r="E3708" t="str">
            <v>43041</v>
          </cell>
        </row>
        <row r="3709">
          <cell r="A3709" t="str">
            <v>BERCETO</v>
          </cell>
          <cell r="B3709" t="str">
            <v>034004</v>
          </cell>
          <cell r="C3709" t="str">
            <v>PR</v>
          </cell>
          <cell r="D3709" t="str">
            <v>PR</v>
          </cell>
          <cell r="E3709" t="str">
            <v>43042</v>
          </cell>
        </row>
        <row r="3710">
          <cell r="A3710" t="str">
            <v>BORE</v>
          </cell>
          <cell r="B3710" t="str">
            <v>034005</v>
          </cell>
          <cell r="C3710" t="str">
            <v>PR</v>
          </cell>
          <cell r="D3710" t="str">
            <v>PR</v>
          </cell>
          <cell r="E3710" t="str">
            <v>43030</v>
          </cell>
        </row>
        <row r="3711">
          <cell r="A3711" t="str">
            <v>BORGO VAL DI TARO</v>
          </cell>
          <cell r="B3711" t="str">
            <v>034006</v>
          </cell>
          <cell r="C3711" t="str">
            <v>PR</v>
          </cell>
          <cell r="D3711" t="str">
            <v>PR</v>
          </cell>
          <cell r="E3711" t="str">
            <v>43043</v>
          </cell>
        </row>
        <row r="3712">
          <cell r="A3712" t="str">
            <v>BUSSETO</v>
          </cell>
          <cell r="B3712" t="str">
            <v>034007</v>
          </cell>
          <cell r="C3712" t="str">
            <v>PR</v>
          </cell>
          <cell r="D3712" t="str">
            <v>PR</v>
          </cell>
          <cell r="E3712" t="str">
            <v>43011</v>
          </cell>
        </row>
        <row r="3713">
          <cell r="A3713" t="str">
            <v>CALESTANO</v>
          </cell>
          <cell r="B3713" t="str">
            <v>034008</v>
          </cell>
          <cell r="C3713" t="str">
            <v>PR</v>
          </cell>
          <cell r="D3713" t="str">
            <v>PR</v>
          </cell>
          <cell r="E3713" t="str">
            <v>43030</v>
          </cell>
        </row>
        <row r="3714">
          <cell r="A3714" t="str">
            <v>COLLECCHIO</v>
          </cell>
          <cell r="B3714" t="str">
            <v>034009</v>
          </cell>
          <cell r="C3714" t="str">
            <v>PR</v>
          </cell>
          <cell r="D3714" t="str">
            <v>PR</v>
          </cell>
          <cell r="E3714" t="str">
            <v>43044</v>
          </cell>
        </row>
        <row r="3715">
          <cell r="A3715" t="str">
            <v>COLORNO</v>
          </cell>
          <cell r="B3715" t="str">
            <v>034010</v>
          </cell>
          <cell r="C3715" t="str">
            <v>PR</v>
          </cell>
          <cell r="D3715" t="str">
            <v>PR</v>
          </cell>
          <cell r="E3715" t="str">
            <v>43052</v>
          </cell>
        </row>
        <row r="3716">
          <cell r="A3716" t="str">
            <v>COMPIANO</v>
          </cell>
          <cell r="B3716" t="str">
            <v>034011</v>
          </cell>
          <cell r="C3716" t="str">
            <v>PR</v>
          </cell>
          <cell r="D3716" t="str">
            <v>PR</v>
          </cell>
          <cell r="E3716" t="str">
            <v>43053</v>
          </cell>
        </row>
        <row r="3717">
          <cell r="A3717" t="str">
            <v>CORNIGLIO</v>
          </cell>
          <cell r="B3717" t="str">
            <v>034012</v>
          </cell>
          <cell r="C3717" t="str">
            <v>PR</v>
          </cell>
          <cell r="D3717" t="str">
            <v>PR</v>
          </cell>
          <cell r="E3717" t="str">
            <v>43021</v>
          </cell>
        </row>
        <row r="3718">
          <cell r="A3718" t="str">
            <v>FELINO</v>
          </cell>
          <cell r="B3718" t="str">
            <v>034013</v>
          </cell>
          <cell r="C3718" t="str">
            <v>PR</v>
          </cell>
          <cell r="D3718" t="str">
            <v>PR</v>
          </cell>
          <cell r="E3718" t="str">
            <v>43035</v>
          </cell>
        </row>
        <row r="3719">
          <cell r="A3719" t="str">
            <v>FIDENZA</v>
          </cell>
          <cell r="B3719" t="str">
            <v>034014</v>
          </cell>
          <cell r="C3719" t="str">
            <v>PR</v>
          </cell>
          <cell r="D3719" t="str">
            <v>PR</v>
          </cell>
          <cell r="E3719" t="str">
            <v>43036</v>
          </cell>
        </row>
        <row r="3720">
          <cell r="A3720" t="str">
            <v>FONTANELLATO</v>
          </cell>
          <cell r="B3720" t="str">
            <v>034015</v>
          </cell>
          <cell r="C3720" t="str">
            <v>PR</v>
          </cell>
          <cell r="D3720" t="str">
            <v>PR</v>
          </cell>
          <cell r="E3720" t="str">
            <v>43012</v>
          </cell>
        </row>
        <row r="3721">
          <cell r="A3721" t="str">
            <v>FONTEVIVO</v>
          </cell>
          <cell r="B3721" t="str">
            <v>034016</v>
          </cell>
          <cell r="C3721" t="str">
            <v>PR</v>
          </cell>
          <cell r="D3721" t="str">
            <v>PR</v>
          </cell>
          <cell r="E3721" t="str">
            <v>43010</v>
          </cell>
        </row>
        <row r="3722">
          <cell r="A3722" t="str">
            <v>FORNOVO DI TARO</v>
          </cell>
          <cell r="B3722" t="str">
            <v>034017</v>
          </cell>
          <cell r="C3722" t="str">
            <v>PR</v>
          </cell>
          <cell r="D3722" t="str">
            <v>PR</v>
          </cell>
          <cell r="E3722" t="str">
            <v>43045</v>
          </cell>
        </row>
        <row r="3723">
          <cell r="A3723" t="str">
            <v>LANGHIRANO</v>
          </cell>
          <cell r="B3723" t="str">
            <v>034018</v>
          </cell>
          <cell r="C3723" t="str">
            <v>PR</v>
          </cell>
          <cell r="D3723" t="str">
            <v>PR</v>
          </cell>
          <cell r="E3723" t="str">
            <v>43013</v>
          </cell>
        </row>
        <row r="3724">
          <cell r="A3724" t="str">
            <v>LESIGNANO DE' BAGNI</v>
          </cell>
          <cell r="B3724" t="str">
            <v>034019</v>
          </cell>
          <cell r="C3724" t="str">
            <v>PR</v>
          </cell>
          <cell r="D3724" t="str">
            <v>PR</v>
          </cell>
          <cell r="E3724" t="str">
            <v>43037</v>
          </cell>
        </row>
        <row r="3725">
          <cell r="A3725" t="str">
            <v>MEDESANO</v>
          </cell>
          <cell r="B3725" t="str">
            <v>034020</v>
          </cell>
          <cell r="C3725" t="str">
            <v>PR</v>
          </cell>
          <cell r="D3725" t="str">
            <v>PR</v>
          </cell>
          <cell r="E3725" t="str">
            <v>43014</v>
          </cell>
        </row>
        <row r="3726">
          <cell r="A3726" t="str">
            <v>MONCHIO DELLE CORTI</v>
          </cell>
          <cell r="B3726" t="str">
            <v>034022</v>
          </cell>
          <cell r="C3726" t="str">
            <v>PR</v>
          </cell>
          <cell r="D3726" t="str">
            <v>PR</v>
          </cell>
          <cell r="E3726" t="str">
            <v>43010</v>
          </cell>
        </row>
        <row r="3727">
          <cell r="A3727" t="str">
            <v>MONTECHIARUGOLO</v>
          </cell>
          <cell r="B3727" t="str">
            <v>034023</v>
          </cell>
          <cell r="C3727" t="str">
            <v>PR</v>
          </cell>
          <cell r="D3727" t="str">
            <v>PR</v>
          </cell>
          <cell r="E3727" t="str">
            <v>43022</v>
          </cell>
        </row>
        <row r="3728">
          <cell r="A3728" t="str">
            <v>NEVIANO DEGLI ARDUINI</v>
          </cell>
          <cell r="B3728" t="str">
            <v>034024</v>
          </cell>
          <cell r="C3728" t="str">
            <v>PR</v>
          </cell>
          <cell r="D3728" t="str">
            <v>PR</v>
          </cell>
          <cell r="E3728" t="str">
            <v>43024</v>
          </cell>
        </row>
        <row r="3729">
          <cell r="A3729" t="str">
            <v>NOCETO</v>
          </cell>
          <cell r="B3729" t="str">
            <v>034025</v>
          </cell>
          <cell r="C3729" t="str">
            <v>PR</v>
          </cell>
          <cell r="D3729" t="str">
            <v>PR</v>
          </cell>
          <cell r="E3729" t="str">
            <v>43015</v>
          </cell>
        </row>
        <row r="3730">
          <cell r="A3730" t="str">
            <v>PALANZANO</v>
          </cell>
          <cell r="B3730" t="str">
            <v>034026</v>
          </cell>
          <cell r="C3730" t="str">
            <v>PR</v>
          </cell>
          <cell r="D3730" t="str">
            <v>PR</v>
          </cell>
          <cell r="E3730" t="str">
            <v>43025</v>
          </cell>
        </row>
        <row r="3731">
          <cell r="A3731" t="str">
            <v>PARMA</v>
          </cell>
          <cell r="B3731" t="str">
            <v>034027</v>
          </cell>
          <cell r="C3731" t="str">
            <v>PR</v>
          </cell>
          <cell r="D3731" t="str">
            <v>PR</v>
          </cell>
          <cell r="E3731" t="str">
            <v>4312x</v>
          </cell>
        </row>
        <row r="3732">
          <cell r="A3732" t="str">
            <v>PELLEGRINO PARMENSE</v>
          </cell>
          <cell r="B3732" t="str">
            <v>034028</v>
          </cell>
          <cell r="C3732" t="str">
            <v>PR</v>
          </cell>
          <cell r="D3732" t="str">
            <v>PR</v>
          </cell>
          <cell r="E3732" t="str">
            <v>43047</v>
          </cell>
        </row>
        <row r="3733">
          <cell r="A3733" t="str">
            <v>ROCCABIANCA</v>
          </cell>
          <cell r="B3733" t="str">
            <v>034030</v>
          </cell>
          <cell r="C3733" t="str">
            <v>PR</v>
          </cell>
          <cell r="D3733" t="str">
            <v>PR</v>
          </cell>
          <cell r="E3733" t="str">
            <v>43010</v>
          </cell>
        </row>
        <row r="3734">
          <cell r="A3734" t="str">
            <v>SALA BAGANZA</v>
          </cell>
          <cell r="B3734" t="str">
            <v>034031</v>
          </cell>
          <cell r="C3734" t="str">
            <v>PR</v>
          </cell>
          <cell r="D3734" t="str">
            <v>PR</v>
          </cell>
          <cell r="E3734" t="str">
            <v>43038</v>
          </cell>
        </row>
        <row r="3735">
          <cell r="A3735" t="str">
            <v>SALSOMAGGIORE TERME</v>
          </cell>
          <cell r="B3735" t="str">
            <v>034032</v>
          </cell>
          <cell r="C3735" t="str">
            <v>PR</v>
          </cell>
          <cell r="D3735" t="str">
            <v>PR</v>
          </cell>
          <cell r="E3735" t="str">
            <v>43039</v>
          </cell>
        </row>
        <row r="3736">
          <cell r="A3736" t="str">
            <v>SAN SECONDO PARMENSE</v>
          </cell>
          <cell r="B3736" t="str">
            <v>034033</v>
          </cell>
          <cell r="C3736" t="str">
            <v>PR</v>
          </cell>
          <cell r="D3736" t="str">
            <v>PR</v>
          </cell>
          <cell r="E3736" t="str">
            <v>43017</v>
          </cell>
        </row>
        <row r="3737">
          <cell r="A3737" t="str">
            <v>SOLIGNANO</v>
          </cell>
          <cell r="B3737" t="str">
            <v>034035</v>
          </cell>
          <cell r="C3737" t="str">
            <v>PR</v>
          </cell>
          <cell r="D3737" t="str">
            <v>PR</v>
          </cell>
          <cell r="E3737" t="str">
            <v>43040</v>
          </cell>
        </row>
        <row r="3738">
          <cell r="A3738" t="str">
            <v>SORAGNA</v>
          </cell>
          <cell r="B3738" t="str">
            <v>034036</v>
          </cell>
          <cell r="C3738" t="str">
            <v>PR</v>
          </cell>
          <cell r="D3738" t="str">
            <v>PR</v>
          </cell>
          <cell r="E3738" t="str">
            <v>43019</v>
          </cell>
        </row>
        <row r="3739">
          <cell r="A3739" t="str">
            <v>TERENZO</v>
          </cell>
          <cell r="B3739" t="str">
            <v>034038</v>
          </cell>
          <cell r="C3739" t="str">
            <v>PR</v>
          </cell>
          <cell r="D3739" t="str">
            <v>PR</v>
          </cell>
          <cell r="E3739" t="str">
            <v>43040</v>
          </cell>
        </row>
        <row r="3740">
          <cell r="A3740" t="str">
            <v>TIZZANO VAL PARMA</v>
          </cell>
          <cell r="B3740" t="str">
            <v>034039</v>
          </cell>
          <cell r="C3740" t="str">
            <v>PR</v>
          </cell>
          <cell r="D3740" t="str">
            <v>PR</v>
          </cell>
          <cell r="E3740" t="str">
            <v>43028</v>
          </cell>
        </row>
        <row r="3741">
          <cell r="A3741" t="str">
            <v>TORNOLO</v>
          </cell>
          <cell r="B3741" t="str">
            <v>034040</v>
          </cell>
          <cell r="C3741" t="str">
            <v>PR</v>
          </cell>
          <cell r="D3741" t="str">
            <v>PR</v>
          </cell>
          <cell r="E3741" t="str">
            <v>43059</v>
          </cell>
        </row>
        <row r="3742">
          <cell r="A3742" t="str">
            <v>TORRILE</v>
          </cell>
          <cell r="B3742" t="str">
            <v>034041</v>
          </cell>
          <cell r="C3742" t="str">
            <v>PR</v>
          </cell>
          <cell r="D3742" t="str">
            <v>PR</v>
          </cell>
          <cell r="E3742" t="str">
            <v>43056</v>
          </cell>
        </row>
        <row r="3743">
          <cell r="A3743" t="str">
            <v>TRAVERSETOLO</v>
          </cell>
          <cell r="B3743" t="str">
            <v>034042</v>
          </cell>
          <cell r="C3743" t="str">
            <v>PR</v>
          </cell>
          <cell r="D3743" t="str">
            <v>PR</v>
          </cell>
          <cell r="E3743" t="str">
            <v>43029</v>
          </cell>
        </row>
        <row r="3744">
          <cell r="A3744" t="str">
            <v>VALMOZZOLA</v>
          </cell>
          <cell r="B3744" t="str">
            <v>034044</v>
          </cell>
          <cell r="C3744" t="str">
            <v>PR</v>
          </cell>
          <cell r="D3744" t="str">
            <v>PR</v>
          </cell>
          <cell r="E3744" t="str">
            <v>43050</v>
          </cell>
        </row>
        <row r="3745">
          <cell r="A3745" t="str">
            <v>VARANO DE' MELEGARI</v>
          </cell>
          <cell r="B3745" t="str">
            <v>034045</v>
          </cell>
          <cell r="C3745" t="str">
            <v>PR</v>
          </cell>
          <cell r="D3745" t="str">
            <v>PR</v>
          </cell>
          <cell r="E3745" t="str">
            <v>43040</v>
          </cell>
        </row>
        <row r="3746">
          <cell r="A3746" t="str">
            <v>VARSI</v>
          </cell>
          <cell r="B3746" t="str">
            <v>034046</v>
          </cell>
          <cell r="C3746" t="str">
            <v>PR</v>
          </cell>
          <cell r="D3746" t="str">
            <v>PR</v>
          </cell>
          <cell r="E3746" t="str">
            <v>43049</v>
          </cell>
        </row>
        <row r="3747">
          <cell r="A3747" t="str">
            <v>SISSA TRECASALI</v>
          </cell>
          <cell r="B3747" t="str">
            <v>034049</v>
          </cell>
          <cell r="C3747" t="str">
            <v>PR</v>
          </cell>
          <cell r="D3747" t="e">
            <v>#N/A</v>
          </cell>
          <cell r="E3747" t="e">
            <v>#N/A</v>
          </cell>
        </row>
        <row r="3748">
          <cell r="A3748" t="str">
            <v>POLESINE ZIBELLO</v>
          </cell>
          <cell r="B3748" t="str">
            <v>034050</v>
          </cell>
          <cell r="C3748" t="str">
            <v>PR</v>
          </cell>
          <cell r="D3748" t="e">
            <v>#N/A</v>
          </cell>
          <cell r="E3748" t="e">
            <v>#N/A</v>
          </cell>
        </row>
        <row r="3749">
          <cell r="A3749" t="str">
            <v>SORBOLO MEZZANI</v>
          </cell>
          <cell r="B3749" t="str">
            <v>034051</v>
          </cell>
          <cell r="C3749" t="str">
            <v>PR</v>
          </cell>
          <cell r="D3749" t="e">
            <v>#N/A</v>
          </cell>
          <cell r="E3749" t="e">
            <v>#N/A</v>
          </cell>
        </row>
        <row r="3750">
          <cell r="A3750" t="str">
            <v>ALBINEA</v>
          </cell>
          <cell r="B3750" t="str">
            <v>035001</v>
          </cell>
          <cell r="C3750" t="str">
            <v>RE</v>
          </cell>
          <cell r="D3750" t="str">
            <v>RE</v>
          </cell>
          <cell r="E3750" t="str">
            <v>42020</v>
          </cell>
        </row>
        <row r="3751">
          <cell r="A3751" t="str">
            <v>BAGNOLO IN PIANO</v>
          </cell>
          <cell r="B3751" t="str">
            <v>035002</v>
          </cell>
          <cell r="C3751" t="str">
            <v>RE</v>
          </cell>
          <cell r="D3751" t="str">
            <v>RE</v>
          </cell>
          <cell r="E3751" t="str">
            <v>42011</v>
          </cell>
        </row>
        <row r="3752">
          <cell r="A3752" t="str">
            <v>BAISO</v>
          </cell>
          <cell r="B3752" t="str">
            <v>035003</v>
          </cell>
          <cell r="C3752" t="str">
            <v>RE</v>
          </cell>
          <cell r="D3752" t="str">
            <v>RE</v>
          </cell>
          <cell r="E3752" t="str">
            <v>42031</v>
          </cell>
        </row>
        <row r="3753">
          <cell r="A3753" t="str">
            <v>BIBBIANO</v>
          </cell>
          <cell r="B3753" t="str">
            <v>035004</v>
          </cell>
          <cell r="C3753" t="str">
            <v>RE</v>
          </cell>
          <cell r="D3753" t="str">
            <v>RE</v>
          </cell>
          <cell r="E3753" t="str">
            <v>42021</v>
          </cell>
        </row>
        <row r="3754">
          <cell r="A3754" t="str">
            <v>BORETTO</v>
          </cell>
          <cell r="B3754" t="str">
            <v>035005</v>
          </cell>
          <cell r="C3754" t="str">
            <v>RE</v>
          </cell>
          <cell r="D3754" t="str">
            <v>RE</v>
          </cell>
          <cell r="E3754" t="str">
            <v>42022</v>
          </cell>
        </row>
        <row r="3755">
          <cell r="A3755" t="str">
            <v>BRESCELLO</v>
          </cell>
          <cell r="B3755" t="str">
            <v>035006</v>
          </cell>
          <cell r="C3755" t="str">
            <v>RE</v>
          </cell>
          <cell r="D3755" t="str">
            <v>RE</v>
          </cell>
          <cell r="E3755" t="str">
            <v>42041</v>
          </cell>
        </row>
        <row r="3756">
          <cell r="A3756" t="str">
            <v>CADELBOSCO DI SOPRA</v>
          </cell>
          <cell r="B3756" t="str">
            <v>035008</v>
          </cell>
          <cell r="C3756" t="str">
            <v>RE</v>
          </cell>
          <cell r="D3756" t="str">
            <v>RE</v>
          </cell>
          <cell r="E3756" t="str">
            <v>42023</v>
          </cell>
        </row>
        <row r="3757">
          <cell r="A3757" t="str">
            <v>CAMPAGNOLA EMILIA</v>
          </cell>
          <cell r="B3757" t="str">
            <v>035009</v>
          </cell>
          <cell r="C3757" t="str">
            <v>RE</v>
          </cell>
          <cell r="D3757" t="str">
            <v>RE</v>
          </cell>
          <cell r="E3757" t="str">
            <v>42012</v>
          </cell>
        </row>
        <row r="3758">
          <cell r="A3758" t="str">
            <v>CAMPEGINE</v>
          </cell>
          <cell r="B3758" t="str">
            <v>035010</v>
          </cell>
          <cell r="C3758" t="str">
            <v>RE</v>
          </cell>
          <cell r="D3758" t="str">
            <v>RE</v>
          </cell>
          <cell r="E3758" t="str">
            <v>42040</v>
          </cell>
        </row>
        <row r="3759">
          <cell r="A3759" t="str">
            <v>CARPINETI</v>
          </cell>
          <cell r="B3759" t="str">
            <v>035011</v>
          </cell>
          <cell r="C3759" t="str">
            <v>RE</v>
          </cell>
          <cell r="D3759" t="str">
            <v>RE</v>
          </cell>
          <cell r="E3759" t="str">
            <v>42033</v>
          </cell>
        </row>
        <row r="3760">
          <cell r="A3760" t="str">
            <v>CASALGRANDE</v>
          </cell>
          <cell r="B3760" t="str">
            <v>035012</v>
          </cell>
          <cell r="C3760" t="str">
            <v>RE</v>
          </cell>
          <cell r="D3760" t="str">
            <v>RE</v>
          </cell>
          <cell r="E3760" t="str">
            <v>42013</v>
          </cell>
        </row>
        <row r="3761">
          <cell r="A3761" t="str">
            <v>CASINA</v>
          </cell>
          <cell r="B3761" t="str">
            <v>035013</v>
          </cell>
          <cell r="C3761" t="str">
            <v>RE</v>
          </cell>
          <cell r="D3761" t="str">
            <v>RE</v>
          </cell>
          <cell r="E3761" t="str">
            <v>42034</v>
          </cell>
        </row>
        <row r="3762">
          <cell r="A3762" t="str">
            <v>CASTELLARANO</v>
          </cell>
          <cell r="B3762" t="str">
            <v>035014</v>
          </cell>
          <cell r="C3762" t="str">
            <v>RE</v>
          </cell>
          <cell r="D3762" t="str">
            <v>RE</v>
          </cell>
          <cell r="E3762" t="str">
            <v>42014</v>
          </cell>
        </row>
        <row r="3763">
          <cell r="A3763" t="str">
            <v>CASTELNOVO DI SOTTO</v>
          </cell>
          <cell r="B3763" t="str">
            <v>035015</v>
          </cell>
          <cell r="C3763" t="str">
            <v>RE</v>
          </cell>
          <cell r="D3763" t="str">
            <v>RE</v>
          </cell>
          <cell r="E3763" t="str">
            <v>42024</v>
          </cell>
        </row>
        <row r="3764">
          <cell r="A3764" t="str">
            <v>CASTELNOVO NE' MONTI</v>
          </cell>
          <cell r="B3764" t="str">
            <v>035016</v>
          </cell>
          <cell r="C3764" t="str">
            <v>RE</v>
          </cell>
          <cell r="D3764" t="str">
            <v>RE</v>
          </cell>
          <cell r="E3764" t="str">
            <v>42035</v>
          </cell>
        </row>
        <row r="3765">
          <cell r="A3765" t="str">
            <v>CAVRIAGO</v>
          </cell>
          <cell r="B3765" t="str">
            <v>035017</v>
          </cell>
          <cell r="C3765" t="str">
            <v>RE</v>
          </cell>
          <cell r="D3765" t="str">
            <v>RE</v>
          </cell>
          <cell r="E3765" t="str">
            <v>42025</v>
          </cell>
        </row>
        <row r="3766">
          <cell r="A3766" t="str">
            <v>CANOSSA</v>
          </cell>
          <cell r="B3766" t="str">
            <v>035018</v>
          </cell>
          <cell r="C3766" t="str">
            <v>RE</v>
          </cell>
          <cell r="D3766" t="str">
            <v>RE</v>
          </cell>
          <cell r="E3766" t="str">
            <v>42026</v>
          </cell>
        </row>
        <row r="3767">
          <cell r="A3767" t="str">
            <v>CORREGGIO</v>
          </cell>
          <cell r="B3767" t="str">
            <v>035020</v>
          </cell>
          <cell r="C3767" t="str">
            <v>RE</v>
          </cell>
          <cell r="D3767" t="str">
            <v>RE</v>
          </cell>
          <cell r="E3767" t="str">
            <v>42015</v>
          </cell>
        </row>
        <row r="3768">
          <cell r="A3768" t="str">
            <v>FABBRICO</v>
          </cell>
          <cell r="B3768" t="str">
            <v>035021</v>
          </cell>
          <cell r="C3768" t="str">
            <v>RE</v>
          </cell>
          <cell r="D3768" t="str">
            <v>RE</v>
          </cell>
          <cell r="E3768" t="str">
            <v>42042</v>
          </cell>
        </row>
        <row r="3769">
          <cell r="A3769" t="str">
            <v>GATTATICO</v>
          </cell>
          <cell r="B3769" t="str">
            <v>035022</v>
          </cell>
          <cell r="C3769" t="str">
            <v>RE</v>
          </cell>
          <cell r="D3769" t="str">
            <v>RE</v>
          </cell>
          <cell r="E3769" t="str">
            <v>42043</v>
          </cell>
        </row>
        <row r="3770">
          <cell r="A3770" t="str">
            <v>GUALTIERI</v>
          </cell>
          <cell r="B3770" t="str">
            <v>035023</v>
          </cell>
          <cell r="C3770" t="str">
            <v>RE</v>
          </cell>
          <cell r="D3770" t="str">
            <v>RE</v>
          </cell>
          <cell r="E3770" t="str">
            <v>42044</v>
          </cell>
        </row>
        <row r="3771">
          <cell r="A3771" t="str">
            <v>GUASTALLA</v>
          </cell>
          <cell r="B3771" t="str">
            <v>035024</v>
          </cell>
          <cell r="C3771" t="str">
            <v>RE</v>
          </cell>
          <cell r="D3771" t="str">
            <v>RE</v>
          </cell>
          <cell r="E3771" t="str">
            <v>42016</v>
          </cell>
        </row>
        <row r="3772">
          <cell r="A3772" t="str">
            <v>LUZZARA</v>
          </cell>
          <cell r="B3772" t="str">
            <v>035026</v>
          </cell>
          <cell r="C3772" t="str">
            <v>RE</v>
          </cell>
          <cell r="D3772" t="str">
            <v>RE</v>
          </cell>
          <cell r="E3772" t="str">
            <v>42045</v>
          </cell>
        </row>
        <row r="3773">
          <cell r="A3773" t="str">
            <v>MONTECCHIO EMILIA</v>
          </cell>
          <cell r="B3773" t="str">
            <v>035027</v>
          </cell>
          <cell r="C3773" t="str">
            <v>RE</v>
          </cell>
          <cell r="D3773" t="str">
            <v>RE</v>
          </cell>
          <cell r="E3773" t="str">
            <v>42027</v>
          </cell>
        </row>
        <row r="3774">
          <cell r="A3774" t="str">
            <v>NOVELLARA</v>
          </cell>
          <cell r="B3774" t="str">
            <v>035028</v>
          </cell>
          <cell r="C3774" t="str">
            <v>RE</v>
          </cell>
          <cell r="D3774" t="str">
            <v>RE</v>
          </cell>
          <cell r="E3774" t="str">
            <v>42017</v>
          </cell>
        </row>
        <row r="3775">
          <cell r="A3775" t="str">
            <v>POVIGLIO</v>
          </cell>
          <cell r="B3775" t="str">
            <v>035029</v>
          </cell>
          <cell r="C3775" t="str">
            <v>RE</v>
          </cell>
          <cell r="D3775" t="str">
            <v>RE</v>
          </cell>
          <cell r="E3775" t="str">
            <v>42028</v>
          </cell>
        </row>
        <row r="3776">
          <cell r="A3776" t="str">
            <v>QUATTRO CASTELLA</v>
          </cell>
          <cell r="B3776" t="str">
            <v>035030</v>
          </cell>
          <cell r="C3776" t="str">
            <v>RE</v>
          </cell>
          <cell r="D3776" t="str">
            <v>RE</v>
          </cell>
          <cell r="E3776" t="str">
            <v>42020</v>
          </cell>
        </row>
        <row r="3777">
          <cell r="A3777" t="str">
            <v>REGGIOLO</v>
          </cell>
          <cell r="B3777" t="str">
            <v>035032</v>
          </cell>
          <cell r="C3777" t="str">
            <v>RE</v>
          </cell>
          <cell r="D3777" t="str">
            <v>RE</v>
          </cell>
          <cell r="E3777" t="str">
            <v>42046</v>
          </cell>
        </row>
        <row r="3778">
          <cell r="A3778" t="str">
            <v>REGGIO NELL'EMILIA</v>
          </cell>
          <cell r="B3778" t="str">
            <v>035033</v>
          </cell>
          <cell r="C3778" t="str">
            <v>RE</v>
          </cell>
          <cell r="D3778" t="e">
            <v>#N/A</v>
          </cell>
          <cell r="E3778" t="e">
            <v>#N/A</v>
          </cell>
        </row>
        <row r="3779">
          <cell r="A3779" t="str">
            <v>RIO SALICETO</v>
          </cell>
          <cell r="B3779" t="str">
            <v>035034</v>
          </cell>
          <cell r="C3779" t="str">
            <v>RE</v>
          </cell>
          <cell r="D3779" t="str">
            <v>RE</v>
          </cell>
          <cell r="E3779" t="str">
            <v>42010</v>
          </cell>
        </row>
        <row r="3780">
          <cell r="A3780" t="str">
            <v>ROLO</v>
          </cell>
          <cell r="B3780" t="str">
            <v>035035</v>
          </cell>
          <cell r="C3780" t="str">
            <v>RE</v>
          </cell>
          <cell r="D3780" t="str">
            <v>RE</v>
          </cell>
          <cell r="E3780" t="str">
            <v>42047</v>
          </cell>
        </row>
        <row r="3781">
          <cell r="A3781" t="str">
            <v>RUBIERA</v>
          </cell>
          <cell r="B3781" t="str">
            <v>035036</v>
          </cell>
          <cell r="C3781" t="str">
            <v>RE</v>
          </cell>
          <cell r="D3781" t="str">
            <v>RE</v>
          </cell>
          <cell r="E3781" t="str">
            <v>42048</v>
          </cell>
        </row>
        <row r="3782">
          <cell r="A3782" t="str">
            <v>SAN MARTINO IN RIO</v>
          </cell>
          <cell r="B3782" t="str">
            <v>035037</v>
          </cell>
          <cell r="C3782" t="str">
            <v>RE</v>
          </cell>
          <cell r="D3782" t="str">
            <v>RE</v>
          </cell>
          <cell r="E3782" t="str">
            <v>42018</v>
          </cell>
        </row>
        <row r="3783">
          <cell r="A3783" t="str">
            <v>SAN POLO D'ENZA</v>
          </cell>
          <cell r="B3783" t="str">
            <v>035038</v>
          </cell>
          <cell r="C3783" t="str">
            <v>RE</v>
          </cell>
          <cell r="D3783" t="str">
            <v>RE</v>
          </cell>
          <cell r="E3783" t="str">
            <v>42020</v>
          </cell>
        </row>
        <row r="3784">
          <cell r="A3784" t="str">
            <v>SANT'ILARIO D'ENZA</v>
          </cell>
          <cell r="B3784" t="str">
            <v>035039</v>
          </cell>
          <cell r="C3784" t="str">
            <v>RE</v>
          </cell>
          <cell r="D3784" t="str">
            <v>RE</v>
          </cell>
          <cell r="E3784" t="str">
            <v>42049</v>
          </cell>
        </row>
        <row r="3785">
          <cell r="A3785" t="str">
            <v>SCANDIANO</v>
          </cell>
          <cell r="B3785" t="str">
            <v>035040</v>
          </cell>
          <cell r="C3785" t="str">
            <v>RE</v>
          </cell>
          <cell r="D3785" t="str">
            <v>RE</v>
          </cell>
          <cell r="E3785" t="str">
            <v>42019</v>
          </cell>
        </row>
        <row r="3786">
          <cell r="A3786" t="str">
            <v>TOANO</v>
          </cell>
          <cell r="B3786" t="str">
            <v>035041</v>
          </cell>
          <cell r="C3786" t="str">
            <v>RE</v>
          </cell>
          <cell r="D3786" t="str">
            <v>RE</v>
          </cell>
          <cell r="E3786" t="str">
            <v>42010</v>
          </cell>
        </row>
        <row r="3787">
          <cell r="A3787" t="str">
            <v>VETTO</v>
          </cell>
          <cell r="B3787" t="str">
            <v>035042</v>
          </cell>
          <cell r="C3787" t="str">
            <v>RE</v>
          </cell>
          <cell r="D3787" t="str">
            <v>RE</v>
          </cell>
          <cell r="E3787" t="str">
            <v>42020</v>
          </cell>
        </row>
        <row r="3788">
          <cell r="A3788" t="str">
            <v>VEZZANO SUL CROSTOLO</v>
          </cell>
          <cell r="B3788" t="str">
            <v>035043</v>
          </cell>
          <cell r="C3788" t="str">
            <v>RE</v>
          </cell>
          <cell r="D3788" t="str">
            <v>RE</v>
          </cell>
          <cell r="E3788" t="str">
            <v>42030</v>
          </cell>
        </row>
        <row r="3789">
          <cell r="A3789" t="str">
            <v>VIANO</v>
          </cell>
          <cell r="B3789" t="str">
            <v>035044</v>
          </cell>
          <cell r="C3789" t="str">
            <v>RE</v>
          </cell>
          <cell r="D3789" t="str">
            <v>RE</v>
          </cell>
          <cell r="E3789" t="str">
            <v>42030</v>
          </cell>
        </row>
        <row r="3790">
          <cell r="A3790" t="str">
            <v>VILLA MINOZZO</v>
          </cell>
          <cell r="B3790" t="str">
            <v>035045</v>
          </cell>
          <cell r="C3790" t="str">
            <v>RE</v>
          </cell>
          <cell r="D3790" t="str">
            <v>RE</v>
          </cell>
          <cell r="E3790" t="str">
            <v>42030</v>
          </cell>
        </row>
        <row r="3791">
          <cell r="A3791" t="str">
            <v>VENTASSO</v>
          </cell>
          <cell r="B3791" t="str">
            <v>035046</v>
          </cell>
          <cell r="C3791" t="str">
            <v>RE</v>
          </cell>
          <cell r="D3791" t="e">
            <v>#N/A</v>
          </cell>
          <cell r="E3791" t="e">
            <v>#N/A</v>
          </cell>
        </row>
        <row r="3792">
          <cell r="A3792" t="str">
            <v>BASTIGLIA</v>
          </cell>
          <cell r="B3792" t="str">
            <v>036001</v>
          </cell>
          <cell r="C3792" t="str">
            <v>MO</v>
          </cell>
          <cell r="D3792" t="str">
            <v>MO</v>
          </cell>
          <cell r="E3792" t="str">
            <v>41030</v>
          </cell>
        </row>
        <row r="3793">
          <cell r="A3793" t="str">
            <v>BOMPORTO</v>
          </cell>
          <cell r="B3793" t="str">
            <v>036002</v>
          </cell>
          <cell r="C3793" t="str">
            <v>MO</v>
          </cell>
          <cell r="D3793" t="str">
            <v>MO</v>
          </cell>
          <cell r="E3793" t="str">
            <v>41030</v>
          </cell>
        </row>
        <row r="3794">
          <cell r="A3794" t="str">
            <v>CAMPOGALLIANO</v>
          </cell>
          <cell r="B3794" t="str">
            <v>036003</v>
          </cell>
          <cell r="C3794" t="str">
            <v>MO</v>
          </cell>
          <cell r="D3794" t="str">
            <v>MO</v>
          </cell>
          <cell r="E3794" t="str">
            <v>41011</v>
          </cell>
        </row>
        <row r="3795">
          <cell r="A3795" t="str">
            <v>CAMPOSANTO</v>
          </cell>
          <cell r="B3795" t="str">
            <v>036004</v>
          </cell>
          <cell r="C3795" t="str">
            <v>MO</v>
          </cell>
          <cell r="D3795" t="str">
            <v>MO</v>
          </cell>
          <cell r="E3795" t="str">
            <v>41031</v>
          </cell>
        </row>
        <row r="3796">
          <cell r="A3796" t="str">
            <v>CARPI</v>
          </cell>
          <cell r="B3796" t="str">
            <v>036005</v>
          </cell>
          <cell r="C3796" t="str">
            <v>MO</v>
          </cell>
          <cell r="D3796" t="str">
            <v>MO</v>
          </cell>
          <cell r="E3796" t="str">
            <v>41012</v>
          </cell>
        </row>
        <row r="3797">
          <cell r="A3797" t="str">
            <v>CASTELFRANCO EMILIA</v>
          </cell>
          <cell r="B3797" t="str">
            <v>036006</v>
          </cell>
          <cell r="C3797" t="str">
            <v>MO</v>
          </cell>
          <cell r="D3797" t="str">
            <v>MO</v>
          </cell>
          <cell r="E3797" t="str">
            <v>41013</v>
          </cell>
        </row>
        <row r="3798">
          <cell r="A3798" t="str">
            <v>CASTELNUOVO RANGONE</v>
          </cell>
          <cell r="B3798" t="str">
            <v>036007</v>
          </cell>
          <cell r="C3798" t="str">
            <v>MO</v>
          </cell>
          <cell r="D3798" t="str">
            <v>MO</v>
          </cell>
          <cell r="E3798" t="str">
            <v>41051</v>
          </cell>
        </row>
        <row r="3799">
          <cell r="A3799" t="str">
            <v>CASTELVETRO DI MODENA</v>
          </cell>
          <cell r="B3799" t="str">
            <v>036008</v>
          </cell>
          <cell r="C3799" t="str">
            <v>MO</v>
          </cell>
          <cell r="D3799" t="str">
            <v>MO</v>
          </cell>
          <cell r="E3799" t="str">
            <v>41014</v>
          </cell>
        </row>
        <row r="3800">
          <cell r="A3800" t="str">
            <v>CAVEZZO</v>
          </cell>
          <cell r="B3800" t="str">
            <v>036009</v>
          </cell>
          <cell r="C3800" t="str">
            <v>MO</v>
          </cell>
          <cell r="D3800" t="str">
            <v>MO</v>
          </cell>
          <cell r="E3800" t="str">
            <v>41032</v>
          </cell>
        </row>
        <row r="3801">
          <cell r="A3801" t="str">
            <v>CONCORDIA SULLA SECCHIA</v>
          </cell>
          <cell r="B3801" t="str">
            <v>036010</v>
          </cell>
          <cell r="C3801" t="str">
            <v>MO</v>
          </cell>
          <cell r="D3801" t="str">
            <v>MO</v>
          </cell>
          <cell r="E3801" t="str">
            <v>41033</v>
          </cell>
        </row>
        <row r="3802">
          <cell r="A3802" t="str">
            <v>FANANO</v>
          </cell>
          <cell r="B3802" t="str">
            <v>036011</v>
          </cell>
          <cell r="C3802" t="str">
            <v>MO</v>
          </cell>
          <cell r="D3802" t="str">
            <v>MO</v>
          </cell>
          <cell r="E3802" t="str">
            <v>41021</v>
          </cell>
        </row>
        <row r="3803">
          <cell r="A3803" t="str">
            <v>FINALE EMILIA</v>
          </cell>
          <cell r="B3803" t="str">
            <v>036012</v>
          </cell>
          <cell r="C3803" t="str">
            <v>MO</v>
          </cell>
          <cell r="D3803" t="str">
            <v>MO</v>
          </cell>
          <cell r="E3803" t="str">
            <v>41034</v>
          </cell>
        </row>
        <row r="3804">
          <cell r="A3804" t="str">
            <v>FIORANO MODENESE</v>
          </cell>
          <cell r="B3804" t="str">
            <v>036013</v>
          </cell>
          <cell r="C3804" t="str">
            <v>MO</v>
          </cell>
          <cell r="D3804" t="str">
            <v>MO</v>
          </cell>
          <cell r="E3804" t="str">
            <v>41042</v>
          </cell>
        </row>
        <row r="3805">
          <cell r="A3805" t="str">
            <v>FIUMALBO</v>
          </cell>
          <cell r="B3805" t="str">
            <v>036014</v>
          </cell>
          <cell r="C3805" t="str">
            <v>MO</v>
          </cell>
          <cell r="D3805" t="str">
            <v>MO</v>
          </cell>
          <cell r="E3805" t="str">
            <v>41022</v>
          </cell>
        </row>
        <row r="3806">
          <cell r="A3806" t="str">
            <v>FORMIGINE</v>
          </cell>
          <cell r="B3806" t="str">
            <v>036015</v>
          </cell>
          <cell r="C3806" t="str">
            <v>MO</v>
          </cell>
          <cell r="D3806" t="str">
            <v>MO</v>
          </cell>
          <cell r="E3806" t="str">
            <v>41043</v>
          </cell>
        </row>
        <row r="3807">
          <cell r="A3807" t="str">
            <v>FRASSINORO</v>
          </cell>
          <cell r="B3807" t="str">
            <v>036016</v>
          </cell>
          <cell r="C3807" t="str">
            <v>MO</v>
          </cell>
          <cell r="D3807" t="str">
            <v>MO</v>
          </cell>
          <cell r="E3807" t="str">
            <v>41044</v>
          </cell>
        </row>
        <row r="3808">
          <cell r="A3808" t="str">
            <v>GUIGLIA</v>
          </cell>
          <cell r="B3808" t="str">
            <v>036017</v>
          </cell>
          <cell r="C3808" t="str">
            <v>MO</v>
          </cell>
          <cell r="D3808" t="str">
            <v>MO</v>
          </cell>
          <cell r="E3808" t="str">
            <v>41052</v>
          </cell>
        </row>
        <row r="3809">
          <cell r="A3809" t="str">
            <v>LAMA MOCOGNO</v>
          </cell>
          <cell r="B3809" t="str">
            <v>036018</v>
          </cell>
          <cell r="C3809" t="str">
            <v>MO</v>
          </cell>
          <cell r="D3809" t="str">
            <v>MO</v>
          </cell>
          <cell r="E3809" t="str">
            <v>41023</v>
          </cell>
        </row>
        <row r="3810">
          <cell r="A3810" t="str">
            <v>MARANELLO</v>
          </cell>
          <cell r="B3810" t="str">
            <v>036019</v>
          </cell>
          <cell r="C3810" t="str">
            <v>MO</v>
          </cell>
          <cell r="D3810" t="str">
            <v>MO</v>
          </cell>
          <cell r="E3810" t="str">
            <v>41053</v>
          </cell>
        </row>
        <row r="3811">
          <cell r="A3811" t="str">
            <v>MARANO SUL PANARO</v>
          </cell>
          <cell r="B3811" t="str">
            <v>036020</v>
          </cell>
          <cell r="C3811" t="str">
            <v>MO</v>
          </cell>
          <cell r="D3811" t="str">
            <v>MO</v>
          </cell>
          <cell r="E3811" t="str">
            <v>41054</v>
          </cell>
        </row>
        <row r="3812">
          <cell r="A3812" t="str">
            <v>MEDOLLA</v>
          </cell>
          <cell r="B3812" t="str">
            <v>036021</v>
          </cell>
          <cell r="C3812" t="str">
            <v>MO</v>
          </cell>
          <cell r="D3812" t="str">
            <v>MO</v>
          </cell>
          <cell r="E3812" t="str">
            <v>41036</v>
          </cell>
        </row>
        <row r="3813">
          <cell r="A3813" t="str">
            <v>MIRANDOLA</v>
          </cell>
          <cell r="B3813" t="str">
            <v>036022</v>
          </cell>
          <cell r="C3813" t="str">
            <v>MO</v>
          </cell>
          <cell r="D3813" t="str">
            <v>MO</v>
          </cell>
          <cell r="E3813" t="str">
            <v>41037</v>
          </cell>
        </row>
        <row r="3814">
          <cell r="A3814" t="str">
            <v>MODENA</v>
          </cell>
          <cell r="B3814" t="str">
            <v>036023</v>
          </cell>
          <cell r="C3814" t="str">
            <v>MO</v>
          </cell>
          <cell r="D3814" t="str">
            <v>MO</v>
          </cell>
          <cell r="E3814" t="str">
            <v>4112x</v>
          </cell>
        </row>
        <row r="3815">
          <cell r="A3815" t="str">
            <v>MONTECRETO</v>
          </cell>
          <cell r="B3815" t="str">
            <v>036024</v>
          </cell>
          <cell r="C3815" t="str">
            <v>MO</v>
          </cell>
          <cell r="D3815" t="str">
            <v>MO</v>
          </cell>
          <cell r="E3815" t="str">
            <v>41025</v>
          </cell>
        </row>
        <row r="3816">
          <cell r="A3816" t="str">
            <v>MONTEFIORINO</v>
          </cell>
          <cell r="B3816" t="str">
            <v>036025</v>
          </cell>
          <cell r="C3816" t="str">
            <v>MO</v>
          </cell>
          <cell r="D3816" t="str">
            <v>MO</v>
          </cell>
          <cell r="E3816" t="str">
            <v>41045</v>
          </cell>
        </row>
        <row r="3817">
          <cell r="A3817" t="str">
            <v>MONTESE</v>
          </cell>
          <cell r="B3817" t="str">
            <v>036026</v>
          </cell>
          <cell r="C3817" t="str">
            <v>MO</v>
          </cell>
          <cell r="D3817" t="str">
            <v>MO</v>
          </cell>
          <cell r="E3817" t="str">
            <v>41055</v>
          </cell>
        </row>
        <row r="3818">
          <cell r="A3818" t="str">
            <v>NONANTOLA</v>
          </cell>
          <cell r="B3818" t="str">
            <v>036027</v>
          </cell>
          <cell r="C3818" t="str">
            <v>MO</v>
          </cell>
          <cell r="D3818" t="str">
            <v>MO</v>
          </cell>
          <cell r="E3818" t="str">
            <v>41015</v>
          </cell>
        </row>
        <row r="3819">
          <cell r="A3819" t="str">
            <v>NOVI DI MODENA</v>
          </cell>
          <cell r="B3819" t="str">
            <v>036028</v>
          </cell>
          <cell r="C3819" t="str">
            <v>MO</v>
          </cell>
          <cell r="D3819" t="str">
            <v>MO</v>
          </cell>
          <cell r="E3819" t="str">
            <v>41016</v>
          </cell>
        </row>
        <row r="3820">
          <cell r="A3820" t="str">
            <v>PALAGANO</v>
          </cell>
          <cell r="B3820" t="str">
            <v>036029</v>
          </cell>
          <cell r="C3820" t="str">
            <v>MO</v>
          </cell>
          <cell r="D3820" t="str">
            <v>MO</v>
          </cell>
          <cell r="E3820" t="str">
            <v>41046</v>
          </cell>
        </row>
        <row r="3821">
          <cell r="A3821" t="str">
            <v>PAVULLO NEL FRIGNANO</v>
          </cell>
          <cell r="B3821" t="str">
            <v>036030</v>
          </cell>
          <cell r="C3821" t="str">
            <v>MO</v>
          </cell>
          <cell r="D3821" t="str">
            <v>MO</v>
          </cell>
          <cell r="E3821" t="str">
            <v>41026</v>
          </cell>
        </row>
        <row r="3822">
          <cell r="A3822" t="str">
            <v>PIEVEPELAGO</v>
          </cell>
          <cell r="B3822" t="str">
            <v>036031</v>
          </cell>
          <cell r="C3822" t="str">
            <v>MO</v>
          </cell>
          <cell r="D3822" t="str">
            <v>MO</v>
          </cell>
          <cell r="E3822" t="str">
            <v>41027</v>
          </cell>
        </row>
        <row r="3823">
          <cell r="A3823" t="str">
            <v>POLINAGO</v>
          </cell>
          <cell r="B3823" t="str">
            <v>036032</v>
          </cell>
          <cell r="C3823" t="str">
            <v>MO</v>
          </cell>
          <cell r="D3823" t="str">
            <v>MO</v>
          </cell>
          <cell r="E3823" t="str">
            <v>41040</v>
          </cell>
        </row>
        <row r="3824">
          <cell r="A3824" t="str">
            <v>PRIGNANO SULLA SECCHIA</v>
          </cell>
          <cell r="B3824" t="str">
            <v>036033</v>
          </cell>
          <cell r="C3824" t="str">
            <v>MO</v>
          </cell>
          <cell r="D3824" t="str">
            <v>MO</v>
          </cell>
          <cell r="E3824" t="str">
            <v>41048</v>
          </cell>
        </row>
        <row r="3825">
          <cell r="A3825" t="str">
            <v>RAVARINO</v>
          </cell>
          <cell r="B3825" t="str">
            <v>036034</v>
          </cell>
          <cell r="C3825" t="str">
            <v>MO</v>
          </cell>
          <cell r="D3825" t="str">
            <v>MO</v>
          </cell>
          <cell r="E3825" t="str">
            <v>41017</v>
          </cell>
        </row>
        <row r="3826">
          <cell r="A3826" t="str">
            <v>RIOLUNATO</v>
          </cell>
          <cell r="B3826" t="str">
            <v>036035</v>
          </cell>
          <cell r="C3826" t="str">
            <v>MO</v>
          </cell>
          <cell r="D3826" t="str">
            <v>MO</v>
          </cell>
          <cell r="E3826" t="str">
            <v>41020</v>
          </cell>
        </row>
        <row r="3827">
          <cell r="A3827" t="str">
            <v>SAN CESARIO SUL PANARO</v>
          </cell>
          <cell r="B3827" t="str">
            <v>036036</v>
          </cell>
          <cell r="C3827" t="str">
            <v>MO</v>
          </cell>
          <cell r="D3827" t="str">
            <v>MO</v>
          </cell>
          <cell r="E3827" t="str">
            <v>41018</v>
          </cell>
        </row>
        <row r="3828">
          <cell r="A3828" t="str">
            <v>SAN FELICE SUL PANARO</v>
          </cell>
          <cell r="B3828" t="str">
            <v>036037</v>
          </cell>
          <cell r="C3828" t="str">
            <v>MO</v>
          </cell>
          <cell r="D3828" t="str">
            <v>MO</v>
          </cell>
          <cell r="E3828" t="str">
            <v>41038</v>
          </cell>
        </row>
        <row r="3829">
          <cell r="A3829" t="str">
            <v>SAN POSSIDONIO</v>
          </cell>
          <cell r="B3829" t="str">
            <v>036038</v>
          </cell>
          <cell r="C3829" t="str">
            <v>MO</v>
          </cell>
          <cell r="D3829" t="str">
            <v>MO</v>
          </cell>
          <cell r="E3829" t="str">
            <v>41039</v>
          </cell>
        </row>
        <row r="3830">
          <cell r="A3830" t="str">
            <v>SAN PROSPERO</v>
          </cell>
          <cell r="B3830" t="str">
            <v>036039</v>
          </cell>
          <cell r="C3830" t="str">
            <v>MO</v>
          </cell>
          <cell r="D3830" t="str">
            <v>MO</v>
          </cell>
          <cell r="E3830" t="str">
            <v>41030</v>
          </cell>
        </row>
        <row r="3831">
          <cell r="A3831" t="str">
            <v>SASSUOLO</v>
          </cell>
          <cell r="B3831" t="str">
            <v>036040</v>
          </cell>
          <cell r="C3831" t="str">
            <v>MO</v>
          </cell>
          <cell r="D3831" t="str">
            <v>MO</v>
          </cell>
          <cell r="E3831" t="str">
            <v>41049</v>
          </cell>
        </row>
        <row r="3832">
          <cell r="A3832" t="str">
            <v>SAVIGNANO SUL PANARO</v>
          </cell>
          <cell r="B3832" t="str">
            <v>036041</v>
          </cell>
          <cell r="C3832" t="str">
            <v>MO</v>
          </cell>
          <cell r="D3832" t="str">
            <v>MO</v>
          </cell>
          <cell r="E3832" t="str">
            <v>41056</v>
          </cell>
        </row>
        <row r="3833">
          <cell r="A3833" t="str">
            <v>SERRAMAZZONI</v>
          </cell>
          <cell r="B3833" t="str">
            <v>036042</v>
          </cell>
          <cell r="C3833" t="str">
            <v>MO</v>
          </cell>
          <cell r="D3833" t="str">
            <v>MO</v>
          </cell>
          <cell r="E3833" t="str">
            <v>41028</v>
          </cell>
        </row>
        <row r="3834">
          <cell r="A3834" t="str">
            <v>SESTOLA</v>
          </cell>
          <cell r="B3834" t="str">
            <v>036043</v>
          </cell>
          <cell r="C3834" t="str">
            <v>MO</v>
          </cell>
          <cell r="D3834" t="str">
            <v>MO</v>
          </cell>
          <cell r="E3834" t="str">
            <v>41029</v>
          </cell>
        </row>
        <row r="3835">
          <cell r="A3835" t="str">
            <v>SOLIERA</v>
          </cell>
          <cell r="B3835" t="str">
            <v>036044</v>
          </cell>
          <cell r="C3835" t="str">
            <v>MO</v>
          </cell>
          <cell r="D3835" t="str">
            <v>MO</v>
          </cell>
          <cell r="E3835" t="str">
            <v>41019</v>
          </cell>
        </row>
        <row r="3836">
          <cell r="A3836" t="str">
            <v>SPILAMBERTO</v>
          </cell>
          <cell r="B3836" t="str">
            <v>036045</v>
          </cell>
          <cell r="C3836" t="str">
            <v>MO</v>
          </cell>
          <cell r="D3836" t="str">
            <v>MO</v>
          </cell>
          <cell r="E3836" t="str">
            <v>41057</v>
          </cell>
        </row>
        <row r="3837">
          <cell r="A3837" t="str">
            <v>VIGNOLA</v>
          </cell>
          <cell r="B3837" t="str">
            <v>036046</v>
          </cell>
          <cell r="C3837" t="str">
            <v>MO</v>
          </cell>
          <cell r="D3837" t="str">
            <v>MO</v>
          </cell>
          <cell r="E3837" t="str">
            <v>41058</v>
          </cell>
        </row>
        <row r="3838">
          <cell r="A3838" t="str">
            <v>ZOCCA</v>
          </cell>
          <cell r="B3838" t="str">
            <v>036047</v>
          </cell>
          <cell r="C3838" t="str">
            <v>MO</v>
          </cell>
          <cell r="D3838" t="str">
            <v>MO</v>
          </cell>
          <cell r="E3838" t="str">
            <v>41059</v>
          </cell>
        </row>
        <row r="3839">
          <cell r="A3839" t="str">
            <v>ANZOLA DELL'EMILIA</v>
          </cell>
          <cell r="B3839" t="str">
            <v>037001</v>
          </cell>
          <cell r="C3839" t="str">
            <v>BO</v>
          </cell>
          <cell r="D3839" t="str">
            <v>BO</v>
          </cell>
          <cell r="E3839" t="str">
            <v>40011</v>
          </cell>
        </row>
        <row r="3840">
          <cell r="A3840" t="str">
            <v>ARGELATO</v>
          </cell>
          <cell r="B3840" t="str">
            <v>037002</v>
          </cell>
          <cell r="C3840" t="str">
            <v>BO</v>
          </cell>
          <cell r="D3840" t="str">
            <v>BO</v>
          </cell>
          <cell r="E3840" t="str">
            <v>40050</v>
          </cell>
        </row>
        <row r="3841">
          <cell r="A3841" t="str">
            <v>BARICELLA</v>
          </cell>
          <cell r="B3841" t="str">
            <v>037003</v>
          </cell>
          <cell r="C3841" t="str">
            <v>BO</v>
          </cell>
          <cell r="D3841" t="str">
            <v>BO</v>
          </cell>
          <cell r="E3841" t="str">
            <v>40052</v>
          </cell>
        </row>
        <row r="3842">
          <cell r="A3842" t="str">
            <v>BENTIVOGLIO</v>
          </cell>
          <cell r="B3842" t="str">
            <v>037005</v>
          </cell>
          <cell r="C3842" t="str">
            <v>BO</v>
          </cell>
          <cell r="D3842" t="str">
            <v>BO</v>
          </cell>
          <cell r="E3842" t="str">
            <v>40010</v>
          </cell>
        </row>
        <row r="3843">
          <cell r="A3843" t="str">
            <v>BOLOGNA</v>
          </cell>
          <cell r="B3843" t="str">
            <v>037006</v>
          </cell>
          <cell r="C3843" t="str">
            <v>BO</v>
          </cell>
          <cell r="D3843" t="str">
            <v>BO</v>
          </cell>
          <cell r="E3843" t="str">
            <v>401xx</v>
          </cell>
        </row>
        <row r="3844">
          <cell r="A3844" t="str">
            <v>BORGO TOSSIGNANO</v>
          </cell>
          <cell r="B3844" t="str">
            <v>037007</v>
          </cell>
          <cell r="C3844" t="str">
            <v>BO</v>
          </cell>
          <cell r="D3844" t="str">
            <v>BO</v>
          </cell>
          <cell r="E3844" t="str">
            <v>40021</v>
          </cell>
        </row>
        <row r="3845">
          <cell r="A3845" t="str">
            <v>BUDRIO</v>
          </cell>
          <cell r="B3845" t="str">
            <v>037008</v>
          </cell>
          <cell r="C3845" t="str">
            <v>BO</v>
          </cell>
          <cell r="D3845" t="str">
            <v>BO</v>
          </cell>
          <cell r="E3845" t="str">
            <v>40054</v>
          </cell>
        </row>
        <row r="3846">
          <cell r="A3846" t="str">
            <v>CALDERARA DI RENO</v>
          </cell>
          <cell r="B3846" t="str">
            <v>037009</v>
          </cell>
          <cell r="C3846" t="str">
            <v>BO</v>
          </cell>
          <cell r="D3846" t="str">
            <v>BO</v>
          </cell>
          <cell r="E3846" t="str">
            <v>40012</v>
          </cell>
        </row>
        <row r="3847">
          <cell r="A3847" t="str">
            <v>CAMUGNANO</v>
          </cell>
          <cell r="B3847" t="str">
            <v>037010</v>
          </cell>
          <cell r="C3847" t="str">
            <v>BO</v>
          </cell>
          <cell r="D3847" t="str">
            <v>BO</v>
          </cell>
          <cell r="E3847" t="str">
            <v>40032</v>
          </cell>
        </row>
        <row r="3848">
          <cell r="A3848" t="str">
            <v>CASALECCHIO DI RENO</v>
          </cell>
          <cell r="B3848" t="str">
            <v>037011</v>
          </cell>
          <cell r="C3848" t="str">
            <v>BO</v>
          </cell>
          <cell r="D3848" t="str">
            <v>BO</v>
          </cell>
          <cell r="E3848" t="str">
            <v>40033</v>
          </cell>
        </row>
        <row r="3849">
          <cell r="A3849" t="str">
            <v>CASALFIUMANESE</v>
          </cell>
          <cell r="B3849" t="str">
            <v>037012</v>
          </cell>
          <cell r="C3849" t="str">
            <v>BO</v>
          </cell>
          <cell r="D3849" t="str">
            <v>BO</v>
          </cell>
          <cell r="E3849" t="str">
            <v>40020</v>
          </cell>
        </row>
        <row r="3850">
          <cell r="A3850" t="str">
            <v>CASTEL D'AIANO</v>
          </cell>
          <cell r="B3850" t="str">
            <v>037013</v>
          </cell>
          <cell r="C3850" t="str">
            <v>BO</v>
          </cell>
          <cell r="D3850" t="str">
            <v>BO</v>
          </cell>
          <cell r="E3850" t="str">
            <v>40034</v>
          </cell>
        </row>
        <row r="3851">
          <cell r="A3851" t="str">
            <v>CASTEL DEL RIO</v>
          </cell>
          <cell r="B3851" t="str">
            <v>037014</v>
          </cell>
          <cell r="C3851" t="str">
            <v>BO</v>
          </cell>
          <cell r="D3851" t="str">
            <v>BO</v>
          </cell>
          <cell r="E3851" t="str">
            <v>40022</v>
          </cell>
        </row>
        <row r="3852">
          <cell r="A3852" t="str">
            <v>CASTEL DI CASIO</v>
          </cell>
          <cell r="B3852" t="str">
            <v>037015</v>
          </cell>
          <cell r="C3852" t="str">
            <v>BO</v>
          </cell>
          <cell r="D3852" t="str">
            <v>BO</v>
          </cell>
          <cell r="E3852" t="str">
            <v>40030</v>
          </cell>
        </row>
        <row r="3853">
          <cell r="A3853" t="str">
            <v>CASTEL GUELFO DI BOLOGNA</v>
          </cell>
          <cell r="B3853" t="str">
            <v>037016</v>
          </cell>
          <cell r="C3853" t="str">
            <v>BO</v>
          </cell>
          <cell r="D3853" t="str">
            <v>BO</v>
          </cell>
          <cell r="E3853" t="str">
            <v>40023</v>
          </cell>
        </row>
        <row r="3854">
          <cell r="A3854" t="str">
            <v>CASTELLO D'ARGILE</v>
          </cell>
          <cell r="B3854" t="str">
            <v>037017</v>
          </cell>
          <cell r="C3854" t="str">
            <v>BO</v>
          </cell>
          <cell r="D3854" t="str">
            <v>BO</v>
          </cell>
          <cell r="E3854" t="str">
            <v>40050</v>
          </cell>
        </row>
        <row r="3855">
          <cell r="A3855" t="str">
            <v>CASTEL MAGGIORE</v>
          </cell>
          <cell r="B3855" t="str">
            <v>037019</v>
          </cell>
          <cell r="C3855" t="str">
            <v>BO</v>
          </cell>
          <cell r="D3855" t="str">
            <v>BO</v>
          </cell>
          <cell r="E3855" t="str">
            <v>40013</v>
          </cell>
        </row>
        <row r="3856">
          <cell r="A3856" t="str">
            <v>CASTEL SAN PIETRO TERME</v>
          </cell>
          <cell r="B3856" t="str">
            <v>037020</v>
          </cell>
          <cell r="C3856" t="str">
            <v>BO</v>
          </cell>
          <cell r="D3856" t="str">
            <v>BO</v>
          </cell>
          <cell r="E3856" t="str">
            <v>40024</v>
          </cell>
        </row>
        <row r="3857">
          <cell r="A3857" t="str">
            <v>CASTENASO</v>
          </cell>
          <cell r="B3857" t="str">
            <v>037021</v>
          </cell>
          <cell r="C3857" t="str">
            <v>BO</v>
          </cell>
          <cell r="D3857" t="str">
            <v>BO</v>
          </cell>
          <cell r="E3857" t="str">
            <v>40055</v>
          </cell>
        </row>
        <row r="3858">
          <cell r="A3858" t="str">
            <v>CASTIGLIONE DEI PEPOLI</v>
          </cell>
          <cell r="B3858" t="str">
            <v>037022</v>
          </cell>
          <cell r="C3858" t="str">
            <v>BO</v>
          </cell>
          <cell r="D3858" t="str">
            <v>BO</v>
          </cell>
          <cell r="E3858" t="str">
            <v>40035</v>
          </cell>
        </row>
        <row r="3859">
          <cell r="A3859" t="str">
            <v>CREVALCORE</v>
          </cell>
          <cell r="B3859" t="str">
            <v>037024</v>
          </cell>
          <cell r="C3859" t="str">
            <v>BO</v>
          </cell>
          <cell r="D3859" t="str">
            <v>BO</v>
          </cell>
          <cell r="E3859" t="str">
            <v>40014</v>
          </cell>
        </row>
        <row r="3860">
          <cell r="A3860" t="str">
            <v>DOZZA</v>
          </cell>
          <cell r="B3860" t="str">
            <v>037025</v>
          </cell>
          <cell r="C3860" t="str">
            <v>BO</v>
          </cell>
          <cell r="D3860" t="str">
            <v>BO</v>
          </cell>
          <cell r="E3860" t="str">
            <v>40060</v>
          </cell>
        </row>
        <row r="3861">
          <cell r="A3861" t="str">
            <v>FONTANELICE</v>
          </cell>
          <cell r="B3861" t="str">
            <v>037026</v>
          </cell>
          <cell r="C3861" t="str">
            <v>BO</v>
          </cell>
          <cell r="D3861" t="str">
            <v>BO</v>
          </cell>
          <cell r="E3861" t="str">
            <v>40025</v>
          </cell>
        </row>
        <row r="3862">
          <cell r="A3862" t="str">
            <v>GAGGIO MONTANO</v>
          </cell>
          <cell r="B3862" t="str">
            <v>037027</v>
          </cell>
          <cell r="C3862" t="str">
            <v>BO</v>
          </cell>
          <cell r="D3862" t="str">
            <v>BO</v>
          </cell>
          <cell r="E3862" t="str">
            <v>40041</v>
          </cell>
        </row>
        <row r="3863">
          <cell r="A3863" t="str">
            <v>GALLIERA</v>
          </cell>
          <cell r="B3863" t="str">
            <v>037028</v>
          </cell>
          <cell r="C3863" t="str">
            <v>BO</v>
          </cell>
          <cell r="D3863" t="str">
            <v>BO</v>
          </cell>
          <cell r="E3863" t="str">
            <v>40015</v>
          </cell>
        </row>
        <row r="3864">
          <cell r="A3864" t="str">
            <v>GRANAROLO DELL'EMILIA</v>
          </cell>
          <cell r="B3864" t="str">
            <v>037030</v>
          </cell>
          <cell r="C3864" t="str">
            <v>BO</v>
          </cell>
          <cell r="D3864" t="str">
            <v>BO</v>
          </cell>
          <cell r="E3864" t="str">
            <v>40057</v>
          </cell>
        </row>
        <row r="3865">
          <cell r="A3865" t="str">
            <v>GRIZZANA MORANDI</v>
          </cell>
          <cell r="B3865" t="str">
            <v>037031</v>
          </cell>
          <cell r="C3865" t="str">
            <v>BO</v>
          </cell>
          <cell r="D3865" t="str">
            <v>BO</v>
          </cell>
          <cell r="E3865" t="str">
            <v>40030</v>
          </cell>
        </row>
        <row r="3866">
          <cell r="A3866" t="str">
            <v>IMOLA</v>
          </cell>
          <cell r="B3866" t="str">
            <v>037032</v>
          </cell>
          <cell r="C3866" t="str">
            <v>BO</v>
          </cell>
          <cell r="D3866" t="str">
            <v>BO</v>
          </cell>
          <cell r="E3866" t="str">
            <v>40026</v>
          </cell>
        </row>
        <row r="3867">
          <cell r="A3867" t="str">
            <v>LIZZANO IN BELVEDERE</v>
          </cell>
          <cell r="B3867" t="str">
            <v>037033</v>
          </cell>
          <cell r="C3867" t="str">
            <v>BO</v>
          </cell>
          <cell r="D3867" t="str">
            <v>BO</v>
          </cell>
          <cell r="E3867" t="str">
            <v>40042</v>
          </cell>
        </row>
        <row r="3868">
          <cell r="A3868" t="str">
            <v>LOIANO</v>
          </cell>
          <cell r="B3868" t="str">
            <v>037034</v>
          </cell>
          <cell r="C3868" t="str">
            <v>BO</v>
          </cell>
          <cell r="D3868" t="str">
            <v>BO</v>
          </cell>
          <cell r="E3868" t="str">
            <v>40050</v>
          </cell>
        </row>
        <row r="3869">
          <cell r="A3869" t="str">
            <v>MALALBERGO</v>
          </cell>
          <cell r="B3869" t="str">
            <v>037035</v>
          </cell>
          <cell r="C3869" t="str">
            <v>BO</v>
          </cell>
          <cell r="D3869" t="str">
            <v>BO</v>
          </cell>
          <cell r="E3869" t="str">
            <v>40051</v>
          </cell>
        </row>
        <row r="3870">
          <cell r="A3870" t="str">
            <v>MARZABOTTO</v>
          </cell>
          <cell r="B3870" t="str">
            <v>037036</v>
          </cell>
          <cell r="C3870" t="str">
            <v>BO</v>
          </cell>
          <cell r="D3870" t="str">
            <v>BO</v>
          </cell>
          <cell r="E3870" t="str">
            <v>40043</v>
          </cell>
        </row>
        <row r="3871">
          <cell r="A3871" t="str">
            <v>MEDICINA</v>
          </cell>
          <cell r="B3871" t="str">
            <v>037037</v>
          </cell>
          <cell r="C3871" t="str">
            <v>BO</v>
          </cell>
          <cell r="D3871" t="str">
            <v>BO</v>
          </cell>
          <cell r="E3871" t="str">
            <v>40059</v>
          </cell>
        </row>
        <row r="3872">
          <cell r="A3872" t="str">
            <v>MINERBIO</v>
          </cell>
          <cell r="B3872" t="str">
            <v>037038</v>
          </cell>
          <cell r="C3872" t="str">
            <v>BO</v>
          </cell>
          <cell r="D3872" t="str">
            <v>BO</v>
          </cell>
          <cell r="E3872" t="str">
            <v>40061</v>
          </cell>
        </row>
        <row r="3873">
          <cell r="A3873" t="str">
            <v>MOLINELLA</v>
          </cell>
          <cell r="B3873" t="str">
            <v>037039</v>
          </cell>
          <cell r="C3873" t="str">
            <v>BO</v>
          </cell>
          <cell r="D3873" t="str">
            <v>BO</v>
          </cell>
          <cell r="E3873" t="str">
            <v>40062</v>
          </cell>
        </row>
        <row r="3874">
          <cell r="A3874" t="str">
            <v>MONGHIDORO</v>
          </cell>
          <cell r="B3874" t="str">
            <v>037040</v>
          </cell>
          <cell r="C3874" t="str">
            <v>BO</v>
          </cell>
          <cell r="D3874" t="str">
            <v>BO</v>
          </cell>
          <cell r="E3874" t="str">
            <v>40063</v>
          </cell>
        </row>
        <row r="3875">
          <cell r="A3875" t="str">
            <v>MONTERENZIO</v>
          </cell>
          <cell r="B3875" t="str">
            <v>037041</v>
          </cell>
          <cell r="C3875" t="str">
            <v>BO</v>
          </cell>
          <cell r="D3875" t="str">
            <v>BO</v>
          </cell>
          <cell r="E3875" t="str">
            <v>40050</v>
          </cell>
        </row>
        <row r="3876">
          <cell r="A3876" t="str">
            <v>MONTE SAN PIETRO</v>
          </cell>
          <cell r="B3876" t="str">
            <v>037042</v>
          </cell>
          <cell r="C3876" t="str">
            <v>BO</v>
          </cell>
          <cell r="D3876" t="str">
            <v>BO</v>
          </cell>
          <cell r="E3876" t="str">
            <v>40050</v>
          </cell>
        </row>
        <row r="3877">
          <cell r="A3877" t="str">
            <v>MONZUNO</v>
          </cell>
          <cell r="B3877" t="str">
            <v>037044</v>
          </cell>
          <cell r="C3877" t="str">
            <v>BO</v>
          </cell>
          <cell r="D3877" t="str">
            <v>BO</v>
          </cell>
          <cell r="E3877" t="str">
            <v>40036</v>
          </cell>
        </row>
        <row r="3878">
          <cell r="A3878" t="str">
            <v>MORDANO</v>
          </cell>
          <cell r="B3878" t="str">
            <v>037045</v>
          </cell>
          <cell r="C3878" t="str">
            <v>BO</v>
          </cell>
          <cell r="D3878" t="str">
            <v>BO</v>
          </cell>
          <cell r="E3878" t="str">
            <v>40027</v>
          </cell>
        </row>
        <row r="3879">
          <cell r="A3879" t="str">
            <v>OZZANO DELL'EMILIA</v>
          </cell>
          <cell r="B3879" t="str">
            <v>037046</v>
          </cell>
          <cell r="C3879" t="str">
            <v>BO</v>
          </cell>
          <cell r="D3879" t="str">
            <v>BO</v>
          </cell>
          <cell r="E3879" t="str">
            <v>40064</v>
          </cell>
        </row>
        <row r="3880">
          <cell r="A3880" t="str">
            <v>PIANORO</v>
          </cell>
          <cell r="B3880" t="str">
            <v>037047</v>
          </cell>
          <cell r="C3880" t="str">
            <v>BO</v>
          </cell>
          <cell r="D3880" t="str">
            <v>BO</v>
          </cell>
          <cell r="E3880" t="str">
            <v>40065</v>
          </cell>
        </row>
        <row r="3881">
          <cell r="A3881" t="str">
            <v>PIEVE DI CENTO</v>
          </cell>
          <cell r="B3881" t="str">
            <v>037048</v>
          </cell>
          <cell r="C3881" t="str">
            <v>BO</v>
          </cell>
          <cell r="D3881" t="str">
            <v>BO</v>
          </cell>
          <cell r="E3881" t="str">
            <v>40066</v>
          </cell>
        </row>
        <row r="3882">
          <cell r="A3882" t="str">
            <v>SALA BOLOGNESE</v>
          </cell>
          <cell r="B3882" t="str">
            <v>037050</v>
          </cell>
          <cell r="C3882" t="str">
            <v>BO</v>
          </cell>
          <cell r="D3882" t="str">
            <v>BO</v>
          </cell>
          <cell r="E3882" t="str">
            <v>40010</v>
          </cell>
        </row>
        <row r="3883">
          <cell r="A3883" t="str">
            <v>SAN BENEDETTO VAL DI SAMBRO</v>
          </cell>
          <cell r="B3883" t="str">
            <v>037051</v>
          </cell>
          <cell r="C3883" t="str">
            <v>BO</v>
          </cell>
          <cell r="D3883" t="str">
            <v>BO</v>
          </cell>
          <cell r="E3883" t="str">
            <v>40048</v>
          </cell>
        </row>
        <row r="3884">
          <cell r="A3884" t="str">
            <v>SAN GIORGIO DI PIANO</v>
          </cell>
          <cell r="B3884" t="str">
            <v>037052</v>
          </cell>
          <cell r="C3884" t="str">
            <v>BO</v>
          </cell>
          <cell r="D3884" t="str">
            <v>BO</v>
          </cell>
          <cell r="E3884" t="str">
            <v>40016</v>
          </cell>
        </row>
        <row r="3885">
          <cell r="A3885" t="str">
            <v>SAN GIOVANNI IN PERSICETO</v>
          </cell>
          <cell r="B3885" t="str">
            <v>037053</v>
          </cell>
          <cell r="C3885" t="str">
            <v>BO</v>
          </cell>
          <cell r="D3885" t="str">
            <v>BO</v>
          </cell>
          <cell r="E3885" t="str">
            <v>40017</v>
          </cell>
        </row>
        <row r="3886">
          <cell r="A3886" t="str">
            <v>SAN LAZZARO DI SAVENA</v>
          </cell>
          <cell r="B3886" t="str">
            <v>037054</v>
          </cell>
          <cell r="C3886" t="str">
            <v>BO</v>
          </cell>
          <cell r="D3886" t="str">
            <v>BO</v>
          </cell>
          <cell r="E3886" t="str">
            <v>40068</v>
          </cell>
        </row>
        <row r="3887">
          <cell r="A3887" t="str">
            <v>SAN PIETRO IN CASALE</v>
          </cell>
          <cell r="B3887" t="str">
            <v>037055</v>
          </cell>
          <cell r="C3887" t="str">
            <v>BO</v>
          </cell>
          <cell r="D3887" t="str">
            <v>BO</v>
          </cell>
          <cell r="E3887" t="str">
            <v>40018</v>
          </cell>
        </row>
        <row r="3888">
          <cell r="A3888" t="str">
            <v>SANT'AGATA BOLOGNESE</v>
          </cell>
          <cell r="B3888" t="str">
            <v>037056</v>
          </cell>
          <cell r="C3888" t="str">
            <v>BO</v>
          </cell>
          <cell r="D3888" t="str">
            <v>BO</v>
          </cell>
          <cell r="E3888" t="str">
            <v>40019</v>
          </cell>
        </row>
        <row r="3889">
          <cell r="A3889" t="str">
            <v>SASSO MARCONI</v>
          </cell>
          <cell r="B3889" t="str">
            <v>037057</v>
          </cell>
          <cell r="C3889" t="str">
            <v>BO</v>
          </cell>
          <cell r="D3889" t="str">
            <v>BO</v>
          </cell>
          <cell r="E3889" t="str">
            <v>40037</v>
          </cell>
        </row>
        <row r="3890">
          <cell r="A3890" t="str">
            <v>VERGATO</v>
          </cell>
          <cell r="B3890" t="str">
            <v>037059</v>
          </cell>
          <cell r="C3890" t="str">
            <v>BO</v>
          </cell>
          <cell r="D3890" t="str">
            <v>BO</v>
          </cell>
          <cell r="E3890" t="str">
            <v>40038</v>
          </cell>
        </row>
        <row r="3891">
          <cell r="A3891" t="str">
            <v>ZOLA PREDOSA</v>
          </cell>
          <cell r="B3891" t="str">
            <v>037060</v>
          </cell>
          <cell r="C3891" t="str">
            <v>BO</v>
          </cell>
          <cell r="D3891" t="str">
            <v>BO</v>
          </cell>
          <cell r="E3891" t="str">
            <v>40069</v>
          </cell>
        </row>
        <row r="3892">
          <cell r="A3892" t="str">
            <v>VALSAMOGGIA</v>
          </cell>
          <cell r="B3892" t="str">
            <v>037061</v>
          </cell>
          <cell r="C3892" t="str">
            <v>BO</v>
          </cell>
          <cell r="D3892" t="e">
            <v>#N/A</v>
          </cell>
          <cell r="E3892" t="e">
            <v>#N/A</v>
          </cell>
        </row>
        <row r="3893">
          <cell r="A3893" t="str">
            <v>ALTO RENO TERME</v>
          </cell>
          <cell r="B3893" t="str">
            <v>037062</v>
          </cell>
          <cell r="C3893" t="str">
            <v>BO</v>
          </cell>
          <cell r="D3893" t="e">
            <v>#N/A</v>
          </cell>
          <cell r="E3893" t="e">
            <v>#N/A</v>
          </cell>
        </row>
        <row r="3894">
          <cell r="A3894" t="str">
            <v>ARGENTA</v>
          </cell>
          <cell r="B3894" t="str">
            <v>038001</v>
          </cell>
          <cell r="C3894" t="str">
            <v>FE</v>
          </cell>
          <cell r="D3894" t="str">
            <v>FE</v>
          </cell>
          <cell r="E3894" t="str">
            <v>44011</v>
          </cell>
        </row>
        <row r="3895">
          <cell r="A3895" t="str">
            <v>BONDENO</v>
          </cell>
          <cell r="B3895" t="str">
            <v>038003</v>
          </cell>
          <cell r="C3895" t="str">
            <v>FE</v>
          </cell>
          <cell r="D3895" t="str">
            <v>FE</v>
          </cell>
          <cell r="E3895" t="str">
            <v>44012</v>
          </cell>
        </row>
        <row r="3896">
          <cell r="A3896" t="str">
            <v>CENTO</v>
          </cell>
          <cell r="B3896" t="str">
            <v>038004</v>
          </cell>
          <cell r="C3896" t="str">
            <v>FE</v>
          </cell>
          <cell r="D3896" t="str">
            <v>FE</v>
          </cell>
          <cell r="E3896" t="str">
            <v>44042</v>
          </cell>
        </row>
        <row r="3897">
          <cell r="A3897" t="str">
            <v>CODIGORO</v>
          </cell>
          <cell r="B3897" t="str">
            <v>038005</v>
          </cell>
          <cell r="C3897" t="str">
            <v>FE</v>
          </cell>
          <cell r="D3897" t="str">
            <v>FE</v>
          </cell>
          <cell r="E3897" t="str">
            <v>44021</v>
          </cell>
        </row>
        <row r="3898">
          <cell r="A3898" t="str">
            <v>COMACCHIO</v>
          </cell>
          <cell r="B3898" t="str">
            <v>038006</v>
          </cell>
          <cell r="C3898" t="str">
            <v>FE</v>
          </cell>
          <cell r="D3898" t="str">
            <v>FE</v>
          </cell>
          <cell r="E3898" t="str">
            <v>44022</v>
          </cell>
        </row>
        <row r="3899">
          <cell r="A3899" t="str">
            <v>COPPARO</v>
          </cell>
          <cell r="B3899" t="str">
            <v>038007</v>
          </cell>
          <cell r="C3899" t="str">
            <v>FE</v>
          </cell>
          <cell r="D3899" t="str">
            <v>FE</v>
          </cell>
          <cell r="E3899" t="str">
            <v>44034</v>
          </cell>
        </row>
        <row r="3900">
          <cell r="A3900" t="str">
            <v>FERRARA</v>
          </cell>
          <cell r="B3900" t="str">
            <v>038008</v>
          </cell>
          <cell r="C3900" t="str">
            <v>FE</v>
          </cell>
          <cell r="D3900" t="str">
            <v>FE</v>
          </cell>
          <cell r="E3900" t="str">
            <v>4412x</v>
          </cell>
        </row>
        <row r="3901">
          <cell r="A3901" t="str">
            <v>JOLANDA DI SAVOIA</v>
          </cell>
          <cell r="B3901" t="str">
            <v>038010</v>
          </cell>
          <cell r="C3901" t="str">
            <v>FE</v>
          </cell>
          <cell r="D3901" t="str">
            <v>FE</v>
          </cell>
          <cell r="E3901" t="str">
            <v>44037</v>
          </cell>
        </row>
        <row r="3902">
          <cell r="A3902" t="str">
            <v>LAGOSANTO</v>
          </cell>
          <cell r="B3902" t="str">
            <v>038011</v>
          </cell>
          <cell r="C3902" t="str">
            <v>FE</v>
          </cell>
          <cell r="D3902" t="str">
            <v>FE</v>
          </cell>
          <cell r="E3902" t="str">
            <v>44023</v>
          </cell>
        </row>
        <row r="3903">
          <cell r="A3903" t="str">
            <v>MASI TORELLO</v>
          </cell>
          <cell r="B3903" t="str">
            <v>038012</v>
          </cell>
          <cell r="C3903" t="str">
            <v>FE</v>
          </cell>
          <cell r="D3903" t="str">
            <v>FE</v>
          </cell>
          <cell r="E3903" t="str">
            <v>44020</v>
          </cell>
        </row>
        <row r="3904">
          <cell r="A3904" t="str">
            <v>MESOLA</v>
          </cell>
          <cell r="B3904" t="str">
            <v>038014</v>
          </cell>
          <cell r="C3904" t="str">
            <v>FE</v>
          </cell>
          <cell r="D3904" t="str">
            <v>FE</v>
          </cell>
          <cell r="E3904" t="str">
            <v>44026</v>
          </cell>
        </row>
        <row r="3905">
          <cell r="A3905" t="str">
            <v>OSTELLATO</v>
          </cell>
          <cell r="B3905" t="str">
            <v>038017</v>
          </cell>
          <cell r="C3905" t="str">
            <v>FE</v>
          </cell>
          <cell r="D3905" t="str">
            <v>FE</v>
          </cell>
          <cell r="E3905" t="str">
            <v>44020</v>
          </cell>
        </row>
        <row r="3906">
          <cell r="A3906" t="str">
            <v>POGGIO RENATICO</v>
          </cell>
          <cell r="B3906" t="str">
            <v>038018</v>
          </cell>
          <cell r="C3906" t="str">
            <v>FE</v>
          </cell>
          <cell r="D3906" t="str">
            <v>FE</v>
          </cell>
          <cell r="E3906" t="str">
            <v>44028</v>
          </cell>
        </row>
        <row r="3907">
          <cell r="A3907" t="str">
            <v>PORTOMAGGIORE</v>
          </cell>
          <cell r="B3907" t="str">
            <v>038019</v>
          </cell>
          <cell r="C3907" t="str">
            <v>FE</v>
          </cell>
          <cell r="D3907" t="str">
            <v>FE</v>
          </cell>
          <cell r="E3907" t="str">
            <v>44015</v>
          </cell>
        </row>
        <row r="3908">
          <cell r="A3908" t="str">
            <v>VIGARANO MAINARDA</v>
          </cell>
          <cell r="B3908" t="str">
            <v>038022</v>
          </cell>
          <cell r="C3908" t="str">
            <v>FE</v>
          </cell>
          <cell r="D3908" t="str">
            <v>FE</v>
          </cell>
          <cell r="E3908" t="str">
            <v>44049</v>
          </cell>
        </row>
        <row r="3909">
          <cell r="A3909" t="str">
            <v>VOGHIERA</v>
          </cell>
          <cell r="B3909" t="str">
            <v>038023</v>
          </cell>
          <cell r="C3909" t="str">
            <v>FE</v>
          </cell>
          <cell r="D3909" t="str">
            <v>FE</v>
          </cell>
          <cell r="E3909" t="str">
            <v>44019</v>
          </cell>
        </row>
        <row r="3910">
          <cell r="A3910" t="str">
            <v>GORO</v>
          </cell>
          <cell r="B3910" t="str">
            <v>038025</v>
          </cell>
          <cell r="C3910" t="str">
            <v>FE</v>
          </cell>
          <cell r="D3910" t="str">
            <v>FE</v>
          </cell>
          <cell r="E3910" t="str">
            <v>44020</v>
          </cell>
        </row>
        <row r="3911">
          <cell r="A3911" t="str">
            <v>FISCAGLIA</v>
          </cell>
          <cell r="B3911" t="str">
            <v>038027</v>
          </cell>
          <cell r="C3911" t="str">
            <v>FE</v>
          </cell>
          <cell r="D3911" t="e">
            <v>#N/A</v>
          </cell>
          <cell r="E3911" t="e">
            <v>#N/A</v>
          </cell>
        </row>
        <row r="3912">
          <cell r="A3912" t="str">
            <v>TERRE DEL RENO</v>
          </cell>
          <cell r="B3912" t="str">
            <v>038028</v>
          </cell>
          <cell r="C3912" t="str">
            <v>FE</v>
          </cell>
          <cell r="D3912" t="e">
            <v>#N/A</v>
          </cell>
          <cell r="E3912" t="e">
            <v>#N/A</v>
          </cell>
        </row>
        <row r="3913">
          <cell r="A3913" t="str">
            <v>RIVA DEL PO</v>
          </cell>
          <cell r="B3913" t="str">
            <v>038029</v>
          </cell>
          <cell r="C3913" t="str">
            <v>FE</v>
          </cell>
          <cell r="D3913" t="e">
            <v>#N/A</v>
          </cell>
          <cell r="E3913" t="e">
            <v>#N/A</v>
          </cell>
        </row>
        <row r="3914">
          <cell r="A3914" t="str">
            <v>TRESIGNANA</v>
          </cell>
          <cell r="B3914" t="str">
            <v>038030</v>
          </cell>
          <cell r="C3914" t="str">
            <v>FE</v>
          </cell>
          <cell r="D3914" t="e">
            <v>#N/A</v>
          </cell>
          <cell r="E3914" t="e">
            <v>#N/A</v>
          </cell>
        </row>
        <row r="3915">
          <cell r="A3915" t="str">
            <v>ALFONSINE</v>
          </cell>
          <cell r="B3915" t="str">
            <v>039001</v>
          </cell>
          <cell r="C3915" t="str">
            <v>RA</v>
          </cell>
          <cell r="D3915" t="str">
            <v>RA</v>
          </cell>
          <cell r="E3915" t="str">
            <v>48011</v>
          </cell>
        </row>
        <row r="3916">
          <cell r="A3916" t="str">
            <v>BAGNACAVALLO</v>
          </cell>
          <cell r="B3916" t="str">
            <v>039002</v>
          </cell>
          <cell r="C3916" t="str">
            <v>RA</v>
          </cell>
          <cell r="D3916" t="str">
            <v>RA</v>
          </cell>
          <cell r="E3916" t="str">
            <v>48012</v>
          </cell>
        </row>
        <row r="3917">
          <cell r="A3917" t="str">
            <v>BAGNARA DI ROMAGNA</v>
          </cell>
          <cell r="B3917" t="str">
            <v>039003</v>
          </cell>
          <cell r="C3917" t="str">
            <v>RA</v>
          </cell>
          <cell r="D3917" t="str">
            <v>RA</v>
          </cell>
          <cell r="E3917" t="str">
            <v>48010</v>
          </cell>
        </row>
        <row r="3918">
          <cell r="A3918" t="str">
            <v>BRISIGHELLA</v>
          </cell>
          <cell r="B3918" t="str">
            <v>039004</v>
          </cell>
          <cell r="C3918" t="str">
            <v>RA</v>
          </cell>
          <cell r="D3918" t="str">
            <v>RA</v>
          </cell>
          <cell r="E3918" t="str">
            <v>48013</v>
          </cell>
        </row>
        <row r="3919">
          <cell r="A3919" t="str">
            <v>CASOLA VALSENIO</v>
          </cell>
          <cell r="B3919" t="str">
            <v>039005</v>
          </cell>
          <cell r="C3919" t="str">
            <v>RA</v>
          </cell>
          <cell r="D3919" t="str">
            <v>RA</v>
          </cell>
          <cell r="E3919" t="str">
            <v>48010</v>
          </cell>
        </row>
        <row r="3920">
          <cell r="A3920" t="str">
            <v>CASTEL BOLOGNESE</v>
          </cell>
          <cell r="B3920" t="str">
            <v>039006</v>
          </cell>
          <cell r="C3920" t="str">
            <v>RA</v>
          </cell>
          <cell r="D3920" t="str">
            <v>RA</v>
          </cell>
          <cell r="E3920" t="str">
            <v>48014</v>
          </cell>
        </row>
        <row r="3921">
          <cell r="A3921" t="str">
            <v>CERVIA</v>
          </cell>
          <cell r="B3921" t="str">
            <v>039007</v>
          </cell>
          <cell r="C3921" t="str">
            <v>RA</v>
          </cell>
          <cell r="D3921" t="str">
            <v>RA</v>
          </cell>
          <cell r="E3921" t="str">
            <v>48015</v>
          </cell>
        </row>
        <row r="3922">
          <cell r="A3922" t="str">
            <v>CONSELICE</v>
          </cell>
          <cell r="B3922" t="str">
            <v>039008</v>
          </cell>
          <cell r="C3922" t="str">
            <v>RA</v>
          </cell>
          <cell r="D3922" t="str">
            <v>RA</v>
          </cell>
          <cell r="E3922" t="str">
            <v>48017</v>
          </cell>
        </row>
        <row r="3923">
          <cell r="A3923" t="str">
            <v>COTIGNOLA</v>
          </cell>
          <cell r="B3923" t="str">
            <v>039009</v>
          </cell>
          <cell r="C3923" t="str">
            <v>RA</v>
          </cell>
          <cell r="D3923" t="str">
            <v>RA</v>
          </cell>
          <cell r="E3923" t="str">
            <v>48010</v>
          </cell>
        </row>
        <row r="3924">
          <cell r="A3924" t="str">
            <v>FAENZA</v>
          </cell>
          <cell r="B3924" t="str">
            <v>039010</v>
          </cell>
          <cell r="C3924" t="str">
            <v>RA</v>
          </cell>
          <cell r="D3924" t="str">
            <v>RA</v>
          </cell>
          <cell r="E3924" t="str">
            <v>48018</v>
          </cell>
        </row>
        <row r="3925">
          <cell r="A3925" t="str">
            <v>FUSIGNANO</v>
          </cell>
          <cell r="B3925" t="str">
            <v>039011</v>
          </cell>
          <cell r="C3925" t="str">
            <v>RA</v>
          </cell>
          <cell r="D3925" t="str">
            <v>RA</v>
          </cell>
          <cell r="E3925" t="str">
            <v>48010</v>
          </cell>
        </row>
        <row r="3926">
          <cell r="A3926" t="str">
            <v>LUGO</v>
          </cell>
          <cell r="B3926" t="str">
            <v>039012</v>
          </cell>
          <cell r="C3926" t="str">
            <v>RA</v>
          </cell>
          <cell r="D3926" t="str">
            <v>RA</v>
          </cell>
          <cell r="E3926" t="str">
            <v>48022</v>
          </cell>
        </row>
        <row r="3927">
          <cell r="A3927" t="str">
            <v>MASSA LOMBARDA</v>
          </cell>
          <cell r="B3927" t="str">
            <v>039013</v>
          </cell>
          <cell r="C3927" t="str">
            <v>RA</v>
          </cell>
          <cell r="D3927" t="str">
            <v>RA</v>
          </cell>
          <cell r="E3927" t="str">
            <v>48024</v>
          </cell>
        </row>
        <row r="3928">
          <cell r="A3928" t="str">
            <v>RAVENNA</v>
          </cell>
          <cell r="B3928" t="str">
            <v>039014</v>
          </cell>
          <cell r="C3928" t="str">
            <v>RA</v>
          </cell>
          <cell r="D3928" t="str">
            <v>RA</v>
          </cell>
          <cell r="E3928" t="str">
            <v>4812x</v>
          </cell>
        </row>
        <row r="3929">
          <cell r="A3929" t="str">
            <v>RIOLO TERME</v>
          </cell>
          <cell r="B3929" t="str">
            <v>039015</v>
          </cell>
          <cell r="C3929" t="str">
            <v>RA</v>
          </cell>
          <cell r="D3929" t="str">
            <v>RA</v>
          </cell>
          <cell r="E3929" t="str">
            <v>48025</v>
          </cell>
        </row>
        <row r="3930">
          <cell r="A3930" t="str">
            <v>RUSSI</v>
          </cell>
          <cell r="B3930" t="str">
            <v>039016</v>
          </cell>
          <cell r="C3930" t="str">
            <v>RA</v>
          </cell>
          <cell r="D3930" t="str">
            <v>RA</v>
          </cell>
          <cell r="E3930" t="str">
            <v>48026</v>
          </cell>
        </row>
        <row r="3931">
          <cell r="A3931" t="str">
            <v>SANT'AGATA SUL SANTERNO</v>
          </cell>
          <cell r="B3931" t="str">
            <v>039017</v>
          </cell>
          <cell r="C3931" t="str">
            <v>RA</v>
          </cell>
          <cell r="D3931" t="str">
            <v>RA</v>
          </cell>
          <cell r="E3931" t="str">
            <v>48020</v>
          </cell>
        </row>
        <row r="3932">
          <cell r="A3932" t="str">
            <v>SOLAROLO</v>
          </cell>
          <cell r="B3932" t="str">
            <v>039018</v>
          </cell>
          <cell r="C3932" t="str">
            <v>RA</v>
          </cell>
          <cell r="D3932" t="str">
            <v>RA</v>
          </cell>
          <cell r="E3932" t="str">
            <v>48027</v>
          </cell>
        </row>
        <row r="3933">
          <cell r="A3933" t="str">
            <v>BAGNO DI ROMAGNA</v>
          </cell>
          <cell r="B3933" t="str">
            <v>040001</v>
          </cell>
          <cell r="C3933" t="str">
            <v>FC</v>
          </cell>
          <cell r="D3933" t="str">
            <v>FC</v>
          </cell>
          <cell r="E3933" t="str">
            <v>47021</v>
          </cell>
        </row>
        <row r="3934">
          <cell r="A3934" t="str">
            <v>BERTINORO</v>
          </cell>
          <cell r="B3934" t="str">
            <v>040003</v>
          </cell>
          <cell r="C3934" t="str">
            <v>FC</v>
          </cell>
          <cell r="D3934" t="str">
            <v>FC</v>
          </cell>
          <cell r="E3934" t="str">
            <v>47032</v>
          </cell>
        </row>
        <row r="3935">
          <cell r="A3935" t="str">
            <v>BORGHI</v>
          </cell>
          <cell r="B3935" t="str">
            <v>040004</v>
          </cell>
          <cell r="C3935" t="str">
            <v>FC</v>
          </cell>
          <cell r="D3935" t="str">
            <v>FC</v>
          </cell>
          <cell r="E3935" t="str">
            <v>47030</v>
          </cell>
        </row>
        <row r="3936">
          <cell r="A3936" t="str">
            <v>CASTROCARO TERME E TERRA DEL SOLE</v>
          </cell>
          <cell r="B3936" t="str">
            <v>040005</v>
          </cell>
          <cell r="C3936" t="str">
            <v>FC</v>
          </cell>
          <cell r="D3936" t="str">
            <v>FC</v>
          </cell>
          <cell r="E3936" t="str">
            <v>47011</v>
          </cell>
        </row>
        <row r="3937">
          <cell r="A3937" t="str">
            <v>CESENA</v>
          </cell>
          <cell r="B3937" t="str">
            <v>040007</v>
          </cell>
          <cell r="C3937" t="str">
            <v>FC</v>
          </cell>
          <cell r="D3937" t="str">
            <v>FC</v>
          </cell>
          <cell r="E3937" t="str">
            <v>4752x</v>
          </cell>
        </row>
        <row r="3938">
          <cell r="A3938" t="str">
            <v>CESENATICO</v>
          </cell>
          <cell r="B3938" t="str">
            <v>040008</v>
          </cell>
          <cell r="C3938" t="str">
            <v>FC</v>
          </cell>
          <cell r="D3938" t="str">
            <v>FC</v>
          </cell>
          <cell r="E3938" t="str">
            <v>47042</v>
          </cell>
        </row>
        <row r="3939">
          <cell r="A3939" t="str">
            <v>CIVITELLA DI ROMAGNA</v>
          </cell>
          <cell r="B3939" t="str">
            <v>040009</v>
          </cell>
          <cell r="C3939" t="str">
            <v>FC</v>
          </cell>
          <cell r="D3939" t="str">
            <v>FC</v>
          </cell>
          <cell r="E3939" t="str">
            <v>47012</v>
          </cell>
        </row>
        <row r="3940">
          <cell r="A3940" t="str">
            <v>DOVADOLA</v>
          </cell>
          <cell r="B3940" t="str">
            <v>040011</v>
          </cell>
          <cell r="C3940" t="str">
            <v>FC</v>
          </cell>
          <cell r="D3940" t="str">
            <v>FC</v>
          </cell>
          <cell r="E3940" t="str">
            <v>47013</v>
          </cell>
        </row>
        <row r="3941">
          <cell r="A3941" t="str">
            <v>FORLÌ</v>
          </cell>
          <cell r="B3941" t="str">
            <v>040012</v>
          </cell>
          <cell r="C3941" t="str">
            <v>FC</v>
          </cell>
          <cell r="D3941" t="str">
            <v>FC</v>
          </cell>
          <cell r="E3941" t="str">
            <v>4712x</v>
          </cell>
        </row>
        <row r="3942">
          <cell r="A3942" t="str">
            <v>FORLIMPOPOLI</v>
          </cell>
          <cell r="B3942" t="str">
            <v>040013</v>
          </cell>
          <cell r="C3942" t="str">
            <v>FC</v>
          </cell>
          <cell r="D3942" t="str">
            <v>FC</v>
          </cell>
          <cell r="E3942" t="str">
            <v>47034</v>
          </cell>
        </row>
        <row r="3943">
          <cell r="A3943" t="str">
            <v>GALEATA</v>
          </cell>
          <cell r="B3943" t="str">
            <v>040014</v>
          </cell>
          <cell r="C3943" t="str">
            <v>FC</v>
          </cell>
          <cell r="D3943" t="str">
            <v>FC</v>
          </cell>
          <cell r="E3943" t="str">
            <v>47010</v>
          </cell>
        </row>
        <row r="3944">
          <cell r="A3944" t="str">
            <v>GAMBETTOLA</v>
          </cell>
          <cell r="B3944" t="str">
            <v>040015</v>
          </cell>
          <cell r="C3944" t="str">
            <v>FC</v>
          </cell>
          <cell r="D3944" t="str">
            <v>FC</v>
          </cell>
          <cell r="E3944" t="str">
            <v>47035</v>
          </cell>
        </row>
        <row r="3945">
          <cell r="A3945" t="str">
            <v>GATTEO</v>
          </cell>
          <cell r="B3945" t="str">
            <v>040016</v>
          </cell>
          <cell r="C3945" t="str">
            <v>FC</v>
          </cell>
          <cell r="D3945" t="str">
            <v>FC</v>
          </cell>
          <cell r="E3945" t="str">
            <v>47043</v>
          </cell>
        </row>
        <row r="3946">
          <cell r="A3946" t="str">
            <v>LONGIANO</v>
          </cell>
          <cell r="B3946" t="str">
            <v>040018</v>
          </cell>
          <cell r="C3946" t="str">
            <v>FC</v>
          </cell>
          <cell r="D3946" t="str">
            <v>FC</v>
          </cell>
          <cell r="E3946" t="str">
            <v>47020</v>
          </cell>
        </row>
        <row r="3947">
          <cell r="A3947" t="str">
            <v>MELDOLA</v>
          </cell>
          <cell r="B3947" t="str">
            <v>040019</v>
          </cell>
          <cell r="C3947" t="str">
            <v>FC</v>
          </cell>
          <cell r="D3947" t="str">
            <v>FC</v>
          </cell>
          <cell r="E3947" t="str">
            <v>47014</v>
          </cell>
        </row>
        <row r="3948">
          <cell r="A3948" t="str">
            <v>MERCATO SARACENO</v>
          </cell>
          <cell r="B3948" t="str">
            <v>040020</v>
          </cell>
          <cell r="C3948" t="str">
            <v>FC</v>
          </cell>
          <cell r="D3948" t="str">
            <v>FC</v>
          </cell>
          <cell r="E3948" t="str">
            <v>47025</v>
          </cell>
        </row>
        <row r="3949">
          <cell r="A3949" t="str">
            <v>MODIGLIANA</v>
          </cell>
          <cell r="B3949" t="str">
            <v>040022</v>
          </cell>
          <cell r="C3949" t="str">
            <v>FC</v>
          </cell>
          <cell r="D3949" t="str">
            <v>FC</v>
          </cell>
          <cell r="E3949" t="str">
            <v>47015</v>
          </cell>
        </row>
        <row r="3950">
          <cell r="A3950" t="str">
            <v>MONTIANO</v>
          </cell>
          <cell r="B3950" t="str">
            <v>040028</v>
          </cell>
          <cell r="C3950" t="str">
            <v>FC</v>
          </cell>
          <cell r="D3950" t="str">
            <v>FC</v>
          </cell>
          <cell r="E3950" t="str">
            <v>47020</v>
          </cell>
        </row>
        <row r="3951">
          <cell r="A3951" t="str">
            <v>PORTICO E SAN BENEDETTO</v>
          </cell>
          <cell r="B3951" t="str">
            <v>040031</v>
          </cell>
          <cell r="C3951" t="str">
            <v>FC</v>
          </cell>
          <cell r="D3951" t="str">
            <v>FC</v>
          </cell>
          <cell r="E3951" t="str">
            <v>47010</v>
          </cell>
        </row>
        <row r="3952">
          <cell r="A3952" t="str">
            <v>PREDAPPIO</v>
          </cell>
          <cell r="B3952" t="str">
            <v>040032</v>
          </cell>
          <cell r="C3952" t="str">
            <v>FC</v>
          </cell>
          <cell r="D3952" t="str">
            <v>FC</v>
          </cell>
          <cell r="E3952" t="str">
            <v>47016</v>
          </cell>
        </row>
        <row r="3953">
          <cell r="A3953" t="str">
            <v>PREMILCUORE</v>
          </cell>
          <cell r="B3953" t="str">
            <v>040033</v>
          </cell>
          <cell r="C3953" t="str">
            <v>FC</v>
          </cell>
          <cell r="D3953" t="str">
            <v>FC</v>
          </cell>
          <cell r="E3953" t="str">
            <v>47010</v>
          </cell>
        </row>
        <row r="3954">
          <cell r="A3954" t="str">
            <v>ROCCA SAN CASCIANO</v>
          </cell>
          <cell r="B3954" t="str">
            <v>040036</v>
          </cell>
          <cell r="C3954" t="str">
            <v>FC</v>
          </cell>
          <cell r="D3954" t="str">
            <v>FC</v>
          </cell>
          <cell r="E3954" t="str">
            <v>47017</v>
          </cell>
        </row>
        <row r="3955">
          <cell r="A3955" t="str">
            <v>RONCOFREDDO</v>
          </cell>
          <cell r="B3955" t="str">
            <v>040037</v>
          </cell>
          <cell r="C3955" t="str">
            <v>FC</v>
          </cell>
          <cell r="D3955" t="str">
            <v>FC</v>
          </cell>
          <cell r="E3955" t="str">
            <v>47020</v>
          </cell>
        </row>
        <row r="3956">
          <cell r="A3956" t="str">
            <v>SAN MAURO PASCOLI</v>
          </cell>
          <cell r="B3956" t="str">
            <v>040041</v>
          </cell>
          <cell r="C3956" t="str">
            <v>FC</v>
          </cell>
          <cell r="D3956" t="str">
            <v>FC</v>
          </cell>
          <cell r="E3956" t="str">
            <v>47030</v>
          </cell>
        </row>
        <row r="3957">
          <cell r="A3957" t="str">
            <v>SANTA SOFIA</v>
          </cell>
          <cell r="B3957" t="str">
            <v>040043</v>
          </cell>
          <cell r="C3957" t="str">
            <v>FC</v>
          </cell>
          <cell r="D3957" t="str">
            <v>FC</v>
          </cell>
          <cell r="E3957" t="str">
            <v>47018</v>
          </cell>
        </row>
        <row r="3958">
          <cell r="A3958" t="str">
            <v>SARSINA</v>
          </cell>
          <cell r="B3958" t="str">
            <v>040044</v>
          </cell>
          <cell r="C3958" t="str">
            <v>FC</v>
          </cell>
          <cell r="D3958" t="str">
            <v>FC</v>
          </cell>
          <cell r="E3958" t="str">
            <v>47027</v>
          </cell>
        </row>
        <row r="3959">
          <cell r="A3959" t="str">
            <v>SAVIGNANO SUL RUBICONE</v>
          </cell>
          <cell r="B3959" t="str">
            <v>040045</v>
          </cell>
          <cell r="C3959" t="str">
            <v>FC</v>
          </cell>
          <cell r="D3959" t="str">
            <v>FC</v>
          </cell>
          <cell r="E3959" t="str">
            <v>47039</v>
          </cell>
        </row>
        <row r="3960">
          <cell r="A3960" t="str">
            <v>SOGLIANO AL RUBICONE</v>
          </cell>
          <cell r="B3960" t="str">
            <v>040046</v>
          </cell>
          <cell r="C3960" t="str">
            <v>FC</v>
          </cell>
          <cell r="D3960" t="str">
            <v>FC</v>
          </cell>
          <cell r="E3960" t="str">
            <v>47030</v>
          </cell>
        </row>
        <row r="3961">
          <cell r="A3961" t="str">
            <v>TREDOZIO</v>
          </cell>
          <cell r="B3961" t="str">
            <v>040049</v>
          </cell>
          <cell r="C3961" t="str">
            <v>FC</v>
          </cell>
          <cell r="D3961" t="str">
            <v>FC</v>
          </cell>
          <cell r="E3961" t="str">
            <v>47019</v>
          </cell>
        </row>
        <row r="3962">
          <cell r="A3962" t="str">
            <v>VERGHERETO</v>
          </cell>
          <cell r="B3962" t="str">
            <v>040050</v>
          </cell>
          <cell r="C3962" t="str">
            <v>FC</v>
          </cell>
          <cell r="D3962" t="str">
            <v>FC</v>
          </cell>
          <cell r="E3962" t="str">
            <v>47028</v>
          </cell>
        </row>
        <row r="3963">
          <cell r="A3963" t="str">
            <v>ACQUALAGNA</v>
          </cell>
          <cell r="B3963" t="str">
            <v>041001</v>
          </cell>
          <cell r="C3963" t="str">
            <v>PU</v>
          </cell>
          <cell r="D3963" t="str">
            <v>PU</v>
          </cell>
          <cell r="E3963" t="str">
            <v>61041</v>
          </cell>
        </row>
        <row r="3964">
          <cell r="A3964" t="str">
            <v>APECCHIO</v>
          </cell>
          <cell r="B3964" t="str">
            <v>041002</v>
          </cell>
          <cell r="C3964" t="str">
            <v>PU</v>
          </cell>
          <cell r="D3964" t="str">
            <v>PU</v>
          </cell>
          <cell r="E3964" t="str">
            <v>61042</v>
          </cell>
        </row>
        <row r="3965">
          <cell r="A3965" t="str">
            <v>BELFORTE ALL'ISAURO</v>
          </cell>
          <cell r="B3965" t="str">
            <v>041005</v>
          </cell>
          <cell r="C3965" t="str">
            <v>PU</v>
          </cell>
          <cell r="D3965" t="str">
            <v>PU</v>
          </cell>
          <cell r="E3965" t="str">
            <v>61026</v>
          </cell>
        </row>
        <row r="3966">
          <cell r="A3966" t="str">
            <v>BORGO PACE</v>
          </cell>
          <cell r="B3966" t="str">
            <v>041006</v>
          </cell>
          <cell r="C3966" t="str">
            <v>PU</v>
          </cell>
          <cell r="D3966" t="str">
            <v>PU</v>
          </cell>
          <cell r="E3966" t="str">
            <v>61040</v>
          </cell>
        </row>
        <row r="3967">
          <cell r="A3967" t="str">
            <v>CAGLI</v>
          </cell>
          <cell r="B3967" t="str">
            <v>041007</v>
          </cell>
          <cell r="C3967" t="str">
            <v>PU</v>
          </cell>
          <cell r="D3967" t="str">
            <v>PU</v>
          </cell>
          <cell r="E3967" t="str">
            <v>61043</v>
          </cell>
        </row>
        <row r="3968">
          <cell r="A3968" t="str">
            <v>CANTIANO</v>
          </cell>
          <cell r="B3968" t="str">
            <v>041008</v>
          </cell>
          <cell r="C3968" t="str">
            <v>PU</v>
          </cell>
          <cell r="D3968" t="str">
            <v>PU</v>
          </cell>
          <cell r="E3968" t="str">
            <v>61044</v>
          </cell>
        </row>
        <row r="3969">
          <cell r="A3969" t="str">
            <v>CARPEGNA</v>
          </cell>
          <cell r="B3969" t="str">
            <v>041009</v>
          </cell>
          <cell r="C3969" t="str">
            <v>PU</v>
          </cell>
          <cell r="D3969" t="str">
            <v>PU</v>
          </cell>
          <cell r="E3969" t="str">
            <v>61021</v>
          </cell>
        </row>
        <row r="3970">
          <cell r="A3970" t="str">
            <v>CARTOCETO</v>
          </cell>
          <cell r="B3970" t="str">
            <v>041010</v>
          </cell>
          <cell r="C3970" t="str">
            <v>PU</v>
          </cell>
          <cell r="D3970" t="str">
            <v>PU</v>
          </cell>
          <cell r="E3970" t="str">
            <v>61030</v>
          </cell>
        </row>
        <row r="3971">
          <cell r="A3971" t="str">
            <v>FANO</v>
          </cell>
          <cell r="B3971" t="str">
            <v>041013</v>
          </cell>
          <cell r="C3971" t="str">
            <v>PU</v>
          </cell>
          <cell r="D3971" t="str">
            <v>PU</v>
          </cell>
          <cell r="E3971" t="str">
            <v>61032</v>
          </cell>
        </row>
        <row r="3972">
          <cell r="A3972" t="str">
            <v>FERMIGNANO</v>
          </cell>
          <cell r="B3972" t="str">
            <v>041014</v>
          </cell>
          <cell r="C3972" t="str">
            <v>PU</v>
          </cell>
          <cell r="D3972" t="str">
            <v>PU</v>
          </cell>
          <cell r="E3972" t="str">
            <v>61033</v>
          </cell>
        </row>
        <row r="3973">
          <cell r="A3973" t="str">
            <v>FOSSOMBRONE</v>
          </cell>
          <cell r="B3973" t="str">
            <v>041015</v>
          </cell>
          <cell r="C3973" t="str">
            <v>PU</v>
          </cell>
          <cell r="D3973" t="str">
            <v>PU</v>
          </cell>
          <cell r="E3973" t="str">
            <v>61034</v>
          </cell>
        </row>
        <row r="3974">
          <cell r="A3974" t="str">
            <v>FRATTE ROSA</v>
          </cell>
          <cell r="B3974" t="str">
            <v>041016</v>
          </cell>
          <cell r="C3974" t="str">
            <v>PU</v>
          </cell>
          <cell r="D3974" t="str">
            <v>PU</v>
          </cell>
          <cell r="E3974" t="str">
            <v>61040</v>
          </cell>
        </row>
        <row r="3975">
          <cell r="A3975" t="str">
            <v>FRONTINO</v>
          </cell>
          <cell r="B3975" t="str">
            <v>041017</v>
          </cell>
          <cell r="C3975" t="str">
            <v>PU</v>
          </cell>
          <cell r="D3975" t="str">
            <v>PU</v>
          </cell>
          <cell r="E3975" t="str">
            <v>61021</v>
          </cell>
        </row>
        <row r="3976">
          <cell r="A3976" t="str">
            <v>FRONTONE</v>
          </cell>
          <cell r="B3976" t="str">
            <v>041018</v>
          </cell>
          <cell r="C3976" t="str">
            <v>PU</v>
          </cell>
          <cell r="D3976" t="str">
            <v>PU</v>
          </cell>
          <cell r="E3976" t="str">
            <v>61040</v>
          </cell>
        </row>
        <row r="3977">
          <cell r="A3977" t="str">
            <v>GABICCE MARE</v>
          </cell>
          <cell r="B3977" t="str">
            <v>041019</v>
          </cell>
          <cell r="C3977" t="str">
            <v>PU</v>
          </cell>
          <cell r="D3977" t="str">
            <v>PU</v>
          </cell>
          <cell r="E3977" t="str">
            <v>61011</v>
          </cell>
        </row>
        <row r="3978">
          <cell r="A3978" t="str">
            <v>GRADARA</v>
          </cell>
          <cell r="B3978" t="str">
            <v>041020</v>
          </cell>
          <cell r="C3978" t="str">
            <v>PU</v>
          </cell>
          <cell r="D3978" t="str">
            <v>PU</v>
          </cell>
          <cell r="E3978" t="str">
            <v>61012</v>
          </cell>
        </row>
        <row r="3979">
          <cell r="A3979" t="str">
            <v>ISOLA DEL PIANO</v>
          </cell>
          <cell r="B3979" t="str">
            <v>041021</v>
          </cell>
          <cell r="C3979" t="str">
            <v>PU</v>
          </cell>
          <cell r="D3979" t="str">
            <v>PU</v>
          </cell>
          <cell r="E3979" t="str">
            <v>61030</v>
          </cell>
        </row>
        <row r="3980">
          <cell r="A3980" t="str">
            <v>LUNANO</v>
          </cell>
          <cell r="B3980" t="str">
            <v>041022</v>
          </cell>
          <cell r="C3980" t="str">
            <v>PU</v>
          </cell>
          <cell r="D3980" t="str">
            <v>PU</v>
          </cell>
          <cell r="E3980" t="str">
            <v>61026</v>
          </cell>
        </row>
        <row r="3981">
          <cell r="A3981" t="str">
            <v>MACERATA FELTRIA</v>
          </cell>
          <cell r="B3981" t="str">
            <v>041023</v>
          </cell>
          <cell r="C3981" t="str">
            <v>PU</v>
          </cell>
          <cell r="D3981" t="str">
            <v>PU</v>
          </cell>
          <cell r="E3981" t="str">
            <v>61023</v>
          </cell>
        </row>
        <row r="3982">
          <cell r="A3982" t="str">
            <v>MERCATELLO SUL METAURO</v>
          </cell>
          <cell r="B3982" t="str">
            <v>041025</v>
          </cell>
          <cell r="C3982" t="str">
            <v>PU</v>
          </cell>
          <cell r="D3982" t="str">
            <v>PU</v>
          </cell>
          <cell r="E3982" t="str">
            <v>61040</v>
          </cell>
        </row>
        <row r="3983">
          <cell r="A3983" t="str">
            <v>MERCATINO CONCA</v>
          </cell>
          <cell r="B3983" t="str">
            <v>041026</v>
          </cell>
          <cell r="C3983" t="str">
            <v>PU</v>
          </cell>
          <cell r="D3983" t="str">
            <v>PU</v>
          </cell>
          <cell r="E3983" t="str">
            <v>61013</v>
          </cell>
        </row>
        <row r="3984">
          <cell r="A3984" t="str">
            <v>MOMBAROCCIO</v>
          </cell>
          <cell r="B3984" t="str">
            <v>041027</v>
          </cell>
          <cell r="C3984" t="str">
            <v>PU</v>
          </cell>
          <cell r="D3984" t="str">
            <v>PU</v>
          </cell>
          <cell r="E3984" t="str">
            <v>61024</v>
          </cell>
        </row>
        <row r="3985">
          <cell r="A3985" t="str">
            <v>MONDAVIO</v>
          </cell>
          <cell r="B3985" t="str">
            <v>041028</v>
          </cell>
          <cell r="C3985" t="str">
            <v>PU</v>
          </cell>
          <cell r="D3985" t="str">
            <v>PU</v>
          </cell>
          <cell r="E3985" t="str">
            <v>61040</v>
          </cell>
        </row>
        <row r="3986">
          <cell r="A3986" t="str">
            <v>MONDOLFO</v>
          </cell>
          <cell r="B3986" t="str">
            <v>041029</v>
          </cell>
          <cell r="C3986" t="str">
            <v>PU</v>
          </cell>
          <cell r="D3986" t="str">
            <v>PU</v>
          </cell>
          <cell r="E3986" t="str">
            <v>61037</v>
          </cell>
        </row>
        <row r="3987">
          <cell r="A3987" t="str">
            <v>MONTECALVO IN FOGLIA</v>
          </cell>
          <cell r="B3987" t="str">
            <v>041030</v>
          </cell>
          <cell r="C3987" t="str">
            <v>PU</v>
          </cell>
          <cell r="D3987" t="str">
            <v>PU</v>
          </cell>
          <cell r="E3987" t="str">
            <v>61020</v>
          </cell>
        </row>
        <row r="3988">
          <cell r="A3988" t="str">
            <v>MONTE CERIGNONE</v>
          </cell>
          <cell r="B3988" t="str">
            <v>041031</v>
          </cell>
          <cell r="C3988" t="str">
            <v>PU</v>
          </cell>
          <cell r="D3988" t="str">
            <v>PU</v>
          </cell>
          <cell r="E3988" t="str">
            <v>61010</v>
          </cell>
        </row>
        <row r="3989">
          <cell r="A3989" t="str">
            <v>MONTEFELCINO</v>
          </cell>
          <cell r="B3989" t="str">
            <v>041034</v>
          </cell>
          <cell r="C3989" t="str">
            <v>PU</v>
          </cell>
          <cell r="D3989" t="str">
            <v>PU</v>
          </cell>
          <cell r="E3989" t="str">
            <v>61030</v>
          </cell>
        </row>
        <row r="3990">
          <cell r="A3990" t="str">
            <v>MONTE GRIMANO TERME</v>
          </cell>
          <cell r="B3990" t="str">
            <v>041035</v>
          </cell>
          <cell r="C3990" t="str">
            <v>PU</v>
          </cell>
          <cell r="D3990" t="str">
            <v>PU</v>
          </cell>
          <cell r="E3990" t="str">
            <v>61010</v>
          </cell>
        </row>
        <row r="3991">
          <cell r="A3991" t="str">
            <v>MONTELABBATE</v>
          </cell>
          <cell r="B3991" t="str">
            <v>041036</v>
          </cell>
          <cell r="C3991" t="str">
            <v>PU</v>
          </cell>
          <cell r="D3991" t="str">
            <v>PU</v>
          </cell>
          <cell r="E3991" t="str">
            <v>61025</v>
          </cell>
        </row>
        <row r="3992">
          <cell r="A3992" t="str">
            <v>MONTE PORZIO</v>
          </cell>
          <cell r="B3992" t="str">
            <v>041038</v>
          </cell>
          <cell r="C3992" t="str">
            <v>PU</v>
          </cell>
          <cell r="D3992" t="str">
            <v>PU</v>
          </cell>
          <cell r="E3992" t="str">
            <v>61040</v>
          </cell>
        </row>
        <row r="3993">
          <cell r="A3993" t="str">
            <v>PEGLIO</v>
          </cell>
          <cell r="B3993" t="str">
            <v>041041</v>
          </cell>
          <cell r="C3993" t="str">
            <v>PU</v>
          </cell>
          <cell r="D3993" t="str">
            <v>CO</v>
          </cell>
          <cell r="E3993" t="str">
            <v>22010</v>
          </cell>
        </row>
        <row r="3994">
          <cell r="A3994" t="str">
            <v>PERGOLA</v>
          </cell>
          <cell r="B3994" t="str">
            <v>041043</v>
          </cell>
          <cell r="C3994" t="str">
            <v>PU</v>
          </cell>
          <cell r="D3994" t="str">
            <v>PU</v>
          </cell>
          <cell r="E3994" t="str">
            <v>61045</v>
          </cell>
        </row>
        <row r="3995">
          <cell r="A3995" t="str">
            <v>PESARO</v>
          </cell>
          <cell r="B3995" t="str">
            <v>041044</v>
          </cell>
          <cell r="C3995" t="str">
            <v>PU</v>
          </cell>
          <cell r="D3995" t="str">
            <v>PU</v>
          </cell>
          <cell r="E3995" t="str">
            <v>6112x</v>
          </cell>
        </row>
        <row r="3996">
          <cell r="A3996" t="str">
            <v>PETRIANO</v>
          </cell>
          <cell r="B3996" t="str">
            <v>041045</v>
          </cell>
          <cell r="C3996" t="str">
            <v>PU</v>
          </cell>
          <cell r="D3996" t="str">
            <v>PU</v>
          </cell>
          <cell r="E3996" t="str">
            <v>61020</v>
          </cell>
        </row>
        <row r="3997">
          <cell r="A3997" t="str">
            <v>PIANDIMELETO</v>
          </cell>
          <cell r="B3997" t="str">
            <v>041047</v>
          </cell>
          <cell r="C3997" t="str">
            <v>PU</v>
          </cell>
          <cell r="D3997" t="str">
            <v>PU</v>
          </cell>
          <cell r="E3997" t="str">
            <v>61026</v>
          </cell>
        </row>
        <row r="3998">
          <cell r="A3998" t="str">
            <v>PIETRARUBBIA</v>
          </cell>
          <cell r="B3998" t="str">
            <v>041048</v>
          </cell>
          <cell r="C3998" t="str">
            <v>PU</v>
          </cell>
          <cell r="D3998" t="str">
            <v>PU</v>
          </cell>
          <cell r="E3998" t="str">
            <v>61023</v>
          </cell>
        </row>
        <row r="3999">
          <cell r="A3999" t="str">
            <v>PIOBBICO</v>
          </cell>
          <cell r="B3999" t="str">
            <v>041049</v>
          </cell>
          <cell r="C3999" t="str">
            <v>PU</v>
          </cell>
          <cell r="D3999" t="str">
            <v>PU</v>
          </cell>
          <cell r="E3999" t="str">
            <v>61046</v>
          </cell>
        </row>
        <row r="4000">
          <cell r="A4000" t="str">
            <v>SAN COSTANZO</v>
          </cell>
          <cell r="B4000" t="str">
            <v>041051</v>
          </cell>
          <cell r="C4000" t="str">
            <v>PU</v>
          </cell>
          <cell r="D4000" t="str">
            <v>PU</v>
          </cell>
          <cell r="E4000" t="str">
            <v>61039</v>
          </cell>
        </row>
        <row r="4001">
          <cell r="A4001" t="str">
            <v>SAN LORENZO IN CAMPO</v>
          </cell>
          <cell r="B4001" t="str">
            <v>041054</v>
          </cell>
          <cell r="C4001" t="str">
            <v>PU</v>
          </cell>
          <cell r="D4001" t="str">
            <v>PU</v>
          </cell>
          <cell r="E4001" t="str">
            <v>61047</v>
          </cell>
        </row>
        <row r="4002">
          <cell r="A4002" t="str">
            <v>SANT'ANGELO IN VADO</v>
          </cell>
          <cell r="B4002" t="str">
            <v>041057</v>
          </cell>
          <cell r="C4002" t="str">
            <v>PU</v>
          </cell>
          <cell r="D4002" t="str">
            <v>PU</v>
          </cell>
          <cell r="E4002" t="str">
            <v>61048</v>
          </cell>
        </row>
        <row r="4003">
          <cell r="A4003" t="str">
            <v>SANT'IPPOLITO</v>
          </cell>
          <cell r="B4003" t="str">
            <v>041058</v>
          </cell>
          <cell r="C4003" t="str">
            <v>PU</v>
          </cell>
          <cell r="D4003" t="str">
            <v>PU</v>
          </cell>
          <cell r="E4003" t="str">
            <v>61040</v>
          </cell>
        </row>
        <row r="4004">
          <cell r="A4004" t="str">
            <v>SERRA SANT'ABBONDIO</v>
          </cell>
          <cell r="B4004" t="str">
            <v>041061</v>
          </cell>
          <cell r="C4004" t="str">
            <v>PU</v>
          </cell>
          <cell r="D4004" t="str">
            <v>PU</v>
          </cell>
          <cell r="E4004" t="str">
            <v>61040</v>
          </cell>
        </row>
        <row r="4005">
          <cell r="A4005" t="str">
            <v>TAVOLETO</v>
          </cell>
          <cell r="B4005" t="str">
            <v>041064</v>
          </cell>
          <cell r="C4005" t="str">
            <v>PU</v>
          </cell>
          <cell r="D4005" t="str">
            <v>PU</v>
          </cell>
          <cell r="E4005" t="str">
            <v>61020</v>
          </cell>
        </row>
        <row r="4006">
          <cell r="A4006" t="str">
            <v>TAVULLIA</v>
          </cell>
          <cell r="B4006" t="str">
            <v>041065</v>
          </cell>
          <cell r="C4006" t="str">
            <v>PU</v>
          </cell>
          <cell r="D4006" t="str">
            <v>PU</v>
          </cell>
          <cell r="E4006" t="str">
            <v>61010</v>
          </cell>
        </row>
        <row r="4007">
          <cell r="A4007" t="str">
            <v>URBANIA</v>
          </cell>
          <cell r="B4007" t="str">
            <v>041066</v>
          </cell>
          <cell r="C4007" t="str">
            <v>PU</v>
          </cell>
          <cell r="D4007" t="str">
            <v>PU</v>
          </cell>
          <cell r="E4007" t="str">
            <v>61049</v>
          </cell>
        </row>
        <row r="4008">
          <cell r="A4008" t="str">
            <v>URBINO</v>
          </cell>
          <cell r="B4008" t="str">
            <v>041067</v>
          </cell>
          <cell r="C4008" t="str">
            <v>PU</v>
          </cell>
          <cell r="D4008" t="str">
            <v>PU</v>
          </cell>
          <cell r="E4008" t="str">
            <v>61029</v>
          </cell>
        </row>
        <row r="4009">
          <cell r="A4009" t="str">
            <v>VALLEFOGLIA</v>
          </cell>
          <cell r="B4009" t="str">
            <v>041068</v>
          </cell>
          <cell r="C4009" t="str">
            <v>PU</v>
          </cell>
          <cell r="D4009" t="e">
            <v>#N/A</v>
          </cell>
          <cell r="E4009" t="e">
            <v>#N/A</v>
          </cell>
        </row>
        <row r="4010">
          <cell r="A4010" t="str">
            <v>COLLI AL METAURO</v>
          </cell>
          <cell r="B4010" t="str">
            <v>041069</v>
          </cell>
          <cell r="C4010" t="str">
            <v>PU</v>
          </cell>
          <cell r="D4010" t="e">
            <v>#N/A</v>
          </cell>
          <cell r="E4010" t="e">
            <v>#N/A</v>
          </cell>
        </row>
        <row r="4011">
          <cell r="A4011" t="str">
            <v>TERRE ROVERESCHE</v>
          </cell>
          <cell r="B4011" t="str">
            <v>041070</v>
          </cell>
          <cell r="C4011" t="str">
            <v>PU</v>
          </cell>
          <cell r="D4011" t="e">
            <v>#N/A</v>
          </cell>
          <cell r="E4011" t="e">
            <v>#N/A</v>
          </cell>
        </row>
        <row r="4012">
          <cell r="A4012" t="str">
            <v>SASSOCORVARO AUDITORE</v>
          </cell>
          <cell r="B4012" t="str">
            <v>041071</v>
          </cell>
          <cell r="C4012" t="str">
            <v>PU</v>
          </cell>
          <cell r="D4012" t="e">
            <v>#N/A</v>
          </cell>
          <cell r="E4012" t="e">
            <v>#N/A</v>
          </cell>
        </row>
        <row r="4013">
          <cell r="A4013" t="str">
            <v>AGUGLIANO</v>
          </cell>
          <cell r="B4013" t="str">
            <v>042001</v>
          </cell>
          <cell r="C4013" t="str">
            <v>AN</v>
          </cell>
          <cell r="D4013" t="str">
            <v>AN</v>
          </cell>
          <cell r="E4013" t="str">
            <v>60020</v>
          </cell>
        </row>
        <row r="4014">
          <cell r="A4014" t="str">
            <v>ANCONA</v>
          </cell>
          <cell r="B4014" t="str">
            <v>042002</v>
          </cell>
          <cell r="C4014" t="str">
            <v>AN</v>
          </cell>
          <cell r="D4014" t="str">
            <v>AN</v>
          </cell>
          <cell r="E4014" t="str">
            <v>601xx</v>
          </cell>
        </row>
        <row r="4015">
          <cell r="A4015" t="str">
            <v>ARCEVIA</v>
          </cell>
          <cell r="B4015" t="str">
            <v>042003</v>
          </cell>
          <cell r="C4015" t="str">
            <v>AN</v>
          </cell>
          <cell r="D4015" t="str">
            <v>AN</v>
          </cell>
          <cell r="E4015" t="str">
            <v>60011</v>
          </cell>
        </row>
        <row r="4016">
          <cell r="A4016" t="str">
            <v>BARBARA</v>
          </cell>
          <cell r="B4016" t="str">
            <v>042004</v>
          </cell>
          <cell r="C4016" t="str">
            <v>AN</v>
          </cell>
          <cell r="D4016" t="str">
            <v>AN</v>
          </cell>
          <cell r="E4016" t="str">
            <v>60010</v>
          </cell>
        </row>
        <row r="4017">
          <cell r="A4017" t="str">
            <v>BELVEDERE OSTRENSE</v>
          </cell>
          <cell r="B4017" t="str">
            <v>042005</v>
          </cell>
          <cell r="C4017" t="str">
            <v>AN</v>
          </cell>
          <cell r="D4017" t="str">
            <v>AN</v>
          </cell>
          <cell r="E4017" t="str">
            <v>60030</v>
          </cell>
        </row>
        <row r="4018">
          <cell r="A4018" t="str">
            <v>CAMERANO</v>
          </cell>
          <cell r="B4018" t="str">
            <v>042006</v>
          </cell>
          <cell r="C4018" t="str">
            <v>AN</v>
          </cell>
          <cell r="D4018" t="str">
            <v>AN</v>
          </cell>
          <cell r="E4018" t="str">
            <v>60021</v>
          </cell>
        </row>
        <row r="4019">
          <cell r="A4019" t="str">
            <v>CAMERATA PICENA</v>
          </cell>
          <cell r="B4019" t="str">
            <v>042007</v>
          </cell>
          <cell r="C4019" t="str">
            <v>AN</v>
          </cell>
          <cell r="D4019" t="str">
            <v>AN</v>
          </cell>
          <cell r="E4019" t="str">
            <v>60020</v>
          </cell>
        </row>
        <row r="4020">
          <cell r="A4020" t="str">
            <v>CASTELBELLINO</v>
          </cell>
          <cell r="B4020" t="str">
            <v>042008</v>
          </cell>
          <cell r="C4020" t="str">
            <v>AN</v>
          </cell>
          <cell r="D4020" t="str">
            <v>AN</v>
          </cell>
          <cell r="E4020" t="str">
            <v>60030</v>
          </cell>
        </row>
        <row r="4021">
          <cell r="A4021" t="str">
            <v>CASTELFIDARDO</v>
          </cell>
          <cell r="B4021" t="str">
            <v>042010</v>
          </cell>
          <cell r="C4021" t="str">
            <v>AN</v>
          </cell>
          <cell r="D4021" t="str">
            <v>AN</v>
          </cell>
          <cell r="E4021" t="str">
            <v>60022</v>
          </cell>
        </row>
        <row r="4022">
          <cell r="A4022" t="str">
            <v>CASTELLEONE DI SUASA</v>
          </cell>
          <cell r="B4022" t="str">
            <v>042011</v>
          </cell>
          <cell r="C4022" t="str">
            <v>AN</v>
          </cell>
          <cell r="D4022" t="str">
            <v>AN</v>
          </cell>
          <cell r="E4022" t="str">
            <v>60010</v>
          </cell>
        </row>
        <row r="4023">
          <cell r="A4023" t="str">
            <v>CASTELPLANIO</v>
          </cell>
          <cell r="B4023" t="str">
            <v>042012</v>
          </cell>
          <cell r="C4023" t="str">
            <v>AN</v>
          </cell>
          <cell r="D4023" t="str">
            <v>AN</v>
          </cell>
          <cell r="E4023" t="str">
            <v>60031</v>
          </cell>
        </row>
        <row r="4024">
          <cell r="A4024" t="str">
            <v>CERRETO D'ESI</v>
          </cell>
          <cell r="B4024" t="str">
            <v>042013</v>
          </cell>
          <cell r="C4024" t="str">
            <v>AN</v>
          </cell>
          <cell r="D4024" t="str">
            <v>AN</v>
          </cell>
          <cell r="E4024" t="str">
            <v>60043</v>
          </cell>
        </row>
        <row r="4025">
          <cell r="A4025" t="str">
            <v>CHIARAVALLE</v>
          </cell>
          <cell r="B4025" t="str">
            <v>042014</v>
          </cell>
          <cell r="C4025" t="str">
            <v>AN</v>
          </cell>
          <cell r="D4025" t="str">
            <v>AN</v>
          </cell>
          <cell r="E4025" t="str">
            <v>60033</v>
          </cell>
        </row>
        <row r="4026">
          <cell r="A4026" t="str">
            <v>CORINALDO</v>
          </cell>
          <cell r="B4026" t="str">
            <v>042015</v>
          </cell>
          <cell r="C4026" t="str">
            <v>AN</v>
          </cell>
          <cell r="D4026" t="str">
            <v>AN</v>
          </cell>
          <cell r="E4026" t="str">
            <v>60013</v>
          </cell>
        </row>
        <row r="4027">
          <cell r="A4027" t="str">
            <v>CUPRAMONTANA</v>
          </cell>
          <cell r="B4027" t="str">
            <v>042016</v>
          </cell>
          <cell r="C4027" t="str">
            <v>AN</v>
          </cell>
          <cell r="D4027" t="str">
            <v>AN</v>
          </cell>
          <cell r="E4027" t="str">
            <v>60034</v>
          </cell>
        </row>
        <row r="4028">
          <cell r="A4028" t="str">
            <v>FABRIANO</v>
          </cell>
          <cell r="B4028" t="str">
            <v>042017</v>
          </cell>
          <cell r="C4028" t="str">
            <v>AN</v>
          </cell>
          <cell r="D4028" t="str">
            <v>AN</v>
          </cell>
          <cell r="E4028" t="str">
            <v>60044</v>
          </cell>
        </row>
        <row r="4029">
          <cell r="A4029" t="str">
            <v>FALCONARA MARITTIMA</v>
          </cell>
          <cell r="B4029" t="str">
            <v>042018</v>
          </cell>
          <cell r="C4029" t="str">
            <v>AN</v>
          </cell>
          <cell r="D4029" t="str">
            <v>AN</v>
          </cell>
          <cell r="E4029" t="str">
            <v>60015</v>
          </cell>
        </row>
        <row r="4030">
          <cell r="A4030" t="str">
            <v>FILOTTRANO</v>
          </cell>
          <cell r="B4030" t="str">
            <v>042019</v>
          </cell>
          <cell r="C4030" t="str">
            <v>AN</v>
          </cell>
          <cell r="D4030" t="str">
            <v>AN</v>
          </cell>
          <cell r="E4030" t="str">
            <v>60024</v>
          </cell>
        </row>
        <row r="4031">
          <cell r="A4031" t="str">
            <v>GENGA</v>
          </cell>
          <cell r="B4031" t="str">
            <v>042020</v>
          </cell>
          <cell r="C4031" t="str">
            <v>AN</v>
          </cell>
          <cell r="D4031" t="str">
            <v>AN</v>
          </cell>
          <cell r="E4031" t="str">
            <v>60040</v>
          </cell>
        </row>
        <row r="4032">
          <cell r="A4032" t="str">
            <v>JESI</v>
          </cell>
          <cell r="B4032" t="str">
            <v>042021</v>
          </cell>
          <cell r="C4032" t="str">
            <v>AN</v>
          </cell>
          <cell r="D4032" t="str">
            <v>AN</v>
          </cell>
          <cell r="E4032" t="str">
            <v>60035</v>
          </cell>
        </row>
        <row r="4033">
          <cell r="A4033" t="str">
            <v>LORETO</v>
          </cell>
          <cell r="B4033" t="str">
            <v>042022</v>
          </cell>
          <cell r="C4033" t="str">
            <v>AN</v>
          </cell>
          <cell r="D4033" t="str">
            <v>AN</v>
          </cell>
          <cell r="E4033" t="str">
            <v>60025</v>
          </cell>
        </row>
        <row r="4034">
          <cell r="A4034" t="str">
            <v>MAIOLATI SPONTINI</v>
          </cell>
          <cell r="B4034" t="str">
            <v>042023</v>
          </cell>
          <cell r="C4034" t="str">
            <v>AN</v>
          </cell>
          <cell r="D4034" t="str">
            <v>AN</v>
          </cell>
          <cell r="E4034" t="str">
            <v>60030</v>
          </cell>
        </row>
        <row r="4035">
          <cell r="A4035" t="str">
            <v>MERGO</v>
          </cell>
          <cell r="B4035" t="str">
            <v>042024</v>
          </cell>
          <cell r="C4035" t="str">
            <v>AN</v>
          </cell>
          <cell r="D4035" t="str">
            <v>AN</v>
          </cell>
          <cell r="E4035" t="str">
            <v>60030</v>
          </cell>
        </row>
        <row r="4036">
          <cell r="A4036" t="str">
            <v>MONSANO</v>
          </cell>
          <cell r="B4036" t="str">
            <v>042025</v>
          </cell>
          <cell r="C4036" t="str">
            <v>AN</v>
          </cell>
          <cell r="D4036" t="str">
            <v>AN</v>
          </cell>
          <cell r="E4036" t="str">
            <v>60030</v>
          </cell>
        </row>
        <row r="4037">
          <cell r="A4037" t="str">
            <v>MONTECAROTTO</v>
          </cell>
          <cell r="B4037" t="str">
            <v>042026</v>
          </cell>
          <cell r="C4037" t="str">
            <v>AN</v>
          </cell>
          <cell r="D4037" t="str">
            <v>AN</v>
          </cell>
          <cell r="E4037" t="str">
            <v>60036</v>
          </cell>
        </row>
        <row r="4038">
          <cell r="A4038" t="str">
            <v>MONTEMARCIANO</v>
          </cell>
          <cell r="B4038" t="str">
            <v>042027</v>
          </cell>
          <cell r="C4038" t="str">
            <v>AN</v>
          </cell>
          <cell r="D4038" t="str">
            <v>AN</v>
          </cell>
          <cell r="E4038" t="str">
            <v>60018</v>
          </cell>
        </row>
        <row r="4039">
          <cell r="A4039" t="str">
            <v>MONTE ROBERTO</v>
          </cell>
          <cell r="B4039" t="str">
            <v>042029</v>
          </cell>
          <cell r="C4039" t="str">
            <v>AN</v>
          </cell>
          <cell r="D4039" t="str">
            <v>AN</v>
          </cell>
          <cell r="E4039" t="str">
            <v>60030</v>
          </cell>
        </row>
        <row r="4040">
          <cell r="A4040" t="str">
            <v>MONTE SAN VITO</v>
          </cell>
          <cell r="B4040" t="str">
            <v>042030</v>
          </cell>
          <cell r="C4040" t="str">
            <v>AN</v>
          </cell>
          <cell r="D4040" t="str">
            <v>AN</v>
          </cell>
          <cell r="E4040" t="str">
            <v>60037</v>
          </cell>
        </row>
        <row r="4041">
          <cell r="A4041" t="str">
            <v>MORRO D'ALBA</v>
          </cell>
          <cell r="B4041" t="str">
            <v>042031</v>
          </cell>
          <cell r="C4041" t="str">
            <v>AN</v>
          </cell>
          <cell r="D4041" t="str">
            <v>AN</v>
          </cell>
          <cell r="E4041" t="str">
            <v>60030</v>
          </cell>
        </row>
        <row r="4042">
          <cell r="A4042" t="str">
            <v>NUMANA</v>
          </cell>
          <cell r="B4042" t="str">
            <v>042032</v>
          </cell>
          <cell r="C4042" t="str">
            <v>AN</v>
          </cell>
          <cell r="D4042" t="str">
            <v>AN</v>
          </cell>
          <cell r="E4042" t="str">
            <v>60026</v>
          </cell>
        </row>
        <row r="4043">
          <cell r="A4043" t="str">
            <v>OFFAGNA</v>
          </cell>
          <cell r="B4043" t="str">
            <v>042033</v>
          </cell>
          <cell r="C4043" t="str">
            <v>AN</v>
          </cell>
          <cell r="D4043" t="str">
            <v>AN</v>
          </cell>
          <cell r="E4043" t="str">
            <v>60020</v>
          </cell>
        </row>
        <row r="4044">
          <cell r="A4044" t="str">
            <v>OSIMO</v>
          </cell>
          <cell r="B4044" t="str">
            <v>042034</v>
          </cell>
          <cell r="C4044" t="str">
            <v>AN</v>
          </cell>
          <cell r="D4044" t="str">
            <v>AN</v>
          </cell>
          <cell r="E4044" t="str">
            <v>60027</v>
          </cell>
        </row>
        <row r="4045">
          <cell r="A4045" t="str">
            <v>OSTRA</v>
          </cell>
          <cell r="B4045" t="str">
            <v>042035</v>
          </cell>
          <cell r="C4045" t="str">
            <v>AN</v>
          </cell>
          <cell r="D4045" t="str">
            <v>AN</v>
          </cell>
          <cell r="E4045" t="str">
            <v>60010</v>
          </cell>
        </row>
        <row r="4046">
          <cell r="A4046" t="str">
            <v>OSTRA VETERE</v>
          </cell>
          <cell r="B4046" t="str">
            <v>042036</v>
          </cell>
          <cell r="C4046" t="str">
            <v>AN</v>
          </cell>
          <cell r="D4046" t="str">
            <v>AN</v>
          </cell>
          <cell r="E4046" t="str">
            <v>60010</v>
          </cell>
        </row>
        <row r="4047">
          <cell r="A4047" t="str">
            <v>POGGIO SAN MARCELLO</v>
          </cell>
          <cell r="B4047" t="str">
            <v>042037</v>
          </cell>
          <cell r="C4047" t="str">
            <v>AN</v>
          </cell>
          <cell r="D4047" t="str">
            <v>AN</v>
          </cell>
          <cell r="E4047" t="str">
            <v>60030</v>
          </cell>
        </row>
        <row r="4048">
          <cell r="A4048" t="str">
            <v>POLVERIGI</v>
          </cell>
          <cell r="B4048" t="str">
            <v>042038</v>
          </cell>
          <cell r="C4048" t="str">
            <v>AN</v>
          </cell>
          <cell r="D4048" t="str">
            <v>AN</v>
          </cell>
          <cell r="E4048" t="str">
            <v>60020</v>
          </cell>
        </row>
        <row r="4049">
          <cell r="A4049" t="str">
            <v>ROSORA</v>
          </cell>
          <cell r="B4049" t="str">
            <v>042040</v>
          </cell>
          <cell r="C4049" t="str">
            <v>AN</v>
          </cell>
          <cell r="D4049" t="str">
            <v>AN</v>
          </cell>
          <cell r="E4049" t="str">
            <v>60030</v>
          </cell>
        </row>
        <row r="4050">
          <cell r="A4050" t="str">
            <v>SAN MARCELLO</v>
          </cell>
          <cell r="B4050" t="str">
            <v>042041</v>
          </cell>
          <cell r="C4050" t="str">
            <v>AN</v>
          </cell>
          <cell r="D4050" t="str">
            <v>AN</v>
          </cell>
          <cell r="E4050" t="str">
            <v>60030</v>
          </cell>
        </row>
        <row r="4051">
          <cell r="A4051" t="str">
            <v>SAN PAOLO DI JESI</v>
          </cell>
          <cell r="B4051" t="str">
            <v>042042</v>
          </cell>
          <cell r="C4051" t="str">
            <v>AN</v>
          </cell>
          <cell r="D4051" t="str">
            <v>AN</v>
          </cell>
          <cell r="E4051" t="str">
            <v>60038</v>
          </cell>
        </row>
        <row r="4052">
          <cell r="A4052" t="str">
            <v>SANTA MARIA NUOVA</v>
          </cell>
          <cell r="B4052" t="str">
            <v>042043</v>
          </cell>
          <cell r="C4052" t="str">
            <v>AN</v>
          </cell>
          <cell r="D4052" t="str">
            <v>AN</v>
          </cell>
          <cell r="E4052" t="str">
            <v>60030</v>
          </cell>
        </row>
        <row r="4053">
          <cell r="A4053" t="str">
            <v>SASSOFERRATO</v>
          </cell>
          <cell r="B4053" t="str">
            <v>042044</v>
          </cell>
          <cell r="C4053" t="str">
            <v>AN</v>
          </cell>
          <cell r="D4053" t="str">
            <v>AN</v>
          </cell>
          <cell r="E4053" t="str">
            <v>60041</v>
          </cell>
        </row>
        <row r="4054">
          <cell r="A4054" t="str">
            <v>SENIGALLIA</v>
          </cell>
          <cell r="B4054" t="str">
            <v>042045</v>
          </cell>
          <cell r="C4054" t="str">
            <v>AN</v>
          </cell>
          <cell r="D4054" t="str">
            <v>AN</v>
          </cell>
          <cell r="E4054" t="str">
            <v>60019</v>
          </cell>
        </row>
        <row r="4055">
          <cell r="A4055" t="str">
            <v>SERRA DE' CONTI</v>
          </cell>
          <cell r="B4055" t="str">
            <v>042046</v>
          </cell>
          <cell r="C4055" t="str">
            <v>AN</v>
          </cell>
          <cell r="D4055" t="str">
            <v>AN</v>
          </cell>
          <cell r="E4055" t="str">
            <v>60030</v>
          </cell>
        </row>
        <row r="4056">
          <cell r="A4056" t="str">
            <v>SERRA SAN QUIRICO</v>
          </cell>
          <cell r="B4056" t="str">
            <v>042047</v>
          </cell>
          <cell r="C4056" t="str">
            <v>AN</v>
          </cell>
          <cell r="D4056" t="str">
            <v>AN</v>
          </cell>
          <cell r="E4056" t="str">
            <v>60048</v>
          </cell>
        </row>
        <row r="4057">
          <cell r="A4057" t="str">
            <v>SIROLO</v>
          </cell>
          <cell r="B4057" t="str">
            <v>042048</v>
          </cell>
          <cell r="C4057" t="str">
            <v>AN</v>
          </cell>
          <cell r="D4057" t="str">
            <v>AN</v>
          </cell>
          <cell r="E4057" t="str">
            <v>60020</v>
          </cell>
        </row>
        <row r="4058">
          <cell r="A4058" t="str">
            <v>STAFFOLO</v>
          </cell>
          <cell r="B4058" t="str">
            <v>042049</v>
          </cell>
          <cell r="C4058" t="str">
            <v>AN</v>
          </cell>
          <cell r="D4058" t="str">
            <v>AN</v>
          </cell>
          <cell r="E4058" t="str">
            <v>60039</v>
          </cell>
        </row>
        <row r="4059">
          <cell r="A4059" t="str">
            <v>TRECASTELLI</v>
          </cell>
          <cell r="B4059" t="str">
            <v>042050</v>
          </cell>
          <cell r="C4059" t="str">
            <v>AN</v>
          </cell>
          <cell r="D4059" t="e">
            <v>#N/A</v>
          </cell>
          <cell r="E4059" t="e">
            <v>#N/A</v>
          </cell>
        </row>
        <row r="4060">
          <cell r="A4060" t="str">
            <v>APIRO</v>
          </cell>
          <cell r="B4060" t="str">
            <v>043002</v>
          </cell>
          <cell r="C4060" t="str">
            <v>MC</v>
          </cell>
          <cell r="D4060" t="str">
            <v>MC</v>
          </cell>
          <cell r="E4060" t="str">
            <v>62021</v>
          </cell>
        </row>
        <row r="4061">
          <cell r="A4061" t="str">
            <v>APPIGNANO</v>
          </cell>
          <cell r="B4061" t="str">
            <v>043003</v>
          </cell>
          <cell r="C4061" t="str">
            <v>MC</v>
          </cell>
          <cell r="D4061" t="str">
            <v>MC</v>
          </cell>
          <cell r="E4061" t="str">
            <v>62010</v>
          </cell>
        </row>
        <row r="4062">
          <cell r="A4062" t="str">
            <v>BELFORTE DEL CHIENTI</v>
          </cell>
          <cell r="B4062" t="str">
            <v>043004</v>
          </cell>
          <cell r="C4062" t="str">
            <v>MC</v>
          </cell>
          <cell r="D4062" t="str">
            <v>MC</v>
          </cell>
          <cell r="E4062" t="str">
            <v>62020</v>
          </cell>
        </row>
        <row r="4063">
          <cell r="A4063" t="str">
            <v>BOLOGNOLA</v>
          </cell>
          <cell r="B4063" t="str">
            <v>043005</v>
          </cell>
          <cell r="C4063" t="str">
            <v>MC</v>
          </cell>
          <cell r="D4063" t="str">
            <v>MC</v>
          </cell>
          <cell r="E4063" t="str">
            <v>62035</v>
          </cell>
        </row>
        <row r="4064">
          <cell r="A4064" t="str">
            <v>CALDAROLA</v>
          </cell>
          <cell r="B4064" t="str">
            <v>043006</v>
          </cell>
          <cell r="C4064" t="str">
            <v>MC</v>
          </cell>
          <cell r="D4064" t="str">
            <v>MC</v>
          </cell>
          <cell r="E4064" t="str">
            <v>62020</v>
          </cell>
        </row>
        <row r="4065">
          <cell r="A4065" t="str">
            <v>CAMERINO</v>
          </cell>
          <cell r="B4065" t="str">
            <v>043007</v>
          </cell>
          <cell r="C4065" t="str">
            <v>MC</v>
          </cell>
          <cell r="D4065" t="str">
            <v>MC</v>
          </cell>
          <cell r="E4065" t="str">
            <v>62032</v>
          </cell>
        </row>
        <row r="4066">
          <cell r="A4066" t="str">
            <v>CAMPOROTONDO DI FIASTRONE</v>
          </cell>
          <cell r="B4066" t="str">
            <v>043008</v>
          </cell>
          <cell r="C4066" t="str">
            <v>MC</v>
          </cell>
          <cell r="D4066" t="str">
            <v>MC</v>
          </cell>
          <cell r="E4066" t="str">
            <v>62020</v>
          </cell>
        </row>
        <row r="4067">
          <cell r="A4067" t="str">
            <v>CASTELRAIMONDO</v>
          </cell>
          <cell r="B4067" t="str">
            <v>043009</v>
          </cell>
          <cell r="C4067" t="str">
            <v>MC</v>
          </cell>
          <cell r="D4067" t="str">
            <v>MC</v>
          </cell>
          <cell r="E4067" t="str">
            <v>62022</v>
          </cell>
        </row>
        <row r="4068">
          <cell r="A4068" t="str">
            <v>CASTELSANTANGELO SUL NERA</v>
          </cell>
          <cell r="B4068" t="str">
            <v>043010</v>
          </cell>
          <cell r="C4068" t="str">
            <v>MC</v>
          </cell>
          <cell r="D4068" t="str">
            <v>MC</v>
          </cell>
          <cell r="E4068" t="str">
            <v>62039</v>
          </cell>
        </row>
        <row r="4069">
          <cell r="A4069" t="str">
            <v>CESSAPALOMBO</v>
          </cell>
          <cell r="B4069" t="str">
            <v>043011</v>
          </cell>
          <cell r="C4069" t="str">
            <v>MC</v>
          </cell>
          <cell r="D4069" t="str">
            <v>MC</v>
          </cell>
          <cell r="E4069" t="str">
            <v>62020</v>
          </cell>
        </row>
        <row r="4070">
          <cell r="A4070" t="str">
            <v>CINGOLI</v>
          </cell>
          <cell r="B4070" t="str">
            <v>043012</v>
          </cell>
          <cell r="C4070" t="str">
            <v>MC</v>
          </cell>
          <cell r="D4070" t="str">
            <v>MC</v>
          </cell>
          <cell r="E4070" t="str">
            <v>62011</v>
          </cell>
        </row>
        <row r="4071">
          <cell r="A4071" t="str">
            <v>CIVITANOVA MARCHE</v>
          </cell>
          <cell r="B4071" t="str">
            <v>043013</v>
          </cell>
          <cell r="C4071" t="str">
            <v>MC</v>
          </cell>
          <cell r="D4071" t="str">
            <v>MC</v>
          </cell>
          <cell r="E4071" t="str">
            <v>62012</v>
          </cell>
        </row>
        <row r="4072">
          <cell r="A4072" t="str">
            <v>COLMURANO</v>
          </cell>
          <cell r="B4072" t="str">
            <v>043014</v>
          </cell>
          <cell r="C4072" t="str">
            <v>MC</v>
          </cell>
          <cell r="D4072" t="str">
            <v>MC</v>
          </cell>
          <cell r="E4072" t="str">
            <v>62020</v>
          </cell>
        </row>
        <row r="4073">
          <cell r="A4073" t="str">
            <v>CORRIDONIA</v>
          </cell>
          <cell r="B4073" t="str">
            <v>043015</v>
          </cell>
          <cell r="C4073" t="str">
            <v>MC</v>
          </cell>
          <cell r="D4073" t="str">
            <v>MC</v>
          </cell>
          <cell r="E4073" t="str">
            <v>62014</v>
          </cell>
        </row>
        <row r="4074">
          <cell r="A4074" t="str">
            <v>ESANATOGLIA</v>
          </cell>
          <cell r="B4074" t="str">
            <v>043016</v>
          </cell>
          <cell r="C4074" t="str">
            <v>MC</v>
          </cell>
          <cell r="D4074" t="str">
            <v>MC</v>
          </cell>
          <cell r="E4074" t="str">
            <v>62024</v>
          </cell>
        </row>
        <row r="4075">
          <cell r="A4075" t="str">
            <v>FIASTRA</v>
          </cell>
          <cell r="B4075" t="str">
            <v>043017</v>
          </cell>
          <cell r="C4075" t="str">
            <v>MC</v>
          </cell>
          <cell r="D4075" t="str">
            <v>MC</v>
          </cell>
          <cell r="E4075" t="str">
            <v>62035</v>
          </cell>
        </row>
        <row r="4076">
          <cell r="A4076" t="str">
            <v>FIUMINATA</v>
          </cell>
          <cell r="B4076" t="str">
            <v>043019</v>
          </cell>
          <cell r="C4076" t="str">
            <v>MC</v>
          </cell>
          <cell r="D4076" t="str">
            <v>MC</v>
          </cell>
          <cell r="E4076" t="str">
            <v>62025</v>
          </cell>
        </row>
        <row r="4077">
          <cell r="A4077" t="str">
            <v>GAGLIOLE</v>
          </cell>
          <cell r="B4077" t="str">
            <v>043020</v>
          </cell>
          <cell r="C4077" t="str">
            <v>MC</v>
          </cell>
          <cell r="D4077" t="str">
            <v>MC</v>
          </cell>
          <cell r="E4077" t="str">
            <v>62022</v>
          </cell>
        </row>
        <row r="4078">
          <cell r="A4078" t="str">
            <v>GUALDO</v>
          </cell>
          <cell r="B4078" t="str">
            <v>043021</v>
          </cell>
          <cell r="C4078" t="str">
            <v>MC</v>
          </cell>
          <cell r="D4078" t="str">
            <v>MC</v>
          </cell>
          <cell r="E4078" t="str">
            <v>62020</v>
          </cell>
        </row>
        <row r="4079">
          <cell r="A4079" t="str">
            <v>LORO PICENO</v>
          </cell>
          <cell r="B4079" t="str">
            <v>043022</v>
          </cell>
          <cell r="C4079" t="str">
            <v>MC</v>
          </cell>
          <cell r="D4079" t="str">
            <v>MC</v>
          </cell>
          <cell r="E4079" t="str">
            <v>62020</v>
          </cell>
        </row>
        <row r="4080">
          <cell r="A4080" t="str">
            <v>MACERATA</v>
          </cell>
          <cell r="B4080" t="str">
            <v>043023</v>
          </cell>
          <cell r="C4080" t="str">
            <v>MC</v>
          </cell>
          <cell r="D4080" t="str">
            <v>MC</v>
          </cell>
          <cell r="E4080" t="str">
            <v>62100</v>
          </cell>
        </row>
        <row r="4081">
          <cell r="A4081" t="str">
            <v>MATELICA</v>
          </cell>
          <cell r="B4081" t="str">
            <v>043024</v>
          </cell>
          <cell r="C4081" t="str">
            <v>MC</v>
          </cell>
          <cell r="D4081" t="str">
            <v>MC</v>
          </cell>
          <cell r="E4081" t="str">
            <v>62024</v>
          </cell>
        </row>
        <row r="4082">
          <cell r="A4082" t="str">
            <v>MOGLIANO</v>
          </cell>
          <cell r="B4082" t="str">
            <v>043025</v>
          </cell>
          <cell r="C4082" t="str">
            <v>MC</v>
          </cell>
          <cell r="D4082" t="str">
            <v>MC</v>
          </cell>
          <cell r="E4082" t="str">
            <v>62010</v>
          </cell>
        </row>
        <row r="4083">
          <cell r="A4083" t="str">
            <v>MONTECASSIANO</v>
          </cell>
          <cell r="B4083" t="str">
            <v>043026</v>
          </cell>
          <cell r="C4083" t="str">
            <v>MC</v>
          </cell>
          <cell r="D4083" t="str">
            <v>MC</v>
          </cell>
          <cell r="E4083" t="str">
            <v>62010</v>
          </cell>
        </row>
        <row r="4084">
          <cell r="A4084" t="str">
            <v>MONTE CAVALLO</v>
          </cell>
          <cell r="B4084" t="str">
            <v>043027</v>
          </cell>
          <cell r="C4084" t="str">
            <v>MC</v>
          </cell>
          <cell r="D4084" t="str">
            <v>MC</v>
          </cell>
          <cell r="E4084" t="str">
            <v>62036</v>
          </cell>
        </row>
        <row r="4085">
          <cell r="A4085" t="str">
            <v>MONTECOSARO</v>
          </cell>
          <cell r="B4085" t="str">
            <v>043028</v>
          </cell>
          <cell r="C4085" t="str">
            <v>MC</v>
          </cell>
          <cell r="D4085" t="str">
            <v>MC</v>
          </cell>
          <cell r="E4085" t="str">
            <v>62010</v>
          </cell>
        </row>
        <row r="4086">
          <cell r="A4086" t="str">
            <v>MONTEFANO</v>
          </cell>
          <cell r="B4086" t="str">
            <v>043029</v>
          </cell>
          <cell r="C4086" t="str">
            <v>MC</v>
          </cell>
          <cell r="D4086" t="str">
            <v>MC</v>
          </cell>
          <cell r="E4086" t="str">
            <v>62010</v>
          </cell>
        </row>
        <row r="4087">
          <cell r="A4087" t="str">
            <v>MONTELUPONE</v>
          </cell>
          <cell r="B4087" t="str">
            <v>043030</v>
          </cell>
          <cell r="C4087" t="str">
            <v>MC</v>
          </cell>
          <cell r="D4087" t="str">
            <v>MC</v>
          </cell>
          <cell r="E4087" t="str">
            <v>62010</v>
          </cell>
        </row>
        <row r="4088">
          <cell r="A4088" t="str">
            <v>MONTE SAN GIUSTO</v>
          </cell>
          <cell r="B4088" t="str">
            <v>043031</v>
          </cell>
          <cell r="C4088" t="str">
            <v>MC</v>
          </cell>
          <cell r="D4088" t="str">
            <v>MC</v>
          </cell>
          <cell r="E4088" t="str">
            <v>62015</v>
          </cell>
        </row>
        <row r="4089">
          <cell r="A4089" t="str">
            <v>MONTE SAN MARTINO</v>
          </cell>
          <cell r="B4089" t="str">
            <v>043032</v>
          </cell>
          <cell r="C4089" t="str">
            <v>MC</v>
          </cell>
          <cell r="D4089" t="str">
            <v>MC</v>
          </cell>
          <cell r="E4089" t="str">
            <v>62020</v>
          </cell>
        </row>
        <row r="4090">
          <cell r="A4090" t="str">
            <v>MORROVALLE</v>
          </cell>
          <cell r="B4090" t="str">
            <v>043033</v>
          </cell>
          <cell r="C4090" t="str">
            <v>MC</v>
          </cell>
          <cell r="D4090" t="str">
            <v>MC</v>
          </cell>
          <cell r="E4090" t="str">
            <v>62010</v>
          </cell>
        </row>
        <row r="4091">
          <cell r="A4091" t="str">
            <v>MUCCIA</v>
          </cell>
          <cell r="B4091" t="str">
            <v>043034</v>
          </cell>
          <cell r="C4091" t="str">
            <v>MC</v>
          </cell>
          <cell r="D4091" t="str">
            <v>MC</v>
          </cell>
          <cell r="E4091" t="str">
            <v>62034</v>
          </cell>
        </row>
        <row r="4092">
          <cell r="A4092" t="str">
            <v>PENNA SAN GIOVANNI</v>
          </cell>
          <cell r="B4092" t="str">
            <v>043035</v>
          </cell>
          <cell r="C4092" t="str">
            <v>MC</v>
          </cell>
          <cell r="D4092" t="str">
            <v>MC</v>
          </cell>
          <cell r="E4092" t="str">
            <v>62020</v>
          </cell>
        </row>
        <row r="4093">
          <cell r="A4093" t="str">
            <v>PETRIOLO</v>
          </cell>
          <cell r="B4093" t="str">
            <v>043036</v>
          </cell>
          <cell r="C4093" t="str">
            <v>MC</v>
          </cell>
          <cell r="D4093" t="str">
            <v>MC</v>
          </cell>
          <cell r="E4093" t="str">
            <v>62014</v>
          </cell>
        </row>
        <row r="4094">
          <cell r="A4094" t="str">
            <v>PIEVE TORINA</v>
          </cell>
          <cell r="B4094" t="str">
            <v>043038</v>
          </cell>
          <cell r="C4094" t="str">
            <v>MC</v>
          </cell>
          <cell r="D4094" t="str">
            <v>MC</v>
          </cell>
          <cell r="E4094" t="str">
            <v>62036</v>
          </cell>
        </row>
        <row r="4095">
          <cell r="A4095" t="str">
            <v>PIORACO</v>
          </cell>
          <cell r="B4095" t="str">
            <v>043039</v>
          </cell>
          <cell r="C4095" t="str">
            <v>MC</v>
          </cell>
          <cell r="D4095" t="str">
            <v>MC</v>
          </cell>
          <cell r="E4095" t="str">
            <v>62025</v>
          </cell>
        </row>
        <row r="4096">
          <cell r="A4096" t="str">
            <v>POGGIO SAN VICINO</v>
          </cell>
          <cell r="B4096" t="str">
            <v>043040</v>
          </cell>
          <cell r="C4096" t="str">
            <v>MC</v>
          </cell>
          <cell r="D4096" t="str">
            <v>MC</v>
          </cell>
          <cell r="E4096" t="str">
            <v>62021</v>
          </cell>
        </row>
        <row r="4097">
          <cell r="A4097" t="str">
            <v>POLLENZA</v>
          </cell>
          <cell r="B4097" t="str">
            <v>043041</v>
          </cell>
          <cell r="C4097" t="str">
            <v>MC</v>
          </cell>
          <cell r="D4097" t="str">
            <v>MC</v>
          </cell>
          <cell r="E4097" t="str">
            <v>62010</v>
          </cell>
        </row>
        <row r="4098">
          <cell r="A4098" t="str">
            <v>PORTO RECANATI</v>
          </cell>
          <cell r="B4098" t="str">
            <v>043042</v>
          </cell>
          <cell r="C4098" t="str">
            <v>MC</v>
          </cell>
          <cell r="D4098" t="str">
            <v>MC</v>
          </cell>
          <cell r="E4098" t="str">
            <v>62017</v>
          </cell>
        </row>
        <row r="4099">
          <cell r="A4099" t="str">
            <v>POTENZA PICENA</v>
          </cell>
          <cell r="B4099" t="str">
            <v>043043</v>
          </cell>
          <cell r="C4099" t="str">
            <v>MC</v>
          </cell>
          <cell r="D4099" t="str">
            <v>MC</v>
          </cell>
          <cell r="E4099" t="str">
            <v>62018</v>
          </cell>
        </row>
        <row r="4100">
          <cell r="A4100" t="str">
            <v>RECANATI</v>
          </cell>
          <cell r="B4100" t="str">
            <v>043044</v>
          </cell>
          <cell r="C4100" t="str">
            <v>MC</v>
          </cell>
          <cell r="D4100" t="str">
            <v>MC</v>
          </cell>
          <cell r="E4100" t="str">
            <v>62019</v>
          </cell>
        </row>
        <row r="4101">
          <cell r="A4101" t="str">
            <v>RIPE SAN GINESIO</v>
          </cell>
          <cell r="B4101" t="str">
            <v>043045</v>
          </cell>
          <cell r="C4101" t="str">
            <v>MC</v>
          </cell>
          <cell r="D4101" t="str">
            <v>MC</v>
          </cell>
          <cell r="E4101" t="str">
            <v>62020</v>
          </cell>
        </row>
        <row r="4102">
          <cell r="A4102" t="str">
            <v>SAN GINESIO</v>
          </cell>
          <cell r="B4102" t="str">
            <v>043046</v>
          </cell>
          <cell r="C4102" t="str">
            <v>MC</v>
          </cell>
          <cell r="D4102" t="str">
            <v>MC</v>
          </cell>
          <cell r="E4102" t="str">
            <v>62026</v>
          </cell>
        </row>
        <row r="4103">
          <cell r="A4103" t="str">
            <v>SAN SEVERINO MARCHE</v>
          </cell>
          <cell r="B4103" t="str">
            <v>043047</v>
          </cell>
          <cell r="C4103" t="str">
            <v>MC</v>
          </cell>
          <cell r="D4103" t="str">
            <v>MC</v>
          </cell>
          <cell r="E4103" t="str">
            <v>62027</v>
          </cell>
        </row>
        <row r="4104">
          <cell r="A4104" t="str">
            <v>SANT'ANGELO IN PONTANO</v>
          </cell>
          <cell r="B4104" t="str">
            <v>043048</v>
          </cell>
          <cell r="C4104" t="str">
            <v>MC</v>
          </cell>
          <cell r="D4104" t="str">
            <v>MC</v>
          </cell>
          <cell r="E4104" t="str">
            <v>62020</v>
          </cell>
        </row>
        <row r="4105">
          <cell r="A4105" t="str">
            <v>SARNANO</v>
          </cell>
          <cell r="B4105" t="str">
            <v>043049</v>
          </cell>
          <cell r="C4105" t="str">
            <v>MC</v>
          </cell>
          <cell r="D4105" t="str">
            <v>MC</v>
          </cell>
          <cell r="E4105" t="str">
            <v>62028</v>
          </cell>
        </row>
        <row r="4106">
          <cell r="A4106" t="str">
            <v>SEFRO</v>
          </cell>
          <cell r="B4106" t="str">
            <v>043050</v>
          </cell>
          <cell r="C4106" t="str">
            <v>MC</v>
          </cell>
          <cell r="D4106" t="str">
            <v>MC</v>
          </cell>
          <cell r="E4106" t="str">
            <v>62025</v>
          </cell>
        </row>
        <row r="4107">
          <cell r="A4107" t="str">
            <v>SERRAPETRONA</v>
          </cell>
          <cell r="B4107" t="str">
            <v>043051</v>
          </cell>
          <cell r="C4107" t="str">
            <v>MC</v>
          </cell>
          <cell r="D4107" t="str">
            <v>MC</v>
          </cell>
          <cell r="E4107" t="str">
            <v>62020</v>
          </cell>
        </row>
        <row r="4108">
          <cell r="A4108" t="str">
            <v>SERRAVALLE DI CHIENTI</v>
          </cell>
          <cell r="B4108" t="str">
            <v>043052</v>
          </cell>
          <cell r="C4108" t="str">
            <v>MC</v>
          </cell>
          <cell r="D4108" t="str">
            <v>MC</v>
          </cell>
          <cell r="E4108" t="str">
            <v>62038</v>
          </cell>
        </row>
        <row r="4109">
          <cell r="A4109" t="str">
            <v>TOLENTINO</v>
          </cell>
          <cell r="B4109" t="str">
            <v>043053</v>
          </cell>
          <cell r="C4109" t="str">
            <v>MC</v>
          </cell>
          <cell r="D4109" t="str">
            <v>MC</v>
          </cell>
          <cell r="E4109" t="str">
            <v>62029</v>
          </cell>
        </row>
        <row r="4110">
          <cell r="A4110" t="str">
            <v>TREIA</v>
          </cell>
          <cell r="B4110" t="str">
            <v>043054</v>
          </cell>
          <cell r="C4110" t="str">
            <v>MC</v>
          </cell>
          <cell r="D4110" t="str">
            <v>MC</v>
          </cell>
          <cell r="E4110" t="str">
            <v>62010</v>
          </cell>
        </row>
        <row r="4111">
          <cell r="A4111" t="str">
            <v>URBISAGLIA</v>
          </cell>
          <cell r="B4111" t="str">
            <v>043055</v>
          </cell>
          <cell r="C4111" t="str">
            <v>MC</v>
          </cell>
          <cell r="D4111" t="str">
            <v>MC</v>
          </cell>
          <cell r="E4111" t="str">
            <v>62010</v>
          </cell>
        </row>
        <row r="4112">
          <cell r="A4112" t="str">
            <v>USSITA</v>
          </cell>
          <cell r="B4112" t="str">
            <v>043056</v>
          </cell>
          <cell r="C4112" t="str">
            <v>MC</v>
          </cell>
          <cell r="D4112" t="str">
            <v>MC</v>
          </cell>
          <cell r="E4112" t="str">
            <v>62039</v>
          </cell>
        </row>
        <row r="4113">
          <cell r="A4113" t="str">
            <v>VISSO</v>
          </cell>
          <cell r="B4113" t="str">
            <v>043057</v>
          </cell>
          <cell r="C4113" t="str">
            <v>MC</v>
          </cell>
          <cell r="D4113" t="str">
            <v>MC</v>
          </cell>
          <cell r="E4113" t="str">
            <v>62039</v>
          </cell>
        </row>
        <row r="4114">
          <cell r="A4114" t="str">
            <v>VALFORNACE</v>
          </cell>
          <cell r="B4114" t="str">
            <v>043058</v>
          </cell>
          <cell r="C4114" t="str">
            <v>MC</v>
          </cell>
          <cell r="D4114" t="e">
            <v>#N/A</v>
          </cell>
          <cell r="E4114" t="e">
            <v>#N/A</v>
          </cell>
        </row>
        <row r="4115">
          <cell r="A4115" t="str">
            <v>ACQUASANTA TERME</v>
          </cell>
          <cell r="B4115" t="str">
            <v>044001</v>
          </cell>
          <cell r="C4115" t="str">
            <v>AP</v>
          </cell>
          <cell r="D4115" t="str">
            <v>AP</v>
          </cell>
          <cell r="E4115" t="str">
            <v>63095</v>
          </cell>
        </row>
        <row r="4116">
          <cell r="A4116" t="str">
            <v>ACQUAVIVA PICENA</v>
          </cell>
          <cell r="B4116" t="str">
            <v>044002</v>
          </cell>
          <cell r="C4116" t="str">
            <v>AP</v>
          </cell>
          <cell r="D4116" t="str">
            <v>AP</v>
          </cell>
          <cell r="E4116" t="str">
            <v>63075</v>
          </cell>
        </row>
        <row r="4117">
          <cell r="A4117" t="str">
            <v>APPIGNANO DEL TRONTO</v>
          </cell>
          <cell r="B4117" t="str">
            <v>044005</v>
          </cell>
          <cell r="C4117" t="str">
            <v>AP</v>
          </cell>
          <cell r="D4117" t="str">
            <v>AP</v>
          </cell>
          <cell r="E4117" t="str">
            <v>63083</v>
          </cell>
        </row>
        <row r="4118">
          <cell r="A4118" t="str">
            <v>ARQUATA DEL TRONTO</v>
          </cell>
          <cell r="B4118" t="str">
            <v>044006</v>
          </cell>
          <cell r="C4118" t="str">
            <v>AP</v>
          </cell>
          <cell r="D4118" t="str">
            <v>AP</v>
          </cell>
          <cell r="E4118" t="str">
            <v>63096</v>
          </cell>
        </row>
        <row r="4119">
          <cell r="A4119" t="str">
            <v>ASCOLI PICENO</v>
          </cell>
          <cell r="B4119" t="str">
            <v>044007</v>
          </cell>
          <cell r="C4119" t="str">
            <v>AP</v>
          </cell>
          <cell r="D4119" t="str">
            <v>AP</v>
          </cell>
          <cell r="E4119" t="str">
            <v>63100</v>
          </cell>
        </row>
        <row r="4120">
          <cell r="A4120" t="str">
            <v>CARASSAI</v>
          </cell>
          <cell r="B4120" t="str">
            <v>044010</v>
          </cell>
          <cell r="C4120" t="str">
            <v>AP</v>
          </cell>
          <cell r="D4120" t="str">
            <v>AP</v>
          </cell>
          <cell r="E4120" t="str">
            <v>63063</v>
          </cell>
        </row>
        <row r="4121">
          <cell r="A4121" t="str">
            <v>CASTEL DI LAMA</v>
          </cell>
          <cell r="B4121" t="str">
            <v>044011</v>
          </cell>
          <cell r="C4121" t="str">
            <v>AP</v>
          </cell>
          <cell r="D4121" t="str">
            <v>AP</v>
          </cell>
          <cell r="E4121" t="str">
            <v>63082</v>
          </cell>
        </row>
        <row r="4122">
          <cell r="A4122" t="str">
            <v>CASTIGNANO</v>
          </cell>
          <cell r="B4122" t="str">
            <v>044012</v>
          </cell>
          <cell r="C4122" t="str">
            <v>AP</v>
          </cell>
          <cell r="D4122" t="str">
            <v>AP</v>
          </cell>
          <cell r="E4122" t="str">
            <v>63072</v>
          </cell>
        </row>
        <row r="4123">
          <cell r="A4123" t="str">
            <v>CASTORANO</v>
          </cell>
          <cell r="B4123" t="str">
            <v>044013</v>
          </cell>
          <cell r="C4123" t="str">
            <v>AP</v>
          </cell>
          <cell r="D4123" t="str">
            <v>AP</v>
          </cell>
          <cell r="E4123" t="str">
            <v>63081</v>
          </cell>
        </row>
        <row r="4124">
          <cell r="A4124" t="str">
            <v>COLLI DEL TRONTO</v>
          </cell>
          <cell r="B4124" t="str">
            <v>044014</v>
          </cell>
          <cell r="C4124" t="str">
            <v>AP</v>
          </cell>
          <cell r="D4124" t="str">
            <v>AP</v>
          </cell>
          <cell r="E4124" t="str">
            <v>63079</v>
          </cell>
        </row>
        <row r="4125">
          <cell r="A4125" t="str">
            <v>COMUNANZA</v>
          </cell>
          <cell r="B4125" t="str">
            <v>044015</v>
          </cell>
          <cell r="C4125" t="str">
            <v>AP</v>
          </cell>
          <cell r="D4125" t="str">
            <v>AP</v>
          </cell>
          <cell r="E4125" t="str">
            <v>63087</v>
          </cell>
        </row>
        <row r="4126">
          <cell r="A4126" t="str">
            <v>COSSIGNANO</v>
          </cell>
          <cell r="B4126" t="str">
            <v>044016</v>
          </cell>
          <cell r="C4126" t="str">
            <v>AP</v>
          </cell>
          <cell r="D4126" t="str">
            <v>AP</v>
          </cell>
          <cell r="E4126" t="str">
            <v>63067</v>
          </cell>
        </row>
        <row r="4127">
          <cell r="A4127" t="str">
            <v>CUPRA MARITTIMA</v>
          </cell>
          <cell r="B4127" t="str">
            <v>044017</v>
          </cell>
          <cell r="C4127" t="str">
            <v>AP</v>
          </cell>
          <cell r="D4127" t="str">
            <v>AP</v>
          </cell>
          <cell r="E4127" t="str">
            <v>63064</v>
          </cell>
        </row>
        <row r="4128">
          <cell r="A4128" t="str">
            <v>FOLIGNANO</v>
          </cell>
          <cell r="B4128" t="str">
            <v>044020</v>
          </cell>
          <cell r="C4128" t="str">
            <v>AP</v>
          </cell>
          <cell r="D4128" t="str">
            <v>AP</v>
          </cell>
          <cell r="E4128" t="str">
            <v>63084</v>
          </cell>
        </row>
        <row r="4129">
          <cell r="A4129" t="str">
            <v>FORCE</v>
          </cell>
          <cell r="B4129" t="str">
            <v>044021</v>
          </cell>
          <cell r="C4129" t="str">
            <v>AP</v>
          </cell>
          <cell r="D4129" t="str">
            <v>AP</v>
          </cell>
          <cell r="E4129" t="str">
            <v>63086</v>
          </cell>
        </row>
        <row r="4130">
          <cell r="A4130" t="str">
            <v>GROTTAMMARE</v>
          </cell>
          <cell r="B4130" t="str">
            <v>044023</v>
          </cell>
          <cell r="C4130" t="str">
            <v>AP</v>
          </cell>
          <cell r="D4130" t="str">
            <v>AP</v>
          </cell>
          <cell r="E4130" t="str">
            <v>63066</v>
          </cell>
        </row>
        <row r="4131">
          <cell r="A4131" t="str">
            <v>MALTIGNANO</v>
          </cell>
          <cell r="B4131" t="str">
            <v>044027</v>
          </cell>
          <cell r="C4131" t="str">
            <v>AP</v>
          </cell>
          <cell r="D4131" t="str">
            <v>AP</v>
          </cell>
          <cell r="E4131" t="str">
            <v>63085</v>
          </cell>
        </row>
        <row r="4132">
          <cell r="A4132" t="str">
            <v>MASSIGNANO</v>
          </cell>
          <cell r="B4132" t="str">
            <v>044029</v>
          </cell>
          <cell r="C4132" t="str">
            <v>AP</v>
          </cell>
          <cell r="D4132" t="str">
            <v>AP</v>
          </cell>
          <cell r="E4132" t="str">
            <v>63061</v>
          </cell>
        </row>
        <row r="4133">
          <cell r="A4133" t="str">
            <v>MONSAMPOLO DEL TRONTO</v>
          </cell>
          <cell r="B4133" t="str">
            <v>044031</v>
          </cell>
          <cell r="C4133" t="str">
            <v>AP</v>
          </cell>
          <cell r="D4133" t="str">
            <v>AP</v>
          </cell>
          <cell r="E4133" t="str">
            <v>63077</v>
          </cell>
        </row>
        <row r="4134">
          <cell r="A4134" t="str">
            <v>MONTALTO DELLE MARCHE</v>
          </cell>
          <cell r="B4134" t="str">
            <v>044032</v>
          </cell>
          <cell r="C4134" t="str">
            <v>AP</v>
          </cell>
          <cell r="D4134" t="str">
            <v>AP</v>
          </cell>
          <cell r="E4134" t="str">
            <v>63068</v>
          </cell>
        </row>
        <row r="4135">
          <cell r="A4135" t="str">
            <v>MONTEDINOVE</v>
          </cell>
          <cell r="B4135" t="str">
            <v>044034</v>
          </cell>
          <cell r="C4135" t="str">
            <v>AP</v>
          </cell>
          <cell r="D4135" t="str">
            <v>AP</v>
          </cell>
          <cell r="E4135" t="str">
            <v>63069</v>
          </cell>
        </row>
        <row r="4136">
          <cell r="A4136" t="str">
            <v>MONTEFIORE DELL'ASO</v>
          </cell>
          <cell r="B4136" t="str">
            <v>044036</v>
          </cell>
          <cell r="C4136" t="str">
            <v>AP</v>
          </cell>
          <cell r="D4136" t="str">
            <v>AP</v>
          </cell>
          <cell r="E4136" t="str">
            <v>63062</v>
          </cell>
        </row>
        <row r="4137">
          <cell r="A4137" t="str">
            <v>MONTEGALLO</v>
          </cell>
          <cell r="B4137" t="str">
            <v>044038</v>
          </cell>
          <cell r="C4137" t="str">
            <v>AP</v>
          </cell>
          <cell r="D4137" t="str">
            <v>AP</v>
          </cell>
          <cell r="E4137" t="str">
            <v>63094</v>
          </cell>
        </row>
        <row r="4138">
          <cell r="A4138" t="str">
            <v>MONTEMONACO</v>
          </cell>
          <cell r="B4138" t="str">
            <v>044044</v>
          </cell>
          <cell r="C4138" t="str">
            <v>AP</v>
          </cell>
          <cell r="D4138" t="str">
            <v>AP</v>
          </cell>
          <cell r="E4138" t="str">
            <v>63088</v>
          </cell>
        </row>
        <row r="4139">
          <cell r="A4139" t="str">
            <v>MONTEPRANDONE</v>
          </cell>
          <cell r="B4139" t="str">
            <v>044045</v>
          </cell>
          <cell r="C4139" t="str">
            <v>AP</v>
          </cell>
          <cell r="D4139" t="str">
            <v>AP</v>
          </cell>
          <cell r="E4139" t="str">
            <v>63076</v>
          </cell>
        </row>
        <row r="4140">
          <cell r="A4140" t="str">
            <v>OFFIDA</v>
          </cell>
          <cell r="B4140" t="str">
            <v>044054</v>
          </cell>
          <cell r="C4140" t="str">
            <v>AP</v>
          </cell>
          <cell r="D4140" t="str">
            <v>AP</v>
          </cell>
          <cell r="E4140" t="str">
            <v>63073</v>
          </cell>
        </row>
        <row r="4141">
          <cell r="A4141" t="str">
            <v>PALMIANO</v>
          </cell>
          <cell r="B4141" t="str">
            <v>044056</v>
          </cell>
          <cell r="C4141" t="str">
            <v>AP</v>
          </cell>
          <cell r="D4141" t="str">
            <v>AP</v>
          </cell>
          <cell r="E4141" t="str">
            <v>63092</v>
          </cell>
        </row>
        <row r="4142">
          <cell r="A4142" t="str">
            <v>RIPATRANSONE</v>
          </cell>
          <cell r="B4142" t="str">
            <v>044063</v>
          </cell>
          <cell r="C4142" t="str">
            <v>AP</v>
          </cell>
          <cell r="D4142" t="str">
            <v>AP</v>
          </cell>
          <cell r="E4142" t="str">
            <v>63065</v>
          </cell>
        </row>
        <row r="4143">
          <cell r="A4143" t="str">
            <v>ROCCAFLUVIONE</v>
          </cell>
          <cell r="B4143" t="str">
            <v>044064</v>
          </cell>
          <cell r="C4143" t="str">
            <v>AP</v>
          </cell>
          <cell r="D4143" t="str">
            <v>AP</v>
          </cell>
          <cell r="E4143" t="str">
            <v>63093</v>
          </cell>
        </row>
        <row r="4144">
          <cell r="A4144" t="str">
            <v>ROTELLA</v>
          </cell>
          <cell r="B4144" t="str">
            <v>044065</v>
          </cell>
          <cell r="C4144" t="str">
            <v>AP</v>
          </cell>
          <cell r="D4144" t="str">
            <v>AP</v>
          </cell>
          <cell r="E4144" t="str">
            <v>63071</v>
          </cell>
        </row>
        <row r="4145">
          <cell r="A4145" t="str">
            <v>SAN BENEDETTO DEL TRONTO</v>
          </cell>
          <cell r="B4145" t="str">
            <v>044066</v>
          </cell>
          <cell r="C4145" t="str">
            <v>AP</v>
          </cell>
          <cell r="D4145" t="str">
            <v>AP</v>
          </cell>
          <cell r="E4145" t="str">
            <v>63074</v>
          </cell>
        </row>
        <row r="4146">
          <cell r="A4146" t="str">
            <v>SPINETOLI</v>
          </cell>
          <cell r="B4146" t="str">
            <v>044071</v>
          </cell>
          <cell r="C4146" t="str">
            <v>AP</v>
          </cell>
          <cell r="D4146" t="str">
            <v>AP</v>
          </cell>
          <cell r="E4146" t="str">
            <v>63078</v>
          </cell>
        </row>
        <row r="4147">
          <cell r="A4147" t="str">
            <v>VENAROTTA</v>
          </cell>
          <cell r="B4147" t="str">
            <v>044073</v>
          </cell>
          <cell r="C4147" t="str">
            <v>AP</v>
          </cell>
          <cell r="D4147" t="str">
            <v>AP</v>
          </cell>
          <cell r="E4147" t="str">
            <v>63091</v>
          </cell>
        </row>
        <row r="4148">
          <cell r="A4148" t="str">
            <v>AULLA</v>
          </cell>
          <cell r="B4148" t="str">
            <v>045001</v>
          </cell>
          <cell r="C4148" t="str">
            <v>MS</v>
          </cell>
          <cell r="D4148" t="str">
            <v>MS</v>
          </cell>
          <cell r="E4148" t="str">
            <v>54011</v>
          </cell>
        </row>
        <row r="4149">
          <cell r="A4149" t="str">
            <v>BAGNONE</v>
          </cell>
          <cell r="B4149" t="str">
            <v>045002</v>
          </cell>
          <cell r="C4149" t="str">
            <v>MS</v>
          </cell>
          <cell r="D4149" t="str">
            <v>MS</v>
          </cell>
          <cell r="E4149" t="str">
            <v>54021</v>
          </cell>
        </row>
        <row r="4150">
          <cell r="A4150" t="str">
            <v>CARRARA</v>
          </cell>
          <cell r="B4150" t="str">
            <v>045003</v>
          </cell>
          <cell r="C4150" t="str">
            <v>MS</v>
          </cell>
          <cell r="D4150" t="str">
            <v>MS</v>
          </cell>
          <cell r="E4150" t="str">
            <v>54033</v>
          </cell>
        </row>
        <row r="4151">
          <cell r="A4151" t="str">
            <v>CASOLA IN LUNIGIANA</v>
          </cell>
          <cell r="B4151" t="str">
            <v>045004</v>
          </cell>
          <cell r="C4151" t="str">
            <v>MS</v>
          </cell>
          <cell r="D4151" t="str">
            <v>MS</v>
          </cell>
          <cell r="E4151" t="str">
            <v>54014</v>
          </cell>
        </row>
        <row r="4152">
          <cell r="A4152" t="str">
            <v>COMANO</v>
          </cell>
          <cell r="B4152" t="str">
            <v>045005</v>
          </cell>
          <cell r="C4152" t="str">
            <v>MS</v>
          </cell>
          <cell r="D4152" t="str">
            <v>MS</v>
          </cell>
          <cell r="E4152" t="str">
            <v>54015</v>
          </cell>
        </row>
        <row r="4153">
          <cell r="A4153" t="str">
            <v>FILATTIERA</v>
          </cell>
          <cell r="B4153" t="str">
            <v>045006</v>
          </cell>
          <cell r="C4153" t="str">
            <v>MS</v>
          </cell>
          <cell r="D4153" t="str">
            <v>MS</v>
          </cell>
          <cell r="E4153" t="str">
            <v>54023</v>
          </cell>
        </row>
        <row r="4154">
          <cell r="A4154" t="str">
            <v>FIVIZZANO</v>
          </cell>
          <cell r="B4154" t="str">
            <v>045007</v>
          </cell>
          <cell r="C4154" t="str">
            <v>MS</v>
          </cell>
          <cell r="D4154" t="str">
            <v>MS</v>
          </cell>
          <cell r="E4154" t="str">
            <v>54013</v>
          </cell>
        </row>
        <row r="4155">
          <cell r="A4155" t="str">
            <v>FOSDINOVO</v>
          </cell>
          <cell r="B4155" t="str">
            <v>045008</v>
          </cell>
          <cell r="C4155" t="str">
            <v>MS</v>
          </cell>
          <cell r="D4155" t="str">
            <v>MS</v>
          </cell>
          <cell r="E4155" t="str">
            <v>54035</v>
          </cell>
        </row>
        <row r="4156">
          <cell r="A4156" t="str">
            <v>LICCIANA NARDI</v>
          </cell>
          <cell r="B4156" t="str">
            <v>045009</v>
          </cell>
          <cell r="C4156" t="str">
            <v>MS</v>
          </cell>
          <cell r="D4156" t="str">
            <v>MS</v>
          </cell>
          <cell r="E4156" t="str">
            <v>54016</v>
          </cell>
        </row>
        <row r="4157">
          <cell r="A4157" t="str">
            <v>MASSA</v>
          </cell>
          <cell r="B4157" t="str">
            <v>045010</v>
          </cell>
          <cell r="C4157" t="str">
            <v>MS</v>
          </cell>
          <cell r="D4157" t="str">
            <v>MS</v>
          </cell>
          <cell r="E4157" t="str">
            <v>54100</v>
          </cell>
        </row>
        <row r="4158">
          <cell r="A4158" t="str">
            <v>MONTIGNOSO</v>
          </cell>
          <cell r="B4158" t="str">
            <v>045011</v>
          </cell>
          <cell r="C4158" t="str">
            <v>MS</v>
          </cell>
          <cell r="D4158" t="str">
            <v>MS</v>
          </cell>
          <cell r="E4158" t="str">
            <v>54038</v>
          </cell>
        </row>
        <row r="4159">
          <cell r="A4159" t="str">
            <v>MULAZZO</v>
          </cell>
          <cell r="B4159" t="str">
            <v>045012</v>
          </cell>
          <cell r="C4159" t="str">
            <v>MS</v>
          </cell>
          <cell r="D4159" t="str">
            <v>MS</v>
          </cell>
          <cell r="E4159" t="str">
            <v>54026</v>
          </cell>
        </row>
        <row r="4160">
          <cell r="A4160" t="str">
            <v>PODENZANA</v>
          </cell>
          <cell r="B4160" t="str">
            <v>045013</v>
          </cell>
          <cell r="C4160" t="str">
            <v>MS</v>
          </cell>
          <cell r="D4160" t="str">
            <v>MS</v>
          </cell>
          <cell r="E4160" t="str">
            <v>54010</v>
          </cell>
        </row>
        <row r="4161">
          <cell r="A4161" t="str">
            <v>PONTREMOLI</v>
          </cell>
          <cell r="B4161" t="str">
            <v>045014</v>
          </cell>
          <cell r="C4161" t="str">
            <v>MS</v>
          </cell>
          <cell r="D4161" t="str">
            <v>MS</v>
          </cell>
          <cell r="E4161" t="str">
            <v>54027</v>
          </cell>
        </row>
        <row r="4162">
          <cell r="A4162" t="str">
            <v>TRESANA</v>
          </cell>
          <cell r="B4162" t="str">
            <v>045015</v>
          </cell>
          <cell r="C4162" t="str">
            <v>MS</v>
          </cell>
          <cell r="D4162" t="str">
            <v>MS</v>
          </cell>
          <cell r="E4162" t="str">
            <v>54012</v>
          </cell>
        </row>
        <row r="4163">
          <cell r="A4163" t="str">
            <v>VILLAFRANCA IN LUNIGIANA</v>
          </cell>
          <cell r="B4163" t="str">
            <v>045016</v>
          </cell>
          <cell r="C4163" t="str">
            <v>MS</v>
          </cell>
          <cell r="D4163" t="str">
            <v>MS</v>
          </cell>
          <cell r="E4163" t="str">
            <v>54028</v>
          </cell>
        </row>
        <row r="4164">
          <cell r="A4164" t="str">
            <v>ZERI</v>
          </cell>
          <cell r="B4164" t="str">
            <v>045017</v>
          </cell>
          <cell r="C4164" t="str">
            <v>MS</v>
          </cell>
          <cell r="D4164" t="str">
            <v>MS</v>
          </cell>
          <cell r="E4164" t="str">
            <v>54029</v>
          </cell>
        </row>
        <row r="4165">
          <cell r="A4165" t="str">
            <v>ALTOPASCIO</v>
          </cell>
          <cell r="B4165" t="str">
            <v>046001</v>
          </cell>
          <cell r="C4165" t="str">
            <v>LU</v>
          </cell>
          <cell r="D4165" t="str">
            <v>LU</v>
          </cell>
          <cell r="E4165" t="str">
            <v>55011</v>
          </cell>
        </row>
        <row r="4166">
          <cell r="A4166" t="str">
            <v>BAGNI DI LUCCA</v>
          </cell>
          <cell r="B4166" t="str">
            <v>046002</v>
          </cell>
          <cell r="C4166" t="str">
            <v>LU</v>
          </cell>
          <cell r="D4166" t="str">
            <v>LU</v>
          </cell>
          <cell r="E4166" t="str">
            <v>55022</v>
          </cell>
        </row>
        <row r="4167">
          <cell r="A4167" t="str">
            <v>BARGA</v>
          </cell>
          <cell r="B4167" t="str">
            <v>046003</v>
          </cell>
          <cell r="C4167" t="str">
            <v>LU</v>
          </cell>
          <cell r="D4167" t="str">
            <v>LU</v>
          </cell>
          <cell r="E4167" t="str">
            <v>55051</v>
          </cell>
        </row>
        <row r="4168">
          <cell r="A4168" t="str">
            <v>BORGO A MOZZANO</v>
          </cell>
          <cell r="B4168" t="str">
            <v>046004</v>
          </cell>
          <cell r="C4168" t="str">
            <v>LU</v>
          </cell>
          <cell r="D4168" t="str">
            <v>LU</v>
          </cell>
          <cell r="E4168" t="str">
            <v>55023</v>
          </cell>
        </row>
        <row r="4169">
          <cell r="A4169" t="str">
            <v>CAMAIORE</v>
          </cell>
          <cell r="B4169" t="str">
            <v>046005</v>
          </cell>
          <cell r="C4169" t="str">
            <v>LU</v>
          </cell>
          <cell r="D4169" t="str">
            <v>LU</v>
          </cell>
          <cell r="E4169" t="str">
            <v>55041</v>
          </cell>
        </row>
        <row r="4170">
          <cell r="A4170" t="str">
            <v>CAMPORGIANO</v>
          </cell>
          <cell r="B4170" t="str">
            <v>046006</v>
          </cell>
          <cell r="C4170" t="str">
            <v>LU</v>
          </cell>
          <cell r="D4170" t="str">
            <v>LU</v>
          </cell>
          <cell r="E4170" t="str">
            <v>55031</v>
          </cell>
        </row>
        <row r="4171">
          <cell r="A4171" t="str">
            <v>CAPANNORI</v>
          </cell>
          <cell r="B4171" t="str">
            <v>046007</v>
          </cell>
          <cell r="C4171" t="str">
            <v>LU</v>
          </cell>
          <cell r="D4171" t="str">
            <v>LU</v>
          </cell>
          <cell r="E4171" t="str">
            <v>55012</v>
          </cell>
        </row>
        <row r="4172">
          <cell r="A4172" t="str">
            <v>CAREGGINE</v>
          </cell>
          <cell r="B4172" t="str">
            <v>046008</v>
          </cell>
          <cell r="C4172" t="str">
            <v>LU</v>
          </cell>
          <cell r="D4172" t="str">
            <v>LU</v>
          </cell>
          <cell r="E4172" t="str">
            <v>55030</v>
          </cell>
        </row>
        <row r="4173">
          <cell r="A4173" t="str">
            <v>CASTELNUOVO DI GARFAGNANA</v>
          </cell>
          <cell r="B4173" t="str">
            <v>046009</v>
          </cell>
          <cell r="C4173" t="str">
            <v>LU</v>
          </cell>
          <cell r="D4173" t="str">
            <v>LU</v>
          </cell>
          <cell r="E4173" t="str">
            <v>55032</v>
          </cell>
        </row>
        <row r="4174">
          <cell r="A4174" t="str">
            <v>CASTIGLIONE DI GARFAGNANA</v>
          </cell>
          <cell r="B4174" t="str">
            <v>046010</v>
          </cell>
          <cell r="C4174" t="str">
            <v>LU</v>
          </cell>
          <cell r="D4174" t="str">
            <v>LU</v>
          </cell>
          <cell r="E4174" t="str">
            <v>55033</v>
          </cell>
        </row>
        <row r="4175">
          <cell r="A4175" t="str">
            <v>COREGLIA ANTELMINELLI</v>
          </cell>
          <cell r="B4175" t="str">
            <v>046011</v>
          </cell>
          <cell r="C4175" t="str">
            <v>LU</v>
          </cell>
          <cell r="D4175" t="str">
            <v>LU</v>
          </cell>
          <cell r="E4175" t="str">
            <v>55025</v>
          </cell>
        </row>
        <row r="4176">
          <cell r="A4176" t="str">
            <v>FORTE DEI MARMI</v>
          </cell>
          <cell r="B4176" t="str">
            <v>046013</v>
          </cell>
          <cell r="C4176" t="str">
            <v>LU</v>
          </cell>
          <cell r="D4176" t="str">
            <v>LU</v>
          </cell>
          <cell r="E4176" t="str">
            <v>55042</v>
          </cell>
        </row>
        <row r="4177">
          <cell r="A4177" t="str">
            <v>FOSCIANDORA</v>
          </cell>
          <cell r="B4177" t="str">
            <v>046014</v>
          </cell>
          <cell r="C4177" t="str">
            <v>LU</v>
          </cell>
          <cell r="D4177" t="str">
            <v>LU</v>
          </cell>
          <cell r="E4177" t="str">
            <v>55020</v>
          </cell>
        </row>
        <row r="4178">
          <cell r="A4178" t="str">
            <v>GALLICANO</v>
          </cell>
          <cell r="B4178" t="str">
            <v>046015</v>
          </cell>
          <cell r="C4178" t="str">
            <v>LU</v>
          </cell>
          <cell r="D4178" t="str">
            <v>LU</v>
          </cell>
          <cell r="E4178" t="str">
            <v>55027</v>
          </cell>
        </row>
        <row r="4179">
          <cell r="A4179" t="str">
            <v>LUCCA</v>
          </cell>
          <cell r="B4179" t="str">
            <v>046017</v>
          </cell>
          <cell r="C4179" t="str">
            <v>LU</v>
          </cell>
          <cell r="D4179" t="str">
            <v>LU</v>
          </cell>
          <cell r="E4179" t="str">
            <v>55100</v>
          </cell>
        </row>
        <row r="4180">
          <cell r="A4180" t="str">
            <v>MASSAROSA</v>
          </cell>
          <cell r="B4180" t="str">
            <v>046018</v>
          </cell>
          <cell r="C4180" t="str">
            <v>LU</v>
          </cell>
          <cell r="D4180" t="str">
            <v>LU</v>
          </cell>
          <cell r="E4180" t="str">
            <v>55054</v>
          </cell>
        </row>
        <row r="4181">
          <cell r="A4181" t="str">
            <v>MINUCCIANO</v>
          </cell>
          <cell r="B4181" t="str">
            <v>046019</v>
          </cell>
          <cell r="C4181" t="str">
            <v>LU</v>
          </cell>
          <cell r="D4181" t="str">
            <v>LU</v>
          </cell>
          <cell r="E4181" t="str">
            <v>55034</v>
          </cell>
        </row>
        <row r="4182">
          <cell r="A4182" t="str">
            <v>MOLAZZANA</v>
          </cell>
          <cell r="B4182" t="str">
            <v>046020</v>
          </cell>
          <cell r="C4182" t="str">
            <v>LU</v>
          </cell>
          <cell r="D4182" t="str">
            <v>LU</v>
          </cell>
          <cell r="E4182" t="str">
            <v>55020</v>
          </cell>
        </row>
        <row r="4183">
          <cell r="A4183" t="str">
            <v>MONTECARLO</v>
          </cell>
          <cell r="B4183" t="str">
            <v>046021</v>
          </cell>
          <cell r="C4183" t="str">
            <v>LU</v>
          </cell>
          <cell r="D4183" t="str">
            <v>LU</v>
          </cell>
          <cell r="E4183" t="str">
            <v>55015</v>
          </cell>
        </row>
        <row r="4184">
          <cell r="A4184" t="str">
            <v>PESCAGLIA</v>
          </cell>
          <cell r="B4184" t="str">
            <v>046022</v>
          </cell>
          <cell r="C4184" t="str">
            <v>LU</v>
          </cell>
          <cell r="D4184" t="str">
            <v>LU</v>
          </cell>
          <cell r="E4184" t="str">
            <v>55064</v>
          </cell>
        </row>
        <row r="4185">
          <cell r="A4185" t="str">
            <v>PIAZZA AL SERCHIO</v>
          </cell>
          <cell r="B4185" t="str">
            <v>046023</v>
          </cell>
          <cell r="C4185" t="str">
            <v>LU</v>
          </cell>
          <cell r="D4185" t="str">
            <v>LU</v>
          </cell>
          <cell r="E4185" t="str">
            <v>55035</v>
          </cell>
        </row>
        <row r="4186">
          <cell r="A4186" t="str">
            <v>PIETRASANTA</v>
          </cell>
          <cell r="B4186" t="str">
            <v>046024</v>
          </cell>
          <cell r="C4186" t="str">
            <v>LU</v>
          </cell>
          <cell r="D4186" t="str">
            <v>LU</v>
          </cell>
          <cell r="E4186" t="str">
            <v>55045</v>
          </cell>
        </row>
        <row r="4187">
          <cell r="A4187" t="str">
            <v>PIEVE FOSCIANA</v>
          </cell>
          <cell r="B4187" t="str">
            <v>046025</v>
          </cell>
          <cell r="C4187" t="str">
            <v>LU</v>
          </cell>
          <cell r="D4187" t="str">
            <v>LU</v>
          </cell>
          <cell r="E4187" t="str">
            <v>55036</v>
          </cell>
        </row>
        <row r="4188">
          <cell r="A4188" t="str">
            <v>PORCARI</v>
          </cell>
          <cell r="B4188" t="str">
            <v>046026</v>
          </cell>
          <cell r="C4188" t="str">
            <v>LU</v>
          </cell>
          <cell r="D4188" t="str">
            <v>LU</v>
          </cell>
          <cell r="E4188" t="str">
            <v>55016</v>
          </cell>
        </row>
        <row r="4189">
          <cell r="A4189" t="str">
            <v>SAN ROMANO IN GARFAGNANA</v>
          </cell>
          <cell r="B4189" t="str">
            <v>046027</v>
          </cell>
          <cell r="C4189" t="str">
            <v>LU</v>
          </cell>
          <cell r="D4189" t="str">
            <v>LU</v>
          </cell>
          <cell r="E4189" t="str">
            <v>55038</v>
          </cell>
        </row>
        <row r="4190">
          <cell r="A4190" t="str">
            <v>SERAVEZZA</v>
          </cell>
          <cell r="B4190" t="str">
            <v>046028</v>
          </cell>
          <cell r="C4190" t="str">
            <v>LU</v>
          </cell>
          <cell r="D4190" t="str">
            <v>LU</v>
          </cell>
          <cell r="E4190" t="str">
            <v>55047</v>
          </cell>
        </row>
        <row r="4191">
          <cell r="A4191" t="str">
            <v>STAZZEMA</v>
          </cell>
          <cell r="B4191" t="str">
            <v>046030</v>
          </cell>
          <cell r="C4191" t="str">
            <v>LU</v>
          </cell>
          <cell r="D4191" t="str">
            <v>LU</v>
          </cell>
          <cell r="E4191" t="str">
            <v>55040</v>
          </cell>
        </row>
        <row r="4192">
          <cell r="A4192" t="str">
            <v>VAGLI SOTTO</v>
          </cell>
          <cell r="B4192" t="str">
            <v>046031</v>
          </cell>
          <cell r="C4192" t="str">
            <v>LU</v>
          </cell>
          <cell r="D4192" t="str">
            <v>LU</v>
          </cell>
          <cell r="E4192" t="str">
            <v>55030</v>
          </cell>
        </row>
        <row r="4193">
          <cell r="A4193" t="str">
            <v>VIAREGGIO</v>
          </cell>
          <cell r="B4193" t="str">
            <v>046033</v>
          </cell>
          <cell r="C4193" t="str">
            <v>LU</v>
          </cell>
          <cell r="D4193" t="str">
            <v>LU</v>
          </cell>
          <cell r="E4193" t="str">
            <v>55049</v>
          </cell>
        </row>
        <row r="4194">
          <cell r="A4194" t="str">
            <v>VILLA BASILICA</v>
          </cell>
          <cell r="B4194" t="str">
            <v>046034</v>
          </cell>
          <cell r="C4194" t="str">
            <v>LU</v>
          </cell>
          <cell r="D4194" t="str">
            <v>LU</v>
          </cell>
          <cell r="E4194" t="str">
            <v>55019</v>
          </cell>
        </row>
        <row r="4195">
          <cell r="A4195" t="str">
            <v>VILLA COLLEMANDINA</v>
          </cell>
          <cell r="B4195" t="str">
            <v>046035</v>
          </cell>
          <cell r="C4195" t="str">
            <v>LU</v>
          </cell>
          <cell r="D4195" t="str">
            <v>LU</v>
          </cell>
          <cell r="E4195" t="str">
            <v>55030</v>
          </cell>
        </row>
        <row r="4196">
          <cell r="A4196" t="str">
            <v>FABBRICHE DI VERGEMOLI</v>
          </cell>
          <cell r="B4196" t="str">
            <v>046036</v>
          </cell>
          <cell r="C4196" t="str">
            <v>LU</v>
          </cell>
          <cell r="D4196" t="e">
            <v>#N/A</v>
          </cell>
          <cell r="E4196" t="e">
            <v>#N/A</v>
          </cell>
        </row>
        <row r="4197">
          <cell r="A4197" t="str">
            <v>SILLANO GIUNCUGNANO</v>
          </cell>
          <cell r="B4197" t="str">
            <v>046037</v>
          </cell>
          <cell r="C4197" t="str">
            <v>LU</v>
          </cell>
          <cell r="D4197" t="e">
            <v>#N/A</v>
          </cell>
          <cell r="E4197" t="e">
            <v>#N/A</v>
          </cell>
        </row>
        <row r="4198">
          <cell r="A4198" t="str">
            <v>AGLIANA</v>
          </cell>
          <cell r="B4198" t="str">
            <v>047002</v>
          </cell>
          <cell r="C4198" t="str">
            <v>PT</v>
          </cell>
          <cell r="D4198" t="str">
            <v>PT</v>
          </cell>
          <cell r="E4198" t="str">
            <v>51031</v>
          </cell>
        </row>
        <row r="4199">
          <cell r="A4199" t="str">
            <v>BUGGIANO</v>
          </cell>
          <cell r="B4199" t="str">
            <v>047003</v>
          </cell>
          <cell r="C4199" t="str">
            <v>PT</v>
          </cell>
          <cell r="D4199" t="str">
            <v>PT</v>
          </cell>
          <cell r="E4199" t="str">
            <v>51011</v>
          </cell>
        </row>
        <row r="4200">
          <cell r="A4200" t="str">
            <v>LAMPORECCHIO</v>
          </cell>
          <cell r="B4200" t="str">
            <v>047005</v>
          </cell>
          <cell r="C4200" t="str">
            <v>PT</v>
          </cell>
          <cell r="D4200" t="str">
            <v>PT</v>
          </cell>
          <cell r="E4200" t="str">
            <v>51035</v>
          </cell>
        </row>
        <row r="4201">
          <cell r="A4201" t="str">
            <v>LARCIANO</v>
          </cell>
          <cell r="B4201" t="str">
            <v>047006</v>
          </cell>
          <cell r="C4201" t="str">
            <v>PT</v>
          </cell>
          <cell r="D4201" t="str">
            <v>PT</v>
          </cell>
          <cell r="E4201" t="str">
            <v>51036</v>
          </cell>
        </row>
        <row r="4202">
          <cell r="A4202" t="str">
            <v>MARLIANA</v>
          </cell>
          <cell r="B4202" t="str">
            <v>047007</v>
          </cell>
          <cell r="C4202" t="str">
            <v>PT</v>
          </cell>
          <cell r="D4202" t="str">
            <v>PT</v>
          </cell>
          <cell r="E4202" t="str">
            <v>51010</v>
          </cell>
        </row>
        <row r="4203">
          <cell r="A4203" t="str">
            <v>MASSA E COZZILE</v>
          </cell>
          <cell r="B4203" t="str">
            <v>047008</v>
          </cell>
          <cell r="C4203" t="str">
            <v>PT</v>
          </cell>
          <cell r="D4203" t="str">
            <v>PT</v>
          </cell>
          <cell r="E4203" t="str">
            <v>51010</v>
          </cell>
        </row>
        <row r="4204">
          <cell r="A4204" t="str">
            <v>MONSUMMANO TERME</v>
          </cell>
          <cell r="B4204" t="str">
            <v>047009</v>
          </cell>
          <cell r="C4204" t="str">
            <v>PT</v>
          </cell>
          <cell r="D4204" t="str">
            <v>PT</v>
          </cell>
          <cell r="E4204" t="str">
            <v>51015</v>
          </cell>
        </row>
        <row r="4205">
          <cell r="A4205" t="str">
            <v>MONTALE</v>
          </cell>
          <cell r="B4205" t="str">
            <v>047010</v>
          </cell>
          <cell r="C4205" t="str">
            <v>PT</v>
          </cell>
          <cell r="D4205" t="str">
            <v>PT</v>
          </cell>
          <cell r="E4205" t="str">
            <v>51037</v>
          </cell>
        </row>
        <row r="4206">
          <cell r="A4206" t="str">
            <v>MONTECATINI-TERME</v>
          </cell>
          <cell r="B4206" t="str">
            <v>047011</v>
          </cell>
          <cell r="C4206" t="str">
            <v>PT</v>
          </cell>
          <cell r="D4206" t="str">
            <v>PT</v>
          </cell>
          <cell r="E4206" t="str">
            <v>51016</v>
          </cell>
        </row>
        <row r="4207">
          <cell r="A4207" t="str">
            <v>PESCIA</v>
          </cell>
          <cell r="B4207" t="str">
            <v>047012</v>
          </cell>
          <cell r="C4207" t="str">
            <v>PT</v>
          </cell>
          <cell r="D4207" t="str">
            <v>PT</v>
          </cell>
          <cell r="E4207" t="str">
            <v>51017</v>
          </cell>
        </row>
        <row r="4208">
          <cell r="A4208" t="str">
            <v>PIEVE A NIEVOLE</v>
          </cell>
          <cell r="B4208" t="str">
            <v>047013</v>
          </cell>
          <cell r="C4208" t="str">
            <v>PT</v>
          </cell>
          <cell r="D4208" t="str">
            <v>PT</v>
          </cell>
          <cell r="E4208" t="str">
            <v>51018</v>
          </cell>
        </row>
        <row r="4209">
          <cell r="A4209" t="str">
            <v>PISTOIA</v>
          </cell>
          <cell r="B4209" t="str">
            <v>047014</v>
          </cell>
          <cell r="C4209" t="str">
            <v>PT</v>
          </cell>
          <cell r="D4209" t="str">
            <v>PT</v>
          </cell>
          <cell r="E4209" t="str">
            <v>51100</v>
          </cell>
        </row>
        <row r="4210">
          <cell r="A4210" t="str">
            <v>PONTE BUGGIANESE</v>
          </cell>
          <cell r="B4210" t="str">
            <v>047016</v>
          </cell>
          <cell r="C4210" t="str">
            <v>PT</v>
          </cell>
          <cell r="D4210" t="str">
            <v>PT</v>
          </cell>
          <cell r="E4210" t="str">
            <v>51019</v>
          </cell>
        </row>
        <row r="4211">
          <cell r="A4211" t="str">
            <v>QUARRATA</v>
          </cell>
          <cell r="B4211" t="str">
            <v>047017</v>
          </cell>
          <cell r="C4211" t="str">
            <v>PT</v>
          </cell>
          <cell r="D4211" t="str">
            <v>PT</v>
          </cell>
          <cell r="E4211" t="str">
            <v>51039</v>
          </cell>
        </row>
        <row r="4212">
          <cell r="A4212" t="str">
            <v>SAMBUCA PISTOIESE</v>
          </cell>
          <cell r="B4212" t="str">
            <v>047018</v>
          </cell>
          <cell r="C4212" t="str">
            <v>PT</v>
          </cell>
          <cell r="D4212" t="str">
            <v>PT</v>
          </cell>
          <cell r="E4212" t="str">
            <v>51020</v>
          </cell>
        </row>
        <row r="4213">
          <cell r="A4213" t="str">
            <v>SERRAVALLE PISTOIESE</v>
          </cell>
          <cell r="B4213" t="str">
            <v>047020</v>
          </cell>
          <cell r="C4213" t="str">
            <v>PT</v>
          </cell>
          <cell r="D4213" t="str">
            <v>PT</v>
          </cell>
          <cell r="E4213" t="str">
            <v>51030</v>
          </cell>
        </row>
        <row r="4214">
          <cell r="A4214" t="str">
            <v>UZZANO</v>
          </cell>
          <cell r="B4214" t="str">
            <v>047021</v>
          </cell>
          <cell r="C4214" t="str">
            <v>PT</v>
          </cell>
          <cell r="D4214" t="str">
            <v>PT</v>
          </cell>
          <cell r="E4214" t="str">
            <v>51010</v>
          </cell>
        </row>
        <row r="4215">
          <cell r="A4215" t="str">
            <v>CHIESINA UZZANESE</v>
          </cell>
          <cell r="B4215" t="str">
            <v>047022</v>
          </cell>
          <cell r="C4215" t="str">
            <v>PT</v>
          </cell>
          <cell r="D4215" t="str">
            <v>PT</v>
          </cell>
          <cell r="E4215" t="str">
            <v>51013</v>
          </cell>
        </row>
        <row r="4216">
          <cell r="A4216" t="str">
            <v>ABETONE CUTIGLIANO</v>
          </cell>
          <cell r="B4216" t="str">
            <v>047023</v>
          </cell>
          <cell r="C4216" t="str">
            <v>PT</v>
          </cell>
          <cell r="D4216" t="e">
            <v>#N/A</v>
          </cell>
          <cell r="E4216" t="e">
            <v>#N/A</v>
          </cell>
        </row>
        <row r="4217">
          <cell r="A4217" t="str">
            <v>SAN MARCELLO PITEGLIO</v>
          </cell>
          <cell r="B4217" t="str">
            <v>047024</v>
          </cell>
          <cell r="C4217" t="str">
            <v>PT</v>
          </cell>
          <cell r="D4217" t="e">
            <v>#N/A</v>
          </cell>
          <cell r="E4217" t="e">
            <v>#N/A</v>
          </cell>
        </row>
        <row r="4218">
          <cell r="A4218" t="str">
            <v>BAGNO A RIPOLI</v>
          </cell>
          <cell r="B4218" t="str">
            <v>048001</v>
          </cell>
          <cell r="C4218" t="str">
            <v>FI</v>
          </cell>
          <cell r="D4218" t="str">
            <v>FI</v>
          </cell>
          <cell r="E4218" t="str">
            <v>50012</v>
          </cell>
        </row>
        <row r="4219">
          <cell r="A4219" t="str">
            <v>BARBERINO DI MUGELLO</v>
          </cell>
          <cell r="B4219" t="str">
            <v>048002</v>
          </cell>
          <cell r="C4219" t="str">
            <v>FI</v>
          </cell>
          <cell r="D4219" t="str">
            <v>FI</v>
          </cell>
          <cell r="E4219" t="str">
            <v>50031</v>
          </cell>
        </row>
        <row r="4220">
          <cell r="A4220" t="str">
            <v>BORGO SAN LORENZO</v>
          </cell>
          <cell r="B4220" t="str">
            <v>048004</v>
          </cell>
          <cell r="C4220" t="str">
            <v>FI</v>
          </cell>
          <cell r="D4220" t="str">
            <v>FI</v>
          </cell>
          <cell r="E4220" t="str">
            <v>50032</v>
          </cell>
        </row>
        <row r="4221">
          <cell r="A4221" t="str">
            <v>CALENZANO</v>
          </cell>
          <cell r="B4221" t="str">
            <v>048005</v>
          </cell>
          <cell r="C4221" t="str">
            <v>FI</v>
          </cell>
          <cell r="D4221" t="str">
            <v>FI</v>
          </cell>
          <cell r="E4221" t="str">
            <v>50041</v>
          </cell>
        </row>
        <row r="4222">
          <cell r="A4222" t="str">
            <v>CAMPI BISENZIO</v>
          </cell>
          <cell r="B4222" t="str">
            <v>048006</v>
          </cell>
          <cell r="C4222" t="str">
            <v>FI</v>
          </cell>
          <cell r="D4222" t="str">
            <v>FI</v>
          </cell>
          <cell r="E4222" t="str">
            <v>50013</v>
          </cell>
        </row>
        <row r="4223">
          <cell r="A4223" t="str">
            <v>CAPRAIA E LIMITE</v>
          </cell>
          <cell r="B4223" t="str">
            <v>048008</v>
          </cell>
          <cell r="C4223" t="str">
            <v>FI</v>
          </cell>
          <cell r="D4223" t="str">
            <v>FI</v>
          </cell>
          <cell r="E4223" t="str">
            <v>50050</v>
          </cell>
        </row>
        <row r="4224">
          <cell r="A4224" t="str">
            <v>CASTELFIORENTINO</v>
          </cell>
          <cell r="B4224" t="str">
            <v>048010</v>
          </cell>
          <cell r="C4224" t="str">
            <v>FI</v>
          </cell>
          <cell r="D4224" t="str">
            <v>FI</v>
          </cell>
          <cell r="E4224" t="str">
            <v>50051</v>
          </cell>
        </row>
        <row r="4225">
          <cell r="A4225" t="str">
            <v>CERRETO GUIDI</v>
          </cell>
          <cell r="B4225" t="str">
            <v>048011</v>
          </cell>
          <cell r="C4225" t="str">
            <v>FI</v>
          </cell>
          <cell r="D4225" t="str">
            <v>FI</v>
          </cell>
          <cell r="E4225" t="str">
            <v>50050</v>
          </cell>
        </row>
        <row r="4226">
          <cell r="A4226" t="str">
            <v>CERTALDO</v>
          </cell>
          <cell r="B4226" t="str">
            <v>048012</v>
          </cell>
          <cell r="C4226" t="str">
            <v>FI</v>
          </cell>
          <cell r="D4226" t="str">
            <v>FI</v>
          </cell>
          <cell r="E4226" t="str">
            <v>50052</v>
          </cell>
        </row>
        <row r="4227">
          <cell r="A4227" t="str">
            <v>DICOMANO</v>
          </cell>
          <cell r="B4227" t="str">
            <v>048013</v>
          </cell>
          <cell r="C4227" t="str">
            <v>FI</v>
          </cell>
          <cell r="D4227" t="str">
            <v>FI</v>
          </cell>
          <cell r="E4227" t="str">
            <v>50062</v>
          </cell>
        </row>
        <row r="4228">
          <cell r="A4228" t="str">
            <v>EMPOLI</v>
          </cell>
          <cell r="B4228" t="str">
            <v>048014</v>
          </cell>
          <cell r="C4228" t="str">
            <v>FI</v>
          </cell>
          <cell r="D4228" t="str">
            <v>FI</v>
          </cell>
          <cell r="E4228" t="str">
            <v>50053</v>
          </cell>
        </row>
        <row r="4229">
          <cell r="A4229" t="str">
            <v>FIESOLE</v>
          </cell>
          <cell r="B4229" t="str">
            <v>048015</v>
          </cell>
          <cell r="C4229" t="str">
            <v>FI</v>
          </cell>
          <cell r="D4229" t="str">
            <v>FI</v>
          </cell>
          <cell r="E4229" t="str">
            <v>50014</v>
          </cell>
        </row>
        <row r="4230">
          <cell r="A4230" t="str">
            <v>FIRENZE</v>
          </cell>
          <cell r="B4230" t="str">
            <v>048017</v>
          </cell>
          <cell r="C4230" t="str">
            <v>FI</v>
          </cell>
          <cell r="D4230" t="str">
            <v>FI</v>
          </cell>
          <cell r="E4230" t="str">
            <v>501xx</v>
          </cell>
        </row>
        <row r="4231">
          <cell r="A4231" t="str">
            <v>FIRENZUOLA</v>
          </cell>
          <cell r="B4231" t="str">
            <v>048018</v>
          </cell>
          <cell r="C4231" t="str">
            <v>FI</v>
          </cell>
          <cell r="D4231" t="str">
            <v>FI</v>
          </cell>
          <cell r="E4231" t="str">
            <v>50033</v>
          </cell>
        </row>
        <row r="4232">
          <cell r="A4232" t="str">
            <v>FUCECCHIO</v>
          </cell>
          <cell r="B4232" t="str">
            <v>048019</v>
          </cell>
          <cell r="C4232" t="str">
            <v>FI</v>
          </cell>
          <cell r="D4232" t="str">
            <v>FI</v>
          </cell>
          <cell r="E4232" t="str">
            <v>50054</v>
          </cell>
        </row>
        <row r="4233">
          <cell r="A4233" t="str">
            <v>GAMBASSI TERME</v>
          </cell>
          <cell r="B4233" t="str">
            <v>048020</v>
          </cell>
          <cell r="C4233" t="str">
            <v>FI</v>
          </cell>
          <cell r="D4233" t="str">
            <v>FI</v>
          </cell>
          <cell r="E4233" t="str">
            <v>50050</v>
          </cell>
        </row>
        <row r="4234">
          <cell r="A4234" t="str">
            <v>GREVE IN CHIANTI</v>
          </cell>
          <cell r="B4234" t="str">
            <v>048021</v>
          </cell>
          <cell r="C4234" t="str">
            <v>FI</v>
          </cell>
          <cell r="D4234" t="str">
            <v>FI</v>
          </cell>
          <cell r="E4234" t="str">
            <v>50022</v>
          </cell>
        </row>
        <row r="4235">
          <cell r="A4235" t="str">
            <v>IMPRUNETA</v>
          </cell>
          <cell r="B4235" t="str">
            <v>048022</v>
          </cell>
          <cell r="C4235" t="str">
            <v>FI</v>
          </cell>
          <cell r="D4235" t="str">
            <v>FI</v>
          </cell>
          <cell r="E4235" t="str">
            <v>50023</v>
          </cell>
        </row>
        <row r="4236">
          <cell r="A4236" t="str">
            <v>LASTRA A SIGNA</v>
          </cell>
          <cell r="B4236" t="str">
            <v>048024</v>
          </cell>
          <cell r="C4236" t="str">
            <v>FI</v>
          </cell>
          <cell r="D4236" t="str">
            <v>FI</v>
          </cell>
          <cell r="E4236" t="str">
            <v>50055</v>
          </cell>
        </row>
        <row r="4237">
          <cell r="A4237" t="str">
            <v>LONDA</v>
          </cell>
          <cell r="B4237" t="str">
            <v>048025</v>
          </cell>
          <cell r="C4237" t="str">
            <v>FI</v>
          </cell>
          <cell r="D4237" t="str">
            <v>FI</v>
          </cell>
          <cell r="E4237" t="str">
            <v>50060</v>
          </cell>
        </row>
        <row r="4238">
          <cell r="A4238" t="str">
            <v>MARRADI</v>
          </cell>
          <cell r="B4238" t="str">
            <v>048026</v>
          </cell>
          <cell r="C4238" t="str">
            <v>FI</v>
          </cell>
          <cell r="D4238" t="str">
            <v>FI</v>
          </cell>
          <cell r="E4238" t="str">
            <v>50034</v>
          </cell>
        </row>
        <row r="4239">
          <cell r="A4239" t="str">
            <v>MONTAIONE</v>
          </cell>
          <cell r="B4239" t="str">
            <v>048027</v>
          </cell>
          <cell r="C4239" t="str">
            <v>FI</v>
          </cell>
          <cell r="D4239" t="str">
            <v>FI</v>
          </cell>
          <cell r="E4239" t="str">
            <v>50050</v>
          </cell>
        </row>
        <row r="4240">
          <cell r="A4240" t="str">
            <v>MONTELUPO FIORENTINO</v>
          </cell>
          <cell r="B4240" t="str">
            <v>048028</v>
          </cell>
          <cell r="C4240" t="str">
            <v>FI</v>
          </cell>
          <cell r="D4240" t="str">
            <v>FI</v>
          </cell>
          <cell r="E4240" t="str">
            <v>50056</v>
          </cell>
        </row>
        <row r="4241">
          <cell r="A4241" t="str">
            <v>MONTESPERTOLI</v>
          </cell>
          <cell r="B4241" t="str">
            <v>048030</v>
          </cell>
          <cell r="C4241" t="str">
            <v>FI</v>
          </cell>
          <cell r="D4241" t="str">
            <v>FI</v>
          </cell>
          <cell r="E4241" t="str">
            <v>50025</v>
          </cell>
        </row>
        <row r="4242">
          <cell r="A4242" t="str">
            <v>PALAZZUOLO SUL SENIO</v>
          </cell>
          <cell r="B4242" t="str">
            <v>048031</v>
          </cell>
          <cell r="C4242" t="str">
            <v>FI</v>
          </cell>
          <cell r="D4242" t="str">
            <v>FI</v>
          </cell>
          <cell r="E4242" t="str">
            <v>50035</v>
          </cell>
        </row>
        <row r="4243">
          <cell r="A4243" t="str">
            <v>PELAGO</v>
          </cell>
          <cell r="B4243" t="str">
            <v>048032</v>
          </cell>
          <cell r="C4243" t="str">
            <v>FI</v>
          </cell>
          <cell r="D4243" t="str">
            <v>FI</v>
          </cell>
          <cell r="E4243" t="str">
            <v>50060</v>
          </cell>
        </row>
        <row r="4244">
          <cell r="A4244" t="str">
            <v>PONTASSIEVE</v>
          </cell>
          <cell r="B4244" t="str">
            <v>048033</v>
          </cell>
          <cell r="C4244" t="str">
            <v>FI</v>
          </cell>
          <cell r="D4244" t="str">
            <v>FI</v>
          </cell>
          <cell r="E4244" t="str">
            <v>50065</v>
          </cell>
        </row>
        <row r="4245">
          <cell r="A4245" t="str">
            <v>REGGELLO</v>
          </cell>
          <cell r="B4245" t="str">
            <v>048035</v>
          </cell>
          <cell r="C4245" t="str">
            <v>FI</v>
          </cell>
          <cell r="D4245" t="str">
            <v>FI</v>
          </cell>
          <cell r="E4245" t="str">
            <v>50066</v>
          </cell>
        </row>
        <row r="4246">
          <cell r="A4246" t="str">
            <v>RIGNANO SULL'ARNO</v>
          </cell>
          <cell r="B4246" t="str">
            <v>048036</v>
          </cell>
          <cell r="C4246" t="str">
            <v>FI</v>
          </cell>
          <cell r="D4246" t="str">
            <v>FI</v>
          </cell>
          <cell r="E4246" t="str">
            <v>50067</v>
          </cell>
        </row>
        <row r="4247">
          <cell r="A4247" t="str">
            <v>RUFINA</v>
          </cell>
          <cell r="B4247" t="str">
            <v>048037</v>
          </cell>
          <cell r="C4247" t="str">
            <v>FI</v>
          </cell>
          <cell r="D4247" t="str">
            <v>FI</v>
          </cell>
          <cell r="E4247" t="str">
            <v>50068</v>
          </cell>
        </row>
        <row r="4248">
          <cell r="A4248" t="str">
            <v>SAN CASCIANO IN VAL DI PESA</v>
          </cell>
          <cell r="B4248" t="str">
            <v>048038</v>
          </cell>
          <cell r="C4248" t="str">
            <v>FI</v>
          </cell>
          <cell r="D4248" t="str">
            <v>FI</v>
          </cell>
          <cell r="E4248" t="str">
            <v>50026</v>
          </cell>
        </row>
        <row r="4249">
          <cell r="A4249" t="str">
            <v>SAN GODENZO</v>
          </cell>
          <cell r="B4249" t="str">
            <v>048039</v>
          </cell>
          <cell r="C4249" t="str">
            <v>FI</v>
          </cell>
          <cell r="D4249" t="str">
            <v>FI</v>
          </cell>
          <cell r="E4249" t="str">
            <v>50060</v>
          </cell>
        </row>
        <row r="4250">
          <cell r="A4250" t="str">
            <v>SCANDICCI</v>
          </cell>
          <cell r="B4250" t="str">
            <v>048041</v>
          </cell>
          <cell r="C4250" t="str">
            <v>FI</v>
          </cell>
          <cell r="D4250" t="str">
            <v>FI</v>
          </cell>
          <cell r="E4250" t="str">
            <v>50018</v>
          </cell>
        </row>
        <row r="4251">
          <cell r="A4251" t="str">
            <v>SESTO FIORENTINO</v>
          </cell>
          <cell r="B4251" t="str">
            <v>048043</v>
          </cell>
          <cell r="C4251" t="str">
            <v>FI</v>
          </cell>
          <cell r="D4251" t="str">
            <v>FI</v>
          </cell>
          <cell r="E4251" t="str">
            <v>50019</v>
          </cell>
        </row>
        <row r="4252">
          <cell r="A4252" t="str">
            <v>SIGNA</v>
          </cell>
          <cell r="B4252" t="str">
            <v>048044</v>
          </cell>
          <cell r="C4252" t="str">
            <v>FI</v>
          </cell>
          <cell r="D4252" t="str">
            <v>FI</v>
          </cell>
          <cell r="E4252" t="str">
            <v>50058</v>
          </cell>
        </row>
        <row r="4253">
          <cell r="A4253" t="str">
            <v>VAGLIA</v>
          </cell>
          <cell r="B4253" t="str">
            <v>048046</v>
          </cell>
          <cell r="C4253" t="str">
            <v>FI</v>
          </cell>
          <cell r="D4253" t="str">
            <v>FI</v>
          </cell>
          <cell r="E4253" t="str">
            <v>50036</v>
          </cell>
        </row>
        <row r="4254">
          <cell r="A4254" t="str">
            <v>VICCHIO</v>
          </cell>
          <cell r="B4254" t="str">
            <v>048049</v>
          </cell>
          <cell r="C4254" t="str">
            <v>FI</v>
          </cell>
          <cell r="D4254" t="str">
            <v>FI</v>
          </cell>
          <cell r="E4254" t="str">
            <v>50039</v>
          </cell>
        </row>
        <row r="4255">
          <cell r="A4255" t="str">
            <v>VINCI</v>
          </cell>
          <cell r="B4255" t="str">
            <v>048050</v>
          </cell>
          <cell r="C4255" t="str">
            <v>FI</v>
          </cell>
          <cell r="D4255" t="str">
            <v>FI</v>
          </cell>
          <cell r="E4255" t="str">
            <v>50059</v>
          </cell>
        </row>
        <row r="4256">
          <cell r="A4256" t="str">
            <v>FIGLINE E INCISA VALDARNO</v>
          </cell>
          <cell r="B4256" t="str">
            <v>048052</v>
          </cell>
          <cell r="C4256" t="str">
            <v>FI</v>
          </cell>
          <cell r="D4256" t="e">
            <v>#N/A</v>
          </cell>
          <cell r="E4256" t="e">
            <v>#N/A</v>
          </cell>
        </row>
        <row r="4257">
          <cell r="A4257" t="str">
            <v>SCARPERIA E SAN PIERO</v>
          </cell>
          <cell r="B4257" t="str">
            <v>048053</v>
          </cell>
          <cell r="C4257" t="str">
            <v>FI</v>
          </cell>
          <cell r="D4257" t="e">
            <v>#N/A</v>
          </cell>
          <cell r="E4257" t="e">
            <v>#N/A</v>
          </cell>
        </row>
        <row r="4258">
          <cell r="A4258" t="str">
            <v>BARBERINO TAVARNELLE</v>
          </cell>
          <cell r="B4258" t="str">
            <v>048054</v>
          </cell>
          <cell r="C4258" t="str">
            <v>FI</v>
          </cell>
          <cell r="D4258" t="e">
            <v>#N/A</v>
          </cell>
          <cell r="E4258" t="e">
            <v>#N/A</v>
          </cell>
        </row>
        <row r="4259">
          <cell r="A4259" t="str">
            <v>BIBBONA</v>
          </cell>
          <cell r="B4259" t="str">
            <v>049001</v>
          </cell>
          <cell r="C4259" t="str">
            <v>LI</v>
          </cell>
          <cell r="D4259" t="str">
            <v>LI</v>
          </cell>
          <cell r="E4259" t="str">
            <v>57020</v>
          </cell>
        </row>
        <row r="4260">
          <cell r="A4260" t="str">
            <v>CAMPIGLIA MARITTIMA</v>
          </cell>
          <cell r="B4260" t="str">
            <v>049002</v>
          </cell>
          <cell r="C4260" t="str">
            <v>LI</v>
          </cell>
          <cell r="D4260" t="str">
            <v>LI</v>
          </cell>
          <cell r="E4260" t="str">
            <v>57021</v>
          </cell>
        </row>
        <row r="4261">
          <cell r="A4261" t="str">
            <v>CAMPO NELL'ELBA</v>
          </cell>
          <cell r="B4261" t="str">
            <v>049003</v>
          </cell>
          <cell r="C4261" t="str">
            <v>LI</v>
          </cell>
          <cell r="D4261" t="str">
            <v>LI</v>
          </cell>
          <cell r="E4261" t="str">
            <v>57034</v>
          </cell>
        </row>
        <row r="4262">
          <cell r="A4262" t="str">
            <v>CAPOLIVERI</v>
          </cell>
          <cell r="B4262" t="str">
            <v>049004</v>
          </cell>
          <cell r="C4262" t="str">
            <v>LI</v>
          </cell>
          <cell r="D4262" t="str">
            <v>LI</v>
          </cell>
          <cell r="E4262" t="str">
            <v>57031</v>
          </cell>
        </row>
        <row r="4263">
          <cell r="A4263" t="str">
            <v>CAPRAIA ISOLA</v>
          </cell>
          <cell r="B4263" t="str">
            <v>049005</v>
          </cell>
          <cell r="C4263" t="str">
            <v>LI</v>
          </cell>
          <cell r="D4263" t="str">
            <v>LI</v>
          </cell>
          <cell r="E4263" t="str">
            <v>57032</v>
          </cell>
        </row>
        <row r="4264">
          <cell r="A4264" t="str">
            <v>CASTAGNETO CARDUCCI</v>
          </cell>
          <cell r="B4264" t="str">
            <v>049006</v>
          </cell>
          <cell r="C4264" t="str">
            <v>LI</v>
          </cell>
          <cell r="D4264" t="str">
            <v>LI</v>
          </cell>
          <cell r="E4264" t="str">
            <v>57022</v>
          </cell>
        </row>
        <row r="4265">
          <cell r="A4265" t="str">
            <v>CECINA</v>
          </cell>
          <cell r="B4265" t="str">
            <v>049007</v>
          </cell>
          <cell r="C4265" t="str">
            <v>LI</v>
          </cell>
          <cell r="D4265" t="str">
            <v>LI</v>
          </cell>
          <cell r="E4265" t="str">
            <v>57023</v>
          </cell>
        </row>
        <row r="4266">
          <cell r="A4266" t="str">
            <v>COLLESALVETTI</v>
          </cell>
          <cell r="B4266" t="str">
            <v>049008</v>
          </cell>
          <cell r="C4266" t="str">
            <v>LI</v>
          </cell>
          <cell r="D4266" t="str">
            <v>LI</v>
          </cell>
          <cell r="E4266" t="str">
            <v>57014</v>
          </cell>
        </row>
        <row r="4267">
          <cell r="A4267" t="str">
            <v>LIVORNO</v>
          </cell>
          <cell r="B4267" t="str">
            <v>049009</v>
          </cell>
          <cell r="C4267" t="str">
            <v>LI</v>
          </cell>
          <cell r="D4267" t="str">
            <v>LI</v>
          </cell>
          <cell r="E4267" t="str">
            <v>571xx</v>
          </cell>
        </row>
        <row r="4268">
          <cell r="A4268" t="str">
            <v>MARCIANA</v>
          </cell>
          <cell r="B4268" t="str">
            <v>049010</v>
          </cell>
          <cell r="C4268" t="str">
            <v>LI</v>
          </cell>
          <cell r="D4268" t="str">
            <v>LI</v>
          </cell>
          <cell r="E4268" t="str">
            <v>57030</v>
          </cell>
        </row>
        <row r="4269">
          <cell r="A4269" t="str">
            <v>MARCIANA MARINA</v>
          </cell>
          <cell r="B4269" t="str">
            <v>049011</v>
          </cell>
          <cell r="C4269" t="str">
            <v>LI</v>
          </cell>
          <cell r="D4269" t="str">
            <v>LI</v>
          </cell>
          <cell r="E4269" t="str">
            <v>57033</v>
          </cell>
        </row>
        <row r="4270">
          <cell r="A4270" t="str">
            <v>PIOMBINO</v>
          </cell>
          <cell r="B4270" t="str">
            <v>049012</v>
          </cell>
          <cell r="C4270" t="str">
            <v>LI</v>
          </cell>
          <cell r="D4270" t="str">
            <v>LI</v>
          </cell>
          <cell r="E4270" t="str">
            <v>57025</v>
          </cell>
        </row>
        <row r="4271">
          <cell r="A4271" t="str">
            <v>PORTO AZZURRO</v>
          </cell>
          <cell r="B4271" t="str">
            <v>049013</v>
          </cell>
          <cell r="C4271" t="str">
            <v>LI</v>
          </cell>
          <cell r="D4271" t="str">
            <v>LI</v>
          </cell>
          <cell r="E4271" t="str">
            <v>57036</v>
          </cell>
        </row>
        <row r="4272">
          <cell r="A4272" t="str">
            <v>PORTOFERRAIO</v>
          </cell>
          <cell r="B4272" t="str">
            <v>049014</v>
          </cell>
          <cell r="C4272" t="str">
            <v>LI</v>
          </cell>
          <cell r="D4272" t="str">
            <v>LI</v>
          </cell>
          <cell r="E4272" t="str">
            <v>57037</v>
          </cell>
        </row>
        <row r="4273">
          <cell r="A4273" t="str">
            <v>ROSIGNANO MARITTIMO</v>
          </cell>
          <cell r="B4273" t="str">
            <v>049017</v>
          </cell>
          <cell r="C4273" t="str">
            <v>LI</v>
          </cell>
          <cell r="D4273" t="str">
            <v>LI</v>
          </cell>
          <cell r="E4273" t="str">
            <v>57016</v>
          </cell>
        </row>
        <row r="4274">
          <cell r="A4274" t="str">
            <v>SAN VINCENZO</v>
          </cell>
          <cell r="B4274" t="str">
            <v>049018</v>
          </cell>
          <cell r="C4274" t="str">
            <v>LI</v>
          </cell>
          <cell r="D4274" t="str">
            <v>LI</v>
          </cell>
          <cell r="E4274" t="str">
            <v>57027</v>
          </cell>
        </row>
        <row r="4275">
          <cell r="A4275" t="str">
            <v>SASSETTA</v>
          </cell>
          <cell r="B4275" t="str">
            <v>049019</v>
          </cell>
          <cell r="C4275" t="str">
            <v>LI</v>
          </cell>
          <cell r="D4275" t="str">
            <v>LI</v>
          </cell>
          <cell r="E4275" t="str">
            <v>57020</v>
          </cell>
        </row>
        <row r="4276">
          <cell r="A4276" t="str">
            <v>SUVERETO</v>
          </cell>
          <cell r="B4276" t="str">
            <v>049020</v>
          </cell>
          <cell r="C4276" t="str">
            <v>LI</v>
          </cell>
          <cell r="D4276" t="str">
            <v>LI</v>
          </cell>
          <cell r="E4276" t="str">
            <v>57028</v>
          </cell>
        </row>
        <row r="4277">
          <cell r="A4277" t="str">
            <v>RIO</v>
          </cell>
          <cell r="B4277" t="str">
            <v>049021</v>
          </cell>
          <cell r="C4277" t="str">
            <v>LI</v>
          </cell>
          <cell r="D4277" t="e">
            <v>#N/A</v>
          </cell>
          <cell r="E4277" t="e">
            <v>#N/A</v>
          </cell>
        </row>
        <row r="4278">
          <cell r="A4278" t="str">
            <v>BIENTINA</v>
          </cell>
          <cell r="B4278" t="str">
            <v>050001</v>
          </cell>
          <cell r="C4278" t="str">
            <v>PI</v>
          </cell>
          <cell r="D4278" t="str">
            <v>PI</v>
          </cell>
          <cell r="E4278" t="str">
            <v>56031</v>
          </cell>
        </row>
        <row r="4279">
          <cell r="A4279" t="str">
            <v>BUTI</v>
          </cell>
          <cell r="B4279" t="str">
            <v>050002</v>
          </cell>
          <cell r="C4279" t="str">
            <v>PI</v>
          </cell>
          <cell r="D4279" t="str">
            <v>PI</v>
          </cell>
          <cell r="E4279" t="str">
            <v>56032</v>
          </cell>
        </row>
        <row r="4280">
          <cell r="A4280" t="str">
            <v>CALCI</v>
          </cell>
          <cell r="B4280" t="str">
            <v>050003</v>
          </cell>
          <cell r="C4280" t="str">
            <v>PI</v>
          </cell>
          <cell r="D4280" t="str">
            <v>PI</v>
          </cell>
          <cell r="E4280" t="str">
            <v>56011</v>
          </cell>
        </row>
        <row r="4281">
          <cell r="A4281" t="str">
            <v>CALCINAIA</v>
          </cell>
          <cell r="B4281" t="str">
            <v>050004</v>
          </cell>
          <cell r="C4281" t="str">
            <v>PI</v>
          </cell>
          <cell r="D4281" t="str">
            <v>PI</v>
          </cell>
          <cell r="E4281" t="str">
            <v>56012</v>
          </cell>
        </row>
        <row r="4282">
          <cell r="A4282" t="str">
            <v>CAPANNOLI</v>
          </cell>
          <cell r="B4282" t="str">
            <v>050005</v>
          </cell>
          <cell r="C4282" t="str">
            <v>PI</v>
          </cell>
          <cell r="D4282" t="str">
            <v>PI</v>
          </cell>
          <cell r="E4282" t="str">
            <v>56033</v>
          </cell>
        </row>
        <row r="4283">
          <cell r="A4283" t="str">
            <v>CASALE MARITTIMO</v>
          </cell>
          <cell r="B4283" t="str">
            <v>050006</v>
          </cell>
          <cell r="C4283" t="str">
            <v>PI</v>
          </cell>
          <cell r="D4283" t="str">
            <v>PI</v>
          </cell>
          <cell r="E4283" t="str">
            <v>56040</v>
          </cell>
        </row>
        <row r="4284">
          <cell r="A4284" t="str">
            <v>CASCINA</v>
          </cell>
          <cell r="B4284" t="str">
            <v>050008</v>
          </cell>
          <cell r="C4284" t="str">
            <v>PI</v>
          </cell>
          <cell r="D4284" t="str">
            <v>PI</v>
          </cell>
          <cell r="E4284" t="str">
            <v>56021</v>
          </cell>
        </row>
        <row r="4285">
          <cell r="A4285" t="str">
            <v>CASTELFRANCO DI SOTTO</v>
          </cell>
          <cell r="B4285" t="str">
            <v>050009</v>
          </cell>
          <cell r="C4285" t="str">
            <v>PI</v>
          </cell>
          <cell r="D4285" t="str">
            <v>PI</v>
          </cell>
          <cell r="E4285" t="str">
            <v>56022</v>
          </cell>
        </row>
        <row r="4286">
          <cell r="A4286" t="str">
            <v>CASTELLINA MARITTIMA</v>
          </cell>
          <cell r="B4286" t="str">
            <v>050010</v>
          </cell>
          <cell r="C4286" t="str">
            <v>PI</v>
          </cell>
          <cell r="D4286" t="str">
            <v>PI</v>
          </cell>
          <cell r="E4286" t="str">
            <v>56040</v>
          </cell>
        </row>
        <row r="4287">
          <cell r="A4287" t="str">
            <v>CASTELNUOVO DI VAL DI CECINA</v>
          </cell>
          <cell r="B4287" t="str">
            <v>050011</v>
          </cell>
          <cell r="C4287" t="str">
            <v>PI</v>
          </cell>
          <cell r="D4287" t="str">
            <v>PI</v>
          </cell>
          <cell r="E4287" t="str">
            <v>56041</v>
          </cell>
        </row>
        <row r="4288">
          <cell r="A4288" t="str">
            <v>CHIANNI</v>
          </cell>
          <cell r="B4288" t="str">
            <v>050012</v>
          </cell>
          <cell r="C4288" t="str">
            <v>PI</v>
          </cell>
          <cell r="D4288" t="str">
            <v>PI</v>
          </cell>
          <cell r="E4288" t="str">
            <v>56034</v>
          </cell>
        </row>
        <row r="4289">
          <cell r="A4289" t="str">
            <v>FAUGLIA</v>
          </cell>
          <cell r="B4289" t="str">
            <v>050014</v>
          </cell>
          <cell r="C4289" t="str">
            <v>PI</v>
          </cell>
          <cell r="D4289" t="str">
            <v>PI</v>
          </cell>
          <cell r="E4289" t="str">
            <v>56043</v>
          </cell>
        </row>
        <row r="4290">
          <cell r="A4290" t="str">
            <v>GUARDISTALLO</v>
          </cell>
          <cell r="B4290" t="str">
            <v>050015</v>
          </cell>
          <cell r="C4290" t="str">
            <v>PI</v>
          </cell>
          <cell r="D4290" t="str">
            <v>PI</v>
          </cell>
          <cell r="E4290" t="str">
            <v>56040</v>
          </cell>
        </row>
        <row r="4291">
          <cell r="A4291" t="str">
            <v>LAJATICO</v>
          </cell>
          <cell r="B4291" t="str">
            <v>050016</v>
          </cell>
          <cell r="C4291" t="str">
            <v>PI</v>
          </cell>
          <cell r="D4291" t="str">
            <v>PI</v>
          </cell>
          <cell r="E4291" t="str">
            <v>56030</v>
          </cell>
        </row>
        <row r="4292">
          <cell r="A4292" t="str">
            <v>MONTECATINI VAL DI CECINA</v>
          </cell>
          <cell r="B4292" t="str">
            <v>050019</v>
          </cell>
          <cell r="C4292" t="str">
            <v>PI</v>
          </cell>
          <cell r="D4292" t="str">
            <v>PI</v>
          </cell>
          <cell r="E4292" t="str">
            <v>56040</v>
          </cell>
        </row>
        <row r="4293">
          <cell r="A4293" t="str">
            <v>MONTESCUDAIO</v>
          </cell>
          <cell r="B4293" t="str">
            <v>050020</v>
          </cell>
          <cell r="C4293" t="str">
            <v>PI</v>
          </cell>
          <cell r="D4293" t="str">
            <v>PI</v>
          </cell>
          <cell r="E4293" t="str">
            <v>56040</v>
          </cell>
        </row>
        <row r="4294">
          <cell r="A4294" t="str">
            <v>MONTEVERDI MARITTIMO</v>
          </cell>
          <cell r="B4294" t="str">
            <v>050021</v>
          </cell>
          <cell r="C4294" t="str">
            <v>PI</v>
          </cell>
          <cell r="D4294" t="str">
            <v>PI</v>
          </cell>
          <cell r="E4294" t="str">
            <v>56040</v>
          </cell>
        </row>
        <row r="4295">
          <cell r="A4295" t="str">
            <v>MONTOPOLI IN VAL D'ARNO</v>
          </cell>
          <cell r="B4295" t="str">
            <v>050022</v>
          </cell>
          <cell r="C4295" t="str">
            <v>PI</v>
          </cell>
          <cell r="D4295" t="str">
            <v>PI</v>
          </cell>
          <cell r="E4295" t="str">
            <v>56020</v>
          </cell>
        </row>
        <row r="4296">
          <cell r="A4296" t="str">
            <v>ORCIANO PISANO</v>
          </cell>
          <cell r="B4296" t="str">
            <v>050023</v>
          </cell>
          <cell r="C4296" t="str">
            <v>PI</v>
          </cell>
          <cell r="D4296" t="str">
            <v>PI</v>
          </cell>
          <cell r="E4296" t="str">
            <v>56040</v>
          </cell>
        </row>
        <row r="4297">
          <cell r="A4297" t="str">
            <v>PALAIA</v>
          </cell>
          <cell r="B4297" t="str">
            <v>050024</v>
          </cell>
          <cell r="C4297" t="str">
            <v>PI</v>
          </cell>
          <cell r="D4297" t="str">
            <v>PI</v>
          </cell>
          <cell r="E4297" t="str">
            <v>56036</v>
          </cell>
        </row>
        <row r="4298">
          <cell r="A4298" t="str">
            <v>PECCIOLI</v>
          </cell>
          <cell r="B4298" t="str">
            <v>050025</v>
          </cell>
          <cell r="C4298" t="str">
            <v>PI</v>
          </cell>
          <cell r="D4298" t="str">
            <v>PI</v>
          </cell>
          <cell r="E4298" t="str">
            <v>56037</v>
          </cell>
        </row>
        <row r="4299">
          <cell r="A4299" t="str">
            <v>PISA</v>
          </cell>
          <cell r="B4299" t="str">
            <v>050026</v>
          </cell>
          <cell r="C4299" t="str">
            <v>PI</v>
          </cell>
          <cell r="D4299" t="str">
            <v>PI</v>
          </cell>
          <cell r="E4299" t="str">
            <v>5612x</v>
          </cell>
        </row>
        <row r="4300">
          <cell r="A4300" t="str">
            <v>POMARANCE</v>
          </cell>
          <cell r="B4300" t="str">
            <v>050027</v>
          </cell>
          <cell r="C4300" t="str">
            <v>PI</v>
          </cell>
          <cell r="D4300" t="str">
            <v>PI</v>
          </cell>
          <cell r="E4300" t="str">
            <v>56045</v>
          </cell>
        </row>
        <row r="4301">
          <cell r="A4301" t="str">
            <v>PONSACCO</v>
          </cell>
          <cell r="B4301" t="str">
            <v>050028</v>
          </cell>
          <cell r="C4301" t="str">
            <v>PI</v>
          </cell>
          <cell r="D4301" t="str">
            <v>PI</v>
          </cell>
          <cell r="E4301" t="str">
            <v>56038</v>
          </cell>
        </row>
        <row r="4302">
          <cell r="A4302" t="str">
            <v>PONTEDERA</v>
          </cell>
          <cell r="B4302" t="str">
            <v>050029</v>
          </cell>
          <cell r="C4302" t="str">
            <v>PI</v>
          </cell>
          <cell r="D4302" t="str">
            <v>PI</v>
          </cell>
          <cell r="E4302" t="str">
            <v>56025</v>
          </cell>
        </row>
        <row r="4303">
          <cell r="A4303" t="str">
            <v>RIPARBELLA</v>
          </cell>
          <cell r="B4303" t="str">
            <v>050030</v>
          </cell>
          <cell r="C4303" t="str">
            <v>PI</v>
          </cell>
          <cell r="D4303" t="str">
            <v>PI</v>
          </cell>
          <cell r="E4303" t="str">
            <v>56046</v>
          </cell>
        </row>
        <row r="4304">
          <cell r="A4304" t="str">
            <v>SAN GIULIANO TERME</v>
          </cell>
          <cell r="B4304" t="str">
            <v>050031</v>
          </cell>
          <cell r="C4304" t="str">
            <v>PI</v>
          </cell>
          <cell r="D4304" t="str">
            <v>PI</v>
          </cell>
          <cell r="E4304" t="str">
            <v>56017</v>
          </cell>
        </row>
        <row r="4305">
          <cell r="A4305" t="str">
            <v>SAN MINIATO</v>
          </cell>
          <cell r="B4305" t="str">
            <v>050032</v>
          </cell>
          <cell r="C4305" t="str">
            <v>PI</v>
          </cell>
          <cell r="D4305" t="str">
            <v>PI</v>
          </cell>
          <cell r="E4305" t="str">
            <v>56028</v>
          </cell>
        </row>
        <row r="4306">
          <cell r="A4306" t="str">
            <v>SANTA CROCE SULL'ARNO</v>
          </cell>
          <cell r="B4306" t="str">
            <v>050033</v>
          </cell>
          <cell r="C4306" t="str">
            <v>PI</v>
          </cell>
          <cell r="D4306" t="str">
            <v>PI</v>
          </cell>
          <cell r="E4306" t="str">
            <v>56029</v>
          </cell>
        </row>
        <row r="4307">
          <cell r="A4307" t="str">
            <v>SANTA LUCE</v>
          </cell>
          <cell r="B4307" t="str">
            <v>050034</v>
          </cell>
          <cell r="C4307" t="str">
            <v>PI</v>
          </cell>
          <cell r="D4307" t="str">
            <v>PI</v>
          </cell>
          <cell r="E4307" t="str">
            <v>56040</v>
          </cell>
        </row>
        <row r="4308">
          <cell r="A4308" t="str">
            <v>SANTA MARIA A MONTE</v>
          </cell>
          <cell r="B4308" t="str">
            <v>050035</v>
          </cell>
          <cell r="C4308" t="str">
            <v>PI</v>
          </cell>
          <cell r="D4308" t="str">
            <v>PI</v>
          </cell>
          <cell r="E4308" t="str">
            <v>56020</v>
          </cell>
        </row>
        <row r="4309">
          <cell r="A4309" t="str">
            <v>TERRICCIOLA</v>
          </cell>
          <cell r="B4309" t="str">
            <v>050036</v>
          </cell>
          <cell r="C4309" t="str">
            <v>PI</v>
          </cell>
          <cell r="D4309" t="str">
            <v>PI</v>
          </cell>
          <cell r="E4309" t="str">
            <v>56030</v>
          </cell>
        </row>
        <row r="4310">
          <cell r="A4310" t="str">
            <v>VECCHIANO</v>
          </cell>
          <cell r="B4310" t="str">
            <v>050037</v>
          </cell>
          <cell r="C4310" t="str">
            <v>PI</v>
          </cell>
          <cell r="D4310" t="str">
            <v>PI</v>
          </cell>
          <cell r="E4310" t="str">
            <v>56019</v>
          </cell>
        </row>
        <row r="4311">
          <cell r="A4311" t="str">
            <v>VICOPISANO</v>
          </cell>
          <cell r="B4311" t="str">
            <v>050038</v>
          </cell>
          <cell r="C4311" t="str">
            <v>PI</v>
          </cell>
          <cell r="D4311" t="str">
            <v>PI</v>
          </cell>
          <cell r="E4311" t="str">
            <v>56010</v>
          </cell>
        </row>
        <row r="4312">
          <cell r="A4312" t="str">
            <v>VOLTERRA</v>
          </cell>
          <cell r="B4312" t="str">
            <v>050039</v>
          </cell>
          <cell r="C4312" t="str">
            <v>PI</v>
          </cell>
          <cell r="D4312" t="str">
            <v>PI</v>
          </cell>
          <cell r="E4312" t="str">
            <v>56048</v>
          </cell>
        </row>
        <row r="4313">
          <cell r="A4313" t="str">
            <v>CASCIANA TERME LARI</v>
          </cell>
          <cell r="B4313" t="str">
            <v>050040</v>
          </cell>
          <cell r="C4313" t="str">
            <v>PI</v>
          </cell>
          <cell r="D4313" t="e">
            <v>#N/A</v>
          </cell>
          <cell r="E4313" t="e">
            <v>#N/A</v>
          </cell>
        </row>
        <row r="4314">
          <cell r="A4314" t="str">
            <v>CRESPINA LORENZANA</v>
          </cell>
          <cell r="B4314" t="str">
            <v>050041</v>
          </cell>
          <cell r="C4314" t="str">
            <v>PI</v>
          </cell>
          <cell r="D4314" t="e">
            <v>#N/A</v>
          </cell>
          <cell r="E4314" t="e">
            <v>#N/A</v>
          </cell>
        </row>
        <row r="4315">
          <cell r="A4315" t="str">
            <v>ANGHIARI</v>
          </cell>
          <cell r="B4315" t="str">
            <v>051001</v>
          </cell>
          <cell r="C4315" t="str">
            <v>AR</v>
          </cell>
          <cell r="D4315" t="str">
            <v>AR</v>
          </cell>
          <cell r="E4315" t="str">
            <v>52031</v>
          </cell>
        </row>
        <row r="4316">
          <cell r="A4316" t="str">
            <v>AREZZO</v>
          </cell>
          <cell r="B4316" t="str">
            <v>051002</v>
          </cell>
          <cell r="C4316" t="str">
            <v>AR</v>
          </cell>
          <cell r="D4316" t="str">
            <v>AR</v>
          </cell>
          <cell r="E4316" t="str">
            <v>52100</v>
          </cell>
        </row>
        <row r="4317">
          <cell r="A4317" t="str">
            <v>BADIA TEDALDA</v>
          </cell>
          <cell r="B4317" t="str">
            <v>051003</v>
          </cell>
          <cell r="C4317" t="str">
            <v>AR</v>
          </cell>
          <cell r="D4317" t="str">
            <v>AR</v>
          </cell>
          <cell r="E4317" t="str">
            <v>52032</v>
          </cell>
        </row>
        <row r="4318">
          <cell r="A4318" t="str">
            <v>BIBBIENA</v>
          </cell>
          <cell r="B4318" t="str">
            <v>051004</v>
          </cell>
          <cell r="C4318" t="str">
            <v>AR</v>
          </cell>
          <cell r="D4318" t="str">
            <v>AR</v>
          </cell>
          <cell r="E4318" t="str">
            <v>52011</v>
          </cell>
        </row>
        <row r="4319">
          <cell r="A4319" t="str">
            <v>BUCINE</v>
          </cell>
          <cell r="B4319" t="str">
            <v>051005</v>
          </cell>
          <cell r="C4319" t="str">
            <v>AR</v>
          </cell>
          <cell r="D4319" t="str">
            <v>AR</v>
          </cell>
          <cell r="E4319" t="str">
            <v>52021</v>
          </cell>
        </row>
        <row r="4320">
          <cell r="A4320" t="str">
            <v>CAPOLONA</v>
          </cell>
          <cell r="B4320" t="str">
            <v>051006</v>
          </cell>
          <cell r="C4320" t="str">
            <v>AR</v>
          </cell>
          <cell r="D4320" t="str">
            <v>AR</v>
          </cell>
          <cell r="E4320" t="str">
            <v>52010</v>
          </cell>
        </row>
        <row r="4321">
          <cell r="A4321" t="str">
            <v>CAPRESE MICHELANGELO</v>
          </cell>
          <cell r="B4321" t="str">
            <v>051007</v>
          </cell>
          <cell r="C4321" t="str">
            <v>AR</v>
          </cell>
          <cell r="D4321" t="str">
            <v>AR</v>
          </cell>
          <cell r="E4321" t="str">
            <v>52033</v>
          </cell>
        </row>
        <row r="4322">
          <cell r="A4322" t="str">
            <v>CASTEL FOCOGNANO</v>
          </cell>
          <cell r="B4322" t="str">
            <v>051008</v>
          </cell>
          <cell r="C4322" t="str">
            <v>AR</v>
          </cell>
          <cell r="D4322" t="str">
            <v>AR</v>
          </cell>
          <cell r="E4322" t="str">
            <v>52016</v>
          </cell>
        </row>
        <row r="4323">
          <cell r="A4323" t="str">
            <v>CASTEL SAN NICCOLÒ</v>
          </cell>
          <cell r="B4323" t="str">
            <v>051010</v>
          </cell>
          <cell r="C4323" t="str">
            <v>AR</v>
          </cell>
          <cell r="D4323" t="str">
            <v>AR</v>
          </cell>
          <cell r="E4323" t="str">
            <v>52018</v>
          </cell>
        </row>
        <row r="4324">
          <cell r="A4324" t="str">
            <v>CASTIGLION FIBOCCHI</v>
          </cell>
          <cell r="B4324" t="str">
            <v>051011</v>
          </cell>
          <cell r="C4324" t="str">
            <v>AR</v>
          </cell>
          <cell r="D4324" t="str">
            <v>AR</v>
          </cell>
          <cell r="E4324" t="str">
            <v>52029</v>
          </cell>
        </row>
        <row r="4325">
          <cell r="A4325" t="str">
            <v>CASTIGLION FIORENTINO</v>
          </cell>
          <cell r="B4325" t="str">
            <v>051012</v>
          </cell>
          <cell r="C4325" t="str">
            <v>AR</v>
          </cell>
          <cell r="D4325" t="str">
            <v>AR</v>
          </cell>
          <cell r="E4325" t="str">
            <v>52043</v>
          </cell>
        </row>
        <row r="4326">
          <cell r="A4326" t="str">
            <v>CAVRIGLIA</v>
          </cell>
          <cell r="B4326" t="str">
            <v>051013</v>
          </cell>
          <cell r="C4326" t="str">
            <v>AR</v>
          </cell>
          <cell r="D4326" t="str">
            <v>AR</v>
          </cell>
          <cell r="E4326" t="str">
            <v>52022</v>
          </cell>
        </row>
        <row r="4327">
          <cell r="A4327" t="str">
            <v>CHITIGNANO</v>
          </cell>
          <cell r="B4327" t="str">
            <v>051014</v>
          </cell>
          <cell r="C4327" t="str">
            <v>AR</v>
          </cell>
          <cell r="D4327" t="str">
            <v>AR</v>
          </cell>
          <cell r="E4327" t="str">
            <v>52010</v>
          </cell>
        </row>
        <row r="4328">
          <cell r="A4328" t="str">
            <v>CHIUSI DELLA VERNA</v>
          </cell>
          <cell r="B4328" t="str">
            <v>051015</v>
          </cell>
          <cell r="C4328" t="str">
            <v>AR</v>
          </cell>
          <cell r="D4328" t="str">
            <v>AR</v>
          </cell>
          <cell r="E4328" t="str">
            <v>52010</v>
          </cell>
        </row>
        <row r="4329">
          <cell r="A4329" t="str">
            <v>CIVITELLA IN VAL DI CHIANA</v>
          </cell>
          <cell r="B4329" t="str">
            <v>051016</v>
          </cell>
          <cell r="C4329" t="str">
            <v>AR</v>
          </cell>
          <cell r="D4329" t="str">
            <v>AR</v>
          </cell>
          <cell r="E4329" t="str">
            <v>52041</v>
          </cell>
        </row>
        <row r="4330">
          <cell r="A4330" t="str">
            <v>CORTONA</v>
          </cell>
          <cell r="B4330" t="str">
            <v>051017</v>
          </cell>
          <cell r="C4330" t="str">
            <v>AR</v>
          </cell>
          <cell r="D4330" t="str">
            <v>AR</v>
          </cell>
          <cell r="E4330" t="str">
            <v>52044</v>
          </cell>
        </row>
        <row r="4331">
          <cell r="A4331" t="str">
            <v>FOIANO DELLA CHIANA</v>
          </cell>
          <cell r="B4331" t="str">
            <v>051018</v>
          </cell>
          <cell r="C4331" t="str">
            <v>AR</v>
          </cell>
          <cell r="D4331" t="str">
            <v>AR</v>
          </cell>
          <cell r="E4331" t="str">
            <v>52045</v>
          </cell>
        </row>
        <row r="4332">
          <cell r="A4332" t="str">
            <v>LORO CIUFFENNA</v>
          </cell>
          <cell r="B4332" t="str">
            <v>051020</v>
          </cell>
          <cell r="C4332" t="str">
            <v>AR</v>
          </cell>
          <cell r="D4332" t="str">
            <v>AR</v>
          </cell>
          <cell r="E4332" t="str">
            <v>52024</v>
          </cell>
        </row>
        <row r="4333">
          <cell r="A4333" t="str">
            <v>LUCIGNANO</v>
          </cell>
          <cell r="B4333" t="str">
            <v>051021</v>
          </cell>
          <cell r="C4333" t="str">
            <v>AR</v>
          </cell>
          <cell r="D4333" t="str">
            <v>AR</v>
          </cell>
          <cell r="E4333" t="str">
            <v>52046</v>
          </cell>
        </row>
        <row r="4334">
          <cell r="A4334" t="str">
            <v>MARCIANO DELLA CHIANA</v>
          </cell>
          <cell r="B4334" t="str">
            <v>051022</v>
          </cell>
          <cell r="C4334" t="str">
            <v>AR</v>
          </cell>
          <cell r="D4334" t="str">
            <v>AR</v>
          </cell>
          <cell r="E4334" t="str">
            <v>52047</v>
          </cell>
        </row>
        <row r="4335">
          <cell r="A4335" t="str">
            <v>MONTEMIGNAIO</v>
          </cell>
          <cell r="B4335" t="str">
            <v>051023</v>
          </cell>
          <cell r="C4335" t="str">
            <v>AR</v>
          </cell>
          <cell r="D4335" t="str">
            <v>AR</v>
          </cell>
          <cell r="E4335" t="str">
            <v>52010</v>
          </cell>
        </row>
        <row r="4336">
          <cell r="A4336" t="str">
            <v>MONTERCHI</v>
          </cell>
          <cell r="B4336" t="str">
            <v>051024</v>
          </cell>
          <cell r="C4336" t="str">
            <v>AR</v>
          </cell>
          <cell r="D4336" t="str">
            <v>AR</v>
          </cell>
          <cell r="E4336" t="str">
            <v>52035</v>
          </cell>
        </row>
        <row r="4337">
          <cell r="A4337" t="str">
            <v>MONTE SAN SAVINO</v>
          </cell>
          <cell r="B4337" t="str">
            <v>051025</v>
          </cell>
          <cell r="C4337" t="str">
            <v>AR</v>
          </cell>
          <cell r="D4337" t="str">
            <v>AR</v>
          </cell>
          <cell r="E4337" t="str">
            <v>52048</v>
          </cell>
        </row>
        <row r="4338">
          <cell r="A4338" t="str">
            <v>MONTEVARCHI</v>
          </cell>
          <cell r="B4338" t="str">
            <v>051026</v>
          </cell>
          <cell r="C4338" t="str">
            <v>AR</v>
          </cell>
          <cell r="D4338" t="str">
            <v>AR</v>
          </cell>
          <cell r="E4338" t="str">
            <v>52025</v>
          </cell>
        </row>
        <row r="4339">
          <cell r="A4339" t="str">
            <v>ORTIGNANO RAGGIOLO</v>
          </cell>
          <cell r="B4339" t="str">
            <v>051027</v>
          </cell>
          <cell r="C4339" t="str">
            <v>AR</v>
          </cell>
          <cell r="D4339" t="str">
            <v>AR</v>
          </cell>
          <cell r="E4339" t="str">
            <v>52010</v>
          </cell>
        </row>
        <row r="4340">
          <cell r="A4340" t="str">
            <v>PIEVE SANTO STEFANO</v>
          </cell>
          <cell r="B4340" t="str">
            <v>051030</v>
          </cell>
          <cell r="C4340" t="str">
            <v>AR</v>
          </cell>
          <cell r="D4340" t="str">
            <v>AR</v>
          </cell>
          <cell r="E4340" t="str">
            <v>52036</v>
          </cell>
        </row>
        <row r="4341">
          <cell r="A4341" t="str">
            <v>POPPI</v>
          </cell>
          <cell r="B4341" t="str">
            <v>051031</v>
          </cell>
          <cell r="C4341" t="str">
            <v>AR</v>
          </cell>
          <cell r="D4341" t="str">
            <v>AR</v>
          </cell>
          <cell r="E4341" t="str">
            <v>52014</v>
          </cell>
        </row>
        <row r="4342">
          <cell r="A4342" t="str">
            <v>SAN GIOVANNI VALDARNO</v>
          </cell>
          <cell r="B4342" t="str">
            <v>051033</v>
          </cell>
          <cell r="C4342" t="str">
            <v>AR</v>
          </cell>
          <cell r="D4342" t="str">
            <v>AR</v>
          </cell>
          <cell r="E4342" t="str">
            <v>52027</v>
          </cell>
        </row>
        <row r="4343">
          <cell r="A4343" t="str">
            <v>SANSEPOLCRO</v>
          </cell>
          <cell r="B4343" t="str">
            <v>051034</v>
          </cell>
          <cell r="C4343" t="str">
            <v>AR</v>
          </cell>
          <cell r="D4343" t="str">
            <v>AR</v>
          </cell>
          <cell r="E4343" t="str">
            <v>52037</v>
          </cell>
        </row>
        <row r="4344">
          <cell r="A4344" t="str">
            <v>SESTINO</v>
          </cell>
          <cell r="B4344" t="str">
            <v>051035</v>
          </cell>
          <cell r="C4344" t="str">
            <v>AR</v>
          </cell>
          <cell r="D4344" t="str">
            <v>AR</v>
          </cell>
          <cell r="E4344" t="str">
            <v>52038</v>
          </cell>
        </row>
        <row r="4345">
          <cell r="A4345" t="str">
            <v>SUBBIANO</v>
          </cell>
          <cell r="B4345" t="str">
            <v>051037</v>
          </cell>
          <cell r="C4345" t="str">
            <v>AR</v>
          </cell>
          <cell r="D4345" t="str">
            <v>AR</v>
          </cell>
          <cell r="E4345" t="str">
            <v>52010</v>
          </cell>
        </row>
        <row r="4346">
          <cell r="A4346" t="str">
            <v>TALLA</v>
          </cell>
          <cell r="B4346" t="str">
            <v>051038</v>
          </cell>
          <cell r="C4346" t="str">
            <v>AR</v>
          </cell>
          <cell r="D4346" t="str">
            <v>AR</v>
          </cell>
          <cell r="E4346" t="str">
            <v>52010</v>
          </cell>
        </row>
        <row r="4347">
          <cell r="A4347" t="str">
            <v>TERRANUOVA BRACCIOLINI</v>
          </cell>
          <cell r="B4347" t="str">
            <v>051039</v>
          </cell>
          <cell r="C4347" t="str">
            <v>AR</v>
          </cell>
          <cell r="D4347" t="str">
            <v>AR</v>
          </cell>
          <cell r="E4347" t="str">
            <v>52028</v>
          </cell>
        </row>
        <row r="4348">
          <cell r="A4348" t="str">
            <v>CASTELFRANCO PIANDISCÒ</v>
          </cell>
          <cell r="B4348" t="str">
            <v>051040</v>
          </cell>
          <cell r="C4348" t="str">
            <v>AR</v>
          </cell>
          <cell r="D4348" t="e">
            <v>#N/A</v>
          </cell>
          <cell r="E4348" t="e">
            <v>#N/A</v>
          </cell>
        </row>
        <row r="4349">
          <cell r="A4349" t="str">
            <v>PRATOVECCHIO STIA</v>
          </cell>
          <cell r="B4349" t="str">
            <v>051041</v>
          </cell>
          <cell r="C4349" t="str">
            <v>AR</v>
          </cell>
          <cell r="D4349" t="e">
            <v>#N/A</v>
          </cell>
          <cell r="E4349" t="e">
            <v>#N/A</v>
          </cell>
        </row>
        <row r="4350">
          <cell r="A4350" t="str">
            <v>LATERINA PERGINE VALDARNO</v>
          </cell>
          <cell r="B4350" t="str">
            <v>051042</v>
          </cell>
          <cell r="C4350" t="str">
            <v>AR</v>
          </cell>
          <cell r="D4350" t="e">
            <v>#N/A</v>
          </cell>
          <cell r="E4350" t="e">
            <v>#N/A</v>
          </cell>
        </row>
        <row r="4351">
          <cell r="A4351" t="str">
            <v>ABBADIA SAN SALVATORE</v>
          </cell>
          <cell r="B4351" t="str">
            <v>052001</v>
          </cell>
          <cell r="C4351" t="str">
            <v>SI</v>
          </cell>
          <cell r="D4351" t="str">
            <v>SI</v>
          </cell>
          <cell r="E4351" t="str">
            <v>53021</v>
          </cell>
        </row>
        <row r="4352">
          <cell r="A4352" t="str">
            <v>ASCIANO</v>
          </cell>
          <cell r="B4352" t="str">
            <v>052002</v>
          </cell>
          <cell r="C4352" t="str">
            <v>SI</v>
          </cell>
          <cell r="D4352" t="str">
            <v>SI</v>
          </cell>
          <cell r="E4352" t="str">
            <v>53041</v>
          </cell>
        </row>
        <row r="4353">
          <cell r="A4353" t="str">
            <v>BUONCONVENTO</v>
          </cell>
          <cell r="B4353" t="str">
            <v>052003</v>
          </cell>
          <cell r="C4353" t="str">
            <v>SI</v>
          </cell>
          <cell r="D4353" t="str">
            <v>SI</v>
          </cell>
          <cell r="E4353" t="str">
            <v>53022</v>
          </cell>
        </row>
        <row r="4354">
          <cell r="A4354" t="str">
            <v>CASOLE D'ELSA</v>
          </cell>
          <cell r="B4354" t="str">
            <v>052004</v>
          </cell>
          <cell r="C4354" t="str">
            <v>SI</v>
          </cell>
          <cell r="D4354" t="str">
            <v>SI</v>
          </cell>
          <cell r="E4354" t="str">
            <v>53031</v>
          </cell>
        </row>
        <row r="4355">
          <cell r="A4355" t="str">
            <v>CASTELLINA IN CHIANTI</v>
          </cell>
          <cell r="B4355" t="str">
            <v>052005</v>
          </cell>
          <cell r="C4355" t="str">
            <v>SI</v>
          </cell>
          <cell r="D4355" t="str">
            <v>SI</v>
          </cell>
          <cell r="E4355" t="str">
            <v>53011</v>
          </cell>
        </row>
        <row r="4356">
          <cell r="A4356" t="str">
            <v>CASTELNUOVO BERARDENGA</v>
          </cell>
          <cell r="B4356" t="str">
            <v>052006</v>
          </cell>
          <cell r="C4356" t="str">
            <v>SI</v>
          </cell>
          <cell r="D4356" t="str">
            <v>SI</v>
          </cell>
          <cell r="E4356" t="str">
            <v>53019</v>
          </cell>
        </row>
        <row r="4357">
          <cell r="A4357" t="str">
            <v>CASTIGLIONE D'ORCIA</v>
          </cell>
          <cell r="B4357" t="str">
            <v>052007</v>
          </cell>
          <cell r="C4357" t="str">
            <v>SI</v>
          </cell>
          <cell r="D4357" t="str">
            <v>SI</v>
          </cell>
          <cell r="E4357" t="str">
            <v>53023</v>
          </cell>
        </row>
        <row r="4358">
          <cell r="A4358" t="str">
            <v>CETONA</v>
          </cell>
          <cell r="B4358" t="str">
            <v>052008</v>
          </cell>
          <cell r="C4358" t="str">
            <v>SI</v>
          </cell>
          <cell r="D4358" t="str">
            <v>SI</v>
          </cell>
          <cell r="E4358" t="str">
            <v>53040</v>
          </cell>
        </row>
        <row r="4359">
          <cell r="A4359" t="str">
            <v>CHIANCIANO TERME</v>
          </cell>
          <cell r="B4359" t="str">
            <v>052009</v>
          </cell>
          <cell r="C4359" t="str">
            <v>SI</v>
          </cell>
          <cell r="D4359" t="str">
            <v>SI</v>
          </cell>
          <cell r="E4359" t="str">
            <v>53042</v>
          </cell>
        </row>
        <row r="4360">
          <cell r="A4360" t="str">
            <v>CHIUSDINO</v>
          </cell>
          <cell r="B4360" t="str">
            <v>052010</v>
          </cell>
          <cell r="C4360" t="str">
            <v>SI</v>
          </cell>
          <cell r="D4360" t="str">
            <v>SI</v>
          </cell>
          <cell r="E4360" t="str">
            <v>53012</v>
          </cell>
        </row>
        <row r="4361">
          <cell r="A4361" t="str">
            <v>CHIUSI</v>
          </cell>
          <cell r="B4361" t="str">
            <v>052011</v>
          </cell>
          <cell r="C4361" t="str">
            <v>SI</v>
          </cell>
          <cell r="D4361" t="str">
            <v>SI</v>
          </cell>
          <cell r="E4361" t="str">
            <v>53043</v>
          </cell>
        </row>
        <row r="4362">
          <cell r="A4362" t="str">
            <v>COLLE DI VAL D'ELSA</v>
          </cell>
          <cell r="B4362" t="str">
            <v>052012</v>
          </cell>
          <cell r="C4362" t="str">
            <v>SI</v>
          </cell>
          <cell r="D4362" t="str">
            <v>SI</v>
          </cell>
          <cell r="E4362" t="str">
            <v>53034</v>
          </cell>
        </row>
        <row r="4363">
          <cell r="A4363" t="str">
            <v>GAIOLE IN CHIANTI</v>
          </cell>
          <cell r="B4363" t="str">
            <v>052013</v>
          </cell>
          <cell r="C4363" t="str">
            <v>SI</v>
          </cell>
          <cell r="D4363" t="str">
            <v>SI</v>
          </cell>
          <cell r="E4363" t="str">
            <v>53013</v>
          </cell>
        </row>
        <row r="4364">
          <cell r="A4364" t="str">
            <v>MONTEPULCIANO</v>
          </cell>
          <cell r="B4364" t="str">
            <v>052015</v>
          </cell>
          <cell r="C4364" t="str">
            <v>SI</v>
          </cell>
          <cell r="D4364" t="str">
            <v>SI</v>
          </cell>
          <cell r="E4364" t="str">
            <v>53045</v>
          </cell>
        </row>
        <row r="4365">
          <cell r="A4365" t="str">
            <v>MONTERIGGIONI</v>
          </cell>
          <cell r="B4365" t="str">
            <v>052016</v>
          </cell>
          <cell r="C4365" t="str">
            <v>SI</v>
          </cell>
          <cell r="D4365" t="str">
            <v>SI</v>
          </cell>
          <cell r="E4365" t="str">
            <v>53035</v>
          </cell>
        </row>
        <row r="4366">
          <cell r="A4366" t="str">
            <v>MONTERONI D'ARBIA</v>
          </cell>
          <cell r="B4366" t="str">
            <v>052017</v>
          </cell>
          <cell r="C4366" t="str">
            <v>SI</v>
          </cell>
          <cell r="D4366" t="str">
            <v>SI</v>
          </cell>
          <cell r="E4366" t="str">
            <v>53014</v>
          </cell>
        </row>
        <row r="4367">
          <cell r="A4367" t="str">
            <v>MONTICIANO</v>
          </cell>
          <cell r="B4367" t="str">
            <v>052018</v>
          </cell>
          <cell r="C4367" t="str">
            <v>SI</v>
          </cell>
          <cell r="D4367" t="str">
            <v>SI</v>
          </cell>
          <cell r="E4367" t="str">
            <v>53015</v>
          </cell>
        </row>
        <row r="4368">
          <cell r="A4368" t="str">
            <v>MURLO</v>
          </cell>
          <cell r="B4368" t="str">
            <v>052019</v>
          </cell>
          <cell r="C4368" t="str">
            <v>SI</v>
          </cell>
          <cell r="D4368" t="str">
            <v>SI</v>
          </cell>
          <cell r="E4368" t="str">
            <v>53016</v>
          </cell>
        </row>
        <row r="4369">
          <cell r="A4369" t="str">
            <v>PIANCASTAGNAIO</v>
          </cell>
          <cell r="B4369" t="str">
            <v>052020</v>
          </cell>
          <cell r="C4369" t="str">
            <v>SI</v>
          </cell>
          <cell r="D4369" t="str">
            <v>SI</v>
          </cell>
          <cell r="E4369" t="str">
            <v>53025</v>
          </cell>
        </row>
        <row r="4370">
          <cell r="A4370" t="str">
            <v>PIENZA</v>
          </cell>
          <cell r="B4370" t="str">
            <v>052021</v>
          </cell>
          <cell r="C4370" t="str">
            <v>SI</v>
          </cell>
          <cell r="D4370" t="str">
            <v>SI</v>
          </cell>
          <cell r="E4370" t="str">
            <v>53026</v>
          </cell>
        </row>
        <row r="4371">
          <cell r="A4371" t="str">
            <v>POGGIBONSI</v>
          </cell>
          <cell r="B4371" t="str">
            <v>052022</v>
          </cell>
          <cell r="C4371" t="str">
            <v>SI</v>
          </cell>
          <cell r="D4371" t="str">
            <v>SI</v>
          </cell>
          <cell r="E4371" t="str">
            <v>53036</v>
          </cell>
        </row>
        <row r="4372">
          <cell r="A4372" t="str">
            <v>RADDA IN CHIANTI</v>
          </cell>
          <cell r="B4372" t="str">
            <v>052023</v>
          </cell>
          <cell r="C4372" t="str">
            <v>SI</v>
          </cell>
          <cell r="D4372" t="str">
            <v>SI</v>
          </cell>
          <cell r="E4372" t="str">
            <v>53017</v>
          </cell>
        </row>
        <row r="4373">
          <cell r="A4373" t="str">
            <v>RADICOFANI</v>
          </cell>
          <cell r="B4373" t="str">
            <v>052024</v>
          </cell>
          <cell r="C4373" t="str">
            <v>SI</v>
          </cell>
          <cell r="D4373" t="str">
            <v>SI</v>
          </cell>
          <cell r="E4373" t="str">
            <v>53040</v>
          </cell>
        </row>
        <row r="4374">
          <cell r="A4374" t="str">
            <v>RADICONDOLI</v>
          </cell>
          <cell r="B4374" t="str">
            <v>052025</v>
          </cell>
          <cell r="C4374" t="str">
            <v>SI</v>
          </cell>
          <cell r="D4374" t="str">
            <v>SI</v>
          </cell>
          <cell r="E4374" t="str">
            <v>53030</v>
          </cell>
        </row>
        <row r="4375">
          <cell r="A4375" t="str">
            <v>RAPOLANO TERME</v>
          </cell>
          <cell r="B4375" t="str">
            <v>052026</v>
          </cell>
          <cell r="C4375" t="str">
            <v>SI</v>
          </cell>
          <cell r="D4375" t="str">
            <v>SI</v>
          </cell>
          <cell r="E4375" t="str">
            <v>53040</v>
          </cell>
        </row>
        <row r="4376">
          <cell r="A4376" t="str">
            <v>SAN CASCIANO DEI BAGNI</v>
          </cell>
          <cell r="B4376" t="str">
            <v>052027</v>
          </cell>
          <cell r="C4376" t="str">
            <v>SI</v>
          </cell>
          <cell r="D4376" t="str">
            <v>SI</v>
          </cell>
          <cell r="E4376" t="str">
            <v>53040</v>
          </cell>
        </row>
        <row r="4377">
          <cell r="A4377" t="str">
            <v>SAN GIMIGNANO</v>
          </cell>
          <cell r="B4377" t="str">
            <v>052028</v>
          </cell>
          <cell r="C4377" t="str">
            <v>SI</v>
          </cell>
          <cell r="D4377" t="str">
            <v>SI</v>
          </cell>
          <cell r="E4377" t="str">
            <v>53037</v>
          </cell>
        </row>
        <row r="4378">
          <cell r="A4378" t="str">
            <v>SAN QUIRICO D'ORCIA</v>
          </cell>
          <cell r="B4378" t="str">
            <v>052030</v>
          </cell>
          <cell r="C4378" t="str">
            <v>SI</v>
          </cell>
          <cell r="D4378" t="str">
            <v>SI</v>
          </cell>
          <cell r="E4378" t="str">
            <v>53027</v>
          </cell>
        </row>
        <row r="4379">
          <cell r="A4379" t="str">
            <v>SARTEANO</v>
          </cell>
          <cell r="B4379" t="str">
            <v>052031</v>
          </cell>
          <cell r="C4379" t="str">
            <v>SI</v>
          </cell>
          <cell r="D4379" t="str">
            <v>SI</v>
          </cell>
          <cell r="E4379" t="str">
            <v>53047</v>
          </cell>
        </row>
        <row r="4380">
          <cell r="A4380" t="str">
            <v>SIENA</v>
          </cell>
          <cell r="B4380" t="str">
            <v>052032</v>
          </cell>
          <cell r="C4380" t="str">
            <v>SI</v>
          </cell>
          <cell r="D4380" t="str">
            <v>SI</v>
          </cell>
          <cell r="E4380" t="str">
            <v>53100</v>
          </cell>
        </row>
        <row r="4381">
          <cell r="A4381" t="str">
            <v>SINALUNGA</v>
          </cell>
          <cell r="B4381" t="str">
            <v>052033</v>
          </cell>
          <cell r="C4381" t="str">
            <v>SI</v>
          </cell>
          <cell r="D4381" t="str">
            <v>SI</v>
          </cell>
          <cell r="E4381" t="str">
            <v>53048</v>
          </cell>
        </row>
        <row r="4382">
          <cell r="A4382" t="str">
            <v>SOVICILLE</v>
          </cell>
          <cell r="B4382" t="str">
            <v>052034</v>
          </cell>
          <cell r="C4382" t="str">
            <v>SI</v>
          </cell>
          <cell r="D4382" t="str">
            <v>SI</v>
          </cell>
          <cell r="E4382" t="str">
            <v>53018</v>
          </cell>
        </row>
        <row r="4383">
          <cell r="A4383" t="str">
            <v>TORRITA DI SIENA</v>
          </cell>
          <cell r="B4383" t="str">
            <v>052035</v>
          </cell>
          <cell r="C4383" t="str">
            <v>SI</v>
          </cell>
          <cell r="D4383" t="str">
            <v>SI</v>
          </cell>
          <cell r="E4383" t="str">
            <v>53049</v>
          </cell>
        </row>
        <row r="4384">
          <cell r="A4384" t="str">
            <v>TREQUANDA</v>
          </cell>
          <cell r="B4384" t="str">
            <v>052036</v>
          </cell>
          <cell r="C4384" t="str">
            <v>SI</v>
          </cell>
          <cell r="D4384" t="str">
            <v>SI</v>
          </cell>
          <cell r="E4384" t="str">
            <v>53020</v>
          </cell>
        </row>
        <row r="4385">
          <cell r="A4385" t="str">
            <v>MONTALCINO</v>
          </cell>
          <cell r="B4385" t="str">
            <v>052037</v>
          </cell>
          <cell r="C4385" t="str">
            <v>SI</v>
          </cell>
          <cell r="D4385" t="str">
            <v>SI</v>
          </cell>
          <cell r="E4385" t="str">
            <v>53024</v>
          </cell>
        </row>
        <row r="4386">
          <cell r="A4386" t="str">
            <v>ARCIDOSSO</v>
          </cell>
          <cell r="B4386" t="str">
            <v>053001</v>
          </cell>
          <cell r="C4386" t="str">
            <v>GR</v>
          </cell>
          <cell r="D4386" t="str">
            <v>GR</v>
          </cell>
          <cell r="E4386" t="str">
            <v>58031</v>
          </cell>
        </row>
        <row r="4387">
          <cell r="A4387" t="str">
            <v>CAMPAGNATICO</v>
          </cell>
          <cell r="B4387" t="str">
            <v>053002</v>
          </cell>
          <cell r="C4387" t="str">
            <v>GR</v>
          </cell>
          <cell r="D4387" t="str">
            <v>GR</v>
          </cell>
          <cell r="E4387" t="str">
            <v>58042</v>
          </cell>
        </row>
        <row r="4388">
          <cell r="A4388" t="str">
            <v>CAPALBIO</v>
          </cell>
          <cell r="B4388" t="str">
            <v>053003</v>
          </cell>
          <cell r="C4388" t="str">
            <v>GR</v>
          </cell>
          <cell r="D4388" t="str">
            <v>GR</v>
          </cell>
          <cell r="E4388" t="str">
            <v>58011</v>
          </cell>
        </row>
        <row r="4389">
          <cell r="A4389" t="str">
            <v>CASTEL DEL PIANO</v>
          </cell>
          <cell r="B4389" t="str">
            <v>053004</v>
          </cell>
          <cell r="C4389" t="str">
            <v>GR</v>
          </cell>
          <cell r="D4389" t="str">
            <v>GR</v>
          </cell>
          <cell r="E4389" t="str">
            <v>58033</v>
          </cell>
        </row>
        <row r="4390">
          <cell r="A4390" t="str">
            <v>CASTELL'AZZARA</v>
          </cell>
          <cell r="B4390" t="str">
            <v>053005</v>
          </cell>
          <cell r="C4390" t="str">
            <v>GR</v>
          </cell>
          <cell r="D4390" t="str">
            <v>GR</v>
          </cell>
          <cell r="E4390" t="str">
            <v>58034</v>
          </cell>
        </row>
        <row r="4391">
          <cell r="A4391" t="str">
            <v>CASTIGLIONE DELLA PESCAIA</v>
          </cell>
          <cell r="B4391" t="str">
            <v>053006</v>
          </cell>
          <cell r="C4391" t="str">
            <v>GR</v>
          </cell>
          <cell r="D4391" t="str">
            <v>GR</v>
          </cell>
          <cell r="E4391" t="str">
            <v>58043</v>
          </cell>
        </row>
        <row r="4392">
          <cell r="A4392" t="str">
            <v>CINIGIANO</v>
          </cell>
          <cell r="B4392" t="str">
            <v>053007</v>
          </cell>
          <cell r="C4392" t="str">
            <v>GR</v>
          </cell>
          <cell r="D4392" t="str">
            <v>GR</v>
          </cell>
          <cell r="E4392" t="str">
            <v>58044</v>
          </cell>
        </row>
        <row r="4393">
          <cell r="A4393" t="str">
            <v>CIVITELLA PAGANICO</v>
          </cell>
          <cell r="B4393" t="str">
            <v>053008</v>
          </cell>
          <cell r="C4393" t="str">
            <v>GR</v>
          </cell>
          <cell r="D4393" t="str">
            <v>GR</v>
          </cell>
          <cell r="E4393" t="str">
            <v>58045</v>
          </cell>
        </row>
        <row r="4394">
          <cell r="A4394" t="str">
            <v>FOLLONICA</v>
          </cell>
          <cell r="B4394" t="str">
            <v>053009</v>
          </cell>
          <cell r="C4394" t="str">
            <v>GR</v>
          </cell>
          <cell r="D4394" t="str">
            <v>GR</v>
          </cell>
          <cell r="E4394" t="str">
            <v>58022</v>
          </cell>
        </row>
        <row r="4395">
          <cell r="A4395" t="str">
            <v>GAVORRANO</v>
          </cell>
          <cell r="B4395" t="str">
            <v>053010</v>
          </cell>
          <cell r="C4395" t="str">
            <v>GR</v>
          </cell>
          <cell r="D4395" t="str">
            <v>GR</v>
          </cell>
          <cell r="E4395" t="str">
            <v>58023</v>
          </cell>
        </row>
        <row r="4396">
          <cell r="A4396" t="str">
            <v>GROSSETO</v>
          </cell>
          <cell r="B4396" t="str">
            <v>053011</v>
          </cell>
          <cell r="C4396" t="str">
            <v>GR</v>
          </cell>
          <cell r="D4396" t="str">
            <v>GR</v>
          </cell>
          <cell r="E4396" t="str">
            <v>58100</v>
          </cell>
        </row>
        <row r="4397">
          <cell r="A4397" t="str">
            <v>ISOLA DEL GIGLIO</v>
          </cell>
          <cell r="B4397" t="str">
            <v>053012</v>
          </cell>
          <cell r="C4397" t="str">
            <v>GR</v>
          </cell>
          <cell r="D4397" t="str">
            <v>GR</v>
          </cell>
          <cell r="E4397" t="str">
            <v>58012</v>
          </cell>
        </row>
        <row r="4398">
          <cell r="A4398" t="str">
            <v>MAGLIANO IN TOSCANA</v>
          </cell>
          <cell r="B4398" t="str">
            <v>053013</v>
          </cell>
          <cell r="C4398" t="str">
            <v>GR</v>
          </cell>
          <cell r="D4398" t="str">
            <v>GR</v>
          </cell>
          <cell r="E4398" t="str">
            <v>58051</v>
          </cell>
        </row>
        <row r="4399">
          <cell r="A4399" t="str">
            <v>MANCIANO</v>
          </cell>
          <cell r="B4399" t="str">
            <v>053014</v>
          </cell>
          <cell r="C4399" t="str">
            <v>GR</v>
          </cell>
          <cell r="D4399" t="str">
            <v>GR</v>
          </cell>
          <cell r="E4399" t="str">
            <v>58014</v>
          </cell>
        </row>
        <row r="4400">
          <cell r="A4400" t="str">
            <v>MASSA MARITTIMA</v>
          </cell>
          <cell r="B4400" t="str">
            <v>053015</v>
          </cell>
          <cell r="C4400" t="str">
            <v>GR</v>
          </cell>
          <cell r="D4400" t="str">
            <v>GR</v>
          </cell>
          <cell r="E4400" t="str">
            <v>58024</v>
          </cell>
        </row>
        <row r="4401">
          <cell r="A4401" t="str">
            <v>MONTE ARGENTARIO</v>
          </cell>
          <cell r="B4401" t="str">
            <v>053016</v>
          </cell>
          <cell r="C4401" t="str">
            <v>GR</v>
          </cell>
          <cell r="D4401" t="str">
            <v>GR</v>
          </cell>
          <cell r="E4401" t="str">
            <v>58019</v>
          </cell>
        </row>
        <row r="4402">
          <cell r="A4402" t="str">
            <v>MONTIERI</v>
          </cell>
          <cell r="B4402" t="str">
            <v>053017</v>
          </cell>
          <cell r="C4402" t="str">
            <v>GR</v>
          </cell>
          <cell r="D4402" t="str">
            <v>GR</v>
          </cell>
          <cell r="E4402" t="str">
            <v>58026</v>
          </cell>
        </row>
        <row r="4403">
          <cell r="A4403" t="str">
            <v>ORBETELLO</v>
          </cell>
          <cell r="B4403" t="str">
            <v>053018</v>
          </cell>
          <cell r="C4403" t="str">
            <v>GR</v>
          </cell>
          <cell r="D4403" t="str">
            <v>GR</v>
          </cell>
          <cell r="E4403" t="str">
            <v>58015</v>
          </cell>
        </row>
        <row r="4404">
          <cell r="A4404" t="str">
            <v>PITIGLIANO</v>
          </cell>
          <cell r="B4404" t="str">
            <v>053019</v>
          </cell>
          <cell r="C4404" t="str">
            <v>GR</v>
          </cell>
          <cell r="D4404" t="str">
            <v>GR</v>
          </cell>
          <cell r="E4404" t="str">
            <v>58017</v>
          </cell>
        </row>
        <row r="4405">
          <cell r="A4405" t="str">
            <v>ROCCALBEGNA</v>
          </cell>
          <cell r="B4405" t="str">
            <v>053020</v>
          </cell>
          <cell r="C4405" t="str">
            <v>GR</v>
          </cell>
          <cell r="D4405" t="str">
            <v>GR</v>
          </cell>
          <cell r="E4405" t="str">
            <v>58053</v>
          </cell>
        </row>
        <row r="4406">
          <cell r="A4406" t="str">
            <v>ROCCASTRADA</v>
          </cell>
          <cell r="B4406" t="str">
            <v>053021</v>
          </cell>
          <cell r="C4406" t="str">
            <v>GR</v>
          </cell>
          <cell r="D4406" t="str">
            <v>GR</v>
          </cell>
          <cell r="E4406" t="str">
            <v>58036</v>
          </cell>
        </row>
        <row r="4407">
          <cell r="A4407" t="str">
            <v>SANTA FIORA</v>
          </cell>
          <cell r="B4407" t="str">
            <v>053022</v>
          </cell>
          <cell r="C4407" t="str">
            <v>GR</v>
          </cell>
          <cell r="D4407" t="str">
            <v>GR</v>
          </cell>
          <cell r="E4407" t="str">
            <v>58037</v>
          </cell>
        </row>
        <row r="4408">
          <cell r="A4408" t="str">
            <v>SCANSANO</v>
          </cell>
          <cell r="B4408" t="str">
            <v>053023</v>
          </cell>
          <cell r="C4408" t="str">
            <v>GR</v>
          </cell>
          <cell r="D4408" t="str">
            <v>GR</v>
          </cell>
          <cell r="E4408" t="str">
            <v>58054</v>
          </cell>
        </row>
        <row r="4409">
          <cell r="A4409" t="str">
            <v>SCARLINO</v>
          </cell>
          <cell r="B4409" t="str">
            <v>053024</v>
          </cell>
          <cell r="C4409" t="str">
            <v>GR</v>
          </cell>
          <cell r="D4409" t="str">
            <v>GR</v>
          </cell>
          <cell r="E4409" t="str">
            <v>58020</v>
          </cell>
        </row>
        <row r="4410">
          <cell r="A4410" t="str">
            <v>SEGGIANO</v>
          </cell>
          <cell r="B4410" t="str">
            <v>053025</v>
          </cell>
          <cell r="C4410" t="str">
            <v>GR</v>
          </cell>
          <cell r="D4410" t="str">
            <v>GR</v>
          </cell>
          <cell r="E4410" t="str">
            <v>58038</v>
          </cell>
        </row>
        <row r="4411">
          <cell r="A4411" t="str">
            <v>SORANO</v>
          </cell>
          <cell r="B4411" t="str">
            <v>053026</v>
          </cell>
          <cell r="C4411" t="str">
            <v>GR</v>
          </cell>
          <cell r="D4411" t="str">
            <v>GR</v>
          </cell>
          <cell r="E4411" t="str">
            <v>58010</v>
          </cell>
        </row>
        <row r="4412">
          <cell r="A4412" t="str">
            <v>MONTEROTONDO MARITTIMO</v>
          </cell>
          <cell r="B4412" t="str">
            <v>053027</v>
          </cell>
          <cell r="C4412" t="str">
            <v>GR</v>
          </cell>
          <cell r="D4412" t="str">
            <v>GR</v>
          </cell>
          <cell r="E4412" t="str">
            <v>58025</v>
          </cell>
        </row>
        <row r="4413">
          <cell r="A4413" t="str">
            <v>SEMPRONIANO</v>
          </cell>
          <cell r="B4413" t="str">
            <v>053028</v>
          </cell>
          <cell r="C4413" t="str">
            <v>GR</v>
          </cell>
          <cell r="D4413" t="str">
            <v>GR</v>
          </cell>
          <cell r="E4413" t="str">
            <v>58055</v>
          </cell>
        </row>
        <row r="4414">
          <cell r="A4414" t="str">
            <v>ASSISI</v>
          </cell>
          <cell r="B4414" t="str">
            <v>054001</v>
          </cell>
          <cell r="C4414" t="str">
            <v>PG</v>
          </cell>
          <cell r="D4414" t="str">
            <v>PG</v>
          </cell>
          <cell r="E4414" t="str">
            <v>06081</v>
          </cell>
        </row>
        <row r="4415">
          <cell r="A4415" t="str">
            <v>BASTIA UMBRA</v>
          </cell>
          <cell r="B4415" t="str">
            <v>054002</v>
          </cell>
          <cell r="C4415" t="str">
            <v>PG</v>
          </cell>
          <cell r="D4415" t="str">
            <v>PG</v>
          </cell>
          <cell r="E4415" t="str">
            <v>06083</v>
          </cell>
        </row>
        <row r="4416">
          <cell r="A4416" t="str">
            <v>BETTONA</v>
          </cell>
          <cell r="B4416" t="str">
            <v>054003</v>
          </cell>
          <cell r="C4416" t="str">
            <v>PG</v>
          </cell>
          <cell r="D4416" t="str">
            <v>PG</v>
          </cell>
          <cell r="E4416" t="str">
            <v>06084</v>
          </cell>
        </row>
        <row r="4417">
          <cell r="A4417" t="str">
            <v>BEVAGNA</v>
          </cell>
          <cell r="B4417" t="str">
            <v>054004</v>
          </cell>
          <cell r="C4417" t="str">
            <v>PG</v>
          </cell>
          <cell r="D4417" t="str">
            <v>PG</v>
          </cell>
          <cell r="E4417" t="str">
            <v>06031</v>
          </cell>
        </row>
        <row r="4418">
          <cell r="A4418" t="str">
            <v>CAMPELLO SUL CLITUNNO</v>
          </cell>
          <cell r="B4418" t="str">
            <v>054005</v>
          </cell>
          <cell r="C4418" t="str">
            <v>PG</v>
          </cell>
          <cell r="D4418" t="str">
            <v>PG</v>
          </cell>
          <cell r="E4418" t="str">
            <v>06042</v>
          </cell>
        </row>
        <row r="4419">
          <cell r="A4419" t="str">
            <v>CANNARA</v>
          </cell>
          <cell r="B4419" t="str">
            <v>054006</v>
          </cell>
          <cell r="C4419" t="str">
            <v>PG</v>
          </cell>
          <cell r="D4419" t="str">
            <v>PG</v>
          </cell>
          <cell r="E4419" t="str">
            <v>06033</v>
          </cell>
        </row>
        <row r="4420">
          <cell r="A4420" t="str">
            <v>CASCIA</v>
          </cell>
          <cell r="B4420" t="str">
            <v>054007</v>
          </cell>
          <cell r="C4420" t="str">
            <v>PG</v>
          </cell>
          <cell r="D4420" t="str">
            <v>PG</v>
          </cell>
          <cell r="E4420" t="str">
            <v>06043</v>
          </cell>
        </row>
        <row r="4421">
          <cell r="A4421" t="str">
            <v>CASTEL RITALDI</v>
          </cell>
          <cell r="B4421" t="str">
            <v>054008</v>
          </cell>
          <cell r="C4421" t="str">
            <v>PG</v>
          </cell>
          <cell r="D4421" t="str">
            <v>PG</v>
          </cell>
          <cell r="E4421" t="str">
            <v>06044</v>
          </cell>
        </row>
        <row r="4422">
          <cell r="A4422" t="str">
            <v>CASTIGLIONE DEL LAGO</v>
          </cell>
          <cell r="B4422" t="str">
            <v>054009</v>
          </cell>
          <cell r="C4422" t="str">
            <v>PG</v>
          </cell>
          <cell r="D4422" t="str">
            <v>PG</v>
          </cell>
          <cell r="E4422" t="str">
            <v>06061</v>
          </cell>
        </row>
        <row r="4423">
          <cell r="A4423" t="str">
            <v>CERRETO DI SPOLETO</v>
          </cell>
          <cell r="B4423" t="str">
            <v>054010</v>
          </cell>
          <cell r="C4423" t="str">
            <v>PG</v>
          </cell>
          <cell r="D4423" t="str">
            <v>PG</v>
          </cell>
          <cell r="E4423" t="str">
            <v>06041</v>
          </cell>
        </row>
        <row r="4424">
          <cell r="A4424" t="str">
            <v>CITERNA</v>
          </cell>
          <cell r="B4424" t="str">
            <v>054011</v>
          </cell>
          <cell r="C4424" t="str">
            <v>PG</v>
          </cell>
          <cell r="D4424" t="str">
            <v>PG</v>
          </cell>
          <cell r="E4424" t="str">
            <v>06010</v>
          </cell>
        </row>
        <row r="4425">
          <cell r="A4425" t="str">
            <v>CITTÀ DELLA PIEVE</v>
          </cell>
          <cell r="B4425" t="str">
            <v>054012</v>
          </cell>
          <cell r="C4425" t="str">
            <v>PG</v>
          </cell>
          <cell r="D4425" t="str">
            <v>PG</v>
          </cell>
          <cell r="E4425" t="str">
            <v>06062</v>
          </cell>
        </row>
        <row r="4426">
          <cell r="A4426" t="str">
            <v>CITTÀ DI CASTELLO</v>
          </cell>
          <cell r="B4426" t="str">
            <v>054013</v>
          </cell>
          <cell r="C4426" t="str">
            <v>PG</v>
          </cell>
          <cell r="D4426" t="str">
            <v>PG</v>
          </cell>
          <cell r="E4426" t="str">
            <v>06012</v>
          </cell>
        </row>
        <row r="4427">
          <cell r="A4427" t="str">
            <v>COLLAZZONE</v>
          </cell>
          <cell r="B4427" t="str">
            <v>054014</v>
          </cell>
          <cell r="C4427" t="str">
            <v>PG</v>
          </cell>
          <cell r="D4427" t="str">
            <v>PG</v>
          </cell>
          <cell r="E4427" t="str">
            <v>06050</v>
          </cell>
        </row>
        <row r="4428">
          <cell r="A4428" t="str">
            <v>CORCIANO</v>
          </cell>
          <cell r="B4428" t="str">
            <v>054015</v>
          </cell>
          <cell r="C4428" t="str">
            <v>PG</v>
          </cell>
          <cell r="D4428" t="str">
            <v>PG</v>
          </cell>
          <cell r="E4428" t="str">
            <v>06073</v>
          </cell>
        </row>
        <row r="4429">
          <cell r="A4429" t="str">
            <v>COSTACCIARO</v>
          </cell>
          <cell r="B4429" t="str">
            <v>054016</v>
          </cell>
          <cell r="C4429" t="str">
            <v>PG</v>
          </cell>
          <cell r="D4429" t="str">
            <v>PG</v>
          </cell>
          <cell r="E4429" t="str">
            <v>06021</v>
          </cell>
        </row>
        <row r="4430">
          <cell r="A4430" t="str">
            <v>DERUTA</v>
          </cell>
          <cell r="B4430" t="str">
            <v>054017</v>
          </cell>
          <cell r="C4430" t="str">
            <v>PG</v>
          </cell>
          <cell r="D4430" t="str">
            <v>PG</v>
          </cell>
          <cell r="E4430" t="str">
            <v>06053</v>
          </cell>
        </row>
        <row r="4431">
          <cell r="A4431" t="str">
            <v>FOLIGNO</v>
          </cell>
          <cell r="B4431" t="str">
            <v>054018</v>
          </cell>
          <cell r="C4431" t="str">
            <v>PG</v>
          </cell>
          <cell r="D4431" t="str">
            <v>PG</v>
          </cell>
          <cell r="E4431" t="str">
            <v>06034</v>
          </cell>
        </row>
        <row r="4432">
          <cell r="A4432" t="str">
            <v>FOSSATO DI VICO</v>
          </cell>
          <cell r="B4432" t="str">
            <v>054019</v>
          </cell>
          <cell r="C4432" t="str">
            <v>PG</v>
          </cell>
          <cell r="D4432" t="str">
            <v>PG</v>
          </cell>
          <cell r="E4432" t="str">
            <v>06022</v>
          </cell>
        </row>
        <row r="4433">
          <cell r="A4433" t="str">
            <v>FRATTA TODINA</v>
          </cell>
          <cell r="B4433" t="str">
            <v>054020</v>
          </cell>
          <cell r="C4433" t="str">
            <v>PG</v>
          </cell>
          <cell r="D4433" t="str">
            <v>PG</v>
          </cell>
          <cell r="E4433" t="str">
            <v>06054</v>
          </cell>
        </row>
        <row r="4434">
          <cell r="A4434" t="str">
            <v>GIANO DELL'UMBRIA</v>
          </cell>
          <cell r="B4434" t="str">
            <v>054021</v>
          </cell>
          <cell r="C4434" t="str">
            <v>PG</v>
          </cell>
          <cell r="D4434" t="str">
            <v>PG</v>
          </cell>
          <cell r="E4434" t="str">
            <v>06030</v>
          </cell>
        </row>
        <row r="4435">
          <cell r="A4435" t="str">
            <v>GUALDO CATTANEO</v>
          </cell>
          <cell r="B4435" t="str">
            <v>054022</v>
          </cell>
          <cell r="C4435" t="str">
            <v>PG</v>
          </cell>
          <cell r="D4435" t="str">
            <v>PG</v>
          </cell>
          <cell r="E4435" t="str">
            <v>06035</v>
          </cell>
        </row>
        <row r="4436">
          <cell r="A4436" t="str">
            <v>GUALDO TADINO</v>
          </cell>
          <cell r="B4436" t="str">
            <v>054023</v>
          </cell>
          <cell r="C4436" t="str">
            <v>PG</v>
          </cell>
          <cell r="D4436" t="str">
            <v>PG</v>
          </cell>
          <cell r="E4436" t="str">
            <v>06023</v>
          </cell>
        </row>
        <row r="4437">
          <cell r="A4437" t="str">
            <v>GUBBIO</v>
          </cell>
          <cell r="B4437" t="str">
            <v>054024</v>
          </cell>
          <cell r="C4437" t="str">
            <v>PG</v>
          </cell>
          <cell r="D4437" t="str">
            <v>PG</v>
          </cell>
          <cell r="E4437" t="str">
            <v>06024</v>
          </cell>
        </row>
        <row r="4438">
          <cell r="A4438" t="str">
            <v>LISCIANO NICCONE</v>
          </cell>
          <cell r="B4438" t="str">
            <v>054025</v>
          </cell>
          <cell r="C4438" t="str">
            <v>PG</v>
          </cell>
          <cell r="D4438" t="str">
            <v>PG</v>
          </cell>
          <cell r="E4438" t="str">
            <v>06060</v>
          </cell>
        </row>
        <row r="4439">
          <cell r="A4439" t="str">
            <v>MAGIONE</v>
          </cell>
          <cell r="B4439" t="str">
            <v>054026</v>
          </cell>
          <cell r="C4439" t="str">
            <v>PG</v>
          </cell>
          <cell r="D4439" t="str">
            <v>PG</v>
          </cell>
          <cell r="E4439" t="str">
            <v>06063</v>
          </cell>
        </row>
        <row r="4440">
          <cell r="A4440" t="str">
            <v>MARSCIANO</v>
          </cell>
          <cell r="B4440" t="str">
            <v>054027</v>
          </cell>
          <cell r="C4440" t="str">
            <v>PG</v>
          </cell>
          <cell r="D4440" t="str">
            <v>PG</v>
          </cell>
          <cell r="E4440" t="str">
            <v>06055</v>
          </cell>
        </row>
        <row r="4441">
          <cell r="A4441" t="str">
            <v>MASSA MARTANA</v>
          </cell>
          <cell r="B4441" t="str">
            <v>054028</v>
          </cell>
          <cell r="C4441" t="str">
            <v>PG</v>
          </cell>
          <cell r="D4441" t="str">
            <v>PG</v>
          </cell>
          <cell r="E4441" t="str">
            <v>06056</v>
          </cell>
        </row>
        <row r="4442">
          <cell r="A4442" t="str">
            <v>MONTE CASTELLO DI VIBIO</v>
          </cell>
          <cell r="B4442" t="str">
            <v>054029</v>
          </cell>
          <cell r="C4442" t="str">
            <v>PG</v>
          </cell>
          <cell r="D4442" t="str">
            <v>PG</v>
          </cell>
          <cell r="E4442" t="str">
            <v>06057</v>
          </cell>
        </row>
        <row r="4443">
          <cell r="A4443" t="str">
            <v>MONTEFALCO</v>
          </cell>
          <cell r="B4443" t="str">
            <v>054030</v>
          </cell>
          <cell r="C4443" t="str">
            <v>PG</v>
          </cell>
          <cell r="D4443" t="str">
            <v>PG</v>
          </cell>
          <cell r="E4443" t="str">
            <v>06036</v>
          </cell>
        </row>
        <row r="4444">
          <cell r="A4444" t="str">
            <v>MONTELEONE DI SPOLETO</v>
          </cell>
          <cell r="B4444" t="str">
            <v>054031</v>
          </cell>
          <cell r="C4444" t="str">
            <v>PG</v>
          </cell>
          <cell r="D4444" t="str">
            <v>PG</v>
          </cell>
          <cell r="E4444" t="str">
            <v>06045</v>
          </cell>
        </row>
        <row r="4445">
          <cell r="A4445" t="str">
            <v>MONTE SANTA MARIA TIBERINA</v>
          </cell>
          <cell r="B4445" t="str">
            <v>054032</v>
          </cell>
          <cell r="C4445" t="str">
            <v>PG</v>
          </cell>
          <cell r="D4445" t="str">
            <v>PG</v>
          </cell>
          <cell r="E4445" t="str">
            <v>06010</v>
          </cell>
        </row>
        <row r="4446">
          <cell r="A4446" t="str">
            <v>MONTONE</v>
          </cell>
          <cell r="B4446" t="str">
            <v>054033</v>
          </cell>
          <cell r="C4446" t="str">
            <v>PG</v>
          </cell>
          <cell r="D4446" t="str">
            <v>PG</v>
          </cell>
          <cell r="E4446" t="str">
            <v>06014</v>
          </cell>
        </row>
        <row r="4447">
          <cell r="A4447" t="str">
            <v>NOCERA UMBRA</v>
          </cell>
          <cell r="B4447" t="str">
            <v>054034</v>
          </cell>
          <cell r="C4447" t="str">
            <v>PG</v>
          </cell>
          <cell r="D4447" t="str">
            <v>PG</v>
          </cell>
          <cell r="E4447" t="str">
            <v>06025</v>
          </cell>
        </row>
        <row r="4448">
          <cell r="A4448" t="str">
            <v>NORCIA</v>
          </cell>
          <cell r="B4448" t="str">
            <v>054035</v>
          </cell>
          <cell r="C4448" t="str">
            <v>PG</v>
          </cell>
          <cell r="D4448" t="str">
            <v>PG</v>
          </cell>
          <cell r="E4448" t="str">
            <v>06046</v>
          </cell>
        </row>
        <row r="4449">
          <cell r="A4449" t="str">
            <v>PACIANO</v>
          </cell>
          <cell r="B4449" t="str">
            <v>054036</v>
          </cell>
          <cell r="C4449" t="str">
            <v>PG</v>
          </cell>
          <cell r="D4449" t="str">
            <v>PG</v>
          </cell>
          <cell r="E4449" t="str">
            <v>06060</v>
          </cell>
        </row>
        <row r="4450">
          <cell r="A4450" t="str">
            <v>PANICALE</v>
          </cell>
          <cell r="B4450" t="str">
            <v>054037</v>
          </cell>
          <cell r="C4450" t="str">
            <v>PG</v>
          </cell>
          <cell r="D4450" t="str">
            <v>PG</v>
          </cell>
          <cell r="E4450" t="str">
            <v>06064</v>
          </cell>
        </row>
        <row r="4451">
          <cell r="A4451" t="str">
            <v>PASSIGNANO SUL TRASIMENO</v>
          </cell>
          <cell r="B4451" t="str">
            <v>054038</v>
          </cell>
          <cell r="C4451" t="str">
            <v>PG</v>
          </cell>
          <cell r="D4451" t="str">
            <v>PG</v>
          </cell>
          <cell r="E4451" t="str">
            <v>06065</v>
          </cell>
        </row>
        <row r="4452">
          <cell r="A4452" t="str">
            <v>PERUGIA</v>
          </cell>
          <cell r="B4452" t="str">
            <v>054039</v>
          </cell>
          <cell r="C4452" t="str">
            <v>PG</v>
          </cell>
          <cell r="D4452" t="str">
            <v>PG</v>
          </cell>
          <cell r="E4452" t="str">
            <v>061xx</v>
          </cell>
        </row>
        <row r="4453">
          <cell r="A4453" t="str">
            <v>PIEGARO</v>
          </cell>
          <cell r="B4453" t="str">
            <v>054040</v>
          </cell>
          <cell r="C4453" t="str">
            <v>PG</v>
          </cell>
          <cell r="D4453" t="str">
            <v>PG</v>
          </cell>
          <cell r="E4453" t="str">
            <v>06066</v>
          </cell>
        </row>
        <row r="4454">
          <cell r="A4454" t="str">
            <v>PIETRALUNGA</v>
          </cell>
          <cell r="B4454" t="str">
            <v>054041</v>
          </cell>
          <cell r="C4454" t="str">
            <v>PG</v>
          </cell>
          <cell r="D4454" t="str">
            <v>PG</v>
          </cell>
          <cell r="E4454" t="str">
            <v>06026</v>
          </cell>
        </row>
        <row r="4455">
          <cell r="A4455" t="str">
            <v>POGGIODOMO</v>
          </cell>
          <cell r="B4455" t="str">
            <v>054042</v>
          </cell>
          <cell r="C4455" t="str">
            <v>PG</v>
          </cell>
          <cell r="D4455" t="str">
            <v>PG</v>
          </cell>
          <cell r="E4455" t="str">
            <v>06040</v>
          </cell>
        </row>
        <row r="4456">
          <cell r="A4456" t="str">
            <v>PRECI</v>
          </cell>
          <cell r="B4456" t="str">
            <v>054043</v>
          </cell>
          <cell r="C4456" t="str">
            <v>PG</v>
          </cell>
          <cell r="D4456" t="str">
            <v>PG</v>
          </cell>
          <cell r="E4456" t="str">
            <v>06047</v>
          </cell>
        </row>
        <row r="4457">
          <cell r="A4457" t="str">
            <v>SAN GIUSTINO</v>
          </cell>
          <cell r="B4457" t="str">
            <v>054044</v>
          </cell>
          <cell r="C4457" t="str">
            <v>PG</v>
          </cell>
          <cell r="D4457" t="str">
            <v>PG</v>
          </cell>
          <cell r="E4457" t="str">
            <v>06016</v>
          </cell>
        </row>
        <row r="4458">
          <cell r="A4458" t="str">
            <v>SANT'ANATOLIA DI NARCO</v>
          </cell>
          <cell r="B4458" t="str">
            <v>054045</v>
          </cell>
          <cell r="C4458" t="str">
            <v>PG</v>
          </cell>
          <cell r="D4458" t="str">
            <v>PG</v>
          </cell>
          <cell r="E4458" t="str">
            <v>06040</v>
          </cell>
        </row>
        <row r="4459">
          <cell r="A4459" t="str">
            <v>SCHEGGIA E PASCELUPO</v>
          </cell>
          <cell r="B4459" t="str">
            <v>054046</v>
          </cell>
          <cell r="C4459" t="str">
            <v>PG</v>
          </cell>
          <cell r="D4459" t="str">
            <v>PG</v>
          </cell>
          <cell r="E4459" t="str">
            <v>06027</v>
          </cell>
        </row>
        <row r="4460">
          <cell r="A4460" t="str">
            <v>SCHEGGINO</v>
          </cell>
          <cell r="B4460" t="str">
            <v>054047</v>
          </cell>
          <cell r="C4460" t="str">
            <v>PG</v>
          </cell>
          <cell r="D4460" t="str">
            <v>PG</v>
          </cell>
          <cell r="E4460" t="str">
            <v>06040</v>
          </cell>
        </row>
        <row r="4461">
          <cell r="A4461" t="str">
            <v>SELLANO</v>
          </cell>
          <cell r="B4461" t="str">
            <v>054048</v>
          </cell>
          <cell r="C4461" t="str">
            <v>PG</v>
          </cell>
          <cell r="D4461" t="str">
            <v>PG</v>
          </cell>
          <cell r="E4461" t="str">
            <v>06030</v>
          </cell>
        </row>
        <row r="4462">
          <cell r="A4462" t="str">
            <v>SIGILLO</v>
          </cell>
          <cell r="B4462" t="str">
            <v>054049</v>
          </cell>
          <cell r="C4462" t="str">
            <v>PG</v>
          </cell>
          <cell r="D4462" t="str">
            <v>PG</v>
          </cell>
          <cell r="E4462" t="str">
            <v>06028</v>
          </cell>
        </row>
        <row r="4463">
          <cell r="A4463" t="str">
            <v>SPELLO</v>
          </cell>
          <cell r="B4463" t="str">
            <v>054050</v>
          </cell>
          <cell r="C4463" t="str">
            <v>PG</v>
          </cell>
          <cell r="D4463" t="str">
            <v>PG</v>
          </cell>
          <cell r="E4463" t="str">
            <v>06038</v>
          </cell>
        </row>
        <row r="4464">
          <cell r="A4464" t="str">
            <v>SPOLETO</v>
          </cell>
          <cell r="B4464" t="str">
            <v>054051</v>
          </cell>
          <cell r="C4464" t="str">
            <v>PG</v>
          </cell>
          <cell r="D4464" t="str">
            <v>PG</v>
          </cell>
          <cell r="E4464" t="str">
            <v>06049</v>
          </cell>
        </row>
        <row r="4465">
          <cell r="A4465" t="str">
            <v>TODI</v>
          </cell>
          <cell r="B4465" t="str">
            <v>054052</v>
          </cell>
          <cell r="C4465" t="str">
            <v>PG</v>
          </cell>
          <cell r="D4465" t="str">
            <v>PG</v>
          </cell>
          <cell r="E4465" t="str">
            <v>06059</v>
          </cell>
        </row>
        <row r="4466">
          <cell r="A4466" t="str">
            <v>TORGIANO</v>
          </cell>
          <cell r="B4466" t="str">
            <v>054053</v>
          </cell>
          <cell r="C4466" t="str">
            <v>PG</v>
          </cell>
          <cell r="D4466" t="str">
            <v>PG</v>
          </cell>
          <cell r="E4466" t="str">
            <v>06089</v>
          </cell>
        </row>
        <row r="4467">
          <cell r="A4467" t="str">
            <v>TREVI</v>
          </cell>
          <cell r="B4467" t="str">
            <v>054054</v>
          </cell>
          <cell r="C4467" t="str">
            <v>PG</v>
          </cell>
          <cell r="D4467" t="str">
            <v>PG</v>
          </cell>
          <cell r="E4467" t="str">
            <v>06039</v>
          </cell>
        </row>
        <row r="4468">
          <cell r="A4468" t="str">
            <v>TUORO SUL TRASIMENO</v>
          </cell>
          <cell r="B4468" t="str">
            <v>054055</v>
          </cell>
          <cell r="C4468" t="str">
            <v>PG</v>
          </cell>
          <cell r="D4468" t="str">
            <v>PG</v>
          </cell>
          <cell r="E4468" t="str">
            <v>06069</v>
          </cell>
        </row>
        <row r="4469">
          <cell r="A4469" t="str">
            <v>UMBERTIDE</v>
          </cell>
          <cell r="B4469" t="str">
            <v>054056</v>
          </cell>
          <cell r="C4469" t="str">
            <v>PG</v>
          </cell>
          <cell r="D4469" t="str">
            <v>PG</v>
          </cell>
          <cell r="E4469" t="str">
            <v>06019</v>
          </cell>
        </row>
        <row r="4470">
          <cell r="A4470" t="str">
            <v>VALFABBRICA</v>
          </cell>
          <cell r="B4470" t="str">
            <v>054057</v>
          </cell>
          <cell r="C4470" t="str">
            <v>PG</v>
          </cell>
          <cell r="D4470" t="str">
            <v>PG</v>
          </cell>
          <cell r="E4470" t="str">
            <v>06029</v>
          </cell>
        </row>
        <row r="4471">
          <cell r="A4471" t="str">
            <v>VALLO DI NERA</v>
          </cell>
          <cell r="B4471" t="str">
            <v>054058</v>
          </cell>
          <cell r="C4471" t="str">
            <v>PG</v>
          </cell>
          <cell r="D4471" t="str">
            <v>PG</v>
          </cell>
          <cell r="E4471" t="str">
            <v>06040</v>
          </cell>
        </row>
        <row r="4472">
          <cell r="A4472" t="str">
            <v>VALTOPINA</v>
          </cell>
          <cell r="B4472" t="str">
            <v>054059</v>
          </cell>
          <cell r="C4472" t="str">
            <v>PG</v>
          </cell>
          <cell r="D4472" t="str">
            <v>PG</v>
          </cell>
          <cell r="E4472" t="str">
            <v>06030</v>
          </cell>
        </row>
        <row r="4473">
          <cell r="A4473" t="str">
            <v>ACQUASPARTA</v>
          </cell>
          <cell r="B4473" t="str">
            <v>055001</v>
          </cell>
          <cell r="C4473" t="str">
            <v>TR</v>
          </cell>
          <cell r="D4473" t="str">
            <v>TR</v>
          </cell>
          <cell r="E4473" t="str">
            <v>05021</v>
          </cell>
        </row>
        <row r="4474">
          <cell r="A4474" t="str">
            <v>ALLERONA</v>
          </cell>
          <cell r="B4474" t="str">
            <v>055002</v>
          </cell>
          <cell r="C4474" t="str">
            <v>TR</v>
          </cell>
          <cell r="D4474" t="str">
            <v>TR</v>
          </cell>
          <cell r="E4474" t="str">
            <v>05011</v>
          </cell>
        </row>
        <row r="4475">
          <cell r="A4475" t="str">
            <v>ALVIANO</v>
          </cell>
          <cell r="B4475" t="str">
            <v>055003</v>
          </cell>
          <cell r="C4475" t="str">
            <v>TR</v>
          </cell>
          <cell r="D4475" t="str">
            <v>TR</v>
          </cell>
          <cell r="E4475" t="str">
            <v>05020</v>
          </cell>
        </row>
        <row r="4476">
          <cell r="A4476" t="str">
            <v>AMELIA</v>
          </cell>
          <cell r="B4476" t="str">
            <v>055004</v>
          </cell>
          <cell r="C4476" t="str">
            <v>TR</v>
          </cell>
          <cell r="D4476" t="str">
            <v>TR</v>
          </cell>
          <cell r="E4476" t="str">
            <v>05022</v>
          </cell>
        </row>
        <row r="4477">
          <cell r="A4477" t="str">
            <v>ARRONE</v>
          </cell>
          <cell r="B4477" t="str">
            <v>055005</v>
          </cell>
          <cell r="C4477" t="str">
            <v>TR</v>
          </cell>
          <cell r="D4477" t="str">
            <v>TR</v>
          </cell>
          <cell r="E4477" t="str">
            <v>05031</v>
          </cell>
        </row>
        <row r="4478">
          <cell r="A4478" t="str">
            <v>ATTIGLIANO</v>
          </cell>
          <cell r="B4478" t="str">
            <v>055006</v>
          </cell>
          <cell r="C4478" t="str">
            <v>TR</v>
          </cell>
          <cell r="D4478" t="str">
            <v>TR</v>
          </cell>
          <cell r="E4478" t="str">
            <v>05012</v>
          </cell>
        </row>
        <row r="4479">
          <cell r="A4479" t="str">
            <v>BASCHI</v>
          </cell>
          <cell r="B4479" t="str">
            <v>055007</v>
          </cell>
          <cell r="C4479" t="str">
            <v>TR</v>
          </cell>
          <cell r="D4479" t="str">
            <v>TR</v>
          </cell>
          <cell r="E4479" t="str">
            <v>05023</v>
          </cell>
        </row>
        <row r="4480">
          <cell r="A4480" t="str">
            <v>CALVI DELL'UMBRIA</v>
          </cell>
          <cell r="B4480" t="str">
            <v>055008</v>
          </cell>
          <cell r="C4480" t="str">
            <v>TR</v>
          </cell>
          <cell r="D4480" t="str">
            <v>TR</v>
          </cell>
          <cell r="E4480" t="str">
            <v>05032</v>
          </cell>
        </row>
        <row r="4481">
          <cell r="A4481" t="str">
            <v>CASTEL GIORGIO</v>
          </cell>
          <cell r="B4481" t="str">
            <v>055009</v>
          </cell>
          <cell r="C4481" t="str">
            <v>TR</v>
          </cell>
          <cell r="D4481" t="str">
            <v>TR</v>
          </cell>
          <cell r="E4481" t="str">
            <v>05013</v>
          </cell>
        </row>
        <row r="4482">
          <cell r="A4482" t="str">
            <v>CASTEL VISCARDO</v>
          </cell>
          <cell r="B4482" t="str">
            <v>055010</v>
          </cell>
          <cell r="C4482" t="str">
            <v>TR</v>
          </cell>
          <cell r="D4482" t="str">
            <v>TR</v>
          </cell>
          <cell r="E4482" t="str">
            <v>05014</v>
          </cell>
        </row>
        <row r="4483">
          <cell r="A4483" t="str">
            <v>FABRO</v>
          </cell>
          <cell r="B4483" t="str">
            <v>055011</v>
          </cell>
          <cell r="C4483" t="str">
            <v>TR</v>
          </cell>
          <cell r="D4483" t="str">
            <v>TR</v>
          </cell>
          <cell r="E4483" t="str">
            <v>05015</v>
          </cell>
        </row>
        <row r="4484">
          <cell r="A4484" t="str">
            <v>FERENTILLO</v>
          </cell>
          <cell r="B4484" t="str">
            <v>055012</v>
          </cell>
          <cell r="C4484" t="str">
            <v>TR</v>
          </cell>
          <cell r="D4484" t="str">
            <v>TR</v>
          </cell>
          <cell r="E4484" t="str">
            <v>05034</v>
          </cell>
        </row>
        <row r="4485">
          <cell r="A4485" t="str">
            <v>FICULLE</v>
          </cell>
          <cell r="B4485" t="str">
            <v>055013</v>
          </cell>
          <cell r="C4485" t="str">
            <v>TR</v>
          </cell>
          <cell r="D4485" t="str">
            <v>TR</v>
          </cell>
          <cell r="E4485" t="str">
            <v>05016</v>
          </cell>
        </row>
        <row r="4486">
          <cell r="A4486" t="str">
            <v>GIOVE</v>
          </cell>
          <cell r="B4486" t="str">
            <v>055014</v>
          </cell>
          <cell r="C4486" t="str">
            <v>TR</v>
          </cell>
          <cell r="D4486" t="str">
            <v>TR</v>
          </cell>
          <cell r="E4486" t="str">
            <v>05024</v>
          </cell>
        </row>
        <row r="4487">
          <cell r="A4487" t="str">
            <v>GUARDEA</v>
          </cell>
          <cell r="B4487" t="str">
            <v>055015</v>
          </cell>
          <cell r="C4487" t="str">
            <v>TR</v>
          </cell>
          <cell r="D4487" t="str">
            <v>TR</v>
          </cell>
          <cell r="E4487" t="str">
            <v>05025</v>
          </cell>
        </row>
        <row r="4488">
          <cell r="A4488" t="str">
            <v>LUGNANO IN TEVERINA</v>
          </cell>
          <cell r="B4488" t="str">
            <v>055016</v>
          </cell>
          <cell r="C4488" t="str">
            <v>TR</v>
          </cell>
          <cell r="D4488" t="str">
            <v>TR</v>
          </cell>
          <cell r="E4488" t="str">
            <v>05020</v>
          </cell>
        </row>
        <row r="4489">
          <cell r="A4489" t="str">
            <v>MONTECASTRILLI</v>
          </cell>
          <cell r="B4489" t="str">
            <v>055017</v>
          </cell>
          <cell r="C4489" t="str">
            <v>TR</v>
          </cell>
          <cell r="D4489" t="str">
            <v>TR</v>
          </cell>
          <cell r="E4489" t="str">
            <v>05026</v>
          </cell>
        </row>
        <row r="4490">
          <cell r="A4490" t="str">
            <v>MONTECCHIO</v>
          </cell>
          <cell r="B4490" t="str">
            <v>055018</v>
          </cell>
          <cell r="C4490" t="str">
            <v>TR</v>
          </cell>
          <cell r="D4490" t="str">
            <v>TR</v>
          </cell>
          <cell r="E4490" t="str">
            <v>05020</v>
          </cell>
        </row>
        <row r="4491">
          <cell r="A4491" t="str">
            <v>MONTEFRANCO</v>
          </cell>
          <cell r="B4491" t="str">
            <v>055019</v>
          </cell>
          <cell r="C4491" t="str">
            <v>TR</v>
          </cell>
          <cell r="D4491" t="str">
            <v>TR</v>
          </cell>
          <cell r="E4491" t="str">
            <v>05030</v>
          </cell>
        </row>
        <row r="4492">
          <cell r="A4492" t="str">
            <v>MONTEGABBIONE</v>
          </cell>
          <cell r="B4492" t="str">
            <v>055020</v>
          </cell>
          <cell r="C4492" t="str">
            <v>TR</v>
          </cell>
          <cell r="D4492" t="str">
            <v>TR</v>
          </cell>
          <cell r="E4492" t="str">
            <v>05010</v>
          </cell>
        </row>
        <row r="4493">
          <cell r="A4493" t="str">
            <v>MONTELEONE D'ORVIETO</v>
          </cell>
          <cell r="B4493" t="str">
            <v>055021</v>
          </cell>
          <cell r="C4493" t="str">
            <v>TR</v>
          </cell>
          <cell r="D4493" t="str">
            <v>TR</v>
          </cell>
          <cell r="E4493" t="str">
            <v>05017</v>
          </cell>
        </row>
        <row r="4494">
          <cell r="A4494" t="str">
            <v>NARNI</v>
          </cell>
          <cell r="B4494" t="str">
            <v>055022</v>
          </cell>
          <cell r="C4494" t="str">
            <v>TR</v>
          </cell>
          <cell r="D4494" t="str">
            <v>TR</v>
          </cell>
          <cell r="E4494" t="str">
            <v>05035</v>
          </cell>
        </row>
        <row r="4495">
          <cell r="A4495" t="str">
            <v>ORVIETO</v>
          </cell>
          <cell r="B4495" t="str">
            <v>055023</v>
          </cell>
          <cell r="C4495" t="str">
            <v>TR</v>
          </cell>
          <cell r="D4495" t="str">
            <v>TR</v>
          </cell>
          <cell r="E4495" t="str">
            <v>05018</v>
          </cell>
        </row>
        <row r="4496">
          <cell r="A4496" t="str">
            <v>OTRICOLI</v>
          </cell>
          <cell r="B4496" t="str">
            <v>055024</v>
          </cell>
          <cell r="C4496" t="str">
            <v>TR</v>
          </cell>
          <cell r="D4496" t="str">
            <v>TR</v>
          </cell>
          <cell r="E4496" t="str">
            <v>05030</v>
          </cell>
        </row>
        <row r="4497">
          <cell r="A4497" t="str">
            <v>PARRANO</v>
          </cell>
          <cell r="B4497" t="str">
            <v>055025</v>
          </cell>
          <cell r="C4497" t="str">
            <v>TR</v>
          </cell>
          <cell r="D4497" t="str">
            <v>TR</v>
          </cell>
          <cell r="E4497" t="str">
            <v>05010</v>
          </cell>
        </row>
        <row r="4498">
          <cell r="A4498" t="str">
            <v>PENNA IN TEVERINA</v>
          </cell>
          <cell r="B4498" t="str">
            <v>055026</v>
          </cell>
          <cell r="C4498" t="str">
            <v>TR</v>
          </cell>
          <cell r="D4498" t="str">
            <v>TR</v>
          </cell>
          <cell r="E4498" t="str">
            <v>05028</v>
          </cell>
        </row>
        <row r="4499">
          <cell r="A4499" t="str">
            <v>POLINO</v>
          </cell>
          <cell r="B4499" t="str">
            <v>055027</v>
          </cell>
          <cell r="C4499" t="str">
            <v>TR</v>
          </cell>
          <cell r="D4499" t="str">
            <v>TR</v>
          </cell>
          <cell r="E4499" t="str">
            <v>05030</v>
          </cell>
        </row>
        <row r="4500">
          <cell r="A4500" t="str">
            <v>PORANO</v>
          </cell>
          <cell r="B4500" t="str">
            <v>055028</v>
          </cell>
          <cell r="C4500" t="str">
            <v>TR</v>
          </cell>
          <cell r="D4500" t="str">
            <v>TR</v>
          </cell>
          <cell r="E4500" t="str">
            <v>05010</v>
          </cell>
        </row>
        <row r="4501">
          <cell r="A4501" t="str">
            <v>SAN GEMINI</v>
          </cell>
          <cell r="B4501" t="str">
            <v>055029</v>
          </cell>
          <cell r="C4501" t="str">
            <v>TR</v>
          </cell>
          <cell r="D4501" t="str">
            <v>TR</v>
          </cell>
          <cell r="E4501" t="str">
            <v>05029</v>
          </cell>
        </row>
        <row r="4502">
          <cell r="A4502" t="str">
            <v>SAN VENANZO</v>
          </cell>
          <cell r="B4502" t="str">
            <v>055030</v>
          </cell>
          <cell r="C4502" t="str">
            <v>TR</v>
          </cell>
          <cell r="D4502" t="str">
            <v>TR</v>
          </cell>
          <cell r="E4502" t="str">
            <v>05010</v>
          </cell>
        </row>
        <row r="4503">
          <cell r="A4503" t="str">
            <v>STRONCONE</v>
          </cell>
          <cell r="B4503" t="str">
            <v>055031</v>
          </cell>
          <cell r="C4503" t="str">
            <v>TR</v>
          </cell>
          <cell r="D4503" t="str">
            <v>TR</v>
          </cell>
          <cell r="E4503" t="str">
            <v>05039</v>
          </cell>
        </row>
        <row r="4504">
          <cell r="A4504" t="str">
            <v>TERNI</v>
          </cell>
          <cell r="B4504" t="str">
            <v>055032</v>
          </cell>
          <cell r="C4504" t="str">
            <v>TR</v>
          </cell>
          <cell r="D4504" t="str">
            <v>TR</v>
          </cell>
          <cell r="E4504" t="str">
            <v>05100</v>
          </cell>
        </row>
        <row r="4505">
          <cell r="A4505" t="str">
            <v>AVIGLIANO UMBRO</v>
          </cell>
          <cell r="B4505" t="str">
            <v>055033</v>
          </cell>
          <cell r="C4505" t="str">
            <v>TR</v>
          </cell>
          <cell r="D4505" t="str">
            <v>TR</v>
          </cell>
          <cell r="E4505" t="str">
            <v>05020</v>
          </cell>
        </row>
        <row r="4506">
          <cell r="A4506" t="str">
            <v>ACQUAPENDENTE</v>
          </cell>
          <cell r="B4506" t="str">
            <v>056001</v>
          </cell>
          <cell r="C4506" t="str">
            <v>VT</v>
          </cell>
          <cell r="D4506" t="str">
            <v>VT</v>
          </cell>
          <cell r="E4506" t="str">
            <v>01021</v>
          </cell>
        </row>
        <row r="4507">
          <cell r="A4507" t="str">
            <v>ARLENA DI CASTRO</v>
          </cell>
          <cell r="B4507" t="str">
            <v>056002</v>
          </cell>
          <cell r="C4507" t="str">
            <v>VT</v>
          </cell>
          <cell r="D4507" t="str">
            <v>VT</v>
          </cell>
          <cell r="E4507" t="str">
            <v>01010</v>
          </cell>
        </row>
        <row r="4508">
          <cell r="A4508" t="str">
            <v>BAGNOREGIO</v>
          </cell>
          <cell r="B4508" t="str">
            <v>056003</v>
          </cell>
          <cell r="C4508" t="str">
            <v>VT</v>
          </cell>
          <cell r="D4508" t="str">
            <v>VT</v>
          </cell>
          <cell r="E4508" t="str">
            <v>01022</v>
          </cell>
        </row>
        <row r="4509">
          <cell r="A4509" t="str">
            <v>BARBARANO ROMANO</v>
          </cell>
          <cell r="B4509" t="str">
            <v>056004</v>
          </cell>
          <cell r="C4509" t="str">
            <v>VT</v>
          </cell>
          <cell r="D4509" t="str">
            <v>VT</v>
          </cell>
          <cell r="E4509" t="str">
            <v>01010</v>
          </cell>
        </row>
        <row r="4510">
          <cell r="A4510" t="str">
            <v>BASSANO ROMANO</v>
          </cell>
          <cell r="B4510" t="str">
            <v>056005</v>
          </cell>
          <cell r="C4510" t="str">
            <v>VT</v>
          </cell>
          <cell r="D4510" t="str">
            <v>VT</v>
          </cell>
          <cell r="E4510" t="str">
            <v>01030</v>
          </cell>
        </row>
        <row r="4511">
          <cell r="A4511" t="str">
            <v>BASSANO IN TEVERINA</v>
          </cell>
          <cell r="B4511" t="str">
            <v>056006</v>
          </cell>
          <cell r="C4511" t="str">
            <v>VT</v>
          </cell>
          <cell r="D4511" t="str">
            <v>VT</v>
          </cell>
          <cell r="E4511" t="str">
            <v>01030</v>
          </cell>
        </row>
        <row r="4512">
          <cell r="A4512" t="str">
            <v>BLERA</v>
          </cell>
          <cell r="B4512" t="str">
            <v>056007</v>
          </cell>
          <cell r="C4512" t="str">
            <v>VT</v>
          </cell>
          <cell r="D4512" t="str">
            <v>VT</v>
          </cell>
          <cell r="E4512" t="str">
            <v>01010</v>
          </cell>
        </row>
        <row r="4513">
          <cell r="A4513" t="str">
            <v>BOLSENA</v>
          </cell>
          <cell r="B4513" t="str">
            <v>056008</v>
          </cell>
          <cell r="C4513" t="str">
            <v>VT</v>
          </cell>
          <cell r="D4513" t="str">
            <v>VT</v>
          </cell>
          <cell r="E4513" t="str">
            <v>01023</v>
          </cell>
        </row>
        <row r="4514">
          <cell r="A4514" t="str">
            <v>BOMARZO</v>
          </cell>
          <cell r="B4514" t="str">
            <v>056009</v>
          </cell>
          <cell r="C4514" t="str">
            <v>VT</v>
          </cell>
          <cell r="D4514" t="str">
            <v>VT</v>
          </cell>
          <cell r="E4514" t="str">
            <v>01020</v>
          </cell>
        </row>
        <row r="4515">
          <cell r="A4515" t="str">
            <v>CALCATA</v>
          </cell>
          <cell r="B4515" t="str">
            <v>056010</v>
          </cell>
          <cell r="C4515" t="str">
            <v>VT</v>
          </cell>
          <cell r="D4515" t="str">
            <v>VT</v>
          </cell>
          <cell r="E4515" t="str">
            <v>01030</v>
          </cell>
        </row>
        <row r="4516">
          <cell r="A4516" t="str">
            <v>CANEPINA</v>
          </cell>
          <cell r="B4516" t="str">
            <v>056011</v>
          </cell>
          <cell r="C4516" t="str">
            <v>VT</v>
          </cell>
          <cell r="D4516" t="str">
            <v>VT</v>
          </cell>
          <cell r="E4516" t="str">
            <v>01030</v>
          </cell>
        </row>
        <row r="4517">
          <cell r="A4517" t="str">
            <v>CANINO</v>
          </cell>
          <cell r="B4517" t="str">
            <v>056012</v>
          </cell>
          <cell r="C4517" t="str">
            <v>VT</v>
          </cell>
          <cell r="D4517" t="str">
            <v>VT</v>
          </cell>
          <cell r="E4517" t="str">
            <v>01011</v>
          </cell>
        </row>
        <row r="4518">
          <cell r="A4518" t="str">
            <v>CAPODIMONTE</v>
          </cell>
          <cell r="B4518" t="str">
            <v>056013</v>
          </cell>
          <cell r="C4518" t="str">
            <v>VT</v>
          </cell>
          <cell r="D4518" t="str">
            <v>VT</v>
          </cell>
          <cell r="E4518" t="str">
            <v>01010</v>
          </cell>
        </row>
        <row r="4519">
          <cell r="A4519" t="str">
            <v>CAPRANICA</v>
          </cell>
          <cell r="B4519" t="str">
            <v>056014</v>
          </cell>
          <cell r="C4519" t="str">
            <v>VT</v>
          </cell>
          <cell r="D4519" t="str">
            <v>VT</v>
          </cell>
          <cell r="E4519" t="str">
            <v>01012</v>
          </cell>
        </row>
        <row r="4520">
          <cell r="A4520" t="str">
            <v>CAPRAROLA</v>
          </cell>
          <cell r="B4520" t="str">
            <v>056015</v>
          </cell>
          <cell r="C4520" t="str">
            <v>VT</v>
          </cell>
          <cell r="D4520" t="str">
            <v>VT</v>
          </cell>
          <cell r="E4520" t="str">
            <v>01032</v>
          </cell>
        </row>
        <row r="4521">
          <cell r="A4521" t="str">
            <v>CARBOGNANO</v>
          </cell>
          <cell r="B4521" t="str">
            <v>056016</v>
          </cell>
          <cell r="C4521" t="str">
            <v>VT</v>
          </cell>
          <cell r="D4521" t="str">
            <v>VT</v>
          </cell>
          <cell r="E4521" t="str">
            <v>01030</v>
          </cell>
        </row>
        <row r="4522">
          <cell r="A4522" t="str">
            <v>CASTEL SANT'ELIA</v>
          </cell>
          <cell r="B4522" t="str">
            <v>056017</v>
          </cell>
          <cell r="C4522" t="str">
            <v>VT</v>
          </cell>
          <cell r="D4522" t="str">
            <v>VT</v>
          </cell>
          <cell r="E4522" t="str">
            <v>01030</v>
          </cell>
        </row>
        <row r="4523">
          <cell r="A4523" t="str">
            <v>CASTIGLIONE IN TEVERINA</v>
          </cell>
          <cell r="B4523" t="str">
            <v>056018</v>
          </cell>
          <cell r="C4523" t="str">
            <v>VT</v>
          </cell>
          <cell r="D4523" t="str">
            <v>VT</v>
          </cell>
          <cell r="E4523" t="str">
            <v>01024</v>
          </cell>
        </row>
        <row r="4524">
          <cell r="A4524" t="str">
            <v>CELLENO</v>
          </cell>
          <cell r="B4524" t="str">
            <v>056019</v>
          </cell>
          <cell r="C4524" t="str">
            <v>VT</v>
          </cell>
          <cell r="D4524" t="str">
            <v>VT</v>
          </cell>
          <cell r="E4524" t="str">
            <v>01020</v>
          </cell>
        </row>
        <row r="4525">
          <cell r="A4525" t="str">
            <v>CELLERE</v>
          </cell>
          <cell r="B4525" t="str">
            <v>056020</v>
          </cell>
          <cell r="C4525" t="str">
            <v>VT</v>
          </cell>
          <cell r="D4525" t="str">
            <v>VT</v>
          </cell>
          <cell r="E4525" t="str">
            <v>01010</v>
          </cell>
        </row>
        <row r="4526">
          <cell r="A4526" t="str">
            <v>CIVITA CASTELLANA</v>
          </cell>
          <cell r="B4526" t="str">
            <v>056021</v>
          </cell>
          <cell r="C4526" t="str">
            <v>VT</v>
          </cell>
          <cell r="D4526" t="str">
            <v>VT</v>
          </cell>
          <cell r="E4526" t="str">
            <v>01033</v>
          </cell>
        </row>
        <row r="4527">
          <cell r="A4527" t="str">
            <v>CIVITELLA D'AGLIANO</v>
          </cell>
          <cell r="B4527" t="str">
            <v>056022</v>
          </cell>
          <cell r="C4527" t="str">
            <v>VT</v>
          </cell>
          <cell r="D4527" t="str">
            <v>VT</v>
          </cell>
          <cell r="E4527" t="str">
            <v>01020</v>
          </cell>
        </row>
        <row r="4528">
          <cell r="A4528" t="str">
            <v>CORCHIANO</v>
          </cell>
          <cell r="B4528" t="str">
            <v>056023</v>
          </cell>
          <cell r="C4528" t="str">
            <v>VT</v>
          </cell>
          <cell r="D4528" t="str">
            <v>VT</v>
          </cell>
          <cell r="E4528" t="str">
            <v>01030</v>
          </cell>
        </row>
        <row r="4529">
          <cell r="A4529" t="str">
            <v>FABRICA DI ROMA</v>
          </cell>
          <cell r="B4529" t="str">
            <v>056024</v>
          </cell>
          <cell r="C4529" t="str">
            <v>VT</v>
          </cell>
          <cell r="D4529" t="str">
            <v>VT</v>
          </cell>
          <cell r="E4529" t="str">
            <v>01034</v>
          </cell>
        </row>
        <row r="4530">
          <cell r="A4530" t="str">
            <v>FALERIA</v>
          </cell>
          <cell r="B4530" t="str">
            <v>056025</v>
          </cell>
          <cell r="C4530" t="str">
            <v>VT</v>
          </cell>
          <cell r="D4530" t="str">
            <v>VT</v>
          </cell>
          <cell r="E4530" t="str">
            <v>01030</v>
          </cell>
        </row>
        <row r="4531">
          <cell r="A4531" t="str">
            <v>FARNESE</v>
          </cell>
          <cell r="B4531" t="str">
            <v>056026</v>
          </cell>
          <cell r="C4531" t="str">
            <v>VT</v>
          </cell>
          <cell r="D4531" t="str">
            <v>VT</v>
          </cell>
          <cell r="E4531" t="str">
            <v>01010</v>
          </cell>
        </row>
        <row r="4532">
          <cell r="A4532" t="str">
            <v>GALLESE</v>
          </cell>
          <cell r="B4532" t="str">
            <v>056027</v>
          </cell>
          <cell r="C4532" t="str">
            <v>VT</v>
          </cell>
          <cell r="D4532" t="str">
            <v>VT</v>
          </cell>
          <cell r="E4532" t="str">
            <v>01035</v>
          </cell>
        </row>
        <row r="4533">
          <cell r="A4533" t="str">
            <v>GRADOLI</v>
          </cell>
          <cell r="B4533" t="str">
            <v>056028</v>
          </cell>
          <cell r="C4533" t="str">
            <v>VT</v>
          </cell>
          <cell r="D4533" t="str">
            <v>VT</v>
          </cell>
          <cell r="E4533" t="str">
            <v>01010</v>
          </cell>
        </row>
        <row r="4534">
          <cell r="A4534" t="str">
            <v>GRAFFIGNANO</v>
          </cell>
          <cell r="B4534" t="str">
            <v>056029</v>
          </cell>
          <cell r="C4534" t="str">
            <v>VT</v>
          </cell>
          <cell r="D4534" t="str">
            <v>VT</v>
          </cell>
          <cell r="E4534" t="str">
            <v>01020</v>
          </cell>
        </row>
        <row r="4535">
          <cell r="A4535" t="str">
            <v>GROTTE DI CASTRO</v>
          </cell>
          <cell r="B4535" t="str">
            <v>056030</v>
          </cell>
          <cell r="C4535" t="str">
            <v>VT</v>
          </cell>
          <cell r="D4535" t="str">
            <v>VT</v>
          </cell>
          <cell r="E4535" t="str">
            <v>01025</v>
          </cell>
        </row>
        <row r="4536">
          <cell r="A4536" t="str">
            <v>ISCHIA DI CASTRO</v>
          </cell>
          <cell r="B4536" t="str">
            <v>056031</v>
          </cell>
          <cell r="C4536" t="str">
            <v>VT</v>
          </cell>
          <cell r="D4536" t="str">
            <v>VT</v>
          </cell>
          <cell r="E4536" t="str">
            <v>01010</v>
          </cell>
        </row>
        <row r="4537">
          <cell r="A4537" t="str">
            <v>LATERA</v>
          </cell>
          <cell r="B4537" t="str">
            <v>056032</v>
          </cell>
          <cell r="C4537" t="str">
            <v>VT</v>
          </cell>
          <cell r="D4537" t="str">
            <v>VT</v>
          </cell>
          <cell r="E4537" t="str">
            <v>01010</v>
          </cell>
        </row>
        <row r="4538">
          <cell r="A4538" t="str">
            <v>LUBRIANO</v>
          </cell>
          <cell r="B4538" t="str">
            <v>056033</v>
          </cell>
          <cell r="C4538" t="str">
            <v>VT</v>
          </cell>
          <cell r="D4538" t="str">
            <v>VT</v>
          </cell>
          <cell r="E4538" t="str">
            <v>01020</v>
          </cell>
        </row>
        <row r="4539">
          <cell r="A4539" t="str">
            <v>MARTA</v>
          </cell>
          <cell r="B4539" t="str">
            <v>056034</v>
          </cell>
          <cell r="C4539" t="str">
            <v>VT</v>
          </cell>
          <cell r="D4539" t="str">
            <v>VT</v>
          </cell>
          <cell r="E4539" t="str">
            <v>01010</v>
          </cell>
        </row>
        <row r="4540">
          <cell r="A4540" t="str">
            <v>MONTALTO DI CASTRO</v>
          </cell>
          <cell r="B4540" t="str">
            <v>056035</v>
          </cell>
          <cell r="C4540" t="str">
            <v>VT</v>
          </cell>
          <cell r="D4540" t="str">
            <v>VT</v>
          </cell>
          <cell r="E4540" t="str">
            <v>01014</v>
          </cell>
        </row>
        <row r="4541">
          <cell r="A4541" t="str">
            <v>MONTEFIASCONE</v>
          </cell>
          <cell r="B4541" t="str">
            <v>056036</v>
          </cell>
          <cell r="C4541" t="str">
            <v>VT</v>
          </cell>
          <cell r="D4541" t="str">
            <v>VT</v>
          </cell>
          <cell r="E4541" t="str">
            <v>01027</v>
          </cell>
        </row>
        <row r="4542">
          <cell r="A4542" t="str">
            <v>MONTE ROMANO</v>
          </cell>
          <cell r="B4542" t="str">
            <v>056037</v>
          </cell>
          <cell r="C4542" t="str">
            <v>VT</v>
          </cell>
          <cell r="D4542" t="str">
            <v>VT</v>
          </cell>
          <cell r="E4542" t="str">
            <v>01010</v>
          </cell>
        </row>
        <row r="4543">
          <cell r="A4543" t="str">
            <v>MONTEROSI</v>
          </cell>
          <cell r="B4543" t="str">
            <v>056038</v>
          </cell>
          <cell r="C4543" t="str">
            <v>VT</v>
          </cell>
          <cell r="D4543" t="str">
            <v>VT</v>
          </cell>
          <cell r="E4543" t="str">
            <v>01030</v>
          </cell>
        </row>
        <row r="4544">
          <cell r="A4544" t="str">
            <v>NEPI</v>
          </cell>
          <cell r="B4544" t="str">
            <v>056039</v>
          </cell>
          <cell r="C4544" t="str">
            <v>VT</v>
          </cell>
          <cell r="D4544" t="str">
            <v>VT</v>
          </cell>
          <cell r="E4544" t="str">
            <v>01036</v>
          </cell>
        </row>
        <row r="4545">
          <cell r="A4545" t="str">
            <v>ONANO</v>
          </cell>
          <cell r="B4545" t="str">
            <v>056040</v>
          </cell>
          <cell r="C4545" t="str">
            <v>VT</v>
          </cell>
          <cell r="D4545" t="str">
            <v>VT</v>
          </cell>
          <cell r="E4545" t="str">
            <v>01010</v>
          </cell>
        </row>
        <row r="4546">
          <cell r="A4546" t="str">
            <v>ORIOLO ROMANO</v>
          </cell>
          <cell r="B4546" t="str">
            <v>056041</v>
          </cell>
          <cell r="C4546" t="str">
            <v>VT</v>
          </cell>
          <cell r="D4546" t="str">
            <v>VT</v>
          </cell>
          <cell r="E4546" t="str">
            <v>01010</v>
          </cell>
        </row>
        <row r="4547">
          <cell r="A4547" t="str">
            <v>ORTE</v>
          </cell>
          <cell r="B4547" t="str">
            <v>056042</v>
          </cell>
          <cell r="C4547" t="str">
            <v>VT</v>
          </cell>
          <cell r="D4547" t="str">
            <v>VT</v>
          </cell>
          <cell r="E4547" t="str">
            <v>01028</v>
          </cell>
        </row>
        <row r="4548">
          <cell r="A4548" t="str">
            <v>PIANSANO</v>
          </cell>
          <cell r="B4548" t="str">
            <v>056043</v>
          </cell>
          <cell r="C4548" t="str">
            <v>VT</v>
          </cell>
          <cell r="D4548" t="str">
            <v>VT</v>
          </cell>
          <cell r="E4548" t="str">
            <v>01010</v>
          </cell>
        </row>
        <row r="4549">
          <cell r="A4549" t="str">
            <v>PROCENO</v>
          </cell>
          <cell r="B4549" t="str">
            <v>056044</v>
          </cell>
          <cell r="C4549" t="str">
            <v>VT</v>
          </cell>
          <cell r="D4549" t="str">
            <v>VT</v>
          </cell>
          <cell r="E4549" t="str">
            <v>01020</v>
          </cell>
        </row>
        <row r="4550">
          <cell r="A4550" t="str">
            <v>RONCIGLIONE</v>
          </cell>
          <cell r="B4550" t="str">
            <v>056045</v>
          </cell>
          <cell r="C4550" t="str">
            <v>VT</v>
          </cell>
          <cell r="D4550" t="str">
            <v>VT</v>
          </cell>
          <cell r="E4550" t="str">
            <v>01037</v>
          </cell>
        </row>
        <row r="4551">
          <cell r="A4551" t="str">
            <v>VILLA SAN GIOVANNI IN TUSCIA</v>
          </cell>
          <cell r="B4551" t="str">
            <v>056046</v>
          </cell>
          <cell r="C4551" t="str">
            <v>VT</v>
          </cell>
          <cell r="D4551" t="str">
            <v>VT</v>
          </cell>
          <cell r="E4551" t="str">
            <v>01010</v>
          </cell>
        </row>
        <row r="4552">
          <cell r="A4552" t="str">
            <v>SAN LORENZO NUOVO</v>
          </cell>
          <cell r="B4552" t="str">
            <v>056047</v>
          </cell>
          <cell r="C4552" t="str">
            <v>VT</v>
          </cell>
          <cell r="D4552" t="str">
            <v>VT</v>
          </cell>
          <cell r="E4552" t="str">
            <v>01020</v>
          </cell>
        </row>
        <row r="4553">
          <cell r="A4553" t="str">
            <v>SORIANO NEL CIMINO</v>
          </cell>
          <cell r="B4553" t="str">
            <v>056048</v>
          </cell>
          <cell r="C4553" t="str">
            <v>VT</v>
          </cell>
          <cell r="D4553" t="str">
            <v>VT</v>
          </cell>
          <cell r="E4553" t="str">
            <v>01038</v>
          </cell>
        </row>
        <row r="4554">
          <cell r="A4554" t="str">
            <v>SUTRI</v>
          </cell>
          <cell r="B4554" t="str">
            <v>056049</v>
          </cell>
          <cell r="C4554" t="str">
            <v>VT</v>
          </cell>
          <cell r="D4554" t="str">
            <v>VT</v>
          </cell>
          <cell r="E4554" t="str">
            <v>01015</v>
          </cell>
        </row>
        <row r="4555">
          <cell r="A4555" t="str">
            <v>TARQUINIA</v>
          </cell>
          <cell r="B4555" t="str">
            <v>056050</v>
          </cell>
          <cell r="C4555" t="str">
            <v>VT</v>
          </cell>
          <cell r="D4555" t="str">
            <v>VT</v>
          </cell>
          <cell r="E4555" t="str">
            <v>01016</v>
          </cell>
        </row>
        <row r="4556">
          <cell r="A4556" t="str">
            <v>TESSENNANO</v>
          </cell>
          <cell r="B4556" t="str">
            <v>056051</v>
          </cell>
          <cell r="C4556" t="str">
            <v>VT</v>
          </cell>
          <cell r="D4556" t="str">
            <v>VT</v>
          </cell>
          <cell r="E4556" t="str">
            <v>01010</v>
          </cell>
        </row>
        <row r="4557">
          <cell r="A4557" t="str">
            <v>TUSCANIA</v>
          </cell>
          <cell r="B4557" t="str">
            <v>056052</v>
          </cell>
          <cell r="C4557" t="str">
            <v>VT</v>
          </cell>
          <cell r="D4557" t="str">
            <v>VT</v>
          </cell>
          <cell r="E4557" t="str">
            <v>01017</v>
          </cell>
        </row>
        <row r="4558">
          <cell r="A4558" t="str">
            <v>VALENTANO</v>
          </cell>
          <cell r="B4558" t="str">
            <v>056053</v>
          </cell>
          <cell r="C4558" t="str">
            <v>VT</v>
          </cell>
          <cell r="D4558" t="str">
            <v>VT</v>
          </cell>
          <cell r="E4558" t="str">
            <v>01018</v>
          </cell>
        </row>
        <row r="4559">
          <cell r="A4559" t="str">
            <v>VALLERANO</v>
          </cell>
          <cell r="B4559" t="str">
            <v>056054</v>
          </cell>
          <cell r="C4559" t="str">
            <v>VT</v>
          </cell>
          <cell r="D4559" t="str">
            <v>VT</v>
          </cell>
          <cell r="E4559" t="str">
            <v>01030</v>
          </cell>
        </row>
        <row r="4560">
          <cell r="A4560" t="str">
            <v>VASANELLO</v>
          </cell>
          <cell r="B4560" t="str">
            <v>056055</v>
          </cell>
          <cell r="C4560" t="str">
            <v>VT</v>
          </cell>
          <cell r="D4560" t="str">
            <v>VT</v>
          </cell>
          <cell r="E4560" t="str">
            <v>01030</v>
          </cell>
        </row>
        <row r="4561">
          <cell r="A4561" t="str">
            <v>VEJANO</v>
          </cell>
          <cell r="B4561" t="str">
            <v>056056</v>
          </cell>
          <cell r="C4561" t="str">
            <v>VT</v>
          </cell>
          <cell r="D4561" t="str">
            <v>VT</v>
          </cell>
          <cell r="E4561" t="str">
            <v>01010</v>
          </cell>
        </row>
        <row r="4562">
          <cell r="A4562" t="str">
            <v>VETRALLA</v>
          </cell>
          <cell r="B4562" t="str">
            <v>056057</v>
          </cell>
          <cell r="C4562" t="str">
            <v>VT</v>
          </cell>
          <cell r="D4562" t="str">
            <v>VT</v>
          </cell>
          <cell r="E4562" t="str">
            <v>01019</v>
          </cell>
        </row>
        <row r="4563">
          <cell r="A4563" t="str">
            <v>VIGNANELLO</v>
          </cell>
          <cell r="B4563" t="str">
            <v>056058</v>
          </cell>
          <cell r="C4563" t="str">
            <v>VT</v>
          </cell>
          <cell r="D4563" t="str">
            <v>VT</v>
          </cell>
          <cell r="E4563" t="str">
            <v>01039</v>
          </cell>
        </row>
        <row r="4564">
          <cell r="A4564" t="str">
            <v>VITERBO</v>
          </cell>
          <cell r="B4564" t="str">
            <v>056059</v>
          </cell>
          <cell r="C4564" t="str">
            <v>VT</v>
          </cell>
          <cell r="D4564" t="str">
            <v>VT</v>
          </cell>
          <cell r="E4564" t="str">
            <v>01100</v>
          </cell>
        </row>
        <row r="4565">
          <cell r="A4565" t="str">
            <v>VITORCHIANO</v>
          </cell>
          <cell r="B4565" t="str">
            <v>056060</v>
          </cell>
          <cell r="C4565" t="str">
            <v>VT</v>
          </cell>
          <cell r="D4565" t="str">
            <v>VT</v>
          </cell>
          <cell r="E4565" t="str">
            <v>01030</v>
          </cell>
        </row>
        <row r="4566">
          <cell r="A4566" t="str">
            <v>ACCUMOLI</v>
          </cell>
          <cell r="B4566" t="str">
            <v>057001</v>
          </cell>
          <cell r="C4566" t="str">
            <v>RI</v>
          </cell>
          <cell r="D4566" t="str">
            <v>RI</v>
          </cell>
          <cell r="E4566" t="str">
            <v>02011</v>
          </cell>
        </row>
        <row r="4567">
          <cell r="A4567" t="str">
            <v>AMATRICE</v>
          </cell>
          <cell r="B4567" t="str">
            <v>057002</v>
          </cell>
          <cell r="C4567" t="str">
            <v>RI</v>
          </cell>
          <cell r="D4567" t="str">
            <v>RI</v>
          </cell>
          <cell r="E4567" t="str">
            <v>02012</v>
          </cell>
        </row>
        <row r="4568">
          <cell r="A4568" t="str">
            <v>ANTRODOCO</v>
          </cell>
          <cell r="B4568" t="str">
            <v>057003</v>
          </cell>
          <cell r="C4568" t="str">
            <v>RI</v>
          </cell>
          <cell r="D4568" t="str">
            <v>RI</v>
          </cell>
          <cell r="E4568" t="str">
            <v>02013</v>
          </cell>
        </row>
        <row r="4569">
          <cell r="A4569" t="str">
            <v>ASCREA</v>
          </cell>
          <cell r="B4569" t="str">
            <v>057004</v>
          </cell>
          <cell r="C4569" t="str">
            <v>RI</v>
          </cell>
          <cell r="D4569" t="str">
            <v>RI</v>
          </cell>
          <cell r="E4569" t="str">
            <v>02020</v>
          </cell>
        </row>
        <row r="4570">
          <cell r="A4570" t="str">
            <v>BELMONTE IN SABINA</v>
          </cell>
          <cell r="B4570" t="str">
            <v>057005</v>
          </cell>
          <cell r="C4570" t="str">
            <v>RI</v>
          </cell>
          <cell r="D4570" t="str">
            <v>RI</v>
          </cell>
          <cell r="E4570" t="str">
            <v>02020</v>
          </cell>
        </row>
        <row r="4571">
          <cell r="A4571" t="str">
            <v>BORBONA</v>
          </cell>
          <cell r="B4571" t="str">
            <v>057006</v>
          </cell>
          <cell r="C4571" t="str">
            <v>RI</v>
          </cell>
          <cell r="D4571" t="str">
            <v>RI</v>
          </cell>
          <cell r="E4571" t="str">
            <v>02010</v>
          </cell>
        </row>
        <row r="4572">
          <cell r="A4572" t="str">
            <v>BORGOROSE</v>
          </cell>
          <cell r="B4572" t="str">
            <v>057007</v>
          </cell>
          <cell r="C4572" t="str">
            <v>RI</v>
          </cell>
          <cell r="D4572" t="str">
            <v>RI</v>
          </cell>
          <cell r="E4572" t="str">
            <v>02021</v>
          </cell>
        </row>
        <row r="4573">
          <cell r="A4573" t="str">
            <v>BORGO VELINO</v>
          </cell>
          <cell r="B4573" t="str">
            <v>057008</v>
          </cell>
          <cell r="C4573" t="str">
            <v>RI</v>
          </cell>
          <cell r="D4573" t="str">
            <v>RI</v>
          </cell>
          <cell r="E4573" t="str">
            <v>02010</v>
          </cell>
        </row>
        <row r="4574">
          <cell r="A4574" t="str">
            <v>CANTALICE</v>
          </cell>
          <cell r="B4574" t="str">
            <v>057009</v>
          </cell>
          <cell r="C4574" t="str">
            <v>RI</v>
          </cell>
          <cell r="D4574" t="str">
            <v>RI</v>
          </cell>
          <cell r="E4574" t="str">
            <v>02014</v>
          </cell>
        </row>
        <row r="4575">
          <cell r="A4575" t="str">
            <v>CANTALUPO IN SABINA</v>
          </cell>
          <cell r="B4575" t="str">
            <v>057010</v>
          </cell>
          <cell r="C4575" t="str">
            <v>RI</v>
          </cell>
          <cell r="D4575" t="str">
            <v>RI</v>
          </cell>
          <cell r="E4575" t="str">
            <v>02040</v>
          </cell>
        </row>
        <row r="4576">
          <cell r="A4576" t="str">
            <v>CASAPROTA</v>
          </cell>
          <cell r="B4576" t="str">
            <v>057011</v>
          </cell>
          <cell r="C4576" t="str">
            <v>RI</v>
          </cell>
          <cell r="D4576" t="str">
            <v>RI</v>
          </cell>
          <cell r="E4576" t="str">
            <v>02030</v>
          </cell>
        </row>
        <row r="4577">
          <cell r="A4577" t="str">
            <v>CASPERIA</v>
          </cell>
          <cell r="B4577" t="str">
            <v>057012</v>
          </cell>
          <cell r="C4577" t="str">
            <v>RI</v>
          </cell>
          <cell r="D4577" t="str">
            <v>RI</v>
          </cell>
          <cell r="E4577" t="str">
            <v>02041</v>
          </cell>
        </row>
        <row r="4578">
          <cell r="A4578" t="str">
            <v>CASTEL DI TORA</v>
          </cell>
          <cell r="B4578" t="str">
            <v>057013</v>
          </cell>
          <cell r="C4578" t="str">
            <v>RI</v>
          </cell>
          <cell r="D4578" t="str">
            <v>RI</v>
          </cell>
          <cell r="E4578" t="str">
            <v>02020</v>
          </cell>
        </row>
        <row r="4579">
          <cell r="A4579" t="str">
            <v>CASTELNUOVO DI FARFA</v>
          </cell>
          <cell r="B4579" t="str">
            <v>057014</v>
          </cell>
          <cell r="C4579" t="str">
            <v>RI</v>
          </cell>
          <cell r="D4579" t="str">
            <v>RI</v>
          </cell>
          <cell r="E4579" t="str">
            <v>02031</v>
          </cell>
        </row>
        <row r="4580">
          <cell r="A4580" t="str">
            <v>CASTEL SANT'ANGELO</v>
          </cell>
          <cell r="B4580" t="str">
            <v>057015</v>
          </cell>
          <cell r="C4580" t="str">
            <v>RI</v>
          </cell>
          <cell r="D4580" t="str">
            <v>RI</v>
          </cell>
          <cell r="E4580" t="str">
            <v>02010</v>
          </cell>
        </row>
        <row r="4581">
          <cell r="A4581" t="str">
            <v>CITTADUCALE</v>
          </cell>
          <cell r="B4581" t="str">
            <v>057016</v>
          </cell>
          <cell r="C4581" t="str">
            <v>RI</v>
          </cell>
          <cell r="D4581" t="str">
            <v>RI</v>
          </cell>
          <cell r="E4581" t="str">
            <v>02015</v>
          </cell>
        </row>
        <row r="4582">
          <cell r="A4582" t="str">
            <v>CITTAREALE</v>
          </cell>
          <cell r="B4582" t="str">
            <v>057017</v>
          </cell>
          <cell r="C4582" t="str">
            <v>RI</v>
          </cell>
          <cell r="D4582" t="str">
            <v>RI</v>
          </cell>
          <cell r="E4582" t="str">
            <v>02010</v>
          </cell>
        </row>
        <row r="4583">
          <cell r="A4583" t="str">
            <v>COLLALTO SABINO</v>
          </cell>
          <cell r="B4583" t="str">
            <v>057018</v>
          </cell>
          <cell r="C4583" t="str">
            <v>RI</v>
          </cell>
          <cell r="D4583" t="str">
            <v>RI</v>
          </cell>
          <cell r="E4583" t="str">
            <v>02022</v>
          </cell>
        </row>
        <row r="4584">
          <cell r="A4584" t="str">
            <v>COLLE DI TORA</v>
          </cell>
          <cell r="B4584" t="str">
            <v>057019</v>
          </cell>
          <cell r="C4584" t="str">
            <v>RI</v>
          </cell>
          <cell r="D4584" t="str">
            <v>RI</v>
          </cell>
          <cell r="E4584" t="str">
            <v>02020</v>
          </cell>
        </row>
        <row r="4585">
          <cell r="A4585" t="str">
            <v>COLLEGIOVE</v>
          </cell>
          <cell r="B4585" t="str">
            <v>057020</v>
          </cell>
          <cell r="C4585" t="str">
            <v>RI</v>
          </cell>
          <cell r="D4585" t="str">
            <v>RI</v>
          </cell>
          <cell r="E4585" t="str">
            <v>02020</v>
          </cell>
        </row>
        <row r="4586">
          <cell r="A4586" t="str">
            <v>COLLEVECCHIO</v>
          </cell>
          <cell r="B4586" t="str">
            <v>057021</v>
          </cell>
          <cell r="C4586" t="str">
            <v>RI</v>
          </cell>
          <cell r="D4586" t="str">
            <v>RI</v>
          </cell>
          <cell r="E4586" t="str">
            <v>02042</v>
          </cell>
        </row>
        <row r="4587">
          <cell r="A4587" t="str">
            <v>COLLI SUL VELINO</v>
          </cell>
          <cell r="B4587" t="str">
            <v>057022</v>
          </cell>
          <cell r="C4587" t="str">
            <v>RI</v>
          </cell>
          <cell r="D4587" t="str">
            <v>RI</v>
          </cell>
          <cell r="E4587" t="str">
            <v>02010</v>
          </cell>
        </row>
        <row r="4588">
          <cell r="A4588" t="str">
            <v>CONCERVIANO</v>
          </cell>
          <cell r="B4588" t="str">
            <v>057023</v>
          </cell>
          <cell r="C4588" t="str">
            <v>RI</v>
          </cell>
          <cell r="D4588" t="str">
            <v>RI</v>
          </cell>
          <cell r="E4588" t="str">
            <v>02020</v>
          </cell>
        </row>
        <row r="4589">
          <cell r="A4589" t="str">
            <v>CONFIGNI</v>
          </cell>
          <cell r="B4589" t="str">
            <v>057024</v>
          </cell>
          <cell r="C4589" t="str">
            <v>RI</v>
          </cell>
          <cell r="D4589" t="str">
            <v>RI</v>
          </cell>
          <cell r="E4589" t="str">
            <v>02040</v>
          </cell>
        </row>
        <row r="4590">
          <cell r="A4590" t="str">
            <v>CONTIGLIANO</v>
          </cell>
          <cell r="B4590" t="str">
            <v>057025</v>
          </cell>
          <cell r="C4590" t="str">
            <v>RI</v>
          </cell>
          <cell r="D4590" t="str">
            <v>RI</v>
          </cell>
          <cell r="E4590" t="str">
            <v>02043</v>
          </cell>
        </row>
        <row r="4591">
          <cell r="A4591" t="str">
            <v>COTTANELLO</v>
          </cell>
          <cell r="B4591" t="str">
            <v>057026</v>
          </cell>
          <cell r="C4591" t="str">
            <v>RI</v>
          </cell>
          <cell r="D4591" t="str">
            <v>RI</v>
          </cell>
          <cell r="E4591" t="str">
            <v>02040</v>
          </cell>
        </row>
        <row r="4592">
          <cell r="A4592" t="str">
            <v>FARA IN SABINA</v>
          </cell>
          <cell r="B4592" t="str">
            <v>057027</v>
          </cell>
          <cell r="C4592" t="str">
            <v>RI</v>
          </cell>
          <cell r="D4592" t="str">
            <v>RI</v>
          </cell>
          <cell r="E4592" t="str">
            <v>02032</v>
          </cell>
        </row>
        <row r="4593">
          <cell r="A4593" t="str">
            <v>FIAMIGNANO</v>
          </cell>
          <cell r="B4593" t="str">
            <v>057028</v>
          </cell>
          <cell r="C4593" t="str">
            <v>RI</v>
          </cell>
          <cell r="D4593" t="str">
            <v>RI</v>
          </cell>
          <cell r="E4593" t="str">
            <v>02023</v>
          </cell>
        </row>
        <row r="4594">
          <cell r="A4594" t="str">
            <v>FORANO</v>
          </cell>
          <cell r="B4594" t="str">
            <v>057029</v>
          </cell>
          <cell r="C4594" t="str">
            <v>RI</v>
          </cell>
          <cell r="D4594" t="str">
            <v>RI</v>
          </cell>
          <cell r="E4594" t="str">
            <v>02044</v>
          </cell>
        </row>
        <row r="4595">
          <cell r="A4595" t="str">
            <v>FRASSO SABINO</v>
          </cell>
          <cell r="B4595" t="str">
            <v>057030</v>
          </cell>
          <cell r="C4595" t="str">
            <v>RI</v>
          </cell>
          <cell r="D4595" t="str">
            <v>RI</v>
          </cell>
          <cell r="E4595" t="str">
            <v>02030</v>
          </cell>
        </row>
        <row r="4596">
          <cell r="A4596" t="str">
            <v>GRECCIO</v>
          </cell>
          <cell r="B4596" t="str">
            <v>057031</v>
          </cell>
          <cell r="C4596" t="str">
            <v>RI</v>
          </cell>
          <cell r="D4596" t="str">
            <v>RI</v>
          </cell>
          <cell r="E4596" t="str">
            <v>02045</v>
          </cell>
        </row>
        <row r="4597">
          <cell r="A4597" t="str">
            <v>LABRO</v>
          </cell>
          <cell r="B4597" t="str">
            <v>057032</v>
          </cell>
          <cell r="C4597" t="str">
            <v>RI</v>
          </cell>
          <cell r="D4597" t="str">
            <v>RI</v>
          </cell>
          <cell r="E4597" t="str">
            <v>02010</v>
          </cell>
        </row>
        <row r="4598">
          <cell r="A4598" t="str">
            <v>LEONESSA</v>
          </cell>
          <cell r="B4598" t="str">
            <v>057033</v>
          </cell>
          <cell r="C4598" t="str">
            <v>RI</v>
          </cell>
          <cell r="D4598" t="str">
            <v>RI</v>
          </cell>
          <cell r="E4598" t="str">
            <v>02016</v>
          </cell>
        </row>
        <row r="4599">
          <cell r="A4599" t="str">
            <v>LONGONE SABINO</v>
          </cell>
          <cell r="B4599" t="str">
            <v>057034</v>
          </cell>
          <cell r="C4599" t="str">
            <v>RI</v>
          </cell>
          <cell r="D4599" t="str">
            <v>RI</v>
          </cell>
          <cell r="E4599" t="str">
            <v>02020</v>
          </cell>
        </row>
        <row r="4600">
          <cell r="A4600" t="str">
            <v>MAGLIANO SABINA</v>
          </cell>
          <cell r="B4600" t="str">
            <v>057035</v>
          </cell>
          <cell r="C4600" t="str">
            <v>RI</v>
          </cell>
          <cell r="D4600" t="str">
            <v>RI</v>
          </cell>
          <cell r="E4600" t="str">
            <v>02046</v>
          </cell>
        </row>
        <row r="4601">
          <cell r="A4601" t="str">
            <v>MARCETELLI</v>
          </cell>
          <cell r="B4601" t="str">
            <v>057036</v>
          </cell>
          <cell r="C4601" t="str">
            <v>RI</v>
          </cell>
          <cell r="D4601" t="str">
            <v>RI</v>
          </cell>
          <cell r="E4601" t="str">
            <v>02020</v>
          </cell>
        </row>
        <row r="4602">
          <cell r="A4602" t="str">
            <v>MICIGLIANO</v>
          </cell>
          <cell r="B4602" t="str">
            <v>057037</v>
          </cell>
          <cell r="C4602" t="str">
            <v>RI</v>
          </cell>
          <cell r="D4602" t="str">
            <v>RI</v>
          </cell>
          <cell r="E4602" t="str">
            <v>02010</v>
          </cell>
        </row>
        <row r="4603">
          <cell r="A4603" t="str">
            <v>MOMPEO</v>
          </cell>
          <cell r="B4603" t="str">
            <v>057038</v>
          </cell>
          <cell r="C4603" t="str">
            <v>RI</v>
          </cell>
          <cell r="D4603" t="str">
            <v>RI</v>
          </cell>
          <cell r="E4603" t="str">
            <v>02040</v>
          </cell>
        </row>
        <row r="4604">
          <cell r="A4604" t="str">
            <v>MONTASOLA</v>
          </cell>
          <cell r="B4604" t="str">
            <v>057039</v>
          </cell>
          <cell r="C4604" t="str">
            <v>RI</v>
          </cell>
          <cell r="D4604" t="str">
            <v>RI</v>
          </cell>
          <cell r="E4604" t="str">
            <v>02040</v>
          </cell>
        </row>
        <row r="4605">
          <cell r="A4605" t="str">
            <v>MONTEBUONO</v>
          </cell>
          <cell r="B4605" t="str">
            <v>057040</v>
          </cell>
          <cell r="C4605" t="str">
            <v>RI</v>
          </cell>
          <cell r="D4605" t="str">
            <v>RI</v>
          </cell>
          <cell r="E4605" t="str">
            <v>02040</v>
          </cell>
        </row>
        <row r="4606">
          <cell r="A4606" t="str">
            <v>MONTELEONE SABINO</v>
          </cell>
          <cell r="B4606" t="str">
            <v>057041</v>
          </cell>
          <cell r="C4606" t="str">
            <v>RI</v>
          </cell>
          <cell r="D4606" t="str">
            <v>RI</v>
          </cell>
          <cell r="E4606" t="str">
            <v>02033</v>
          </cell>
        </row>
        <row r="4607">
          <cell r="A4607" t="str">
            <v>MONTENERO SABINO</v>
          </cell>
          <cell r="B4607" t="str">
            <v>057042</v>
          </cell>
          <cell r="C4607" t="str">
            <v>RI</v>
          </cell>
          <cell r="D4607" t="str">
            <v>RI</v>
          </cell>
          <cell r="E4607" t="str">
            <v>02040</v>
          </cell>
        </row>
        <row r="4608">
          <cell r="A4608" t="str">
            <v>MONTE SAN GIOVANNI IN SABINA</v>
          </cell>
          <cell r="B4608" t="str">
            <v>057043</v>
          </cell>
          <cell r="C4608" t="str">
            <v>RI</v>
          </cell>
          <cell r="D4608" t="str">
            <v>RI</v>
          </cell>
          <cell r="E4608" t="str">
            <v>02040</v>
          </cell>
        </row>
        <row r="4609">
          <cell r="A4609" t="str">
            <v>MONTOPOLI DI SABINA</v>
          </cell>
          <cell r="B4609" t="str">
            <v>057044</v>
          </cell>
          <cell r="C4609" t="str">
            <v>RI</v>
          </cell>
          <cell r="D4609" t="str">
            <v>RI</v>
          </cell>
          <cell r="E4609" t="str">
            <v>02034</v>
          </cell>
        </row>
        <row r="4610">
          <cell r="A4610" t="str">
            <v>MORRO REATINO</v>
          </cell>
          <cell r="B4610" t="str">
            <v>057045</v>
          </cell>
          <cell r="C4610" t="str">
            <v>RI</v>
          </cell>
          <cell r="D4610" t="str">
            <v>RI</v>
          </cell>
          <cell r="E4610" t="str">
            <v>02010</v>
          </cell>
        </row>
        <row r="4611">
          <cell r="A4611" t="str">
            <v>NESPOLO</v>
          </cell>
          <cell r="B4611" t="str">
            <v>057046</v>
          </cell>
          <cell r="C4611" t="str">
            <v>RI</v>
          </cell>
          <cell r="D4611" t="str">
            <v>RI</v>
          </cell>
          <cell r="E4611" t="str">
            <v>02020</v>
          </cell>
        </row>
        <row r="4612">
          <cell r="A4612" t="str">
            <v>ORVINIO</v>
          </cell>
          <cell r="B4612" t="str">
            <v>057047</v>
          </cell>
          <cell r="C4612" t="str">
            <v>RI</v>
          </cell>
          <cell r="D4612" t="str">
            <v>RI</v>
          </cell>
          <cell r="E4612" t="str">
            <v>02035</v>
          </cell>
        </row>
        <row r="4613">
          <cell r="A4613" t="str">
            <v>PAGANICO SABINO</v>
          </cell>
          <cell r="B4613" t="str">
            <v>057048</v>
          </cell>
          <cell r="C4613" t="str">
            <v>RI</v>
          </cell>
          <cell r="D4613" t="str">
            <v>RI</v>
          </cell>
          <cell r="E4613" t="str">
            <v>02020</v>
          </cell>
        </row>
        <row r="4614">
          <cell r="A4614" t="str">
            <v>PESCOROCCHIANO</v>
          </cell>
          <cell r="B4614" t="str">
            <v>057049</v>
          </cell>
          <cell r="C4614" t="str">
            <v>RI</v>
          </cell>
          <cell r="D4614" t="str">
            <v>RI</v>
          </cell>
          <cell r="E4614" t="str">
            <v>02024</v>
          </cell>
        </row>
        <row r="4615">
          <cell r="A4615" t="str">
            <v>PETRELLA SALTO</v>
          </cell>
          <cell r="B4615" t="str">
            <v>057050</v>
          </cell>
          <cell r="C4615" t="str">
            <v>RI</v>
          </cell>
          <cell r="D4615" t="str">
            <v>RI</v>
          </cell>
          <cell r="E4615" t="str">
            <v>02025</v>
          </cell>
        </row>
        <row r="4616">
          <cell r="A4616" t="str">
            <v>POGGIO BUSTONE</v>
          </cell>
          <cell r="B4616" t="str">
            <v>057051</v>
          </cell>
          <cell r="C4616" t="str">
            <v>RI</v>
          </cell>
          <cell r="D4616" t="str">
            <v>RI</v>
          </cell>
          <cell r="E4616" t="str">
            <v>02018</v>
          </cell>
        </row>
        <row r="4617">
          <cell r="A4617" t="str">
            <v>POGGIO CATINO</v>
          </cell>
          <cell r="B4617" t="str">
            <v>057052</v>
          </cell>
          <cell r="C4617" t="str">
            <v>RI</v>
          </cell>
          <cell r="D4617" t="str">
            <v>RI</v>
          </cell>
          <cell r="E4617" t="str">
            <v>02040</v>
          </cell>
        </row>
        <row r="4618">
          <cell r="A4618" t="str">
            <v>POGGIO MIRTETO</v>
          </cell>
          <cell r="B4618" t="str">
            <v>057053</v>
          </cell>
          <cell r="C4618" t="str">
            <v>RI</v>
          </cell>
          <cell r="D4618" t="str">
            <v>RI</v>
          </cell>
          <cell r="E4618" t="str">
            <v>02047</v>
          </cell>
        </row>
        <row r="4619">
          <cell r="A4619" t="str">
            <v>POGGIO MOIANO</v>
          </cell>
          <cell r="B4619" t="str">
            <v>057054</v>
          </cell>
          <cell r="C4619" t="str">
            <v>RI</v>
          </cell>
          <cell r="D4619" t="str">
            <v>RI</v>
          </cell>
          <cell r="E4619" t="str">
            <v>02037</v>
          </cell>
        </row>
        <row r="4620">
          <cell r="A4620" t="str">
            <v>POGGIO NATIVO</v>
          </cell>
          <cell r="B4620" t="str">
            <v>057055</v>
          </cell>
          <cell r="C4620" t="str">
            <v>RI</v>
          </cell>
          <cell r="D4620" t="str">
            <v>RI</v>
          </cell>
          <cell r="E4620" t="str">
            <v>02030</v>
          </cell>
        </row>
        <row r="4621">
          <cell r="A4621" t="str">
            <v>POGGIO SAN LORENZO</v>
          </cell>
          <cell r="B4621" t="str">
            <v>057056</v>
          </cell>
          <cell r="C4621" t="str">
            <v>RI</v>
          </cell>
          <cell r="D4621" t="str">
            <v>RI</v>
          </cell>
          <cell r="E4621" t="str">
            <v>02030</v>
          </cell>
        </row>
        <row r="4622">
          <cell r="A4622" t="str">
            <v>POSTA</v>
          </cell>
          <cell r="B4622" t="str">
            <v>057057</v>
          </cell>
          <cell r="C4622" t="str">
            <v>RI</v>
          </cell>
          <cell r="D4622" t="str">
            <v>RI</v>
          </cell>
          <cell r="E4622" t="str">
            <v>02019</v>
          </cell>
        </row>
        <row r="4623">
          <cell r="A4623" t="str">
            <v>POZZAGLIA SABINA</v>
          </cell>
          <cell r="B4623" t="str">
            <v>057058</v>
          </cell>
          <cell r="C4623" t="str">
            <v>RI</v>
          </cell>
          <cell r="D4623" t="str">
            <v>RI</v>
          </cell>
          <cell r="E4623" t="str">
            <v>02030</v>
          </cell>
        </row>
        <row r="4624">
          <cell r="A4624" t="str">
            <v>RIETI</v>
          </cell>
          <cell r="B4624" t="str">
            <v>057059</v>
          </cell>
          <cell r="C4624" t="str">
            <v>RI</v>
          </cell>
          <cell r="D4624" t="str">
            <v>RI</v>
          </cell>
          <cell r="E4624" t="str">
            <v>02100</v>
          </cell>
        </row>
        <row r="4625">
          <cell r="A4625" t="str">
            <v>RIVODUTRI</v>
          </cell>
          <cell r="B4625" t="str">
            <v>057060</v>
          </cell>
          <cell r="C4625" t="str">
            <v>RI</v>
          </cell>
          <cell r="D4625" t="str">
            <v>RI</v>
          </cell>
          <cell r="E4625" t="str">
            <v>02010</v>
          </cell>
        </row>
        <row r="4626">
          <cell r="A4626" t="str">
            <v>ROCCANTICA</v>
          </cell>
          <cell r="B4626" t="str">
            <v>057061</v>
          </cell>
          <cell r="C4626" t="str">
            <v>RI</v>
          </cell>
          <cell r="D4626" t="str">
            <v>RI</v>
          </cell>
          <cell r="E4626" t="str">
            <v>02040</v>
          </cell>
        </row>
        <row r="4627">
          <cell r="A4627" t="str">
            <v>ROCCA SINIBALDA</v>
          </cell>
          <cell r="B4627" t="str">
            <v>057062</v>
          </cell>
          <cell r="C4627" t="str">
            <v>RI</v>
          </cell>
          <cell r="D4627" t="str">
            <v>RI</v>
          </cell>
          <cell r="E4627" t="str">
            <v>02026</v>
          </cell>
        </row>
        <row r="4628">
          <cell r="A4628" t="str">
            <v>SALISANO</v>
          </cell>
          <cell r="B4628" t="str">
            <v>057063</v>
          </cell>
          <cell r="C4628" t="str">
            <v>RI</v>
          </cell>
          <cell r="D4628" t="str">
            <v>RI</v>
          </cell>
          <cell r="E4628" t="str">
            <v>02040</v>
          </cell>
        </row>
        <row r="4629">
          <cell r="A4629" t="str">
            <v>SCANDRIGLIA</v>
          </cell>
          <cell r="B4629" t="str">
            <v>057064</v>
          </cell>
          <cell r="C4629" t="str">
            <v>RI</v>
          </cell>
          <cell r="D4629" t="str">
            <v>RI</v>
          </cell>
          <cell r="E4629" t="str">
            <v>02038</v>
          </cell>
        </row>
        <row r="4630">
          <cell r="A4630" t="str">
            <v>SELCI</v>
          </cell>
          <cell r="B4630" t="str">
            <v>057065</v>
          </cell>
          <cell r="C4630" t="str">
            <v>RI</v>
          </cell>
          <cell r="D4630" t="str">
            <v>RI</v>
          </cell>
          <cell r="E4630" t="str">
            <v>02040</v>
          </cell>
        </row>
        <row r="4631">
          <cell r="A4631" t="str">
            <v>STIMIGLIANO</v>
          </cell>
          <cell r="B4631" t="str">
            <v>057066</v>
          </cell>
          <cell r="C4631" t="str">
            <v>RI</v>
          </cell>
          <cell r="D4631" t="str">
            <v>RI</v>
          </cell>
          <cell r="E4631" t="str">
            <v>02048</v>
          </cell>
        </row>
        <row r="4632">
          <cell r="A4632" t="str">
            <v>TARANO</v>
          </cell>
          <cell r="B4632" t="str">
            <v>057067</v>
          </cell>
          <cell r="C4632" t="str">
            <v>RI</v>
          </cell>
          <cell r="D4632" t="str">
            <v>RI</v>
          </cell>
          <cell r="E4632" t="str">
            <v>02040</v>
          </cell>
        </row>
        <row r="4633">
          <cell r="A4633" t="str">
            <v>TOFFIA</v>
          </cell>
          <cell r="B4633" t="str">
            <v>057068</v>
          </cell>
          <cell r="C4633" t="str">
            <v>RI</v>
          </cell>
          <cell r="D4633" t="str">
            <v>RI</v>
          </cell>
          <cell r="E4633" t="str">
            <v>02039</v>
          </cell>
        </row>
        <row r="4634">
          <cell r="A4634" t="str">
            <v>TORRICELLA IN SABINA</v>
          </cell>
          <cell r="B4634" t="str">
            <v>057069</v>
          </cell>
          <cell r="C4634" t="str">
            <v>RI</v>
          </cell>
          <cell r="D4634" t="str">
            <v>RI</v>
          </cell>
          <cell r="E4634" t="str">
            <v>02030</v>
          </cell>
        </row>
        <row r="4635">
          <cell r="A4635" t="str">
            <v>TORRI IN SABINA</v>
          </cell>
          <cell r="B4635" t="str">
            <v>057070</v>
          </cell>
          <cell r="C4635" t="str">
            <v>RI</v>
          </cell>
          <cell r="D4635" t="str">
            <v>RI</v>
          </cell>
          <cell r="E4635" t="str">
            <v>02049</v>
          </cell>
        </row>
        <row r="4636">
          <cell r="A4636" t="str">
            <v>TURANIA</v>
          </cell>
          <cell r="B4636" t="str">
            <v>057071</v>
          </cell>
          <cell r="C4636" t="str">
            <v>RI</v>
          </cell>
          <cell r="D4636" t="str">
            <v>RI</v>
          </cell>
          <cell r="E4636" t="str">
            <v>02020</v>
          </cell>
        </row>
        <row r="4637">
          <cell r="A4637" t="str">
            <v>VACONE</v>
          </cell>
          <cell r="B4637" t="str">
            <v>057072</v>
          </cell>
          <cell r="C4637" t="str">
            <v>RI</v>
          </cell>
          <cell r="D4637" t="str">
            <v>RI</v>
          </cell>
          <cell r="E4637" t="str">
            <v>02040</v>
          </cell>
        </row>
        <row r="4638">
          <cell r="A4638" t="str">
            <v>VARCO SABINO</v>
          </cell>
          <cell r="B4638" t="str">
            <v>057073</v>
          </cell>
          <cell r="C4638" t="str">
            <v>RI</v>
          </cell>
          <cell r="D4638" t="str">
            <v>RI</v>
          </cell>
          <cell r="E4638" t="str">
            <v>02020</v>
          </cell>
        </row>
        <row r="4639">
          <cell r="A4639" t="str">
            <v>AFFILE</v>
          </cell>
          <cell r="B4639" t="str">
            <v>058001</v>
          </cell>
          <cell r="C4639" t="str">
            <v>RM</v>
          </cell>
          <cell r="D4639" t="str">
            <v>RM</v>
          </cell>
          <cell r="E4639" t="str">
            <v>00021</v>
          </cell>
        </row>
        <row r="4640">
          <cell r="A4640" t="str">
            <v>AGOSTA</v>
          </cell>
          <cell r="B4640" t="str">
            <v>058002</v>
          </cell>
          <cell r="C4640" t="str">
            <v>RM</v>
          </cell>
          <cell r="D4640" t="str">
            <v>RM</v>
          </cell>
          <cell r="E4640" t="str">
            <v>00020</v>
          </cell>
        </row>
        <row r="4641">
          <cell r="A4641" t="str">
            <v>ALBANO LAZIALE</v>
          </cell>
          <cell r="B4641" t="str">
            <v>058003</v>
          </cell>
          <cell r="C4641" t="str">
            <v>RM</v>
          </cell>
          <cell r="D4641" t="str">
            <v>RM</v>
          </cell>
          <cell r="E4641" t="str">
            <v>00041</v>
          </cell>
        </row>
        <row r="4642">
          <cell r="A4642" t="str">
            <v>ALLUMIERE</v>
          </cell>
          <cell r="B4642" t="str">
            <v>058004</v>
          </cell>
          <cell r="C4642" t="str">
            <v>RM</v>
          </cell>
          <cell r="D4642" t="str">
            <v>RM</v>
          </cell>
          <cell r="E4642" t="str">
            <v>00051</v>
          </cell>
        </row>
        <row r="4643">
          <cell r="A4643" t="str">
            <v>ANGUILLARA SABAZIA</v>
          </cell>
          <cell r="B4643" t="str">
            <v>058005</v>
          </cell>
          <cell r="C4643" t="str">
            <v>RM</v>
          </cell>
          <cell r="D4643" t="str">
            <v>RM</v>
          </cell>
          <cell r="E4643" t="str">
            <v>00061</v>
          </cell>
        </row>
        <row r="4644">
          <cell r="A4644" t="str">
            <v>ANTICOLI CORRADO</v>
          </cell>
          <cell r="B4644" t="str">
            <v>058006</v>
          </cell>
          <cell r="C4644" t="str">
            <v>RM</v>
          </cell>
          <cell r="D4644" t="str">
            <v>RM</v>
          </cell>
          <cell r="E4644" t="str">
            <v>00022</v>
          </cell>
        </row>
        <row r="4645">
          <cell r="A4645" t="str">
            <v>ANZIO</v>
          </cell>
          <cell r="B4645" t="str">
            <v>058007</v>
          </cell>
          <cell r="C4645" t="str">
            <v>RM</v>
          </cell>
          <cell r="D4645" t="str">
            <v>RM</v>
          </cell>
          <cell r="E4645" t="str">
            <v>00042</v>
          </cell>
        </row>
        <row r="4646">
          <cell r="A4646" t="str">
            <v>ARCINAZZO ROMANO</v>
          </cell>
          <cell r="B4646" t="str">
            <v>058008</v>
          </cell>
          <cell r="C4646" t="str">
            <v>RM</v>
          </cell>
          <cell r="D4646" t="str">
            <v>RM</v>
          </cell>
          <cell r="E4646" t="str">
            <v>00020</v>
          </cell>
        </row>
        <row r="4647">
          <cell r="A4647" t="str">
            <v>ARICCIA</v>
          </cell>
          <cell r="B4647" t="str">
            <v>058009</v>
          </cell>
          <cell r="C4647" t="str">
            <v>RM</v>
          </cell>
          <cell r="D4647" t="str">
            <v>RM</v>
          </cell>
          <cell r="E4647" t="str">
            <v>00040</v>
          </cell>
        </row>
        <row r="4648">
          <cell r="A4648" t="str">
            <v>ARSOLI</v>
          </cell>
          <cell r="B4648" t="str">
            <v>058010</v>
          </cell>
          <cell r="C4648" t="str">
            <v>RM</v>
          </cell>
          <cell r="D4648" t="str">
            <v>RM</v>
          </cell>
          <cell r="E4648" t="str">
            <v>00023</v>
          </cell>
        </row>
        <row r="4649">
          <cell r="A4649" t="str">
            <v>ARTENA</v>
          </cell>
          <cell r="B4649" t="str">
            <v>058011</v>
          </cell>
          <cell r="C4649" t="str">
            <v>RM</v>
          </cell>
          <cell r="D4649" t="str">
            <v>RM</v>
          </cell>
          <cell r="E4649" t="str">
            <v>00031</v>
          </cell>
        </row>
        <row r="4650">
          <cell r="A4650" t="str">
            <v>BELLEGRA</v>
          </cell>
          <cell r="B4650" t="str">
            <v>058012</v>
          </cell>
          <cell r="C4650" t="str">
            <v>RM</v>
          </cell>
          <cell r="D4650" t="str">
            <v>RM</v>
          </cell>
          <cell r="E4650" t="str">
            <v>00030</v>
          </cell>
        </row>
        <row r="4651">
          <cell r="A4651" t="str">
            <v>BRACCIANO</v>
          </cell>
          <cell r="B4651" t="str">
            <v>058013</v>
          </cell>
          <cell r="C4651" t="str">
            <v>RM</v>
          </cell>
          <cell r="D4651" t="str">
            <v>RM</v>
          </cell>
          <cell r="E4651" t="str">
            <v>00062</v>
          </cell>
        </row>
        <row r="4652">
          <cell r="A4652" t="str">
            <v>CAMERATA NUOVA</v>
          </cell>
          <cell r="B4652" t="str">
            <v>058014</v>
          </cell>
          <cell r="C4652" t="str">
            <v>RM</v>
          </cell>
          <cell r="D4652" t="str">
            <v>RM</v>
          </cell>
          <cell r="E4652" t="str">
            <v>00020</v>
          </cell>
        </row>
        <row r="4653">
          <cell r="A4653" t="str">
            <v>CAMPAGNANO DI ROMA</v>
          </cell>
          <cell r="B4653" t="str">
            <v>058015</v>
          </cell>
          <cell r="C4653" t="str">
            <v>RM</v>
          </cell>
          <cell r="D4653" t="str">
            <v>RM</v>
          </cell>
          <cell r="E4653" t="str">
            <v>00063</v>
          </cell>
        </row>
        <row r="4654">
          <cell r="A4654" t="str">
            <v>CANALE MONTERANO</v>
          </cell>
          <cell r="B4654" t="str">
            <v>058016</v>
          </cell>
          <cell r="C4654" t="str">
            <v>RM</v>
          </cell>
          <cell r="D4654" t="str">
            <v>RM</v>
          </cell>
          <cell r="E4654" t="str">
            <v>00060</v>
          </cell>
        </row>
        <row r="4655">
          <cell r="A4655" t="str">
            <v>CANTERANO</v>
          </cell>
          <cell r="B4655" t="str">
            <v>058017</v>
          </cell>
          <cell r="C4655" t="str">
            <v>RM</v>
          </cell>
          <cell r="D4655" t="str">
            <v>RM</v>
          </cell>
          <cell r="E4655" t="str">
            <v>00020</v>
          </cell>
        </row>
        <row r="4656">
          <cell r="A4656" t="str">
            <v>CAPENA</v>
          </cell>
          <cell r="B4656" t="str">
            <v>058018</v>
          </cell>
          <cell r="C4656" t="str">
            <v>RM</v>
          </cell>
          <cell r="D4656" t="str">
            <v>RM</v>
          </cell>
          <cell r="E4656" t="str">
            <v>00060</v>
          </cell>
        </row>
        <row r="4657">
          <cell r="A4657" t="str">
            <v>CAPRANICA PRENESTINA</v>
          </cell>
          <cell r="B4657" t="str">
            <v>058019</v>
          </cell>
          <cell r="C4657" t="str">
            <v>RM</v>
          </cell>
          <cell r="D4657" t="str">
            <v>RM</v>
          </cell>
          <cell r="E4657" t="str">
            <v>00030</v>
          </cell>
        </row>
        <row r="4658">
          <cell r="A4658" t="str">
            <v>CARPINETO ROMANO</v>
          </cell>
          <cell r="B4658" t="str">
            <v>058020</v>
          </cell>
          <cell r="C4658" t="str">
            <v>RM</v>
          </cell>
          <cell r="D4658" t="str">
            <v>RM</v>
          </cell>
          <cell r="E4658" t="str">
            <v>00032</v>
          </cell>
        </row>
        <row r="4659">
          <cell r="A4659" t="str">
            <v>CASAPE</v>
          </cell>
          <cell r="B4659" t="str">
            <v>058021</v>
          </cell>
          <cell r="C4659" t="str">
            <v>RM</v>
          </cell>
          <cell r="D4659" t="str">
            <v>RM</v>
          </cell>
          <cell r="E4659" t="str">
            <v>00010</v>
          </cell>
        </row>
        <row r="4660">
          <cell r="A4660" t="str">
            <v>CASTEL GANDOLFO</v>
          </cell>
          <cell r="B4660" t="str">
            <v>058022</v>
          </cell>
          <cell r="C4660" t="str">
            <v>RM</v>
          </cell>
          <cell r="D4660" t="str">
            <v>RM</v>
          </cell>
          <cell r="E4660" t="str">
            <v>00040</v>
          </cell>
        </row>
        <row r="4661">
          <cell r="A4661" t="str">
            <v>CASTEL MADAMA</v>
          </cell>
          <cell r="B4661" t="str">
            <v>058023</v>
          </cell>
          <cell r="C4661" t="str">
            <v>RM</v>
          </cell>
          <cell r="D4661" t="str">
            <v>RM</v>
          </cell>
          <cell r="E4661" t="str">
            <v>00024</v>
          </cell>
        </row>
        <row r="4662">
          <cell r="A4662" t="str">
            <v>CASTELNUOVO DI PORTO</v>
          </cell>
          <cell r="B4662" t="str">
            <v>058024</v>
          </cell>
          <cell r="C4662" t="str">
            <v>RM</v>
          </cell>
          <cell r="D4662" t="str">
            <v>RM</v>
          </cell>
          <cell r="E4662" t="str">
            <v>00060</v>
          </cell>
        </row>
        <row r="4663">
          <cell r="A4663" t="str">
            <v>CASTEL SAN PIETRO ROMANO</v>
          </cell>
          <cell r="B4663" t="str">
            <v>058025</v>
          </cell>
          <cell r="C4663" t="str">
            <v>RM</v>
          </cell>
          <cell r="D4663" t="str">
            <v>RM</v>
          </cell>
          <cell r="E4663" t="str">
            <v>00030</v>
          </cell>
        </row>
        <row r="4664">
          <cell r="A4664" t="str">
            <v>CAVE</v>
          </cell>
          <cell r="B4664" t="str">
            <v>058026</v>
          </cell>
          <cell r="C4664" t="str">
            <v>RM</v>
          </cell>
          <cell r="D4664" t="str">
            <v>RM</v>
          </cell>
          <cell r="E4664" t="str">
            <v>00033</v>
          </cell>
        </row>
        <row r="4665">
          <cell r="A4665" t="str">
            <v>CERRETO LAZIALE</v>
          </cell>
          <cell r="B4665" t="str">
            <v>058027</v>
          </cell>
          <cell r="C4665" t="str">
            <v>RM</v>
          </cell>
          <cell r="D4665" t="str">
            <v>RM</v>
          </cell>
          <cell r="E4665" t="str">
            <v>00020</v>
          </cell>
        </row>
        <row r="4666">
          <cell r="A4666" t="str">
            <v>CERVARA DI ROMA</v>
          </cell>
          <cell r="B4666" t="str">
            <v>058028</v>
          </cell>
          <cell r="C4666" t="str">
            <v>RM</v>
          </cell>
          <cell r="D4666" t="str">
            <v>RM</v>
          </cell>
          <cell r="E4666" t="str">
            <v>00020</v>
          </cell>
        </row>
        <row r="4667">
          <cell r="A4667" t="str">
            <v>CERVETERI</v>
          </cell>
          <cell r="B4667" t="str">
            <v>058029</v>
          </cell>
          <cell r="C4667" t="str">
            <v>RM</v>
          </cell>
          <cell r="D4667" t="str">
            <v>RM</v>
          </cell>
          <cell r="E4667" t="str">
            <v>00052</v>
          </cell>
        </row>
        <row r="4668">
          <cell r="A4668" t="str">
            <v>CICILIANO</v>
          </cell>
          <cell r="B4668" t="str">
            <v>058030</v>
          </cell>
          <cell r="C4668" t="str">
            <v>RM</v>
          </cell>
          <cell r="D4668" t="str">
            <v>RM</v>
          </cell>
          <cell r="E4668" t="str">
            <v>00020</v>
          </cell>
        </row>
        <row r="4669">
          <cell r="A4669" t="str">
            <v>CINETO ROMANO</v>
          </cell>
          <cell r="B4669" t="str">
            <v>058031</v>
          </cell>
          <cell r="C4669" t="str">
            <v>RM</v>
          </cell>
          <cell r="D4669" t="str">
            <v>RM</v>
          </cell>
          <cell r="E4669" t="str">
            <v>00020</v>
          </cell>
        </row>
        <row r="4670">
          <cell r="A4670" t="str">
            <v>CIVITAVECCHIA</v>
          </cell>
          <cell r="B4670" t="str">
            <v>058032</v>
          </cell>
          <cell r="C4670" t="str">
            <v>RM</v>
          </cell>
          <cell r="D4670" t="str">
            <v>RM</v>
          </cell>
          <cell r="E4670" t="str">
            <v>00053</v>
          </cell>
        </row>
        <row r="4671">
          <cell r="A4671" t="str">
            <v>CIVITELLA SAN PAOLO</v>
          </cell>
          <cell r="B4671" t="str">
            <v>058033</v>
          </cell>
          <cell r="C4671" t="str">
            <v>RM</v>
          </cell>
          <cell r="D4671" t="str">
            <v>RM</v>
          </cell>
          <cell r="E4671" t="str">
            <v>00060</v>
          </cell>
        </row>
        <row r="4672">
          <cell r="A4672" t="str">
            <v>COLLEFERRO</v>
          </cell>
          <cell r="B4672" t="str">
            <v>058034</v>
          </cell>
          <cell r="C4672" t="str">
            <v>RM</v>
          </cell>
          <cell r="D4672" t="str">
            <v>RM</v>
          </cell>
          <cell r="E4672" t="str">
            <v>00034</v>
          </cell>
        </row>
        <row r="4673">
          <cell r="A4673" t="str">
            <v>COLONNA</v>
          </cell>
          <cell r="B4673" t="str">
            <v>058035</v>
          </cell>
          <cell r="C4673" t="str">
            <v>RM</v>
          </cell>
          <cell r="D4673" t="str">
            <v>RM</v>
          </cell>
          <cell r="E4673" t="str">
            <v>00030</v>
          </cell>
        </row>
        <row r="4674">
          <cell r="A4674" t="str">
            <v>FIANO ROMANO</v>
          </cell>
          <cell r="B4674" t="str">
            <v>058036</v>
          </cell>
          <cell r="C4674" t="str">
            <v>RM</v>
          </cell>
          <cell r="D4674" t="str">
            <v>RM</v>
          </cell>
          <cell r="E4674" t="str">
            <v>00065</v>
          </cell>
        </row>
        <row r="4675">
          <cell r="A4675" t="str">
            <v>FILACCIANO</v>
          </cell>
          <cell r="B4675" t="str">
            <v>058037</v>
          </cell>
          <cell r="C4675" t="str">
            <v>RM</v>
          </cell>
          <cell r="D4675" t="str">
            <v>RM</v>
          </cell>
          <cell r="E4675" t="str">
            <v>00060</v>
          </cell>
        </row>
        <row r="4676">
          <cell r="A4676" t="str">
            <v>FORMELLO</v>
          </cell>
          <cell r="B4676" t="str">
            <v>058038</v>
          </cell>
          <cell r="C4676" t="str">
            <v>RM</v>
          </cell>
          <cell r="D4676" t="str">
            <v>RM</v>
          </cell>
          <cell r="E4676" t="str">
            <v>00060</v>
          </cell>
        </row>
        <row r="4677">
          <cell r="A4677" t="str">
            <v>FRASCATI</v>
          </cell>
          <cell r="B4677" t="str">
            <v>058039</v>
          </cell>
          <cell r="C4677" t="str">
            <v>RM</v>
          </cell>
          <cell r="D4677" t="str">
            <v>RM</v>
          </cell>
          <cell r="E4677" t="str">
            <v>00044</v>
          </cell>
        </row>
        <row r="4678">
          <cell r="A4678" t="str">
            <v>GALLICANO NEL LAZIO</v>
          </cell>
          <cell r="B4678" t="str">
            <v>058040</v>
          </cell>
          <cell r="C4678" t="str">
            <v>RM</v>
          </cell>
          <cell r="D4678" t="str">
            <v>RM</v>
          </cell>
          <cell r="E4678" t="str">
            <v>00010</v>
          </cell>
        </row>
        <row r="4679">
          <cell r="A4679" t="str">
            <v>GAVIGNANO</v>
          </cell>
          <cell r="B4679" t="str">
            <v>058041</v>
          </cell>
          <cell r="C4679" t="str">
            <v>RM</v>
          </cell>
          <cell r="D4679" t="str">
            <v>RM</v>
          </cell>
          <cell r="E4679" t="str">
            <v>00030</v>
          </cell>
        </row>
        <row r="4680">
          <cell r="A4680" t="str">
            <v>GENAZZANO</v>
          </cell>
          <cell r="B4680" t="str">
            <v>058042</v>
          </cell>
          <cell r="C4680" t="str">
            <v>RM</v>
          </cell>
          <cell r="D4680" t="str">
            <v>RM</v>
          </cell>
          <cell r="E4680" t="str">
            <v>00030</v>
          </cell>
        </row>
        <row r="4681">
          <cell r="A4681" t="str">
            <v>GENZANO DI ROMA</v>
          </cell>
          <cell r="B4681" t="str">
            <v>058043</v>
          </cell>
          <cell r="C4681" t="str">
            <v>RM</v>
          </cell>
          <cell r="D4681" t="str">
            <v>RM</v>
          </cell>
          <cell r="E4681" t="str">
            <v>00045</v>
          </cell>
        </row>
        <row r="4682">
          <cell r="A4682" t="str">
            <v>GERANO</v>
          </cell>
          <cell r="B4682" t="str">
            <v>058044</v>
          </cell>
          <cell r="C4682" t="str">
            <v>RM</v>
          </cell>
          <cell r="D4682" t="str">
            <v>RM</v>
          </cell>
          <cell r="E4682" t="str">
            <v>00025</v>
          </cell>
        </row>
        <row r="4683">
          <cell r="A4683" t="str">
            <v>GORGA</v>
          </cell>
          <cell r="B4683" t="str">
            <v>058045</v>
          </cell>
          <cell r="C4683" t="str">
            <v>RM</v>
          </cell>
          <cell r="D4683" t="str">
            <v>RM</v>
          </cell>
          <cell r="E4683" t="str">
            <v>00030</v>
          </cell>
        </row>
        <row r="4684">
          <cell r="A4684" t="str">
            <v>GROTTAFERRATA</v>
          </cell>
          <cell r="B4684" t="str">
            <v>058046</v>
          </cell>
          <cell r="C4684" t="str">
            <v>RM</v>
          </cell>
          <cell r="D4684" t="str">
            <v>RM</v>
          </cell>
          <cell r="E4684" t="str">
            <v>00046</v>
          </cell>
        </row>
        <row r="4685">
          <cell r="A4685" t="str">
            <v>GUIDONIA MONTECELIO</v>
          </cell>
          <cell r="B4685" t="str">
            <v>058047</v>
          </cell>
          <cell r="C4685" t="str">
            <v>RM</v>
          </cell>
          <cell r="D4685" t="str">
            <v>RM</v>
          </cell>
          <cell r="E4685" t="str">
            <v>00012</v>
          </cell>
        </row>
        <row r="4686">
          <cell r="A4686" t="str">
            <v>JENNE</v>
          </cell>
          <cell r="B4686" t="str">
            <v>058048</v>
          </cell>
          <cell r="C4686" t="str">
            <v>RM</v>
          </cell>
          <cell r="D4686" t="str">
            <v>RM</v>
          </cell>
          <cell r="E4686" t="str">
            <v>00020</v>
          </cell>
        </row>
        <row r="4687">
          <cell r="A4687" t="str">
            <v>LABICO</v>
          </cell>
          <cell r="B4687" t="str">
            <v>058049</v>
          </cell>
          <cell r="C4687" t="str">
            <v>RM</v>
          </cell>
          <cell r="D4687" t="str">
            <v>RM</v>
          </cell>
          <cell r="E4687" t="str">
            <v>00030</v>
          </cell>
        </row>
        <row r="4688">
          <cell r="A4688" t="str">
            <v>LANUVIO</v>
          </cell>
          <cell r="B4688" t="str">
            <v>058050</v>
          </cell>
          <cell r="C4688" t="str">
            <v>RM</v>
          </cell>
          <cell r="D4688" t="str">
            <v>RM</v>
          </cell>
          <cell r="E4688" t="str">
            <v>00040</v>
          </cell>
        </row>
        <row r="4689">
          <cell r="A4689" t="str">
            <v>LICENZA</v>
          </cell>
          <cell r="B4689" t="str">
            <v>058051</v>
          </cell>
          <cell r="C4689" t="str">
            <v>RM</v>
          </cell>
          <cell r="D4689" t="str">
            <v>RM</v>
          </cell>
          <cell r="E4689" t="str">
            <v>00026</v>
          </cell>
        </row>
        <row r="4690">
          <cell r="A4690" t="str">
            <v>MAGLIANO ROMANO</v>
          </cell>
          <cell r="B4690" t="str">
            <v>058052</v>
          </cell>
          <cell r="C4690" t="str">
            <v>RM</v>
          </cell>
          <cell r="D4690" t="str">
            <v>RM</v>
          </cell>
          <cell r="E4690" t="str">
            <v>00060</v>
          </cell>
        </row>
        <row r="4691">
          <cell r="A4691" t="str">
            <v>MANDELA</v>
          </cell>
          <cell r="B4691" t="str">
            <v>058053</v>
          </cell>
          <cell r="C4691" t="str">
            <v>RM</v>
          </cell>
          <cell r="D4691" t="str">
            <v>RM</v>
          </cell>
          <cell r="E4691" t="str">
            <v>00020</v>
          </cell>
        </row>
        <row r="4692">
          <cell r="A4692" t="str">
            <v>MANZIANA</v>
          </cell>
          <cell r="B4692" t="str">
            <v>058054</v>
          </cell>
          <cell r="C4692" t="str">
            <v>RM</v>
          </cell>
          <cell r="D4692" t="str">
            <v>RM</v>
          </cell>
          <cell r="E4692" t="str">
            <v>00066</v>
          </cell>
        </row>
        <row r="4693">
          <cell r="A4693" t="str">
            <v>MARANO EQUO</v>
          </cell>
          <cell r="B4693" t="str">
            <v>058055</v>
          </cell>
          <cell r="C4693" t="str">
            <v>RM</v>
          </cell>
          <cell r="D4693" t="str">
            <v>RM</v>
          </cell>
          <cell r="E4693" t="str">
            <v>00020</v>
          </cell>
        </row>
        <row r="4694">
          <cell r="A4694" t="str">
            <v>MARCELLINA</v>
          </cell>
          <cell r="B4694" t="str">
            <v>058056</v>
          </cell>
          <cell r="C4694" t="str">
            <v>RM</v>
          </cell>
          <cell r="D4694" t="str">
            <v>RM</v>
          </cell>
          <cell r="E4694" t="str">
            <v>00010</v>
          </cell>
        </row>
        <row r="4695">
          <cell r="A4695" t="str">
            <v>MARINO</v>
          </cell>
          <cell r="B4695" t="str">
            <v>058057</v>
          </cell>
          <cell r="C4695" t="str">
            <v>RM</v>
          </cell>
          <cell r="D4695" t="str">
            <v>RM</v>
          </cell>
          <cell r="E4695" t="str">
            <v>00047</v>
          </cell>
        </row>
        <row r="4696">
          <cell r="A4696" t="str">
            <v>MAZZANO ROMANO</v>
          </cell>
          <cell r="B4696" t="str">
            <v>058058</v>
          </cell>
          <cell r="C4696" t="str">
            <v>RM</v>
          </cell>
          <cell r="D4696" t="str">
            <v>RM</v>
          </cell>
          <cell r="E4696" t="str">
            <v>00060</v>
          </cell>
        </row>
        <row r="4697">
          <cell r="A4697" t="str">
            <v>MENTANA</v>
          </cell>
          <cell r="B4697" t="str">
            <v>058059</v>
          </cell>
          <cell r="C4697" t="str">
            <v>RM</v>
          </cell>
          <cell r="D4697" t="str">
            <v>RM</v>
          </cell>
          <cell r="E4697" t="str">
            <v>00013</v>
          </cell>
        </row>
        <row r="4698">
          <cell r="A4698" t="str">
            <v>MONTE COMPATRI</v>
          </cell>
          <cell r="B4698" t="str">
            <v>058060</v>
          </cell>
          <cell r="C4698" t="str">
            <v>RM</v>
          </cell>
          <cell r="D4698" t="str">
            <v>RM</v>
          </cell>
          <cell r="E4698" t="str">
            <v>00040</v>
          </cell>
        </row>
        <row r="4699">
          <cell r="A4699" t="str">
            <v>MONTEFLAVIO</v>
          </cell>
          <cell r="B4699" t="str">
            <v>058061</v>
          </cell>
          <cell r="C4699" t="str">
            <v>RM</v>
          </cell>
          <cell r="D4699" t="str">
            <v>RM</v>
          </cell>
          <cell r="E4699" t="str">
            <v>00010</v>
          </cell>
        </row>
        <row r="4700">
          <cell r="A4700" t="str">
            <v>MONTELANICO</v>
          </cell>
          <cell r="B4700" t="str">
            <v>058062</v>
          </cell>
          <cell r="C4700" t="str">
            <v>RM</v>
          </cell>
          <cell r="D4700" t="str">
            <v>RM</v>
          </cell>
          <cell r="E4700" t="str">
            <v>00030</v>
          </cell>
        </row>
        <row r="4701">
          <cell r="A4701" t="str">
            <v>MONTELIBRETTI</v>
          </cell>
          <cell r="B4701" t="str">
            <v>058063</v>
          </cell>
          <cell r="C4701" t="str">
            <v>RM</v>
          </cell>
          <cell r="D4701" t="str">
            <v>RM</v>
          </cell>
          <cell r="E4701" t="str">
            <v>00010</v>
          </cell>
        </row>
        <row r="4702">
          <cell r="A4702" t="str">
            <v>MONTE PORZIO CATONE</v>
          </cell>
          <cell r="B4702" t="str">
            <v>058064</v>
          </cell>
          <cell r="C4702" t="str">
            <v>RM</v>
          </cell>
          <cell r="D4702" t="str">
            <v>RM</v>
          </cell>
          <cell r="E4702" t="str">
            <v>00040</v>
          </cell>
        </row>
        <row r="4703">
          <cell r="A4703" t="str">
            <v>MONTEROTONDO</v>
          </cell>
          <cell r="B4703" t="str">
            <v>058065</v>
          </cell>
          <cell r="C4703" t="str">
            <v>RM</v>
          </cell>
          <cell r="D4703" t="str">
            <v>RM</v>
          </cell>
          <cell r="E4703" t="str">
            <v>00015</v>
          </cell>
        </row>
        <row r="4704">
          <cell r="A4704" t="str">
            <v>MONTORIO ROMANO</v>
          </cell>
          <cell r="B4704" t="str">
            <v>058066</v>
          </cell>
          <cell r="C4704" t="str">
            <v>RM</v>
          </cell>
          <cell r="D4704" t="str">
            <v>RM</v>
          </cell>
          <cell r="E4704" t="str">
            <v>00010</v>
          </cell>
        </row>
        <row r="4705">
          <cell r="A4705" t="str">
            <v>MORICONE</v>
          </cell>
          <cell r="B4705" t="str">
            <v>058067</v>
          </cell>
          <cell r="C4705" t="str">
            <v>RM</v>
          </cell>
          <cell r="D4705" t="str">
            <v>RM</v>
          </cell>
          <cell r="E4705" t="str">
            <v>00010</v>
          </cell>
        </row>
        <row r="4706">
          <cell r="A4706" t="str">
            <v>MORLUPO</v>
          </cell>
          <cell r="B4706" t="str">
            <v>058068</v>
          </cell>
          <cell r="C4706" t="str">
            <v>RM</v>
          </cell>
          <cell r="D4706" t="str">
            <v>RM</v>
          </cell>
          <cell r="E4706" t="str">
            <v>00067</v>
          </cell>
        </row>
        <row r="4707">
          <cell r="A4707" t="str">
            <v>NAZZANO</v>
          </cell>
          <cell r="B4707" t="str">
            <v>058069</v>
          </cell>
          <cell r="C4707" t="str">
            <v>RM</v>
          </cell>
          <cell r="D4707" t="str">
            <v>RM</v>
          </cell>
          <cell r="E4707" t="str">
            <v>00060</v>
          </cell>
        </row>
        <row r="4708">
          <cell r="A4708" t="str">
            <v>NEMI</v>
          </cell>
          <cell r="B4708" t="str">
            <v>058070</v>
          </cell>
          <cell r="C4708" t="str">
            <v>RM</v>
          </cell>
          <cell r="D4708" t="str">
            <v>RM</v>
          </cell>
          <cell r="E4708" t="str">
            <v>00040</v>
          </cell>
        </row>
        <row r="4709">
          <cell r="A4709" t="str">
            <v>NEROLA</v>
          </cell>
          <cell r="B4709" t="str">
            <v>058071</v>
          </cell>
          <cell r="C4709" t="str">
            <v>RM</v>
          </cell>
          <cell r="D4709" t="str">
            <v>RM</v>
          </cell>
          <cell r="E4709" t="str">
            <v>00017</v>
          </cell>
        </row>
        <row r="4710">
          <cell r="A4710" t="str">
            <v>NETTUNO</v>
          </cell>
          <cell r="B4710" t="str">
            <v>058072</v>
          </cell>
          <cell r="C4710" t="str">
            <v>RM</v>
          </cell>
          <cell r="D4710" t="str">
            <v>RM</v>
          </cell>
          <cell r="E4710" t="str">
            <v>00048</v>
          </cell>
        </row>
        <row r="4711">
          <cell r="A4711" t="str">
            <v>OLEVANO ROMANO</v>
          </cell>
          <cell r="B4711" t="str">
            <v>058073</v>
          </cell>
          <cell r="C4711" t="str">
            <v>RM</v>
          </cell>
          <cell r="D4711" t="str">
            <v>RM</v>
          </cell>
          <cell r="E4711" t="str">
            <v>00035</v>
          </cell>
        </row>
        <row r="4712">
          <cell r="A4712" t="str">
            <v>PALESTRINA</v>
          </cell>
          <cell r="B4712" t="str">
            <v>058074</v>
          </cell>
          <cell r="C4712" t="str">
            <v>RM</v>
          </cell>
          <cell r="D4712" t="str">
            <v>RM</v>
          </cell>
          <cell r="E4712" t="str">
            <v>00036</v>
          </cell>
        </row>
        <row r="4713">
          <cell r="A4713" t="str">
            <v>PALOMBARA SABINA</v>
          </cell>
          <cell r="B4713" t="str">
            <v>058075</v>
          </cell>
          <cell r="C4713" t="str">
            <v>RM</v>
          </cell>
          <cell r="D4713" t="str">
            <v>RM</v>
          </cell>
          <cell r="E4713" t="str">
            <v>00018</v>
          </cell>
        </row>
        <row r="4714">
          <cell r="A4714" t="str">
            <v>PERCILE</v>
          </cell>
          <cell r="B4714" t="str">
            <v>058076</v>
          </cell>
          <cell r="C4714" t="str">
            <v>RM</v>
          </cell>
          <cell r="D4714" t="str">
            <v>RM</v>
          </cell>
          <cell r="E4714" t="str">
            <v>00020</v>
          </cell>
        </row>
        <row r="4715">
          <cell r="A4715" t="str">
            <v>PISONIANO</v>
          </cell>
          <cell r="B4715" t="str">
            <v>058077</v>
          </cell>
          <cell r="C4715" t="str">
            <v>RM</v>
          </cell>
          <cell r="D4715" t="str">
            <v>RM</v>
          </cell>
          <cell r="E4715" t="str">
            <v>00020</v>
          </cell>
        </row>
        <row r="4716">
          <cell r="A4716" t="str">
            <v>POLI</v>
          </cell>
          <cell r="B4716" t="str">
            <v>058078</v>
          </cell>
          <cell r="C4716" t="str">
            <v>RM</v>
          </cell>
          <cell r="D4716" t="str">
            <v>RM</v>
          </cell>
          <cell r="E4716" t="str">
            <v>00010</v>
          </cell>
        </row>
        <row r="4717">
          <cell r="A4717" t="str">
            <v>POMEZIA</v>
          </cell>
          <cell r="B4717" t="str">
            <v>058079</v>
          </cell>
          <cell r="C4717" t="str">
            <v>RM</v>
          </cell>
          <cell r="D4717" t="str">
            <v>RM</v>
          </cell>
          <cell r="E4717" t="str">
            <v>00040</v>
          </cell>
        </row>
        <row r="4718">
          <cell r="A4718" t="str">
            <v>PONZANO ROMANO</v>
          </cell>
          <cell r="B4718" t="str">
            <v>058080</v>
          </cell>
          <cell r="C4718" t="str">
            <v>RM</v>
          </cell>
          <cell r="D4718" t="str">
            <v>RM</v>
          </cell>
          <cell r="E4718" t="str">
            <v>00060</v>
          </cell>
        </row>
        <row r="4719">
          <cell r="A4719" t="str">
            <v>RIANO</v>
          </cell>
          <cell r="B4719" t="str">
            <v>058081</v>
          </cell>
          <cell r="C4719" t="str">
            <v>RM</v>
          </cell>
          <cell r="D4719" t="str">
            <v>RM</v>
          </cell>
          <cell r="E4719" t="str">
            <v>00060</v>
          </cell>
        </row>
        <row r="4720">
          <cell r="A4720" t="str">
            <v>RIGNANO FLAMINIO</v>
          </cell>
          <cell r="B4720" t="str">
            <v>058082</v>
          </cell>
          <cell r="C4720" t="str">
            <v>RM</v>
          </cell>
          <cell r="D4720" t="str">
            <v>RM</v>
          </cell>
          <cell r="E4720" t="str">
            <v>00068</v>
          </cell>
        </row>
        <row r="4721">
          <cell r="A4721" t="str">
            <v>RIOFREDDO</v>
          </cell>
          <cell r="B4721" t="str">
            <v>058083</v>
          </cell>
          <cell r="C4721" t="str">
            <v>RM</v>
          </cell>
          <cell r="D4721" t="str">
            <v>RM</v>
          </cell>
          <cell r="E4721" t="str">
            <v>00020</v>
          </cell>
        </row>
        <row r="4722">
          <cell r="A4722" t="str">
            <v>ROCCA CANTERANO</v>
          </cell>
          <cell r="B4722" t="str">
            <v>058084</v>
          </cell>
          <cell r="C4722" t="str">
            <v>RM</v>
          </cell>
          <cell r="D4722" t="str">
            <v>RM</v>
          </cell>
          <cell r="E4722" t="str">
            <v>00020</v>
          </cell>
        </row>
        <row r="4723">
          <cell r="A4723" t="str">
            <v>ROCCA DI CAVE</v>
          </cell>
          <cell r="B4723" t="str">
            <v>058085</v>
          </cell>
          <cell r="C4723" t="str">
            <v>RM</v>
          </cell>
          <cell r="D4723" t="str">
            <v>RM</v>
          </cell>
          <cell r="E4723" t="str">
            <v>00030</v>
          </cell>
        </row>
        <row r="4724">
          <cell r="A4724" t="str">
            <v>ROCCA DI PAPA</v>
          </cell>
          <cell r="B4724" t="str">
            <v>058086</v>
          </cell>
          <cell r="C4724" t="str">
            <v>RM</v>
          </cell>
          <cell r="D4724" t="str">
            <v>RM</v>
          </cell>
          <cell r="E4724" t="str">
            <v>00040</v>
          </cell>
        </row>
        <row r="4725">
          <cell r="A4725" t="str">
            <v>ROCCAGIOVINE</v>
          </cell>
          <cell r="B4725" t="str">
            <v>058087</v>
          </cell>
          <cell r="C4725" t="str">
            <v>RM</v>
          </cell>
          <cell r="D4725" t="str">
            <v>RM</v>
          </cell>
          <cell r="E4725" t="str">
            <v>00020</v>
          </cell>
        </row>
        <row r="4726">
          <cell r="A4726" t="str">
            <v>ROCCA PRIORA</v>
          </cell>
          <cell r="B4726" t="str">
            <v>058088</v>
          </cell>
          <cell r="C4726" t="str">
            <v>RM</v>
          </cell>
          <cell r="D4726" t="str">
            <v>RM</v>
          </cell>
          <cell r="E4726" t="str">
            <v>00040</v>
          </cell>
        </row>
        <row r="4727">
          <cell r="A4727" t="str">
            <v>ROCCA SANTO STEFANO</v>
          </cell>
          <cell r="B4727" t="str">
            <v>058089</v>
          </cell>
          <cell r="C4727" t="str">
            <v>RM</v>
          </cell>
          <cell r="D4727" t="str">
            <v>RM</v>
          </cell>
          <cell r="E4727" t="str">
            <v>00030</v>
          </cell>
        </row>
        <row r="4728">
          <cell r="A4728" t="str">
            <v>ROIATE</v>
          </cell>
          <cell r="B4728" t="str">
            <v>058090</v>
          </cell>
          <cell r="C4728" t="str">
            <v>RM</v>
          </cell>
          <cell r="D4728" t="str">
            <v>RM</v>
          </cell>
          <cell r="E4728" t="str">
            <v>00030</v>
          </cell>
        </row>
        <row r="4729">
          <cell r="A4729" t="str">
            <v>ROMA</v>
          </cell>
          <cell r="B4729" t="str">
            <v>058091</v>
          </cell>
          <cell r="C4729" t="str">
            <v>RM</v>
          </cell>
          <cell r="D4729" t="str">
            <v>RM</v>
          </cell>
          <cell r="E4729" t="str">
            <v>001xx</v>
          </cell>
        </row>
        <row r="4730">
          <cell r="A4730" t="str">
            <v>ROVIANO</v>
          </cell>
          <cell r="B4730" t="str">
            <v>058092</v>
          </cell>
          <cell r="C4730" t="str">
            <v>RM</v>
          </cell>
          <cell r="D4730" t="str">
            <v>RM</v>
          </cell>
          <cell r="E4730" t="str">
            <v>00027</v>
          </cell>
        </row>
        <row r="4731">
          <cell r="A4731" t="str">
            <v>SACROFANO</v>
          </cell>
          <cell r="B4731" t="str">
            <v>058093</v>
          </cell>
          <cell r="C4731" t="str">
            <v>RM</v>
          </cell>
          <cell r="D4731" t="str">
            <v>RM</v>
          </cell>
          <cell r="E4731" t="str">
            <v>00060</v>
          </cell>
        </row>
        <row r="4732">
          <cell r="A4732" t="str">
            <v>SAMBUCI</v>
          </cell>
          <cell r="B4732" t="str">
            <v>058094</v>
          </cell>
          <cell r="C4732" t="str">
            <v>RM</v>
          </cell>
          <cell r="D4732" t="str">
            <v>RM</v>
          </cell>
          <cell r="E4732" t="str">
            <v>00020</v>
          </cell>
        </row>
        <row r="4733">
          <cell r="A4733" t="str">
            <v>SAN GREGORIO DA SASSOLA</v>
          </cell>
          <cell r="B4733" t="str">
            <v>058095</v>
          </cell>
          <cell r="C4733" t="str">
            <v>RM</v>
          </cell>
          <cell r="D4733" t="str">
            <v>RM</v>
          </cell>
          <cell r="E4733" t="str">
            <v>00010</v>
          </cell>
        </row>
        <row r="4734">
          <cell r="A4734" t="str">
            <v>SAN POLO DEI CAVALIERI</v>
          </cell>
          <cell r="B4734" t="str">
            <v>058096</v>
          </cell>
          <cell r="C4734" t="str">
            <v>RM</v>
          </cell>
          <cell r="D4734" t="str">
            <v>RM</v>
          </cell>
          <cell r="E4734" t="str">
            <v>00010</v>
          </cell>
        </row>
        <row r="4735">
          <cell r="A4735" t="str">
            <v>SANTA MARINELLA</v>
          </cell>
          <cell r="B4735" t="str">
            <v>058097</v>
          </cell>
          <cell r="C4735" t="str">
            <v>RM</v>
          </cell>
          <cell r="D4735" t="str">
            <v>RM</v>
          </cell>
          <cell r="E4735" t="str">
            <v>00058</v>
          </cell>
        </row>
        <row r="4736">
          <cell r="A4736" t="str">
            <v>SANT'ANGELO ROMANO</v>
          </cell>
          <cell r="B4736" t="str">
            <v>058098</v>
          </cell>
          <cell r="C4736" t="str">
            <v>RM</v>
          </cell>
          <cell r="D4736" t="str">
            <v>RM</v>
          </cell>
          <cell r="E4736" t="str">
            <v>00010</v>
          </cell>
        </row>
        <row r="4737">
          <cell r="A4737" t="str">
            <v>SANT'ORESTE</v>
          </cell>
          <cell r="B4737" t="str">
            <v>058099</v>
          </cell>
          <cell r="C4737" t="str">
            <v>RM</v>
          </cell>
          <cell r="D4737" t="str">
            <v>RM</v>
          </cell>
          <cell r="E4737" t="str">
            <v>00060</v>
          </cell>
        </row>
        <row r="4738">
          <cell r="A4738" t="str">
            <v>SAN VITO ROMANO</v>
          </cell>
          <cell r="B4738" t="str">
            <v>058100</v>
          </cell>
          <cell r="C4738" t="str">
            <v>RM</v>
          </cell>
          <cell r="D4738" t="str">
            <v>RM</v>
          </cell>
          <cell r="E4738" t="str">
            <v>00030</v>
          </cell>
        </row>
        <row r="4739">
          <cell r="A4739" t="str">
            <v>SARACINESCO</v>
          </cell>
          <cell r="B4739" t="str">
            <v>058101</v>
          </cell>
          <cell r="C4739" t="str">
            <v>RM</v>
          </cell>
          <cell r="D4739" t="str">
            <v>RM</v>
          </cell>
          <cell r="E4739" t="str">
            <v>00020</v>
          </cell>
        </row>
        <row r="4740">
          <cell r="A4740" t="str">
            <v>SEGNI</v>
          </cell>
          <cell r="B4740" t="str">
            <v>058102</v>
          </cell>
          <cell r="C4740" t="str">
            <v>RM</v>
          </cell>
          <cell r="D4740" t="str">
            <v>RM</v>
          </cell>
          <cell r="E4740" t="str">
            <v>00037</v>
          </cell>
        </row>
        <row r="4741">
          <cell r="A4741" t="str">
            <v>SUBIACO</v>
          </cell>
          <cell r="B4741" t="str">
            <v>058103</v>
          </cell>
          <cell r="C4741" t="str">
            <v>RM</v>
          </cell>
          <cell r="D4741" t="str">
            <v>RM</v>
          </cell>
          <cell r="E4741" t="str">
            <v>00028</v>
          </cell>
        </row>
        <row r="4742">
          <cell r="A4742" t="str">
            <v>TIVOLI</v>
          </cell>
          <cell r="B4742" t="str">
            <v>058104</v>
          </cell>
          <cell r="C4742" t="str">
            <v>RM</v>
          </cell>
          <cell r="D4742" t="str">
            <v>RM</v>
          </cell>
          <cell r="E4742" t="str">
            <v>00019</v>
          </cell>
        </row>
        <row r="4743">
          <cell r="A4743" t="str">
            <v>TOLFA</v>
          </cell>
          <cell r="B4743" t="str">
            <v>058105</v>
          </cell>
          <cell r="C4743" t="str">
            <v>RM</v>
          </cell>
          <cell r="D4743" t="str">
            <v>RM</v>
          </cell>
          <cell r="E4743" t="str">
            <v>00059</v>
          </cell>
        </row>
        <row r="4744">
          <cell r="A4744" t="str">
            <v>TORRITA TIBERINA</v>
          </cell>
          <cell r="B4744" t="str">
            <v>058106</v>
          </cell>
          <cell r="C4744" t="str">
            <v>RM</v>
          </cell>
          <cell r="D4744" t="str">
            <v>RM</v>
          </cell>
          <cell r="E4744" t="str">
            <v>00060</v>
          </cell>
        </row>
        <row r="4745">
          <cell r="A4745" t="str">
            <v>TREVIGNANO ROMANO</v>
          </cell>
          <cell r="B4745" t="str">
            <v>058107</v>
          </cell>
          <cell r="C4745" t="str">
            <v>RM</v>
          </cell>
          <cell r="D4745" t="str">
            <v>RM</v>
          </cell>
          <cell r="E4745" t="str">
            <v>00069</v>
          </cell>
        </row>
        <row r="4746">
          <cell r="A4746" t="str">
            <v>VALLEPIETRA</v>
          </cell>
          <cell r="B4746" t="str">
            <v>058108</v>
          </cell>
          <cell r="C4746" t="str">
            <v>RM</v>
          </cell>
          <cell r="D4746" t="str">
            <v>RM</v>
          </cell>
          <cell r="E4746" t="str">
            <v>00020</v>
          </cell>
        </row>
        <row r="4747">
          <cell r="A4747" t="str">
            <v>VALLINFREDA</v>
          </cell>
          <cell r="B4747" t="str">
            <v>058109</v>
          </cell>
          <cell r="C4747" t="str">
            <v>RM</v>
          </cell>
          <cell r="D4747" t="str">
            <v>RM</v>
          </cell>
          <cell r="E4747" t="str">
            <v>00020</v>
          </cell>
        </row>
        <row r="4748">
          <cell r="A4748" t="str">
            <v>VALMONTONE</v>
          </cell>
          <cell r="B4748" t="str">
            <v>058110</v>
          </cell>
          <cell r="C4748" t="str">
            <v>RM</v>
          </cell>
          <cell r="D4748" t="str">
            <v>RM</v>
          </cell>
          <cell r="E4748" t="str">
            <v>00038</v>
          </cell>
        </row>
        <row r="4749">
          <cell r="A4749" t="str">
            <v>VELLETRI</v>
          </cell>
          <cell r="B4749" t="str">
            <v>058111</v>
          </cell>
          <cell r="C4749" t="str">
            <v>RM</v>
          </cell>
          <cell r="D4749" t="str">
            <v>RM</v>
          </cell>
          <cell r="E4749" t="str">
            <v>00049</v>
          </cell>
        </row>
        <row r="4750">
          <cell r="A4750" t="str">
            <v>VICOVARO</v>
          </cell>
          <cell r="B4750" t="str">
            <v>058112</v>
          </cell>
          <cell r="C4750" t="str">
            <v>RM</v>
          </cell>
          <cell r="D4750" t="str">
            <v>RM</v>
          </cell>
          <cell r="E4750" t="str">
            <v>00029</v>
          </cell>
        </row>
        <row r="4751">
          <cell r="A4751" t="str">
            <v>VIVARO ROMANO</v>
          </cell>
          <cell r="B4751" t="str">
            <v>058113</v>
          </cell>
          <cell r="C4751" t="str">
            <v>RM</v>
          </cell>
          <cell r="D4751" t="str">
            <v>RM</v>
          </cell>
          <cell r="E4751" t="str">
            <v>00020</v>
          </cell>
        </row>
        <row r="4752">
          <cell r="A4752" t="str">
            <v>ZAGAROLO</v>
          </cell>
          <cell r="B4752" t="str">
            <v>058114</v>
          </cell>
          <cell r="C4752" t="str">
            <v>RM</v>
          </cell>
          <cell r="D4752" t="str">
            <v>RM</v>
          </cell>
          <cell r="E4752" t="str">
            <v>00039</v>
          </cell>
        </row>
        <row r="4753">
          <cell r="A4753" t="str">
            <v>LARIANO</v>
          </cell>
          <cell r="B4753" t="str">
            <v>058115</v>
          </cell>
          <cell r="C4753" t="str">
            <v>RM</v>
          </cell>
          <cell r="D4753" t="str">
            <v>RM</v>
          </cell>
          <cell r="E4753" t="str">
            <v>00040</v>
          </cell>
        </row>
        <row r="4754">
          <cell r="A4754" t="str">
            <v>LADISPOLI</v>
          </cell>
          <cell r="B4754" t="str">
            <v>058116</v>
          </cell>
          <cell r="C4754" t="str">
            <v>RM</v>
          </cell>
          <cell r="D4754" t="str">
            <v>RM</v>
          </cell>
          <cell r="E4754" t="str">
            <v>00055</v>
          </cell>
        </row>
        <row r="4755">
          <cell r="A4755" t="str">
            <v>ARDEA</v>
          </cell>
          <cell r="B4755" t="str">
            <v>058117</v>
          </cell>
          <cell r="C4755" t="str">
            <v>RM</v>
          </cell>
          <cell r="D4755" t="str">
            <v>RM</v>
          </cell>
          <cell r="E4755" t="str">
            <v>00040</v>
          </cell>
        </row>
        <row r="4756">
          <cell r="A4756" t="str">
            <v>CIAMPINO</v>
          </cell>
          <cell r="B4756" t="str">
            <v>058118</v>
          </cell>
          <cell r="C4756" t="str">
            <v>RM</v>
          </cell>
          <cell r="D4756" t="str">
            <v>RM</v>
          </cell>
          <cell r="E4756" t="str">
            <v>00043</v>
          </cell>
        </row>
        <row r="4757">
          <cell r="A4757" t="str">
            <v>SAN CESAREO</v>
          </cell>
          <cell r="B4757" t="str">
            <v>058119</v>
          </cell>
          <cell r="C4757" t="str">
            <v>RM</v>
          </cell>
          <cell r="D4757" t="str">
            <v>RM</v>
          </cell>
          <cell r="E4757" t="str">
            <v>00030</v>
          </cell>
        </row>
        <row r="4758">
          <cell r="A4758" t="str">
            <v>FIUMICINO</v>
          </cell>
          <cell r="B4758" t="str">
            <v>058120</v>
          </cell>
          <cell r="C4758" t="str">
            <v>RM</v>
          </cell>
          <cell r="D4758" t="str">
            <v>RM</v>
          </cell>
          <cell r="E4758" t="str">
            <v>00054</v>
          </cell>
        </row>
        <row r="4759">
          <cell r="A4759" t="str">
            <v>FONTE NUOVA</v>
          </cell>
          <cell r="B4759" t="str">
            <v>058122</v>
          </cell>
          <cell r="C4759" t="str">
            <v>RM</v>
          </cell>
          <cell r="D4759" t="str">
            <v>RM</v>
          </cell>
          <cell r="E4759" t="str">
            <v>00013</v>
          </cell>
        </row>
        <row r="4760">
          <cell r="A4760" t="str">
            <v>APRILIA</v>
          </cell>
          <cell r="B4760" t="str">
            <v>059001</v>
          </cell>
          <cell r="C4760" t="str">
            <v>LT</v>
          </cell>
          <cell r="D4760" t="str">
            <v>LT</v>
          </cell>
          <cell r="E4760" t="str">
            <v>04011</v>
          </cell>
        </row>
        <row r="4761">
          <cell r="A4761" t="str">
            <v>BASSIANO</v>
          </cell>
          <cell r="B4761" t="str">
            <v>059002</v>
          </cell>
          <cell r="C4761" t="str">
            <v>LT</v>
          </cell>
          <cell r="D4761" t="str">
            <v>LT</v>
          </cell>
          <cell r="E4761" t="str">
            <v>04010</v>
          </cell>
        </row>
        <row r="4762">
          <cell r="A4762" t="str">
            <v>CAMPODIMELE</v>
          </cell>
          <cell r="B4762" t="str">
            <v>059003</v>
          </cell>
          <cell r="C4762" t="str">
            <v>LT</v>
          </cell>
          <cell r="D4762" t="str">
            <v>LT</v>
          </cell>
          <cell r="E4762" t="str">
            <v>04020</v>
          </cell>
        </row>
        <row r="4763">
          <cell r="A4763" t="str">
            <v>CASTELFORTE</v>
          </cell>
          <cell r="B4763" t="str">
            <v>059004</v>
          </cell>
          <cell r="C4763" t="str">
            <v>LT</v>
          </cell>
          <cell r="D4763" t="str">
            <v>LT</v>
          </cell>
          <cell r="E4763" t="str">
            <v>04021</v>
          </cell>
        </row>
        <row r="4764">
          <cell r="A4764" t="str">
            <v>CISTERNA DI LATINA</v>
          </cell>
          <cell r="B4764" t="str">
            <v>059005</v>
          </cell>
          <cell r="C4764" t="str">
            <v>LT</v>
          </cell>
          <cell r="D4764" t="str">
            <v>LT</v>
          </cell>
          <cell r="E4764" t="str">
            <v>04012</v>
          </cell>
        </row>
        <row r="4765">
          <cell r="A4765" t="str">
            <v>CORI</v>
          </cell>
          <cell r="B4765" t="str">
            <v>059006</v>
          </cell>
          <cell r="C4765" t="str">
            <v>LT</v>
          </cell>
          <cell r="D4765" t="str">
            <v>LT</v>
          </cell>
          <cell r="E4765" t="str">
            <v>04010</v>
          </cell>
        </row>
        <row r="4766">
          <cell r="A4766" t="str">
            <v>FONDI</v>
          </cell>
          <cell r="B4766" t="str">
            <v>059007</v>
          </cell>
          <cell r="C4766" t="str">
            <v>LT</v>
          </cell>
          <cell r="D4766" t="str">
            <v>LT</v>
          </cell>
          <cell r="E4766" t="str">
            <v>04022</v>
          </cell>
        </row>
        <row r="4767">
          <cell r="A4767" t="str">
            <v>FORMIA</v>
          </cell>
          <cell r="B4767" t="str">
            <v>059008</v>
          </cell>
          <cell r="C4767" t="str">
            <v>LT</v>
          </cell>
          <cell r="D4767" t="str">
            <v>LT</v>
          </cell>
          <cell r="E4767" t="str">
            <v>04023</v>
          </cell>
        </row>
        <row r="4768">
          <cell r="A4768" t="str">
            <v>GAETA</v>
          </cell>
          <cell r="B4768" t="str">
            <v>059009</v>
          </cell>
          <cell r="C4768" t="str">
            <v>LT</v>
          </cell>
          <cell r="D4768" t="str">
            <v>LT</v>
          </cell>
          <cell r="E4768" t="str">
            <v>04024</v>
          </cell>
        </row>
        <row r="4769">
          <cell r="A4769" t="str">
            <v>ITRI</v>
          </cell>
          <cell r="B4769" t="str">
            <v>059010</v>
          </cell>
          <cell r="C4769" t="str">
            <v>LT</v>
          </cell>
          <cell r="D4769" t="str">
            <v>LT</v>
          </cell>
          <cell r="E4769" t="str">
            <v>04020</v>
          </cell>
        </row>
        <row r="4770">
          <cell r="A4770" t="str">
            <v>LATINA</v>
          </cell>
          <cell r="B4770" t="str">
            <v>059011</v>
          </cell>
          <cell r="C4770" t="str">
            <v>LT</v>
          </cell>
          <cell r="D4770" t="str">
            <v>LT</v>
          </cell>
          <cell r="E4770" t="str">
            <v>04100</v>
          </cell>
        </row>
        <row r="4771">
          <cell r="A4771" t="str">
            <v>LENOLA</v>
          </cell>
          <cell r="B4771" t="str">
            <v>059012</v>
          </cell>
          <cell r="C4771" t="str">
            <v>LT</v>
          </cell>
          <cell r="D4771" t="str">
            <v>LT</v>
          </cell>
          <cell r="E4771" t="str">
            <v>04025</v>
          </cell>
        </row>
        <row r="4772">
          <cell r="A4772" t="str">
            <v>MAENZA</v>
          </cell>
          <cell r="B4772" t="str">
            <v>059013</v>
          </cell>
          <cell r="C4772" t="str">
            <v>LT</v>
          </cell>
          <cell r="D4772" t="str">
            <v>LT</v>
          </cell>
          <cell r="E4772" t="str">
            <v>04010</v>
          </cell>
        </row>
        <row r="4773">
          <cell r="A4773" t="str">
            <v>MINTURNO</v>
          </cell>
          <cell r="B4773" t="str">
            <v>059014</v>
          </cell>
          <cell r="C4773" t="str">
            <v>LT</v>
          </cell>
          <cell r="D4773" t="str">
            <v>LT</v>
          </cell>
          <cell r="E4773" t="str">
            <v>04026</v>
          </cell>
        </row>
        <row r="4774">
          <cell r="A4774" t="str">
            <v>MONTE SAN BIAGIO</v>
          </cell>
          <cell r="B4774" t="str">
            <v>059015</v>
          </cell>
          <cell r="C4774" t="str">
            <v>LT</v>
          </cell>
          <cell r="D4774" t="str">
            <v>LT</v>
          </cell>
          <cell r="E4774" t="str">
            <v>04020</v>
          </cell>
        </row>
        <row r="4775">
          <cell r="A4775" t="str">
            <v>NORMA</v>
          </cell>
          <cell r="B4775" t="str">
            <v>059016</v>
          </cell>
          <cell r="C4775" t="str">
            <v>LT</v>
          </cell>
          <cell r="D4775" t="str">
            <v>LT</v>
          </cell>
          <cell r="E4775" t="str">
            <v>04010</v>
          </cell>
        </row>
        <row r="4776">
          <cell r="A4776" t="str">
            <v>PONTINIA</v>
          </cell>
          <cell r="B4776" t="str">
            <v>059017</v>
          </cell>
          <cell r="C4776" t="str">
            <v>LT</v>
          </cell>
          <cell r="D4776" t="str">
            <v>LT</v>
          </cell>
          <cell r="E4776" t="str">
            <v>04014</v>
          </cell>
        </row>
        <row r="4777">
          <cell r="A4777" t="str">
            <v>PONZA</v>
          </cell>
          <cell r="B4777" t="str">
            <v>059018</v>
          </cell>
          <cell r="C4777" t="str">
            <v>LT</v>
          </cell>
          <cell r="D4777" t="str">
            <v>LT</v>
          </cell>
          <cell r="E4777" t="str">
            <v>04027</v>
          </cell>
        </row>
        <row r="4778">
          <cell r="A4778" t="str">
            <v>PRIVERNO</v>
          </cell>
          <cell r="B4778" t="str">
            <v>059019</v>
          </cell>
          <cell r="C4778" t="str">
            <v>LT</v>
          </cell>
          <cell r="D4778" t="str">
            <v>LT</v>
          </cell>
          <cell r="E4778" t="str">
            <v>04015</v>
          </cell>
        </row>
        <row r="4779">
          <cell r="A4779" t="str">
            <v>PROSSEDI</v>
          </cell>
          <cell r="B4779" t="str">
            <v>059020</v>
          </cell>
          <cell r="C4779" t="str">
            <v>LT</v>
          </cell>
          <cell r="D4779" t="str">
            <v>LT</v>
          </cell>
          <cell r="E4779" t="str">
            <v>04010</v>
          </cell>
        </row>
        <row r="4780">
          <cell r="A4780" t="str">
            <v>ROCCAGORGA</v>
          </cell>
          <cell r="B4780" t="str">
            <v>059021</v>
          </cell>
          <cell r="C4780" t="str">
            <v>LT</v>
          </cell>
          <cell r="D4780" t="str">
            <v>LT</v>
          </cell>
          <cell r="E4780" t="str">
            <v>04010</v>
          </cell>
        </row>
        <row r="4781">
          <cell r="A4781" t="str">
            <v>ROCCA MASSIMA</v>
          </cell>
          <cell r="B4781" t="str">
            <v>059022</v>
          </cell>
          <cell r="C4781" t="str">
            <v>LT</v>
          </cell>
          <cell r="D4781" t="str">
            <v>LT</v>
          </cell>
          <cell r="E4781" t="str">
            <v>04010</v>
          </cell>
        </row>
        <row r="4782">
          <cell r="A4782" t="str">
            <v>ROCCASECCA DEI VOLSCI</v>
          </cell>
          <cell r="B4782" t="str">
            <v>059023</v>
          </cell>
          <cell r="C4782" t="str">
            <v>LT</v>
          </cell>
          <cell r="D4782" t="str">
            <v>LT</v>
          </cell>
          <cell r="E4782" t="str">
            <v>04010</v>
          </cell>
        </row>
        <row r="4783">
          <cell r="A4783" t="str">
            <v>SABAUDIA</v>
          </cell>
          <cell r="B4783" t="str">
            <v>059024</v>
          </cell>
          <cell r="C4783" t="str">
            <v>LT</v>
          </cell>
          <cell r="D4783" t="str">
            <v>LT</v>
          </cell>
          <cell r="E4783" t="str">
            <v>04016</v>
          </cell>
        </row>
        <row r="4784">
          <cell r="A4784" t="str">
            <v>SAN FELICE CIRCEO</v>
          </cell>
          <cell r="B4784" t="str">
            <v>059025</v>
          </cell>
          <cell r="C4784" t="str">
            <v>LT</v>
          </cell>
          <cell r="D4784" t="str">
            <v>LT</v>
          </cell>
          <cell r="E4784" t="str">
            <v>04017</v>
          </cell>
        </row>
        <row r="4785">
          <cell r="A4785" t="str">
            <v>SANTI COSMA E DAMIANO</v>
          </cell>
          <cell r="B4785" t="str">
            <v>059026</v>
          </cell>
          <cell r="C4785" t="str">
            <v>LT</v>
          </cell>
          <cell r="D4785" t="str">
            <v>LT</v>
          </cell>
          <cell r="E4785" t="str">
            <v>04020</v>
          </cell>
        </row>
        <row r="4786">
          <cell r="A4786" t="str">
            <v>SERMONETA</v>
          </cell>
          <cell r="B4786" t="str">
            <v>059027</v>
          </cell>
          <cell r="C4786" t="str">
            <v>LT</v>
          </cell>
          <cell r="D4786" t="str">
            <v>LT</v>
          </cell>
          <cell r="E4786" t="str">
            <v>04013</v>
          </cell>
        </row>
        <row r="4787">
          <cell r="A4787" t="str">
            <v>SEZZE</v>
          </cell>
          <cell r="B4787" t="str">
            <v>059028</v>
          </cell>
          <cell r="C4787" t="str">
            <v>LT</v>
          </cell>
          <cell r="D4787" t="str">
            <v>LT</v>
          </cell>
          <cell r="E4787" t="str">
            <v>04018</v>
          </cell>
        </row>
        <row r="4788">
          <cell r="A4788" t="str">
            <v>SONNINO</v>
          </cell>
          <cell r="B4788" t="str">
            <v>059029</v>
          </cell>
          <cell r="C4788" t="str">
            <v>LT</v>
          </cell>
          <cell r="D4788" t="str">
            <v>LT</v>
          </cell>
          <cell r="E4788" t="str">
            <v>04010</v>
          </cell>
        </row>
        <row r="4789">
          <cell r="A4789" t="str">
            <v>SPERLONGA</v>
          </cell>
          <cell r="B4789" t="str">
            <v>059030</v>
          </cell>
          <cell r="C4789" t="str">
            <v>LT</v>
          </cell>
          <cell r="D4789" t="str">
            <v>LT</v>
          </cell>
          <cell r="E4789" t="str">
            <v>04029</v>
          </cell>
        </row>
        <row r="4790">
          <cell r="A4790" t="str">
            <v>SPIGNO SATURNIA</v>
          </cell>
          <cell r="B4790" t="str">
            <v>059031</v>
          </cell>
          <cell r="C4790" t="str">
            <v>LT</v>
          </cell>
          <cell r="D4790" t="str">
            <v>LT</v>
          </cell>
          <cell r="E4790" t="str">
            <v>04020</v>
          </cell>
        </row>
        <row r="4791">
          <cell r="A4791" t="str">
            <v>TERRACINA</v>
          </cell>
          <cell r="B4791" t="str">
            <v>059032</v>
          </cell>
          <cell r="C4791" t="str">
            <v>LT</v>
          </cell>
          <cell r="D4791" t="str">
            <v>LT</v>
          </cell>
          <cell r="E4791" t="str">
            <v>04019</v>
          </cell>
        </row>
        <row r="4792">
          <cell r="A4792" t="str">
            <v>VENTOTENE</v>
          </cell>
          <cell r="B4792" t="str">
            <v>059033</v>
          </cell>
          <cell r="C4792" t="str">
            <v>LT</v>
          </cell>
          <cell r="D4792" t="str">
            <v>LT</v>
          </cell>
          <cell r="E4792" t="str">
            <v>04020</v>
          </cell>
        </row>
        <row r="4793">
          <cell r="A4793" t="str">
            <v>ACQUAFONDATA</v>
          </cell>
          <cell r="B4793" t="str">
            <v>060001</v>
          </cell>
          <cell r="C4793" t="str">
            <v>FR</v>
          </cell>
          <cell r="D4793" t="str">
            <v>FR</v>
          </cell>
          <cell r="E4793" t="str">
            <v>03040</v>
          </cell>
        </row>
        <row r="4794">
          <cell r="A4794" t="str">
            <v>ACUTO</v>
          </cell>
          <cell r="B4794" t="str">
            <v>060002</v>
          </cell>
          <cell r="C4794" t="str">
            <v>FR</v>
          </cell>
          <cell r="D4794" t="str">
            <v>FR</v>
          </cell>
          <cell r="E4794" t="str">
            <v>03010</v>
          </cell>
        </row>
        <row r="4795">
          <cell r="A4795" t="str">
            <v>ALATRI</v>
          </cell>
          <cell r="B4795" t="str">
            <v>060003</v>
          </cell>
          <cell r="C4795" t="str">
            <v>FR</v>
          </cell>
          <cell r="D4795" t="str">
            <v>FR</v>
          </cell>
          <cell r="E4795" t="str">
            <v>03011</v>
          </cell>
        </row>
        <row r="4796">
          <cell r="A4796" t="str">
            <v>ALVITO</v>
          </cell>
          <cell r="B4796" t="str">
            <v>060004</v>
          </cell>
          <cell r="C4796" t="str">
            <v>FR</v>
          </cell>
          <cell r="D4796" t="str">
            <v>FR</v>
          </cell>
          <cell r="E4796" t="str">
            <v>03041</v>
          </cell>
        </row>
        <row r="4797">
          <cell r="A4797" t="str">
            <v>AMASENO</v>
          </cell>
          <cell r="B4797" t="str">
            <v>060005</v>
          </cell>
          <cell r="C4797" t="str">
            <v>FR</v>
          </cell>
          <cell r="D4797" t="str">
            <v>FR</v>
          </cell>
          <cell r="E4797" t="str">
            <v>03021</v>
          </cell>
        </row>
        <row r="4798">
          <cell r="A4798" t="str">
            <v>ANAGNI</v>
          </cell>
          <cell r="B4798" t="str">
            <v>060006</v>
          </cell>
          <cell r="C4798" t="str">
            <v>FR</v>
          </cell>
          <cell r="D4798" t="str">
            <v>FR</v>
          </cell>
          <cell r="E4798" t="str">
            <v>03012</v>
          </cell>
        </row>
        <row r="4799">
          <cell r="A4799" t="str">
            <v>AQUINO</v>
          </cell>
          <cell r="B4799" t="str">
            <v>060007</v>
          </cell>
          <cell r="C4799" t="str">
            <v>FR</v>
          </cell>
          <cell r="D4799" t="str">
            <v>FR</v>
          </cell>
          <cell r="E4799" t="str">
            <v>03031</v>
          </cell>
        </row>
        <row r="4800">
          <cell r="A4800" t="str">
            <v>ARCE</v>
          </cell>
          <cell r="B4800" t="str">
            <v>060008</v>
          </cell>
          <cell r="C4800" t="str">
            <v>FR</v>
          </cell>
          <cell r="D4800" t="str">
            <v>FR</v>
          </cell>
          <cell r="E4800" t="str">
            <v>03032</v>
          </cell>
        </row>
        <row r="4801">
          <cell r="A4801" t="str">
            <v>ARNARA</v>
          </cell>
          <cell r="B4801" t="str">
            <v>060009</v>
          </cell>
          <cell r="C4801" t="str">
            <v>FR</v>
          </cell>
          <cell r="D4801" t="str">
            <v>FR</v>
          </cell>
          <cell r="E4801" t="str">
            <v>03020</v>
          </cell>
        </row>
        <row r="4802">
          <cell r="A4802" t="str">
            <v>ARPINO</v>
          </cell>
          <cell r="B4802" t="str">
            <v>060010</v>
          </cell>
          <cell r="C4802" t="str">
            <v>FR</v>
          </cell>
          <cell r="D4802" t="str">
            <v>FR</v>
          </cell>
          <cell r="E4802" t="str">
            <v>03033</v>
          </cell>
        </row>
        <row r="4803">
          <cell r="A4803" t="str">
            <v>ATINA</v>
          </cell>
          <cell r="B4803" t="str">
            <v>060011</v>
          </cell>
          <cell r="C4803" t="str">
            <v>FR</v>
          </cell>
          <cell r="D4803" t="str">
            <v>FR</v>
          </cell>
          <cell r="E4803" t="str">
            <v>03042</v>
          </cell>
        </row>
        <row r="4804">
          <cell r="A4804" t="str">
            <v>AUSONIA</v>
          </cell>
          <cell r="B4804" t="str">
            <v>060012</v>
          </cell>
          <cell r="C4804" t="str">
            <v>FR</v>
          </cell>
          <cell r="D4804" t="str">
            <v>FR</v>
          </cell>
          <cell r="E4804" t="str">
            <v>03040</v>
          </cell>
        </row>
        <row r="4805">
          <cell r="A4805" t="str">
            <v>BELMONTE CASTELLO</v>
          </cell>
          <cell r="B4805" t="str">
            <v>060013</v>
          </cell>
          <cell r="C4805" t="str">
            <v>FR</v>
          </cell>
          <cell r="D4805" t="str">
            <v>FR</v>
          </cell>
          <cell r="E4805" t="str">
            <v>03040</v>
          </cell>
        </row>
        <row r="4806">
          <cell r="A4806" t="str">
            <v>BOVILLE ERNICA</v>
          </cell>
          <cell r="B4806" t="str">
            <v>060014</v>
          </cell>
          <cell r="C4806" t="str">
            <v>FR</v>
          </cell>
          <cell r="D4806" t="str">
            <v>FR</v>
          </cell>
          <cell r="E4806" t="str">
            <v>03022</v>
          </cell>
        </row>
        <row r="4807">
          <cell r="A4807" t="str">
            <v>BROCCOSTELLA</v>
          </cell>
          <cell r="B4807" t="str">
            <v>060015</v>
          </cell>
          <cell r="C4807" t="str">
            <v>FR</v>
          </cell>
          <cell r="D4807" t="str">
            <v>FR</v>
          </cell>
          <cell r="E4807" t="str">
            <v>03030</v>
          </cell>
        </row>
        <row r="4808">
          <cell r="A4808" t="str">
            <v>CAMPOLI APPENNINO</v>
          </cell>
          <cell r="B4808" t="str">
            <v>060016</v>
          </cell>
          <cell r="C4808" t="str">
            <v>FR</v>
          </cell>
          <cell r="D4808" t="str">
            <v>FR</v>
          </cell>
          <cell r="E4808" t="str">
            <v>03030</v>
          </cell>
        </row>
        <row r="4809">
          <cell r="A4809" t="str">
            <v>CASALATTICO</v>
          </cell>
          <cell r="B4809" t="str">
            <v>060017</v>
          </cell>
          <cell r="C4809" t="str">
            <v>FR</v>
          </cell>
          <cell r="D4809" t="str">
            <v>FR</v>
          </cell>
          <cell r="E4809" t="str">
            <v>03030</v>
          </cell>
        </row>
        <row r="4810">
          <cell r="A4810" t="str">
            <v>CASALVIERI</v>
          </cell>
          <cell r="B4810" t="str">
            <v>060018</v>
          </cell>
          <cell r="C4810" t="str">
            <v>FR</v>
          </cell>
          <cell r="D4810" t="str">
            <v>FR</v>
          </cell>
          <cell r="E4810" t="str">
            <v>03034</v>
          </cell>
        </row>
        <row r="4811">
          <cell r="A4811" t="str">
            <v>CASSINO</v>
          </cell>
          <cell r="B4811" t="str">
            <v>060019</v>
          </cell>
          <cell r="C4811" t="str">
            <v>FR</v>
          </cell>
          <cell r="D4811" t="str">
            <v>FR</v>
          </cell>
          <cell r="E4811" t="str">
            <v>03043</v>
          </cell>
        </row>
        <row r="4812">
          <cell r="A4812" t="str">
            <v>CASTELLIRI</v>
          </cell>
          <cell r="B4812" t="str">
            <v>060020</v>
          </cell>
          <cell r="C4812" t="str">
            <v>FR</v>
          </cell>
          <cell r="D4812" t="str">
            <v>FR</v>
          </cell>
          <cell r="E4812" t="str">
            <v>03030</v>
          </cell>
        </row>
        <row r="4813">
          <cell r="A4813" t="str">
            <v>CASTELNUOVO PARANO</v>
          </cell>
          <cell r="B4813" t="str">
            <v>060021</v>
          </cell>
          <cell r="C4813" t="str">
            <v>FR</v>
          </cell>
          <cell r="D4813" t="str">
            <v>FR</v>
          </cell>
          <cell r="E4813" t="str">
            <v>03040</v>
          </cell>
        </row>
        <row r="4814">
          <cell r="A4814" t="str">
            <v>CASTROCIELO</v>
          </cell>
          <cell r="B4814" t="str">
            <v>060022</v>
          </cell>
          <cell r="C4814" t="str">
            <v>FR</v>
          </cell>
          <cell r="D4814" t="str">
            <v>FR</v>
          </cell>
          <cell r="E4814" t="str">
            <v>03030</v>
          </cell>
        </row>
        <row r="4815">
          <cell r="A4815" t="str">
            <v>CASTRO DEI VOLSCI</v>
          </cell>
          <cell r="B4815" t="str">
            <v>060023</v>
          </cell>
          <cell r="C4815" t="str">
            <v>FR</v>
          </cell>
          <cell r="D4815" t="str">
            <v>FR</v>
          </cell>
          <cell r="E4815" t="str">
            <v>03020</v>
          </cell>
        </row>
        <row r="4816">
          <cell r="A4816" t="str">
            <v>CECCANO</v>
          </cell>
          <cell r="B4816" t="str">
            <v>060024</v>
          </cell>
          <cell r="C4816" t="str">
            <v>FR</v>
          </cell>
          <cell r="D4816" t="str">
            <v>FR</v>
          </cell>
          <cell r="E4816" t="str">
            <v>03023</v>
          </cell>
        </row>
        <row r="4817">
          <cell r="A4817" t="str">
            <v>CEPRANO</v>
          </cell>
          <cell r="B4817" t="str">
            <v>060025</v>
          </cell>
          <cell r="C4817" t="str">
            <v>FR</v>
          </cell>
          <cell r="D4817" t="str">
            <v>FR</v>
          </cell>
          <cell r="E4817" t="str">
            <v>03024</v>
          </cell>
        </row>
        <row r="4818">
          <cell r="A4818" t="str">
            <v>CERVARO</v>
          </cell>
          <cell r="B4818" t="str">
            <v>060026</v>
          </cell>
          <cell r="C4818" t="str">
            <v>FR</v>
          </cell>
          <cell r="D4818" t="str">
            <v>FR</v>
          </cell>
          <cell r="E4818" t="str">
            <v>03044</v>
          </cell>
        </row>
        <row r="4819">
          <cell r="A4819" t="str">
            <v>COLFELICE</v>
          </cell>
          <cell r="B4819" t="str">
            <v>060027</v>
          </cell>
          <cell r="C4819" t="str">
            <v>FR</v>
          </cell>
          <cell r="D4819" t="str">
            <v>FR</v>
          </cell>
          <cell r="E4819" t="str">
            <v>03030</v>
          </cell>
        </row>
        <row r="4820">
          <cell r="A4820" t="str">
            <v>COLLEPARDO</v>
          </cell>
          <cell r="B4820" t="str">
            <v>060028</v>
          </cell>
          <cell r="C4820" t="str">
            <v>FR</v>
          </cell>
          <cell r="D4820" t="str">
            <v>FR</v>
          </cell>
          <cell r="E4820" t="str">
            <v>03010</v>
          </cell>
        </row>
        <row r="4821">
          <cell r="A4821" t="str">
            <v>COLLE SAN MAGNO</v>
          </cell>
          <cell r="B4821" t="str">
            <v>060029</v>
          </cell>
          <cell r="C4821" t="str">
            <v>FR</v>
          </cell>
          <cell r="D4821" t="str">
            <v>FR</v>
          </cell>
          <cell r="E4821" t="str">
            <v>03030</v>
          </cell>
        </row>
        <row r="4822">
          <cell r="A4822" t="str">
            <v>CORENO AUSONIO</v>
          </cell>
          <cell r="B4822" t="str">
            <v>060030</v>
          </cell>
          <cell r="C4822" t="str">
            <v>FR</v>
          </cell>
          <cell r="D4822" t="str">
            <v>FR</v>
          </cell>
          <cell r="E4822" t="str">
            <v>03040</v>
          </cell>
        </row>
        <row r="4823">
          <cell r="A4823" t="str">
            <v>ESPERIA</v>
          </cell>
          <cell r="B4823" t="str">
            <v>060031</v>
          </cell>
          <cell r="C4823" t="str">
            <v>FR</v>
          </cell>
          <cell r="D4823" t="str">
            <v>FR</v>
          </cell>
          <cell r="E4823" t="str">
            <v>03045</v>
          </cell>
        </row>
        <row r="4824">
          <cell r="A4824" t="str">
            <v>FALVATERRA</v>
          </cell>
          <cell r="B4824" t="str">
            <v>060032</v>
          </cell>
          <cell r="C4824" t="str">
            <v>FR</v>
          </cell>
          <cell r="D4824" t="str">
            <v>FR</v>
          </cell>
          <cell r="E4824" t="str">
            <v>03020</v>
          </cell>
        </row>
        <row r="4825">
          <cell r="A4825" t="str">
            <v>FERENTINO</v>
          </cell>
          <cell r="B4825" t="str">
            <v>060033</v>
          </cell>
          <cell r="C4825" t="str">
            <v>FR</v>
          </cell>
          <cell r="D4825" t="str">
            <v>FR</v>
          </cell>
          <cell r="E4825" t="str">
            <v>03013</v>
          </cell>
        </row>
        <row r="4826">
          <cell r="A4826" t="str">
            <v>FILETTINO</v>
          </cell>
          <cell r="B4826" t="str">
            <v>060034</v>
          </cell>
          <cell r="C4826" t="str">
            <v>FR</v>
          </cell>
          <cell r="D4826" t="str">
            <v>FR</v>
          </cell>
          <cell r="E4826" t="str">
            <v>03010</v>
          </cell>
        </row>
        <row r="4827">
          <cell r="A4827" t="str">
            <v>FIUGGI</v>
          </cell>
          <cell r="B4827" t="str">
            <v>060035</v>
          </cell>
          <cell r="C4827" t="str">
            <v>FR</v>
          </cell>
          <cell r="D4827" t="str">
            <v>FR</v>
          </cell>
          <cell r="E4827" t="str">
            <v>03014</v>
          </cell>
        </row>
        <row r="4828">
          <cell r="A4828" t="str">
            <v>FONTANA LIRI</v>
          </cell>
          <cell r="B4828" t="str">
            <v>060036</v>
          </cell>
          <cell r="C4828" t="str">
            <v>FR</v>
          </cell>
          <cell r="D4828" t="str">
            <v>FR</v>
          </cell>
          <cell r="E4828" t="str">
            <v>03035</v>
          </cell>
        </row>
        <row r="4829">
          <cell r="A4829" t="str">
            <v>FONTECHIARI</v>
          </cell>
          <cell r="B4829" t="str">
            <v>060037</v>
          </cell>
          <cell r="C4829" t="str">
            <v>FR</v>
          </cell>
          <cell r="D4829" t="str">
            <v>FR</v>
          </cell>
          <cell r="E4829" t="str">
            <v>03030</v>
          </cell>
        </row>
        <row r="4830">
          <cell r="A4830" t="str">
            <v>FROSINONE</v>
          </cell>
          <cell r="B4830" t="str">
            <v>060038</v>
          </cell>
          <cell r="C4830" t="str">
            <v>FR</v>
          </cell>
          <cell r="D4830" t="str">
            <v>FR</v>
          </cell>
          <cell r="E4830" t="str">
            <v>03100</v>
          </cell>
        </row>
        <row r="4831">
          <cell r="A4831" t="str">
            <v>FUMONE</v>
          </cell>
          <cell r="B4831" t="str">
            <v>060039</v>
          </cell>
          <cell r="C4831" t="str">
            <v>FR</v>
          </cell>
          <cell r="D4831" t="str">
            <v>FR</v>
          </cell>
          <cell r="E4831" t="str">
            <v>03010</v>
          </cell>
        </row>
        <row r="4832">
          <cell r="A4832" t="str">
            <v>GALLINARO</v>
          </cell>
          <cell r="B4832" t="str">
            <v>060040</v>
          </cell>
          <cell r="C4832" t="str">
            <v>FR</v>
          </cell>
          <cell r="D4832" t="str">
            <v>FR</v>
          </cell>
          <cell r="E4832" t="str">
            <v>03040</v>
          </cell>
        </row>
        <row r="4833">
          <cell r="A4833" t="str">
            <v>GIULIANO DI ROMA</v>
          </cell>
          <cell r="B4833" t="str">
            <v>060041</v>
          </cell>
          <cell r="C4833" t="str">
            <v>FR</v>
          </cell>
          <cell r="D4833" t="str">
            <v>FR</v>
          </cell>
          <cell r="E4833" t="str">
            <v>03020</v>
          </cell>
        </row>
        <row r="4834">
          <cell r="A4834" t="str">
            <v>GUARCINO</v>
          </cell>
          <cell r="B4834" t="str">
            <v>060042</v>
          </cell>
          <cell r="C4834" t="str">
            <v>FR</v>
          </cell>
          <cell r="D4834" t="str">
            <v>FR</v>
          </cell>
          <cell r="E4834" t="str">
            <v>03016</v>
          </cell>
        </row>
        <row r="4835">
          <cell r="A4835" t="str">
            <v>ISOLA DEL LIRI</v>
          </cell>
          <cell r="B4835" t="str">
            <v>060043</v>
          </cell>
          <cell r="C4835" t="str">
            <v>FR</v>
          </cell>
          <cell r="D4835" t="str">
            <v>FR</v>
          </cell>
          <cell r="E4835" t="str">
            <v>03036</v>
          </cell>
        </row>
        <row r="4836">
          <cell r="A4836" t="str">
            <v>MONTE SAN GIOVANNI CAMPANO</v>
          </cell>
          <cell r="B4836" t="str">
            <v>060044</v>
          </cell>
          <cell r="C4836" t="str">
            <v>FR</v>
          </cell>
          <cell r="D4836" t="str">
            <v>FR</v>
          </cell>
          <cell r="E4836" t="str">
            <v>03025</v>
          </cell>
        </row>
        <row r="4837">
          <cell r="A4837" t="str">
            <v>MOROLO</v>
          </cell>
          <cell r="B4837" t="str">
            <v>060045</v>
          </cell>
          <cell r="C4837" t="str">
            <v>FR</v>
          </cell>
          <cell r="D4837" t="str">
            <v>FR</v>
          </cell>
          <cell r="E4837" t="str">
            <v>03017</v>
          </cell>
        </row>
        <row r="4838">
          <cell r="A4838" t="str">
            <v>PALIANO</v>
          </cell>
          <cell r="B4838" t="str">
            <v>060046</v>
          </cell>
          <cell r="C4838" t="str">
            <v>FR</v>
          </cell>
          <cell r="D4838" t="str">
            <v>FR</v>
          </cell>
          <cell r="E4838" t="str">
            <v>03018</v>
          </cell>
        </row>
        <row r="4839">
          <cell r="A4839" t="str">
            <v>PASTENA</v>
          </cell>
          <cell r="B4839" t="str">
            <v>060047</v>
          </cell>
          <cell r="C4839" t="str">
            <v>FR</v>
          </cell>
          <cell r="D4839" t="str">
            <v>FR</v>
          </cell>
          <cell r="E4839" t="str">
            <v>03020</v>
          </cell>
        </row>
        <row r="4840">
          <cell r="A4840" t="str">
            <v>PATRICA</v>
          </cell>
          <cell r="B4840" t="str">
            <v>060048</v>
          </cell>
          <cell r="C4840" t="str">
            <v>FR</v>
          </cell>
          <cell r="D4840" t="str">
            <v>FR</v>
          </cell>
          <cell r="E4840" t="str">
            <v>03010</v>
          </cell>
        </row>
        <row r="4841">
          <cell r="A4841" t="str">
            <v>PESCOSOLIDO</v>
          </cell>
          <cell r="B4841" t="str">
            <v>060049</v>
          </cell>
          <cell r="C4841" t="str">
            <v>FR</v>
          </cell>
          <cell r="D4841" t="str">
            <v>FR</v>
          </cell>
          <cell r="E4841" t="str">
            <v>03030</v>
          </cell>
        </row>
        <row r="4842">
          <cell r="A4842" t="str">
            <v>PICINISCO</v>
          </cell>
          <cell r="B4842" t="str">
            <v>060050</v>
          </cell>
          <cell r="C4842" t="str">
            <v>FR</v>
          </cell>
          <cell r="D4842" t="str">
            <v>FR</v>
          </cell>
          <cell r="E4842" t="str">
            <v>03040</v>
          </cell>
        </row>
        <row r="4843">
          <cell r="A4843" t="str">
            <v>PICO</v>
          </cell>
          <cell r="B4843" t="str">
            <v>060051</v>
          </cell>
          <cell r="C4843" t="str">
            <v>FR</v>
          </cell>
          <cell r="D4843" t="str">
            <v>FR</v>
          </cell>
          <cell r="E4843" t="str">
            <v>03020</v>
          </cell>
        </row>
        <row r="4844">
          <cell r="A4844" t="str">
            <v>PIEDIMONTE SAN GERMANO</v>
          </cell>
          <cell r="B4844" t="str">
            <v>060052</v>
          </cell>
          <cell r="C4844" t="str">
            <v>FR</v>
          </cell>
          <cell r="D4844" t="str">
            <v>FR</v>
          </cell>
          <cell r="E4844" t="str">
            <v>03030</v>
          </cell>
        </row>
        <row r="4845">
          <cell r="A4845" t="str">
            <v>PIGLIO</v>
          </cell>
          <cell r="B4845" t="str">
            <v>060053</v>
          </cell>
          <cell r="C4845" t="str">
            <v>FR</v>
          </cell>
          <cell r="D4845" t="str">
            <v>FR</v>
          </cell>
          <cell r="E4845" t="str">
            <v>03010</v>
          </cell>
        </row>
        <row r="4846">
          <cell r="A4846" t="str">
            <v>PIGNATARO INTERAMNA</v>
          </cell>
          <cell r="B4846" t="str">
            <v>060054</v>
          </cell>
          <cell r="C4846" t="str">
            <v>FR</v>
          </cell>
          <cell r="D4846" t="str">
            <v>FR</v>
          </cell>
          <cell r="E4846" t="str">
            <v>03040</v>
          </cell>
        </row>
        <row r="4847">
          <cell r="A4847" t="str">
            <v>POFI</v>
          </cell>
          <cell r="B4847" t="str">
            <v>060055</v>
          </cell>
          <cell r="C4847" t="str">
            <v>FR</v>
          </cell>
          <cell r="D4847" t="str">
            <v>FR</v>
          </cell>
          <cell r="E4847" t="str">
            <v>03026</v>
          </cell>
        </row>
        <row r="4848">
          <cell r="A4848" t="str">
            <v>PONTECORVO</v>
          </cell>
          <cell r="B4848" t="str">
            <v>060056</v>
          </cell>
          <cell r="C4848" t="str">
            <v>FR</v>
          </cell>
          <cell r="D4848" t="str">
            <v>FR</v>
          </cell>
          <cell r="E4848" t="str">
            <v>03037</v>
          </cell>
        </row>
        <row r="4849">
          <cell r="A4849" t="str">
            <v>POSTA FIBRENO</v>
          </cell>
          <cell r="B4849" t="str">
            <v>060057</v>
          </cell>
          <cell r="C4849" t="str">
            <v>FR</v>
          </cell>
          <cell r="D4849" t="str">
            <v>FR</v>
          </cell>
          <cell r="E4849" t="str">
            <v>03030</v>
          </cell>
        </row>
        <row r="4850">
          <cell r="A4850" t="str">
            <v>RIPI</v>
          </cell>
          <cell r="B4850" t="str">
            <v>060058</v>
          </cell>
          <cell r="C4850" t="str">
            <v>FR</v>
          </cell>
          <cell r="D4850" t="str">
            <v>FR</v>
          </cell>
          <cell r="E4850" t="str">
            <v>03027</v>
          </cell>
        </row>
        <row r="4851">
          <cell r="A4851" t="str">
            <v>ROCCA D'ARCE</v>
          </cell>
          <cell r="B4851" t="str">
            <v>060059</v>
          </cell>
          <cell r="C4851" t="str">
            <v>FR</v>
          </cell>
          <cell r="D4851" t="str">
            <v>FR</v>
          </cell>
          <cell r="E4851" t="str">
            <v>03030</v>
          </cell>
        </row>
        <row r="4852">
          <cell r="A4852" t="str">
            <v>ROCCASECCA</v>
          </cell>
          <cell r="B4852" t="str">
            <v>060060</v>
          </cell>
          <cell r="C4852" t="str">
            <v>FR</v>
          </cell>
          <cell r="D4852" t="str">
            <v>FR</v>
          </cell>
          <cell r="E4852" t="str">
            <v>03038</v>
          </cell>
        </row>
        <row r="4853">
          <cell r="A4853" t="str">
            <v>SAN BIAGIO SARACINISCO</v>
          </cell>
          <cell r="B4853" t="str">
            <v>060061</v>
          </cell>
          <cell r="C4853" t="str">
            <v>FR</v>
          </cell>
          <cell r="D4853" t="str">
            <v>FR</v>
          </cell>
          <cell r="E4853" t="str">
            <v>03040</v>
          </cell>
        </row>
        <row r="4854">
          <cell r="A4854" t="str">
            <v>SAN DONATO VAL DI COMINO</v>
          </cell>
          <cell r="B4854" t="str">
            <v>060062</v>
          </cell>
          <cell r="C4854" t="str">
            <v>FR</v>
          </cell>
          <cell r="D4854" t="str">
            <v>FR</v>
          </cell>
          <cell r="E4854" t="str">
            <v>03046</v>
          </cell>
        </row>
        <row r="4855">
          <cell r="A4855" t="str">
            <v>SAN GIORGIO A LIRI</v>
          </cell>
          <cell r="B4855" t="str">
            <v>060063</v>
          </cell>
          <cell r="C4855" t="str">
            <v>FR</v>
          </cell>
          <cell r="D4855" t="str">
            <v>FR</v>
          </cell>
          <cell r="E4855" t="str">
            <v>03047</v>
          </cell>
        </row>
        <row r="4856">
          <cell r="A4856" t="str">
            <v>SAN GIOVANNI INCARICO</v>
          </cell>
          <cell r="B4856" t="str">
            <v>060064</v>
          </cell>
          <cell r="C4856" t="str">
            <v>FR</v>
          </cell>
          <cell r="D4856" t="str">
            <v>FR</v>
          </cell>
          <cell r="E4856" t="str">
            <v>03028</v>
          </cell>
        </row>
        <row r="4857">
          <cell r="A4857" t="str">
            <v>SANT'AMBROGIO SUL GARIGLIANO</v>
          </cell>
          <cell r="B4857" t="str">
            <v>060065</v>
          </cell>
          <cell r="C4857" t="str">
            <v>FR</v>
          </cell>
          <cell r="D4857" t="str">
            <v>FR</v>
          </cell>
          <cell r="E4857" t="str">
            <v>03040</v>
          </cell>
        </row>
        <row r="4858">
          <cell r="A4858" t="str">
            <v>SANT'ANDREA DEL GARIGLIANO</v>
          </cell>
          <cell r="B4858" t="str">
            <v>060066</v>
          </cell>
          <cell r="C4858" t="str">
            <v>FR</v>
          </cell>
          <cell r="D4858" t="str">
            <v>FR</v>
          </cell>
          <cell r="E4858" t="str">
            <v>03040</v>
          </cell>
        </row>
        <row r="4859">
          <cell r="A4859" t="str">
            <v>SANT'APOLLINARE</v>
          </cell>
          <cell r="B4859" t="str">
            <v>060067</v>
          </cell>
          <cell r="C4859" t="str">
            <v>FR</v>
          </cell>
          <cell r="D4859" t="str">
            <v>FR</v>
          </cell>
          <cell r="E4859" t="str">
            <v>03048</v>
          </cell>
        </row>
        <row r="4860">
          <cell r="A4860" t="str">
            <v>SANT'ELIA FIUMERAPIDO</v>
          </cell>
          <cell r="B4860" t="str">
            <v>060068</v>
          </cell>
          <cell r="C4860" t="str">
            <v>FR</v>
          </cell>
          <cell r="D4860" t="str">
            <v>FR</v>
          </cell>
          <cell r="E4860" t="str">
            <v>03049</v>
          </cell>
        </row>
        <row r="4861">
          <cell r="A4861" t="str">
            <v>SANTOPADRE</v>
          </cell>
          <cell r="B4861" t="str">
            <v>060069</v>
          </cell>
          <cell r="C4861" t="str">
            <v>FR</v>
          </cell>
          <cell r="D4861" t="str">
            <v>FR</v>
          </cell>
          <cell r="E4861" t="str">
            <v>03030</v>
          </cell>
        </row>
        <row r="4862">
          <cell r="A4862" t="str">
            <v>SAN VITTORE DEL LAZIO</v>
          </cell>
          <cell r="B4862" t="str">
            <v>060070</v>
          </cell>
          <cell r="C4862" t="str">
            <v>FR</v>
          </cell>
          <cell r="D4862" t="str">
            <v>FR</v>
          </cell>
          <cell r="E4862" t="str">
            <v>03040</v>
          </cell>
        </row>
        <row r="4863">
          <cell r="A4863" t="str">
            <v>SERRONE</v>
          </cell>
          <cell r="B4863" t="str">
            <v>060071</v>
          </cell>
          <cell r="C4863" t="str">
            <v>FR</v>
          </cell>
          <cell r="D4863" t="str">
            <v>FR</v>
          </cell>
          <cell r="E4863" t="str">
            <v>03010</v>
          </cell>
        </row>
        <row r="4864">
          <cell r="A4864" t="str">
            <v>SETTEFRATI</v>
          </cell>
          <cell r="B4864" t="str">
            <v>060072</v>
          </cell>
          <cell r="C4864" t="str">
            <v>FR</v>
          </cell>
          <cell r="D4864" t="str">
            <v>FR</v>
          </cell>
          <cell r="E4864" t="str">
            <v>03040</v>
          </cell>
        </row>
        <row r="4865">
          <cell r="A4865" t="str">
            <v>SGURGOLA</v>
          </cell>
          <cell r="B4865" t="str">
            <v>060073</v>
          </cell>
          <cell r="C4865" t="str">
            <v>FR</v>
          </cell>
          <cell r="D4865" t="str">
            <v>FR</v>
          </cell>
          <cell r="E4865" t="str">
            <v>03010</v>
          </cell>
        </row>
        <row r="4866">
          <cell r="A4866" t="str">
            <v>SORA</v>
          </cell>
          <cell r="B4866" t="str">
            <v>060074</v>
          </cell>
          <cell r="C4866" t="str">
            <v>FR</v>
          </cell>
          <cell r="D4866" t="str">
            <v>FR</v>
          </cell>
          <cell r="E4866" t="str">
            <v>03039</v>
          </cell>
        </row>
        <row r="4867">
          <cell r="A4867" t="str">
            <v>STRANGOLAGALLI</v>
          </cell>
          <cell r="B4867" t="str">
            <v>060075</v>
          </cell>
          <cell r="C4867" t="str">
            <v>FR</v>
          </cell>
          <cell r="D4867" t="str">
            <v>FR</v>
          </cell>
          <cell r="E4867" t="str">
            <v>03020</v>
          </cell>
        </row>
        <row r="4868">
          <cell r="A4868" t="str">
            <v>SUPINO</v>
          </cell>
          <cell r="B4868" t="str">
            <v>060076</v>
          </cell>
          <cell r="C4868" t="str">
            <v>FR</v>
          </cell>
          <cell r="D4868" t="str">
            <v>FR</v>
          </cell>
          <cell r="E4868" t="str">
            <v>03019</v>
          </cell>
        </row>
        <row r="4869">
          <cell r="A4869" t="str">
            <v>TERELLE</v>
          </cell>
          <cell r="B4869" t="str">
            <v>060077</v>
          </cell>
          <cell r="C4869" t="str">
            <v>FR</v>
          </cell>
          <cell r="D4869" t="str">
            <v>FR</v>
          </cell>
          <cell r="E4869" t="str">
            <v>03040</v>
          </cell>
        </row>
        <row r="4870">
          <cell r="A4870" t="str">
            <v>TORRE CAJETANI</v>
          </cell>
          <cell r="B4870" t="str">
            <v>060078</v>
          </cell>
          <cell r="C4870" t="str">
            <v>FR</v>
          </cell>
          <cell r="D4870" t="str">
            <v>FR</v>
          </cell>
          <cell r="E4870" t="str">
            <v>03010</v>
          </cell>
        </row>
        <row r="4871">
          <cell r="A4871" t="str">
            <v>TORRICE</v>
          </cell>
          <cell r="B4871" t="str">
            <v>060079</v>
          </cell>
          <cell r="C4871" t="str">
            <v>FR</v>
          </cell>
          <cell r="D4871" t="str">
            <v>FR</v>
          </cell>
          <cell r="E4871" t="str">
            <v>03020</v>
          </cell>
        </row>
        <row r="4872">
          <cell r="A4872" t="str">
            <v>TREVI NEL LAZIO</v>
          </cell>
          <cell r="B4872" t="str">
            <v>060080</v>
          </cell>
          <cell r="C4872" t="str">
            <v>FR</v>
          </cell>
          <cell r="D4872" t="str">
            <v>FR</v>
          </cell>
          <cell r="E4872" t="str">
            <v>03010</v>
          </cell>
        </row>
        <row r="4873">
          <cell r="A4873" t="str">
            <v>TRIVIGLIANO</v>
          </cell>
          <cell r="B4873" t="str">
            <v>060081</v>
          </cell>
          <cell r="C4873" t="str">
            <v>FR</v>
          </cell>
          <cell r="D4873" t="str">
            <v>FR</v>
          </cell>
          <cell r="E4873" t="str">
            <v>03010</v>
          </cell>
        </row>
        <row r="4874">
          <cell r="A4874" t="str">
            <v>VALLECORSA</v>
          </cell>
          <cell r="B4874" t="str">
            <v>060082</v>
          </cell>
          <cell r="C4874" t="str">
            <v>FR</v>
          </cell>
          <cell r="D4874" t="str">
            <v>FR</v>
          </cell>
          <cell r="E4874" t="str">
            <v>03020</v>
          </cell>
        </row>
        <row r="4875">
          <cell r="A4875" t="str">
            <v>VALLEMAIO</v>
          </cell>
          <cell r="B4875" t="str">
            <v>060083</v>
          </cell>
          <cell r="C4875" t="str">
            <v>FR</v>
          </cell>
          <cell r="D4875" t="str">
            <v>FR</v>
          </cell>
          <cell r="E4875" t="str">
            <v>03040</v>
          </cell>
        </row>
        <row r="4876">
          <cell r="A4876" t="str">
            <v>VALLEROTONDA</v>
          </cell>
          <cell r="B4876" t="str">
            <v>060084</v>
          </cell>
          <cell r="C4876" t="str">
            <v>FR</v>
          </cell>
          <cell r="D4876" t="str">
            <v>FR</v>
          </cell>
          <cell r="E4876" t="str">
            <v>03040</v>
          </cell>
        </row>
        <row r="4877">
          <cell r="A4877" t="str">
            <v>VEROLI</v>
          </cell>
          <cell r="B4877" t="str">
            <v>060085</v>
          </cell>
          <cell r="C4877" t="str">
            <v>FR</v>
          </cell>
          <cell r="D4877" t="str">
            <v>FR</v>
          </cell>
          <cell r="E4877" t="str">
            <v>03029</v>
          </cell>
        </row>
        <row r="4878">
          <cell r="A4878" t="str">
            <v>VICALVI</v>
          </cell>
          <cell r="B4878" t="str">
            <v>060086</v>
          </cell>
          <cell r="C4878" t="str">
            <v>FR</v>
          </cell>
          <cell r="D4878" t="str">
            <v>FR</v>
          </cell>
          <cell r="E4878" t="str">
            <v>03030</v>
          </cell>
        </row>
        <row r="4879">
          <cell r="A4879" t="str">
            <v>VICO NEL LAZIO</v>
          </cell>
          <cell r="B4879" t="str">
            <v>060087</v>
          </cell>
          <cell r="C4879" t="str">
            <v>FR</v>
          </cell>
          <cell r="D4879" t="str">
            <v>FR</v>
          </cell>
          <cell r="E4879" t="str">
            <v>03010</v>
          </cell>
        </row>
        <row r="4880">
          <cell r="A4880" t="str">
            <v>VILLA LATINA</v>
          </cell>
          <cell r="B4880" t="str">
            <v>060088</v>
          </cell>
          <cell r="C4880" t="str">
            <v>FR</v>
          </cell>
          <cell r="D4880" t="str">
            <v>FR</v>
          </cell>
          <cell r="E4880" t="str">
            <v>03040</v>
          </cell>
        </row>
        <row r="4881">
          <cell r="A4881" t="str">
            <v>VILLA SANTA LUCIA</v>
          </cell>
          <cell r="B4881" t="str">
            <v>060089</v>
          </cell>
          <cell r="C4881" t="str">
            <v>FR</v>
          </cell>
          <cell r="D4881" t="str">
            <v>FR</v>
          </cell>
          <cell r="E4881" t="str">
            <v>03030</v>
          </cell>
        </row>
        <row r="4882">
          <cell r="A4882" t="str">
            <v>VILLA SANTO STEFANO</v>
          </cell>
          <cell r="B4882" t="str">
            <v>060090</v>
          </cell>
          <cell r="C4882" t="str">
            <v>FR</v>
          </cell>
          <cell r="D4882" t="str">
            <v>FR</v>
          </cell>
          <cell r="E4882" t="str">
            <v>03020</v>
          </cell>
        </row>
        <row r="4883">
          <cell r="A4883" t="str">
            <v>VITICUSO</v>
          </cell>
          <cell r="B4883" t="str">
            <v>060091</v>
          </cell>
          <cell r="C4883" t="str">
            <v>FR</v>
          </cell>
          <cell r="D4883" t="str">
            <v>FR</v>
          </cell>
          <cell r="E4883" t="str">
            <v>03040</v>
          </cell>
        </row>
        <row r="4884">
          <cell r="A4884" t="str">
            <v>AILANO</v>
          </cell>
          <cell r="B4884" t="str">
            <v>061001</v>
          </cell>
          <cell r="C4884" t="str">
            <v>CE</v>
          </cell>
          <cell r="D4884" t="str">
            <v>CE</v>
          </cell>
          <cell r="E4884" t="str">
            <v>81010</v>
          </cell>
        </row>
        <row r="4885">
          <cell r="A4885" t="str">
            <v>ALIFE</v>
          </cell>
          <cell r="B4885" t="str">
            <v>061002</v>
          </cell>
          <cell r="C4885" t="str">
            <v>CE</v>
          </cell>
          <cell r="D4885" t="str">
            <v>CE</v>
          </cell>
          <cell r="E4885" t="str">
            <v>81011</v>
          </cell>
        </row>
        <row r="4886">
          <cell r="A4886" t="str">
            <v>ALVIGNANO</v>
          </cell>
          <cell r="B4886" t="str">
            <v>061003</v>
          </cell>
          <cell r="C4886" t="str">
            <v>CE</v>
          </cell>
          <cell r="D4886" t="str">
            <v>CE</v>
          </cell>
          <cell r="E4886" t="str">
            <v>81012</v>
          </cell>
        </row>
        <row r="4887">
          <cell r="A4887" t="str">
            <v>ARIENZO</v>
          </cell>
          <cell r="B4887" t="str">
            <v>061004</v>
          </cell>
          <cell r="C4887" t="str">
            <v>CE</v>
          </cell>
          <cell r="D4887" t="str">
            <v>CE</v>
          </cell>
          <cell r="E4887" t="str">
            <v>81021</v>
          </cell>
        </row>
        <row r="4888">
          <cell r="A4888" t="str">
            <v>AVERSA</v>
          </cell>
          <cell r="B4888" t="str">
            <v>061005</v>
          </cell>
          <cell r="C4888" t="str">
            <v>CE</v>
          </cell>
          <cell r="D4888" t="str">
            <v>CE</v>
          </cell>
          <cell r="E4888" t="str">
            <v>81031</v>
          </cell>
        </row>
        <row r="4889">
          <cell r="A4889" t="str">
            <v>BAIA E LATINA</v>
          </cell>
          <cell r="B4889" t="str">
            <v>061006</v>
          </cell>
          <cell r="C4889" t="str">
            <v>CE</v>
          </cell>
          <cell r="D4889" t="str">
            <v>CE</v>
          </cell>
          <cell r="E4889" t="str">
            <v>81010</v>
          </cell>
        </row>
        <row r="4890">
          <cell r="A4890" t="str">
            <v>BELLONA</v>
          </cell>
          <cell r="B4890" t="str">
            <v>061007</v>
          </cell>
          <cell r="C4890" t="str">
            <v>CE</v>
          </cell>
          <cell r="D4890" t="str">
            <v>CE</v>
          </cell>
          <cell r="E4890" t="str">
            <v>81041</v>
          </cell>
        </row>
        <row r="4891">
          <cell r="A4891" t="str">
            <v>CAIANELLO</v>
          </cell>
          <cell r="B4891" t="str">
            <v>061008</v>
          </cell>
          <cell r="C4891" t="str">
            <v>CE</v>
          </cell>
          <cell r="D4891" t="str">
            <v>CE</v>
          </cell>
          <cell r="E4891" t="str">
            <v>81059</v>
          </cell>
        </row>
        <row r="4892">
          <cell r="A4892" t="str">
            <v>CAIAZZO</v>
          </cell>
          <cell r="B4892" t="str">
            <v>061009</v>
          </cell>
          <cell r="C4892" t="str">
            <v>CE</v>
          </cell>
          <cell r="D4892" t="str">
            <v>CE</v>
          </cell>
          <cell r="E4892" t="str">
            <v>81013</v>
          </cell>
        </row>
        <row r="4893">
          <cell r="A4893" t="str">
            <v>CALVI RISORTA</v>
          </cell>
          <cell r="B4893" t="str">
            <v>061010</v>
          </cell>
          <cell r="C4893" t="str">
            <v>CE</v>
          </cell>
          <cell r="D4893" t="str">
            <v>CE</v>
          </cell>
          <cell r="E4893" t="str">
            <v>81042</v>
          </cell>
        </row>
        <row r="4894">
          <cell r="A4894" t="str">
            <v>CAMIGLIANO</v>
          </cell>
          <cell r="B4894" t="str">
            <v>061011</v>
          </cell>
          <cell r="C4894" t="str">
            <v>CE</v>
          </cell>
          <cell r="D4894" t="str">
            <v>CE</v>
          </cell>
          <cell r="E4894" t="str">
            <v>81050</v>
          </cell>
        </row>
        <row r="4895">
          <cell r="A4895" t="str">
            <v>CANCELLO ED ARNONE</v>
          </cell>
          <cell r="B4895" t="str">
            <v>061012</v>
          </cell>
          <cell r="C4895" t="str">
            <v>CE</v>
          </cell>
          <cell r="D4895" t="str">
            <v>CE</v>
          </cell>
          <cell r="E4895" t="str">
            <v>81030</v>
          </cell>
        </row>
        <row r="4896">
          <cell r="A4896" t="str">
            <v>CAPODRISE</v>
          </cell>
          <cell r="B4896" t="str">
            <v>061013</v>
          </cell>
          <cell r="C4896" t="str">
            <v>CE</v>
          </cell>
          <cell r="D4896" t="str">
            <v>CE</v>
          </cell>
          <cell r="E4896" t="str">
            <v>81020</v>
          </cell>
        </row>
        <row r="4897">
          <cell r="A4897" t="str">
            <v>CAPRIATI A VOLTURNO</v>
          </cell>
          <cell r="B4897" t="str">
            <v>061014</v>
          </cell>
          <cell r="C4897" t="str">
            <v>CE</v>
          </cell>
          <cell r="D4897" t="str">
            <v>CE</v>
          </cell>
          <cell r="E4897" t="str">
            <v>81014</v>
          </cell>
        </row>
        <row r="4898">
          <cell r="A4898" t="str">
            <v>CAPUA</v>
          </cell>
          <cell r="B4898" t="str">
            <v>061015</v>
          </cell>
          <cell r="C4898" t="str">
            <v>CE</v>
          </cell>
          <cell r="D4898" t="str">
            <v>CE</v>
          </cell>
          <cell r="E4898" t="str">
            <v>81043</v>
          </cell>
        </row>
        <row r="4899">
          <cell r="A4899" t="str">
            <v>CARINARO</v>
          </cell>
          <cell r="B4899" t="str">
            <v>061016</v>
          </cell>
          <cell r="C4899" t="str">
            <v>CE</v>
          </cell>
          <cell r="D4899" t="str">
            <v>CE</v>
          </cell>
          <cell r="E4899" t="str">
            <v>81032</v>
          </cell>
        </row>
        <row r="4900">
          <cell r="A4900" t="str">
            <v>CARINOLA</v>
          </cell>
          <cell r="B4900" t="str">
            <v>061017</v>
          </cell>
          <cell r="C4900" t="str">
            <v>CE</v>
          </cell>
          <cell r="D4900" t="str">
            <v>CE</v>
          </cell>
          <cell r="E4900" t="str">
            <v>81030</v>
          </cell>
        </row>
        <row r="4901">
          <cell r="A4901" t="str">
            <v>CASAGIOVE</v>
          </cell>
          <cell r="B4901" t="str">
            <v>061018</v>
          </cell>
          <cell r="C4901" t="str">
            <v>CE</v>
          </cell>
          <cell r="D4901" t="str">
            <v>CE</v>
          </cell>
          <cell r="E4901" t="str">
            <v>81022</v>
          </cell>
        </row>
        <row r="4902">
          <cell r="A4902" t="str">
            <v>CASAL DI PRINCIPE</v>
          </cell>
          <cell r="B4902" t="str">
            <v>061019</v>
          </cell>
          <cell r="C4902" t="str">
            <v>CE</v>
          </cell>
          <cell r="D4902" t="str">
            <v>CE</v>
          </cell>
          <cell r="E4902" t="str">
            <v>81033</v>
          </cell>
        </row>
        <row r="4903">
          <cell r="A4903" t="str">
            <v>CASALUCE</v>
          </cell>
          <cell r="B4903" t="str">
            <v>061020</v>
          </cell>
          <cell r="C4903" t="str">
            <v>CE</v>
          </cell>
          <cell r="D4903" t="str">
            <v>CE</v>
          </cell>
          <cell r="E4903" t="str">
            <v>81030</v>
          </cell>
        </row>
        <row r="4904">
          <cell r="A4904" t="str">
            <v>CASAPULLA</v>
          </cell>
          <cell r="B4904" t="str">
            <v>061021</v>
          </cell>
          <cell r="C4904" t="str">
            <v>CE</v>
          </cell>
          <cell r="D4904" t="str">
            <v>CE</v>
          </cell>
          <cell r="E4904" t="str">
            <v>81020</v>
          </cell>
        </row>
        <row r="4905">
          <cell r="A4905" t="str">
            <v>CASERTA</v>
          </cell>
          <cell r="B4905" t="str">
            <v>061022</v>
          </cell>
          <cell r="C4905" t="str">
            <v>CE</v>
          </cell>
          <cell r="D4905" t="str">
            <v>CE</v>
          </cell>
          <cell r="E4905" t="str">
            <v>81100</v>
          </cell>
        </row>
        <row r="4906">
          <cell r="A4906" t="str">
            <v>CASTEL CAMPAGNANO</v>
          </cell>
          <cell r="B4906" t="str">
            <v>061023</v>
          </cell>
          <cell r="C4906" t="str">
            <v>CE</v>
          </cell>
          <cell r="D4906" t="str">
            <v>CE</v>
          </cell>
          <cell r="E4906" t="str">
            <v>81010</v>
          </cell>
        </row>
        <row r="4907">
          <cell r="A4907" t="str">
            <v>CASTEL DI SASSO</v>
          </cell>
          <cell r="B4907" t="str">
            <v>061024</v>
          </cell>
          <cell r="C4907" t="str">
            <v>CE</v>
          </cell>
          <cell r="D4907" t="str">
            <v>CE</v>
          </cell>
          <cell r="E4907" t="str">
            <v>81040</v>
          </cell>
        </row>
        <row r="4908">
          <cell r="A4908" t="str">
            <v>CASTELLO DEL MATESE</v>
          </cell>
          <cell r="B4908" t="str">
            <v>061025</v>
          </cell>
          <cell r="C4908" t="str">
            <v>CE</v>
          </cell>
          <cell r="D4908" t="str">
            <v>CE</v>
          </cell>
          <cell r="E4908" t="str">
            <v>81016</v>
          </cell>
        </row>
        <row r="4909">
          <cell r="A4909" t="str">
            <v>CASTEL MORRONE</v>
          </cell>
          <cell r="B4909" t="str">
            <v>061026</v>
          </cell>
          <cell r="C4909" t="str">
            <v>CE</v>
          </cell>
          <cell r="D4909" t="str">
            <v>CE</v>
          </cell>
          <cell r="E4909" t="str">
            <v>81020</v>
          </cell>
        </row>
        <row r="4910">
          <cell r="A4910" t="str">
            <v>CASTEL VOLTURNO</v>
          </cell>
          <cell r="B4910" t="str">
            <v>061027</v>
          </cell>
          <cell r="C4910" t="str">
            <v>CE</v>
          </cell>
          <cell r="D4910" t="str">
            <v>CE</v>
          </cell>
          <cell r="E4910" t="str">
            <v>81030</v>
          </cell>
        </row>
        <row r="4911">
          <cell r="A4911" t="str">
            <v>CERVINO</v>
          </cell>
          <cell r="B4911" t="str">
            <v>061028</v>
          </cell>
          <cell r="C4911" t="str">
            <v>CE</v>
          </cell>
          <cell r="D4911" t="str">
            <v>CE</v>
          </cell>
          <cell r="E4911" t="str">
            <v>81023</v>
          </cell>
        </row>
        <row r="4912">
          <cell r="A4912" t="str">
            <v>CESA</v>
          </cell>
          <cell r="B4912" t="str">
            <v>061029</v>
          </cell>
          <cell r="C4912" t="str">
            <v>CE</v>
          </cell>
          <cell r="D4912" t="str">
            <v>CE</v>
          </cell>
          <cell r="E4912" t="str">
            <v>81030</v>
          </cell>
        </row>
        <row r="4913">
          <cell r="A4913" t="str">
            <v>CIORLANO</v>
          </cell>
          <cell r="B4913" t="str">
            <v>061030</v>
          </cell>
          <cell r="C4913" t="str">
            <v>CE</v>
          </cell>
          <cell r="D4913" t="str">
            <v>CE</v>
          </cell>
          <cell r="E4913" t="str">
            <v>81010</v>
          </cell>
        </row>
        <row r="4914">
          <cell r="A4914" t="str">
            <v>CONCA DELLA CAMPANIA</v>
          </cell>
          <cell r="B4914" t="str">
            <v>061031</v>
          </cell>
          <cell r="C4914" t="str">
            <v>CE</v>
          </cell>
          <cell r="D4914" t="str">
            <v>CE</v>
          </cell>
          <cell r="E4914" t="str">
            <v>81044</v>
          </cell>
        </row>
        <row r="4915">
          <cell r="A4915" t="str">
            <v>CURTI</v>
          </cell>
          <cell r="B4915" t="str">
            <v>061032</v>
          </cell>
          <cell r="C4915" t="str">
            <v>CE</v>
          </cell>
          <cell r="D4915" t="str">
            <v>CE</v>
          </cell>
          <cell r="E4915" t="str">
            <v>81040</v>
          </cell>
        </row>
        <row r="4916">
          <cell r="A4916" t="str">
            <v>DRAGONI</v>
          </cell>
          <cell r="B4916" t="str">
            <v>061033</v>
          </cell>
          <cell r="C4916" t="str">
            <v>CE</v>
          </cell>
          <cell r="D4916" t="str">
            <v>CE</v>
          </cell>
          <cell r="E4916" t="str">
            <v>81010</v>
          </cell>
        </row>
        <row r="4917">
          <cell r="A4917" t="str">
            <v>FONTEGRECA</v>
          </cell>
          <cell r="B4917" t="str">
            <v>061034</v>
          </cell>
          <cell r="C4917" t="str">
            <v>CE</v>
          </cell>
          <cell r="D4917" t="str">
            <v>CE</v>
          </cell>
          <cell r="E4917" t="str">
            <v>81014</v>
          </cell>
        </row>
        <row r="4918">
          <cell r="A4918" t="str">
            <v>FORMICOLA</v>
          </cell>
          <cell r="B4918" t="str">
            <v>061035</v>
          </cell>
          <cell r="C4918" t="str">
            <v>CE</v>
          </cell>
          <cell r="D4918" t="str">
            <v>CE</v>
          </cell>
          <cell r="E4918" t="str">
            <v>81040</v>
          </cell>
        </row>
        <row r="4919">
          <cell r="A4919" t="str">
            <v>FRANCOLISE</v>
          </cell>
          <cell r="B4919" t="str">
            <v>061036</v>
          </cell>
          <cell r="C4919" t="str">
            <v>CE</v>
          </cell>
          <cell r="D4919" t="str">
            <v>CE</v>
          </cell>
          <cell r="E4919" t="str">
            <v>81050</v>
          </cell>
        </row>
        <row r="4920">
          <cell r="A4920" t="str">
            <v>FRIGNANO</v>
          </cell>
          <cell r="B4920" t="str">
            <v>061037</v>
          </cell>
          <cell r="C4920" t="str">
            <v>CE</v>
          </cell>
          <cell r="D4920" t="str">
            <v>CE</v>
          </cell>
          <cell r="E4920" t="str">
            <v>81030</v>
          </cell>
        </row>
        <row r="4921">
          <cell r="A4921" t="str">
            <v>GALLO MATESE</v>
          </cell>
          <cell r="B4921" t="str">
            <v>061038</v>
          </cell>
          <cell r="C4921" t="str">
            <v>CE</v>
          </cell>
          <cell r="D4921" t="str">
            <v>CE</v>
          </cell>
          <cell r="E4921" t="str">
            <v>81010</v>
          </cell>
        </row>
        <row r="4922">
          <cell r="A4922" t="str">
            <v>GALLUCCIO</v>
          </cell>
          <cell r="B4922" t="str">
            <v>061039</v>
          </cell>
          <cell r="C4922" t="str">
            <v>CE</v>
          </cell>
          <cell r="D4922" t="str">
            <v>CE</v>
          </cell>
          <cell r="E4922" t="str">
            <v>81044</v>
          </cell>
        </row>
        <row r="4923">
          <cell r="A4923" t="str">
            <v>GIANO VETUSTO</v>
          </cell>
          <cell r="B4923" t="str">
            <v>061040</v>
          </cell>
          <cell r="C4923" t="str">
            <v>CE</v>
          </cell>
          <cell r="D4923" t="str">
            <v>CE</v>
          </cell>
          <cell r="E4923" t="str">
            <v>81042</v>
          </cell>
        </row>
        <row r="4924">
          <cell r="A4924" t="str">
            <v>GIOIA SANNITICA</v>
          </cell>
          <cell r="B4924" t="str">
            <v>061041</v>
          </cell>
          <cell r="C4924" t="str">
            <v>CE</v>
          </cell>
          <cell r="D4924" t="str">
            <v>CE</v>
          </cell>
          <cell r="E4924" t="str">
            <v>81010</v>
          </cell>
        </row>
        <row r="4925">
          <cell r="A4925" t="str">
            <v>GRAZZANISE</v>
          </cell>
          <cell r="B4925" t="str">
            <v>061042</v>
          </cell>
          <cell r="C4925" t="str">
            <v>CE</v>
          </cell>
          <cell r="D4925" t="str">
            <v>CE</v>
          </cell>
          <cell r="E4925" t="str">
            <v>81046</v>
          </cell>
        </row>
        <row r="4926">
          <cell r="A4926" t="str">
            <v>GRICIGNANO DI AVERSA</v>
          </cell>
          <cell r="B4926" t="str">
            <v>061043</v>
          </cell>
          <cell r="C4926" t="str">
            <v>CE</v>
          </cell>
          <cell r="D4926" t="str">
            <v>CE</v>
          </cell>
          <cell r="E4926" t="str">
            <v>81030</v>
          </cell>
        </row>
        <row r="4927">
          <cell r="A4927" t="str">
            <v>LETINO</v>
          </cell>
          <cell r="B4927" t="str">
            <v>061044</v>
          </cell>
          <cell r="C4927" t="str">
            <v>CE</v>
          </cell>
          <cell r="D4927" t="str">
            <v>CE</v>
          </cell>
          <cell r="E4927" t="str">
            <v>81010</v>
          </cell>
        </row>
        <row r="4928">
          <cell r="A4928" t="str">
            <v>LIBERI</v>
          </cell>
          <cell r="B4928" t="str">
            <v>061045</v>
          </cell>
          <cell r="C4928" t="str">
            <v>CE</v>
          </cell>
          <cell r="D4928" t="str">
            <v>CE</v>
          </cell>
          <cell r="E4928" t="str">
            <v>81040</v>
          </cell>
        </row>
        <row r="4929">
          <cell r="A4929" t="str">
            <v>LUSCIANO</v>
          </cell>
          <cell r="B4929" t="str">
            <v>061046</v>
          </cell>
          <cell r="C4929" t="str">
            <v>CE</v>
          </cell>
          <cell r="D4929" t="str">
            <v>CE</v>
          </cell>
          <cell r="E4929" t="str">
            <v>81030</v>
          </cell>
        </row>
        <row r="4930">
          <cell r="A4930" t="str">
            <v>MACERATA CAMPANIA</v>
          </cell>
          <cell r="B4930" t="str">
            <v>061047</v>
          </cell>
          <cell r="C4930" t="str">
            <v>CE</v>
          </cell>
          <cell r="D4930" t="str">
            <v>CE</v>
          </cell>
          <cell r="E4930" t="str">
            <v>81047</v>
          </cell>
        </row>
        <row r="4931">
          <cell r="A4931" t="str">
            <v>MADDALONI</v>
          </cell>
          <cell r="B4931" t="str">
            <v>061048</v>
          </cell>
          <cell r="C4931" t="str">
            <v>CE</v>
          </cell>
          <cell r="D4931" t="str">
            <v>CE</v>
          </cell>
          <cell r="E4931" t="str">
            <v>81024</v>
          </cell>
        </row>
        <row r="4932">
          <cell r="A4932" t="str">
            <v>MARCIANISE</v>
          </cell>
          <cell r="B4932" t="str">
            <v>061049</v>
          </cell>
          <cell r="C4932" t="str">
            <v>CE</v>
          </cell>
          <cell r="D4932" t="str">
            <v>CE</v>
          </cell>
          <cell r="E4932" t="str">
            <v>81025</v>
          </cell>
        </row>
        <row r="4933">
          <cell r="A4933" t="str">
            <v>MARZANO APPIO</v>
          </cell>
          <cell r="B4933" t="str">
            <v>061050</v>
          </cell>
          <cell r="C4933" t="str">
            <v>CE</v>
          </cell>
          <cell r="D4933" t="str">
            <v>CE</v>
          </cell>
          <cell r="E4933" t="str">
            <v>81035</v>
          </cell>
        </row>
        <row r="4934">
          <cell r="A4934" t="str">
            <v>MIGNANO MONTE LUNGO</v>
          </cell>
          <cell r="B4934" t="str">
            <v>061051</v>
          </cell>
          <cell r="C4934" t="str">
            <v>CE</v>
          </cell>
          <cell r="D4934" t="str">
            <v>CE</v>
          </cell>
          <cell r="E4934" t="str">
            <v>81049</v>
          </cell>
        </row>
        <row r="4935">
          <cell r="A4935" t="str">
            <v>MONDRAGONE</v>
          </cell>
          <cell r="B4935" t="str">
            <v>061052</v>
          </cell>
          <cell r="C4935" t="str">
            <v>CE</v>
          </cell>
          <cell r="D4935" t="str">
            <v>CE</v>
          </cell>
          <cell r="E4935" t="str">
            <v>81034</v>
          </cell>
        </row>
        <row r="4936">
          <cell r="A4936" t="str">
            <v>ORTA DI ATELLA</v>
          </cell>
          <cell r="B4936" t="str">
            <v>061053</v>
          </cell>
          <cell r="C4936" t="str">
            <v>CE</v>
          </cell>
          <cell r="D4936" t="str">
            <v>CE</v>
          </cell>
          <cell r="E4936" t="str">
            <v>81030</v>
          </cell>
        </row>
        <row r="4937">
          <cell r="A4937" t="str">
            <v>PARETE</v>
          </cell>
          <cell r="B4937" t="str">
            <v>061054</v>
          </cell>
          <cell r="C4937" t="str">
            <v>CE</v>
          </cell>
          <cell r="D4937" t="str">
            <v>CE</v>
          </cell>
          <cell r="E4937" t="str">
            <v>81030</v>
          </cell>
        </row>
        <row r="4938">
          <cell r="A4938" t="str">
            <v>PASTORANO</v>
          </cell>
          <cell r="B4938" t="str">
            <v>061055</v>
          </cell>
          <cell r="C4938" t="str">
            <v>CE</v>
          </cell>
          <cell r="D4938" t="str">
            <v>CE</v>
          </cell>
          <cell r="E4938" t="str">
            <v>81050</v>
          </cell>
        </row>
        <row r="4939">
          <cell r="A4939" t="str">
            <v>PIANA DI MONTE VERNA</v>
          </cell>
          <cell r="B4939" t="str">
            <v>061056</v>
          </cell>
          <cell r="C4939" t="str">
            <v>CE</v>
          </cell>
          <cell r="D4939" t="str">
            <v>CE</v>
          </cell>
          <cell r="E4939" t="str">
            <v>81013</v>
          </cell>
        </row>
        <row r="4940">
          <cell r="A4940" t="str">
            <v>PIEDIMONTE MATESE</v>
          </cell>
          <cell r="B4940" t="str">
            <v>061057</v>
          </cell>
          <cell r="C4940" t="str">
            <v>CE</v>
          </cell>
          <cell r="D4940" t="str">
            <v>CE</v>
          </cell>
          <cell r="E4940" t="str">
            <v>81016</v>
          </cell>
        </row>
        <row r="4941">
          <cell r="A4941" t="str">
            <v>PIETRAMELARA</v>
          </cell>
          <cell r="B4941" t="str">
            <v>061058</v>
          </cell>
          <cell r="C4941" t="str">
            <v>CE</v>
          </cell>
          <cell r="D4941" t="str">
            <v>CE</v>
          </cell>
          <cell r="E4941" t="str">
            <v>81051</v>
          </cell>
        </row>
        <row r="4942">
          <cell r="A4942" t="str">
            <v>PIETRAVAIRANO</v>
          </cell>
          <cell r="B4942" t="str">
            <v>061059</v>
          </cell>
          <cell r="C4942" t="str">
            <v>CE</v>
          </cell>
          <cell r="D4942" t="str">
            <v>CE</v>
          </cell>
          <cell r="E4942" t="str">
            <v>81040</v>
          </cell>
        </row>
        <row r="4943">
          <cell r="A4943" t="str">
            <v>PIGNATARO MAGGIORE</v>
          </cell>
          <cell r="B4943" t="str">
            <v>061060</v>
          </cell>
          <cell r="C4943" t="str">
            <v>CE</v>
          </cell>
          <cell r="D4943" t="str">
            <v>CE</v>
          </cell>
          <cell r="E4943" t="str">
            <v>81052</v>
          </cell>
        </row>
        <row r="4944">
          <cell r="A4944" t="str">
            <v>PONTELATONE</v>
          </cell>
          <cell r="B4944" t="str">
            <v>061061</v>
          </cell>
          <cell r="C4944" t="str">
            <v>CE</v>
          </cell>
          <cell r="D4944" t="str">
            <v>CE</v>
          </cell>
          <cell r="E4944" t="str">
            <v>81040</v>
          </cell>
        </row>
        <row r="4945">
          <cell r="A4945" t="str">
            <v>PORTICO DI CASERTA</v>
          </cell>
          <cell r="B4945" t="str">
            <v>061062</v>
          </cell>
          <cell r="C4945" t="str">
            <v>CE</v>
          </cell>
          <cell r="D4945" t="str">
            <v>CE</v>
          </cell>
          <cell r="E4945" t="str">
            <v>81050</v>
          </cell>
        </row>
        <row r="4946">
          <cell r="A4946" t="str">
            <v>PRATA SANNITA</v>
          </cell>
          <cell r="B4946" t="str">
            <v>061063</v>
          </cell>
          <cell r="C4946" t="str">
            <v>CE</v>
          </cell>
          <cell r="D4946" t="str">
            <v>CE</v>
          </cell>
          <cell r="E4946" t="str">
            <v>81010</v>
          </cell>
        </row>
        <row r="4947">
          <cell r="A4947" t="str">
            <v>PRATELLA</v>
          </cell>
          <cell r="B4947" t="str">
            <v>061064</v>
          </cell>
          <cell r="C4947" t="str">
            <v>CE</v>
          </cell>
          <cell r="D4947" t="str">
            <v>CE</v>
          </cell>
          <cell r="E4947" t="str">
            <v>81010</v>
          </cell>
        </row>
        <row r="4948">
          <cell r="A4948" t="str">
            <v>PRESENZANO</v>
          </cell>
          <cell r="B4948" t="str">
            <v>061065</v>
          </cell>
          <cell r="C4948" t="str">
            <v>CE</v>
          </cell>
          <cell r="D4948" t="str">
            <v>CE</v>
          </cell>
          <cell r="E4948" t="str">
            <v>81050</v>
          </cell>
        </row>
        <row r="4949">
          <cell r="A4949" t="str">
            <v>RAVISCANINA</v>
          </cell>
          <cell r="B4949" t="str">
            <v>061066</v>
          </cell>
          <cell r="C4949" t="str">
            <v>CE</v>
          </cell>
          <cell r="D4949" t="str">
            <v>CE</v>
          </cell>
          <cell r="E4949" t="str">
            <v>81017</v>
          </cell>
        </row>
        <row r="4950">
          <cell r="A4950" t="str">
            <v>RECALE</v>
          </cell>
          <cell r="B4950" t="str">
            <v>061067</v>
          </cell>
          <cell r="C4950" t="str">
            <v>CE</v>
          </cell>
          <cell r="D4950" t="str">
            <v>CE</v>
          </cell>
          <cell r="E4950" t="str">
            <v>81020</v>
          </cell>
        </row>
        <row r="4951">
          <cell r="A4951" t="str">
            <v>RIARDO</v>
          </cell>
          <cell r="B4951" t="str">
            <v>061068</v>
          </cell>
          <cell r="C4951" t="str">
            <v>CE</v>
          </cell>
          <cell r="D4951" t="str">
            <v>CE</v>
          </cell>
          <cell r="E4951" t="str">
            <v>81053</v>
          </cell>
        </row>
        <row r="4952">
          <cell r="A4952" t="str">
            <v>ROCCA D'EVANDRO</v>
          </cell>
          <cell r="B4952" t="str">
            <v>061069</v>
          </cell>
          <cell r="C4952" t="str">
            <v>CE</v>
          </cell>
          <cell r="D4952" t="str">
            <v>CE</v>
          </cell>
          <cell r="E4952" t="str">
            <v>81040</v>
          </cell>
        </row>
        <row r="4953">
          <cell r="A4953" t="str">
            <v>ROCCAMONFINA</v>
          </cell>
          <cell r="B4953" t="str">
            <v>061070</v>
          </cell>
          <cell r="C4953" t="str">
            <v>CE</v>
          </cell>
          <cell r="D4953" t="str">
            <v>CE</v>
          </cell>
          <cell r="E4953" t="str">
            <v>81035</v>
          </cell>
        </row>
        <row r="4954">
          <cell r="A4954" t="str">
            <v>ROCCAROMANA</v>
          </cell>
          <cell r="B4954" t="str">
            <v>061071</v>
          </cell>
          <cell r="C4954" t="str">
            <v>CE</v>
          </cell>
          <cell r="D4954" t="str">
            <v>CE</v>
          </cell>
          <cell r="E4954" t="str">
            <v>81051</v>
          </cell>
        </row>
        <row r="4955">
          <cell r="A4955" t="str">
            <v>ROCCHETTA E CROCE</v>
          </cell>
          <cell r="B4955" t="str">
            <v>061072</v>
          </cell>
          <cell r="C4955" t="str">
            <v>CE</v>
          </cell>
          <cell r="D4955" t="str">
            <v>CE</v>
          </cell>
          <cell r="E4955" t="str">
            <v>81042</v>
          </cell>
        </row>
        <row r="4956">
          <cell r="A4956" t="str">
            <v>RUVIANO</v>
          </cell>
          <cell r="B4956" t="str">
            <v>061073</v>
          </cell>
          <cell r="C4956" t="str">
            <v>CE</v>
          </cell>
          <cell r="D4956" t="str">
            <v>CE</v>
          </cell>
          <cell r="E4956" t="str">
            <v>81010</v>
          </cell>
        </row>
        <row r="4957">
          <cell r="A4957" t="str">
            <v>SAN CIPRIANO D'AVERSA</v>
          </cell>
          <cell r="B4957" t="str">
            <v>061074</v>
          </cell>
          <cell r="C4957" t="str">
            <v>CE</v>
          </cell>
          <cell r="D4957" t="str">
            <v>CE</v>
          </cell>
          <cell r="E4957" t="str">
            <v>81036</v>
          </cell>
        </row>
        <row r="4958">
          <cell r="A4958" t="str">
            <v>SAN FELICE A CANCELLO</v>
          </cell>
          <cell r="B4958" t="str">
            <v>061075</v>
          </cell>
          <cell r="C4958" t="str">
            <v>CE</v>
          </cell>
          <cell r="D4958" t="str">
            <v>CE</v>
          </cell>
          <cell r="E4958" t="str">
            <v>81027</v>
          </cell>
        </row>
        <row r="4959">
          <cell r="A4959" t="str">
            <v>SAN GREGORIO MATESE</v>
          </cell>
          <cell r="B4959" t="str">
            <v>061076</v>
          </cell>
          <cell r="C4959" t="str">
            <v>CE</v>
          </cell>
          <cell r="D4959" t="str">
            <v>CE</v>
          </cell>
          <cell r="E4959" t="str">
            <v>81010</v>
          </cell>
        </row>
        <row r="4960">
          <cell r="A4960" t="str">
            <v>SAN MARCELLINO</v>
          </cell>
          <cell r="B4960" t="str">
            <v>061077</v>
          </cell>
          <cell r="C4960" t="str">
            <v>CE</v>
          </cell>
          <cell r="D4960" t="str">
            <v>CE</v>
          </cell>
          <cell r="E4960" t="str">
            <v>81030</v>
          </cell>
        </row>
        <row r="4961">
          <cell r="A4961" t="str">
            <v>SAN NICOLA LA STRADA</v>
          </cell>
          <cell r="B4961" t="str">
            <v>061078</v>
          </cell>
          <cell r="C4961" t="str">
            <v>CE</v>
          </cell>
          <cell r="D4961" t="str">
            <v>CE</v>
          </cell>
          <cell r="E4961" t="str">
            <v>81020</v>
          </cell>
        </row>
        <row r="4962">
          <cell r="A4962" t="str">
            <v>SAN PIETRO INFINE</v>
          </cell>
          <cell r="B4962" t="str">
            <v>061079</v>
          </cell>
          <cell r="C4962" t="str">
            <v>CE</v>
          </cell>
          <cell r="D4962" t="str">
            <v>CE</v>
          </cell>
          <cell r="E4962" t="str">
            <v>81049</v>
          </cell>
        </row>
        <row r="4963">
          <cell r="A4963" t="str">
            <v>SAN POTITO SANNITICO</v>
          </cell>
          <cell r="B4963" t="str">
            <v>061080</v>
          </cell>
          <cell r="C4963" t="str">
            <v>CE</v>
          </cell>
          <cell r="D4963" t="str">
            <v>CE</v>
          </cell>
          <cell r="E4963" t="str">
            <v>81016</v>
          </cell>
        </row>
        <row r="4964">
          <cell r="A4964" t="str">
            <v>SAN PRISCO</v>
          </cell>
          <cell r="B4964" t="str">
            <v>061081</v>
          </cell>
          <cell r="C4964" t="str">
            <v>CE</v>
          </cell>
          <cell r="D4964" t="str">
            <v>CE</v>
          </cell>
          <cell r="E4964" t="str">
            <v>81054</v>
          </cell>
        </row>
        <row r="4965">
          <cell r="A4965" t="str">
            <v>SANTA MARIA A VICO</v>
          </cell>
          <cell r="B4965" t="str">
            <v>061082</v>
          </cell>
          <cell r="C4965" t="str">
            <v>CE</v>
          </cell>
          <cell r="D4965" t="str">
            <v>CE</v>
          </cell>
          <cell r="E4965" t="str">
            <v>81028</v>
          </cell>
        </row>
        <row r="4966">
          <cell r="A4966" t="str">
            <v>SANTA MARIA CAPUA VETERE</v>
          </cell>
          <cell r="B4966" t="str">
            <v>061083</v>
          </cell>
          <cell r="C4966" t="str">
            <v>CE</v>
          </cell>
          <cell r="D4966" t="str">
            <v>CE</v>
          </cell>
          <cell r="E4966" t="str">
            <v>81055</v>
          </cell>
        </row>
        <row r="4967">
          <cell r="A4967" t="str">
            <v>SANTA MARIA LA FOSSA</v>
          </cell>
          <cell r="B4967" t="str">
            <v>061084</v>
          </cell>
          <cell r="C4967" t="str">
            <v>CE</v>
          </cell>
          <cell r="D4967" t="str">
            <v>CE</v>
          </cell>
          <cell r="E4967" t="str">
            <v>81050</v>
          </cell>
        </row>
        <row r="4968">
          <cell r="A4968" t="str">
            <v>SAN TAMMARO</v>
          </cell>
          <cell r="B4968" t="str">
            <v>061085</v>
          </cell>
          <cell r="C4968" t="str">
            <v>CE</v>
          </cell>
          <cell r="D4968" t="str">
            <v>CE</v>
          </cell>
          <cell r="E4968" t="str">
            <v>81050</v>
          </cell>
        </row>
        <row r="4969">
          <cell r="A4969" t="str">
            <v>SANT'ANGELO D'ALIFE</v>
          </cell>
          <cell r="B4969" t="str">
            <v>061086</v>
          </cell>
          <cell r="C4969" t="str">
            <v>CE</v>
          </cell>
          <cell r="D4969" t="str">
            <v>CE</v>
          </cell>
          <cell r="E4969" t="str">
            <v>81017</v>
          </cell>
        </row>
        <row r="4970">
          <cell r="A4970" t="str">
            <v>SANT'ARPINO</v>
          </cell>
          <cell r="B4970" t="str">
            <v>061087</v>
          </cell>
          <cell r="C4970" t="str">
            <v>CE</v>
          </cell>
          <cell r="D4970" t="str">
            <v>CE</v>
          </cell>
          <cell r="E4970" t="str">
            <v>81030</v>
          </cell>
        </row>
        <row r="4971">
          <cell r="A4971" t="str">
            <v>SESSA AURUNCA</v>
          </cell>
          <cell r="B4971" t="str">
            <v>061088</v>
          </cell>
          <cell r="C4971" t="str">
            <v>CE</v>
          </cell>
          <cell r="D4971" t="str">
            <v>CE</v>
          </cell>
          <cell r="E4971" t="str">
            <v>81037</v>
          </cell>
        </row>
        <row r="4972">
          <cell r="A4972" t="str">
            <v>SPARANISE</v>
          </cell>
          <cell r="B4972" t="str">
            <v>061089</v>
          </cell>
          <cell r="C4972" t="str">
            <v>CE</v>
          </cell>
          <cell r="D4972" t="str">
            <v>CE</v>
          </cell>
          <cell r="E4972" t="str">
            <v>81056</v>
          </cell>
        </row>
        <row r="4973">
          <cell r="A4973" t="str">
            <v>SUCCIVO</v>
          </cell>
          <cell r="B4973" t="str">
            <v>061090</v>
          </cell>
          <cell r="C4973" t="str">
            <v>CE</v>
          </cell>
          <cell r="D4973" t="str">
            <v>CE</v>
          </cell>
          <cell r="E4973" t="str">
            <v>81030</v>
          </cell>
        </row>
        <row r="4974">
          <cell r="A4974" t="str">
            <v>TEANO</v>
          </cell>
          <cell r="B4974" t="str">
            <v>061091</v>
          </cell>
          <cell r="C4974" t="str">
            <v>CE</v>
          </cell>
          <cell r="D4974" t="str">
            <v>CE</v>
          </cell>
          <cell r="E4974" t="str">
            <v>81057</v>
          </cell>
        </row>
        <row r="4975">
          <cell r="A4975" t="str">
            <v>TEVEROLA</v>
          </cell>
          <cell r="B4975" t="str">
            <v>061092</v>
          </cell>
          <cell r="C4975" t="str">
            <v>CE</v>
          </cell>
          <cell r="D4975" t="str">
            <v>CE</v>
          </cell>
          <cell r="E4975" t="str">
            <v>81030</v>
          </cell>
        </row>
        <row r="4976">
          <cell r="A4976" t="str">
            <v>TORA E PICCILLI</v>
          </cell>
          <cell r="B4976" t="str">
            <v>061093</v>
          </cell>
          <cell r="C4976" t="str">
            <v>CE</v>
          </cell>
          <cell r="D4976" t="str">
            <v>CE</v>
          </cell>
          <cell r="E4976" t="str">
            <v>81044</v>
          </cell>
        </row>
        <row r="4977">
          <cell r="A4977" t="str">
            <v>TRENTOLA DUCENTA</v>
          </cell>
          <cell r="B4977" t="str">
            <v>061094</v>
          </cell>
          <cell r="C4977" t="str">
            <v>CE</v>
          </cell>
          <cell r="D4977" t="e">
            <v>#N/A</v>
          </cell>
          <cell r="E4977" t="e">
            <v>#N/A</v>
          </cell>
        </row>
        <row r="4978">
          <cell r="A4978" t="str">
            <v>VAIRANO PATENORA</v>
          </cell>
          <cell r="B4978" t="str">
            <v>061095</v>
          </cell>
          <cell r="C4978" t="str">
            <v>CE</v>
          </cell>
          <cell r="D4978" t="str">
            <v>CE</v>
          </cell>
          <cell r="E4978" t="str">
            <v>81058</v>
          </cell>
        </row>
        <row r="4979">
          <cell r="A4979" t="str">
            <v>VALLE AGRICOLA</v>
          </cell>
          <cell r="B4979" t="str">
            <v>061096</v>
          </cell>
          <cell r="C4979" t="str">
            <v>CE</v>
          </cell>
          <cell r="D4979" t="str">
            <v>CE</v>
          </cell>
          <cell r="E4979" t="str">
            <v>81010</v>
          </cell>
        </row>
        <row r="4980">
          <cell r="A4980" t="str">
            <v>VALLE DI MADDALONI</v>
          </cell>
          <cell r="B4980" t="str">
            <v>061097</v>
          </cell>
          <cell r="C4980" t="str">
            <v>CE</v>
          </cell>
          <cell r="D4980" t="str">
            <v>CE</v>
          </cell>
          <cell r="E4980" t="str">
            <v>81020</v>
          </cell>
        </row>
        <row r="4981">
          <cell r="A4981" t="str">
            <v>VILLA DI BRIANO</v>
          </cell>
          <cell r="B4981" t="str">
            <v>061098</v>
          </cell>
          <cell r="C4981" t="str">
            <v>CE</v>
          </cell>
          <cell r="D4981" t="str">
            <v>CE</v>
          </cell>
          <cell r="E4981" t="str">
            <v>81030</v>
          </cell>
        </row>
        <row r="4982">
          <cell r="A4982" t="str">
            <v>VILLA LITERNO</v>
          </cell>
          <cell r="B4982" t="str">
            <v>061099</v>
          </cell>
          <cell r="C4982" t="str">
            <v>CE</v>
          </cell>
          <cell r="D4982" t="str">
            <v>CE</v>
          </cell>
          <cell r="E4982" t="str">
            <v>81039</v>
          </cell>
        </row>
        <row r="4983">
          <cell r="A4983" t="str">
            <v>VITULAZIO</v>
          </cell>
          <cell r="B4983" t="str">
            <v>061100</v>
          </cell>
          <cell r="C4983" t="str">
            <v>CE</v>
          </cell>
          <cell r="D4983" t="str">
            <v>CE</v>
          </cell>
          <cell r="E4983" t="str">
            <v>81041</v>
          </cell>
        </row>
        <row r="4984">
          <cell r="A4984" t="str">
            <v>FALCIANO DEL MASSICO</v>
          </cell>
          <cell r="B4984" t="str">
            <v>061101</v>
          </cell>
          <cell r="C4984" t="str">
            <v>CE</v>
          </cell>
          <cell r="D4984" t="str">
            <v>CE</v>
          </cell>
          <cell r="E4984" t="str">
            <v>81030</v>
          </cell>
        </row>
        <row r="4985">
          <cell r="A4985" t="str">
            <v>CELLOLE</v>
          </cell>
          <cell r="B4985" t="str">
            <v>061102</v>
          </cell>
          <cell r="C4985" t="str">
            <v>CE</v>
          </cell>
          <cell r="D4985" t="str">
            <v>CE</v>
          </cell>
          <cell r="E4985" t="str">
            <v>81030</v>
          </cell>
        </row>
        <row r="4986">
          <cell r="A4986" t="str">
            <v>CASAPESENNA</v>
          </cell>
          <cell r="B4986" t="str">
            <v>061103</v>
          </cell>
          <cell r="C4986" t="str">
            <v>CE</v>
          </cell>
          <cell r="D4986" t="str">
            <v>CE</v>
          </cell>
          <cell r="E4986" t="str">
            <v>81030</v>
          </cell>
        </row>
        <row r="4987">
          <cell r="A4987" t="str">
            <v>SAN MARCO EVANGELISTA</v>
          </cell>
          <cell r="B4987" t="str">
            <v>061104</v>
          </cell>
          <cell r="C4987" t="str">
            <v>CE</v>
          </cell>
          <cell r="D4987" t="str">
            <v>CE</v>
          </cell>
          <cell r="E4987" t="str">
            <v>81020</v>
          </cell>
        </row>
        <row r="4988">
          <cell r="A4988" t="str">
            <v>AIROLA</v>
          </cell>
          <cell r="B4988" t="str">
            <v>062001</v>
          </cell>
          <cell r="C4988" t="str">
            <v>BN</v>
          </cell>
          <cell r="D4988" t="str">
            <v>BN</v>
          </cell>
          <cell r="E4988" t="str">
            <v>82011</v>
          </cell>
        </row>
        <row r="4989">
          <cell r="A4989" t="str">
            <v>AMOROSI</v>
          </cell>
          <cell r="B4989" t="str">
            <v>062002</v>
          </cell>
          <cell r="C4989" t="str">
            <v>BN</v>
          </cell>
          <cell r="D4989" t="str">
            <v>BN</v>
          </cell>
          <cell r="E4989" t="str">
            <v>82031</v>
          </cell>
        </row>
        <row r="4990">
          <cell r="A4990" t="str">
            <v>APICE</v>
          </cell>
          <cell r="B4990" t="str">
            <v>062003</v>
          </cell>
          <cell r="C4990" t="str">
            <v>BN</v>
          </cell>
          <cell r="D4990" t="str">
            <v>BN</v>
          </cell>
          <cell r="E4990" t="str">
            <v>82021</v>
          </cell>
        </row>
        <row r="4991">
          <cell r="A4991" t="str">
            <v>APOLLOSA</v>
          </cell>
          <cell r="B4991" t="str">
            <v>062004</v>
          </cell>
          <cell r="C4991" t="str">
            <v>BN</v>
          </cell>
          <cell r="D4991" t="str">
            <v>BN</v>
          </cell>
          <cell r="E4991" t="str">
            <v>82030</v>
          </cell>
        </row>
        <row r="4992">
          <cell r="A4992" t="str">
            <v>ARPAIA</v>
          </cell>
          <cell r="B4992" t="str">
            <v>062005</v>
          </cell>
          <cell r="C4992" t="str">
            <v>BN</v>
          </cell>
          <cell r="D4992" t="str">
            <v>BN</v>
          </cell>
          <cell r="E4992" t="str">
            <v>82011</v>
          </cell>
        </row>
        <row r="4993">
          <cell r="A4993" t="str">
            <v>ARPAISE</v>
          </cell>
          <cell r="B4993" t="str">
            <v>062006</v>
          </cell>
          <cell r="C4993" t="str">
            <v>BN</v>
          </cell>
          <cell r="D4993" t="str">
            <v>BN</v>
          </cell>
          <cell r="E4993" t="str">
            <v>82010</v>
          </cell>
        </row>
        <row r="4994">
          <cell r="A4994" t="str">
            <v>BASELICE</v>
          </cell>
          <cell r="B4994" t="str">
            <v>062007</v>
          </cell>
          <cell r="C4994" t="str">
            <v>BN</v>
          </cell>
          <cell r="D4994" t="str">
            <v>BN</v>
          </cell>
          <cell r="E4994" t="str">
            <v>82020</v>
          </cell>
        </row>
        <row r="4995">
          <cell r="A4995" t="str">
            <v>BENEVENTO</v>
          </cell>
          <cell r="B4995" t="str">
            <v>062008</v>
          </cell>
          <cell r="C4995" t="str">
            <v>BN</v>
          </cell>
          <cell r="D4995" t="str">
            <v>BN</v>
          </cell>
          <cell r="E4995" t="str">
            <v>82100</v>
          </cell>
        </row>
        <row r="4996">
          <cell r="A4996" t="str">
            <v>BONEA</v>
          </cell>
          <cell r="B4996" t="str">
            <v>062009</v>
          </cell>
          <cell r="C4996" t="str">
            <v>BN</v>
          </cell>
          <cell r="D4996" t="str">
            <v>BN</v>
          </cell>
          <cell r="E4996" t="str">
            <v>82013</v>
          </cell>
        </row>
        <row r="4997">
          <cell r="A4997" t="str">
            <v>BUCCIANO</v>
          </cell>
          <cell r="B4997" t="str">
            <v>062010</v>
          </cell>
          <cell r="C4997" t="str">
            <v>BN</v>
          </cell>
          <cell r="D4997" t="str">
            <v>BN</v>
          </cell>
          <cell r="E4997" t="str">
            <v>82010</v>
          </cell>
        </row>
        <row r="4998">
          <cell r="A4998" t="str">
            <v>BUONALBERGO</v>
          </cell>
          <cell r="B4998" t="str">
            <v>062011</v>
          </cell>
          <cell r="C4998" t="str">
            <v>BN</v>
          </cell>
          <cell r="D4998" t="str">
            <v>BN</v>
          </cell>
          <cell r="E4998" t="str">
            <v>82020</v>
          </cell>
        </row>
        <row r="4999">
          <cell r="A4999" t="str">
            <v>CALVI</v>
          </cell>
          <cell r="B4999" t="str">
            <v>062012</v>
          </cell>
          <cell r="C4999" t="str">
            <v>BN</v>
          </cell>
          <cell r="D4999" t="str">
            <v>BN</v>
          </cell>
          <cell r="E4999" t="str">
            <v>82018</v>
          </cell>
        </row>
        <row r="5000">
          <cell r="A5000" t="str">
            <v>CAMPOLATTARO</v>
          </cell>
          <cell r="B5000" t="str">
            <v>062013</v>
          </cell>
          <cell r="C5000" t="str">
            <v>BN</v>
          </cell>
          <cell r="D5000" t="str">
            <v>BN</v>
          </cell>
          <cell r="E5000" t="str">
            <v>82020</v>
          </cell>
        </row>
        <row r="5001">
          <cell r="A5001" t="str">
            <v>CAMPOLI DEL MONTE TABURNO</v>
          </cell>
          <cell r="B5001" t="str">
            <v>062014</v>
          </cell>
          <cell r="C5001" t="str">
            <v>BN</v>
          </cell>
          <cell r="D5001" t="str">
            <v>BN</v>
          </cell>
          <cell r="E5001" t="str">
            <v>82030</v>
          </cell>
        </row>
        <row r="5002">
          <cell r="A5002" t="str">
            <v>CASALDUNI</v>
          </cell>
          <cell r="B5002" t="str">
            <v>062015</v>
          </cell>
          <cell r="C5002" t="str">
            <v>BN</v>
          </cell>
          <cell r="D5002" t="str">
            <v>BN</v>
          </cell>
          <cell r="E5002" t="str">
            <v>82027</v>
          </cell>
        </row>
        <row r="5003">
          <cell r="A5003" t="str">
            <v>CASTELFRANCO IN MISCANO</v>
          </cell>
          <cell r="B5003" t="str">
            <v>062016</v>
          </cell>
          <cell r="C5003" t="str">
            <v>BN</v>
          </cell>
          <cell r="D5003" t="str">
            <v>BN</v>
          </cell>
          <cell r="E5003" t="str">
            <v>82022</v>
          </cell>
        </row>
        <row r="5004">
          <cell r="A5004" t="str">
            <v>CASTELPAGANO</v>
          </cell>
          <cell r="B5004" t="str">
            <v>062017</v>
          </cell>
          <cell r="C5004" t="str">
            <v>BN</v>
          </cell>
          <cell r="D5004" t="str">
            <v>BN</v>
          </cell>
          <cell r="E5004" t="str">
            <v>82024</v>
          </cell>
        </row>
        <row r="5005">
          <cell r="A5005" t="str">
            <v>CASTELPOTO</v>
          </cell>
          <cell r="B5005" t="str">
            <v>062018</v>
          </cell>
          <cell r="C5005" t="str">
            <v>BN</v>
          </cell>
          <cell r="D5005" t="str">
            <v>BN</v>
          </cell>
          <cell r="E5005" t="str">
            <v>82030</v>
          </cell>
        </row>
        <row r="5006">
          <cell r="A5006" t="str">
            <v>CASTELVENERE</v>
          </cell>
          <cell r="B5006" t="str">
            <v>062019</v>
          </cell>
          <cell r="C5006" t="str">
            <v>BN</v>
          </cell>
          <cell r="D5006" t="str">
            <v>BN</v>
          </cell>
          <cell r="E5006" t="str">
            <v>82037</v>
          </cell>
        </row>
        <row r="5007">
          <cell r="A5007" t="str">
            <v>CASTELVETERE IN VAL FORTORE</v>
          </cell>
          <cell r="B5007" t="str">
            <v>062020</v>
          </cell>
          <cell r="C5007" t="str">
            <v>BN</v>
          </cell>
          <cell r="D5007" t="str">
            <v>BN</v>
          </cell>
          <cell r="E5007" t="str">
            <v>82023</v>
          </cell>
        </row>
        <row r="5008">
          <cell r="A5008" t="str">
            <v>CAUTANO</v>
          </cell>
          <cell r="B5008" t="str">
            <v>062021</v>
          </cell>
          <cell r="C5008" t="str">
            <v>BN</v>
          </cell>
          <cell r="D5008" t="str">
            <v>BN</v>
          </cell>
          <cell r="E5008" t="str">
            <v>82030</v>
          </cell>
        </row>
        <row r="5009">
          <cell r="A5009" t="str">
            <v>CEPPALONI</v>
          </cell>
          <cell r="B5009" t="str">
            <v>062022</v>
          </cell>
          <cell r="C5009" t="str">
            <v>BN</v>
          </cell>
          <cell r="D5009" t="str">
            <v>BN</v>
          </cell>
          <cell r="E5009" t="str">
            <v>82010</v>
          </cell>
        </row>
        <row r="5010">
          <cell r="A5010" t="str">
            <v>CERRETO SANNITA</v>
          </cell>
          <cell r="B5010" t="str">
            <v>062023</v>
          </cell>
          <cell r="C5010" t="str">
            <v>BN</v>
          </cell>
          <cell r="D5010" t="str">
            <v>BN</v>
          </cell>
          <cell r="E5010" t="str">
            <v>82032</v>
          </cell>
        </row>
        <row r="5011">
          <cell r="A5011" t="str">
            <v>CIRCELLO</v>
          </cell>
          <cell r="B5011" t="str">
            <v>062024</v>
          </cell>
          <cell r="C5011" t="str">
            <v>BN</v>
          </cell>
          <cell r="D5011" t="str">
            <v>BN</v>
          </cell>
          <cell r="E5011" t="str">
            <v>82020</v>
          </cell>
        </row>
        <row r="5012">
          <cell r="A5012" t="str">
            <v>COLLE SANNITA</v>
          </cell>
          <cell r="B5012" t="str">
            <v>062025</v>
          </cell>
          <cell r="C5012" t="str">
            <v>BN</v>
          </cell>
          <cell r="D5012" t="str">
            <v>BN</v>
          </cell>
          <cell r="E5012" t="str">
            <v>82024</v>
          </cell>
        </row>
        <row r="5013">
          <cell r="A5013" t="str">
            <v>CUSANO MUTRI</v>
          </cell>
          <cell r="B5013" t="str">
            <v>062026</v>
          </cell>
          <cell r="C5013" t="str">
            <v>BN</v>
          </cell>
          <cell r="D5013" t="str">
            <v>BN</v>
          </cell>
          <cell r="E5013" t="str">
            <v>82033</v>
          </cell>
        </row>
        <row r="5014">
          <cell r="A5014" t="str">
            <v>DUGENTA</v>
          </cell>
          <cell r="B5014" t="str">
            <v>062027</v>
          </cell>
          <cell r="C5014" t="str">
            <v>BN</v>
          </cell>
          <cell r="D5014" t="str">
            <v>BN</v>
          </cell>
          <cell r="E5014" t="str">
            <v>82030</v>
          </cell>
        </row>
        <row r="5015">
          <cell r="A5015" t="str">
            <v>DURAZZANO</v>
          </cell>
          <cell r="B5015" t="str">
            <v>062028</v>
          </cell>
          <cell r="C5015" t="str">
            <v>BN</v>
          </cell>
          <cell r="D5015" t="str">
            <v>BN</v>
          </cell>
          <cell r="E5015" t="str">
            <v>82015</v>
          </cell>
        </row>
        <row r="5016">
          <cell r="A5016" t="str">
            <v>FAICCHIO</v>
          </cell>
          <cell r="B5016" t="str">
            <v>062029</v>
          </cell>
          <cell r="C5016" t="str">
            <v>BN</v>
          </cell>
          <cell r="D5016" t="str">
            <v>BN</v>
          </cell>
          <cell r="E5016" t="str">
            <v>82030</v>
          </cell>
        </row>
        <row r="5017">
          <cell r="A5017" t="str">
            <v>FOGLIANISE</v>
          </cell>
          <cell r="B5017" t="str">
            <v>062030</v>
          </cell>
          <cell r="C5017" t="str">
            <v>BN</v>
          </cell>
          <cell r="D5017" t="str">
            <v>BN</v>
          </cell>
          <cell r="E5017" t="str">
            <v>82030</v>
          </cell>
        </row>
        <row r="5018">
          <cell r="A5018" t="str">
            <v>FOIANO DI VAL FORTORE</v>
          </cell>
          <cell r="B5018" t="str">
            <v>062031</v>
          </cell>
          <cell r="C5018" t="str">
            <v>BN</v>
          </cell>
          <cell r="D5018" t="str">
            <v>BN</v>
          </cell>
          <cell r="E5018" t="str">
            <v>82020</v>
          </cell>
        </row>
        <row r="5019">
          <cell r="A5019" t="str">
            <v>FORCHIA</v>
          </cell>
          <cell r="B5019" t="str">
            <v>062032</v>
          </cell>
          <cell r="C5019" t="str">
            <v>BN</v>
          </cell>
          <cell r="D5019" t="str">
            <v>BN</v>
          </cell>
          <cell r="E5019" t="str">
            <v>82011</v>
          </cell>
        </row>
        <row r="5020">
          <cell r="A5020" t="str">
            <v>FRAGNETO L'ABATE</v>
          </cell>
          <cell r="B5020" t="str">
            <v>062033</v>
          </cell>
          <cell r="C5020" t="str">
            <v>BN</v>
          </cell>
          <cell r="D5020" t="str">
            <v>BN</v>
          </cell>
          <cell r="E5020" t="str">
            <v>82020</v>
          </cell>
        </row>
        <row r="5021">
          <cell r="A5021" t="str">
            <v>FRAGNETO MONFORTE</v>
          </cell>
          <cell r="B5021" t="str">
            <v>062034</v>
          </cell>
          <cell r="C5021" t="str">
            <v>BN</v>
          </cell>
          <cell r="D5021" t="str">
            <v>BN</v>
          </cell>
          <cell r="E5021" t="str">
            <v>82020</v>
          </cell>
        </row>
        <row r="5022">
          <cell r="A5022" t="str">
            <v>FRASSO TELESINO</v>
          </cell>
          <cell r="B5022" t="str">
            <v>062035</v>
          </cell>
          <cell r="C5022" t="str">
            <v>BN</v>
          </cell>
          <cell r="D5022" t="str">
            <v>BN</v>
          </cell>
          <cell r="E5022" t="str">
            <v>82030</v>
          </cell>
        </row>
        <row r="5023">
          <cell r="A5023" t="str">
            <v>GINESTRA DEGLI SCHIAVONI</v>
          </cell>
          <cell r="B5023" t="str">
            <v>062036</v>
          </cell>
          <cell r="C5023" t="str">
            <v>BN</v>
          </cell>
          <cell r="D5023" t="str">
            <v>BN</v>
          </cell>
          <cell r="E5023" t="str">
            <v>82020</v>
          </cell>
        </row>
        <row r="5024">
          <cell r="A5024" t="str">
            <v>GUARDIA SANFRAMONDI</v>
          </cell>
          <cell r="B5024" t="str">
            <v>062037</v>
          </cell>
          <cell r="C5024" t="str">
            <v>BN</v>
          </cell>
          <cell r="D5024" t="str">
            <v>BN</v>
          </cell>
          <cell r="E5024" t="str">
            <v>82034</v>
          </cell>
        </row>
        <row r="5025">
          <cell r="A5025" t="str">
            <v>LIMATOLA</v>
          </cell>
          <cell r="B5025" t="str">
            <v>062038</v>
          </cell>
          <cell r="C5025" t="str">
            <v>BN</v>
          </cell>
          <cell r="D5025" t="str">
            <v>BN</v>
          </cell>
          <cell r="E5025" t="str">
            <v>82030</v>
          </cell>
        </row>
        <row r="5026">
          <cell r="A5026" t="str">
            <v>MELIZZANO</v>
          </cell>
          <cell r="B5026" t="str">
            <v>062039</v>
          </cell>
          <cell r="C5026" t="str">
            <v>BN</v>
          </cell>
          <cell r="D5026" t="str">
            <v>BN</v>
          </cell>
          <cell r="E5026" t="str">
            <v>82030</v>
          </cell>
        </row>
        <row r="5027">
          <cell r="A5027" t="str">
            <v>MOIANO</v>
          </cell>
          <cell r="B5027" t="str">
            <v>062040</v>
          </cell>
          <cell r="C5027" t="str">
            <v>BN</v>
          </cell>
          <cell r="D5027" t="str">
            <v>BN</v>
          </cell>
          <cell r="E5027" t="str">
            <v>82010</v>
          </cell>
        </row>
        <row r="5028">
          <cell r="A5028" t="str">
            <v>MOLINARA</v>
          </cell>
          <cell r="B5028" t="str">
            <v>062041</v>
          </cell>
          <cell r="C5028" t="str">
            <v>BN</v>
          </cell>
          <cell r="D5028" t="str">
            <v>BN</v>
          </cell>
          <cell r="E5028" t="str">
            <v>82020</v>
          </cell>
        </row>
        <row r="5029">
          <cell r="A5029" t="str">
            <v>MONTEFALCONE DI VAL FORTORE</v>
          </cell>
          <cell r="B5029" t="str">
            <v>062042</v>
          </cell>
          <cell r="C5029" t="str">
            <v>BN</v>
          </cell>
          <cell r="D5029" t="str">
            <v>BN</v>
          </cell>
          <cell r="E5029" t="str">
            <v>82025</v>
          </cell>
        </row>
        <row r="5030">
          <cell r="A5030" t="str">
            <v>MONTESARCHIO</v>
          </cell>
          <cell r="B5030" t="str">
            <v>062043</v>
          </cell>
          <cell r="C5030" t="str">
            <v>BN</v>
          </cell>
          <cell r="D5030" t="str">
            <v>BN</v>
          </cell>
          <cell r="E5030" t="str">
            <v>82016</v>
          </cell>
        </row>
        <row r="5031">
          <cell r="A5031" t="str">
            <v>MORCONE</v>
          </cell>
          <cell r="B5031" t="str">
            <v>062044</v>
          </cell>
          <cell r="C5031" t="str">
            <v>BN</v>
          </cell>
          <cell r="D5031" t="str">
            <v>BN</v>
          </cell>
          <cell r="E5031" t="str">
            <v>82026</v>
          </cell>
        </row>
        <row r="5032">
          <cell r="A5032" t="str">
            <v>PADULI</v>
          </cell>
          <cell r="B5032" t="str">
            <v>062045</v>
          </cell>
          <cell r="C5032" t="str">
            <v>BN</v>
          </cell>
          <cell r="D5032" t="str">
            <v>BN</v>
          </cell>
          <cell r="E5032" t="str">
            <v>82020</v>
          </cell>
        </row>
        <row r="5033">
          <cell r="A5033" t="str">
            <v>PAGO VEIANO</v>
          </cell>
          <cell r="B5033" t="str">
            <v>062046</v>
          </cell>
          <cell r="C5033" t="str">
            <v>BN</v>
          </cell>
          <cell r="D5033" t="str">
            <v>BN</v>
          </cell>
          <cell r="E5033" t="str">
            <v>82020</v>
          </cell>
        </row>
        <row r="5034">
          <cell r="A5034" t="str">
            <v>PANNARANO</v>
          </cell>
          <cell r="B5034" t="str">
            <v>062047</v>
          </cell>
          <cell r="C5034" t="str">
            <v>BN</v>
          </cell>
          <cell r="D5034" t="str">
            <v>BN</v>
          </cell>
          <cell r="E5034" t="str">
            <v>82017</v>
          </cell>
        </row>
        <row r="5035">
          <cell r="A5035" t="str">
            <v>PAOLISI</v>
          </cell>
          <cell r="B5035" t="str">
            <v>062048</v>
          </cell>
          <cell r="C5035" t="str">
            <v>BN</v>
          </cell>
          <cell r="D5035" t="str">
            <v>BN</v>
          </cell>
          <cell r="E5035" t="str">
            <v>82011</v>
          </cell>
        </row>
        <row r="5036">
          <cell r="A5036" t="str">
            <v>PAUPISI</v>
          </cell>
          <cell r="B5036" t="str">
            <v>062049</v>
          </cell>
          <cell r="C5036" t="str">
            <v>BN</v>
          </cell>
          <cell r="D5036" t="str">
            <v>BN</v>
          </cell>
          <cell r="E5036" t="str">
            <v>82030</v>
          </cell>
        </row>
        <row r="5037">
          <cell r="A5037" t="str">
            <v>PESCO SANNITA</v>
          </cell>
          <cell r="B5037" t="str">
            <v>062050</v>
          </cell>
          <cell r="C5037" t="str">
            <v>BN</v>
          </cell>
          <cell r="D5037" t="str">
            <v>BN</v>
          </cell>
          <cell r="E5037" t="str">
            <v>82020</v>
          </cell>
        </row>
        <row r="5038">
          <cell r="A5038" t="str">
            <v>PIETRAROJA</v>
          </cell>
          <cell r="B5038" t="str">
            <v>062051</v>
          </cell>
          <cell r="C5038" t="str">
            <v>BN</v>
          </cell>
          <cell r="D5038" t="str">
            <v>BN</v>
          </cell>
          <cell r="E5038" t="str">
            <v>82030</v>
          </cell>
        </row>
        <row r="5039">
          <cell r="A5039" t="str">
            <v>PIETRELCINA</v>
          </cell>
          <cell r="B5039" t="str">
            <v>062052</v>
          </cell>
          <cell r="C5039" t="str">
            <v>BN</v>
          </cell>
          <cell r="D5039" t="str">
            <v>BN</v>
          </cell>
          <cell r="E5039" t="str">
            <v>82020</v>
          </cell>
        </row>
        <row r="5040">
          <cell r="A5040" t="str">
            <v>PONTE</v>
          </cell>
          <cell r="B5040" t="str">
            <v>062053</v>
          </cell>
          <cell r="C5040" t="str">
            <v>BN</v>
          </cell>
          <cell r="D5040" t="str">
            <v>BN</v>
          </cell>
          <cell r="E5040" t="str">
            <v>82030</v>
          </cell>
        </row>
        <row r="5041">
          <cell r="A5041" t="str">
            <v>PONTELANDOLFO</v>
          </cell>
          <cell r="B5041" t="str">
            <v>062054</v>
          </cell>
          <cell r="C5041" t="str">
            <v>BN</v>
          </cell>
          <cell r="D5041" t="str">
            <v>BN</v>
          </cell>
          <cell r="E5041" t="str">
            <v>82027</v>
          </cell>
        </row>
        <row r="5042">
          <cell r="A5042" t="str">
            <v>PUGLIANELLO</v>
          </cell>
          <cell r="B5042" t="str">
            <v>062055</v>
          </cell>
          <cell r="C5042" t="str">
            <v>BN</v>
          </cell>
          <cell r="D5042" t="str">
            <v>BN</v>
          </cell>
          <cell r="E5042" t="str">
            <v>82030</v>
          </cell>
        </row>
        <row r="5043">
          <cell r="A5043" t="str">
            <v>REINO</v>
          </cell>
          <cell r="B5043" t="str">
            <v>062056</v>
          </cell>
          <cell r="C5043" t="str">
            <v>BN</v>
          </cell>
          <cell r="D5043" t="str">
            <v>BN</v>
          </cell>
          <cell r="E5043" t="str">
            <v>82020</v>
          </cell>
        </row>
        <row r="5044">
          <cell r="A5044" t="str">
            <v>SAN BARTOLOMEO IN GALDO</v>
          </cell>
          <cell r="B5044" t="str">
            <v>062057</v>
          </cell>
          <cell r="C5044" t="str">
            <v>BN</v>
          </cell>
          <cell r="D5044" t="str">
            <v>BN</v>
          </cell>
          <cell r="E5044" t="str">
            <v>82028</v>
          </cell>
        </row>
        <row r="5045">
          <cell r="A5045" t="str">
            <v>SAN GIORGIO DEL SANNIO</v>
          </cell>
          <cell r="B5045" t="str">
            <v>062058</v>
          </cell>
          <cell r="C5045" t="str">
            <v>BN</v>
          </cell>
          <cell r="D5045" t="str">
            <v>BN</v>
          </cell>
          <cell r="E5045" t="str">
            <v>82018</v>
          </cell>
        </row>
        <row r="5046">
          <cell r="A5046" t="str">
            <v>SAN GIORGIO LA MOLARA</v>
          </cell>
          <cell r="B5046" t="str">
            <v>062059</v>
          </cell>
          <cell r="C5046" t="str">
            <v>BN</v>
          </cell>
          <cell r="D5046" t="str">
            <v>BN</v>
          </cell>
          <cell r="E5046" t="str">
            <v>82020</v>
          </cell>
        </row>
        <row r="5047">
          <cell r="A5047" t="str">
            <v>SAN LEUCIO DEL SANNIO</v>
          </cell>
          <cell r="B5047" t="str">
            <v>062060</v>
          </cell>
          <cell r="C5047" t="str">
            <v>BN</v>
          </cell>
          <cell r="D5047" t="str">
            <v>BN</v>
          </cell>
          <cell r="E5047" t="str">
            <v>82010</v>
          </cell>
        </row>
        <row r="5048">
          <cell r="A5048" t="str">
            <v>SAN LORENZELLO</v>
          </cell>
          <cell r="B5048" t="str">
            <v>062061</v>
          </cell>
          <cell r="C5048" t="str">
            <v>BN</v>
          </cell>
          <cell r="D5048" t="str">
            <v>BN</v>
          </cell>
          <cell r="E5048" t="str">
            <v>82030</v>
          </cell>
        </row>
        <row r="5049">
          <cell r="A5049" t="str">
            <v>SAN LORENZO MAGGIORE</v>
          </cell>
          <cell r="B5049" t="str">
            <v>062062</v>
          </cell>
          <cell r="C5049" t="str">
            <v>BN</v>
          </cell>
          <cell r="D5049" t="str">
            <v>BN</v>
          </cell>
          <cell r="E5049" t="str">
            <v>82034</v>
          </cell>
        </row>
        <row r="5050">
          <cell r="A5050" t="str">
            <v>SAN LUPO</v>
          </cell>
          <cell r="B5050" t="str">
            <v>062063</v>
          </cell>
          <cell r="C5050" t="str">
            <v>BN</v>
          </cell>
          <cell r="D5050" t="str">
            <v>BN</v>
          </cell>
          <cell r="E5050" t="str">
            <v>82034</v>
          </cell>
        </row>
        <row r="5051">
          <cell r="A5051" t="str">
            <v>SAN MARCO DEI CAVOTI</v>
          </cell>
          <cell r="B5051" t="str">
            <v>062064</v>
          </cell>
          <cell r="C5051" t="str">
            <v>BN</v>
          </cell>
          <cell r="D5051" t="str">
            <v>BN</v>
          </cell>
          <cell r="E5051" t="str">
            <v>82029</v>
          </cell>
        </row>
        <row r="5052">
          <cell r="A5052" t="str">
            <v>SAN MARTINO SANNITA</v>
          </cell>
          <cell r="B5052" t="str">
            <v>062065</v>
          </cell>
          <cell r="C5052" t="str">
            <v>BN</v>
          </cell>
          <cell r="D5052" t="str">
            <v>BN</v>
          </cell>
          <cell r="E5052" t="str">
            <v>82010</v>
          </cell>
        </row>
        <row r="5053">
          <cell r="A5053" t="str">
            <v>SAN NAZZARO</v>
          </cell>
          <cell r="B5053" t="str">
            <v>062066</v>
          </cell>
          <cell r="C5053" t="str">
            <v>BN</v>
          </cell>
          <cell r="D5053" t="str">
            <v>BN</v>
          </cell>
          <cell r="E5053" t="str">
            <v>82018</v>
          </cell>
        </row>
        <row r="5054">
          <cell r="A5054" t="str">
            <v>SAN NICOLA MANFREDI</v>
          </cell>
          <cell r="B5054" t="str">
            <v>062067</v>
          </cell>
          <cell r="C5054" t="str">
            <v>BN</v>
          </cell>
          <cell r="D5054" t="str">
            <v>BN</v>
          </cell>
          <cell r="E5054" t="str">
            <v>82010</v>
          </cell>
        </row>
        <row r="5055">
          <cell r="A5055" t="str">
            <v>SAN SALVATORE TELESINO</v>
          </cell>
          <cell r="B5055" t="str">
            <v>062068</v>
          </cell>
          <cell r="C5055" t="str">
            <v>BN</v>
          </cell>
          <cell r="D5055" t="str">
            <v>BN</v>
          </cell>
          <cell r="E5055" t="str">
            <v>82030</v>
          </cell>
        </row>
        <row r="5056">
          <cell r="A5056" t="str">
            <v>SANTA CROCE DEL SANNIO</v>
          </cell>
          <cell r="B5056" t="str">
            <v>062069</v>
          </cell>
          <cell r="C5056" t="str">
            <v>BN</v>
          </cell>
          <cell r="D5056" t="str">
            <v>BN</v>
          </cell>
          <cell r="E5056" t="str">
            <v>82020</v>
          </cell>
        </row>
        <row r="5057">
          <cell r="A5057" t="str">
            <v>SANT'AGATA DE' GOTI</v>
          </cell>
          <cell r="B5057" t="str">
            <v>062070</v>
          </cell>
          <cell r="C5057" t="str">
            <v>BN</v>
          </cell>
          <cell r="D5057" t="str">
            <v>BN</v>
          </cell>
          <cell r="E5057" t="str">
            <v>82019</v>
          </cell>
        </row>
        <row r="5058">
          <cell r="A5058" t="str">
            <v>SANT'ANGELO A CUPOLO</v>
          </cell>
          <cell r="B5058" t="str">
            <v>062071</v>
          </cell>
          <cell r="C5058" t="str">
            <v>BN</v>
          </cell>
          <cell r="D5058" t="str">
            <v>BN</v>
          </cell>
          <cell r="E5058" t="str">
            <v>82010</v>
          </cell>
        </row>
        <row r="5059">
          <cell r="A5059" t="str">
            <v>SASSINORO</v>
          </cell>
          <cell r="B5059" t="str">
            <v>062072</v>
          </cell>
          <cell r="C5059" t="str">
            <v>BN</v>
          </cell>
          <cell r="D5059" t="str">
            <v>BN</v>
          </cell>
          <cell r="E5059" t="str">
            <v>82026</v>
          </cell>
        </row>
        <row r="5060">
          <cell r="A5060" t="str">
            <v>SOLOPACA</v>
          </cell>
          <cell r="B5060" t="str">
            <v>062073</v>
          </cell>
          <cell r="C5060" t="str">
            <v>BN</v>
          </cell>
          <cell r="D5060" t="str">
            <v>BN</v>
          </cell>
          <cell r="E5060" t="str">
            <v>82036</v>
          </cell>
        </row>
        <row r="5061">
          <cell r="A5061" t="str">
            <v>TELESE TERME</v>
          </cell>
          <cell r="B5061" t="str">
            <v>062074</v>
          </cell>
          <cell r="C5061" t="str">
            <v>BN</v>
          </cell>
          <cell r="D5061" t="str">
            <v>BN</v>
          </cell>
          <cell r="E5061" t="str">
            <v>82037</v>
          </cell>
        </row>
        <row r="5062">
          <cell r="A5062" t="str">
            <v>TOCCO CAUDIO</v>
          </cell>
          <cell r="B5062" t="str">
            <v>062075</v>
          </cell>
          <cell r="C5062" t="str">
            <v>BN</v>
          </cell>
          <cell r="D5062" t="str">
            <v>BN</v>
          </cell>
          <cell r="E5062" t="str">
            <v>82030</v>
          </cell>
        </row>
        <row r="5063">
          <cell r="A5063" t="str">
            <v>TORRECUSO</v>
          </cell>
          <cell r="B5063" t="str">
            <v>062076</v>
          </cell>
          <cell r="C5063" t="str">
            <v>BN</v>
          </cell>
          <cell r="D5063" t="str">
            <v>BN</v>
          </cell>
          <cell r="E5063" t="str">
            <v>82030</v>
          </cell>
        </row>
        <row r="5064">
          <cell r="A5064" t="str">
            <v>VITULANO</v>
          </cell>
          <cell r="B5064" t="str">
            <v>062077</v>
          </cell>
          <cell r="C5064" t="str">
            <v>BN</v>
          </cell>
          <cell r="D5064" t="str">
            <v>BN</v>
          </cell>
          <cell r="E5064" t="str">
            <v>82038</v>
          </cell>
        </row>
        <row r="5065">
          <cell r="A5065" t="str">
            <v>SANT'ARCANGELO TRIMONTE</v>
          </cell>
          <cell r="B5065" t="str">
            <v>062078</v>
          </cell>
          <cell r="C5065" t="str">
            <v>BN</v>
          </cell>
          <cell r="D5065" t="str">
            <v>BN</v>
          </cell>
          <cell r="E5065" t="str">
            <v>82021</v>
          </cell>
        </row>
        <row r="5066">
          <cell r="A5066" t="str">
            <v>ACERRA</v>
          </cell>
          <cell r="B5066" t="str">
            <v>063001</v>
          </cell>
          <cell r="C5066" t="str">
            <v>NA</v>
          </cell>
          <cell r="D5066" t="str">
            <v>NA</v>
          </cell>
          <cell r="E5066" t="str">
            <v>80011</v>
          </cell>
        </row>
        <row r="5067">
          <cell r="A5067" t="str">
            <v>AFRAGOLA</v>
          </cell>
          <cell r="B5067" t="str">
            <v>063002</v>
          </cell>
          <cell r="C5067" t="str">
            <v>NA</v>
          </cell>
          <cell r="D5067" t="str">
            <v>NA</v>
          </cell>
          <cell r="E5067" t="str">
            <v>80021</v>
          </cell>
        </row>
        <row r="5068">
          <cell r="A5068" t="str">
            <v>AGEROLA</v>
          </cell>
          <cell r="B5068" t="str">
            <v>063003</v>
          </cell>
          <cell r="C5068" t="str">
            <v>NA</v>
          </cell>
          <cell r="D5068" t="str">
            <v>NA</v>
          </cell>
          <cell r="E5068" t="str">
            <v>80051</v>
          </cell>
        </row>
        <row r="5069">
          <cell r="A5069" t="str">
            <v>ANACAPRI</v>
          </cell>
          <cell r="B5069" t="str">
            <v>063004</v>
          </cell>
          <cell r="C5069" t="str">
            <v>NA</v>
          </cell>
          <cell r="D5069" t="str">
            <v>NA</v>
          </cell>
          <cell r="E5069" t="str">
            <v>80071</v>
          </cell>
        </row>
        <row r="5070">
          <cell r="A5070" t="str">
            <v>ARZANO</v>
          </cell>
          <cell r="B5070" t="str">
            <v>063005</v>
          </cell>
          <cell r="C5070" t="str">
            <v>NA</v>
          </cell>
          <cell r="D5070" t="str">
            <v>NA</v>
          </cell>
          <cell r="E5070" t="str">
            <v>80022</v>
          </cell>
        </row>
        <row r="5071">
          <cell r="A5071" t="str">
            <v>BACOLI</v>
          </cell>
          <cell r="B5071" t="str">
            <v>063006</v>
          </cell>
          <cell r="C5071" t="str">
            <v>NA</v>
          </cell>
          <cell r="D5071" t="str">
            <v>NA</v>
          </cell>
          <cell r="E5071" t="str">
            <v>80070</v>
          </cell>
        </row>
        <row r="5072">
          <cell r="A5072" t="str">
            <v>BARANO D'ISCHIA</v>
          </cell>
          <cell r="B5072" t="str">
            <v>063007</v>
          </cell>
          <cell r="C5072" t="str">
            <v>NA</v>
          </cell>
          <cell r="D5072" t="str">
            <v>NA</v>
          </cell>
          <cell r="E5072" t="str">
            <v>80070</v>
          </cell>
        </row>
        <row r="5073">
          <cell r="A5073" t="str">
            <v>BOSCOREALE</v>
          </cell>
          <cell r="B5073" t="str">
            <v>063008</v>
          </cell>
          <cell r="C5073" t="str">
            <v>NA</v>
          </cell>
          <cell r="D5073" t="str">
            <v>NA</v>
          </cell>
          <cell r="E5073" t="str">
            <v>80041</v>
          </cell>
        </row>
        <row r="5074">
          <cell r="A5074" t="str">
            <v>BOSCOTRECASE</v>
          </cell>
          <cell r="B5074" t="str">
            <v>063009</v>
          </cell>
          <cell r="C5074" t="str">
            <v>NA</v>
          </cell>
          <cell r="D5074" t="str">
            <v>NA</v>
          </cell>
          <cell r="E5074" t="str">
            <v>80042</v>
          </cell>
        </row>
        <row r="5075">
          <cell r="A5075" t="str">
            <v>BRUSCIANO</v>
          </cell>
          <cell r="B5075" t="str">
            <v>063010</v>
          </cell>
          <cell r="C5075" t="str">
            <v>NA</v>
          </cell>
          <cell r="D5075" t="str">
            <v>NA</v>
          </cell>
          <cell r="E5075" t="str">
            <v>80031</v>
          </cell>
        </row>
        <row r="5076">
          <cell r="A5076" t="str">
            <v>CAIVANO</v>
          </cell>
          <cell r="B5076" t="str">
            <v>063011</v>
          </cell>
          <cell r="C5076" t="str">
            <v>NA</v>
          </cell>
          <cell r="D5076" t="str">
            <v>NA</v>
          </cell>
          <cell r="E5076" t="str">
            <v>80023</v>
          </cell>
        </row>
        <row r="5077">
          <cell r="A5077" t="str">
            <v>CALVIZZANO</v>
          </cell>
          <cell r="B5077" t="str">
            <v>063012</v>
          </cell>
          <cell r="C5077" t="str">
            <v>NA</v>
          </cell>
          <cell r="D5077" t="str">
            <v>NA</v>
          </cell>
          <cell r="E5077" t="str">
            <v>80012</v>
          </cell>
        </row>
        <row r="5078">
          <cell r="A5078" t="str">
            <v>CAMPOSANO</v>
          </cell>
          <cell r="B5078" t="str">
            <v>063013</v>
          </cell>
          <cell r="C5078" t="str">
            <v>NA</v>
          </cell>
          <cell r="D5078" t="str">
            <v>NA</v>
          </cell>
          <cell r="E5078" t="str">
            <v>80030</v>
          </cell>
        </row>
        <row r="5079">
          <cell r="A5079" t="str">
            <v>CAPRI</v>
          </cell>
          <cell r="B5079" t="str">
            <v>063014</v>
          </cell>
          <cell r="C5079" t="str">
            <v>NA</v>
          </cell>
          <cell r="D5079" t="str">
            <v>NA</v>
          </cell>
          <cell r="E5079" t="str">
            <v>80073</v>
          </cell>
        </row>
        <row r="5080">
          <cell r="A5080" t="str">
            <v>CARBONARA DI NOLA</v>
          </cell>
          <cell r="B5080" t="str">
            <v>063015</v>
          </cell>
          <cell r="C5080" t="str">
            <v>NA</v>
          </cell>
          <cell r="D5080" t="str">
            <v>NA</v>
          </cell>
          <cell r="E5080" t="str">
            <v>80030</v>
          </cell>
        </row>
        <row r="5081">
          <cell r="A5081" t="str">
            <v>CARDITO</v>
          </cell>
          <cell r="B5081" t="str">
            <v>063016</v>
          </cell>
          <cell r="C5081" t="str">
            <v>NA</v>
          </cell>
          <cell r="D5081" t="str">
            <v>NA</v>
          </cell>
          <cell r="E5081" t="str">
            <v>80024</v>
          </cell>
        </row>
        <row r="5082">
          <cell r="A5082" t="str">
            <v>CASALNUOVO DI NAPOLI</v>
          </cell>
          <cell r="B5082" t="str">
            <v>063017</v>
          </cell>
          <cell r="C5082" t="str">
            <v>NA</v>
          </cell>
          <cell r="D5082" t="str">
            <v>NA</v>
          </cell>
          <cell r="E5082" t="str">
            <v>80013</v>
          </cell>
        </row>
        <row r="5083">
          <cell r="A5083" t="str">
            <v>CASAMARCIANO</v>
          </cell>
          <cell r="B5083" t="str">
            <v>063018</v>
          </cell>
          <cell r="C5083" t="str">
            <v>NA</v>
          </cell>
          <cell r="D5083" t="str">
            <v>NA</v>
          </cell>
          <cell r="E5083" t="str">
            <v>80032</v>
          </cell>
        </row>
        <row r="5084">
          <cell r="A5084" t="str">
            <v>CASAMICCIOLA TERME</v>
          </cell>
          <cell r="B5084" t="str">
            <v>063019</v>
          </cell>
          <cell r="C5084" t="str">
            <v>NA</v>
          </cell>
          <cell r="D5084" t="str">
            <v>NA</v>
          </cell>
          <cell r="E5084" t="str">
            <v>80074</v>
          </cell>
        </row>
        <row r="5085">
          <cell r="A5085" t="str">
            <v>CASANDRINO</v>
          </cell>
          <cell r="B5085" t="str">
            <v>063020</v>
          </cell>
          <cell r="C5085" t="str">
            <v>NA</v>
          </cell>
          <cell r="D5085" t="str">
            <v>NA</v>
          </cell>
          <cell r="E5085" t="str">
            <v>80025</v>
          </cell>
        </row>
        <row r="5086">
          <cell r="A5086" t="str">
            <v>CASAVATORE</v>
          </cell>
          <cell r="B5086" t="str">
            <v>063021</v>
          </cell>
          <cell r="C5086" t="str">
            <v>NA</v>
          </cell>
          <cell r="D5086" t="str">
            <v>NA</v>
          </cell>
          <cell r="E5086" t="str">
            <v>80020</v>
          </cell>
        </row>
        <row r="5087">
          <cell r="A5087" t="str">
            <v>CASOLA DI NAPOLI</v>
          </cell>
          <cell r="B5087" t="str">
            <v>063022</v>
          </cell>
          <cell r="C5087" t="str">
            <v>NA</v>
          </cell>
          <cell r="D5087" t="str">
            <v>NA</v>
          </cell>
          <cell r="E5087" t="str">
            <v>80050</v>
          </cell>
        </row>
        <row r="5088">
          <cell r="A5088" t="str">
            <v>CASORIA</v>
          </cell>
          <cell r="B5088" t="str">
            <v>063023</v>
          </cell>
          <cell r="C5088" t="str">
            <v>NA</v>
          </cell>
          <cell r="D5088" t="str">
            <v>NA</v>
          </cell>
          <cell r="E5088" t="str">
            <v>80026</v>
          </cell>
        </row>
        <row r="5089">
          <cell r="A5089" t="str">
            <v>CASTELLAMMARE DI STABIA</v>
          </cell>
          <cell r="B5089" t="str">
            <v>063024</v>
          </cell>
          <cell r="C5089" t="str">
            <v>NA</v>
          </cell>
          <cell r="D5089" t="str">
            <v>NA</v>
          </cell>
          <cell r="E5089" t="str">
            <v>80053</v>
          </cell>
        </row>
        <row r="5090">
          <cell r="A5090" t="str">
            <v>CASTELLO DI CISTERNA</v>
          </cell>
          <cell r="B5090" t="str">
            <v>063025</v>
          </cell>
          <cell r="C5090" t="str">
            <v>NA</v>
          </cell>
          <cell r="D5090" t="str">
            <v>NA</v>
          </cell>
          <cell r="E5090" t="str">
            <v>80030</v>
          </cell>
        </row>
        <row r="5091">
          <cell r="A5091" t="str">
            <v>CERCOLA</v>
          </cell>
          <cell r="B5091" t="str">
            <v>063026</v>
          </cell>
          <cell r="C5091" t="str">
            <v>NA</v>
          </cell>
          <cell r="D5091" t="str">
            <v>NA</v>
          </cell>
          <cell r="E5091" t="str">
            <v>80040</v>
          </cell>
        </row>
        <row r="5092">
          <cell r="A5092" t="str">
            <v>CICCIANO</v>
          </cell>
          <cell r="B5092" t="str">
            <v>063027</v>
          </cell>
          <cell r="C5092" t="str">
            <v>NA</v>
          </cell>
          <cell r="D5092" t="str">
            <v>NA</v>
          </cell>
          <cell r="E5092" t="str">
            <v>80033</v>
          </cell>
        </row>
        <row r="5093">
          <cell r="A5093" t="str">
            <v>CIMITILE</v>
          </cell>
          <cell r="B5093" t="str">
            <v>063028</v>
          </cell>
          <cell r="C5093" t="str">
            <v>NA</v>
          </cell>
          <cell r="D5093" t="str">
            <v>NA</v>
          </cell>
          <cell r="E5093" t="str">
            <v>80030</v>
          </cell>
        </row>
        <row r="5094">
          <cell r="A5094" t="str">
            <v>COMIZIANO</v>
          </cell>
          <cell r="B5094" t="str">
            <v>063029</v>
          </cell>
          <cell r="C5094" t="str">
            <v>NA</v>
          </cell>
          <cell r="D5094" t="str">
            <v>NA</v>
          </cell>
          <cell r="E5094" t="str">
            <v>80030</v>
          </cell>
        </row>
        <row r="5095">
          <cell r="A5095" t="str">
            <v>CRISPANO</v>
          </cell>
          <cell r="B5095" t="str">
            <v>063030</v>
          </cell>
          <cell r="C5095" t="str">
            <v>NA</v>
          </cell>
          <cell r="D5095" t="str">
            <v>NA</v>
          </cell>
          <cell r="E5095" t="str">
            <v>80020</v>
          </cell>
        </row>
        <row r="5096">
          <cell r="A5096" t="str">
            <v>FORIO</v>
          </cell>
          <cell r="B5096" t="str">
            <v>063031</v>
          </cell>
          <cell r="C5096" t="str">
            <v>NA</v>
          </cell>
          <cell r="D5096" t="str">
            <v>NA</v>
          </cell>
          <cell r="E5096" t="str">
            <v>80075</v>
          </cell>
        </row>
        <row r="5097">
          <cell r="A5097" t="str">
            <v>FRATTAMAGGIORE</v>
          </cell>
          <cell r="B5097" t="str">
            <v>063032</v>
          </cell>
          <cell r="C5097" t="str">
            <v>NA</v>
          </cell>
          <cell r="D5097" t="str">
            <v>NA</v>
          </cell>
          <cell r="E5097" t="str">
            <v>80027</v>
          </cell>
        </row>
        <row r="5098">
          <cell r="A5098" t="str">
            <v>FRATTAMINORE</v>
          </cell>
          <cell r="B5098" t="str">
            <v>063033</v>
          </cell>
          <cell r="C5098" t="str">
            <v>NA</v>
          </cell>
          <cell r="D5098" t="str">
            <v>NA</v>
          </cell>
          <cell r="E5098" t="str">
            <v>80020</v>
          </cell>
        </row>
        <row r="5099">
          <cell r="A5099" t="str">
            <v>GIUGLIANO IN CAMPANIA</v>
          </cell>
          <cell r="B5099" t="str">
            <v>063034</v>
          </cell>
          <cell r="C5099" t="str">
            <v>NA</v>
          </cell>
          <cell r="D5099" t="str">
            <v>NA</v>
          </cell>
          <cell r="E5099" t="str">
            <v>80014</v>
          </cell>
        </row>
        <row r="5100">
          <cell r="A5100" t="str">
            <v>GRAGNANO</v>
          </cell>
          <cell r="B5100" t="str">
            <v>063035</v>
          </cell>
          <cell r="C5100" t="str">
            <v>NA</v>
          </cell>
          <cell r="D5100" t="str">
            <v>NA</v>
          </cell>
          <cell r="E5100" t="str">
            <v>80054</v>
          </cell>
        </row>
        <row r="5101">
          <cell r="A5101" t="str">
            <v>GRUMO NEVANO</v>
          </cell>
          <cell r="B5101" t="str">
            <v>063036</v>
          </cell>
          <cell r="C5101" t="str">
            <v>NA</v>
          </cell>
          <cell r="D5101" t="str">
            <v>NA</v>
          </cell>
          <cell r="E5101" t="str">
            <v>80028</v>
          </cell>
        </row>
        <row r="5102">
          <cell r="A5102" t="str">
            <v>ISCHIA</v>
          </cell>
          <cell r="B5102" t="str">
            <v>063037</v>
          </cell>
          <cell r="C5102" t="str">
            <v>NA</v>
          </cell>
          <cell r="D5102" t="str">
            <v>NA</v>
          </cell>
          <cell r="E5102" t="str">
            <v>80077</v>
          </cell>
        </row>
        <row r="5103">
          <cell r="A5103" t="str">
            <v>LACCO AMENO</v>
          </cell>
          <cell r="B5103" t="str">
            <v>063038</v>
          </cell>
          <cell r="C5103" t="str">
            <v>NA</v>
          </cell>
          <cell r="D5103" t="str">
            <v>NA</v>
          </cell>
          <cell r="E5103" t="str">
            <v>80076</v>
          </cell>
        </row>
        <row r="5104">
          <cell r="A5104" t="str">
            <v>LETTERE</v>
          </cell>
          <cell r="B5104" t="str">
            <v>063039</v>
          </cell>
          <cell r="C5104" t="str">
            <v>NA</v>
          </cell>
          <cell r="D5104" t="str">
            <v>NA</v>
          </cell>
          <cell r="E5104" t="str">
            <v>80050</v>
          </cell>
        </row>
        <row r="5105">
          <cell r="A5105" t="str">
            <v>LIVERI</v>
          </cell>
          <cell r="B5105" t="str">
            <v>063040</v>
          </cell>
          <cell r="C5105" t="str">
            <v>NA</v>
          </cell>
          <cell r="D5105" t="str">
            <v>NA</v>
          </cell>
          <cell r="E5105" t="str">
            <v>80030</v>
          </cell>
        </row>
        <row r="5106">
          <cell r="A5106" t="str">
            <v>MARANO DI NAPOLI</v>
          </cell>
          <cell r="B5106" t="str">
            <v>063041</v>
          </cell>
          <cell r="C5106" t="str">
            <v>NA</v>
          </cell>
          <cell r="D5106" t="str">
            <v>NA</v>
          </cell>
          <cell r="E5106" t="str">
            <v>80016</v>
          </cell>
        </row>
        <row r="5107">
          <cell r="A5107" t="str">
            <v>MARIGLIANELLA</v>
          </cell>
          <cell r="B5107" t="str">
            <v>063042</v>
          </cell>
          <cell r="C5107" t="str">
            <v>NA</v>
          </cell>
          <cell r="D5107" t="str">
            <v>NA</v>
          </cell>
          <cell r="E5107" t="str">
            <v>80030</v>
          </cell>
        </row>
        <row r="5108">
          <cell r="A5108" t="str">
            <v>MARIGLIANO</v>
          </cell>
          <cell r="B5108" t="str">
            <v>063043</v>
          </cell>
          <cell r="C5108" t="str">
            <v>NA</v>
          </cell>
          <cell r="D5108" t="str">
            <v>NA</v>
          </cell>
          <cell r="E5108" t="str">
            <v>80034</v>
          </cell>
        </row>
        <row r="5109">
          <cell r="A5109" t="str">
            <v>MASSA LUBRENSE</v>
          </cell>
          <cell r="B5109" t="str">
            <v>063044</v>
          </cell>
          <cell r="C5109" t="str">
            <v>NA</v>
          </cell>
          <cell r="D5109" t="str">
            <v>NA</v>
          </cell>
          <cell r="E5109" t="str">
            <v>80061</v>
          </cell>
        </row>
        <row r="5110">
          <cell r="A5110" t="str">
            <v>MELITO DI NAPOLI</v>
          </cell>
          <cell r="B5110" t="str">
            <v>063045</v>
          </cell>
          <cell r="C5110" t="str">
            <v>NA</v>
          </cell>
          <cell r="D5110" t="str">
            <v>NA</v>
          </cell>
          <cell r="E5110" t="str">
            <v>80017</v>
          </cell>
        </row>
        <row r="5111">
          <cell r="A5111" t="str">
            <v>META</v>
          </cell>
          <cell r="B5111" t="str">
            <v>063046</v>
          </cell>
          <cell r="C5111" t="str">
            <v>NA</v>
          </cell>
          <cell r="D5111" t="str">
            <v>NA</v>
          </cell>
          <cell r="E5111" t="str">
            <v>80062</v>
          </cell>
        </row>
        <row r="5112">
          <cell r="A5112" t="str">
            <v>MONTE DI PROCIDA</v>
          </cell>
          <cell r="B5112" t="str">
            <v>063047</v>
          </cell>
          <cell r="C5112" t="str">
            <v>NA</v>
          </cell>
          <cell r="D5112" t="str">
            <v>NA</v>
          </cell>
          <cell r="E5112" t="str">
            <v>80070</v>
          </cell>
        </row>
        <row r="5113">
          <cell r="A5113" t="str">
            <v>MUGNANO DI NAPOLI</v>
          </cell>
          <cell r="B5113" t="str">
            <v>063048</v>
          </cell>
          <cell r="C5113" t="str">
            <v>NA</v>
          </cell>
          <cell r="D5113" t="str">
            <v>NA</v>
          </cell>
          <cell r="E5113" t="str">
            <v>80018</v>
          </cell>
        </row>
        <row r="5114">
          <cell r="A5114" t="str">
            <v>NAPOLI</v>
          </cell>
          <cell r="B5114" t="str">
            <v>063049</v>
          </cell>
          <cell r="C5114" t="str">
            <v>NA</v>
          </cell>
          <cell r="D5114" t="str">
            <v>NA</v>
          </cell>
          <cell r="E5114" t="str">
            <v>801xx</v>
          </cell>
        </row>
        <row r="5115">
          <cell r="A5115" t="str">
            <v>NOLA</v>
          </cell>
          <cell r="B5115" t="str">
            <v>063050</v>
          </cell>
          <cell r="C5115" t="str">
            <v>NA</v>
          </cell>
          <cell r="D5115" t="str">
            <v>NA</v>
          </cell>
          <cell r="E5115" t="str">
            <v>80035</v>
          </cell>
        </row>
        <row r="5116">
          <cell r="A5116" t="str">
            <v>OTTAVIANO</v>
          </cell>
          <cell r="B5116" t="str">
            <v>063051</v>
          </cell>
          <cell r="C5116" t="str">
            <v>NA</v>
          </cell>
          <cell r="D5116" t="str">
            <v>NA</v>
          </cell>
          <cell r="E5116" t="str">
            <v>80044</v>
          </cell>
        </row>
        <row r="5117">
          <cell r="A5117" t="str">
            <v>PALMA CAMPANIA</v>
          </cell>
          <cell r="B5117" t="str">
            <v>063052</v>
          </cell>
          <cell r="C5117" t="str">
            <v>NA</v>
          </cell>
          <cell r="D5117" t="str">
            <v>NA</v>
          </cell>
          <cell r="E5117" t="str">
            <v>80036</v>
          </cell>
        </row>
        <row r="5118">
          <cell r="A5118" t="str">
            <v>PIANO DI SORRENTO</v>
          </cell>
          <cell r="B5118" t="str">
            <v>063053</v>
          </cell>
          <cell r="C5118" t="str">
            <v>NA</v>
          </cell>
          <cell r="D5118" t="str">
            <v>NA</v>
          </cell>
          <cell r="E5118" t="str">
            <v>80063</v>
          </cell>
        </row>
        <row r="5119">
          <cell r="A5119" t="str">
            <v>PIMONTE</v>
          </cell>
          <cell r="B5119" t="str">
            <v>063054</v>
          </cell>
          <cell r="C5119" t="str">
            <v>NA</v>
          </cell>
          <cell r="D5119" t="str">
            <v>NA</v>
          </cell>
          <cell r="E5119" t="str">
            <v>80050</v>
          </cell>
        </row>
        <row r="5120">
          <cell r="A5120" t="str">
            <v>POGGIOMARINO</v>
          </cell>
          <cell r="B5120" t="str">
            <v>063055</v>
          </cell>
          <cell r="C5120" t="str">
            <v>NA</v>
          </cell>
          <cell r="D5120" t="str">
            <v>NA</v>
          </cell>
          <cell r="E5120" t="str">
            <v>80040</v>
          </cell>
        </row>
        <row r="5121">
          <cell r="A5121" t="str">
            <v>POLLENA TROCCHIA</v>
          </cell>
          <cell r="B5121" t="str">
            <v>063056</v>
          </cell>
          <cell r="C5121" t="str">
            <v>NA</v>
          </cell>
          <cell r="D5121" t="str">
            <v>NA</v>
          </cell>
          <cell r="E5121" t="str">
            <v>80040</v>
          </cell>
        </row>
        <row r="5122">
          <cell r="A5122" t="str">
            <v>POMIGLIANO D'ARCO</v>
          </cell>
          <cell r="B5122" t="str">
            <v>063057</v>
          </cell>
          <cell r="C5122" t="str">
            <v>NA</v>
          </cell>
          <cell r="D5122" t="str">
            <v>NA</v>
          </cell>
          <cell r="E5122" t="str">
            <v>80038</v>
          </cell>
        </row>
        <row r="5123">
          <cell r="A5123" t="str">
            <v>POMPEI</v>
          </cell>
          <cell r="B5123" t="str">
            <v>063058</v>
          </cell>
          <cell r="C5123" t="str">
            <v>NA</v>
          </cell>
          <cell r="D5123" t="str">
            <v>NA</v>
          </cell>
          <cell r="E5123" t="str">
            <v>80045</v>
          </cell>
        </row>
        <row r="5124">
          <cell r="A5124" t="str">
            <v>PORTICI</v>
          </cell>
          <cell r="B5124" t="str">
            <v>063059</v>
          </cell>
          <cell r="C5124" t="str">
            <v>NA</v>
          </cell>
          <cell r="D5124" t="str">
            <v>NA</v>
          </cell>
          <cell r="E5124" t="str">
            <v>80055</v>
          </cell>
        </row>
        <row r="5125">
          <cell r="A5125" t="str">
            <v>POZZUOLI</v>
          </cell>
          <cell r="B5125" t="str">
            <v>063060</v>
          </cell>
          <cell r="C5125" t="str">
            <v>NA</v>
          </cell>
          <cell r="D5125" t="str">
            <v>NA</v>
          </cell>
          <cell r="E5125" t="str">
            <v>80078</v>
          </cell>
        </row>
        <row r="5126">
          <cell r="A5126" t="str">
            <v>PROCIDA</v>
          </cell>
          <cell r="B5126" t="str">
            <v>063061</v>
          </cell>
          <cell r="C5126" t="str">
            <v>NA</v>
          </cell>
          <cell r="D5126" t="str">
            <v>NA</v>
          </cell>
          <cell r="E5126" t="str">
            <v>80079</v>
          </cell>
        </row>
        <row r="5127">
          <cell r="A5127" t="str">
            <v>QUALIANO</v>
          </cell>
          <cell r="B5127" t="str">
            <v>063062</v>
          </cell>
          <cell r="C5127" t="str">
            <v>NA</v>
          </cell>
          <cell r="D5127" t="str">
            <v>NA</v>
          </cell>
          <cell r="E5127" t="str">
            <v>80019</v>
          </cell>
        </row>
        <row r="5128">
          <cell r="A5128" t="str">
            <v>QUARTO</v>
          </cell>
          <cell r="B5128" t="str">
            <v>063063</v>
          </cell>
          <cell r="C5128" t="str">
            <v>NA</v>
          </cell>
          <cell r="D5128" t="str">
            <v>NA</v>
          </cell>
          <cell r="E5128" t="str">
            <v>80010</v>
          </cell>
        </row>
        <row r="5129">
          <cell r="A5129" t="str">
            <v>ERCOLANO</v>
          </cell>
          <cell r="B5129" t="str">
            <v>063064</v>
          </cell>
          <cell r="C5129" t="str">
            <v>NA</v>
          </cell>
          <cell r="D5129" t="str">
            <v>NA</v>
          </cell>
          <cell r="E5129" t="str">
            <v>80056</v>
          </cell>
        </row>
        <row r="5130">
          <cell r="A5130" t="str">
            <v>ROCCARAINOLA</v>
          </cell>
          <cell r="B5130" t="str">
            <v>063065</v>
          </cell>
          <cell r="C5130" t="str">
            <v>NA</v>
          </cell>
          <cell r="D5130" t="str">
            <v>NA</v>
          </cell>
          <cell r="E5130" t="str">
            <v>80030</v>
          </cell>
        </row>
        <row r="5131">
          <cell r="A5131" t="str">
            <v>SAN GENNARO VESUVIANO</v>
          </cell>
          <cell r="B5131" t="str">
            <v>063066</v>
          </cell>
          <cell r="C5131" t="str">
            <v>NA</v>
          </cell>
          <cell r="D5131" t="str">
            <v>NA</v>
          </cell>
          <cell r="E5131" t="str">
            <v>80040</v>
          </cell>
        </row>
        <row r="5132">
          <cell r="A5132" t="str">
            <v>SAN GIORGIO A CREMANO</v>
          </cell>
          <cell r="B5132" t="str">
            <v>063067</v>
          </cell>
          <cell r="C5132" t="str">
            <v>NA</v>
          </cell>
          <cell r="D5132" t="str">
            <v>NA</v>
          </cell>
          <cell r="E5132" t="str">
            <v>80046</v>
          </cell>
        </row>
        <row r="5133">
          <cell r="A5133" t="str">
            <v>SAN GIUSEPPE VESUVIANO</v>
          </cell>
          <cell r="B5133" t="str">
            <v>063068</v>
          </cell>
          <cell r="C5133" t="str">
            <v>NA</v>
          </cell>
          <cell r="D5133" t="str">
            <v>NA</v>
          </cell>
          <cell r="E5133" t="str">
            <v>80047</v>
          </cell>
        </row>
        <row r="5134">
          <cell r="A5134" t="str">
            <v>SAN PAOLO BEL SITO</v>
          </cell>
          <cell r="B5134" t="str">
            <v>063069</v>
          </cell>
          <cell r="C5134" t="str">
            <v>NA</v>
          </cell>
          <cell r="D5134" t="str">
            <v>NA</v>
          </cell>
          <cell r="E5134" t="str">
            <v>80030</v>
          </cell>
        </row>
        <row r="5135">
          <cell r="A5135" t="str">
            <v>SAN SEBASTIANO AL VESUVIO</v>
          </cell>
          <cell r="B5135" t="str">
            <v>063070</v>
          </cell>
          <cell r="C5135" t="str">
            <v>NA</v>
          </cell>
          <cell r="D5135" t="str">
            <v>NA</v>
          </cell>
          <cell r="E5135" t="str">
            <v>80040</v>
          </cell>
        </row>
        <row r="5136">
          <cell r="A5136" t="str">
            <v>SANT'AGNELLO</v>
          </cell>
          <cell r="B5136" t="str">
            <v>063071</v>
          </cell>
          <cell r="C5136" t="str">
            <v>NA</v>
          </cell>
          <cell r="D5136" t="str">
            <v>NA</v>
          </cell>
          <cell r="E5136" t="str">
            <v>80065</v>
          </cell>
        </row>
        <row r="5137">
          <cell r="A5137" t="str">
            <v>SANT'ANASTASIA</v>
          </cell>
          <cell r="B5137" t="str">
            <v>063072</v>
          </cell>
          <cell r="C5137" t="str">
            <v>NA</v>
          </cell>
          <cell r="D5137" t="str">
            <v>NA</v>
          </cell>
          <cell r="E5137" t="str">
            <v>80048</v>
          </cell>
        </row>
        <row r="5138">
          <cell r="A5138" t="str">
            <v>SANT'ANTIMO</v>
          </cell>
          <cell r="B5138" t="str">
            <v>063073</v>
          </cell>
          <cell r="C5138" t="str">
            <v>NA</v>
          </cell>
          <cell r="D5138" t="str">
            <v>NA</v>
          </cell>
          <cell r="E5138" t="str">
            <v>80029</v>
          </cell>
        </row>
        <row r="5139">
          <cell r="A5139" t="str">
            <v>SANT'ANTONIO ABATE</v>
          </cell>
          <cell r="B5139" t="str">
            <v>063074</v>
          </cell>
          <cell r="C5139" t="str">
            <v>NA</v>
          </cell>
          <cell r="D5139" t="str">
            <v>NA</v>
          </cell>
          <cell r="E5139" t="str">
            <v>80057</v>
          </cell>
        </row>
        <row r="5140">
          <cell r="A5140" t="str">
            <v>SAN VITALIANO</v>
          </cell>
          <cell r="B5140" t="str">
            <v>063075</v>
          </cell>
          <cell r="C5140" t="str">
            <v>NA</v>
          </cell>
          <cell r="D5140" t="str">
            <v>NA</v>
          </cell>
          <cell r="E5140" t="str">
            <v>80030</v>
          </cell>
        </row>
        <row r="5141">
          <cell r="A5141" t="str">
            <v>SAVIANO</v>
          </cell>
          <cell r="B5141" t="str">
            <v>063076</v>
          </cell>
          <cell r="C5141" t="str">
            <v>NA</v>
          </cell>
          <cell r="D5141" t="str">
            <v>NA</v>
          </cell>
          <cell r="E5141" t="str">
            <v>80039</v>
          </cell>
        </row>
        <row r="5142">
          <cell r="A5142" t="str">
            <v>SCISCIANO</v>
          </cell>
          <cell r="B5142" t="str">
            <v>063077</v>
          </cell>
          <cell r="C5142" t="str">
            <v>NA</v>
          </cell>
          <cell r="D5142" t="str">
            <v>NA</v>
          </cell>
          <cell r="E5142" t="str">
            <v>80030</v>
          </cell>
        </row>
        <row r="5143">
          <cell r="A5143" t="str">
            <v>SERRARA FONTANA</v>
          </cell>
          <cell r="B5143" t="str">
            <v>063078</v>
          </cell>
          <cell r="C5143" t="str">
            <v>NA</v>
          </cell>
          <cell r="D5143" t="str">
            <v>NA</v>
          </cell>
          <cell r="E5143" t="str">
            <v>80070</v>
          </cell>
        </row>
        <row r="5144">
          <cell r="A5144" t="str">
            <v>SOMMA VESUVIANA</v>
          </cell>
          <cell r="B5144" t="str">
            <v>063079</v>
          </cell>
          <cell r="C5144" t="str">
            <v>NA</v>
          </cell>
          <cell r="D5144" t="str">
            <v>NA</v>
          </cell>
          <cell r="E5144" t="str">
            <v>80049</v>
          </cell>
        </row>
        <row r="5145">
          <cell r="A5145" t="str">
            <v>SORRENTO</v>
          </cell>
          <cell r="B5145" t="str">
            <v>063080</v>
          </cell>
          <cell r="C5145" t="str">
            <v>NA</v>
          </cell>
          <cell r="D5145" t="str">
            <v>NA</v>
          </cell>
          <cell r="E5145" t="str">
            <v>80067</v>
          </cell>
        </row>
        <row r="5146">
          <cell r="A5146" t="str">
            <v>STRIANO</v>
          </cell>
          <cell r="B5146" t="str">
            <v>063081</v>
          </cell>
          <cell r="C5146" t="str">
            <v>NA</v>
          </cell>
          <cell r="D5146" t="str">
            <v>NA</v>
          </cell>
          <cell r="E5146" t="str">
            <v>80040</v>
          </cell>
        </row>
        <row r="5147">
          <cell r="A5147" t="str">
            <v>TERZIGNO</v>
          </cell>
          <cell r="B5147" t="str">
            <v>063082</v>
          </cell>
          <cell r="C5147" t="str">
            <v>NA</v>
          </cell>
          <cell r="D5147" t="str">
            <v>NA</v>
          </cell>
          <cell r="E5147" t="str">
            <v>80040</v>
          </cell>
        </row>
        <row r="5148">
          <cell r="A5148" t="str">
            <v>TORRE ANNUNZIATA</v>
          </cell>
          <cell r="B5148" t="str">
            <v>063083</v>
          </cell>
          <cell r="C5148" t="str">
            <v>NA</v>
          </cell>
          <cell r="D5148" t="str">
            <v>NA</v>
          </cell>
          <cell r="E5148" t="str">
            <v>80058</v>
          </cell>
        </row>
        <row r="5149">
          <cell r="A5149" t="str">
            <v>TORRE DEL GRECO</v>
          </cell>
          <cell r="B5149" t="str">
            <v>063084</v>
          </cell>
          <cell r="C5149" t="str">
            <v>NA</v>
          </cell>
          <cell r="D5149" t="str">
            <v>NA</v>
          </cell>
          <cell r="E5149" t="str">
            <v>80059</v>
          </cell>
        </row>
        <row r="5150">
          <cell r="A5150" t="str">
            <v>TUFINO</v>
          </cell>
          <cell r="B5150" t="str">
            <v>063085</v>
          </cell>
          <cell r="C5150" t="str">
            <v>NA</v>
          </cell>
          <cell r="D5150" t="str">
            <v>NA</v>
          </cell>
          <cell r="E5150" t="str">
            <v>80030</v>
          </cell>
        </row>
        <row r="5151">
          <cell r="A5151" t="str">
            <v>VICO EQUENSE</v>
          </cell>
          <cell r="B5151" t="str">
            <v>063086</v>
          </cell>
          <cell r="C5151" t="str">
            <v>NA</v>
          </cell>
          <cell r="D5151" t="str">
            <v>NA</v>
          </cell>
          <cell r="E5151" t="str">
            <v>80069</v>
          </cell>
        </row>
        <row r="5152">
          <cell r="A5152" t="str">
            <v>VILLARICCA</v>
          </cell>
          <cell r="B5152" t="str">
            <v>063087</v>
          </cell>
          <cell r="C5152" t="str">
            <v>NA</v>
          </cell>
          <cell r="D5152" t="str">
            <v>NA</v>
          </cell>
          <cell r="E5152" t="str">
            <v>80010</v>
          </cell>
        </row>
        <row r="5153">
          <cell r="A5153" t="str">
            <v>VISCIANO</v>
          </cell>
          <cell r="B5153" t="str">
            <v>063088</v>
          </cell>
          <cell r="C5153" t="str">
            <v>NA</v>
          </cell>
          <cell r="D5153" t="str">
            <v>NA</v>
          </cell>
          <cell r="E5153" t="str">
            <v>80030</v>
          </cell>
        </row>
        <row r="5154">
          <cell r="A5154" t="str">
            <v>VOLLA</v>
          </cell>
          <cell r="B5154" t="str">
            <v>063089</v>
          </cell>
          <cell r="C5154" t="str">
            <v>NA</v>
          </cell>
          <cell r="D5154" t="str">
            <v>NA</v>
          </cell>
          <cell r="E5154" t="str">
            <v>80040</v>
          </cell>
        </row>
        <row r="5155">
          <cell r="A5155" t="str">
            <v>SANTA MARIA LA CARITÀ</v>
          </cell>
          <cell r="B5155" t="str">
            <v>063090</v>
          </cell>
          <cell r="C5155" t="str">
            <v>NA</v>
          </cell>
          <cell r="D5155" t="str">
            <v>NA</v>
          </cell>
          <cell r="E5155" t="str">
            <v>80050</v>
          </cell>
        </row>
        <row r="5156">
          <cell r="A5156" t="str">
            <v>TRECASE</v>
          </cell>
          <cell r="B5156" t="str">
            <v>063091</v>
          </cell>
          <cell r="C5156" t="str">
            <v>NA</v>
          </cell>
          <cell r="D5156" t="str">
            <v>NA</v>
          </cell>
          <cell r="E5156" t="str">
            <v>80040</v>
          </cell>
        </row>
        <row r="5157">
          <cell r="A5157" t="str">
            <v>MASSA DI SOMMA</v>
          </cell>
          <cell r="B5157" t="str">
            <v>063092</v>
          </cell>
          <cell r="C5157" t="str">
            <v>NA</v>
          </cell>
          <cell r="D5157" t="str">
            <v>NA</v>
          </cell>
          <cell r="E5157" t="str">
            <v>80040</v>
          </cell>
        </row>
        <row r="5158">
          <cell r="A5158" t="str">
            <v>AIELLO DEL SABATO</v>
          </cell>
          <cell r="B5158" t="str">
            <v>064001</v>
          </cell>
          <cell r="C5158" t="str">
            <v>AV</v>
          </cell>
          <cell r="D5158" t="str">
            <v>AV</v>
          </cell>
          <cell r="E5158" t="str">
            <v>83020</v>
          </cell>
        </row>
        <row r="5159">
          <cell r="A5159" t="str">
            <v>ALTAVILLA IRPINA</v>
          </cell>
          <cell r="B5159" t="str">
            <v>064002</v>
          </cell>
          <cell r="C5159" t="str">
            <v>AV</v>
          </cell>
          <cell r="D5159" t="str">
            <v>AV</v>
          </cell>
          <cell r="E5159" t="str">
            <v>83011</v>
          </cell>
        </row>
        <row r="5160">
          <cell r="A5160" t="str">
            <v>ANDRETTA</v>
          </cell>
          <cell r="B5160" t="str">
            <v>064003</v>
          </cell>
          <cell r="C5160" t="str">
            <v>AV</v>
          </cell>
          <cell r="D5160" t="str">
            <v>AV</v>
          </cell>
          <cell r="E5160" t="str">
            <v>83040</v>
          </cell>
        </row>
        <row r="5161">
          <cell r="A5161" t="str">
            <v>AQUILONIA</v>
          </cell>
          <cell r="B5161" t="str">
            <v>064004</v>
          </cell>
          <cell r="C5161" t="str">
            <v>AV</v>
          </cell>
          <cell r="D5161" t="str">
            <v>AV</v>
          </cell>
          <cell r="E5161" t="str">
            <v>83041</v>
          </cell>
        </row>
        <row r="5162">
          <cell r="A5162" t="str">
            <v>ARIANO IRPINO</v>
          </cell>
          <cell r="B5162" t="str">
            <v>064005</v>
          </cell>
          <cell r="C5162" t="str">
            <v>AV</v>
          </cell>
          <cell r="D5162" t="str">
            <v>AV</v>
          </cell>
          <cell r="E5162" t="str">
            <v>83031</v>
          </cell>
        </row>
        <row r="5163">
          <cell r="A5163" t="str">
            <v>ATRIPALDA</v>
          </cell>
          <cell r="B5163" t="str">
            <v>064006</v>
          </cell>
          <cell r="C5163" t="str">
            <v>AV</v>
          </cell>
          <cell r="D5163" t="str">
            <v>AV</v>
          </cell>
          <cell r="E5163" t="str">
            <v>83042</v>
          </cell>
        </row>
        <row r="5164">
          <cell r="A5164" t="str">
            <v>AVELLA</v>
          </cell>
          <cell r="B5164" t="str">
            <v>064007</v>
          </cell>
          <cell r="C5164" t="str">
            <v>AV</v>
          </cell>
          <cell r="D5164" t="str">
            <v>AV</v>
          </cell>
          <cell r="E5164" t="str">
            <v>83021</v>
          </cell>
        </row>
        <row r="5165">
          <cell r="A5165" t="str">
            <v>AVELLINO</v>
          </cell>
          <cell r="B5165" t="str">
            <v>064008</v>
          </cell>
          <cell r="C5165" t="str">
            <v>AV</v>
          </cell>
          <cell r="D5165" t="str">
            <v>AV</v>
          </cell>
          <cell r="E5165" t="str">
            <v>83100</v>
          </cell>
        </row>
        <row r="5166">
          <cell r="A5166" t="str">
            <v>BAGNOLI IRPINO</v>
          </cell>
          <cell r="B5166" t="str">
            <v>064009</v>
          </cell>
          <cell r="C5166" t="str">
            <v>AV</v>
          </cell>
          <cell r="D5166" t="str">
            <v>AV</v>
          </cell>
          <cell r="E5166" t="str">
            <v>83043</v>
          </cell>
        </row>
        <row r="5167">
          <cell r="A5167" t="str">
            <v>BAIANO</v>
          </cell>
          <cell r="B5167" t="str">
            <v>064010</v>
          </cell>
          <cell r="C5167" t="str">
            <v>AV</v>
          </cell>
          <cell r="D5167" t="str">
            <v>AV</v>
          </cell>
          <cell r="E5167" t="str">
            <v>83022</v>
          </cell>
        </row>
        <row r="5168">
          <cell r="A5168" t="str">
            <v>BISACCIA</v>
          </cell>
          <cell r="B5168" t="str">
            <v>064011</v>
          </cell>
          <cell r="C5168" t="str">
            <v>AV</v>
          </cell>
          <cell r="D5168" t="str">
            <v>AV</v>
          </cell>
          <cell r="E5168" t="str">
            <v>83044</v>
          </cell>
        </row>
        <row r="5169">
          <cell r="A5169" t="str">
            <v>BONITO</v>
          </cell>
          <cell r="B5169" t="str">
            <v>064012</v>
          </cell>
          <cell r="C5169" t="str">
            <v>AV</v>
          </cell>
          <cell r="D5169" t="str">
            <v>AV</v>
          </cell>
          <cell r="E5169" t="str">
            <v>83032</v>
          </cell>
        </row>
        <row r="5170">
          <cell r="A5170" t="str">
            <v>CAIRANO</v>
          </cell>
          <cell r="B5170" t="str">
            <v>064013</v>
          </cell>
          <cell r="C5170" t="str">
            <v>AV</v>
          </cell>
          <cell r="D5170" t="str">
            <v>AV</v>
          </cell>
          <cell r="E5170" t="str">
            <v>83040</v>
          </cell>
        </row>
        <row r="5171">
          <cell r="A5171" t="str">
            <v>CALABRITTO</v>
          </cell>
          <cell r="B5171" t="str">
            <v>064014</v>
          </cell>
          <cell r="C5171" t="str">
            <v>AV</v>
          </cell>
          <cell r="D5171" t="str">
            <v>AV</v>
          </cell>
          <cell r="E5171" t="str">
            <v>83040</v>
          </cell>
        </row>
        <row r="5172">
          <cell r="A5172" t="str">
            <v>CALITRI</v>
          </cell>
          <cell r="B5172" t="str">
            <v>064015</v>
          </cell>
          <cell r="C5172" t="str">
            <v>AV</v>
          </cell>
          <cell r="D5172" t="str">
            <v>AV</v>
          </cell>
          <cell r="E5172" t="str">
            <v>83045</v>
          </cell>
        </row>
        <row r="5173">
          <cell r="A5173" t="str">
            <v>CANDIDA</v>
          </cell>
          <cell r="B5173" t="str">
            <v>064016</v>
          </cell>
          <cell r="C5173" t="str">
            <v>AV</v>
          </cell>
          <cell r="D5173" t="str">
            <v>AV</v>
          </cell>
          <cell r="E5173" t="str">
            <v>83040</v>
          </cell>
        </row>
        <row r="5174">
          <cell r="A5174" t="str">
            <v>CAPOSELE</v>
          </cell>
          <cell r="B5174" t="str">
            <v>064017</v>
          </cell>
          <cell r="C5174" t="str">
            <v>AV</v>
          </cell>
          <cell r="D5174" t="str">
            <v>AV</v>
          </cell>
          <cell r="E5174" t="str">
            <v>83040</v>
          </cell>
        </row>
        <row r="5175">
          <cell r="A5175" t="str">
            <v>CAPRIGLIA IRPINA</v>
          </cell>
          <cell r="B5175" t="str">
            <v>064018</v>
          </cell>
          <cell r="C5175" t="str">
            <v>AV</v>
          </cell>
          <cell r="D5175" t="str">
            <v>AV</v>
          </cell>
          <cell r="E5175" t="str">
            <v>83010</v>
          </cell>
        </row>
        <row r="5176">
          <cell r="A5176" t="str">
            <v>CARIFE</v>
          </cell>
          <cell r="B5176" t="str">
            <v>064019</v>
          </cell>
          <cell r="C5176" t="str">
            <v>AV</v>
          </cell>
          <cell r="D5176" t="str">
            <v>AV</v>
          </cell>
          <cell r="E5176" t="str">
            <v>83040</v>
          </cell>
        </row>
        <row r="5177">
          <cell r="A5177" t="str">
            <v>CASALBORE</v>
          </cell>
          <cell r="B5177" t="str">
            <v>064020</v>
          </cell>
          <cell r="C5177" t="str">
            <v>AV</v>
          </cell>
          <cell r="D5177" t="str">
            <v>AV</v>
          </cell>
          <cell r="E5177" t="str">
            <v>83034</v>
          </cell>
        </row>
        <row r="5178">
          <cell r="A5178" t="str">
            <v>CASSANO IRPINO</v>
          </cell>
          <cell r="B5178" t="str">
            <v>064021</v>
          </cell>
          <cell r="C5178" t="str">
            <v>AV</v>
          </cell>
          <cell r="D5178" t="str">
            <v>AV</v>
          </cell>
          <cell r="E5178" t="str">
            <v>83040</v>
          </cell>
        </row>
        <row r="5179">
          <cell r="A5179" t="str">
            <v>CASTEL BARONIA</v>
          </cell>
          <cell r="B5179" t="str">
            <v>064022</v>
          </cell>
          <cell r="C5179" t="str">
            <v>AV</v>
          </cell>
          <cell r="D5179" t="str">
            <v>AV</v>
          </cell>
          <cell r="E5179" t="str">
            <v>83040</v>
          </cell>
        </row>
        <row r="5180">
          <cell r="A5180" t="str">
            <v>CASTELFRANCI</v>
          </cell>
          <cell r="B5180" t="str">
            <v>064023</v>
          </cell>
          <cell r="C5180" t="str">
            <v>AV</v>
          </cell>
          <cell r="D5180" t="str">
            <v>AV</v>
          </cell>
          <cell r="E5180" t="str">
            <v>83040</v>
          </cell>
        </row>
        <row r="5181">
          <cell r="A5181" t="str">
            <v>CASTELVETERE SUL CALORE</v>
          </cell>
          <cell r="B5181" t="str">
            <v>064024</v>
          </cell>
          <cell r="C5181" t="str">
            <v>AV</v>
          </cell>
          <cell r="D5181" t="str">
            <v>AV</v>
          </cell>
          <cell r="E5181" t="str">
            <v>83040</v>
          </cell>
        </row>
        <row r="5182">
          <cell r="A5182" t="str">
            <v>CERVINARA</v>
          </cell>
          <cell r="B5182" t="str">
            <v>064025</v>
          </cell>
          <cell r="C5182" t="str">
            <v>AV</v>
          </cell>
          <cell r="D5182" t="str">
            <v>AV</v>
          </cell>
          <cell r="E5182" t="str">
            <v>83012</v>
          </cell>
        </row>
        <row r="5183">
          <cell r="A5183" t="str">
            <v>CESINALI</v>
          </cell>
          <cell r="B5183" t="str">
            <v>064026</v>
          </cell>
          <cell r="C5183" t="str">
            <v>AV</v>
          </cell>
          <cell r="D5183" t="str">
            <v>AV</v>
          </cell>
          <cell r="E5183" t="str">
            <v>83020</v>
          </cell>
        </row>
        <row r="5184">
          <cell r="A5184" t="str">
            <v>CHIANCHE</v>
          </cell>
          <cell r="B5184" t="str">
            <v>064027</v>
          </cell>
          <cell r="C5184" t="str">
            <v>AV</v>
          </cell>
          <cell r="D5184" t="str">
            <v>AV</v>
          </cell>
          <cell r="E5184" t="str">
            <v>83010</v>
          </cell>
        </row>
        <row r="5185">
          <cell r="A5185" t="str">
            <v>CHIUSANO DI SAN DOMENICO</v>
          </cell>
          <cell r="B5185" t="str">
            <v>064028</v>
          </cell>
          <cell r="C5185" t="str">
            <v>AV</v>
          </cell>
          <cell r="D5185" t="str">
            <v>AV</v>
          </cell>
          <cell r="E5185" t="str">
            <v>83040</v>
          </cell>
        </row>
        <row r="5186">
          <cell r="A5186" t="str">
            <v>CONTRADA</v>
          </cell>
          <cell r="B5186" t="str">
            <v>064029</v>
          </cell>
          <cell r="C5186" t="str">
            <v>AV</v>
          </cell>
          <cell r="D5186" t="str">
            <v>AV</v>
          </cell>
          <cell r="E5186" t="str">
            <v>83020</v>
          </cell>
        </row>
        <row r="5187">
          <cell r="A5187" t="str">
            <v>CONZA DELLA CAMPANIA</v>
          </cell>
          <cell r="B5187" t="str">
            <v>064030</v>
          </cell>
          <cell r="C5187" t="str">
            <v>AV</v>
          </cell>
          <cell r="D5187" t="str">
            <v>AV</v>
          </cell>
          <cell r="E5187" t="str">
            <v>83040</v>
          </cell>
        </row>
        <row r="5188">
          <cell r="A5188" t="str">
            <v>DOMICELLA</v>
          </cell>
          <cell r="B5188" t="str">
            <v>064031</v>
          </cell>
          <cell r="C5188" t="str">
            <v>AV</v>
          </cell>
          <cell r="D5188" t="str">
            <v>AV</v>
          </cell>
          <cell r="E5188" t="str">
            <v>83020</v>
          </cell>
        </row>
        <row r="5189">
          <cell r="A5189" t="str">
            <v>FLUMERI</v>
          </cell>
          <cell r="B5189" t="str">
            <v>064032</v>
          </cell>
          <cell r="C5189" t="str">
            <v>AV</v>
          </cell>
          <cell r="D5189" t="str">
            <v>AV</v>
          </cell>
          <cell r="E5189" t="str">
            <v>83040</v>
          </cell>
        </row>
        <row r="5190">
          <cell r="A5190" t="str">
            <v>FONTANAROSA</v>
          </cell>
          <cell r="B5190" t="str">
            <v>064033</v>
          </cell>
          <cell r="C5190" t="str">
            <v>AV</v>
          </cell>
          <cell r="D5190" t="str">
            <v>AV</v>
          </cell>
          <cell r="E5190" t="str">
            <v>83040</v>
          </cell>
        </row>
        <row r="5191">
          <cell r="A5191" t="str">
            <v>FORINO</v>
          </cell>
          <cell r="B5191" t="str">
            <v>064034</v>
          </cell>
          <cell r="C5191" t="str">
            <v>AV</v>
          </cell>
          <cell r="D5191" t="str">
            <v>AV</v>
          </cell>
          <cell r="E5191" t="str">
            <v>83020</v>
          </cell>
        </row>
        <row r="5192">
          <cell r="A5192" t="str">
            <v>FRIGENTO</v>
          </cell>
          <cell r="B5192" t="str">
            <v>064035</v>
          </cell>
          <cell r="C5192" t="str">
            <v>AV</v>
          </cell>
          <cell r="D5192" t="str">
            <v>AV</v>
          </cell>
          <cell r="E5192" t="str">
            <v>83040</v>
          </cell>
        </row>
        <row r="5193">
          <cell r="A5193" t="str">
            <v>GESUALDO</v>
          </cell>
          <cell r="B5193" t="str">
            <v>064036</v>
          </cell>
          <cell r="C5193" t="str">
            <v>AV</v>
          </cell>
          <cell r="D5193" t="str">
            <v>AV</v>
          </cell>
          <cell r="E5193" t="str">
            <v>83040</v>
          </cell>
        </row>
        <row r="5194">
          <cell r="A5194" t="str">
            <v>GRECI</v>
          </cell>
          <cell r="B5194" t="str">
            <v>064037</v>
          </cell>
          <cell r="C5194" t="str">
            <v>AV</v>
          </cell>
          <cell r="D5194" t="str">
            <v>AV</v>
          </cell>
          <cell r="E5194" t="str">
            <v>83030</v>
          </cell>
        </row>
        <row r="5195">
          <cell r="A5195" t="str">
            <v>GROTTAMINARDA</v>
          </cell>
          <cell r="B5195" t="str">
            <v>064038</v>
          </cell>
          <cell r="C5195" t="str">
            <v>AV</v>
          </cell>
          <cell r="D5195" t="str">
            <v>AV</v>
          </cell>
          <cell r="E5195" t="str">
            <v>83035</v>
          </cell>
        </row>
        <row r="5196">
          <cell r="A5196" t="str">
            <v>GROTTOLELLA</v>
          </cell>
          <cell r="B5196" t="str">
            <v>064039</v>
          </cell>
          <cell r="C5196" t="str">
            <v>AV</v>
          </cell>
          <cell r="D5196" t="str">
            <v>AV</v>
          </cell>
          <cell r="E5196" t="str">
            <v>83010</v>
          </cell>
        </row>
        <row r="5197">
          <cell r="A5197" t="str">
            <v>GUARDIA LOMBARDI</v>
          </cell>
          <cell r="B5197" t="str">
            <v>064040</v>
          </cell>
          <cell r="C5197" t="str">
            <v>AV</v>
          </cell>
          <cell r="D5197" t="str">
            <v>AV</v>
          </cell>
          <cell r="E5197" t="str">
            <v>83040</v>
          </cell>
        </row>
        <row r="5198">
          <cell r="A5198" t="str">
            <v>LACEDONIA</v>
          </cell>
          <cell r="B5198" t="str">
            <v>064041</v>
          </cell>
          <cell r="C5198" t="str">
            <v>AV</v>
          </cell>
          <cell r="D5198" t="str">
            <v>AV</v>
          </cell>
          <cell r="E5198" t="str">
            <v>83046</v>
          </cell>
        </row>
        <row r="5199">
          <cell r="A5199" t="str">
            <v>LAPIO</v>
          </cell>
          <cell r="B5199" t="str">
            <v>064042</v>
          </cell>
          <cell r="C5199" t="str">
            <v>AV</v>
          </cell>
          <cell r="D5199" t="str">
            <v>AV</v>
          </cell>
          <cell r="E5199" t="str">
            <v>83030</v>
          </cell>
        </row>
        <row r="5200">
          <cell r="A5200" t="str">
            <v>LAURO</v>
          </cell>
          <cell r="B5200" t="str">
            <v>064043</v>
          </cell>
          <cell r="C5200" t="str">
            <v>AV</v>
          </cell>
          <cell r="D5200" t="str">
            <v>AV</v>
          </cell>
          <cell r="E5200" t="str">
            <v>83023</v>
          </cell>
        </row>
        <row r="5201">
          <cell r="A5201" t="str">
            <v>LIONI</v>
          </cell>
          <cell r="B5201" t="str">
            <v>064044</v>
          </cell>
          <cell r="C5201" t="str">
            <v>AV</v>
          </cell>
          <cell r="D5201" t="str">
            <v>AV</v>
          </cell>
          <cell r="E5201" t="str">
            <v>83047</v>
          </cell>
        </row>
        <row r="5202">
          <cell r="A5202" t="str">
            <v>LUOGOSANO</v>
          </cell>
          <cell r="B5202" t="str">
            <v>064045</v>
          </cell>
          <cell r="C5202" t="str">
            <v>AV</v>
          </cell>
          <cell r="D5202" t="str">
            <v>AV</v>
          </cell>
          <cell r="E5202" t="str">
            <v>83040</v>
          </cell>
        </row>
        <row r="5203">
          <cell r="A5203" t="str">
            <v>MANOCALZATI</v>
          </cell>
          <cell r="B5203" t="str">
            <v>064046</v>
          </cell>
          <cell r="C5203" t="str">
            <v>AV</v>
          </cell>
          <cell r="D5203" t="str">
            <v>AV</v>
          </cell>
          <cell r="E5203" t="str">
            <v>83030</v>
          </cell>
        </row>
        <row r="5204">
          <cell r="A5204" t="str">
            <v>MARZANO DI NOLA</v>
          </cell>
          <cell r="B5204" t="str">
            <v>064047</v>
          </cell>
          <cell r="C5204" t="str">
            <v>AV</v>
          </cell>
          <cell r="D5204" t="str">
            <v>AV</v>
          </cell>
          <cell r="E5204" t="str">
            <v>83020</v>
          </cell>
        </row>
        <row r="5205">
          <cell r="A5205" t="str">
            <v>MELITO IRPINO</v>
          </cell>
          <cell r="B5205" t="str">
            <v>064048</v>
          </cell>
          <cell r="C5205" t="str">
            <v>AV</v>
          </cell>
          <cell r="D5205" t="str">
            <v>AV</v>
          </cell>
          <cell r="E5205" t="str">
            <v>83030</v>
          </cell>
        </row>
        <row r="5206">
          <cell r="A5206" t="str">
            <v>MERCOGLIANO</v>
          </cell>
          <cell r="B5206" t="str">
            <v>064049</v>
          </cell>
          <cell r="C5206" t="str">
            <v>AV</v>
          </cell>
          <cell r="D5206" t="str">
            <v>AV</v>
          </cell>
          <cell r="E5206" t="str">
            <v>83013</v>
          </cell>
        </row>
        <row r="5207">
          <cell r="A5207" t="str">
            <v>MIRABELLA ECLANO</v>
          </cell>
          <cell r="B5207" t="str">
            <v>064050</v>
          </cell>
          <cell r="C5207" t="str">
            <v>AV</v>
          </cell>
          <cell r="D5207" t="str">
            <v>AV</v>
          </cell>
          <cell r="E5207" t="str">
            <v>83036</v>
          </cell>
        </row>
        <row r="5208">
          <cell r="A5208" t="str">
            <v>MONTAGUTO</v>
          </cell>
          <cell r="B5208" t="str">
            <v>064051</v>
          </cell>
          <cell r="C5208" t="str">
            <v>AV</v>
          </cell>
          <cell r="D5208" t="str">
            <v>AV</v>
          </cell>
          <cell r="E5208" t="str">
            <v>83030</v>
          </cell>
        </row>
        <row r="5209">
          <cell r="A5209" t="str">
            <v>MONTECALVO IRPINO</v>
          </cell>
          <cell r="B5209" t="str">
            <v>064052</v>
          </cell>
          <cell r="C5209" t="str">
            <v>AV</v>
          </cell>
          <cell r="D5209" t="str">
            <v>AV</v>
          </cell>
          <cell r="E5209" t="str">
            <v>83037</v>
          </cell>
        </row>
        <row r="5210">
          <cell r="A5210" t="str">
            <v>MONTEFALCIONE</v>
          </cell>
          <cell r="B5210" t="str">
            <v>064053</v>
          </cell>
          <cell r="C5210" t="str">
            <v>AV</v>
          </cell>
          <cell r="D5210" t="str">
            <v>AV</v>
          </cell>
          <cell r="E5210" t="str">
            <v>83030</v>
          </cell>
        </row>
        <row r="5211">
          <cell r="A5211" t="str">
            <v>MONTEFORTE IRPINO</v>
          </cell>
          <cell r="B5211" t="str">
            <v>064054</v>
          </cell>
          <cell r="C5211" t="str">
            <v>AV</v>
          </cell>
          <cell r="D5211" t="str">
            <v>AV</v>
          </cell>
          <cell r="E5211" t="str">
            <v>83024</v>
          </cell>
        </row>
        <row r="5212">
          <cell r="A5212" t="str">
            <v>MONTEFREDANE</v>
          </cell>
          <cell r="B5212" t="str">
            <v>064055</v>
          </cell>
          <cell r="C5212" t="str">
            <v>AV</v>
          </cell>
          <cell r="D5212" t="str">
            <v>AV</v>
          </cell>
          <cell r="E5212" t="str">
            <v>83030</v>
          </cell>
        </row>
        <row r="5213">
          <cell r="A5213" t="str">
            <v>MONTEFUSCO</v>
          </cell>
          <cell r="B5213" t="str">
            <v>064056</v>
          </cell>
          <cell r="C5213" t="str">
            <v>AV</v>
          </cell>
          <cell r="D5213" t="str">
            <v>AV</v>
          </cell>
          <cell r="E5213" t="str">
            <v>83030</v>
          </cell>
        </row>
        <row r="5214">
          <cell r="A5214" t="str">
            <v>MONTELLA</v>
          </cell>
          <cell r="B5214" t="str">
            <v>064057</v>
          </cell>
          <cell r="C5214" t="str">
            <v>AV</v>
          </cell>
          <cell r="D5214" t="str">
            <v>AV</v>
          </cell>
          <cell r="E5214" t="str">
            <v>83048</v>
          </cell>
        </row>
        <row r="5215">
          <cell r="A5215" t="str">
            <v>MONTEMARANO</v>
          </cell>
          <cell r="B5215" t="str">
            <v>064058</v>
          </cell>
          <cell r="C5215" t="str">
            <v>AV</v>
          </cell>
          <cell r="D5215" t="str">
            <v>AV</v>
          </cell>
          <cell r="E5215" t="str">
            <v>83040</v>
          </cell>
        </row>
        <row r="5216">
          <cell r="A5216" t="str">
            <v>MONTEMILETTO</v>
          </cell>
          <cell r="B5216" t="str">
            <v>064059</v>
          </cell>
          <cell r="C5216" t="str">
            <v>AV</v>
          </cell>
          <cell r="D5216" t="str">
            <v>AV</v>
          </cell>
          <cell r="E5216" t="str">
            <v>83038</v>
          </cell>
        </row>
        <row r="5217">
          <cell r="A5217" t="str">
            <v>MONTEVERDE</v>
          </cell>
          <cell r="B5217" t="str">
            <v>064060</v>
          </cell>
          <cell r="C5217" t="str">
            <v>AV</v>
          </cell>
          <cell r="D5217" t="str">
            <v>AV</v>
          </cell>
          <cell r="E5217" t="str">
            <v>83049</v>
          </cell>
        </row>
        <row r="5218">
          <cell r="A5218" t="str">
            <v>MORRA DE SANCTIS</v>
          </cell>
          <cell r="B5218" t="str">
            <v>064063</v>
          </cell>
          <cell r="C5218" t="str">
            <v>AV</v>
          </cell>
          <cell r="D5218" t="str">
            <v>AV</v>
          </cell>
          <cell r="E5218" t="str">
            <v>83040</v>
          </cell>
        </row>
        <row r="5219">
          <cell r="A5219" t="str">
            <v>MOSCHIANO</v>
          </cell>
          <cell r="B5219" t="str">
            <v>064064</v>
          </cell>
          <cell r="C5219" t="str">
            <v>AV</v>
          </cell>
          <cell r="D5219" t="str">
            <v>AV</v>
          </cell>
          <cell r="E5219" t="str">
            <v>83020</v>
          </cell>
        </row>
        <row r="5220">
          <cell r="A5220" t="str">
            <v>MUGNANO DEL CARDINALE</v>
          </cell>
          <cell r="B5220" t="str">
            <v>064065</v>
          </cell>
          <cell r="C5220" t="str">
            <v>AV</v>
          </cell>
          <cell r="D5220" t="str">
            <v>AV</v>
          </cell>
          <cell r="E5220" t="str">
            <v>83027</v>
          </cell>
        </row>
        <row r="5221">
          <cell r="A5221" t="str">
            <v>NUSCO</v>
          </cell>
          <cell r="B5221" t="str">
            <v>064066</v>
          </cell>
          <cell r="C5221" t="str">
            <v>AV</v>
          </cell>
          <cell r="D5221" t="str">
            <v>AV</v>
          </cell>
          <cell r="E5221" t="str">
            <v>83051</v>
          </cell>
        </row>
        <row r="5222">
          <cell r="A5222" t="str">
            <v>OSPEDALETTO D'ALPINOLO</v>
          </cell>
          <cell r="B5222" t="str">
            <v>064067</v>
          </cell>
          <cell r="C5222" t="str">
            <v>AV</v>
          </cell>
          <cell r="D5222" t="str">
            <v>AV</v>
          </cell>
          <cell r="E5222" t="str">
            <v>83014</v>
          </cell>
        </row>
        <row r="5223">
          <cell r="A5223" t="str">
            <v>PAGO DEL VALLO DI LAURO</v>
          </cell>
          <cell r="B5223" t="str">
            <v>064068</v>
          </cell>
          <cell r="C5223" t="str">
            <v>AV</v>
          </cell>
          <cell r="D5223" t="str">
            <v>AV</v>
          </cell>
          <cell r="E5223" t="str">
            <v>83020</v>
          </cell>
        </row>
        <row r="5224">
          <cell r="A5224" t="str">
            <v>PAROLISE</v>
          </cell>
          <cell r="B5224" t="str">
            <v>064069</v>
          </cell>
          <cell r="C5224" t="str">
            <v>AV</v>
          </cell>
          <cell r="D5224" t="str">
            <v>AV</v>
          </cell>
          <cell r="E5224" t="str">
            <v>83050</v>
          </cell>
        </row>
        <row r="5225">
          <cell r="A5225" t="str">
            <v>PATERNOPOLI</v>
          </cell>
          <cell r="B5225" t="str">
            <v>064070</v>
          </cell>
          <cell r="C5225" t="str">
            <v>AV</v>
          </cell>
          <cell r="D5225" t="str">
            <v>AV</v>
          </cell>
          <cell r="E5225" t="str">
            <v>83052</v>
          </cell>
        </row>
        <row r="5226">
          <cell r="A5226" t="str">
            <v>PETRURO IRPINO</v>
          </cell>
          <cell r="B5226" t="str">
            <v>064071</v>
          </cell>
          <cell r="C5226" t="str">
            <v>AV</v>
          </cell>
          <cell r="D5226" t="str">
            <v>AV</v>
          </cell>
          <cell r="E5226" t="str">
            <v>83010</v>
          </cell>
        </row>
        <row r="5227">
          <cell r="A5227" t="str">
            <v>PIETRADEFUSI</v>
          </cell>
          <cell r="B5227" t="str">
            <v>064072</v>
          </cell>
          <cell r="C5227" t="str">
            <v>AV</v>
          </cell>
          <cell r="D5227" t="str">
            <v>AV</v>
          </cell>
          <cell r="E5227" t="str">
            <v>83030</v>
          </cell>
        </row>
        <row r="5228">
          <cell r="A5228" t="str">
            <v>PIETRASTORNINA</v>
          </cell>
          <cell r="B5228" t="str">
            <v>064073</v>
          </cell>
          <cell r="C5228" t="str">
            <v>AV</v>
          </cell>
          <cell r="D5228" t="str">
            <v>AV</v>
          </cell>
          <cell r="E5228" t="str">
            <v>83015</v>
          </cell>
        </row>
        <row r="5229">
          <cell r="A5229" t="str">
            <v>PRATA DI PRINCIPATO ULTRA</v>
          </cell>
          <cell r="B5229" t="str">
            <v>064074</v>
          </cell>
          <cell r="C5229" t="str">
            <v>AV</v>
          </cell>
          <cell r="D5229" t="str">
            <v>AV</v>
          </cell>
          <cell r="E5229" t="str">
            <v>83030</v>
          </cell>
        </row>
        <row r="5230">
          <cell r="A5230" t="str">
            <v>PRATOLA SERRA</v>
          </cell>
          <cell r="B5230" t="str">
            <v>064075</v>
          </cell>
          <cell r="C5230" t="str">
            <v>AV</v>
          </cell>
          <cell r="D5230" t="str">
            <v>AV</v>
          </cell>
          <cell r="E5230" t="str">
            <v>83039</v>
          </cell>
        </row>
        <row r="5231">
          <cell r="A5231" t="str">
            <v>QUADRELLE</v>
          </cell>
          <cell r="B5231" t="str">
            <v>064076</v>
          </cell>
          <cell r="C5231" t="str">
            <v>AV</v>
          </cell>
          <cell r="D5231" t="str">
            <v>AV</v>
          </cell>
          <cell r="E5231" t="str">
            <v>83020</v>
          </cell>
        </row>
        <row r="5232">
          <cell r="A5232" t="str">
            <v>QUINDICI</v>
          </cell>
          <cell r="B5232" t="str">
            <v>064077</v>
          </cell>
          <cell r="C5232" t="str">
            <v>AV</v>
          </cell>
          <cell r="D5232" t="str">
            <v>AV</v>
          </cell>
          <cell r="E5232" t="str">
            <v>83020</v>
          </cell>
        </row>
        <row r="5233">
          <cell r="A5233" t="str">
            <v>ROCCABASCERANA</v>
          </cell>
          <cell r="B5233" t="str">
            <v>064078</v>
          </cell>
          <cell r="C5233" t="str">
            <v>AV</v>
          </cell>
          <cell r="D5233" t="str">
            <v>AV</v>
          </cell>
          <cell r="E5233" t="str">
            <v>83016</v>
          </cell>
        </row>
        <row r="5234">
          <cell r="A5234" t="str">
            <v>ROCCA SAN FELICE</v>
          </cell>
          <cell r="B5234" t="str">
            <v>064079</v>
          </cell>
          <cell r="C5234" t="str">
            <v>AV</v>
          </cell>
          <cell r="D5234" t="str">
            <v>AV</v>
          </cell>
          <cell r="E5234" t="str">
            <v>83050</v>
          </cell>
        </row>
        <row r="5235">
          <cell r="A5235" t="str">
            <v>ROTONDI</v>
          </cell>
          <cell r="B5235" t="str">
            <v>064080</v>
          </cell>
          <cell r="C5235" t="str">
            <v>AV</v>
          </cell>
          <cell r="D5235" t="str">
            <v>AV</v>
          </cell>
          <cell r="E5235" t="str">
            <v>83017</v>
          </cell>
        </row>
        <row r="5236">
          <cell r="A5236" t="str">
            <v>SALZA IRPINA</v>
          </cell>
          <cell r="B5236" t="str">
            <v>064081</v>
          </cell>
          <cell r="C5236" t="str">
            <v>AV</v>
          </cell>
          <cell r="D5236" t="str">
            <v>AV</v>
          </cell>
          <cell r="E5236" t="str">
            <v>83050</v>
          </cell>
        </row>
        <row r="5237">
          <cell r="A5237" t="str">
            <v>SAN MANGO SUL CALORE</v>
          </cell>
          <cell r="B5237" t="str">
            <v>064082</v>
          </cell>
          <cell r="C5237" t="str">
            <v>AV</v>
          </cell>
          <cell r="D5237" t="str">
            <v>AV</v>
          </cell>
          <cell r="E5237" t="str">
            <v>83050</v>
          </cell>
        </row>
        <row r="5238">
          <cell r="A5238" t="str">
            <v>SAN MARTINO VALLE CAUDINA</v>
          </cell>
          <cell r="B5238" t="str">
            <v>064083</v>
          </cell>
          <cell r="C5238" t="str">
            <v>AV</v>
          </cell>
          <cell r="D5238" t="str">
            <v>AV</v>
          </cell>
          <cell r="E5238" t="str">
            <v>83018</v>
          </cell>
        </row>
        <row r="5239">
          <cell r="A5239" t="str">
            <v>SAN MICHELE DI SERINO</v>
          </cell>
          <cell r="B5239" t="str">
            <v>064084</v>
          </cell>
          <cell r="C5239" t="str">
            <v>AV</v>
          </cell>
          <cell r="D5239" t="str">
            <v>AV</v>
          </cell>
          <cell r="E5239" t="str">
            <v>83020</v>
          </cell>
        </row>
        <row r="5240">
          <cell r="A5240" t="str">
            <v>SAN NICOLA BARONIA</v>
          </cell>
          <cell r="B5240" t="str">
            <v>064085</v>
          </cell>
          <cell r="C5240" t="str">
            <v>AV</v>
          </cell>
          <cell r="D5240" t="str">
            <v>AV</v>
          </cell>
          <cell r="E5240" t="str">
            <v>83050</v>
          </cell>
        </row>
        <row r="5241">
          <cell r="A5241" t="str">
            <v>SAN POTITO ULTRA</v>
          </cell>
          <cell r="B5241" t="str">
            <v>064086</v>
          </cell>
          <cell r="C5241" t="str">
            <v>AV</v>
          </cell>
          <cell r="D5241" t="str">
            <v>AV</v>
          </cell>
          <cell r="E5241" t="str">
            <v>83050</v>
          </cell>
        </row>
        <row r="5242">
          <cell r="A5242" t="str">
            <v>SAN SOSSIO BARONIA</v>
          </cell>
          <cell r="B5242" t="str">
            <v>064087</v>
          </cell>
          <cell r="C5242" t="str">
            <v>AV</v>
          </cell>
          <cell r="D5242" t="str">
            <v>AV</v>
          </cell>
          <cell r="E5242" t="str">
            <v>83050</v>
          </cell>
        </row>
        <row r="5243">
          <cell r="A5243" t="str">
            <v>SANTA LUCIA DI SERINO</v>
          </cell>
          <cell r="B5243" t="str">
            <v>064088</v>
          </cell>
          <cell r="C5243" t="str">
            <v>AV</v>
          </cell>
          <cell r="D5243" t="str">
            <v>AV</v>
          </cell>
          <cell r="E5243" t="str">
            <v>83020</v>
          </cell>
        </row>
        <row r="5244">
          <cell r="A5244" t="str">
            <v>SANT'ANDREA DI CONZA</v>
          </cell>
          <cell r="B5244" t="str">
            <v>064089</v>
          </cell>
          <cell r="C5244" t="str">
            <v>AV</v>
          </cell>
          <cell r="D5244" t="str">
            <v>AV</v>
          </cell>
          <cell r="E5244" t="str">
            <v>83053</v>
          </cell>
        </row>
        <row r="5245">
          <cell r="A5245" t="str">
            <v>SANT'ANGELO ALL'ESCA</v>
          </cell>
          <cell r="B5245" t="str">
            <v>064090</v>
          </cell>
          <cell r="C5245" t="str">
            <v>AV</v>
          </cell>
          <cell r="D5245" t="str">
            <v>AV</v>
          </cell>
          <cell r="E5245" t="str">
            <v>83050</v>
          </cell>
        </row>
        <row r="5246">
          <cell r="A5246" t="str">
            <v>SANT'ANGELO A SCALA</v>
          </cell>
          <cell r="B5246" t="str">
            <v>064091</v>
          </cell>
          <cell r="C5246" t="str">
            <v>AV</v>
          </cell>
          <cell r="D5246" t="str">
            <v>AV</v>
          </cell>
          <cell r="E5246" t="str">
            <v>83010</v>
          </cell>
        </row>
        <row r="5247">
          <cell r="A5247" t="str">
            <v>SANT'ANGELO DEI LOMBARDI</v>
          </cell>
          <cell r="B5247" t="str">
            <v>064092</v>
          </cell>
          <cell r="C5247" t="str">
            <v>AV</v>
          </cell>
          <cell r="D5247" t="str">
            <v>AV</v>
          </cell>
          <cell r="E5247" t="str">
            <v>83054</v>
          </cell>
        </row>
        <row r="5248">
          <cell r="A5248" t="str">
            <v>SANTA PAOLINA</v>
          </cell>
          <cell r="B5248" t="str">
            <v>064093</v>
          </cell>
          <cell r="C5248" t="str">
            <v>AV</v>
          </cell>
          <cell r="D5248" t="str">
            <v>AV</v>
          </cell>
          <cell r="E5248" t="str">
            <v>83030</v>
          </cell>
        </row>
        <row r="5249">
          <cell r="A5249" t="str">
            <v>SANTO STEFANO DEL SOLE</v>
          </cell>
          <cell r="B5249" t="str">
            <v>064095</v>
          </cell>
          <cell r="C5249" t="str">
            <v>AV</v>
          </cell>
          <cell r="D5249" t="str">
            <v>AV</v>
          </cell>
          <cell r="E5249" t="str">
            <v>83050</v>
          </cell>
        </row>
        <row r="5250">
          <cell r="A5250" t="str">
            <v>SAVIGNANO IRPINO</v>
          </cell>
          <cell r="B5250" t="str">
            <v>064096</v>
          </cell>
          <cell r="C5250" t="str">
            <v>AV</v>
          </cell>
          <cell r="D5250" t="str">
            <v>AV</v>
          </cell>
          <cell r="E5250" t="str">
            <v>83030</v>
          </cell>
        </row>
        <row r="5251">
          <cell r="A5251" t="str">
            <v>SCAMPITELLA</v>
          </cell>
          <cell r="B5251" t="str">
            <v>064097</v>
          </cell>
          <cell r="C5251" t="str">
            <v>AV</v>
          </cell>
          <cell r="D5251" t="str">
            <v>AV</v>
          </cell>
          <cell r="E5251" t="str">
            <v>83050</v>
          </cell>
        </row>
        <row r="5252">
          <cell r="A5252" t="str">
            <v>SENERCHIA</v>
          </cell>
          <cell r="B5252" t="str">
            <v>064098</v>
          </cell>
          <cell r="C5252" t="str">
            <v>AV</v>
          </cell>
          <cell r="D5252" t="str">
            <v>AV</v>
          </cell>
          <cell r="E5252" t="str">
            <v>83050</v>
          </cell>
        </row>
        <row r="5253">
          <cell r="A5253" t="str">
            <v>SERINO</v>
          </cell>
          <cell r="B5253" t="str">
            <v>064099</v>
          </cell>
          <cell r="C5253" t="str">
            <v>AV</v>
          </cell>
          <cell r="D5253" t="str">
            <v>AV</v>
          </cell>
          <cell r="E5253" t="str">
            <v>83028</v>
          </cell>
        </row>
        <row r="5254">
          <cell r="A5254" t="str">
            <v>SIRIGNANO</v>
          </cell>
          <cell r="B5254" t="str">
            <v>064100</v>
          </cell>
          <cell r="C5254" t="str">
            <v>AV</v>
          </cell>
          <cell r="D5254" t="str">
            <v>AV</v>
          </cell>
          <cell r="E5254" t="str">
            <v>83020</v>
          </cell>
        </row>
        <row r="5255">
          <cell r="A5255" t="str">
            <v>SOLOFRA</v>
          </cell>
          <cell r="B5255" t="str">
            <v>064101</v>
          </cell>
          <cell r="C5255" t="str">
            <v>AV</v>
          </cell>
          <cell r="D5255" t="str">
            <v>AV</v>
          </cell>
          <cell r="E5255" t="str">
            <v>83029</v>
          </cell>
        </row>
        <row r="5256">
          <cell r="A5256" t="str">
            <v>SORBO SERPICO</v>
          </cell>
          <cell r="B5256" t="str">
            <v>064102</v>
          </cell>
          <cell r="C5256" t="str">
            <v>AV</v>
          </cell>
          <cell r="D5256" t="str">
            <v>AV</v>
          </cell>
          <cell r="E5256" t="str">
            <v>83050</v>
          </cell>
        </row>
        <row r="5257">
          <cell r="A5257" t="str">
            <v>SPERONE</v>
          </cell>
          <cell r="B5257" t="str">
            <v>064103</v>
          </cell>
          <cell r="C5257" t="str">
            <v>AV</v>
          </cell>
          <cell r="D5257" t="str">
            <v>AV</v>
          </cell>
          <cell r="E5257" t="str">
            <v>83020</v>
          </cell>
        </row>
        <row r="5258">
          <cell r="A5258" t="str">
            <v>STURNO</v>
          </cell>
          <cell r="B5258" t="str">
            <v>064104</v>
          </cell>
          <cell r="C5258" t="str">
            <v>AV</v>
          </cell>
          <cell r="D5258" t="str">
            <v>AV</v>
          </cell>
          <cell r="E5258" t="str">
            <v>83055</v>
          </cell>
        </row>
        <row r="5259">
          <cell r="A5259" t="str">
            <v>SUMMONTE</v>
          </cell>
          <cell r="B5259" t="str">
            <v>064105</v>
          </cell>
          <cell r="C5259" t="str">
            <v>AV</v>
          </cell>
          <cell r="D5259" t="str">
            <v>AV</v>
          </cell>
          <cell r="E5259" t="str">
            <v>83010</v>
          </cell>
        </row>
        <row r="5260">
          <cell r="A5260" t="str">
            <v>TAURANO</v>
          </cell>
          <cell r="B5260" t="str">
            <v>064106</v>
          </cell>
          <cell r="C5260" t="str">
            <v>AV</v>
          </cell>
          <cell r="D5260" t="str">
            <v>AV</v>
          </cell>
          <cell r="E5260" t="str">
            <v>83020</v>
          </cell>
        </row>
        <row r="5261">
          <cell r="A5261" t="str">
            <v>TAURASI</v>
          </cell>
          <cell r="B5261" t="str">
            <v>064107</v>
          </cell>
          <cell r="C5261" t="str">
            <v>AV</v>
          </cell>
          <cell r="D5261" t="str">
            <v>AV</v>
          </cell>
          <cell r="E5261" t="str">
            <v>83030</v>
          </cell>
        </row>
        <row r="5262">
          <cell r="A5262" t="str">
            <v>TEORA</v>
          </cell>
          <cell r="B5262" t="str">
            <v>064108</v>
          </cell>
          <cell r="C5262" t="str">
            <v>AV</v>
          </cell>
          <cell r="D5262" t="str">
            <v>AV</v>
          </cell>
          <cell r="E5262" t="str">
            <v>83056</v>
          </cell>
        </row>
        <row r="5263">
          <cell r="A5263" t="str">
            <v>TORELLA DEI LOMBARDI</v>
          </cell>
          <cell r="B5263" t="str">
            <v>064109</v>
          </cell>
          <cell r="C5263" t="str">
            <v>AV</v>
          </cell>
          <cell r="D5263" t="str">
            <v>AV</v>
          </cell>
          <cell r="E5263" t="str">
            <v>83057</v>
          </cell>
        </row>
        <row r="5264">
          <cell r="A5264" t="str">
            <v>TORRE LE NOCELLE</v>
          </cell>
          <cell r="B5264" t="str">
            <v>064110</v>
          </cell>
          <cell r="C5264" t="str">
            <v>AV</v>
          </cell>
          <cell r="D5264" t="str">
            <v>AV</v>
          </cell>
          <cell r="E5264" t="str">
            <v>83030</v>
          </cell>
        </row>
        <row r="5265">
          <cell r="A5265" t="str">
            <v>TORRIONI</v>
          </cell>
          <cell r="B5265" t="str">
            <v>064111</v>
          </cell>
          <cell r="C5265" t="str">
            <v>AV</v>
          </cell>
          <cell r="D5265" t="str">
            <v>AV</v>
          </cell>
          <cell r="E5265" t="str">
            <v>83010</v>
          </cell>
        </row>
        <row r="5266">
          <cell r="A5266" t="str">
            <v>TREVICO</v>
          </cell>
          <cell r="B5266" t="str">
            <v>064112</v>
          </cell>
          <cell r="C5266" t="str">
            <v>AV</v>
          </cell>
          <cell r="D5266" t="str">
            <v>AV</v>
          </cell>
          <cell r="E5266" t="str">
            <v>83058</v>
          </cell>
        </row>
        <row r="5267">
          <cell r="A5267" t="str">
            <v>TUFO</v>
          </cell>
          <cell r="B5267" t="str">
            <v>064113</v>
          </cell>
          <cell r="C5267" t="str">
            <v>AV</v>
          </cell>
          <cell r="D5267" t="str">
            <v>AV</v>
          </cell>
          <cell r="E5267" t="str">
            <v>83010</v>
          </cell>
        </row>
        <row r="5268">
          <cell r="A5268" t="str">
            <v>VALLATA</v>
          </cell>
          <cell r="B5268" t="str">
            <v>064114</v>
          </cell>
          <cell r="C5268" t="str">
            <v>AV</v>
          </cell>
          <cell r="D5268" t="str">
            <v>AV</v>
          </cell>
          <cell r="E5268" t="str">
            <v>83059</v>
          </cell>
        </row>
        <row r="5269">
          <cell r="A5269" t="str">
            <v>VALLESACCARDA</v>
          </cell>
          <cell r="B5269" t="str">
            <v>064115</v>
          </cell>
          <cell r="C5269" t="str">
            <v>AV</v>
          </cell>
          <cell r="D5269" t="str">
            <v>AV</v>
          </cell>
          <cell r="E5269" t="str">
            <v>83050</v>
          </cell>
        </row>
        <row r="5270">
          <cell r="A5270" t="str">
            <v>VENTICANO</v>
          </cell>
          <cell r="B5270" t="str">
            <v>064116</v>
          </cell>
          <cell r="C5270" t="str">
            <v>AV</v>
          </cell>
          <cell r="D5270" t="str">
            <v>AV</v>
          </cell>
          <cell r="E5270" t="str">
            <v>83030</v>
          </cell>
        </row>
        <row r="5271">
          <cell r="A5271" t="str">
            <v>VILLAMAINA</v>
          </cell>
          <cell r="B5271" t="str">
            <v>064117</v>
          </cell>
          <cell r="C5271" t="str">
            <v>AV</v>
          </cell>
          <cell r="D5271" t="str">
            <v>AV</v>
          </cell>
          <cell r="E5271" t="str">
            <v>83050</v>
          </cell>
        </row>
        <row r="5272">
          <cell r="A5272" t="str">
            <v>VILLANOVA DEL BATTISTA</v>
          </cell>
          <cell r="B5272" t="str">
            <v>064118</v>
          </cell>
          <cell r="C5272" t="str">
            <v>AV</v>
          </cell>
          <cell r="D5272" t="str">
            <v>AV</v>
          </cell>
          <cell r="E5272" t="str">
            <v>83030</v>
          </cell>
        </row>
        <row r="5273">
          <cell r="A5273" t="str">
            <v>VOLTURARA IRPINA</v>
          </cell>
          <cell r="B5273" t="str">
            <v>064119</v>
          </cell>
          <cell r="C5273" t="str">
            <v>AV</v>
          </cell>
          <cell r="D5273" t="str">
            <v>AV</v>
          </cell>
          <cell r="E5273" t="str">
            <v>83050</v>
          </cell>
        </row>
        <row r="5274">
          <cell r="A5274" t="str">
            <v>ZUNGOLI</v>
          </cell>
          <cell r="B5274" t="str">
            <v>064120</v>
          </cell>
          <cell r="C5274" t="str">
            <v>AV</v>
          </cell>
          <cell r="D5274" t="str">
            <v>AV</v>
          </cell>
          <cell r="E5274" t="str">
            <v>83030</v>
          </cell>
        </row>
        <row r="5275">
          <cell r="A5275" t="str">
            <v>MONTORO</v>
          </cell>
          <cell r="B5275" t="str">
            <v>064121</v>
          </cell>
          <cell r="C5275" t="str">
            <v>AV</v>
          </cell>
          <cell r="D5275" t="e">
            <v>#N/A</v>
          </cell>
          <cell r="E5275" t="e">
            <v>#N/A</v>
          </cell>
        </row>
        <row r="5276">
          <cell r="A5276" t="str">
            <v>ACERNO</v>
          </cell>
          <cell r="B5276" t="str">
            <v>065001</v>
          </cell>
          <cell r="C5276" t="str">
            <v>SA</v>
          </cell>
          <cell r="D5276" t="str">
            <v>SA</v>
          </cell>
          <cell r="E5276" t="str">
            <v>84042</v>
          </cell>
        </row>
        <row r="5277">
          <cell r="A5277" t="str">
            <v>AGROPOLI</v>
          </cell>
          <cell r="B5277" t="str">
            <v>065002</v>
          </cell>
          <cell r="C5277" t="str">
            <v>SA</v>
          </cell>
          <cell r="D5277" t="str">
            <v>SA</v>
          </cell>
          <cell r="E5277" t="str">
            <v>84043</v>
          </cell>
        </row>
        <row r="5278">
          <cell r="A5278" t="str">
            <v>ALBANELLA</v>
          </cell>
          <cell r="B5278" t="str">
            <v>065003</v>
          </cell>
          <cell r="C5278" t="str">
            <v>SA</v>
          </cell>
          <cell r="D5278" t="str">
            <v>SA</v>
          </cell>
          <cell r="E5278" t="str">
            <v>84044</v>
          </cell>
        </row>
        <row r="5279">
          <cell r="A5279" t="str">
            <v>ALFANO</v>
          </cell>
          <cell r="B5279" t="str">
            <v>065004</v>
          </cell>
          <cell r="C5279" t="str">
            <v>SA</v>
          </cell>
          <cell r="D5279" t="str">
            <v>SA</v>
          </cell>
          <cell r="E5279" t="str">
            <v>84040</v>
          </cell>
        </row>
        <row r="5280">
          <cell r="A5280" t="str">
            <v>ALTAVILLA SILENTINA</v>
          </cell>
          <cell r="B5280" t="str">
            <v>065005</v>
          </cell>
          <cell r="C5280" t="str">
            <v>SA</v>
          </cell>
          <cell r="D5280" t="str">
            <v>SA</v>
          </cell>
          <cell r="E5280" t="str">
            <v>84045</v>
          </cell>
        </row>
        <row r="5281">
          <cell r="A5281" t="str">
            <v>AMALFI</v>
          </cell>
          <cell r="B5281" t="str">
            <v>065006</v>
          </cell>
          <cell r="C5281" t="str">
            <v>SA</v>
          </cell>
          <cell r="D5281" t="str">
            <v>SA</v>
          </cell>
          <cell r="E5281" t="str">
            <v>84011</v>
          </cell>
        </row>
        <row r="5282">
          <cell r="A5282" t="str">
            <v>ANGRI</v>
          </cell>
          <cell r="B5282" t="str">
            <v>065007</v>
          </cell>
          <cell r="C5282" t="str">
            <v>SA</v>
          </cell>
          <cell r="D5282" t="str">
            <v>SA</v>
          </cell>
          <cell r="E5282" t="str">
            <v>84012</v>
          </cell>
        </row>
        <row r="5283">
          <cell r="A5283" t="str">
            <v>AQUARA</v>
          </cell>
          <cell r="B5283" t="str">
            <v>065008</v>
          </cell>
          <cell r="C5283" t="str">
            <v>SA</v>
          </cell>
          <cell r="D5283" t="str">
            <v>SA</v>
          </cell>
          <cell r="E5283" t="str">
            <v>84020</v>
          </cell>
        </row>
        <row r="5284">
          <cell r="A5284" t="str">
            <v>ASCEA</v>
          </cell>
          <cell r="B5284" t="str">
            <v>065009</v>
          </cell>
          <cell r="C5284" t="str">
            <v>SA</v>
          </cell>
          <cell r="D5284" t="str">
            <v>SA</v>
          </cell>
          <cell r="E5284" t="str">
            <v>84046</v>
          </cell>
        </row>
        <row r="5285">
          <cell r="A5285" t="str">
            <v>ATENA LUCANA</v>
          </cell>
          <cell r="B5285" t="str">
            <v>065010</v>
          </cell>
          <cell r="C5285" t="str">
            <v>SA</v>
          </cell>
          <cell r="D5285" t="str">
            <v>SA</v>
          </cell>
          <cell r="E5285" t="str">
            <v>84030</v>
          </cell>
        </row>
        <row r="5286">
          <cell r="A5286" t="str">
            <v>ATRANI</v>
          </cell>
          <cell r="B5286" t="str">
            <v>065011</v>
          </cell>
          <cell r="C5286" t="str">
            <v>SA</v>
          </cell>
          <cell r="D5286" t="str">
            <v>SA</v>
          </cell>
          <cell r="E5286" t="str">
            <v>84010</v>
          </cell>
        </row>
        <row r="5287">
          <cell r="A5287" t="str">
            <v>AULETTA</v>
          </cell>
          <cell r="B5287" t="str">
            <v>065012</v>
          </cell>
          <cell r="C5287" t="str">
            <v>SA</v>
          </cell>
          <cell r="D5287" t="str">
            <v>SA</v>
          </cell>
          <cell r="E5287" t="str">
            <v>84031</v>
          </cell>
        </row>
        <row r="5288">
          <cell r="A5288" t="str">
            <v>BARONISSI</v>
          </cell>
          <cell r="B5288" t="str">
            <v>065013</v>
          </cell>
          <cell r="C5288" t="str">
            <v>SA</v>
          </cell>
          <cell r="D5288" t="str">
            <v>SA</v>
          </cell>
          <cell r="E5288" t="str">
            <v>84081</v>
          </cell>
        </row>
        <row r="5289">
          <cell r="A5289" t="str">
            <v>BATTIPAGLIA</v>
          </cell>
          <cell r="B5289" t="str">
            <v>065014</v>
          </cell>
          <cell r="C5289" t="str">
            <v>SA</v>
          </cell>
          <cell r="D5289" t="str">
            <v>SA</v>
          </cell>
          <cell r="E5289" t="str">
            <v>84091</v>
          </cell>
        </row>
        <row r="5290">
          <cell r="A5290" t="str">
            <v>BELLOSGUARDO</v>
          </cell>
          <cell r="B5290" t="str">
            <v>065015</v>
          </cell>
          <cell r="C5290" t="str">
            <v>SA</v>
          </cell>
          <cell r="D5290" t="str">
            <v>SA</v>
          </cell>
          <cell r="E5290" t="str">
            <v>84020</v>
          </cell>
        </row>
        <row r="5291">
          <cell r="A5291" t="str">
            <v>BRACIGLIANO</v>
          </cell>
          <cell r="B5291" t="str">
            <v>065016</v>
          </cell>
          <cell r="C5291" t="str">
            <v>SA</v>
          </cell>
          <cell r="D5291" t="str">
            <v>SA</v>
          </cell>
          <cell r="E5291" t="str">
            <v>84082</v>
          </cell>
        </row>
        <row r="5292">
          <cell r="A5292" t="str">
            <v>BUCCINO</v>
          </cell>
          <cell r="B5292" t="str">
            <v>065017</v>
          </cell>
          <cell r="C5292" t="str">
            <v>SA</v>
          </cell>
          <cell r="D5292" t="str">
            <v>SA</v>
          </cell>
          <cell r="E5292" t="str">
            <v>84021</v>
          </cell>
        </row>
        <row r="5293">
          <cell r="A5293" t="str">
            <v>BUONABITACOLO</v>
          </cell>
          <cell r="B5293" t="str">
            <v>065018</v>
          </cell>
          <cell r="C5293" t="str">
            <v>SA</v>
          </cell>
          <cell r="D5293" t="str">
            <v>SA</v>
          </cell>
          <cell r="E5293" t="str">
            <v>84032</v>
          </cell>
        </row>
        <row r="5294">
          <cell r="A5294" t="str">
            <v>CAGGIANO</v>
          </cell>
          <cell r="B5294" t="str">
            <v>065019</v>
          </cell>
          <cell r="C5294" t="str">
            <v>SA</v>
          </cell>
          <cell r="D5294" t="str">
            <v>SA</v>
          </cell>
          <cell r="E5294" t="str">
            <v>84030</v>
          </cell>
        </row>
        <row r="5295">
          <cell r="A5295" t="str">
            <v>CALVANICO</v>
          </cell>
          <cell r="B5295" t="str">
            <v>065020</v>
          </cell>
          <cell r="C5295" t="str">
            <v>SA</v>
          </cell>
          <cell r="D5295" t="str">
            <v>SA</v>
          </cell>
          <cell r="E5295" t="str">
            <v>84080</v>
          </cell>
        </row>
        <row r="5296">
          <cell r="A5296" t="str">
            <v>CAMEROTA</v>
          </cell>
          <cell r="B5296" t="str">
            <v>065021</v>
          </cell>
          <cell r="C5296" t="str">
            <v>SA</v>
          </cell>
          <cell r="D5296" t="str">
            <v>SA</v>
          </cell>
          <cell r="E5296" t="str">
            <v>84040</v>
          </cell>
        </row>
        <row r="5297">
          <cell r="A5297" t="str">
            <v>CAMPAGNA</v>
          </cell>
          <cell r="B5297" t="str">
            <v>065022</v>
          </cell>
          <cell r="C5297" t="str">
            <v>SA</v>
          </cell>
          <cell r="D5297" t="str">
            <v>SA</v>
          </cell>
          <cell r="E5297" t="str">
            <v>84022</v>
          </cell>
        </row>
        <row r="5298">
          <cell r="A5298" t="str">
            <v>CAMPORA</v>
          </cell>
          <cell r="B5298" t="str">
            <v>065023</v>
          </cell>
          <cell r="C5298" t="str">
            <v>SA</v>
          </cell>
          <cell r="D5298" t="str">
            <v>SA</v>
          </cell>
          <cell r="E5298" t="str">
            <v>84040</v>
          </cell>
        </row>
        <row r="5299">
          <cell r="A5299" t="str">
            <v>CANNALONGA</v>
          </cell>
          <cell r="B5299" t="str">
            <v>065024</v>
          </cell>
          <cell r="C5299" t="str">
            <v>SA</v>
          </cell>
          <cell r="D5299" t="str">
            <v>SA</v>
          </cell>
          <cell r="E5299" t="str">
            <v>84040</v>
          </cell>
        </row>
        <row r="5300">
          <cell r="A5300" t="str">
            <v>CAPACCIO PAESTUM</v>
          </cell>
          <cell r="B5300" t="str">
            <v>065025</v>
          </cell>
          <cell r="C5300" t="str">
            <v>SA</v>
          </cell>
          <cell r="D5300" t="e">
            <v>#N/A</v>
          </cell>
          <cell r="E5300" t="e">
            <v>#N/A</v>
          </cell>
        </row>
        <row r="5301">
          <cell r="A5301" t="str">
            <v>CASALBUONO</v>
          </cell>
          <cell r="B5301" t="str">
            <v>065026</v>
          </cell>
          <cell r="C5301" t="str">
            <v>SA</v>
          </cell>
          <cell r="D5301" t="str">
            <v>SA</v>
          </cell>
          <cell r="E5301" t="str">
            <v>84030</v>
          </cell>
        </row>
        <row r="5302">
          <cell r="A5302" t="str">
            <v>CASALETTO SPARTANO</v>
          </cell>
          <cell r="B5302" t="str">
            <v>065027</v>
          </cell>
          <cell r="C5302" t="str">
            <v>SA</v>
          </cell>
          <cell r="D5302" t="str">
            <v>SA</v>
          </cell>
          <cell r="E5302" t="str">
            <v>84030</v>
          </cell>
        </row>
        <row r="5303">
          <cell r="A5303" t="str">
            <v>CASAL VELINO</v>
          </cell>
          <cell r="B5303" t="str">
            <v>065028</v>
          </cell>
          <cell r="C5303" t="str">
            <v>SA</v>
          </cell>
          <cell r="D5303" t="str">
            <v>SA</v>
          </cell>
          <cell r="E5303" t="str">
            <v>84040</v>
          </cell>
        </row>
        <row r="5304">
          <cell r="A5304" t="str">
            <v>CASELLE IN PITTARI</v>
          </cell>
          <cell r="B5304" t="str">
            <v>065029</v>
          </cell>
          <cell r="C5304" t="str">
            <v>SA</v>
          </cell>
          <cell r="D5304" t="str">
            <v>SA</v>
          </cell>
          <cell r="E5304" t="str">
            <v>84030</v>
          </cell>
        </row>
        <row r="5305">
          <cell r="A5305" t="str">
            <v>CASTELCIVITA</v>
          </cell>
          <cell r="B5305" t="str">
            <v>065030</v>
          </cell>
          <cell r="C5305" t="str">
            <v>SA</v>
          </cell>
          <cell r="D5305" t="str">
            <v>SA</v>
          </cell>
          <cell r="E5305" t="str">
            <v>84020</v>
          </cell>
        </row>
        <row r="5306">
          <cell r="A5306" t="str">
            <v>CASTELLABATE</v>
          </cell>
          <cell r="B5306" t="str">
            <v>065031</v>
          </cell>
          <cell r="C5306" t="str">
            <v>SA</v>
          </cell>
          <cell r="D5306" t="str">
            <v>SA</v>
          </cell>
          <cell r="E5306" t="str">
            <v>84048</v>
          </cell>
        </row>
        <row r="5307">
          <cell r="A5307" t="str">
            <v>CASTELNUOVO CILENTO</v>
          </cell>
          <cell r="B5307" t="str">
            <v>065032</v>
          </cell>
          <cell r="C5307" t="str">
            <v>SA</v>
          </cell>
          <cell r="D5307" t="str">
            <v>SA</v>
          </cell>
          <cell r="E5307" t="str">
            <v>84040</v>
          </cell>
        </row>
        <row r="5308">
          <cell r="A5308" t="str">
            <v>CASTELNUOVO DI CONZA</v>
          </cell>
          <cell r="B5308" t="str">
            <v>065033</v>
          </cell>
          <cell r="C5308" t="str">
            <v>SA</v>
          </cell>
          <cell r="D5308" t="str">
            <v>SA</v>
          </cell>
          <cell r="E5308" t="str">
            <v>84020</v>
          </cell>
        </row>
        <row r="5309">
          <cell r="A5309" t="str">
            <v>CASTEL SAN GIORGIO</v>
          </cell>
          <cell r="B5309" t="str">
            <v>065034</v>
          </cell>
          <cell r="C5309" t="str">
            <v>SA</v>
          </cell>
          <cell r="D5309" t="str">
            <v>SA</v>
          </cell>
          <cell r="E5309" t="str">
            <v>84083</v>
          </cell>
        </row>
        <row r="5310">
          <cell r="A5310" t="str">
            <v>CASTEL SAN LORENZO</v>
          </cell>
          <cell r="B5310" t="str">
            <v>065035</v>
          </cell>
          <cell r="C5310" t="str">
            <v>SA</v>
          </cell>
          <cell r="D5310" t="str">
            <v>SA</v>
          </cell>
          <cell r="E5310" t="str">
            <v>84049</v>
          </cell>
        </row>
        <row r="5311">
          <cell r="A5311" t="str">
            <v>CASTIGLIONE DEL GENOVESI</v>
          </cell>
          <cell r="B5311" t="str">
            <v>065036</v>
          </cell>
          <cell r="C5311" t="str">
            <v>SA</v>
          </cell>
          <cell r="D5311" t="str">
            <v>SA</v>
          </cell>
          <cell r="E5311" t="str">
            <v>84090</v>
          </cell>
        </row>
        <row r="5312">
          <cell r="A5312" t="str">
            <v>CAVA DE' TIRRENI</v>
          </cell>
          <cell r="B5312" t="str">
            <v>065037</v>
          </cell>
          <cell r="C5312" t="str">
            <v>SA</v>
          </cell>
          <cell r="D5312" t="str">
            <v>SA</v>
          </cell>
          <cell r="E5312" t="str">
            <v>84013</v>
          </cell>
        </row>
        <row r="5313">
          <cell r="A5313" t="str">
            <v>CELLE DI BULGHERIA</v>
          </cell>
          <cell r="B5313" t="str">
            <v>065038</v>
          </cell>
          <cell r="C5313" t="str">
            <v>SA</v>
          </cell>
          <cell r="D5313" t="str">
            <v>SA</v>
          </cell>
          <cell r="E5313" t="str">
            <v>84040</v>
          </cell>
        </row>
        <row r="5314">
          <cell r="A5314" t="str">
            <v>CENTOLA</v>
          </cell>
          <cell r="B5314" t="str">
            <v>065039</v>
          </cell>
          <cell r="C5314" t="str">
            <v>SA</v>
          </cell>
          <cell r="D5314" t="str">
            <v>SA</v>
          </cell>
          <cell r="E5314" t="str">
            <v>84051</v>
          </cell>
        </row>
        <row r="5315">
          <cell r="A5315" t="str">
            <v>CERASO</v>
          </cell>
          <cell r="B5315" t="str">
            <v>065040</v>
          </cell>
          <cell r="C5315" t="str">
            <v>SA</v>
          </cell>
          <cell r="D5315" t="str">
            <v>SA</v>
          </cell>
          <cell r="E5315" t="str">
            <v>84052</v>
          </cell>
        </row>
        <row r="5316">
          <cell r="A5316" t="str">
            <v>CETARA</v>
          </cell>
          <cell r="B5316" t="str">
            <v>065041</v>
          </cell>
          <cell r="C5316" t="str">
            <v>SA</v>
          </cell>
          <cell r="D5316" t="str">
            <v>SA</v>
          </cell>
          <cell r="E5316" t="str">
            <v>84010</v>
          </cell>
        </row>
        <row r="5317">
          <cell r="A5317" t="str">
            <v>CICERALE</v>
          </cell>
          <cell r="B5317" t="str">
            <v>065042</v>
          </cell>
          <cell r="C5317" t="str">
            <v>SA</v>
          </cell>
          <cell r="D5317" t="str">
            <v>SA</v>
          </cell>
          <cell r="E5317" t="str">
            <v>84053</v>
          </cell>
        </row>
        <row r="5318">
          <cell r="A5318" t="str">
            <v>COLLIANO</v>
          </cell>
          <cell r="B5318" t="str">
            <v>065043</v>
          </cell>
          <cell r="C5318" t="str">
            <v>SA</v>
          </cell>
          <cell r="D5318" t="str">
            <v>SA</v>
          </cell>
          <cell r="E5318" t="str">
            <v>84020</v>
          </cell>
        </row>
        <row r="5319">
          <cell r="A5319" t="str">
            <v>CONCA DEI MARINI</v>
          </cell>
          <cell r="B5319" t="str">
            <v>065044</v>
          </cell>
          <cell r="C5319" t="str">
            <v>SA</v>
          </cell>
          <cell r="D5319" t="str">
            <v>SA</v>
          </cell>
          <cell r="E5319" t="str">
            <v>84010</v>
          </cell>
        </row>
        <row r="5320">
          <cell r="A5320" t="str">
            <v>CONTRONE</v>
          </cell>
          <cell r="B5320" t="str">
            <v>065045</v>
          </cell>
          <cell r="C5320" t="str">
            <v>SA</v>
          </cell>
          <cell r="D5320" t="str">
            <v>SA</v>
          </cell>
          <cell r="E5320" t="str">
            <v>84020</v>
          </cell>
        </row>
        <row r="5321">
          <cell r="A5321" t="str">
            <v>CONTURSI TERME</v>
          </cell>
          <cell r="B5321" t="str">
            <v>065046</v>
          </cell>
          <cell r="C5321" t="str">
            <v>SA</v>
          </cell>
          <cell r="D5321" t="str">
            <v>SA</v>
          </cell>
          <cell r="E5321" t="str">
            <v>84024</v>
          </cell>
        </row>
        <row r="5322">
          <cell r="A5322" t="str">
            <v>CORBARA</v>
          </cell>
          <cell r="B5322" t="str">
            <v>065047</v>
          </cell>
          <cell r="C5322" t="str">
            <v>SA</v>
          </cell>
          <cell r="D5322" t="str">
            <v>SA</v>
          </cell>
          <cell r="E5322" t="str">
            <v>84010</v>
          </cell>
        </row>
        <row r="5323">
          <cell r="A5323" t="str">
            <v>CORLETO MONFORTE</v>
          </cell>
          <cell r="B5323" t="str">
            <v>065048</v>
          </cell>
          <cell r="C5323" t="str">
            <v>SA</v>
          </cell>
          <cell r="D5323" t="str">
            <v>SA</v>
          </cell>
          <cell r="E5323" t="str">
            <v>84020</v>
          </cell>
        </row>
        <row r="5324">
          <cell r="A5324" t="str">
            <v>CUCCARO VETERE</v>
          </cell>
          <cell r="B5324" t="str">
            <v>065049</v>
          </cell>
          <cell r="C5324" t="str">
            <v>SA</v>
          </cell>
          <cell r="D5324" t="str">
            <v>SA</v>
          </cell>
          <cell r="E5324" t="str">
            <v>84050</v>
          </cell>
        </row>
        <row r="5325">
          <cell r="A5325" t="str">
            <v>EBOLI</v>
          </cell>
          <cell r="B5325" t="str">
            <v>065050</v>
          </cell>
          <cell r="C5325" t="str">
            <v>SA</v>
          </cell>
          <cell r="D5325" t="str">
            <v>SA</v>
          </cell>
          <cell r="E5325" t="str">
            <v>84025</v>
          </cell>
        </row>
        <row r="5326">
          <cell r="A5326" t="str">
            <v>FELITTO</v>
          </cell>
          <cell r="B5326" t="str">
            <v>065051</v>
          </cell>
          <cell r="C5326" t="str">
            <v>SA</v>
          </cell>
          <cell r="D5326" t="str">
            <v>SA</v>
          </cell>
          <cell r="E5326" t="str">
            <v>84055</v>
          </cell>
        </row>
        <row r="5327">
          <cell r="A5327" t="str">
            <v>FISCIANO</v>
          </cell>
          <cell r="B5327" t="str">
            <v>065052</v>
          </cell>
          <cell r="C5327" t="str">
            <v>SA</v>
          </cell>
          <cell r="D5327" t="str">
            <v>SA</v>
          </cell>
          <cell r="E5327" t="str">
            <v>84084</v>
          </cell>
        </row>
        <row r="5328">
          <cell r="A5328" t="str">
            <v>FURORE</v>
          </cell>
          <cell r="B5328" t="str">
            <v>065053</v>
          </cell>
          <cell r="C5328" t="str">
            <v>SA</v>
          </cell>
          <cell r="D5328" t="str">
            <v>SA</v>
          </cell>
          <cell r="E5328" t="str">
            <v>84010</v>
          </cell>
        </row>
        <row r="5329">
          <cell r="A5329" t="str">
            <v>FUTANI</v>
          </cell>
          <cell r="B5329" t="str">
            <v>065054</v>
          </cell>
          <cell r="C5329" t="str">
            <v>SA</v>
          </cell>
          <cell r="D5329" t="str">
            <v>SA</v>
          </cell>
          <cell r="E5329" t="str">
            <v>84050</v>
          </cell>
        </row>
        <row r="5330">
          <cell r="A5330" t="str">
            <v>GIFFONI SEI CASALI</v>
          </cell>
          <cell r="B5330" t="str">
            <v>065055</v>
          </cell>
          <cell r="C5330" t="str">
            <v>SA</v>
          </cell>
          <cell r="D5330" t="str">
            <v>SA</v>
          </cell>
          <cell r="E5330" t="str">
            <v>84090</v>
          </cell>
        </row>
        <row r="5331">
          <cell r="A5331" t="str">
            <v>GIFFONI VALLE PIANA</v>
          </cell>
          <cell r="B5331" t="str">
            <v>065056</v>
          </cell>
          <cell r="C5331" t="str">
            <v>SA</v>
          </cell>
          <cell r="D5331" t="str">
            <v>SA</v>
          </cell>
          <cell r="E5331" t="str">
            <v>84095</v>
          </cell>
        </row>
        <row r="5332">
          <cell r="A5332" t="str">
            <v>GIOI</v>
          </cell>
          <cell r="B5332" t="str">
            <v>065057</v>
          </cell>
          <cell r="C5332" t="str">
            <v>SA</v>
          </cell>
          <cell r="D5332" t="str">
            <v>SA</v>
          </cell>
          <cell r="E5332" t="str">
            <v>84056</v>
          </cell>
        </row>
        <row r="5333">
          <cell r="A5333" t="str">
            <v>GIUNGANO</v>
          </cell>
          <cell r="B5333" t="str">
            <v>065058</v>
          </cell>
          <cell r="C5333" t="str">
            <v>SA</v>
          </cell>
          <cell r="D5333" t="str">
            <v>SA</v>
          </cell>
          <cell r="E5333" t="str">
            <v>84050</v>
          </cell>
        </row>
        <row r="5334">
          <cell r="A5334" t="str">
            <v>ISPANI</v>
          </cell>
          <cell r="B5334" t="str">
            <v>065059</v>
          </cell>
          <cell r="C5334" t="str">
            <v>SA</v>
          </cell>
          <cell r="D5334" t="str">
            <v>SA</v>
          </cell>
          <cell r="E5334" t="str">
            <v>84050</v>
          </cell>
        </row>
        <row r="5335">
          <cell r="A5335" t="str">
            <v>LAUREANA CILENTO</v>
          </cell>
          <cell r="B5335" t="str">
            <v>065060</v>
          </cell>
          <cell r="C5335" t="str">
            <v>SA</v>
          </cell>
          <cell r="D5335" t="str">
            <v>SA</v>
          </cell>
          <cell r="E5335" t="str">
            <v>84050</v>
          </cell>
        </row>
        <row r="5336">
          <cell r="A5336" t="str">
            <v>LAURINO</v>
          </cell>
          <cell r="B5336" t="str">
            <v>065061</v>
          </cell>
          <cell r="C5336" t="str">
            <v>SA</v>
          </cell>
          <cell r="D5336" t="str">
            <v>SA</v>
          </cell>
          <cell r="E5336" t="str">
            <v>84057</v>
          </cell>
        </row>
        <row r="5337">
          <cell r="A5337" t="str">
            <v>LAURITO</v>
          </cell>
          <cell r="B5337" t="str">
            <v>065062</v>
          </cell>
          <cell r="C5337" t="str">
            <v>SA</v>
          </cell>
          <cell r="D5337" t="str">
            <v>SA</v>
          </cell>
          <cell r="E5337" t="str">
            <v>84050</v>
          </cell>
        </row>
        <row r="5338">
          <cell r="A5338" t="str">
            <v>LAVIANO</v>
          </cell>
          <cell r="B5338" t="str">
            <v>065063</v>
          </cell>
          <cell r="C5338" t="str">
            <v>SA</v>
          </cell>
          <cell r="D5338" t="str">
            <v>SA</v>
          </cell>
          <cell r="E5338" t="str">
            <v>84020</v>
          </cell>
        </row>
        <row r="5339">
          <cell r="A5339" t="str">
            <v>LUSTRA</v>
          </cell>
          <cell r="B5339" t="str">
            <v>065064</v>
          </cell>
          <cell r="C5339" t="str">
            <v>SA</v>
          </cell>
          <cell r="D5339" t="str">
            <v>SA</v>
          </cell>
          <cell r="E5339" t="str">
            <v>84050</v>
          </cell>
        </row>
        <row r="5340">
          <cell r="A5340" t="str">
            <v>MAGLIANO VETERE</v>
          </cell>
          <cell r="B5340" t="str">
            <v>065065</v>
          </cell>
          <cell r="C5340" t="str">
            <v>SA</v>
          </cell>
          <cell r="D5340" t="str">
            <v>SA</v>
          </cell>
          <cell r="E5340" t="str">
            <v>84050</v>
          </cell>
        </row>
        <row r="5341">
          <cell r="A5341" t="str">
            <v>MAIORI</v>
          </cell>
          <cell r="B5341" t="str">
            <v>065066</v>
          </cell>
          <cell r="C5341" t="str">
            <v>SA</v>
          </cell>
          <cell r="D5341" t="str">
            <v>SA</v>
          </cell>
          <cell r="E5341" t="str">
            <v>84010</v>
          </cell>
        </row>
        <row r="5342">
          <cell r="A5342" t="str">
            <v>MERCATO SAN SEVERINO</v>
          </cell>
          <cell r="B5342" t="str">
            <v>065067</v>
          </cell>
          <cell r="C5342" t="str">
            <v>SA</v>
          </cell>
          <cell r="D5342" t="str">
            <v>SA</v>
          </cell>
          <cell r="E5342" t="str">
            <v>84085</v>
          </cell>
        </row>
        <row r="5343">
          <cell r="A5343" t="str">
            <v>MINORI</v>
          </cell>
          <cell r="B5343" t="str">
            <v>065068</v>
          </cell>
          <cell r="C5343" t="str">
            <v>SA</v>
          </cell>
          <cell r="D5343" t="str">
            <v>SA</v>
          </cell>
          <cell r="E5343" t="str">
            <v>84010</v>
          </cell>
        </row>
        <row r="5344">
          <cell r="A5344" t="str">
            <v>MOIO DELLA CIVITELLA</v>
          </cell>
          <cell r="B5344" t="str">
            <v>065069</v>
          </cell>
          <cell r="C5344" t="str">
            <v>SA</v>
          </cell>
          <cell r="D5344" t="str">
            <v>SA</v>
          </cell>
          <cell r="E5344" t="str">
            <v>84060</v>
          </cell>
        </row>
        <row r="5345">
          <cell r="A5345" t="str">
            <v>MONTANO ANTILIA</v>
          </cell>
          <cell r="B5345" t="str">
            <v>065070</v>
          </cell>
          <cell r="C5345" t="str">
            <v>SA</v>
          </cell>
          <cell r="D5345" t="str">
            <v>SA</v>
          </cell>
          <cell r="E5345" t="str">
            <v>84060</v>
          </cell>
        </row>
        <row r="5346">
          <cell r="A5346" t="str">
            <v>MONTECORICE</v>
          </cell>
          <cell r="B5346" t="str">
            <v>065071</v>
          </cell>
          <cell r="C5346" t="str">
            <v>SA</v>
          </cell>
          <cell r="D5346" t="str">
            <v>SA</v>
          </cell>
          <cell r="E5346" t="str">
            <v>84060</v>
          </cell>
        </row>
        <row r="5347">
          <cell r="A5347" t="str">
            <v>MONTECORVINO PUGLIANO</v>
          </cell>
          <cell r="B5347" t="str">
            <v>065072</v>
          </cell>
          <cell r="C5347" t="str">
            <v>SA</v>
          </cell>
          <cell r="D5347" t="str">
            <v>SA</v>
          </cell>
          <cell r="E5347" t="str">
            <v>84090</v>
          </cell>
        </row>
        <row r="5348">
          <cell r="A5348" t="str">
            <v>MONTECORVINO ROVELLA</v>
          </cell>
          <cell r="B5348" t="str">
            <v>065073</v>
          </cell>
          <cell r="C5348" t="str">
            <v>SA</v>
          </cell>
          <cell r="D5348" t="str">
            <v>SA</v>
          </cell>
          <cell r="E5348" t="str">
            <v>84096</v>
          </cell>
        </row>
        <row r="5349">
          <cell r="A5349" t="str">
            <v>MONTEFORTE CILENTO</v>
          </cell>
          <cell r="B5349" t="str">
            <v>065074</v>
          </cell>
          <cell r="C5349" t="str">
            <v>SA</v>
          </cell>
          <cell r="D5349" t="str">
            <v>SA</v>
          </cell>
          <cell r="E5349" t="str">
            <v>84060</v>
          </cell>
        </row>
        <row r="5350">
          <cell r="A5350" t="str">
            <v>MONTE SAN GIACOMO</v>
          </cell>
          <cell r="B5350" t="str">
            <v>065075</v>
          </cell>
          <cell r="C5350" t="str">
            <v>SA</v>
          </cell>
          <cell r="D5350" t="str">
            <v>SA</v>
          </cell>
          <cell r="E5350" t="str">
            <v>84030</v>
          </cell>
        </row>
        <row r="5351">
          <cell r="A5351" t="str">
            <v>MONTESANO SULLA MARCELLANA</v>
          </cell>
          <cell r="B5351" t="str">
            <v>065076</v>
          </cell>
          <cell r="C5351" t="str">
            <v>SA</v>
          </cell>
          <cell r="D5351" t="str">
            <v>SA</v>
          </cell>
          <cell r="E5351" t="str">
            <v>84033</v>
          </cell>
        </row>
        <row r="5352">
          <cell r="A5352" t="str">
            <v>MORIGERATI</v>
          </cell>
          <cell r="B5352" t="str">
            <v>065077</v>
          </cell>
          <cell r="C5352" t="str">
            <v>SA</v>
          </cell>
          <cell r="D5352" t="str">
            <v>SA</v>
          </cell>
          <cell r="E5352" t="str">
            <v>84030</v>
          </cell>
        </row>
        <row r="5353">
          <cell r="A5353" t="str">
            <v>NOCERA INFERIORE</v>
          </cell>
          <cell r="B5353" t="str">
            <v>065078</v>
          </cell>
          <cell r="C5353" t="str">
            <v>SA</v>
          </cell>
          <cell r="D5353" t="str">
            <v>SA</v>
          </cell>
          <cell r="E5353" t="str">
            <v>84014</v>
          </cell>
        </row>
        <row r="5354">
          <cell r="A5354" t="str">
            <v>NOCERA SUPERIORE</v>
          </cell>
          <cell r="B5354" t="str">
            <v>065079</v>
          </cell>
          <cell r="C5354" t="str">
            <v>SA</v>
          </cell>
          <cell r="D5354" t="str">
            <v>SA</v>
          </cell>
          <cell r="E5354" t="str">
            <v>84015</v>
          </cell>
        </row>
        <row r="5355">
          <cell r="A5355" t="str">
            <v>NOVI VELIA</v>
          </cell>
          <cell r="B5355" t="str">
            <v>065080</v>
          </cell>
          <cell r="C5355" t="str">
            <v>SA</v>
          </cell>
          <cell r="D5355" t="str">
            <v>SA</v>
          </cell>
          <cell r="E5355" t="str">
            <v>84060</v>
          </cell>
        </row>
        <row r="5356">
          <cell r="A5356" t="str">
            <v>OGLIASTRO CILENTO</v>
          </cell>
          <cell r="B5356" t="str">
            <v>065081</v>
          </cell>
          <cell r="C5356" t="str">
            <v>SA</v>
          </cell>
          <cell r="D5356" t="str">
            <v>SA</v>
          </cell>
          <cell r="E5356" t="str">
            <v>84061</v>
          </cell>
        </row>
        <row r="5357">
          <cell r="A5357" t="str">
            <v>OLEVANO SUL TUSCIANO</v>
          </cell>
          <cell r="B5357" t="str">
            <v>065082</v>
          </cell>
          <cell r="C5357" t="str">
            <v>SA</v>
          </cell>
          <cell r="D5357" t="str">
            <v>SA</v>
          </cell>
          <cell r="E5357" t="str">
            <v>84062</v>
          </cell>
        </row>
        <row r="5358">
          <cell r="A5358" t="str">
            <v>OLIVETO CITRA</v>
          </cell>
          <cell r="B5358" t="str">
            <v>065083</v>
          </cell>
          <cell r="C5358" t="str">
            <v>SA</v>
          </cell>
          <cell r="D5358" t="str">
            <v>SA</v>
          </cell>
          <cell r="E5358" t="str">
            <v>84020</v>
          </cell>
        </row>
        <row r="5359">
          <cell r="A5359" t="str">
            <v>OMIGNANO</v>
          </cell>
          <cell r="B5359" t="str">
            <v>065084</v>
          </cell>
          <cell r="C5359" t="str">
            <v>SA</v>
          </cell>
          <cell r="D5359" t="str">
            <v>SA</v>
          </cell>
          <cell r="E5359" t="str">
            <v>84060</v>
          </cell>
        </row>
        <row r="5360">
          <cell r="A5360" t="str">
            <v>ORRIA</v>
          </cell>
          <cell r="B5360" t="str">
            <v>065085</v>
          </cell>
          <cell r="C5360" t="str">
            <v>SA</v>
          </cell>
          <cell r="D5360" t="str">
            <v>SA</v>
          </cell>
          <cell r="E5360" t="str">
            <v>84060</v>
          </cell>
        </row>
        <row r="5361">
          <cell r="A5361" t="str">
            <v>OTTATI</v>
          </cell>
          <cell r="B5361" t="str">
            <v>065086</v>
          </cell>
          <cell r="C5361" t="str">
            <v>SA</v>
          </cell>
          <cell r="D5361" t="str">
            <v>SA</v>
          </cell>
          <cell r="E5361" t="str">
            <v>84020</v>
          </cell>
        </row>
        <row r="5362">
          <cell r="A5362" t="str">
            <v>PADULA</v>
          </cell>
          <cell r="B5362" t="str">
            <v>065087</v>
          </cell>
          <cell r="C5362" t="str">
            <v>SA</v>
          </cell>
          <cell r="D5362" t="str">
            <v>SA</v>
          </cell>
          <cell r="E5362" t="str">
            <v>84034</v>
          </cell>
        </row>
        <row r="5363">
          <cell r="A5363" t="str">
            <v>PAGANI</v>
          </cell>
          <cell r="B5363" t="str">
            <v>065088</v>
          </cell>
          <cell r="C5363" t="str">
            <v>SA</v>
          </cell>
          <cell r="D5363" t="str">
            <v>SA</v>
          </cell>
          <cell r="E5363" t="str">
            <v>84016</v>
          </cell>
        </row>
        <row r="5364">
          <cell r="A5364" t="str">
            <v>PALOMONTE</v>
          </cell>
          <cell r="B5364" t="str">
            <v>065089</v>
          </cell>
          <cell r="C5364" t="str">
            <v>SA</v>
          </cell>
          <cell r="D5364" t="str">
            <v>SA</v>
          </cell>
          <cell r="E5364" t="str">
            <v>84020</v>
          </cell>
        </row>
        <row r="5365">
          <cell r="A5365" t="str">
            <v>PELLEZZANO</v>
          </cell>
          <cell r="B5365" t="str">
            <v>065090</v>
          </cell>
          <cell r="C5365" t="str">
            <v>SA</v>
          </cell>
          <cell r="D5365" t="str">
            <v>SA</v>
          </cell>
          <cell r="E5365" t="str">
            <v>84080</v>
          </cell>
        </row>
        <row r="5366">
          <cell r="A5366" t="str">
            <v>PERDIFUMO</v>
          </cell>
          <cell r="B5366" t="str">
            <v>065091</v>
          </cell>
          <cell r="C5366" t="str">
            <v>SA</v>
          </cell>
          <cell r="D5366" t="str">
            <v>SA</v>
          </cell>
          <cell r="E5366" t="str">
            <v>84060</v>
          </cell>
        </row>
        <row r="5367">
          <cell r="A5367" t="str">
            <v>PERITO</v>
          </cell>
          <cell r="B5367" t="str">
            <v>065092</v>
          </cell>
          <cell r="C5367" t="str">
            <v>SA</v>
          </cell>
          <cell r="D5367" t="str">
            <v>SA</v>
          </cell>
          <cell r="E5367" t="str">
            <v>84060</v>
          </cell>
        </row>
        <row r="5368">
          <cell r="A5368" t="str">
            <v>PERTOSA</v>
          </cell>
          <cell r="B5368" t="str">
            <v>065093</v>
          </cell>
          <cell r="C5368" t="str">
            <v>SA</v>
          </cell>
          <cell r="D5368" t="str">
            <v>SA</v>
          </cell>
          <cell r="E5368" t="str">
            <v>84030</v>
          </cell>
        </row>
        <row r="5369">
          <cell r="A5369" t="str">
            <v>PETINA</v>
          </cell>
          <cell r="B5369" t="str">
            <v>065094</v>
          </cell>
          <cell r="C5369" t="str">
            <v>SA</v>
          </cell>
          <cell r="D5369" t="str">
            <v>SA</v>
          </cell>
          <cell r="E5369" t="str">
            <v>84020</v>
          </cell>
        </row>
        <row r="5370">
          <cell r="A5370" t="str">
            <v>PIAGGINE</v>
          </cell>
          <cell r="B5370" t="str">
            <v>065095</v>
          </cell>
          <cell r="C5370" t="str">
            <v>SA</v>
          </cell>
          <cell r="D5370" t="str">
            <v>SA</v>
          </cell>
          <cell r="E5370" t="str">
            <v>84065</v>
          </cell>
        </row>
        <row r="5371">
          <cell r="A5371" t="str">
            <v>PISCIOTTA</v>
          </cell>
          <cell r="B5371" t="str">
            <v>065096</v>
          </cell>
          <cell r="C5371" t="str">
            <v>SA</v>
          </cell>
          <cell r="D5371" t="str">
            <v>SA</v>
          </cell>
          <cell r="E5371" t="str">
            <v>84066</v>
          </cell>
        </row>
        <row r="5372">
          <cell r="A5372" t="str">
            <v>POLLA</v>
          </cell>
          <cell r="B5372" t="str">
            <v>065097</v>
          </cell>
          <cell r="C5372" t="str">
            <v>SA</v>
          </cell>
          <cell r="D5372" t="str">
            <v>SA</v>
          </cell>
          <cell r="E5372" t="str">
            <v>84035</v>
          </cell>
        </row>
        <row r="5373">
          <cell r="A5373" t="str">
            <v>POLLICA</v>
          </cell>
          <cell r="B5373" t="str">
            <v>065098</v>
          </cell>
          <cell r="C5373" t="str">
            <v>SA</v>
          </cell>
          <cell r="D5373" t="str">
            <v>SA</v>
          </cell>
          <cell r="E5373" t="str">
            <v>84068</v>
          </cell>
        </row>
        <row r="5374">
          <cell r="A5374" t="str">
            <v>PONTECAGNANO FAIANO</v>
          </cell>
          <cell r="B5374" t="str">
            <v>065099</v>
          </cell>
          <cell r="C5374" t="str">
            <v>SA</v>
          </cell>
          <cell r="D5374" t="str">
            <v>SA</v>
          </cell>
          <cell r="E5374" t="str">
            <v>84098</v>
          </cell>
        </row>
        <row r="5375">
          <cell r="A5375" t="str">
            <v>POSITANO</v>
          </cell>
          <cell r="B5375" t="str">
            <v>065100</v>
          </cell>
          <cell r="C5375" t="str">
            <v>SA</v>
          </cell>
          <cell r="D5375" t="str">
            <v>SA</v>
          </cell>
          <cell r="E5375" t="str">
            <v>84017</v>
          </cell>
        </row>
        <row r="5376">
          <cell r="A5376" t="str">
            <v>POSTIGLIONE</v>
          </cell>
          <cell r="B5376" t="str">
            <v>065101</v>
          </cell>
          <cell r="C5376" t="str">
            <v>SA</v>
          </cell>
          <cell r="D5376" t="str">
            <v>SA</v>
          </cell>
          <cell r="E5376" t="str">
            <v>84026</v>
          </cell>
        </row>
        <row r="5377">
          <cell r="A5377" t="str">
            <v>PRAIANO</v>
          </cell>
          <cell r="B5377" t="str">
            <v>065102</v>
          </cell>
          <cell r="C5377" t="str">
            <v>SA</v>
          </cell>
          <cell r="D5377" t="str">
            <v>SA</v>
          </cell>
          <cell r="E5377" t="str">
            <v>84010</v>
          </cell>
        </row>
        <row r="5378">
          <cell r="A5378" t="str">
            <v>PRIGNANO CILENTO</v>
          </cell>
          <cell r="B5378" t="str">
            <v>065103</v>
          </cell>
          <cell r="C5378" t="str">
            <v>SA</v>
          </cell>
          <cell r="D5378" t="str">
            <v>SA</v>
          </cell>
          <cell r="E5378" t="str">
            <v>84060</v>
          </cell>
        </row>
        <row r="5379">
          <cell r="A5379" t="str">
            <v>RAVELLO</v>
          </cell>
          <cell r="B5379" t="str">
            <v>065104</v>
          </cell>
          <cell r="C5379" t="str">
            <v>SA</v>
          </cell>
          <cell r="D5379" t="str">
            <v>SA</v>
          </cell>
          <cell r="E5379" t="str">
            <v>84010</v>
          </cell>
        </row>
        <row r="5380">
          <cell r="A5380" t="str">
            <v>RICIGLIANO</v>
          </cell>
          <cell r="B5380" t="str">
            <v>065105</v>
          </cell>
          <cell r="C5380" t="str">
            <v>SA</v>
          </cell>
          <cell r="D5380" t="str">
            <v>SA</v>
          </cell>
          <cell r="E5380" t="str">
            <v>84020</v>
          </cell>
        </row>
        <row r="5381">
          <cell r="A5381" t="str">
            <v>ROCCADASPIDE</v>
          </cell>
          <cell r="B5381" t="str">
            <v>065106</v>
          </cell>
          <cell r="C5381" t="str">
            <v>SA</v>
          </cell>
          <cell r="D5381" t="str">
            <v>SA</v>
          </cell>
          <cell r="E5381" t="str">
            <v>84069</v>
          </cell>
        </row>
        <row r="5382">
          <cell r="A5382" t="str">
            <v>ROCCAGLORIOSA</v>
          </cell>
          <cell r="B5382" t="str">
            <v>065107</v>
          </cell>
          <cell r="C5382" t="str">
            <v>SA</v>
          </cell>
          <cell r="D5382" t="str">
            <v>SA</v>
          </cell>
          <cell r="E5382" t="str">
            <v>84060</v>
          </cell>
        </row>
        <row r="5383">
          <cell r="A5383" t="str">
            <v>ROCCAPIEMONTE</v>
          </cell>
          <cell r="B5383" t="str">
            <v>065108</v>
          </cell>
          <cell r="C5383" t="str">
            <v>SA</v>
          </cell>
          <cell r="D5383" t="str">
            <v>SA</v>
          </cell>
          <cell r="E5383" t="str">
            <v>84086</v>
          </cell>
        </row>
        <row r="5384">
          <cell r="A5384" t="str">
            <v>ROFRANO</v>
          </cell>
          <cell r="B5384" t="str">
            <v>065109</v>
          </cell>
          <cell r="C5384" t="str">
            <v>SA</v>
          </cell>
          <cell r="D5384" t="str">
            <v>SA</v>
          </cell>
          <cell r="E5384" t="str">
            <v>84070</v>
          </cell>
        </row>
        <row r="5385">
          <cell r="A5385" t="str">
            <v>ROMAGNANO AL MONTE</v>
          </cell>
          <cell r="B5385" t="str">
            <v>065110</v>
          </cell>
          <cell r="C5385" t="str">
            <v>SA</v>
          </cell>
          <cell r="D5385" t="str">
            <v>SA</v>
          </cell>
          <cell r="E5385" t="str">
            <v>84020</v>
          </cell>
        </row>
        <row r="5386">
          <cell r="A5386" t="str">
            <v>ROSCIGNO</v>
          </cell>
          <cell r="B5386" t="str">
            <v>065111</v>
          </cell>
          <cell r="C5386" t="str">
            <v>SA</v>
          </cell>
          <cell r="D5386" t="str">
            <v>SA</v>
          </cell>
          <cell r="E5386" t="str">
            <v>84020</v>
          </cell>
        </row>
        <row r="5387">
          <cell r="A5387" t="str">
            <v>RUTINO</v>
          </cell>
          <cell r="B5387" t="str">
            <v>065112</v>
          </cell>
          <cell r="C5387" t="str">
            <v>SA</v>
          </cell>
          <cell r="D5387" t="str">
            <v>SA</v>
          </cell>
          <cell r="E5387" t="str">
            <v>84070</v>
          </cell>
        </row>
        <row r="5388">
          <cell r="A5388" t="str">
            <v>SACCO</v>
          </cell>
          <cell r="B5388" t="str">
            <v>065113</v>
          </cell>
          <cell r="C5388" t="str">
            <v>SA</v>
          </cell>
          <cell r="D5388" t="str">
            <v>SA</v>
          </cell>
          <cell r="E5388" t="str">
            <v>84070</v>
          </cell>
        </row>
        <row r="5389">
          <cell r="A5389" t="str">
            <v>SALA CONSILINA</v>
          </cell>
          <cell r="B5389" t="str">
            <v>065114</v>
          </cell>
          <cell r="C5389" t="str">
            <v>SA</v>
          </cell>
          <cell r="D5389" t="str">
            <v>SA</v>
          </cell>
          <cell r="E5389" t="str">
            <v>84036</v>
          </cell>
        </row>
        <row r="5390">
          <cell r="A5390" t="str">
            <v>SALENTO</v>
          </cell>
          <cell r="B5390" t="str">
            <v>065115</v>
          </cell>
          <cell r="C5390" t="str">
            <v>SA</v>
          </cell>
          <cell r="D5390" t="str">
            <v>SA</v>
          </cell>
          <cell r="E5390" t="str">
            <v>84070</v>
          </cell>
        </row>
        <row r="5391">
          <cell r="A5391" t="str">
            <v>SALERNO</v>
          </cell>
          <cell r="B5391" t="str">
            <v>065116</v>
          </cell>
          <cell r="C5391" t="str">
            <v>SA</v>
          </cell>
          <cell r="D5391" t="str">
            <v>SA</v>
          </cell>
          <cell r="E5391" t="str">
            <v>841xx</v>
          </cell>
        </row>
        <row r="5392">
          <cell r="A5392" t="str">
            <v>SALVITELLE</v>
          </cell>
          <cell r="B5392" t="str">
            <v>065117</v>
          </cell>
          <cell r="C5392" t="str">
            <v>SA</v>
          </cell>
          <cell r="D5392" t="str">
            <v>SA</v>
          </cell>
          <cell r="E5392" t="str">
            <v>84020</v>
          </cell>
        </row>
        <row r="5393">
          <cell r="A5393" t="str">
            <v>SAN CIPRIANO PICENTINO</v>
          </cell>
          <cell r="B5393" t="str">
            <v>065118</v>
          </cell>
          <cell r="C5393" t="str">
            <v>SA</v>
          </cell>
          <cell r="D5393" t="str">
            <v>SA</v>
          </cell>
          <cell r="E5393" t="str">
            <v>84099</v>
          </cell>
        </row>
        <row r="5394">
          <cell r="A5394" t="str">
            <v>SAN GIOVANNI A PIRO</v>
          </cell>
          <cell r="B5394" t="str">
            <v>065119</v>
          </cell>
          <cell r="C5394" t="str">
            <v>SA</v>
          </cell>
          <cell r="D5394" t="str">
            <v>SA</v>
          </cell>
          <cell r="E5394" t="str">
            <v>84070</v>
          </cell>
        </row>
        <row r="5395">
          <cell r="A5395" t="str">
            <v>SAN GREGORIO MAGNO</v>
          </cell>
          <cell r="B5395" t="str">
            <v>065120</v>
          </cell>
          <cell r="C5395" t="str">
            <v>SA</v>
          </cell>
          <cell r="D5395" t="str">
            <v>SA</v>
          </cell>
          <cell r="E5395" t="str">
            <v>84020</v>
          </cell>
        </row>
        <row r="5396">
          <cell r="A5396" t="str">
            <v>SAN MANGO PIEMONTE</v>
          </cell>
          <cell r="B5396" t="str">
            <v>065121</v>
          </cell>
          <cell r="C5396" t="str">
            <v>SA</v>
          </cell>
          <cell r="D5396" t="str">
            <v>SA</v>
          </cell>
          <cell r="E5396" t="str">
            <v>84090</v>
          </cell>
        </row>
        <row r="5397">
          <cell r="A5397" t="str">
            <v>SAN MARZANO SUL SARNO</v>
          </cell>
          <cell r="B5397" t="str">
            <v>065122</v>
          </cell>
          <cell r="C5397" t="str">
            <v>SA</v>
          </cell>
          <cell r="D5397" t="str">
            <v>SA</v>
          </cell>
          <cell r="E5397" t="str">
            <v>84010</v>
          </cell>
        </row>
        <row r="5398">
          <cell r="A5398" t="str">
            <v>SAN MAURO CILENTO</v>
          </cell>
          <cell r="B5398" t="str">
            <v>065123</v>
          </cell>
          <cell r="C5398" t="str">
            <v>SA</v>
          </cell>
          <cell r="D5398" t="str">
            <v>SA</v>
          </cell>
          <cell r="E5398" t="str">
            <v>84070</v>
          </cell>
        </row>
        <row r="5399">
          <cell r="A5399" t="str">
            <v>SAN MAURO LA BRUCA</v>
          </cell>
          <cell r="B5399" t="str">
            <v>065124</v>
          </cell>
          <cell r="C5399" t="str">
            <v>SA</v>
          </cell>
          <cell r="D5399" t="str">
            <v>SA</v>
          </cell>
          <cell r="E5399" t="str">
            <v>84070</v>
          </cell>
        </row>
        <row r="5400">
          <cell r="A5400" t="str">
            <v>SAN PIETRO AL TANAGRO</v>
          </cell>
          <cell r="B5400" t="str">
            <v>065125</v>
          </cell>
          <cell r="C5400" t="str">
            <v>SA</v>
          </cell>
          <cell r="D5400" t="str">
            <v>SA</v>
          </cell>
          <cell r="E5400" t="str">
            <v>84030</v>
          </cell>
        </row>
        <row r="5401">
          <cell r="A5401" t="str">
            <v>SAN RUFO</v>
          </cell>
          <cell r="B5401" t="str">
            <v>065126</v>
          </cell>
          <cell r="C5401" t="str">
            <v>SA</v>
          </cell>
          <cell r="D5401" t="str">
            <v>SA</v>
          </cell>
          <cell r="E5401" t="str">
            <v>84030</v>
          </cell>
        </row>
        <row r="5402">
          <cell r="A5402" t="str">
            <v>SANTA MARINA</v>
          </cell>
          <cell r="B5402" t="str">
            <v>065127</v>
          </cell>
          <cell r="C5402" t="str">
            <v>SA</v>
          </cell>
          <cell r="D5402" t="str">
            <v>SA</v>
          </cell>
          <cell r="E5402" t="str">
            <v>84070</v>
          </cell>
        </row>
        <row r="5403">
          <cell r="A5403" t="str">
            <v>SANT'ANGELO A FASANELLA</v>
          </cell>
          <cell r="B5403" t="str">
            <v>065128</v>
          </cell>
          <cell r="C5403" t="str">
            <v>SA</v>
          </cell>
          <cell r="D5403" t="str">
            <v>SA</v>
          </cell>
          <cell r="E5403" t="str">
            <v>84027</v>
          </cell>
        </row>
        <row r="5404">
          <cell r="A5404" t="str">
            <v>SANT'ARSENIO</v>
          </cell>
          <cell r="B5404" t="str">
            <v>065129</v>
          </cell>
          <cell r="C5404" t="str">
            <v>SA</v>
          </cell>
          <cell r="D5404" t="str">
            <v>SA</v>
          </cell>
          <cell r="E5404" t="str">
            <v>84037</v>
          </cell>
        </row>
        <row r="5405">
          <cell r="A5405" t="str">
            <v>SANT'EGIDIO DEL MONTE ALBINO</v>
          </cell>
          <cell r="B5405" t="str">
            <v>065130</v>
          </cell>
          <cell r="C5405" t="str">
            <v>SA</v>
          </cell>
          <cell r="D5405" t="str">
            <v>SA</v>
          </cell>
          <cell r="E5405" t="str">
            <v>84010</v>
          </cell>
        </row>
        <row r="5406">
          <cell r="A5406" t="str">
            <v>SANTOMENNA</v>
          </cell>
          <cell r="B5406" t="str">
            <v>065131</v>
          </cell>
          <cell r="C5406" t="str">
            <v>SA</v>
          </cell>
          <cell r="D5406" t="str">
            <v>SA</v>
          </cell>
          <cell r="E5406" t="str">
            <v>84020</v>
          </cell>
        </row>
        <row r="5407">
          <cell r="A5407" t="str">
            <v>SAN VALENTINO TORIO</v>
          </cell>
          <cell r="B5407" t="str">
            <v>065132</v>
          </cell>
          <cell r="C5407" t="str">
            <v>SA</v>
          </cell>
          <cell r="D5407" t="str">
            <v>SA</v>
          </cell>
          <cell r="E5407" t="str">
            <v>84010</v>
          </cell>
        </row>
        <row r="5408">
          <cell r="A5408" t="str">
            <v>SANZA</v>
          </cell>
          <cell r="B5408" t="str">
            <v>065133</v>
          </cell>
          <cell r="C5408" t="str">
            <v>SA</v>
          </cell>
          <cell r="D5408" t="str">
            <v>SA</v>
          </cell>
          <cell r="E5408" t="str">
            <v>84030</v>
          </cell>
        </row>
        <row r="5409">
          <cell r="A5409" t="str">
            <v>SAPRI</v>
          </cell>
          <cell r="B5409" t="str">
            <v>065134</v>
          </cell>
          <cell r="C5409" t="str">
            <v>SA</v>
          </cell>
          <cell r="D5409" t="str">
            <v>SA</v>
          </cell>
          <cell r="E5409" t="str">
            <v>84073</v>
          </cell>
        </row>
        <row r="5410">
          <cell r="A5410" t="str">
            <v>SARNO</v>
          </cell>
          <cell r="B5410" t="str">
            <v>065135</v>
          </cell>
          <cell r="C5410" t="str">
            <v>SA</v>
          </cell>
          <cell r="D5410" t="str">
            <v>SA</v>
          </cell>
          <cell r="E5410" t="str">
            <v>84087</v>
          </cell>
        </row>
        <row r="5411">
          <cell r="A5411" t="str">
            <v>SASSANO</v>
          </cell>
          <cell r="B5411" t="str">
            <v>065136</v>
          </cell>
          <cell r="C5411" t="str">
            <v>SA</v>
          </cell>
          <cell r="D5411" t="str">
            <v>SA</v>
          </cell>
          <cell r="E5411" t="str">
            <v>84038</v>
          </cell>
        </row>
        <row r="5412">
          <cell r="A5412" t="str">
            <v>SCAFATI</v>
          </cell>
          <cell r="B5412" t="str">
            <v>065137</v>
          </cell>
          <cell r="C5412" t="str">
            <v>SA</v>
          </cell>
          <cell r="D5412" t="str">
            <v>SA</v>
          </cell>
          <cell r="E5412" t="str">
            <v>84018</v>
          </cell>
        </row>
        <row r="5413">
          <cell r="A5413" t="str">
            <v>SCALA</v>
          </cell>
          <cell r="B5413" t="str">
            <v>065138</v>
          </cell>
          <cell r="C5413" t="str">
            <v>SA</v>
          </cell>
          <cell r="D5413" t="str">
            <v>SA</v>
          </cell>
          <cell r="E5413" t="str">
            <v>84010</v>
          </cell>
        </row>
        <row r="5414">
          <cell r="A5414" t="str">
            <v>SERRAMEZZANA</v>
          </cell>
          <cell r="B5414" t="str">
            <v>065139</v>
          </cell>
          <cell r="C5414" t="str">
            <v>SA</v>
          </cell>
          <cell r="D5414" t="str">
            <v>SA</v>
          </cell>
          <cell r="E5414" t="str">
            <v>84070</v>
          </cell>
        </row>
        <row r="5415">
          <cell r="A5415" t="str">
            <v>SERRE</v>
          </cell>
          <cell r="B5415" t="str">
            <v>065140</v>
          </cell>
          <cell r="C5415" t="str">
            <v>SA</v>
          </cell>
          <cell r="D5415" t="str">
            <v>SA</v>
          </cell>
          <cell r="E5415" t="str">
            <v>84028</v>
          </cell>
        </row>
        <row r="5416">
          <cell r="A5416" t="str">
            <v>SESSA CILENTO</v>
          </cell>
          <cell r="B5416" t="str">
            <v>065141</v>
          </cell>
          <cell r="C5416" t="str">
            <v>SA</v>
          </cell>
          <cell r="D5416" t="str">
            <v>SA</v>
          </cell>
          <cell r="E5416" t="str">
            <v>84074</v>
          </cell>
        </row>
        <row r="5417">
          <cell r="A5417" t="str">
            <v>SIANO</v>
          </cell>
          <cell r="B5417" t="str">
            <v>065142</v>
          </cell>
          <cell r="C5417" t="str">
            <v>SA</v>
          </cell>
          <cell r="D5417" t="str">
            <v>SA</v>
          </cell>
          <cell r="E5417" t="str">
            <v>84088</v>
          </cell>
        </row>
        <row r="5418">
          <cell r="A5418" t="str">
            <v>SICIGNANO DEGLI ALBURNI</v>
          </cell>
          <cell r="B5418" t="str">
            <v>065143</v>
          </cell>
          <cell r="C5418" t="str">
            <v>SA</v>
          </cell>
          <cell r="D5418" t="str">
            <v>SA</v>
          </cell>
          <cell r="E5418" t="str">
            <v>84029</v>
          </cell>
        </row>
        <row r="5419">
          <cell r="A5419" t="str">
            <v>STELLA CILENTO</v>
          </cell>
          <cell r="B5419" t="str">
            <v>065144</v>
          </cell>
          <cell r="C5419" t="str">
            <v>SA</v>
          </cell>
          <cell r="D5419" t="str">
            <v>SA</v>
          </cell>
          <cell r="E5419" t="str">
            <v>84070</v>
          </cell>
        </row>
        <row r="5420">
          <cell r="A5420" t="str">
            <v>STIO</v>
          </cell>
          <cell r="B5420" t="str">
            <v>065145</v>
          </cell>
          <cell r="C5420" t="str">
            <v>SA</v>
          </cell>
          <cell r="D5420" t="str">
            <v>SA</v>
          </cell>
          <cell r="E5420" t="str">
            <v>84075</v>
          </cell>
        </row>
        <row r="5421">
          <cell r="A5421" t="str">
            <v>TEGGIANO</v>
          </cell>
          <cell r="B5421" t="str">
            <v>065146</v>
          </cell>
          <cell r="C5421" t="str">
            <v>SA</v>
          </cell>
          <cell r="D5421" t="str">
            <v>SA</v>
          </cell>
          <cell r="E5421" t="str">
            <v>84039</v>
          </cell>
        </row>
        <row r="5422">
          <cell r="A5422" t="str">
            <v>TORCHIARA</v>
          </cell>
          <cell r="B5422" t="str">
            <v>065147</v>
          </cell>
          <cell r="C5422" t="str">
            <v>SA</v>
          </cell>
          <cell r="D5422" t="str">
            <v>SA</v>
          </cell>
          <cell r="E5422" t="str">
            <v>84076</v>
          </cell>
        </row>
        <row r="5423">
          <cell r="A5423" t="str">
            <v>TORRACA</v>
          </cell>
          <cell r="B5423" t="str">
            <v>065148</v>
          </cell>
          <cell r="C5423" t="str">
            <v>SA</v>
          </cell>
          <cell r="D5423" t="str">
            <v>SA</v>
          </cell>
          <cell r="E5423" t="str">
            <v>84030</v>
          </cell>
        </row>
        <row r="5424">
          <cell r="A5424" t="str">
            <v>TORRE ORSAIA</v>
          </cell>
          <cell r="B5424" t="str">
            <v>065149</v>
          </cell>
          <cell r="C5424" t="str">
            <v>SA</v>
          </cell>
          <cell r="D5424" t="str">
            <v>SA</v>
          </cell>
          <cell r="E5424" t="str">
            <v>84077</v>
          </cell>
        </row>
        <row r="5425">
          <cell r="A5425" t="str">
            <v>TORTORELLA</v>
          </cell>
          <cell r="B5425" t="str">
            <v>065150</v>
          </cell>
          <cell r="C5425" t="str">
            <v>SA</v>
          </cell>
          <cell r="D5425" t="str">
            <v>SA</v>
          </cell>
          <cell r="E5425" t="str">
            <v>84030</v>
          </cell>
        </row>
        <row r="5426">
          <cell r="A5426" t="str">
            <v>TRAMONTI</v>
          </cell>
          <cell r="B5426" t="str">
            <v>065151</v>
          </cell>
          <cell r="C5426" t="str">
            <v>SA</v>
          </cell>
          <cell r="D5426" t="str">
            <v>SA</v>
          </cell>
          <cell r="E5426" t="str">
            <v>84010</v>
          </cell>
        </row>
        <row r="5427">
          <cell r="A5427" t="str">
            <v>TRENTINARA</v>
          </cell>
          <cell r="B5427" t="str">
            <v>065152</v>
          </cell>
          <cell r="C5427" t="str">
            <v>SA</v>
          </cell>
          <cell r="D5427" t="str">
            <v>SA</v>
          </cell>
          <cell r="E5427" t="str">
            <v>84070</v>
          </cell>
        </row>
        <row r="5428">
          <cell r="A5428" t="str">
            <v>VALLE DELL'ANGELO</v>
          </cell>
          <cell r="B5428" t="str">
            <v>065153</v>
          </cell>
          <cell r="C5428" t="str">
            <v>SA</v>
          </cell>
          <cell r="D5428" t="str">
            <v>SA</v>
          </cell>
          <cell r="E5428" t="str">
            <v>84070</v>
          </cell>
        </row>
        <row r="5429">
          <cell r="A5429" t="str">
            <v>VALLO DELLA LUCANIA</v>
          </cell>
          <cell r="B5429" t="str">
            <v>065154</v>
          </cell>
          <cell r="C5429" t="str">
            <v>SA</v>
          </cell>
          <cell r="D5429" t="str">
            <v>SA</v>
          </cell>
          <cell r="E5429" t="str">
            <v>84078</v>
          </cell>
        </row>
        <row r="5430">
          <cell r="A5430" t="str">
            <v>VALVA</v>
          </cell>
          <cell r="B5430" t="str">
            <v>065155</v>
          </cell>
          <cell r="C5430" t="str">
            <v>SA</v>
          </cell>
          <cell r="D5430" t="str">
            <v>SA</v>
          </cell>
          <cell r="E5430" t="str">
            <v>84020</v>
          </cell>
        </row>
        <row r="5431">
          <cell r="A5431" t="str">
            <v>VIBONATI</v>
          </cell>
          <cell r="B5431" t="str">
            <v>065156</v>
          </cell>
          <cell r="C5431" t="str">
            <v>SA</v>
          </cell>
          <cell r="D5431" t="str">
            <v>SA</v>
          </cell>
          <cell r="E5431" t="str">
            <v>84079</v>
          </cell>
        </row>
        <row r="5432">
          <cell r="A5432" t="str">
            <v>VIETRI SUL MARE</v>
          </cell>
          <cell r="B5432" t="str">
            <v>065157</v>
          </cell>
          <cell r="C5432" t="str">
            <v>SA</v>
          </cell>
          <cell r="D5432" t="str">
            <v>SA</v>
          </cell>
          <cell r="E5432" t="str">
            <v>84019</v>
          </cell>
        </row>
        <row r="5433">
          <cell r="A5433" t="str">
            <v>BELLIZZI</v>
          </cell>
          <cell r="B5433" t="str">
            <v>065158</v>
          </cell>
          <cell r="C5433" t="str">
            <v>SA</v>
          </cell>
          <cell r="D5433" t="str">
            <v>SA</v>
          </cell>
          <cell r="E5433" t="str">
            <v>84092</v>
          </cell>
        </row>
        <row r="5434">
          <cell r="A5434" t="str">
            <v>ACCIANO</v>
          </cell>
          <cell r="B5434" t="str">
            <v>066001</v>
          </cell>
          <cell r="C5434" t="str">
            <v>AQ</v>
          </cell>
          <cell r="D5434" t="str">
            <v>AQ</v>
          </cell>
          <cell r="E5434" t="str">
            <v>67020</v>
          </cell>
        </row>
        <row r="5435">
          <cell r="A5435" t="str">
            <v>AIELLI</v>
          </cell>
          <cell r="B5435" t="str">
            <v>066002</v>
          </cell>
          <cell r="C5435" t="str">
            <v>AQ</v>
          </cell>
          <cell r="D5435" t="str">
            <v>AQ</v>
          </cell>
          <cell r="E5435" t="str">
            <v>67041</v>
          </cell>
        </row>
        <row r="5436">
          <cell r="A5436" t="str">
            <v>ALFEDENA</v>
          </cell>
          <cell r="B5436" t="str">
            <v>066003</v>
          </cell>
          <cell r="C5436" t="str">
            <v>AQ</v>
          </cell>
          <cell r="D5436" t="str">
            <v>AQ</v>
          </cell>
          <cell r="E5436" t="str">
            <v>67030</v>
          </cell>
        </row>
        <row r="5437">
          <cell r="A5437" t="str">
            <v>ANVERSA DEGLI ABRUZZI</v>
          </cell>
          <cell r="B5437" t="str">
            <v>066004</v>
          </cell>
          <cell r="C5437" t="str">
            <v>AQ</v>
          </cell>
          <cell r="D5437" t="str">
            <v>AQ</v>
          </cell>
          <cell r="E5437" t="str">
            <v>67030</v>
          </cell>
        </row>
        <row r="5438">
          <cell r="A5438" t="str">
            <v>ATELETA</v>
          </cell>
          <cell r="B5438" t="str">
            <v>066005</v>
          </cell>
          <cell r="C5438" t="str">
            <v>AQ</v>
          </cell>
          <cell r="D5438" t="str">
            <v>AQ</v>
          </cell>
          <cell r="E5438" t="str">
            <v>67030</v>
          </cell>
        </row>
        <row r="5439">
          <cell r="A5439" t="str">
            <v>AVEZZANO</v>
          </cell>
          <cell r="B5439" t="str">
            <v>066006</v>
          </cell>
          <cell r="C5439" t="str">
            <v>AQ</v>
          </cell>
          <cell r="D5439" t="str">
            <v>AQ</v>
          </cell>
          <cell r="E5439" t="str">
            <v>67051</v>
          </cell>
        </row>
        <row r="5440">
          <cell r="A5440" t="str">
            <v>BALSORANO</v>
          </cell>
          <cell r="B5440" t="str">
            <v>066007</v>
          </cell>
          <cell r="C5440" t="str">
            <v>AQ</v>
          </cell>
          <cell r="D5440" t="str">
            <v>AQ</v>
          </cell>
          <cell r="E5440" t="str">
            <v>67052</v>
          </cell>
        </row>
        <row r="5441">
          <cell r="A5441" t="str">
            <v>BARETE</v>
          </cell>
          <cell r="B5441" t="str">
            <v>066008</v>
          </cell>
          <cell r="C5441" t="str">
            <v>AQ</v>
          </cell>
          <cell r="D5441" t="str">
            <v>AQ</v>
          </cell>
          <cell r="E5441" t="str">
            <v>67010</v>
          </cell>
        </row>
        <row r="5442">
          <cell r="A5442" t="str">
            <v>BARISCIANO</v>
          </cell>
          <cell r="B5442" t="str">
            <v>066009</v>
          </cell>
          <cell r="C5442" t="str">
            <v>AQ</v>
          </cell>
          <cell r="D5442" t="str">
            <v>AQ</v>
          </cell>
          <cell r="E5442" t="str">
            <v>67021</v>
          </cell>
        </row>
        <row r="5443">
          <cell r="A5443" t="str">
            <v>BARREA</v>
          </cell>
          <cell r="B5443" t="str">
            <v>066010</v>
          </cell>
          <cell r="C5443" t="str">
            <v>AQ</v>
          </cell>
          <cell r="D5443" t="str">
            <v>AQ</v>
          </cell>
          <cell r="E5443" t="str">
            <v>67030</v>
          </cell>
        </row>
        <row r="5444">
          <cell r="A5444" t="str">
            <v>BISEGNA</v>
          </cell>
          <cell r="B5444" t="str">
            <v>066011</v>
          </cell>
          <cell r="C5444" t="str">
            <v>AQ</v>
          </cell>
          <cell r="D5444" t="str">
            <v>AQ</v>
          </cell>
          <cell r="E5444" t="str">
            <v>67050</v>
          </cell>
        </row>
        <row r="5445">
          <cell r="A5445" t="str">
            <v>BUGNARA</v>
          </cell>
          <cell r="B5445" t="str">
            <v>066012</v>
          </cell>
          <cell r="C5445" t="str">
            <v>AQ</v>
          </cell>
          <cell r="D5445" t="str">
            <v>AQ</v>
          </cell>
          <cell r="E5445" t="str">
            <v>67030</v>
          </cell>
        </row>
        <row r="5446">
          <cell r="A5446" t="str">
            <v>CAGNANO AMITERNO</v>
          </cell>
          <cell r="B5446" t="str">
            <v>066013</v>
          </cell>
          <cell r="C5446" t="str">
            <v>AQ</v>
          </cell>
          <cell r="D5446" t="str">
            <v>AQ</v>
          </cell>
          <cell r="E5446" t="str">
            <v>67012</v>
          </cell>
        </row>
        <row r="5447">
          <cell r="A5447" t="str">
            <v>CALASCIO</v>
          </cell>
          <cell r="B5447" t="str">
            <v>066014</v>
          </cell>
          <cell r="C5447" t="str">
            <v>AQ</v>
          </cell>
          <cell r="D5447" t="str">
            <v>AQ</v>
          </cell>
          <cell r="E5447" t="str">
            <v>67020</v>
          </cell>
        </row>
        <row r="5448">
          <cell r="A5448" t="str">
            <v>CAMPO DI GIOVE</v>
          </cell>
          <cell r="B5448" t="str">
            <v>066015</v>
          </cell>
          <cell r="C5448" t="str">
            <v>AQ</v>
          </cell>
          <cell r="D5448" t="str">
            <v>AQ</v>
          </cell>
          <cell r="E5448" t="str">
            <v>67030</v>
          </cell>
        </row>
        <row r="5449">
          <cell r="A5449" t="str">
            <v>CAMPOTOSTO</v>
          </cell>
          <cell r="B5449" t="str">
            <v>066016</v>
          </cell>
          <cell r="C5449" t="str">
            <v>AQ</v>
          </cell>
          <cell r="D5449" t="str">
            <v>AQ</v>
          </cell>
          <cell r="E5449" t="str">
            <v>67013</v>
          </cell>
        </row>
        <row r="5450">
          <cell r="A5450" t="str">
            <v>CANISTRO</v>
          </cell>
          <cell r="B5450" t="str">
            <v>066017</v>
          </cell>
          <cell r="C5450" t="str">
            <v>AQ</v>
          </cell>
          <cell r="D5450" t="str">
            <v>AQ</v>
          </cell>
          <cell r="E5450" t="str">
            <v>67050</v>
          </cell>
        </row>
        <row r="5451">
          <cell r="A5451" t="str">
            <v>CANSANO</v>
          </cell>
          <cell r="B5451" t="str">
            <v>066018</v>
          </cell>
          <cell r="C5451" t="str">
            <v>AQ</v>
          </cell>
          <cell r="D5451" t="str">
            <v>AQ</v>
          </cell>
          <cell r="E5451" t="str">
            <v>67030</v>
          </cell>
        </row>
        <row r="5452">
          <cell r="A5452" t="str">
            <v>CAPESTRANO</v>
          </cell>
          <cell r="B5452" t="str">
            <v>066019</v>
          </cell>
          <cell r="C5452" t="str">
            <v>AQ</v>
          </cell>
          <cell r="D5452" t="str">
            <v>AQ</v>
          </cell>
          <cell r="E5452" t="str">
            <v>67022</v>
          </cell>
        </row>
        <row r="5453">
          <cell r="A5453" t="str">
            <v>CAPISTRELLO</v>
          </cell>
          <cell r="B5453" t="str">
            <v>066020</v>
          </cell>
          <cell r="C5453" t="str">
            <v>AQ</v>
          </cell>
          <cell r="D5453" t="str">
            <v>AQ</v>
          </cell>
          <cell r="E5453" t="str">
            <v>67053</v>
          </cell>
        </row>
        <row r="5454">
          <cell r="A5454" t="str">
            <v>CAPITIGNANO</v>
          </cell>
          <cell r="B5454" t="str">
            <v>066021</v>
          </cell>
          <cell r="C5454" t="str">
            <v>AQ</v>
          </cell>
          <cell r="D5454" t="str">
            <v>AQ</v>
          </cell>
          <cell r="E5454" t="str">
            <v>67014</v>
          </cell>
        </row>
        <row r="5455">
          <cell r="A5455" t="str">
            <v>CAPORCIANO</v>
          </cell>
          <cell r="B5455" t="str">
            <v>066022</v>
          </cell>
          <cell r="C5455" t="str">
            <v>AQ</v>
          </cell>
          <cell r="D5455" t="str">
            <v>AQ</v>
          </cell>
          <cell r="E5455" t="str">
            <v>67020</v>
          </cell>
        </row>
        <row r="5456">
          <cell r="A5456" t="str">
            <v>CAPPADOCIA</v>
          </cell>
          <cell r="B5456" t="str">
            <v>066023</v>
          </cell>
          <cell r="C5456" t="str">
            <v>AQ</v>
          </cell>
          <cell r="D5456" t="str">
            <v>AQ</v>
          </cell>
          <cell r="E5456" t="str">
            <v>67060</v>
          </cell>
        </row>
        <row r="5457">
          <cell r="A5457" t="str">
            <v>CARAPELLE CALVISIO</v>
          </cell>
          <cell r="B5457" t="str">
            <v>066024</v>
          </cell>
          <cell r="C5457" t="str">
            <v>AQ</v>
          </cell>
          <cell r="D5457" t="str">
            <v>AQ</v>
          </cell>
          <cell r="E5457" t="str">
            <v>67020</v>
          </cell>
        </row>
        <row r="5458">
          <cell r="A5458" t="str">
            <v>CARSOLI</v>
          </cell>
          <cell r="B5458" t="str">
            <v>066025</v>
          </cell>
          <cell r="C5458" t="str">
            <v>AQ</v>
          </cell>
          <cell r="D5458" t="str">
            <v>AQ</v>
          </cell>
          <cell r="E5458" t="str">
            <v>67061</v>
          </cell>
        </row>
        <row r="5459">
          <cell r="A5459" t="str">
            <v>CASTEL DEL MONTE</v>
          </cell>
          <cell r="B5459" t="str">
            <v>066026</v>
          </cell>
          <cell r="C5459" t="str">
            <v>AQ</v>
          </cell>
          <cell r="D5459" t="str">
            <v>AQ</v>
          </cell>
          <cell r="E5459" t="str">
            <v>67023</v>
          </cell>
        </row>
        <row r="5460">
          <cell r="A5460" t="str">
            <v>CASTEL DI IERI</v>
          </cell>
          <cell r="B5460" t="str">
            <v>066027</v>
          </cell>
          <cell r="C5460" t="str">
            <v>AQ</v>
          </cell>
          <cell r="D5460" t="str">
            <v>AQ</v>
          </cell>
          <cell r="E5460" t="str">
            <v>67020</v>
          </cell>
        </row>
        <row r="5461">
          <cell r="A5461" t="str">
            <v>CASTEL DI SANGRO</v>
          </cell>
          <cell r="B5461" t="str">
            <v>066028</v>
          </cell>
          <cell r="C5461" t="str">
            <v>AQ</v>
          </cell>
          <cell r="D5461" t="str">
            <v>AQ</v>
          </cell>
          <cell r="E5461" t="str">
            <v>67031</v>
          </cell>
        </row>
        <row r="5462">
          <cell r="A5462" t="str">
            <v>CASTELLAFIUME</v>
          </cell>
          <cell r="B5462" t="str">
            <v>066029</v>
          </cell>
          <cell r="C5462" t="str">
            <v>AQ</v>
          </cell>
          <cell r="D5462" t="str">
            <v>AQ</v>
          </cell>
          <cell r="E5462" t="str">
            <v>67050</v>
          </cell>
        </row>
        <row r="5463">
          <cell r="A5463" t="str">
            <v>CASTELVECCHIO CALVISIO</v>
          </cell>
          <cell r="B5463" t="str">
            <v>066030</v>
          </cell>
          <cell r="C5463" t="str">
            <v>AQ</v>
          </cell>
          <cell r="D5463" t="str">
            <v>AQ</v>
          </cell>
          <cell r="E5463" t="str">
            <v>67020</v>
          </cell>
        </row>
        <row r="5464">
          <cell r="A5464" t="str">
            <v>CASTELVECCHIO SUBEQUO</v>
          </cell>
          <cell r="B5464" t="str">
            <v>066031</v>
          </cell>
          <cell r="C5464" t="str">
            <v>AQ</v>
          </cell>
          <cell r="D5464" t="str">
            <v>AQ</v>
          </cell>
          <cell r="E5464" t="str">
            <v>67024</v>
          </cell>
        </row>
        <row r="5465">
          <cell r="A5465" t="str">
            <v>CELANO</v>
          </cell>
          <cell r="B5465" t="str">
            <v>066032</v>
          </cell>
          <cell r="C5465" t="str">
            <v>AQ</v>
          </cell>
          <cell r="D5465" t="str">
            <v>AQ</v>
          </cell>
          <cell r="E5465" t="str">
            <v>67043</v>
          </cell>
        </row>
        <row r="5466">
          <cell r="A5466" t="str">
            <v>CERCHIO</v>
          </cell>
          <cell r="B5466" t="str">
            <v>066033</v>
          </cell>
          <cell r="C5466" t="str">
            <v>AQ</v>
          </cell>
          <cell r="D5466" t="str">
            <v>AQ</v>
          </cell>
          <cell r="E5466" t="str">
            <v>67044</v>
          </cell>
        </row>
        <row r="5467">
          <cell r="A5467" t="str">
            <v>CIVITA D'ANTINO</v>
          </cell>
          <cell r="B5467" t="str">
            <v>066034</v>
          </cell>
          <cell r="C5467" t="str">
            <v>AQ</v>
          </cell>
          <cell r="D5467" t="str">
            <v>AQ</v>
          </cell>
          <cell r="E5467" t="str">
            <v>67050</v>
          </cell>
        </row>
        <row r="5468">
          <cell r="A5468" t="str">
            <v>CIVITELLA ALFEDENA</v>
          </cell>
          <cell r="B5468" t="str">
            <v>066035</v>
          </cell>
          <cell r="C5468" t="str">
            <v>AQ</v>
          </cell>
          <cell r="D5468" t="str">
            <v>AQ</v>
          </cell>
          <cell r="E5468" t="str">
            <v>67030</v>
          </cell>
        </row>
        <row r="5469">
          <cell r="A5469" t="str">
            <v>CIVITELLA ROVETO</v>
          </cell>
          <cell r="B5469" t="str">
            <v>066036</v>
          </cell>
          <cell r="C5469" t="str">
            <v>AQ</v>
          </cell>
          <cell r="D5469" t="str">
            <v>AQ</v>
          </cell>
          <cell r="E5469" t="str">
            <v>67054</v>
          </cell>
        </row>
        <row r="5470">
          <cell r="A5470" t="str">
            <v>COCULLO</v>
          </cell>
          <cell r="B5470" t="str">
            <v>066037</v>
          </cell>
          <cell r="C5470" t="str">
            <v>AQ</v>
          </cell>
          <cell r="D5470" t="str">
            <v>AQ</v>
          </cell>
          <cell r="E5470" t="str">
            <v>67030</v>
          </cell>
        </row>
        <row r="5471">
          <cell r="A5471" t="str">
            <v>COLLARMELE</v>
          </cell>
          <cell r="B5471" t="str">
            <v>066038</v>
          </cell>
          <cell r="C5471" t="str">
            <v>AQ</v>
          </cell>
          <cell r="D5471" t="str">
            <v>AQ</v>
          </cell>
          <cell r="E5471" t="str">
            <v>67040</v>
          </cell>
        </row>
        <row r="5472">
          <cell r="A5472" t="str">
            <v>COLLELONGO</v>
          </cell>
          <cell r="B5472" t="str">
            <v>066039</v>
          </cell>
          <cell r="C5472" t="str">
            <v>AQ</v>
          </cell>
          <cell r="D5472" t="str">
            <v>AQ</v>
          </cell>
          <cell r="E5472" t="str">
            <v>67050</v>
          </cell>
        </row>
        <row r="5473">
          <cell r="A5473" t="str">
            <v>COLLEPIETRO</v>
          </cell>
          <cell r="B5473" t="str">
            <v>066040</v>
          </cell>
          <cell r="C5473" t="str">
            <v>AQ</v>
          </cell>
          <cell r="D5473" t="str">
            <v>AQ</v>
          </cell>
          <cell r="E5473" t="str">
            <v>67020</v>
          </cell>
        </row>
        <row r="5474">
          <cell r="A5474" t="str">
            <v>CORFINIO</v>
          </cell>
          <cell r="B5474" t="str">
            <v>066041</v>
          </cell>
          <cell r="C5474" t="str">
            <v>AQ</v>
          </cell>
          <cell r="D5474" t="str">
            <v>AQ</v>
          </cell>
          <cell r="E5474" t="str">
            <v>67030</v>
          </cell>
        </row>
        <row r="5475">
          <cell r="A5475" t="str">
            <v>FAGNANO ALTO</v>
          </cell>
          <cell r="B5475" t="str">
            <v>066042</v>
          </cell>
          <cell r="C5475" t="str">
            <v>AQ</v>
          </cell>
          <cell r="D5475" t="str">
            <v>AQ</v>
          </cell>
          <cell r="E5475" t="str">
            <v>67020</v>
          </cell>
        </row>
        <row r="5476">
          <cell r="A5476" t="str">
            <v>FONTECCHIO</v>
          </cell>
          <cell r="B5476" t="str">
            <v>066043</v>
          </cell>
          <cell r="C5476" t="str">
            <v>AQ</v>
          </cell>
          <cell r="D5476" t="str">
            <v>AQ</v>
          </cell>
          <cell r="E5476" t="str">
            <v>67020</v>
          </cell>
        </row>
        <row r="5477">
          <cell r="A5477" t="str">
            <v>FOSSA</v>
          </cell>
          <cell r="B5477" t="str">
            <v>066044</v>
          </cell>
          <cell r="C5477" t="str">
            <v>AQ</v>
          </cell>
          <cell r="D5477" t="str">
            <v>AQ</v>
          </cell>
          <cell r="E5477" t="str">
            <v>67020</v>
          </cell>
        </row>
        <row r="5478">
          <cell r="A5478" t="str">
            <v>GAGLIANO ATERNO</v>
          </cell>
          <cell r="B5478" t="str">
            <v>066045</v>
          </cell>
          <cell r="C5478" t="str">
            <v>AQ</v>
          </cell>
          <cell r="D5478" t="str">
            <v>AQ</v>
          </cell>
          <cell r="E5478" t="str">
            <v>67020</v>
          </cell>
        </row>
        <row r="5479">
          <cell r="A5479" t="str">
            <v>GIOIA DEI MARSI</v>
          </cell>
          <cell r="B5479" t="str">
            <v>066046</v>
          </cell>
          <cell r="C5479" t="str">
            <v>AQ</v>
          </cell>
          <cell r="D5479" t="str">
            <v>AQ</v>
          </cell>
          <cell r="E5479" t="str">
            <v>67055</v>
          </cell>
        </row>
        <row r="5480">
          <cell r="A5480" t="str">
            <v>GORIANO SICOLI</v>
          </cell>
          <cell r="B5480" t="str">
            <v>066047</v>
          </cell>
          <cell r="C5480" t="str">
            <v>AQ</v>
          </cell>
          <cell r="D5480" t="str">
            <v>AQ</v>
          </cell>
          <cell r="E5480" t="str">
            <v>67030</v>
          </cell>
        </row>
        <row r="5481">
          <cell r="A5481" t="str">
            <v>INTRODACQUA</v>
          </cell>
          <cell r="B5481" t="str">
            <v>066048</v>
          </cell>
          <cell r="C5481" t="str">
            <v>AQ</v>
          </cell>
          <cell r="D5481" t="str">
            <v>AQ</v>
          </cell>
          <cell r="E5481" t="str">
            <v>67030</v>
          </cell>
        </row>
        <row r="5482">
          <cell r="A5482" t="str">
            <v>L'AQUILA</v>
          </cell>
          <cell r="B5482" t="str">
            <v>066049</v>
          </cell>
          <cell r="C5482" t="str">
            <v>AQ</v>
          </cell>
          <cell r="D5482" t="str">
            <v>AQ</v>
          </cell>
          <cell r="E5482" t="str">
            <v>67100</v>
          </cell>
        </row>
        <row r="5483">
          <cell r="A5483" t="str">
            <v>LECCE NEI MARSI</v>
          </cell>
          <cell r="B5483" t="str">
            <v>066050</v>
          </cell>
          <cell r="C5483" t="str">
            <v>AQ</v>
          </cell>
          <cell r="D5483" t="str">
            <v>AQ</v>
          </cell>
          <cell r="E5483" t="str">
            <v>67050</v>
          </cell>
        </row>
        <row r="5484">
          <cell r="A5484" t="str">
            <v>LUCO DEI MARSI</v>
          </cell>
          <cell r="B5484" t="str">
            <v>066051</v>
          </cell>
          <cell r="C5484" t="str">
            <v>AQ</v>
          </cell>
          <cell r="D5484" t="str">
            <v>AQ</v>
          </cell>
          <cell r="E5484" t="str">
            <v>67056</v>
          </cell>
        </row>
        <row r="5485">
          <cell r="A5485" t="str">
            <v>LUCOLI</v>
          </cell>
          <cell r="B5485" t="str">
            <v>066052</v>
          </cell>
          <cell r="C5485" t="str">
            <v>AQ</v>
          </cell>
          <cell r="D5485" t="str">
            <v>AQ</v>
          </cell>
          <cell r="E5485" t="str">
            <v>67045</v>
          </cell>
        </row>
        <row r="5486">
          <cell r="A5486" t="str">
            <v>MAGLIANO DE' MARSI</v>
          </cell>
          <cell r="B5486" t="str">
            <v>066053</v>
          </cell>
          <cell r="C5486" t="str">
            <v>AQ</v>
          </cell>
          <cell r="D5486" t="str">
            <v>AQ</v>
          </cell>
          <cell r="E5486" t="str">
            <v>67062</v>
          </cell>
        </row>
        <row r="5487">
          <cell r="A5487" t="str">
            <v>MASSA D'ALBE</v>
          </cell>
          <cell r="B5487" t="str">
            <v>066054</v>
          </cell>
          <cell r="C5487" t="str">
            <v>AQ</v>
          </cell>
          <cell r="D5487" t="str">
            <v>AQ</v>
          </cell>
          <cell r="E5487" t="str">
            <v>67050</v>
          </cell>
        </row>
        <row r="5488">
          <cell r="A5488" t="str">
            <v>MOLINA ATERNO</v>
          </cell>
          <cell r="B5488" t="str">
            <v>066055</v>
          </cell>
          <cell r="C5488" t="str">
            <v>AQ</v>
          </cell>
          <cell r="D5488" t="str">
            <v>AQ</v>
          </cell>
          <cell r="E5488" t="str">
            <v>67020</v>
          </cell>
        </row>
        <row r="5489">
          <cell r="A5489" t="str">
            <v>MONTEREALE</v>
          </cell>
          <cell r="B5489" t="str">
            <v>066056</v>
          </cell>
          <cell r="C5489" t="str">
            <v>AQ</v>
          </cell>
          <cell r="D5489" t="str">
            <v>AQ</v>
          </cell>
          <cell r="E5489" t="str">
            <v>67015</v>
          </cell>
        </row>
        <row r="5490">
          <cell r="A5490" t="str">
            <v>MORINO</v>
          </cell>
          <cell r="B5490" t="str">
            <v>066057</v>
          </cell>
          <cell r="C5490" t="str">
            <v>AQ</v>
          </cell>
          <cell r="D5490" t="str">
            <v>AQ</v>
          </cell>
          <cell r="E5490" t="str">
            <v>67050</v>
          </cell>
        </row>
        <row r="5491">
          <cell r="A5491" t="str">
            <v>NAVELLI</v>
          </cell>
          <cell r="B5491" t="str">
            <v>066058</v>
          </cell>
          <cell r="C5491" t="str">
            <v>AQ</v>
          </cell>
          <cell r="D5491" t="str">
            <v>AQ</v>
          </cell>
          <cell r="E5491" t="str">
            <v>67020</v>
          </cell>
        </row>
        <row r="5492">
          <cell r="A5492" t="str">
            <v>OCRE</v>
          </cell>
          <cell r="B5492" t="str">
            <v>066059</v>
          </cell>
          <cell r="C5492" t="str">
            <v>AQ</v>
          </cell>
          <cell r="D5492" t="str">
            <v>AQ</v>
          </cell>
          <cell r="E5492" t="str">
            <v>67040</v>
          </cell>
        </row>
        <row r="5493">
          <cell r="A5493" t="str">
            <v>OFENA</v>
          </cell>
          <cell r="B5493" t="str">
            <v>066060</v>
          </cell>
          <cell r="C5493" t="str">
            <v>AQ</v>
          </cell>
          <cell r="D5493" t="str">
            <v>AQ</v>
          </cell>
          <cell r="E5493" t="str">
            <v>67025</v>
          </cell>
        </row>
        <row r="5494">
          <cell r="A5494" t="str">
            <v>OPI</v>
          </cell>
          <cell r="B5494" t="str">
            <v>066061</v>
          </cell>
          <cell r="C5494" t="str">
            <v>AQ</v>
          </cell>
          <cell r="D5494" t="str">
            <v>AQ</v>
          </cell>
          <cell r="E5494" t="str">
            <v>67030</v>
          </cell>
        </row>
        <row r="5495">
          <cell r="A5495" t="str">
            <v>ORICOLA</v>
          </cell>
          <cell r="B5495" t="str">
            <v>066062</v>
          </cell>
          <cell r="C5495" t="str">
            <v>AQ</v>
          </cell>
          <cell r="D5495" t="str">
            <v>AQ</v>
          </cell>
          <cell r="E5495" t="str">
            <v>67063</v>
          </cell>
        </row>
        <row r="5496">
          <cell r="A5496" t="str">
            <v>ORTONA DEI MARSI</v>
          </cell>
          <cell r="B5496" t="str">
            <v>066063</v>
          </cell>
          <cell r="C5496" t="str">
            <v>AQ</v>
          </cell>
          <cell r="D5496" t="str">
            <v>AQ</v>
          </cell>
          <cell r="E5496" t="str">
            <v>67050</v>
          </cell>
        </row>
        <row r="5497">
          <cell r="A5497" t="str">
            <v>ORTUCCHIO</v>
          </cell>
          <cell r="B5497" t="str">
            <v>066064</v>
          </cell>
          <cell r="C5497" t="str">
            <v>AQ</v>
          </cell>
          <cell r="D5497" t="str">
            <v>AQ</v>
          </cell>
          <cell r="E5497" t="str">
            <v>67050</v>
          </cell>
        </row>
        <row r="5498">
          <cell r="A5498" t="str">
            <v>OVINDOLI</v>
          </cell>
          <cell r="B5498" t="str">
            <v>066065</v>
          </cell>
          <cell r="C5498" t="str">
            <v>AQ</v>
          </cell>
          <cell r="D5498" t="str">
            <v>AQ</v>
          </cell>
          <cell r="E5498" t="str">
            <v>67046</v>
          </cell>
        </row>
        <row r="5499">
          <cell r="A5499" t="str">
            <v>PACENTRO</v>
          </cell>
          <cell r="B5499" t="str">
            <v>066066</v>
          </cell>
          <cell r="C5499" t="str">
            <v>AQ</v>
          </cell>
          <cell r="D5499" t="str">
            <v>AQ</v>
          </cell>
          <cell r="E5499" t="str">
            <v>67030</v>
          </cell>
        </row>
        <row r="5500">
          <cell r="A5500" t="str">
            <v>PERETO</v>
          </cell>
          <cell r="B5500" t="str">
            <v>066067</v>
          </cell>
          <cell r="C5500" t="str">
            <v>AQ</v>
          </cell>
          <cell r="D5500" t="str">
            <v>AQ</v>
          </cell>
          <cell r="E5500" t="str">
            <v>67064</v>
          </cell>
        </row>
        <row r="5501">
          <cell r="A5501" t="str">
            <v>PESCASSEROLI</v>
          </cell>
          <cell r="B5501" t="str">
            <v>066068</v>
          </cell>
          <cell r="C5501" t="str">
            <v>AQ</v>
          </cell>
          <cell r="D5501" t="str">
            <v>AQ</v>
          </cell>
          <cell r="E5501" t="str">
            <v>67032</v>
          </cell>
        </row>
        <row r="5502">
          <cell r="A5502" t="str">
            <v>PESCINA</v>
          </cell>
          <cell r="B5502" t="str">
            <v>066069</v>
          </cell>
          <cell r="C5502" t="str">
            <v>AQ</v>
          </cell>
          <cell r="D5502" t="str">
            <v>AQ</v>
          </cell>
          <cell r="E5502" t="str">
            <v>67057</v>
          </cell>
        </row>
        <row r="5503">
          <cell r="A5503" t="str">
            <v>PESCOCOSTANZO</v>
          </cell>
          <cell r="B5503" t="str">
            <v>066070</v>
          </cell>
          <cell r="C5503" t="str">
            <v>AQ</v>
          </cell>
          <cell r="D5503" t="str">
            <v>AQ</v>
          </cell>
          <cell r="E5503" t="str">
            <v>67033</v>
          </cell>
        </row>
        <row r="5504">
          <cell r="A5504" t="str">
            <v>PETTORANO SUL GIZIO</v>
          </cell>
          <cell r="B5504" t="str">
            <v>066071</v>
          </cell>
          <cell r="C5504" t="str">
            <v>AQ</v>
          </cell>
          <cell r="D5504" t="str">
            <v>AQ</v>
          </cell>
          <cell r="E5504" t="str">
            <v>67034</v>
          </cell>
        </row>
        <row r="5505">
          <cell r="A5505" t="str">
            <v>PIZZOLI</v>
          </cell>
          <cell r="B5505" t="str">
            <v>066072</v>
          </cell>
          <cell r="C5505" t="str">
            <v>AQ</v>
          </cell>
          <cell r="D5505" t="str">
            <v>AQ</v>
          </cell>
          <cell r="E5505" t="str">
            <v>67017</v>
          </cell>
        </row>
        <row r="5506">
          <cell r="A5506" t="str">
            <v>POGGIO PICENZE</v>
          </cell>
          <cell r="B5506" t="str">
            <v>066073</v>
          </cell>
          <cell r="C5506" t="str">
            <v>AQ</v>
          </cell>
          <cell r="D5506" t="str">
            <v>AQ</v>
          </cell>
          <cell r="E5506" t="str">
            <v>67026</v>
          </cell>
        </row>
        <row r="5507">
          <cell r="A5507" t="str">
            <v>PRATA D'ANSIDONIA</v>
          </cell>
          <cell r="B5507" t="str">
            <v>066074</v>
          </cell>
          <cell r="C5507" t="str">
            <v>AQ</v>
          </cell>
          <cell r="D5507" t="str">
            <v>AQ</v>
          </cell>
          <cell r="E5507" t="str">
            <v>67020</v>
          </cell>
        </row>
        <row r="5508">
          <cell r="A5508" t="str">
            <v>PRATOLA PELIGNA</v>
          </cell>
          <cell r="B5508" t="str">
            <v>066075</v>
          </cell>
          <cell r="C5508" t="str">
            <v>AQ</v>
          </cell>
          <cell r="D5508" t="str">
            <v>AQ</v>
          </cell>
          <cell r="E5508" t="str">
            <v>67035</v>
          </cell>
        </row>
        <row r="5509">
          <cell r="A5509" t="str">
            <v>PREZZA</v>
          </cell>
          <cell r="B5509" t="str">
            <v>066076</v>
          </cell>
          <cell r="C5509" t="str">
            <v>AQ</v>
          </cell>
          <cell r="D5509" t="str">
            <v>AQ</v>
          </cell>
          <cell r="E5509" t="str">
            <v>67030</v>
          </cell>
        </row>
        <row r="5510">
          <cell r="A5510" t="str">
            <v>RAIANO</v>
          </cell>
          <cell r="B5510" t="str">
            <v>066077</v>
          </cell>
          <cell r="C5510" t="str">
            <v>AQ</v>
          </cell>
          <cell r="D5510" t="str">
            <v>AQ</v>
          </cell>
          <cell r="E5510" t="str">
            <v>67027</v>
          </cell>
        </row>
        <row r="5511">
          <cell r="A5511" t="str">
            <v>RIVISONDOLI</v>
          </cell>
          <cell r="B5511" t="str">
            <v>066078</v>
          </cell>
          <cell r="C5511" t="str">
            <v>AQ</v>
          </cell>
          <cell r="D5511" t="str">
            <v>AQ</v>
          </cell>
          <cell r="E5511" t="str">
            <v>67036</v>
          </cell>
        </row>
        <row r="5512">
          <cell r="A5512" t="str">
            <v>ROCCACASALE</v>
          </cell>
          <cell r="B5512" t="str">
            <v>066079</v>
          </cell>
          <cell r="C5512" t="str">
            <v>AQ</v>
          </cell>
          <cell r="D5512" t="str">
            <v>AQ</v>
          </cell>
          <cell r="E5512" t="str">
            <v>67030</v>
          </cell>
        </row>
        <row r="5513">
          <cell r="A5513" t="str">
            <v>ROCCA DI BOTTE</v>
          </cell>
          <cell r="B5513" t="str">
            <v>066080</v>
          </cell>
          <cell r="C5513" t="str">
            <v>AQ</v>
          </cell>
          <cell r="D5513" t="str">
            <v>AQ</v>
          </cell>
          <cell r="E5513" t="str">
            <v>67066</v>
          </cell>
        </row>
        <row r="5514">
          <cell r="A5514" t="str">
            <v>ROCCA DI CAMBIO</v>
          </cell>
          <cell r="B5514" t="str">
            <v>066081</v>
          </cell>
          <cell r="C5514" t="str">
            <v>AQ</v>
          </cell>
          <cell r="D5514" t="str">
            <v>AQ</v>
          </cell>
          <cell r="E5514" t="str">
            <v>67047</v>
          </cell>
        </row>
        <row r="5515">
          <cell r="A5515" t="str">
            <v>ROCCA DI MEZZO</v>
          </cell>
          <cell r="B5515" t="str">
            <v>066082</v>
          </cell>
          <cell r="C5515" t="str">
            <v>AQ</v>
          </cell>
          <cell r="D5515" t="str">
            <v>AQ</v>
          </cell>
          <cell r="E5515" t="str">
            <v>67048</v>
          </cell>
        </row>
        <row r="5516">
          <cell r="A5516" t="str">
            <v>ROCCA PIA</v>
          </cell>
          <cell r="B5516" t="str">
            <v>066083</v>
          </cell>
          <cell r="C5516" t="str">
            <v>AQ</v>
          </cell>
          <cell r="D5516" t="str">
            <v>AQ</v>
          </cell>
          <cell r="E5516" t="str">
            <v>67030</v>
          </cell>
        </row>
        <row r="5517">
          <cell r="A5517" t="str">
            <v>ROCCARASO</v>
          </cell>
          <cell r="B5517" t="str">
            <v>066084</v>
          </cell>
          <cell r="C5517" t="str">
            <v>AQ</v>
          </cell>
          <cell r="D5517" t="str">
            <v>AQ</v>
          </cell>
          <cell r="E5517" t="str">
            <v>67037</v>
          </cell>
        </row>
        <row r="5518">
          <cell r="A5518" t="str">
            <v>SAN BENEDETTO DEI MARSI</v>
          </cell>
          <cell r="B5518" t="str">
            <v>066085</v>
          </cell>
          <cell r="C5518" t="str">
            <v>AQ</v>
          </cell>
          <cell r="D5518" t="str">
            <v>AQ</v>
          </cell>
          <cell r="E5518" t="str">
            <v>67058</v>
          </cell>
        </row>
        <row r="5519">
          <cell r="A5519" t="str">
            <v>SAN BENEDETTO IN PERILLIS</v>
          </cell>
          <cell r="B5519" t="str">
            <v>066086</v>
          </cell>
          <cell r="C5519" t="str">
            <v>AQ</v>
          </cell>
          <cell r="D5519" t="str">
            <v>AQ</v>
          </cell>
          <cell r="E5519" t="str">
            <v>67020</v>
          </cell>
        </row>
        <row r="5520">
          <cell r="A5520" t="str">
            <v>SAN DEMETRIO NE' VESTINI</v>
          </cell>
          <cell r="B5520" t="str">
            <v>066087</v>
          </cell>
          <cell r="C5520" t="str">
            <v>AQ</v>
          </cell>
          <cell r="D5520" t="str">
            <v>AQ</v>
          </cell>
          <cell r="E5520" t="str">
            <v>67028</v>
          </cell>
        </row>
        <row r="5521">
          <cell r="A5521" t="str">
            <v>SAN PIO DELLE CAMERE</v>
          </cell>
          <cell r="B5521" t="str">
            <v>066088</v>
          </cell>
          <cell r="C5521" t="str">
            <v>AQ</v>
          </cell>
          <cell r="D5521" t="str">
            <v>AQ</v>
          </cell>
          <cell r="E5521" t="str">
            <v>67020</v>
          </cell>
        </row>
        <row r="5522">
          <cell r="A5522" t="str">
            <v>SANTE MARIE</v>
          </cell>
          <cell r="B5522" t="str">
            <v>066089</v>
          </cell>
          <cell r="C5522" t="str">
            <v>AQ</v>
          </cell>
          <cell r="D5522" t="str">
            <v>AQ</v>
          </cell>
          <cell r="E5522" t="str">
            <v>67067</v>
          </cell>
        </row>
        <row r="5523">
          <cell r="A5523" t="str">
            <v>SANT'EUSANIO FORCONESE</v>
          </cell>
          <cell r="B5523" t="str">
            <v>066090</v>
          </cell>
          <cell r="C5523" t="str">
            <v>AQ</v>
          </cell>
          <cell r="D5523" t="str">
            <v>AQ</v>
          </cell>
          <cell r="E5523" t="str">
            <v>67020</v>
          </cell>
        </row>
        <row r="5524">
          <cell r="A5524" t="str">
            <v>SANTO STEFANO DI SESSANIO</v>
          </cell>
          <cell r="B5524" t="str">
            <v>066091</v>
          </cell>
          <cell r="C5524" t="str">
            <v>AQ</v>
          </cell>
          <cell r="D5524" t="str">
            <v>AQ</v>
          </cell>
          <cell r="E5524" t="str">
            <v>67020</v>
          </cell>
        </row>
        <row r="5525">
          <cell r="A5525" t="str">
            <v>SAN VINCENZO VALLE ROVETO</v>
          </cell>
          <cell r="B5525" t="str">
            <v>066092</v>
          </cell>
          <cell r="C5525" t="str">
            <v>AQ</v>
          </cell>
          <cell r="D5525" t="str">
            <v>AQ</v>
          </cell>
          <cell r="E5525" t="str">
            <v>67050</v>
          </cell>
        </row>
        <row r="5526">
          <cell r="A5526" t="str">
            <v>SCANNO</v>
          </cell>
          <cell r="B5526" t="str">
            <v>066093</v>
          </cell>
          <cell r="C5526" t="str">
            <v>AQ</v>
          </cell>
          <cell r="D5526" t="str">
            <v>AQ</v>
          </cell>
          <cell r="E5526" t="str">
            <v>67038</v>
          </cell>
        </row>
        <row r="5527">
          <cell r="A5527" t="str">
            <v>SCONTRONE</v>
          </cell>
          <cell r="B5527" t="str">
            <v>066094</v>
          </cell>
          <cell r="C5527" t="str">
            <v>AQ</v>
          </cell>
          <cell r="D5527" t="str">
            <v>AQ</v>
          </cell>
          <cell r="E5527" t="str">
            <v>67030</v>
          </cell>
        </row>
        <row r="5528">
          <cell r="A5528" t="str">
            <v>SCOPPITO</v>
          </cell>
          <cell r="B5528" t="str">
            <v>066095</v>
          </cell>
          <cell r="C5528" t="str">
            <v>AQ</v>
          </cell>
          <cell r="D5528" t="str">
            <v>AQ</v>
          </cell>
          <cell r="E5528" t="str">
            <v>67019</v>
          </cell>
        </row>
        <row r="5529">
          <cell r="A5529" t="str">
            <v>SCURCOLA MARSICANA</v>
          </cell>
          <cell r="B5529" t="str">
            <v>066096</v>
          </cell>
          <cell r="C5529" t="str">
            <v>AQ</v>
          </cell>
          <cell r="D5529" t="str">
            <v>AQ</v>
          </cell>
          <cell r="E5529" t="str">
            <v>67068</v>
          </cell>
        </row>
        <row r="5530">
          <cell r="A5530" t="str">
            <v>SECINARO</v>
          </cell>
          <cell r="B5530" t="str">
            <v>066097</v>
          </cell>
          <cell r="C5530" t="str">
            <v>AQ</v>
          </cell>
          <cell r="D5530" t="str">
            <v>AQ</v>
          </cell>
          <cell r="E5530" t="str">
            <v>67029</v>
          </cell>
        </row>
        <row r="5531">
          <cell r="A5531" t="str">
            <v>SULMONA</v>
          </cell>
          <cell r="B5531" t="str">
            <v>066098</v>
          </cell>
          <cell r="C5531" t="str">
            <v>AQ</v>
          </cell>
          <cell r="D5531" t="str">
            <v>AQ</v>
          </cell>
          <cell r="E5531" t="str">
            <v>67039</v>
          </cell>
        </row>
        <row r="5532">
          <cell r="A5532" t="str">
            <v>TAGLIACOZZO</v>
          </cell>
          <cell r="B5532" t="str">
            <v>066099</v>
          </cell>
          <cell r="C5532" t="str">
            <v>AQ</v>
          </cell>
          <cell r="D5532" t="str">
            <v>AQ</v>
          </cell>
          <cell r="E5532" t="str">
            <v>67069</v>
          </cell>
        </row>
        <row r="5533">
          <cell r="A5533" t="str">
            <v>TIONE DEGLI ABRUZZI</v>
          </cell>
          <cell r="B5533" t="str">
            <v>066100</v>
          </cell>
          <cell r="C5533" t="str">
            <v>AQ</v>
          </cell>
          <cell r="D5533" t="str">
            <v>AQ</v>
          </cell>
          <cell r="E5533" t="str">
            <v>67020</v>
          </cell>
        </row>
        <row r="5534">
          <cell r="A5534" t="str">
            <v>TORNIMPARTE</v>
          </cell>
          <cell r="B5534" t="str">
            <v>066101</v>
          </cell>
          <cell r="C5534" t="str">
            <v>AQ</v>
          </cell>
          <cell r="D5534" t="str">
            <v>AQ</v>
          </cell>
          <cell r="E5534" t="str">
            <v>67049</v>
          </cell>
        </row>
        <row r="5535">
          <cell r="A5535" t="str">
            <v>TRASACCO</v>
          </cell>
          <cell r="B5535" t="str">
            <v>066102</v>
          </cell>
          <cell r="C5535" t="str">
            <v>AQ</v>
          </cell>
          <cell r="D5535" t="str">
            <v>AQ</v>
          </cell>
          <cell r="E5535" t="str">
            <v>67059</v>
          </cell>
        </row>
        <row r="5536">
          <cell r="A5536" t="str">
            <v>VILLALAGO</v>
          </cell>
          <cell r="B5536" t="str">
            <v>066103</v>
          </cell>
          <cell r="C5536" t="str">
            <v>AQ</v>
          </cell>
          <cell r="D5536" t="str">
            <v>AQ</v>
          </cell>
          <cell r="E5536" t="str">
            <v>67030</v>
          </cell>
        </row>
        <row r="5537">
          <cell r="A5537" t="str">
            <v>VILLA SANTA LUCIA DEGLI ABRUZZI</v>
          </cell>
          <cell r="B5537" t="str">
            <v>066104</v>
          </cell>
          <cell r="C5537" t="str">
            <v>AQ</v>
          </cell>
          <cell r="D5537" t="str">
            <v>AQ</v>
          </cell>
          <cell r="E5537" t="str">
            <v>67020</v>
          </cell>
        </row>
        <row r="5538">
          <cell r="A5538" t="str">
            <v>VILLA SANT'ANGELO</v>
          </cell>
          <cell r="B5538" t="str">
            <v>066105</v>
          </cell>
          <cell r="C5538" t="str">
            <v>AQ</v>
          </cell>
          <cell r="D5538" t="str">
            <v>AQ</v>
          </cell>
          <cell r="E5538" t="str">
            <v>67020</v>
          </cell>
        </row>
        <row r="5539">
          <cell r="A5539" t="str">
            <v>VILLAVALLELONGA</v>
          </cell>
          <cell r="B5539" t="str">
            <v>066106</v>
          </cell>
          <cell r="C5539" t="str">
            <v>AQ</v>
          </cell>
          <cell r="D5539" t="str">
            <v>AQ</v>
          </cell>
          <cell r="E5539" t="str">
            <v>67050</v>
          </cell>
        </row>
        <row r="5540">
          <cell r="A5540" t="str">
            <v>VILLETTA BARREA</v>
          </cell>
          <cell r="B5540" t="str">
            <v>066107</v>
          </cell>
          <cell r="C5540" t="str">
            <v>AQ</v>
          </cell>
          <cell r="D5540" t="str">
            <v>AQ</v>
          </cell>
          <cell r="E5540" t="str">
            <v>67030</v>
          </cell>
        </row>
        <row r="5541">
          <cell r="A5541" t="str">
            <v>VITTORITO</v>
          </cell>
          <cell r="B5541" t="str">
            <v>066108</v>
          </cell>
          <cell r="C5541" t="str">
            <v>AQ</v>
          </cell>
          <cell r="D5541" t="str">
            <v>AQ</v>
          </cell>
          <cell r="E5541" t="str">
            <v>67030</v>
          </cell>
        </row>
        <row r="5542">
          <cell r="A5542" t="str">
            <v>ALBA ADRIATICA</v>
          </cell>
          <cell r="B5542" t="str">
            <v>067001</v>
          </cell>
          <cell r="C5542" t="str">
            <v>TE</v>
          </cell>
          <cell r="D5542" t="str">
            <v>TE</v>
          </cell>
          <cell r="E5542" t="str">
            <v>64011</v>
          </cell>
        </row>
        <row r="5543">
          <cell r="A5543" t="str">
            <v>ANCARANO</v>
          </cell>
          <cell r="B5543" t="str">
            <v>067002</v>
          </cell>
          <cell r="C5543" t="str">
            <v>TE</v>
          </cell>
          <cell r="D5543" t="str">
            <v>TE</v>
          </cell>
          <cell r="E5543" t="str">
            <v>64010</v>
          </cell>
        </row>
        <row r="5544">
          <cell r="A5544" t="str">
            <v>ARSITA</v>
          </cell>
          <cell r="B5544" t="str">
            <v>067003</v>
          </cell>
          <cell r="C5544" t="str">
            <v>TE</v>
          </cell>
          <cell r="D5544" t="str">
            <v>TE</v>
          </cell>
          <cell r="E5544" t="str">
            <v>64031</v>
          </cell>
        </row>
        <row r="5545">
          <cell r="A5545" t="str">
            <v>ATRI</v>
          </cell>
          <cell r="B5545" t="str">
            <v>067004</v>
          </cell>
          <cell r="C5545" t="str">
            <v>TE</v>
          </cell>
          <cell r="D5545" t="str">
            <v>TE</v>
          </cell>
          <cell r="E5545" t="str">
            <v>64032</v>
          </cell>
        </row>
        <row r="5546">
          <cell r="A5546" t="str">
            <v>BASCIANO</v>
          </cell>
          <cell r="B5546" t="str">
            <v>067005</v>
          </cell>
          <cell r="C5546" t="str">
            <v>TE</v>
          </cell>
          <cell r="D5546" t="str">
            <v>TE</v>
          </cell>
          <cell r="E5546" t="str">
            <v>64030</v>
          </cell>
        </row>
        <row r="5547">
          <cell r="A5547" t="str">
            <v>BELLANTE</v>
          </cell>
          <cell r="B5547" t="str">
            <v>067006</v>
          </cell>
          <cell r="C5547" t="str">
            <v>TE</v>
          </cell>
          <cell r="D5547" t="str">
            <v>TE</v>
          </cell>
          <cell r="E5547" t="str">
            <v>64020</v>
          </cell>
        </row>
        <row r="5548">
          <cell r="A5548" t="str">
            <v>BISENTI</v>
          </cell>
          <cell r="B5548" t="str">
            <v>067007</v>
          </cell>
          <cell r="C5548" t="str">
            <v>TE</v>
          </cell>
          <cell r="D5548" t="str">
            <v>TE</v>
          </cell>
          <cell r="E5548" t="str">
            <v>64033</v>
          </cell>
        </row>
        <row r="5549">
          <cell r="A5549" t="str">
            <v>CAMPLI</v>
          </cell>
          <cell r="B5549" t="str">
            <v>067008</v>
          </cell>
          <cell r="C5549" t="str">
            <v>TE</v>
          </cell>
          <cell r="D5549" t="str">
            <v>TE</v>
          </cell>
          <cell r="E5549" t="str">
            <v>64012</v>
          </cell>
        </row>
        <row r="5550">
          <cell r="A5550" t="str">
            <v>CANZANO</v>
          </cell>
          <cell r="B5550" t="str">
            <v>067009</v>
          </cell>
          <cell r="C5550" t="str">
            <v>TE</v>
          </cell>
          <cell r="D5550" t="str">
            <v>TE</v>
          </cell>
          <cell r="E5550" t="str">
            <v>64020</v>
          </cell>
        </row>
        <row r="5551">
          <cell r="A5551" t="str">
            <v>CASTEL CASTAGNA</v>
          </cell>
          <cell r="B5551" t="str">
            <v>067010</v>
          </cell>
          <cell r="C5551" t="str">
            <v>TE</v>
          </cell>
          <cell r="D5551" t="str">
            <v>TE</v>
          </cell>
          <cell r="E5551" t="str">
            <v>64030</v>
          </cell>
        </row>
        <row r="5552">
          <cell r="A5552" t="str">
            <v>CASTELLALTO</v>
          </cell>
          <cell r="B5552" t="str">
            <v>067011</v>
          </cell>
          <cell r="C5552" t="str">
            <v>TE</v>
          </cell>
          <cell r="D5552" t="str">
            <v>TE</v>
          </cell>
          <cell r="E5552" t="str">
            <v>64020</v>
          </cell>
        </row>
        <row r="5553">
          <cell r="A5553" t="str">
            <v>CASTELLI</v>
          </cell>
          <cell r="B5553" t="str">
            <v>067012</v>
          </cell>
          <cell r="C5553" t="str">
            <v>TE</v>
          </cell>
          <cell r="D5553" t="str">
            <v>TE</v>
          </cell>
          <cell r="E5553" t="str">
            <v>64041</v>
          </cell>
        </row>
        <row r="5554">
          <cell r="A5554" t="str">
            <v>CASTIGLIONE MESSER RAIMONDO</v>
          </cell>
          <cell r="B5554" t="str">
            <v>067013</v>
          </cell>
          <cell r="C5554" t="str">
            <v>TE</v>
          </cell>
          <cell r="D5554" t="str">
            <v>TE</v>
          </cell>
          <cell r="E5554" t="str">
            <v>64034</v>
          </cell>
        </row>
        <row r="5555">
          <cell r="A5555" t="str">
            <v>CASTILENTI</v>
          </cell>
          <cell r="B5555" t="str">
            <v>067014</v>
          </cell>
          <cell r="C5555" t="str">
            <v>TE</v>
          </cell>
          <cell r="D5555" t="str">
            <v>TE</v>
          </cell>
          <cell r="E5555" t="str">
            <v>64035</v>
          </cell>
        </row>
        <row r="5556">
          <cell r="A5556" t="str">
            <v>CELLINO ATTANASIO</v>
          </cell>
          <cell r="B5556" t="str">
            <v>067015</v>
          </cell>
          <cell r="C5556" t="str">
            <v>TE</v>
          </cell>
          <cell r="D5556" t="str">
            <v>TE</v>
          </cell>
          <cell r="E5556" t="str">
            <v>64036</v>
          </cell>
        </row>
        <row r="5557">
          <cell r="A5557" t="str">
            <v>CERMIGNANO</v>
          </cell>
          <cell r="B5557" t="str">
            <v>067016</v>
          </cell>
          <cell r="C5557" t="str">
            <v>TE</v>
          </cell>
          <cell r="D5557" t="str">
            <v>TE</v>
          </cell>
          <cell r="E5557" t="str">
            <v>64037</v>
          </cell>
        </row>
        <row r="5558">
          <cell r="A5558" t="str">
            <v>CIVITELLA DEL TRONTO</v>
          </cell>
          <cell r="B5558" t="str">
            <v>067017</v>
          </cell>
          <cell r="C5558" t="str">
            <v>TE</v>
          </cell>
          <cell r="D5558" t="str">
            <v>TE</v>
          </cell>
          <cell r="E5558" t="str">
            <v>64010</v>
          </cell>
        </row>
        <row r="5559">
          <cell r="A5559" t="str">
            <v>COLLEDARA</v>
          </cell>
          <cell r="B5559" t="str">
            <v>067018</v>
          </cell>
          <cell r="C5559" t="str">
            <v>TE</v>
          </cell>
          <cell r="D5559" t="str">
            <v>TE</v>
          </cell>
          <cell r="E5559" t="str">
            <v>64042</v>
          </cell>
        </row>
        <row r="5560">
          <cell r="A5560" t="str">
            <v>COLONNELLA</v>
          </cell>
          <cell r="B5560" t="str">
            <v>067019</v>
          </cell>
          <cell r="C5560" t="str">
            <v>TE</v>
          </cell>
          <cell r="D5560" t="str">
            <v>TE</v>
          </cell>
          <cell r="E5560" t="str">
            <v>64010</v>
          </cell>
        </row>
        <row r="5561">
          <cell r="A5561" t="str">
            <v>CONTROGUERRA</v>
          </cell>
          <cell r="B5561" t="str">
            <v>067020</v>
          </cell>
          <cell r="C5561" t="str">
            <v>TE</v>
          </cell>
          <cell r="D5561" t="str">
            <v>TE</v>
          </cell>
          <cell r="E5561" t="str">
            <v>64010</v>
          </cell>
        </row>
        <row r="5562">
          <cell r="A5562" t="str">
            <v>CORROPOLI</v>
          </cell>
          <cell r="B5562" t="str">
            <v>067021</v>
          </cell>
          <cell r="C5562" t="str">
            <v>TE</v>
          </cell>
          <cell r="D5562" t="str">
            <v>TE</v>
          </cell>
          <cell r="E5562" t="str">
            <v>64013</v>
          </cell>
        </row>
        <row r="5563">
          <cell r="A5563" t="str">
            <v>CORTINO</v>
          </cell>
          <cell r="B5563" t="str">
            <v>067022</v>
          </cell>
          <cell r="C5563" t="str">
            <v>TE</v>
          </cell>
          <cell r="D5563" t="str">
            <v>TE</v>
          </cell>
          <cell r="E5563" t="str">
            <v>64040</v>
          </cell>
        </row>
        <row r="5564">
          <cell r="A5564" t="str">
            <v>CROGNALETO</v>
          </cell>
          <cell r="B5564" t="str">
            <v>067023</v>
          </cell>
          <cell r="C5564" t="str">
            <v>TE</v>
          </cell>
          <cell r="D5564" t="str">
            <v>TE</v>
          </cell>
          <cell r="E5564" t="str">
            <v>64043</v>
          </cell>
        </row>
        <row r="5565">
          <cell r="A5565" t="str">
            <v>FANO ADRIANO</v>
          </cell>
          <cell r="B5565" t="str">
            <v>067024</v>
          </cell>
          <cell r="C5565" t="str">
            <v>TE</v>
          </cell>
          <cell r="D5565" t="str">
            <v>TE</v>
          </cell>
          <cell r="E5565" t="str">
            <v>64044</v>
          </cell>
        </row>
        <row r="5566">
          <cell r="A5566" t="str">
            <v>GIULIANOVA</v>
          </cell>
          <cell r="B5566" t="str">
            <v>067025</v>
          </cell>
          <cell r="C5566" t="str">
            <v>TE</v>
          </cell>
          <cell r="D5566" t="str">
            <v>TE</v>
          </cell>
          <cell r="E5566" t="str">
            <v>64021</v>
          </cell>
        </row>
        <row r="5567">
          <cell r="A5567" t="str">
            <v>ISOLA DEL GRAN SASSO D'ITALIA</v>
          </cell>
          <cell r="B5567" t="str">
            <v>067026</v>
          </cell>
          <cell r="C5567" t="str">
            <v>TE</v>
          </cell>
          <cell r="D5567" t="str">
            <v>TE</v>
          </cell>
          <cell r="E5567" t="str">
            <v>64045</v>
          </cell>
        </row>
        <row r="5568">
          <cell r="A5568" t="str">
            <v>MONTEFINO</v>
          </cell>
          <cell r="B5568" t="str">
            <v>067027</v>
          </cell>
          <cell r="C5568" t="str">
            <v>TE</v>
          </cell>
          <cell r="D5568" t="str">
            <v>TE</v>
          </cell>
          <cell r="E5568" t="str">
            <v>64030</v>
          </cell>
        </row>
        <row r="5569">
          <cell r="A5569" t="str">
            <v>MONTORIO AL VOMANO</v>
          </cell>
          <cell r="B5569" t="str">
            <v>067028</v>
          </cell>
          <cell r="C5569" t="str">
            <v>TE</v>
          </cell>
          <cell r="D5569" t="str">
            <v>TE</v>
          </cell>
          <cell r="E5569" t="str">
            <v>64046</v>
          </cell>
        </row>
        <row r="5570">
          <cell r="A5570" t="str">
            <v>MORRO D'ORO</v>
          </cell>
          <cell r="B5570" t="str">
            <v>067029</v>
          </cell>
          <cell r="C5570" t="str">
            <v>TE</v>
          </cell>
          <cell r="D5570" t="str">
            <v>TE</v>
          </cell>
          <cell r="E5570" t="str">
            <v>64020</v>
          </cell>
        </row>
        <row r="5571">
          <cell r="A5571" t="str">
            <v>MOSCIANO SANT'ANGELO</v>
          </cell>
          <cell r="B5571" t="str">
            <v>067030</v>
          </cell>
          <cell r="C5571" t="str">
            <v>TE</v>
          </cell>
          <cell r="D5571" t="str">
            <v>TE</v>
          </cell>
          <cell r="E5571" t="str">
            <v>64023</v>
          </cell>
        </row>
        <row r="5572">
          <cell r="A5572" t="str">
            <v>NERETO</v>
          </cell>
          <cell r="B5572" t="str">
            <v>067031</v>
          </cell>
          <cell r="C5572" t="str">
            <v>TE</v>
          </cell>
          <cell r="D5572" t="str">
            <v>TE</v>
          </cell>
          <cell r="E5572" t="str">
            <v>64015</v>
          </cell>
        </row>
        <row r="5573">
          <cell r="A5573" t="str">
            <v>NOTARESCO</v>
          </cell>
          <cell r="B5573" t="str">
            <v>067032</v>
          </cell>
          <cell r="C5573" t="str">
            <v>TE</v>
          </cell>
          <cell r="D5573" t="str">
            <v>TE</v>
          </cell>
          <cell r="E5573" t="str">
            <v>64024</v>
          </cell>
        </row>
        <row r="5574">
          <cell r="A5574" t="str">
            <v>PENNA SANT'ANDREA</v>
          </cell>
          <cell r="B5574" t="str">
            <v>067033</v>
          </cell>
          <cell r="C5574" t="str">
            <v>TE</v>
          </cell>
          <cell r="D5574" t="str">
            <v>TE</v>
          </cell>
          <cell r="E5574" t="str">
            <v>64039</v>
          </cell>
        </row>
        <row r="5575">
          <cell r="A5575" t="str">
            <v>PIETRACAMELA</v>
          </cell>
          <cell r="B5575" t="str">
            <v>067034</v>
          </cell>
          <cell r="C5575" t="str">
            <v>TE</v>
          </cell>
          <cell r="D5575" t="str">
            <v>TE</v>
          </cell>
          <cell r="E5575" t="str">
            <v>64047</v>
          </cell>
        </row>
        <row r="5576">
          <cell r="A5576" t="str">
            <v>PINETO</v>
          </cell>
          <cell r="B5576" t="str">
            <v>067035</v>
          </cell>
          <cell r="C5576" t="str">
            <v>TE</v>
          </cell>
          <cell r="D5576" t="str">
            <v>TE</v>
          </cell>
          <cell r="E5576" t="str">
            <v>64025</v>
          </cell>
        </row>
        <row r="5577">
          <cell r="A5577" t="str">
            <v>ROCCA SANTA MARIA</v>
          </cell>
          <cell r="B5577" t="str">
            <v>067036</v>
          </cell>
          <cell r="C5577" t="str">
            <v>TE</v>
          </cell>
          <cell r="D5577" t="str">
            <v>TE</v>
          </cell>
          <cell r="E5577" t="str">
            <v>64010</v>
          </cell>
        </row>
        <row r="5578">
          <cell r="A5578" t="str">
            <v>ROSETO DEGLI ABRUZZI</v>
          </cell>
          <cell r="B5578" t="str">
            <v>067037</v>
          </cell>
          <cell r="C5578" t="str">
            <v>TE</v>
          </cell>
          <cell r="D5578" t="str">
            <v>TE</v>
          </cell>
          <cell r="E5578" t="str">
            <v>64026</v>
          </cell>
        </row>
        <row r="5579">
          <cell r="A5579" t="str">
            <v>SANT'EGIDIO ALLA VIBRATA</v>
          </cell>
          <cell r="B5579" t="str">
            <v>067038</v>
          </cell>
          <cell r="C5579" t="str">
            <v>TE</v>
          </cell>
          <cell r="D5579" t="str">
            <v>TE</v>
          </cell>
          <cell r="E5579" t="str">
            <v>64016</v>
          </cell>
        </row>
        <row r="5580">
          <cell r="A5580" t="str">
            <v>SANT'OMERO</v>
          </cell>
          <cell r="B5580" t="str">
            <v>067039</v>
          </cell>
          <cell r="C5580" t="str">
            <v>TE</v>
          </cell>
          <cell r="D5580" t="str">
            <v>TE</v>
          </cell>
          <cell r="E5580" t="str">
            <v>64027</v>
          </cell>
        </row>
        <row r="5581">
          <cell r="A5581" t="str">
            <v>SILVI</v>
          </cell>
          <cell r="B5581" t="str">
            <v>067040</v>
          </cell>
          <cell r="C5581" t="str">
            <v>TE</v>
          </cell>
          <cell r="D5581" t="str">
            <v>TE</v>
          </cell>
          <cell r="E5581" t="str">
            <v>64028</v>
          </cell>
        </row>
        <row r="5582">
          <cell r="A5582" t="str">
            <v>TERAMO</v>
          </cell>
          <cell r="B5582" t="str">
            <v>067041</v>
          </cell>
          <cell r="C5582" t="str">
            <v>TE</v>
          </cell>
          <cell r="D5582" t="str">
            <v>TE</v>
          </cell>
          <cell r="E5582" t="str">
            <v>64100</v>
          </cell>
        </row>
        <row r="5583">
          <cell r="A5583" t="str">
            <v>TORANO NUOVO</v>
          </cell>
          <cell r="B5583" t="str">
            <v>067042</v>
          </cell>
          <cell r="C5583" t="str">
            <v>TE</v>
          </cell>
          <cell r="D5583" t="str">
            <v>TE</v>
          </cell>
          <cell r="E5583" t="str">
            <v>64010</v>
          </cell>
        </row>
        <row r="5584">
          <cell r="A5584" t="str">
            <v>TORRICELLA SICURA</v>
          </cell>
          <cell r="B5584" t="str">
            <v>067043</v>
          </cell>
          <cell r="C5584" t="str">
            <v>TE</v>
          </cell>
          <cell r="D5584" t="str">
            <v>TE</v>
          </cell>
          <cell r="E5584" t="str">
            <v>64010</v>
          </cell>
        </row>
        <row r="5585">
          <cell r="A5585" t="str">
            <v>TORTORETO</v>
          </cell>
          <cell r="B5585" t="str">
            <v>067044</v>
          </cell>
          <cell r="C5585" t="str">
            <v>TE</v>
          </cell>
          <cell r="D5585" t="str">
            <v>TE</v>
          </cell>
          <cell r="E5585" t="str">
            <v>64018</v>
          </cell>
        </row>
        <row r="5586">
          <cell r="A5586" t="str">
            <v>TOSSICIA</v>
          </cell>
          <cell r="B5586" t="str">
            <v>067045</v>
          </cell>
          <cell r="C5586" t="str">
            <v>TE</v>
          </cell>
          <cell r="D5586" t="str">
            <v>TE</v>
          </cell>
          <cell r="E5586" t="str">
            <v>64049</v>
          </cell>
        </row>
        <row r="5587">
          <cell r="A5587" t="str">
            <v>VALLE CASTELLANA</v>
          </cell>
          <cell r="B5587" t="str">
            <v>067046</v>
          </cell>
          <cell r="C5587" t="str">
            <v>TE</v>
          </cell>
          <cell r="D5587" t="str">
            <v>TE</v>
          </cell>
          <cell r="E5587" t="str">
            <v>64010</v>
          </cell>
        </row>
        <row r="5588">
          <cell r="A5588" t="str">
            <v>MARTINSICURO</v>
          </cell>
          <cell r="B5588" t="str">
            <v>067047</v>
          </cell>
          <cell r="C5588" t="str">
            <v>TE</v>
          </cell>
          <cell r="D5588" t="str">
            <v>TE</v>
          </cell>
          <cell r="E5588" t="str">
            <v>64014</v>
          </cell>
        </row>
        <row r="5589">
          <cell r="A5589" t="str">
            <v>ABBATEGGIO</v>
          </cell>
          <cell r="B5589" t="str">
            <v>068001</v>
          </cell>
          <cell r="C5589" t="str">
            <v>PE</v>
          </cell>
          <cell r="D5589" t="str">
            <v>PE</v>
          </cell>
          <cell r="E5589" t="str">
            <v>65020</v>
          </cell>
        </row>
        <row r="5590">
          <cell r="A5590" t="str">
            <v>ALANNO</v>
          </cell>
          <cell r="B5590" t="str">
            <v>068002</v>
          </cell>
          <cell r="C5590" t="str">
            <v>PE</v>
          </cell>
          <cell r="D5590" t="str">
            <v>PE</v>
          </cell>
          <cell r="E5590" t="str">
            <v>65020</v>
          </cell>
        </row>
        <row r="5591">
          <cell r="A5591" t="str">
            <v>BOLOGNANO</v>
          </cell>
          <cell r="B5591" t="str">
            <v>068003</v>
          </cell>
          <cell r="C5591" t="str">
            <v>PE</v>
          </cell>
          <cell r="D5591" t="str">
            <v>PE</v>
          </cell>
          <cell r="E5591" t="str">
            <v>65020</v>
          </cell>
        </row>
        <row r="5592">
          <cell r="A5592" t="str">
            <v>BRITTOLI</v>
          </cell>
          <cell r="B5592" t="str">
            <v>068004</v>
          </cell>
          <cell r="C5592" t="str">
            <v>PE</v>
          </cell>
          <cell r="D5592" t="str">
            <v>PE</v>
          </cell>
          <cell r="E5592" t="str">
            <v>65010</v>
          </cell>
        </row>
        <row r="5593">
          <cell r="A5593" t="str">
            <v>BUSSI SUL TIRINO</v>
          </cell>
          <cell r="B5593" t="str">
            <v>068005</v>
          </cell>
          <cell r="C5593" t="str">
            <v>PE</v>
          </cell>
          <cell r="D5593" t="str">
            <v>PE</v>
          </cell>
          <cell r="E5593" t="str">
            <v>65022</v>
          </cell>
        </row>
        <row r="5594">
          <cell r="A5594" t="str">
            <v>CAPPELLE SUL TAVO</v>
          </cell>
          <cell r="B5594" t="str">
            <v>068006</v>
          </cell>
          <cell r="C5594" t="str">
            <v>PE</v>
          </cell>
          <cell r="D5594" t="str">
            <v>PE</v>
          </cell>
          <cell r="E5594" t="str">
            <v>65010</v>
          </cell>
        </row>
        <row r="5595">
          <cell r="A5595" t="str">
            <v>CARAMANICO TERME</v>
          </cell>
          <cell r="B5595" t="str">
            <v>068007</v>
          </cell>
          <cell r="C5595" t="str">
            <v>PE</v>
          </cell>
          <cell r="D5595" t="str">
            <v>PE</v>
          </cell>
          <cell r="E5595" t="str">
            <v>65023</v>
          </cell>
        </row>
        <row r="5596">
          <cell r="A5596" t="str">
            <v>CARPINETO DELLA NORA</v>
          </cell>
          <cell r="B5596" t="str">
            <v>068008</v>
          </cell>
          <cell r="C5596" t="str">
            <v>PE</v>
          </cell>
          <cell r="D5596" t="str">
            <v>PE</v>
          </cell>
          <cell r="E5596" t="str">
            <v>65010</v>
          </cell>
        </row>
        <row r="5597">
          <cell r="A5597" t="str">
            <v>CASTIGLIONE A CASAURIA</v>
          </cell>
          <cell r="B5597" t="str">
            <v>068009</v>
          </cell>
          <cell r="C5597" t="str">
            <v>PE</v>
          </cell>
          <cell r="D5597" t="str">
            <v>PE</v>
          </cell>
          <cell r="E5597" t="str">
            <v>65020</v>
          </cell>
        </row>
        <row r="5598">
          <cell r="A5598" t="str">
            <v>CATIGNANO</v>
          </cell>
          <cell r="B5598" t="str">
            <v>068010</v>
          </cell>
          <cell r="C5598" t="str">
            <v>PE</v>
          </cell>
          <cell r="D5598" t="str">
            <v>PE</v>
          </cell>
          <cell r="E5598" t="str">
            <v>65011</v>
          </cell>
        </row>
        <row r="5599">
          <cell r="A5599" t="str">
            <v>CEPAGATTI</v>
          </cell>
          <cell r="B5599" t="str">
            <v>068011</v>
          </cell>
          <cell r="C5599" t="str">
            <v>PE</v>
          </cell>
          <cell r="D5599" t="str">
            <v>PE</v>
          </cell>
          <cell r="E5599" t="str">
            <v>65012</v>
          </cell>
        </row>
        <row r="5600">
          <cell r="A5600" t="str">
            <v>CITTÀ SANT'ANGELO</v>
          </cell>
          <cell r="B5600" t="str">
            <v>068012</v>
          </cell>
          <cell r="C5600" t="str">
            <v>PE</v>
          </cell>
          <cell r="D5600" t="str">
            <v>PE</v>
          </cell>
          <cell r="E5600" t="str">
            <v>65013</v>
          </cell>
        </row>
        <row r="5601">
          <cell r="A5601" t="str">
            <v>CIVITAQUANA</v>
          </cell>
          <cell r="B5601" t="str">
            <v>068013</v>
          </cell>
          <cell r="C5601" t="str">
            <v>PE</v>
          </cell>
          <cell r="D5601" t="str">
            <v>PE</v>
          </cell>
          <cell r="E5601" t="str">
            <v>65010</v>
          </cell>
        </row>
        <row r="5602">
          <cell r="A5602" t="str">
            <v>CIVITELLA CASANOVA</v>
          </cell>
          <cell r="B5602" t="str">
            <v>068014</v>
          </cell>
          <cell r="C5602" t="str">
            <v>PE</v>
          </cell>
          <cell r="D5602" t="str">
            <v>PE</v>
          </cell>
          <cell r="E5602" t="str">
            <v>65010</v>
          </cell>
        </row>
        <row r="5603">
          <cell r="A5603" t="str">
            <v>COLLECORVINO</v>
          </cell>
          <cell r="B5603" t="str">
            <v>068015</v>
          </cell>
          <cell r="C5603" t="str">
            <v>PE</v>
          </cell>
          <cell r="D5603" t="str">
            <v>PE</v>
          </cell>
          <cell r="E5603" t="str">
            <v>65010</v>
          </cell>
        </row>
        <row r="5604">
          <cell r="A5604" t="str">
            <v>CORVARA</v>
          </cell>
          <cell r="B5604" t="str">
            <v>068016</v>
          </cell>
          <cell r="C5604" t="str">
            <v>PE</v>
          </cell>
          <cell r="D5604" t="str">
            <v>PE</v>
          </cell>
          <cell r="E5604" t="str">
            <v>65020</v>
          </cell>
        </row>
        <row r="5605">
          <cell r="A5605" t="str">
            <v>CUGNOLI</v>
          </cell>
          <cell r="B5605" t="str">
            <v>068017</v>
          </cell>
          <cell r="C5605" t="str">
            <v>PE</v>
          </cell>
          <cell r="D5605" t="str">
            <v>PE</v>
          </cell>
          <cell r="E5605" t="str">
            <v>65020</v>
          </cell>
        </row>
        <row r="5606">
          <cell r="A5606" t="str">
            <v>ELICE</v>
          </cell>
          <cell r="B5606" t="str">
            <v>068018</v>
          </cell>
          <cell r="C5606" t="str">
            <v>PE</v>
          </cell>
          <cell r="D5606" t="str">
            <v>PE</v>
          </cell>
          <cell r="E5606" t="str">
            <v>65010</v>
          </cell>
        </row>
        <row r="5607">
          <cell r="A5607" t="str">
            <v>FARINDOLA</v>
          </cell>
          <cell r="B5607" t="str">
            <v>068019</v>
          </cell>
          <cell r="C5607" t="str">
            <v>PE</v>
          </cell>
          <cell r="D5607" t="str">
            <v>PE</v>
          </cell>
          <cell r="E5607" t="str">
            <v>65010</v>
          </cell>
        </row>
        <row r="5608">
          <cell r="A5608" t="str">
            <v>LETTOMANOPPELLO</v>
          </cell>
          <cell r="B5608" t="str">
            <v>068020</v>
          </cell>
          <cell r="C5608" t="str">
            <v>PE</v>
          </cell>
          <cell r="D5608" t="str">
            <v>PE</v>
          </cell>
          <cell r="E5608" t="str">
            <v>65020</v>
          </cell>
        </row>
        <row r="5609">
          <cell r="A5609" t="str">
            <v>LORETO APRUTINO</v>
          </cell>
          <cell r="B5609" t="str">
            <v>068021</v>
          </cell>
          <cell r="C5609" t="str">
            <v>PE</v>
          </cell>
          <cell r="D5609" t="str">
            <v>PE</v>
          </cell>
          <cell r="E5609" t="str">
            <v>65014</v>
          </cell>
        </row>
        <row r="5610">
          <cell r="A5610" t="str">
            <v>MANOPPELLO</v>
          </cell>
          <cell r="B5610" t="str">
            <v>068022</v>
          </cell>
          <cell r="C5610" t="str">
            <v>PE</v>
          </cell>
          <cell r="D5610" t="str">
            <v>PE</v>
          </cell>
          <cell r="E5610" t="str">
            <v>65024</v>
          </cell>
        </row>
        <row r="5611">
          <cell r="A5611" t="str">
            <v>MONTEBELLO DI BERTONA</v>
          </cell>
          <cell r="B5611" t="str">
            <v>068023</v>
          </cell>
          <cell r="C5611" t="str">
            <v>PE</v>
          </cell>
          <cell r="D5611" t="str">
            <v>PE</v>
          </cell>
          <cell r="E5611" t="str">
            <v>65010</v>
          </cell>
        </row>
        <row r="5612">
          <cell r="A5612" t="str">
            <v>MONTESILVANO</v>
          </cell>
          <cell r="B5612" t="str">
            <v>068024</v>
          </cell>
          <cell r="C5612" t="str">
            <v>PE</v>
          </cell>
          <cell r="D5612" t="str">
            <v>PE</v>
          </cell>
          <cell r="E5612" t="str">
            <v>65015</v>
          </cell>
        </row>
        <row r="5613">
          <cell r="A5613" t="str">
            <v>MOSCUFO</v>
          </cell>
          <cell r="B5613" t="str">
            <v>068025</v>
          </cell>
          <cell r="C5613" t="str">
            <v>PE</v>
          </cell>
          <cell r="D5613" t="str">
            <v>PE</v>
          </cell>
          <cell r="E5613" t="str">
            <v>65010</v>
          </cell>
        </row>
        <row r="5614">
          <cell r="A5614" t="str">
            <v>NOCCIANO</v>
          </cell>
          <cell r="B5614" t="str">
            <v>068026</v>
          </cell>
          <cell r="C5614" t="str">
            <v>PE</v>
          </cell>
          <cell r="D5614" t="str">
            <v>PE</v>
          </cell>
          <cell r="E5614" t="str">
            <v>65010</v>
          </cell>
        </row>
        <row r="5615">
          <cell r="A5615" t="str">
            <v>PENNE</v>
          </cell>
          <cell r="B5615" t="str">
            <v>068027</v>
          </cell>
          <cell r="C5615" t="str">
            <v>PE</v>
          </cell>
          <cell r="D5615" t="str">
            <v>PE</v>
          </cell>
          <cell r="E5615" t="str">
            <v>65017</v>
          </cell>
        </row>
        <row r="5616">
          <cell r="A5616" t="str">
            <v>PESCARA</v>
          </cell>
          <cell r="B5616" t="str">
            <v>068028</v>
          </cell>
          <cell r="C5616" t="str">
            <v>PE</v>
          </cell>
          <cell r="D5616" t="str">
            <v>PE</v>
          </cell>
          <cell r="E5616" t="str">
            <v>6512x</v>
          </cell>
        </row>
        <row r="5617">
          <cell r="A5617" t="str">
            <v>PESCOSANSONESCO</v>
          </cell>
          <cell r="B5617" t="str">
            <v>068029</v>
          </cell>
          <cell r="C5617" t="str">
            <v>PE</v>
          </cell>
          <cell r="D5617" t="str">
            <v>PE</v>
          </cell>
          <cell r="E5617" t="str">
            <v>65020</v>
          </cell>
        </row>
        <row r="5618">
          <cell r="A5618" t="str">
            <v>PIANELLA</v>
          </cell>
          <cell r="B5618" t="str">
            <v>068030</v>
          </cell>
          <cell r="C5618" t="str">
            <v>PE</v>
          </cell>
          <cell r="D5618" t="str">
            <v>PE</v>
          </cell>
          <cell r="E5618" t="str">
            <v>65019</v>
          </cell>
        </row>
        <row r="5619">
          <cell r="A5619" t="str">
            <v>PICCIANO</v>
          </cell>
          <cell r="B5619" t="str">
            <v>068031</v>
          </cell>
          <cell r="C5619" t="str">
            <v>PE</v>
          </cell>
          <cell r="D5619" t="str">
            <v>PE</v>
          </cell>
          <cell r="E5619" t="str">
            <v>65010</v>
          </cell>
        </row>
        <row r="5620">
          <cell r="A5620" t="str">
            <v>PIETRANICO</v>
          </cell>
          <cell r="B5620" t="str">
            <v>068032</v>
          </cell>
          <cell r="C5620" t="str">
            <v>PE</v>
          </cell>
          <cell r="D5620" t="str">
            <v>PE</v>
          </cell>
          <cell r="E5620" t="str">
            <v>65020</v>
          </cell>
        </row>
        <row r="5621">
          <cell r="A5621" t="str">
            <v>POPOLI</v>
          </cell>
          <cell r="B5621" t="str">
            <v>068033</v>
          </cell>
          <cell r="C5621" t="str">
            <v>PE</v>
          </cell>
          <cell r="D5621" t="str">
            <v>PE</v>
          </cell>
          <cell r="E5621" t="str">
            <v>65026</v>
          </cell>
        </row>
        <row r="5622">
          <cell r="A5622" t="str">
            <v>ROCCAMORICE</v>
          </cell>
          <cell r="B5622" t="str">
            <v>068034</v>
          </cell>
          <cell r="C5622" t="str">
            <v>PE</v>
          </cell>
          <cell r="D5622" t="str">
            <v>PE</v>
          </cell>
          <cell r="E5622" t="str">
            <v>65020</v>
          </cell>
        </row>
        <row r="5623">
          <cell r="A5623" t="str">
            <v>ROSCIANO</v>
          </cell>
          <cell r="B5623" t="str">
            <v>068035</v>
          </cell>
          <cell r="C5623" t="str">
            <v>PE</v>
          </cell>
          <cell r="D5623" t="str">
            <v>PE</v>
          </cell>
          <cell r="E5623" t="str">
            <v>65020</v>
          </cell>
        </row>
        <row r="5624">
          <cell r="A5624" t="str">
            <v>SALLE</v>
          </cell>
          <cell r="B5624" t="str">
            <v>068036</v>
          </cell>
          <cell r="C5624" t="str">
            <v>PE</v>
          </cell>
          <cell r="D5624" t="str">
            <v>PE</v>
          </cell>
          <cell r="E5624" t="str">
            <v>65020</v>
          </cell>
        </row>
        <row r="5625">
          <cell r="A5625" t="str">
            <v>SANT'EUFEMIA A MAIELLA</v>
          </cell>
          <cell r="B5625" t="str">
            <v>068037</v>
          </cell>
          <cell r="C5625" t="str">
            <v>PE</v>
          </cell>
          <cell r="D5625" t="str">
            <v>PE</v>
          </cell>
          <cell r="E5625" t="str">
            <v>65020</v>
          </cell>
        </row>
        <row r="5626">
          <cell r="A5626" t="str">
            <v>SAN VALENTINO IN ABRUZZO CITERIORE</v>
          </cell>
          <cell r="B5626" t="str">
            <v>068038</v>
          </cell>
          <cell r="C5626" t="str">
            <v>PE</v>
          </cell>
          <cell r="D5626" t="str">
            <v>PE</v>
          </cell>
          <cell r="E5626" t="str">
            <v>65020</v>
          </cell>
        </row>
        <row r="5627">
          <cell r="A5627" t="str">
            <v>SCAFA</v>
          </cell>
          <cell r="B5627" t="str">
            <v>068039</v>
          </cell>
          <cell r="C5627" t="str">
            <v>PE</v>
          </cell>
          <cell r="D5627" t="str">
            <v>PE</v>
          </cell>
          <cell r="E5627" t="str">
            <v>65027</v>
          </cell>
        </row>
        <row r="5628">
          <cell r="A5628" t="str">
            <v>SERRAMONACESCA</v>
          </cell>
          <cell r="B5628" t="str">
            <v>068040</v>
          </cell>
          <cell r="C5628" t="str">
            <v>PE</v>
          </cell>
          <cell r="D5628" t="str">
            <v>PE</v>
          </cell>
          <cell r="E5628" t="str">
            <v>65025</v>
          </cell>
        </row>
        <row r="5629">
          <cell r="A5629" t="str">
            <v>SPOLTORE</v>
          </cell>
          <cell r="B5629" t="str">
            <v>068041</v>
          </cell>
          <cell r="C5629" t="str">
            <v>PE</v>
          </cell>
          <cell r="D5629" t="str">
            <v>PE</v>
          </cell>
          <cell r="E5629" t="str">
            <v>65010</v>
          </cell>
        </row>
        <row r="5630">
          <cell r="A5630" t="str">
            <v>TOCCO DA CASAURIA</v>
          </cell>
          <cell r="B5630" t="str">
            <v>068042</v>
          </cell>
          <cell r="C5630" t="str">
            <v>PE</v>
          </cell>
          <cell r="D5630" t="str">
            <v>PE</v>
          </cell>
          <cell r="E5630" t="str">
            <v>65028</v>
          </cell>
        </row>
        <row r="5631">
          <cell r="A5631" t="str">
            <v>TORRE DE' PASSERI</v>
          </cell>
          <cell r="B5631" t="str">
            <v>068043</v>
          </cell>
          <cell r="C5631" t="str">
            <v>PE</v>
          </cell>
          <cell r="D5631" t="str">
            <v>PE</v>
          </cell>
          <cell r="E5631" t="str">
            <v>65029</v>
          </cell>
        </row>
        <row r="5632">
          <cell r="A5632" t="str">
            <v>TURRIVALIGNANI</v>
          </cell>
          <cell r="B5632" t="str">
            <v>068044</v>
          </cell>
          <cell r="C5632" t="str">
            <v>PE</v>
          </cell>
          <cell r="D5632" t="str">
            <v>PE</v>
          </cell>
          <cell r="E5632" t="str">
            <v>65020</v>
          </cell>
        </row>
        <row r="5633">
          <cell r="A5633" t="str">
            <v>VICOLI</v>
          </cell>
          <cell r="B5633" t="str">
            <v>068045</v>
          </cell>
          <cell r="C5633" t="str">
            <v>PE</v>
          </cell>
          <cell r="D5633" t="str">
            <v>PE</v>
          </cell>
          <cell r="E5633" t="str">
            <v>65010</v>
          </cell>
        </row>
        <row r="5634">
          <cell r="A5634" t="str">
            <v>VILLA CELIERA</v>
          </cell>
          <cell r="B5634" t="str">
            <v>068046</v>
          </cell>
          <cell r="C5634" t="str">
            <v>PE</v>
          </cell>
          <cell r="D5634" t="str">
            <v>PE</v>
          </cell>
          <cell r="E5634" t="str">
            <v>65010</v>
          </cell>
        </row>
        <row r="5635">
          <cell r="A5635" t="str">
            <v>ALTINO</v>
          </cell>
          <cell r="B5635" t="str">
            <v>069001</v>
          </cell>
          <cell r="C5635" t="str">
            <v>CH</v>
          </cell>
          <cell r="D5635" t="str">
            <v>CH</v>
          </cell>
          <cell r="E5635" t="str">
            <v>66040</v>
          </cell>
        </row>
        <row r="5636">
          <cell r="A5636" t="str">
            <v>ARCHI</v>
          </cell>
          <cell r="B5636" t="str">
            <v>069002</v>
          </cell>
          <cell r="C5636" t="str">
            <v>CH</v>
          </cell>
          <cell r="D5636" t="str">
            <v>CH</v>
          </cell>
          <cell r="E5636" t="str">
            <v>66044</v>
          </cell>
        </row>
        <row r="5637">
          <cell r="A5637" t="str">
            <v>ARI</v>
          </cell>
          <cell r="B5637" t="str">
            <v>069003</v>
          </cell>
          <cell r="C5637" t="str">
            <v>CH</v>
          </cell>
          <cell r="D5637" t="str">
            <v>CH</v>
          </cell>
          <cell r="E5637" t="str">
            <v>66010</v>
          </cell>
        </row>
        <row r="5638">
          <cell r="A5638" t="str">
            <v>ARIELLI</v>
          </cell>
          <cell r="B5638" t="str">
            <v>069004</v>
          </cell>
          <cell r="C5638" t="str">
            <v>CH</v>
          </cell>
          <cell r="D5638" t="str">
            <v>CH</v>
          </cell>
          <cell r="E5638" t="str">
            <v>66030</v>
          </cell>
        </row>
        <row r="5639">
          <cell r="A5639" t="str">
            <v>ATESSA</v>
          </cell>
          <cell r="B5639" t="str">
            <v>069005</v>
          </cell>
          <cell r="C5639" t="str">
            <v>CH</v>
          </cell>
          <cell r="D5639" t="str">
            <v>CH</v>
          </cell>
          <cell r="E5639" t="str">
            <v>66041</v>
          </cell>
        </row>
        <row r="5640">
          <cell r="A5640" t="str">
            <v>BOMBA</v>
          </cell>
          <cell r="B5640" t="str">
            <v>069006</v>
          </cell>
          <cell r="C5640" t="str">
            <v>CH</v>
          </cell>
          <cell r="D5640" t="str">
            <v>CH</v>
          </cell>
          <cell r="E5640" t="str">
            <v>66042</v>
          </cell>
        </row>
        <row r="5641">
          <cell r="A5641" t="str">
            <v>BORRELLO</v>
          </cell>
          <cell r="B5641" t="str">
            <v>069007</v>
          </cell>
          <cell r="C5641" t="str">
            <v>CH</v>
          </cell>
          <cell r="D5641" t="str">
            <v>CH</v>
          </cell>
          <cell r="E5641" t="str">
            <v>66040</v>
          </cell>
        </row>
        <row r="5642">
          <cell r="A5642" t="str">
            <v>BUCCHIANICO</v>
          </cell>
          <cell r="B5642" t="str">
            <v>069008</v>
          </cell>
          <cell r="C5642" t="str">
            <v>CH</v>
          </cell>
          <cell r="D5642" t="str">
            <v>CH</v>
          </cell>
          <cell r="E5642" t="str">
            <v>66011</v>
          </cell>
        </row>
        <row r="5643">
          <cell r="A5643" t="str">
            <v>MONTEBELLO SUL SANGRO</v>
          </cell>
          <cell r="B5643" t="str">
            <v>069009</v>
          </cell>
          <cell r="C5643" t="str">
            <v>CH</v>
          </cell>
          <cell r="D5643" t="str">
            <v>CH</v>
          </cell>
          <cell r="E5643" t="str">
            <v>66040</v>
          </cell>
        </row>
        <row r="5644">
          <cell r="A5644" t="str">
            <v>CANOSA SANNITA</v>
          </cell>
          <cell r="B5644" t="str">
            <v>069010</v>
          </cell>
          <cell r="C5644" t="str">
            <v>CH</v>
          </cell>
          <cell r="D5644" t="str">
            <v>CH</v>
          </cell>
          <cell r="E5644" t="str">
            <v>66010</v>
          </cell>
        </row>
        <row r="5645">
          <cell r="A5645" t="str">
            <v>CARPINETO SINELLO</v>
          </cell>
          <cell r="B5645" t="str">
            <v>069011</v>
          </cell>
          <cell r="C5645" t="str">
            <v>CH</v>
          </cell>
          <cell r="D5645" t="str">
            <v>CH</v>
          </cell>
          <cell r="E5645" t="str">
            <v>66030</v>
          </cell>
        </row>
        <row r="5646">
          <cell r="A5646" t="str">
            <v>CARUNCHIO</v>
          </cell>
          <cell r="B5646" t="str">
            <v>069012</v>
          </cell>
          <cell r="C5646" t="str">
            <v>CH</v>
          </cell>
          <cell r="D5646" t="str">
            <v>CH</v>
          </cell>
          <cell r="E5646" t="str">
            <v>66050</v>
          </cell>
        </row>
        <row r="5647">
          <cell r="A5647" t="str">
            <v>CASACANDITELLA</v>
          </cell>
          <cell r="B5647" t="str">
            <v>069013</v>
          </cell>
          <cell r="C5647" t="str">
            <v>CH</v>
          </cell>
          <cell r="D5647" t="str">
            <v>CH</v>
          </cell>
          <cell r="E5647" t="str">
            <v>66010</v>
          </cell>
        </row>
        <row r="5648">
          <cell r="A5648" t="str">
            <v>CASALANGUIDA</v>
          </cell>
          <cell r="B5648" t="str">
            <v>069014</v>
          </cell>
          <cell r="C5648" t="str">
            <v>CH</v>
          </cell>
          <cell r="D5648" t="str">
            <v>CH</v>
          </cell>
          <cell r="E5648" t="str">
            <v>66031</v>
          </cell>
        </row>
        <row r="5649">
          <cell r="A5649" t="str">
            <v>CASALBORDINO</v>
          </cell>
          <cell r="B5649" t="str">
            <v>069015</v>
          </cell>
          <cell r="C5649" t="str">
            <v>CH</v>
          </cell>
          <cell r="D5649" t="str">
            <v>CH</v>
          </cell>
          <cell r="E5649" t="str">
            <v>66021</v>
          </cell>
        </row>
        <row r="5650">
          <cell r="A5650" t="str">
            <v>CASALINCONTRADA</v>
          </cell>
          <cell r="B5650" t="str">
            <v>069016</v>
          </cell>
          <cell r="C5650" t="str">
            <v>CH</v>
          </cell>
          <cell r="D5650" t="str">
            <v>CH</v>
          </cell>
          <cell r="E5650" t="str">
            <v>66012</v>
          </cell>
        </row>
        <row r="5651">
          <cell r="A5651" t="str">
            <v>CASOLI</v>
          </cell>
          <cell r="B5651" t="str">
            <v>069017</v>
          </cell>
          <cell r="C5651" t="str">
            <v>CH</v>
          </cell>
          <cell r="D5651" t="str">
            <v>CH</v>
          </cell>
          <cell r="E5651" t="str">
            <v>66043</v>
          </cell>
        </row>
        <row r="5652">
          <cell r="A5652" t="str">
            <v>CASTEL FRENTANO</v>
          </cell>
          <cell r="B5652" t="str">
            <v>069018</v>
          </cell>
          <cell r="C5652" t="str">
            <v>CH</v>
          </cell>
          <cell r="D5652" t="str">
            <v>CH</v>
          </cell>
          <cell r="E5652" t="str">
            <v>66032</v>
          </cell>
        </row>
        <row r="5653">
          <cell r="A5653" t="str">
            <v>CASTELGUIDONE</v>
          </cell>
          <cell r="B5653" t="str">
            <v>069019</v>
          </cell>
          <cell r="C5653" t="str">
            <v>CH</v>
          </cell>
          <cell r="D5653" t="str">
            <v>CH</v>
          </cell>
          <cell r="E5653" t="str">
            <v>66040</v>
          </cell>
        </row>
        <row r="5654">
          <cell r="A5654" t="str">
            <v>CASTIGLIONE MESSER MARINO</v>
          </cell>
          <cell r="B5654" t="str">
            <v>069020</v>
          </cell>
          <cell r="C5654" t="str">
            <v>CH</v>
          </cell>
          <cell r="D5654" t="str">
            <v>CH</v>
          </cell>
          <cell r="E5654" t="str">
            <v>66033</v>
          </cell>
        </row>
        <row r="5655">
          <cell r="A5655" t="str">
            <v>CELENZA SUL TRIGNO</v>
          </cell>
          <cell r="B5655" t="str">
            <v>069021</v>
          </cell>
          <cell r="C5655" t="str">
            <v>CH</v>
          </cell>
          <cell r="D5655" t="str">
            <v>CH</v>
          </cell>
          <cell r="E5655" t="str">
            <v>66050</v>
          </cell>
        </row>
        <row r="5656">
          <cell r="A5656" t="str">
            <v>CHIETI</v>
          </cell>
          <cell r="B5656" t="str">
            <v>069022</v>
          </cell>
          <cell r="C5656" t="str">
            <v>CH</v>
          </cell>
          <cell r="D5656" t="str">
            <v>CH</v>
          </cell>
          <cell r="E5656" t="str">
            <v>66100</v>
          </cell>
        </row>
        <row r="5657">
          <cell r="A5657" t="str">
            <v>CIVITALUPARELLA</v>
          </cell>
          <cell r="B5657" t="str">
            <v>069023</v>
          </cell>
          <cell r="C5657" t="str">
            <v>CH</v>
          </cell>
          <cell r="D5657" t="str">
            <v>CH</v>
          </cell>
          <cell r="E5657" t="str">
            <v>66040</v>
          </cell>
        </row>
        <row r="5658">
          <cell r="A5658" t="str">
            <v>CIVITELLA MESSER RAIMONDO</v>
          </cell>
          <cell r="B5658" t="str">
            <v>069024</v>
          </cell>
          <cell r="C5658" t="str">
            <v>CH</v>
          </cell>
          <cell r="D5658" t="str">
            <v>CH</v>
          </cell>
          <cell r="E5658" t="str">
            <v>66010</v>
          </cell>
        </row>
        <row r="5659">
          <cell r="A5659" t="str">
            <v>COLLEDIMACINE</v>
          </cell>
          <cell r="B5659" t="str">
            <v>069025</v>
          </cell>
          <cell r="C5659" t="str">
            <v>CH</v>
          </cell>
          <cell r="D5659" t="str">
            <v>CH</v>
          </cell>
          <cell r="E5659" t="str">
            <v>66010</v>
          </cell>
        </row>
        <row r="5660">
          <cell r="A5660" t="str">
            <v>COLLEDIMEZZO</v>
          </cell>
          <cell r="B5660" t="str">
            <v>069026</v>
          </cell>
          <cell r="C5660" t="str">
            <v>CH</v>
          </cell>
          <cell r="D5660" t="str">
            <v>CH</v>
          </cell>
          <cell r="E5660" t="str">
            <v>66040</v>
          </cell>
        </row>
        <row r="5661">
          <cell r="A5661" t="str">
            <v>CRECCHIO</v>
          </cell>
          <cell r="B5661" t="str">
            <v>069027</v>
          </cell>
          <cell r="C5661" t="str">
            <v>CH</v>
          </cell>
          <cell r="D5661" t="str">
            <v>CH</v>
          </cell>
          <cell r="E5661" t="str">
            <v>66014</v>
          </cell>
        </row>
        <row r="5662">
          <cell r="A5662" t="str">
            <v>CUPELLO</v>
          </cell>
          <cell r="B5662" t="str">
            <v>069028</v>
          </cell>
          <cell r="C5662" t="str">
            <v>CH</v>
          </cell>
          <cell r="D5662" t="str">
            <v>CH</v>
          </cell>
          <cell r="E5662" t="str">
            <v>66051</v>
          </cell>
        </row>
        <row r="5663">
          <cell r="A5663" t="str">
            <v>DOGLIOLA</v>
          </cell>
          <cell r="B5663" t="str">
            <v>069029</v>
          </cell>
          <cell r="C5663" t="str">
            <v>CH</v>
          </cell>
          <cell r="D5663" t="str">
            <v>CH</v>
          </cell>
          <cell r="E5663" t="str">
            <v>66050</v>
          </cell>
        </row>
        <row r="5664">
          <cell r="A5664" t="str">
            <v>FARA FILIORUM PETRI</v>
          </cell>
          <cell r="B5664" t="str">
            <v>069030</v>
          </cell>
          <cell r="C5664" t="str">
            <v>CH</v>
          </cell>
          <cell r="D5664" t="str">
            <v>CH</v>
          </cell>
          <cell r="E5664" t="str">
            <v>66010</v>
          </cell>
        </row>
        <row r="5665">
          <cell r="A5665" t="str">
            <v>FARA SAN MARTINO</v>
          </cell>
          <cell r="B5665" t="str">
            <v>069031</v>
          </cell>
          <cell r="C5665" t="str">
            <v>CH</v>
          </cell>
          <cell r="D5665" t="str">
            <v>CH</v>
          </cell>
          <cell r="E5665" t="str">
            <v>66015</v>
          </cell>
        </row>
        <row r="5666">
          <cell r="A5666" t="str">
            <v>FILETTO</v>
          </cell>
          <cell r="B5666" t="str">
            <v>069032</v>
          </cell>
          <cell r="C5666" t="str">
            <v>CH</v>
          </cell>
          <cell r="D5666" t="str">
            <v>CH</v>
          </cell>
          <cell r="E5666" t="str">
            <v>66030</v>
          </cell>
        </row>
        <row r="5667">
          <cell r="A5667" t="str">
            <v>FOSSACESIA</v>
          </cell>
          <cell r="B5667" t="str">
            <v>069033</v>
          </cell>
          <cell r="C5667" t="str">
            <v>CH</v>
          </cell>
          <cell r="D5667" t="str">
            <v>CH</v>
          </cell>
          <cell r="E5667" t="str">
            <v>66022</v>
          </cell>
        </row>
        <row r="5668">
          <cell r="A5668" t="str">
            <v>FRAINE</v>
          </cell>
          <cell r="B5668" t="str">
            <v>069034</v>
          </cell>
          <cell r="C5668" t="str">
            <v>CH</v>
          </cell>
          <cell r="D5668" t="str">
            <v>CH</v>
          </cell>
          <cell r="E5668" t="str">
            <v>66050</v>
          </cell>
        </row>
        <row r="5669">
          <cell r="A5669" t="str">
            <v>FRANCAVILLA AL MARE</v>
          </cell>
          <cell r="B5669" t="str">
            <v>069035</v>
          </cell>
          <cell r="C5669" t="str">
            <v>CH</v>
          </cell>
          <cell r="D5669" t="str">
            <v>CH</v>
          </cell>
          <cell r="E5669" t="str">
            <v>66023</v>
          </cell>
        </row>
        <row r="5670">
          <cell r="A5670" t="str">
            <v>FRESAGRANDINARIA</v>
          </cell>
          <cell r="B5670" t="str">
            <v>069036</v>
          </cell>
          <cell r="C5670" t="str">
            <v>CH</v>
          </cell>
          <cell r="D5670" t="str">
            <v>CH</v>
          </cell>
          <cell r="E5670" t="str">
            <v>66050</v>
          </cell>
        </row>
        <row r="5671">
          <cell r="A5671" t="str">
            <v>FRISA</v>
          </cell>
          <cell r="B5671" t="str">
            <v>069037</v>
          </cell>
          <cell r="C5671" t="str">
            <v>CH</v>
          </cell>
          <cell r="D5671" t="str">
            <v>CH</v>
          </cell>
          <cell r="E5671" t="str">
            <v>66030</v>
          </cell>
        </row>
        <row r="5672">
          <cell r="A5672" t="str">
            <v>FURCI</v>
          </cell>
          <cell r="B5672" t="str">
            <v>069038</v>
          </cell>
          <cell r="C5672" t="str">
            <v>CH</v>
          </cell>
          <cell r="D5672" t="str">
            <v>CH</v>
          </cell>
          <cell r="E5672" t="str">
            <v>66050</v>
          </cell>
        </row>
        <row r="5673">
          <cell r="A5673" t="str">
            <v>GAMBERALE</v>
          </cell>
          <cell r="B5673" t="str">
            <v>069039</v>
          </cell>
          <cell r="C5673" t="str">
            <v>CH</v>
          </cell>
          <cell r="D5673" t="str">
            <v>CH</v>
          </cell>
          <cell r="E5673" t="str">
            <v>66040</v>
          </cell>
        </row>
        <row r="5674">
          <cell r="A5674" t="str">
            <v>GESSOPALENA</v>
          </cell>
          <cell r="B5674" t="str">
            <v>069040</v>
          </cell>
          <cell r="C5674" t="str">
            <v>CH</v>
          </cell>
          <cell r="D5674" t="str">
            <v>CH</v>
          </cell>
          <cell r="E5674" t="str">
            <v>66010</v>
          </cell>
        </row>
        <row r="5675">
          <cell r="A5675" t="str">
            <v>GISSI</v>
          </cell>
          <cell r="B5675" t="str">
            <v>069041</v>
          </cell>
          <cell r="C5675" t="str">
            <v>CH</v>
          </cell>
          <cell r="D5675" t="str">
            <v>CH</v>
          </cell>
          <cell r="E5675" t="str">
            <v>66052</v>
          </cell>
        </row>
        <row r="5676">
          <cell r="A5676" t="str">
            <v>GIULIANO TEATINO</v>
          </cell>
          <cell r="B5676" t="str">
            <v>069042</v>
          </cell>
          <cell r="C5676" t="str">
            <v>CH</v>
          </cell>
          <cell r="D5676" t="str">
            <v>CH</v>
          </cell>
          <cell r="E5676" t="str">
            <v>66010</v>
          </cell>
        </row>
        <row r="5677">
          <cell r="A5677" t="str">
            <v>GUARDIAGRELE</v>
          </cell>
          <cell r="B5677" t="str">
            <v>069043</v>
          </cell>
          <cell r="C5677" t="str">
            <v>CH</v>
          </cell>
          <cell r="D5677" t="str">
            <v>CH</v>
          </cell>
          <cell r="E5677" t="str">
            <v>66016</v>
          </cell>
        </row>
        <row r="5678">
          <cell r="A5678" t="str">
            <v>GUILMI</v>
          </cell>
          <cell r="B5678" t="str">
            <v>069044</v>
          </cell>
          <cell r="C5678" t="str">
            <v>CH</v>
          </cell>
          <cell r="D5678" t="str">
            <v>CH</v>
          </cell>
          <cell r="E5678" t="str">
            <v>66050</v>
          </cell>
        </row>
        <row r="5679">
          <cell r="A5679" t="str">
            <v>LAMA DEI PELIGNI</v>
          </cell>
          <cell r="B5679" t="str">
            <v>069045</v>
          </cell>
          <cell r="C5679" t="str">
            <v>CH</v>
          </cell>
          <cell r="D5679" t="str">
            <v>CH</v>
          </cell>
          <cell r="E5679" t="str">
            <v>66010</v>
          </cell>
        </row>
        <row r="5680">
          <cell r="A5680" t="str">
            <v>LANCIANO</v>
          </cell>
          <cell r="B5680" t="str">
            <v>069046</v>
          </cell>
          <cell r="C5680" t="str">
            <v>CH</v>
          </cell>
          <cell r="D5680" t="str">
            <v>CH</v>
          </cell>
          <cell r="E5680" t="str">
            <v>66034</v>
          </cell>
        </row>
        <row r="5681">
          <cell r="A5681" t="str">
            <v>LENTELLA</v>
          </cell>
          <cell r="B5681" t="str">
            <v>069047</v>
          </cell>
          <cell r="C5681" t="str">
            <v>CH</v>
          </cell>
          <cell r="D5681" t="str">
            <v>CH</v>
          </cell>
          <cell r="E5681" t="str">
            <v>66050</v>
          </cell>
        </row>
        <row r="5682">
          <cell r="A5682" t="str">
            <v>LETTOPALENA</v>
          </cell>
          <cell r="B5682" t="str">
            <v>069048</v>
          </cell>
          <cell r="C5682" t="str">
            <v>CH</v>
          </cell>
          <cell r="D5682" t="str">
            <v>CH</v>
          </cell>
          <cell r="E5682" t="str">
            <v>66010</v>
          </cell>
        </row>
        <row r="5683">
          <cell r="A5683" t="str">
            <v>LISCIA</v>
          </cell>
          <cell r="B5683" t="str">
            <v>069049</v>
          </cell>
          <cell r="C5683" t="str">
            <v>CH</v>
          </cell>
          <cell r="D5683" t="str">
            <v>CH</v>
          </cell>
          <cell r="E5683" t="str">
            <v>66050</v>
          </cell>
        </row>
        <row r="5684">
          <cell r="A5684" t="str">
            <v>MIGLIANICO</v>
          </cell>
          <cell r="B5684" t="str">
            <v>069050</v>
          </cell>
          <cell r="C5684" t="str">
            <v>CH</v>
          </cell>
          <cell r="D5684" t="str">
            <v>CH</v>
          </cell>
          <cell r="E5684" t="str">
            <v>66010</v>
          </cell>
        </row>
        <row r="5685">
          <cell r="A5685" t="str">
            <v>MONTAZZOLI</v>
          </cell>
          <cell r="B5685" t="str">
            <v>069051</v>
          </cell>
          <cell r="C5685" t="str">
            <v>CH</v>
          </cell>
          <cell r="D5685" t="str">
            <v>CH</v>
          </cell>
          <cell r="E5685" t="str">
            <v>66030</v>
          </cell>
        </row>
        <row r="5686">
          <cell r="A5686" t="str">
            <v>MONTEFERRANTE</v>
          </cell>
          <cell r="B5686" t="str">
            <v>069052</v>
          </cell>
          <cell r="C5686" t="str">
            <v>CH</v>
          </cell>
          <cell r="D5686" t="str">
            <v>CH</v>
          </cell>
          <cell r="E5686" t="str">
            <v>66040</v>
          </cell>
        </row>
        <row r="5687">
          <cell r="A5687" t="str">
            <v>MONTELAPIANO</v>
          </cell>
          <cell r="B5687" t="str">
            <v>069053</v>
          </cell>
          <cell r="C5687" t="str">
            <v>CH</v>
          </cell>
          <cell r="D5687" t="str">
            <v>CH</v>
          </cell>
          <cell r="E5687" t="str">
            <v>66040</v>
          </cell>
        </row>
        <row r="5688">
          <cell r="A5688" t="str">
            <v>MONTENERODOMO</v>
          </cell>
          <cell r="B5688" t="str">
            <v>069054</v>
          </cell>
          <cell r="C5688" t="str">
            <v>CH</v>
          </cell>
          <cell r="D5688" t="str">
            <v>CH</v>
          </cell>
          <cell r="E5688" t="str">
            <v>66010</v>
          </cell>
        </row>
        <row r="5689">
          <cell r="A5689" t="str">
            <v>MONTEODORISIO</v>
          </cell>
          <cell r="B5689" t="str">
            <v>069055</v>
          </cell>
          <cell r="C5689" t="str">
            <v>CH</v>
          </cell>
          <cell r="D5689" t="str">
            <v>CH</v>
          </cell>
          <cell r="E5689" t="str">
            <v>66050</v>
          </cell>
        </row>
        <row r="5690">
          <cell r="A5690" t="str">
            <v>MOZZAGROGNA</v>
          </cell>
          <cell r="B5690" t="str">
            <v>069056</v>
          </cell>
          <cell r="C5690" t="str">
            <v>CH</v>
          </cell>
          <cell r="D5690" t="str">
            <v>CH</v>
          </cell>
          <cell r="E5690" t="str">
            <v>66030</v>
          </cell>
        </row>
        <row r="5691">
          <cell r="A5691" t="str">
            <v>ORSOGNA</v>
          </cell>
          <cell r="B5691" t="str">
            <v>069057</v>
          </cell>
          <cell r="C5691" t="str">
            <v>CH</v>
          </cell>
          <cell r="D5691" t="str">
            <v>CH</v>
          </cell>
          <cell r="E5691" t="str">
            <v>66036</v>
          </cell>
        </row>
        <row r="5692">
          <cell r="A5692" t="str">
            <v>ORTONA</v>
          </cell>
          <cell r="B5692" t="str">
            <v>069058</v>
          </cell>
          <cell r="C5692" t="str">
            <v>CH</v>
          </cell>
          <cell r="D5692" t="str">
            <v>CH</v>
          </cell>
          <cell r="E5692" t="str">
            <v>66026</v>
          </cell>
        </row>
        <row r="5693">
          <cell r="A5693" t="str">
            <v>PAGLIETA</v>
          </cell>
          <cell r="B5693" t="str">
            <v>069059</v>
          </cell>
          <cell r="C5693" t="str">
            <v>CH</v>
          </cell>
          <cell r="D5693" t="str">
            <v>CH</v>
          </cell>
          <cell r="E5693" t="str">
            <v>66020</v>
          </cell>
        </row>
        <row r="5694">
          <cell r="A5694" t="str">
            <v>PALENA</v>
          </cell>
          <cell r="B5694" t="str">
            <v>069060</v>
          </cell>
          <cell r="C5694" t="str">
            <v>CH</v>
          </cell>
          <cell r="D5694" t="str">
            <v>CH</v>
          </cell>
          <cell r="E5694" t="str">
            <v>66017</v>
          </cell>
        </row>
        <row r="5695">
          <cell r="A5695" t="str">
            <v>PALMOLI</v>
          </cell>
          <cell r="B5695" t="str">
            <v>069061</v>
          </cell>
          <cell r="C5695" t="str">
            <v>CH</v>
          </cell>
          <cell r="D5695" t="str">
            <v>CH</v>
          </cell>
          <cell r="E5695" t="str">
            <v>66050</v>
          </cell>
        </row>
        <row r="5696">
          <cell r="A5696" t="str">
            <v>PALOMBARO</v>
          </cell>
          <cell r="B5696" t="str">
            <v>069062</v>
          </cell>
          <cell r="C5696" t="str">
            <v>CH</v>
          </cell>
          <cell r="D5696" t="str">
            <v>CH</v>
          </cell>
          <cell r="E5696" t="str">
            <v>66010</v>
          </cell>
        </row>
        <row r="5697">
          <cell r="A5697" t="str">
            <v>PENNADOMO</v>
          </cell>
          <cell r="B5697" t="str">
            <v>069063</v>
          </cell>
          <cell r="C5697" t="str">
            <v>CH</v>
          </cell>
          <cell r="D5697" t="str">
            <v>CH</v>
          </cell>
          <cell r="E5697" t="str">
            <v>66040</v>
          </cell>
        </row>
        <row r="5698">
          <cell r="A5698" t="str">
            <v>PENNAPIEDIMONTE</v>
          </cell>
          <cell r="B5698" t="str">
            <v>069064</v>
          </cell>
          <cell r="C5698" t="str">
            <v>CH</v>
          </cell>
          <cell r="D5698" t="str">
            <v>CH</v>
          </cell>
          <cell r="E5698" t="str">
            <v>66010</v>
          </cell>
        </row>
        <row r="5699">
          <cell r="A5699" t="str">
            <v>PERANO</v>
          </cell>
          <cell r="B5699" t="str">
            <v>069065</v>
          </cell>
          <cell r="C5699" t="str">
            <v>CH</v>
          </cell>
          <cell r="D5699" t="str">
            <v>CH</v>
          </cell>
          <cell r="E5699" t="str">
            <v>66040</v>
          </cell>
        </row>
        <row r="5700">
          <cell r="A5700" t="str">
            <v>PIZZOFERRATO</v>
          </cell>
          <cell r="B5700" t="str">
            <v>069066</v>
          </cell>
          <cell r="C5700" t="str">
            <v>CH</v>
          </cell>
          <cell r="D5700" t="str">
            <v>CH</v>
          </cell>
          <cell r="E5700" t="str">
            <v>66040</v>
          </cell>
        </row>
        <row r="5701">
          <cell r="A5701" t="str">
            <v>POGGIOFIORITO</v>
          </cell>
          <cell r="B5701" t="str">
            <v>069067</v>
          </cell>
          <cell r="C5701" t="str">
            <v>CH</v>
          </cell>
          <cell r="D5701" t="str">
            <v>CH</v>
          </cell>
          <cell r="E5701" t="str">
            <v>66030</v>
          </cell>
        </row>
        <row r="5702">
          <cell r="A5702" t="str">
            <v>POLLUTRI</v>
          </cell>
          <cell r="B5702" t="str">
            <v>069068</v>
          </cell>
          <cell r="C5702" t="str">
            <v>CH</v>
          </cell>
          <cell r="D5702" t="str">
            <v>CH</v>
          </cell>
          <cell r="E5702" t="str">
            <v>66020</v>
          </cell>
        </row>
        <row r="5703">
          <cell r="A5703" t="str">
            <v>PRETORO</v>
          </cell>
          <cell r="B5703" t="str">
            <v>069069</v>
          </cell>
          <cell r="C5703" t="str">
            <v>CH</v>
          </cell>
          <cell r="D5703" t="str">
            <v>CH</v>
          </cell>
          <cell r="E5703" t="str">
            <v>66010</v>
          </cell>
        </row>
        <row r="5704">
          <cell r="A5704" t="str">
            <v>QUADRI</v>
          </cell>
          <cell r="B5704" t="str">
            <v>069070</v>
          </cell>
          <cell r="C5704" t="str">
            <v>CH</v>
          </cell>
          <cell r="D5704" t="str">
            <v>CH</v>
          </cell>
          <cell r="E5704" t="str">
            <v>66040</v>
          </cell>
        </row>
        <row r="5705">
          <cell r="A5705" t="str">
            <v>RAPINO</v>
          </cell>
          <cell r="B5705" t="str">
            <v>069071</v>
          </cell>
          <cell r="C5705" t="str">
            <v>CH</v>
          </cell>
          <cell r="D5705" t="str">
            <v>CH</v>
          </cell>
          <cell r="E5705" t="str">
            <v>66010</v>
          </cell>
        </row>
        <row r="5706">
          <cell r="A5706" t="str">
            <v>RIPA TEATINA</v>
          </cell>
          <cell r="B5706" t="str">
            <v>069072</v>
          </cell>
          <cell r="C5706" t="str">
            <v>CH</v>
          </cell>
          <cell r="D5706" t="str">
            <v>CH</v>
          </cell>
          <cell r="E5706" t="str">
            <v>66010</v>
          </cell>
        </row>
        <row r="5707">
          <cell r="A5707" t="str">
            <v>ROCCAMONTEPIANO</v>
          </cell>
          <cell r="B5707" t="str">
            <v>069073</v>
          </cell>
          <cell r="C5707" t="str">
            <v>CH</v>
          </cell>
          <cell r="D5707" t="str">
            <v>CH</v>
          </cell>
          <cell r="E5707" t="str">
            <v>66010</v>
          </cell>
        </row>
        <row r="5708">
          <cell r="A5708" t="str">
            <v>ROCCA SAN GIOVANNI</v>
          </cell>
          <cell r="B5708" t="str">
            <v>069074</v>
          </cell>
          <cell r="C5708" t="str">
            <v>CH</v>
          </cell>
          <cell r="D5708" t="str">
            <v>CH</v>
          </cell>
          <cell r="E5708" t="str">
            <v>66020</v>
          </cell>
        </row>
        <row r="5709">
          <cell r="A5709" t="str">
            <v>ROCCASCALEGNA</v>
          </cell>
          <cell r="B5709" t="str">
            <v>069075</v>
          </cell>
          <cell r="C5709" t="str">
            <v>CH</v>
          </cell>
          <cell r="D5709" t="str">
            <v>CH</v>
          </cell>
          <cell r="E5709" t="str">
            <v>66040</v>
          </cell>
        </row>
        <row r="5710">
          <cell r="A5710" t="str">
            <v>ROCCASPINALVETI</v>
          </cell>
          <cell r="B5710" t="str">
            <v>069076</v>
          </cell>
          <cell r="C5710" t="str">
            <v>CH</v>
          </cell>
          <cell r="D5710" t="str">
            <v>CH</v>
          </cell>
          <cell r="E5710" t="str">
            <v>66050</v>
          </cell>
        </row>
        <row r="5711">
          <cell r="A5711" t="str">
            <v>ROIO DEL SANGRO</v>
          </cell>
          <cell r="B5711" t="str">
            <v>069077</v>
          </cell>
          <cell r="C5711" t="str">
            <v>CH</v>
          </cell>
          <cell r="D5711" t="str">
            <v>CH</v>
          </cell>
          <cell r="E5711" t="str">
            <v>66040</v>
          </cell>
        </row>
        <row r="5712">
          <cell r="A5712" t="str">
            <v>ROSELLO</v>
          </cell>
          <cell r="B5712" t="str">
            <v>069078</v>
          </cell>
          <cell r="C5712" t="str">
            <v>CH</v>
          </cell>
          <cell r="D5712" t="str">
            <v>CH</v>
          </cell>
          <cell r="E5712" t="str">
            <v>66040</v>
          </cell>
        </row>
        <row r="5713">
          <cell r="A5713" t="str">
            <v>SAN BUONO</v>
          </cell>
          <cell r="B5713" t="str">
            <v>069079</v>
          </cell>
          <cell r="C5713" t="str">
            <v>CH</v>
          </cell>
          <cell r="D5713" t="str">
            <v>CH</v>
          </cell>
          <cell r="E5713" t="str">
            <v>66050</v>
          </cell>
        </row>
        <row r="5714">
          <cell r="A5714" t="str">
            <v>SAN GIOVANNI LIPIONI</v>
          </cell>
          <cell r="B5714" t="str">
            <v>069080</v>
          </cell>
          <cell r="C5714" t="str">
            <v>CH</v>
          </cell>
          <cell r="D5714" t="str">
            <v>CH</v>
          </cell>
          <cell r="E5714" t="str">
            <v>66050</v>
          </cell>
        </row>
        <row r="5715">
          <cell r="A5715" t="str">
            <v>SAN GIOVANNI TEATINO</v>
          </cell>
          <cell r="B5715" t="str">
            <v>069081</v>
          </cell>
          <cell r="C5715" t="str">
            <v>CH</v>
          </cell>
          <cell r="D5715" t="str">
            <v>CH</v>
          </cell>
          <cell r="E5715" t="str">
            <v>66020</v>
          </cell>
        </row>
        <row r="5716">
          <cell r="A5716" t="str">
            <v>SAN MARTINO SULLA MARRUCINA</v>
          </cell>
          <cell r="B5716" t="str">
            <v>069082</v>
          </cell>
          <cell r="C5716" t="str">
            <v>CH</v>
          </cell>
          <cell r="D5716" t="str">
            <v>CH</v>
          </cell>
          <cell r="E5716" t="str">
            <v>66010</v>
          </cell>
        </row>
        <row r="5717">
          <cell r="A5717" t="str">
            <v>SAN SALVO</v>
          </cell>
          <cell r="B5717" t="str">
            <v>069083</v>
          </cell>
          <cell r="C5717" t="str">
            <v>CH</v>
          </cell>
          <cell r="D5717" t="str">
            <v>CH</v>
          </cell>
          <cell r="E5717" t="str">
            <v>66050</v>
          </cell>
        </row>
        <row r="5718">
          <cell r="A5718" t="str">
            <v>SANTA MARIA IMBARO</v>
          </cell>
          <cell r="B5718" t="str">
            <v>069084</v>
          </cell>
          <cell r="C5718" t="str">
            <v>CH</v>
          </cell>
          <cell r="D5718" t="str">
            <v>CH</v>
          </cell>
          <cell r="E5718" t="str">
            <v>66030</v>
          </cell>
        </row>
        <row r="5719">
          <cell r="A5719" t="str">
            <v>SANT'EUSANIO DEL SANGRO</v>
          </cell>
          <cell r="B5719" t="str">
            <v>069085</v>
          </cell>
          <cell r="C5719" t="str">
            <v>CH</v>
          </cell>
          <cell r="D5719" t="str">
            <v>CH</v>
          </cell>
          <cell r="E5719" t="str">
            <v>66037</v>
          </cell>
        </row>
        <row r="5720">
          <cell r="A5720" t="str">
            <v>SAN VITO CHIETINO</v>
          </cell>
          <cell r="B5720" t="str">
            <v>069086</v>
          </cell>
          <cell r="C5720" t="str">
            <v>CH</v>
          </cell>
          <cell r="D5720" t="str">
            <v>CH</v>
          </cell>
          <cell r="E5720" t="str">
            <v>66038</v>
          </cell>
        </row>
        <row r="5721">
          <cell r="A5721" t="str">
            <v>SCERNI</v>
          </cell>
          <cell r="B5721" t="str">
            <v>069087</v>
          </cell>
          <cell r="C5721" t="str">
            <v>CH</v>
          </cell>
          <cell r="D5721" t="str">
            <v>CH</v>
          </cell>
          <cell r="E5721" t="str">
            <v>66020</v>
          </cell>
        </row>
        <row r="5722">
          <cell r="A5722" t="str">
            <v>SCHIAVI DI ABRUZZO</v>
          </cell>
          <cell r="B5722" t="str">
            <v>069088</v>
          </cell>
          <cell r="C5722" t="str">
            <v>CH</v>
          </cell>
          <cell r="D5722" t="str">
            <v>CH</v>
          </cell>
          <cell r="E5722" t="str">
            <v>66045</v>
          </cell>
        </row>
        <row r="5723">
          <cell r="A5723" t="str">
            <v>TARANTA PELIGNA</v>
          </cell>
          <cell r="B5723" t="str">
            <v>069089</v>
          </cell>
          <cell r="C5723" t="str">
            <v>CH</v>
          </cell>
          <cell r="D5723" t="str">
            <v>CH</v>
          </cell>
          <cell r="E5723" t="str">
            <v>66018</v>
          </cell>
        </row>
        <row r="5724">
          <cell r="A5724" t="str">
            <v>TOLLO</v>
          </cell>
          <cell r="B5724" t="str">
            <v>069090</v>
          </cell>
          <cell r="C5724" t="str">
            <v>CH</v>
          </cell>
          <cell r="D5724" t="str">
            <v>CH</v>
          </cell>
          <cell r="E5724" t="str">
            <v>66010</v>
          </cell>
        </row>
        <row r="5725">
          <cell r="A5725" t="str">
            <v>TORINO DI SANGRO</v>
          </cell>
          <cell r="B5725" t="str">
            <v>069091</v>
          </cell>
          <cell r="C5725" t="str">
            <v>CH</v>
          </cell>
          <cell r="D5725" t="str">
            <v>CH</v>
          </cell>
          <cell r="E5725" t="str">
            <v>66020</v>
          </cell>
        </row>
        <row r="5726">
          <cell r="A5726" t="str">
            <v>TORNARECCIO</v>
          </cell>
          <cell r="B5726" t="str">
            <v>069092</v>
          </cell>
          <cell r="C5726" t="str">
            <v>CH</v>
          </cell>
          <cell r="D5726" t="str">
            <v>CH</v>
          </cell>
          <cell r="E5726" t="str">
            <v>66046</v>
          </cell>
        </row>
        <row r="5727">
          <cell r="A5727" t="str">
            <v>TORREBRUNA</v>
          </cell>
          <cell r="B5727" t="str">
            <v>069093</v>
          </cell>
          <cell r="C5727" t="str">
            <v>CH</v>
          </cell>
          <cell r="D5727" t="str">
            <v>CH</v>
          </cell>
          <cell r="E5727" t="str">
            <v>66050</v>
          </cell>
        </row>
        <row r="5728">
          <cell r="A5728" t="str">
            <v>TORREVECCHIA TEATINA</v>
          </cell>
          <cell r="B5728" t="str">
            <v>069094</v>
          </cell>
          <cell r="C5728" t="str">
            <v>CH</v>
          </cell>
          <cell r="D5728" t="str">
            <v>CH</v>
          </cell>
          <cell r="E5728" t="str">
            <v>66010</v>
          </cell>
        </row>
        <row r="5729">
          <cell r="A5729" t="str">
            <v>TORRICELLA PELIGNA</v>
          </cell>
          <cell r="B5729" t="str">
            <v>069095</v>
          </cell>
          <cell r="C5729" t="str">
            <v>CH</v>
          </cell>
          <cell r="D5729" t="str">
            <v>CH</v>
          </cell>
          <cell r="E5729" t="str">
            <v>66019</v>
          </cell>
        </row>
        <row r="5730">
          <cell r="A5730" t="str">
            <v>TREGLIO</v>
          </cell>
          <cell r="B5730" t="str">
            <v>069096</v>
          </cell>
          <cell r="C5730" t="str">
            <v>CH</v>
          </cell>
          <cell r="D5730" t="str">
            <v>CH</v>
          </cell>
          <cell r="E5730" t="str">
            <v>66030</v>
          </cell>
        </row>
        <row r="5731">
          <cell r="A5731" t="str">
            <v>TUFILLO</v>
          </cell>
          <cell r="B5731" t="str">
            <v>069097</v>
          </cell>
          <cell r="C5731" t="str">
            <v>CH</v>
          </cell>
          <cell r="D5731" t="str">
            <v>CH</v>
          </cell>
          <cell r="E5731" t="str">
            <v>66050</v>
          </cell>
        </row>
        <row r="5732">
          <cell r="A5732" t="str">
            <v>VACRI</v>
          </cell>
          <cell r="B5732" t="str">
            <v>069098</v>
          </cell>
          <cell r="C5732" t="str">
            <v>CH</v>
          </cell>
          <cell r="D5732" t="str">
            <v>CH</v>
          </cell>
          <cell r="E5732" t="str">
            <v>66010</v>
          </cell>
        </row>
        <row r="5733">
          <cell r="A5733" t="str">
            <v>VASTO</v>
          </cell>
          <cell r="B5733" t="str">
            <v>069099</v>
          </cell>
          <cell r="C5733" t="str">
            <v>CH</v>
          </cell>
          <cell r="D5733" t="str">
            <v>CH</v>
          </cell>
          <cell r="E5733" t="str">
            <v>66054</v>
          </cell>
        </row>
        <row r="5734">
          <cell r="A5734" t="str">
            <v>VILLALFONSINA</v>
          </cell>
          <cell r="B5734" t="str">
            <v>069100</v>
          </cell>
          <cell r="C5734" t="str">
            <v>CH</v>
          </cell>
          <cell r="D5734" t="str">
            <v>CH</v>
          </cell>
          <cell r="E5734" t="str">
            <v>66020</v>
          </cell>
        </row>
        <row r="5735">
          <cell r="A5735" t="str">
            <v>VILLAMAGNA</v>
          </cell>
          <cell r="B5735" t="str">
            <v>069101</v>
          </cell>
          <cell r="C5735" t="str">
            <v>CH</v>
          </cell>
          <cell r="D5735" t="str">
            <v>CH</v>
          </cell>
          <cell r="E5735" t="str">
            <v>66010</v>
          </cell>
        </row>
        <row r="5736">
          <cell r="A5736" t="str">
            <v>VILLA SANTA MARIA</v>
          </cell>
          <cell r="B5736" t="str">
            <v>069102</v>
          </cell>
          <cell r="C5736" t="str">
            <v>CH</v>
          </cell>
          <cell r="D5736" t="str">
            <v>CH</v>
          </cell>
          <cell r="E5736" t="str">
            <v>66047</v>
          </cell>
        </row>
        <row r="5737">
          <cell r="A5737" t="str">
            <v>PIETRAFERRAZZANA</v>
          </cell>
          <cell r="B5737" t="str">
            <v>069103</v>
          </cell>
          <cell r="C5737" t="str">
            <v>CH</v>
          </cell>
          <cell r="D5737" t="str">
            <v>CH</v>
          </cell>
          <cell r="E5737" t="str">
            <v>66040</v>
          </cell>
        </row>
        <row r="5738">
          <cell r="A5738" t="str">
            <v>FALLO</v>
          </cell>
          <cell r="B5738" t="str">
            <v>069104</v>
          </cell>
          <cell r="C5738" t="str">
            <v>CH</v>
          </cell>
          <cell r="D5738" t="str">
            <v>CH</v>
          </cell>
          <cell r="E5738" t="str">
            <v>66040</v>
          </cell>
        </row>
        <row r="5739">
          <cell r="A5739" t="str">
            <v>ACQUAVIVA COLLECROCE</v>
          </cell>
          <cell r="B5739" t="str">
            <v>070001</v>
          </cell>
          <cell r="C5739" t="str">
            <v>CB</v>
          </cell>
          <cell r="D5739" t="str">
            <v>CB</v>
          </cell>
          <cell r="E5739" t="str">
            <v>86030</v>
          </cell>
        </row>
        <row r="5740">
          <cell r="A5740" t="str">
            <v>BARANELLO</v>
          </cell>
          <cell r="B5740" t="str">
            <v>070002</v>
          </cell>
          <cell r="C5740" t="str">
            <v>CB</v>
          </cell>
          <cell r="D5740" t="str">
            <v>CB</v>
          </cell>
          <cell r="E5740" t="str">
            <v>86011</v>
          </cell>
        </row>
        <row r="5741">
          <cell r="A5741" t="str">
            <v>BOJANO</v>
          </cell>
          <cell r="B5741" t="str">
            <v>070003</v>
          </cell>
          <cell r="C5741" t="str">
            <v>CB</v>
          </cell>
          <cell r="D5741" t="str">
            <v>CB</v>
          </cell>
          <cell r="E5741" t="str">
            <v>86021</v>
          </cell>
        </row>
        <row r="5742">
          <cell r="A5742" t="str">
            <v>BONEFRO</v>
          </cell>
          <cell r="B5742" t="str">
            <v>070004</v>
          </cell>
          <cell r="C5742" t="str">
            <v>CB</v>
          </cell>
          <cell r="D5742" t="str">
            <v>CB</v>
          </cell>
          <cell r="E5742" t="str">
            <v>86041</v>
          </cell>
        </row>
        <row r="5743">
          <cell r="A5743" t="str">
            <v>BUSSO</v>
          </cell>
          <cell r="B5743" t="str">
            <v>070005</v>
          </cell>
          <cell r="C5743" t="str">
            <v>CB</v>
          </cell>
          <cell r="D5743" t="str">
            <v>CB</v>
          </cell>
          <cell r="E5743" t="str">
            <v>86010</v>
          </cell>
        </row>
        <row r="5744">
          <cell r="A5744" t="str">
            <v>CAMPOBASSO</v>
          </cell>
          <cell r="B5744" t="str">
            <v>070006</v>
          </cell>
          <cell r="C5744" t="str">
            <v>CB</v>
          </cell>
          <cell r="D5744" t="str">
            <v>CB</v>
          </cell>
          <cell r="E5744" t="str">
            <v>86100</v>
          </cell>
        </row>
        <row r="5745">
          <cell r="A5745" t="str">
            <v>CAMPOCHIARO</v>
          </cell>
          <cell r="B5745" t="str">
            <v>070007</v>
          </cell>
          <cell r="C5745" t="str">
            <v>CB</v>
          </cell>
          <cell r="D5745" t="str">
            <v>CB</v>
          </cell>
          <cell r="E5745" t="str">
            <v>86020</v>
          </cell>
        </row>
        <row r="5746">
          <cell r="A5746" t="str">
            <v>CAMPODIPIETRA</v>
          </cell>
          <cell r="B5746" t="str">
            <v>070008</v>
          </cell>
          <cell r="C5746" t="str">
            <v>CB</v>
          </cell>
          <cell r="D5746" t="str">
            <v>CB</v>
          </cell>
          <cell r="E5746" t="str">
            <v>86010</v>
          </cell>
        </row>
        <row r="5747">
          <cell r="A5747" t="str">
            <v>CAMPOLIETO</v>
          </cell>
          <cell r="B5747" t="str">
            <v>070009</v>
          </cell>
          <cell r="C5747" t="str">
            <v>CB</v>
          </cell>
          <cell r="D5747" t="str">
            <v>CB</v>
          </cell>
          <cell r="E5747" t="str">
            <v>86040</v>
          </cell>
        </row>
        <row r="5748">
          <cell r="A5748" t="str">
            <v>CAMPOMARINO</v>
          </cell>
          <cell r="B5748" t="str">
            <v>070010</v>
          </cell>
          <cell r="C5748" t="str">
            <v>CB</v>
          </cell>
          <cell r="D5748" t="str">
            <v>CB</v>
          </cell>
          <cell r="E5748" t="str">
            <v>86042</v>
          </cell>
        </row>
        <row r="5749">
          <cell r="A5749" t="str">
            <v>CASACALENDA</v>
          </cell>
          <cell r="B5749" t="str">
            <v>070011</v>
          </cell>
          <cell r="C5749" t="str">
            <v>CB</v>
          </cell>
          <cell r="D5749" t="str">
            <v>CB</v>
          </cell>
          <cell r="E5749" t="str">
            <v>86043</v>
          </cell>
        </row>
        <row r="5750">
          <cell r="A5750" t="str">
            <v>CASALCIPRANO</v>
          </cell>
          <cell r="B5750" t="str">
            <v>070012</v>
          </cell>
          <cell r="C5750" t="str">
            <v>CB</v>
          </cell>
          <cell r="D5750" t="str">
            <v>CB</v>
          </cell>
          <cell r="E5750" t="str">
            <v>86010</v>
          </cell>
        </row>
        <row r="5751">
          <cell r="A5751" t="str">
            <v>CASTELBOTTACCIO</v>
          </cell>
          <cell r="B5751" t="str">
            <v>070013</v>
          </cell>
          <cell r="C5751" t="str">
            <v>CB</v>
          </cell>
          <cell r="D5751" t="str">
            <v>CB</v>
          </cell>
          <cell r="E5751" t="str">
            <v>86030</v>
          </cell>
        </row>
        <row r="5752">
          <cell r="A5752" t="str">
            <v>CASTELLINO DEL BIFERNO</v>
          </cell>
          <cell r="B5752" t="str">
            <v>070014</v>
          </cell>
          <cell r="C5752" t="str">
            <v>CB</v>
          </cell>
          <cell r="D5752" t="str">
            <v>CB</v>
          </cell>
          <cell r="E5752" t="str">
            <v>86020</v>
          </cell>
        </row>
        <row r="5753">
          <cell r="A5753" t="str">
            <v>CASTELMAURO</v>
          </cell>
          <cell r="B5753" t="str">
            <v>070015</v>
          </cell>
          <cell r="C5753" t="str">
            <v>CB</v>
          </cell>
          <cell r="D5753" t="str">
            <v>CB</v>
          </cell>
          <cell r="E5753" t="str">
            <v>86031</v>
          </cell>
        </row>
        <row r="5754">
          <cell r="A5754" t="str">
            <v>CASTROPIGNANO</v>
          </cell>
          <cell r="B5754" t="str">
            <v>070016</v>
          </cell>
          <cell r="C5754" t="str">
            <v>CB</v>
          </cell>
          <cell r="D5754" t="str">
            <v>CB</v>
          </cell>
          <cell r="E5754" t="str">
            <v>86010</v>
          </cell>
        </row>
        <row r="5755">
          <cell r="A5755" t="str">
            <v>CERCEMAGGIORE</v>
          </cell>
          <cell r="B5755" t="str">
            <v>070017</v>
          </cell>
          <cell r="C5755" t="str">
            <v>CB</v>
          </cell>
          <cell r="D5755" t="str">
            <v>CB</v>
          </cell>
          <cell r="E5755" t="str">
            <v>86012</v>
          </cell>
        </row>
        <row r="5756">
          <cell r="A5756" t="str">
            <v>CERCEPICCOLA</v>
          </cell>
          <cell r="B5756" t="str">
            <v>070018</v>
          </cell>
          <cell r="C5756" t="str">
            <v>CB</v>
          </cell>
          <cell r="D5756" t="str">
            <v>CB</v>
          </cell>
          <cell r="E5756" t="str">
            <v>86010</v>
          </cell>
        </row>
        <row r="5757">
          <cell r="A5757" t="str">
            <v>CIVITACAMPOMARANO</v>
          </cell>
          <cell r="B5757" t="str">
            <v>070019</v>
          </cell>
          <cell r="C5757" t="str">
            <v>CB</v>
          </cell>
          <cell r="D5757" t="str">
            <v>CB</v>
          </cell>
          <cell r="E5757" t="str">
            <v>86030</v>
          </cell>
        </row>
        <row r="5758">
          <cell r="A5758" t="str">
            <v>COLLE D'ANCHISE</v>
          </cell>
          <cell r="B5758" t="str">
            <v>070020</v>
          </cell>
          <cell r="C5758" t="str">
            <v>CB</v>
          </cell>
          <cell r="D5758" t="str">
            <v>CB</v>
          </cell>
          <cell r="E5758" t="str">
            <v>86020</v>
          </cell>
        </row>
        <row r="5759">
          <cell r="A5759" t="str">
            <v>COLLETORTO</v>
          </cell>
          <cell r="B5759" t="str">
            <v>070021</v>
          </cell>
          <cell r="C5759" t="str">
            <v>CB</v>
          </cell>
          <cell r="D5759" t="str">
            <v>CB</v>
          </cell>
          <cell r="E5759" t="str">
            <v>86044</v>
          </cell>
        </row>
        <row r="5760">
          <cell r="A5760" t="str">
            <v>DURONIA</v>
          </cell>
          <cell r="B5760" t="str">
            <v>070022</v>
          </cell>
          <cell r="C5760" t="str">
            <v>CB</v>
          </cell>
          <cell r="D5760" t="str">
            <v>CB</v>
          </cell>
          <cell r="E5760" t="str">
            <v>86020</v>
          </cell>
        </row>
        <row r="5761">
          <cell r="A5761" t="str">
            <v>FERRAZZANO</v>
          </cell>
          <cell r="B5761" t="str">
            <v>070023</v>
          </cell>
          <cell r="C5761" t="str">
            <v>CB</v>
          </cell>
          <cell r="D5761" t="str">
            <v>CB</v>
          </cell>
          <cell r="E5761" t="str">
            <v>86010</v>
          </cell>
        </row>
        <row r="5762">
          <cell r="A5762" t="str">
            <v>FOSSALTO</v>
          </cell>
          <cell r="B5762" t="str">
            <v>070024</v>
          </cell>
          <cell r="C5762" t="str">
            <v>CB</v>
          </cell>
          <cell r="D5762" t="str">
            <v>CB</v>
          </cell>
          <cell r="E5762" t="str">
            <v>86020</v>
          </cell>
        </row>
        <row r="5763">
          <cell r="A5763" t="str">
            <v>GAMBATESA</v>
          </cell>
          <cell r="B5763" t="str">
            <v>070025</v>
          </cell>
          <cell r="C5763" t="str">
            <v>CB</v>
          </cell>
          <cell r="D5763" t="str">
            <v>CB</v>
          </cell>
          <cell r="E5763" t="str">
            <v>86013</v>
          </cell>
        </row>
        <row r="5764">
          <cell r="A5764" t="str">
            <v>GILDONE</v>
          </cell>
          <cell r="B5764" t="str">
            <v>070026</v>
          </cell>
          <cell r="C5764" t="str">
            <v>CB</v>
          </cell>
          <cell r="D5764" t="str">
            <v>CB</v>
          </cell>
          <cell r="E5764" t="str">
            <v>86010</v>
          </cell>
        </row>
        <row r="5765">
          <cell r="A5765" t="str">
            <v>GUARDIALFIERA</v>
          </cell>
          <cell r="B5765" t="str">
            <v>070027</v>
          </cell>
          <cell r="C5765" t="str">
            <v>CB</v>
          </cell>
          <cell r="D5765" t="str">
            <v>CB</v>
          </cell>
          <cell r="E5765" t="str">
            <v>86030</v>
          </cell>
        </row>
        <row r="5766">
          <cell r="A5766" t="str">
            <v>GUARDIAREGIA</v>
          </cell>
          <cell r="B5766" t="str">
            <v>070028</v>
          </cell>
          <cell r="C5766" t="str">
            <v>CB</v>
          </cell>
          <cell r="D5766" t="str">
            <v>CB</v>
          </cell>
          <cell r="E5766" t="str">
            <v>86014</v>
          </cell>
        </row>
        <row r="5767">
          <cell r="A5767" t="str">
            <v>GUGLIONESI</v>
          </cell>
          <cell r="B5767" t="str">
            <v>070029</v>
          </cell>
          <cell r="C5767" t="str">
            <v>CB</v>
          </cell>
          <cell r="D5767" t="str">
            <v>CB</v>
          </cell>
          <cell r="E5767" t="str">
            <v>86034</v>
          </cell>
        </row>
        <row r="5768">
          <cell r="A5768" t="str">
            <v>JELSI</v>
          </cell>
          <cell r="B5768" t="str">
            <v>070030</v>
          </cell>
          <cell r="C5768" t="str">
            <v>CB</v>
          </cell>
          <cell r="D5768" t="str">
            <v>CB</v>
          </cell>
          <cell r="E5768" t="str">
            <v>86015</v>
          </cell>
        </row>
        <row r="5769">
          <cell r="A5769" t="str">
            <v>LARINO</v>
          </cell>
          <cell r="B5769" t="str">
            <v>070031</v>
          </cell>
          <cell r="C5769" t="str">
            <v>CB</v>
          </cell>
          <cell r="D5769" t="str">
            <v>CB</v>
          </cell>
          <cell r="E5769" t="str">
            <v>86035</v>
          </cell>
        </row>
        <row r="5770">
          <cell r="A5770" t="str">
            <v>LIMOSANO</v>
          </cell>
          <cell r="B5770" t="str">
            <v>070032</v>
          </cell>
          <cell r="C5770" t="str">
            <v>CB</v>
          </cell>
          <cell r="D5770" t="str">
            <v>CB</v>
          </cell>
          <cell r="E5770" t="str">
            <v>86022</v>
          </cell>
        </row>
        <row r="5771">
          <cell r="A5771" t="str">
            <v>LUCITO</v>
          </cell>
          <cell r="B5771" t="str">
            <v>070033</v>
          </cell>
          <cell r="C5771" t="str">
            <v>CB</v>
          </cell>
          <cell r="D5771" t="str">
            <v>CB</v>
          </cell>
          <cell r="E5771" t="str">
            <v>86030</v>
          </cell>
        </row>
        <row r="5772">
          <cell r="A5772" t="str">
            <v>LUPARA</v>
          </cell>
          <cell r="B5772" t="str">
            <v>070034</v>
          </cell>
          <cell r="C5772" t="str">
            <v>CB</v>
          </cell>
          <cell r="D5772" t="str">
            <v>CB</v>
          </cell>
          <cell r="E5772" t="str">
            <v>86030</v>
          </cell>
        </row>
        <row r="5773">
          <cell r="A5773" t="str">
            <v>MACCHIA VALFORTORE</v>
          </cell>
          <cell r="B5773" t="str">
            <v>070035</v>
          </cell>
          <cell r="C5773" t="str">
            <v>CB</v>
          </cell>
          <cell r="D5773" t="str">
            <v>CB</v>
          </cell>
          <cell r="E5773" t="str">
            <v>86040</v>
          </cell>
        </row>
        <row r="5774">
          <cell r="A5774" t="str">
            <v>MAFALDA</v>
          </cell>
          <cell r="B5774" t="str">
            <v>070036</v>
          </cell>
          <cell r="C5774" t="str">
            <v>CB</v>
          </cell>
          <cell r="D5774" t="str">
            <v>CB</v>
          </cell>
          <cell r="E5774" t="str">
            <v>86030</v>
          </cell>
        </row>
        <row r="5775">
          <cell r="A5775" t="str">
            <v>MATRICE</v>
          </cell>
          <cell r="B5775" t="str">
            <v>070037</v>
          </cell>
          <cell r="C5775" t="str">
            <v>CB</v>
          </cell>
          <cell r="D5775" t="str">
            <v>CB</v>
          </cell>
          <cell r="E5775" t="str">
            <v>86030</v>
          </cell>
        </row>
        <row r="5776">
          <cell r="A5776" t="str">
            <v>MIRABELLO SANNITICO</v>
          </cell>
          <cell r="B5776" t="str">
            <v>070038</v>
          </cell>
          <cell r="C5776" t="str">
            <v>CB</v>
          </cell>
          <cell r="D5776" t="str">
            <v>CB</v>
          </cell>
          <cell r="E5776" t="str">
            <v>86010</v>
          </cell>
        </row>
        <row r="5777">
          <cell r="A5777" t="str">
            <v>MOLISE</v>
          </cell>
          <cell r="B5777" t="str">
            <v>070039</v>
          </cell>
          <cell r="C5777" t="str">
            <v>CB</v>
          </cell>
          <cell r="D5777" t="str">
            <v>CB</v>
          </cell>
          <cell r="E5777" t="str">
            <v>86020</v>
          </cell>
        </row>
        <row r="5778">
          <cell r="A5778" t="str">
            <v>MONACILIONI</v>
          </cell>
          <cell r="B5778" t="str">
            <v>070040</v>
          </cell>
          <cell r="C5778" t="str">
            <v>CB</v>
          </cell>
          <cell r="D5778" t="str">
            <v>CB</v>
          </cell>
          <cell r="E5778" t="str">
            <v>86040</v>
          </cell>
        </row>
        <row r="5779">
          <cell r="A5779" t="str">
            <v>MONTAGANO</v>
          </cell>
          <cell r="B5779" t="str">
            <v>070041</v>
          </cell>
          <cell r="C5779" t="str">
            <v>CB</v>
          </cell>
          <cell r="D5779" t="str">
            <v>CB</v>
          </cell>
          <cell r="E5779" t="str">
            <v>86023</v>
          </cell>
        </row>
        <row r="5780">
          <cell r="A5780" t="str">
            <v>MONTECILFONE</v>
          </cell>
          <cell r="B5780" t="str">
            <v>070042</v>
          </cell>
          <cell r="C5780" t="str">
            <v>CB</v>
          </cell>
          <cell r="D5780" t="str">
            <v>CB</v>
          </cell>
          <cell r="E5780" t="str">
            <v>86032</v>
          </cell>
        </row>
        <row r="5781">
          <cell r="A5781" t="str">
            <v>MONTEFALCONE NEL SANNIO</v>
          </cell>
          <cell r="B5781" t="str">
            <v>070043</v>
          </cell>
          <cell r="C5781" t="str">
            <v>CB</v>
          </cell>
          <cell r="D5781" t="str">
            <v>CB</v>
          </cell>
          <cell r="E5781" t="str">
            <v>86033</v>
          </cell>
        </row>
        <row r="5782">
          <cell r="A5782" t="str">
            <v>MONTELONGO</v>
          </cell>
          <cell r="B5782" t="str">
            <v>070044</v>
          </cell>
          <cell r="C5782" t="str">
            <v>CB</v>
          </cell>
          <cell r="D5782" t="str">
            <v>CB</v>
          </cell>
          <cell r="E5782" t="str">
            <v>86040</v>
          </cell>
        </row>
        <row r="5783">
          <cell r="A5783" t="str">
            <v>MONTEMITRO</v>
          </cell>
          <cell r="B5783" t="str">
            <v>070045</v>
          </cell>
          <cell r="C5783" t="str">
            <v>CB</v>
          </cell>
          <cell r="D5783" t="str">
            <v>CB</v>
          </cell>
          <cell r="E5783" t="str">
            <v>86030</v>
          </cell>
        </row>
        <row r="5784">
          <cell r="A5784" t="str">
            <v>MONTENERO DI BISACCIA</v>
          </cell>
          <cell r="B5784" t="str">
            <v>070046</v>
          </cell>
          <cell r="C5784" t="str">
            <v>CB</v>
          </cell>
          <cell r="D5784" t="str">
            <v>CB</v>
          </cell>
          <cell r="E5784" t="str">
            <v>86036</v>
          </cell>
        </row>
        <row r="5785">
          <cell r="A5785" t="str">
            <v>MONTORIO NEI FRENTANI</v>
          </cell>
          <cell r="B5785" t="str">
            <v>070047</v>
          </cell>
          <cell r="C5785" t="str">
            <v>CB</v>
          </cell>
          <cell r="D5785" t="str">
            <v>CB</v>
          </cell>
          <cell r="E5785" t="str">
            <v>86040</v>
          </cell>
        </row>
        <row r="5786">
          <cell r="A5786" t="str">
            <v>MORRONE DEL SANNIO</v>
          </cell>
          <cell r="B5786" t="str">
            <v>070048</v>
          </cell>
          <cell r="C5786" t="str">
            <v>CB</v>
          </cell>
          <cell r="D5786" t="str">
            <v>CB</v>
          </cell>
          <cell r="E5786" t="str">
            <v>86040</v>
          </cell>
        </row>
        <row r="5787">
          <cell r="A5787" t="str">
            <v>ORATINO</v>
          </cell>
          <cell r="B5787" t="str">
            <v>070049</v>
          </cell>
          <cell r="C5787" t="str">
            <v>CB</v>
          </cell>
          <cell r="D5787" t="str">
            <v>CB</v>
          </cell>
          <cell r="E5787" t="str">
            <v>86010</v>
          </cell>
        </row>
        <row r="5788">
          <cell r="A5788" t="str">
            <v>PALATA</v>
          </cell>
          <cell r="B5788" t="str">
            <v>070050</v>
          </cell>
          <cell r="C5788" t="str">
            <v>CB</v>
          </cell>
          <cell r="D5788" t="str">
            <v>CB</v>
          </cell>
          <cell r="E5788" t="str">
            <v>86037</v>
          </cell>
        </row>
        <row r="5789">
          <cell r="A5789" t="str">
            <v>PETACCIATO</v>
          </cell>
          <cell r="B5789" t="str">
            <v>070051</v>
          </cell>
          <cell r="C5789" t="str">
            <v>CB</v>
          </cell>
          <cell r="D5789" t="str">
            <v>CB</v>
          </cell>
          <cell r="E5789" t="str">
            <v>86038</v>
          </cell>
        </row>
        <row r="5790">
          <cell r="A5790" t="str">
            <v>PETRELLA TIFERNINA</v>
          </cell>
          <cell r="B5790" t="str">
            <v>070052</v>
          </cell>
          <cell r="C5790" t="str">
            <v>CB</v>
          </cell>
          <cell r="D5790" t="str">
            <v>CB</v>
          </cell>
          <cell r="E5790" t="str">
            <v>86024</v>
          </cell>
        </row>
        <row r="5791">
          <cell r="A5791" t="str">
            <v>PIETRACATELLA</v>
          </cell>
          <cell r="B5791" t="str">
            <v>070053</v>
          </cell>
          <cell r="C5791" t="str">
            <v>CB</v>
          </cell>
          <cell r="D5791" t="str">
            <v>CB</v>
          </cell>
          <cell r="E5791" t="str">
            <v>86040</v>
          </cell>
        </row>
        <row r="5792">
          <cell r="A5792" t="str">
            <v>PIETRACUPA</v>
          </cell>
          <cell r="B5792" t="str">
            <v>070054</v>
          </cell>
          <cell r="C5792" t="str">
            <v>CB</v>
          </cell>
          <cell r="D5792" t="str">
            <v>CB</v>
          </cell>
          <cell r="E5792" t="str">
            <v>86020</v>
          </cell>
        </row>
        <row r="5793">
          <cell r="A5793" t="str">
            <v>PORTOCANNONE</v>
          </cell>
          <cell r="B5793" t="str">
            <v>070055</v>
          </cell>
          <cell r="C5793" t="str">
            <v>CB</v>
          </cell>
          <cell r="D5793" t="str">
            <v>CB</v>
          </cell>
          <cell r="E5793" t="str">
            <v>86045</v>
          </cell>
        </row>
        <row r="5794">
          <cell r="A5794" t="str">
            <v>PROVVIDENTI</v>
          </cell>
          <cell r="B5794" t="str">
            <v>070056</v>
          </cell>
          <cell r="C5794" t="str">
            <v>CB</v>
          </cell>
          <cell r="D5794" t="str">
            <v>CB</v>
          </cell>
          <cell r="E5794" t="str">
            <v>86040</v>
          </cell>
        </row>
        <row r="5795">
          <cell r="A5795" t="str">
            <v>RICCIA</v>
          </cell>
          <cell r="B5795" t="str">
            <v>070057</v>
          </cell>
          <cell r="C5795" t="str">
            <v>CB</v>
          </cell>
          <cell r="D5795" t="str">
            <v>CB</v>
          </cell>
          <cell r="E5795" t="str">
            <v>86016</v>
          </cell>
        </row>
        <row r="5796">
          <cell r="A5796" t="str">
            <v>RIPABOTTONI</v>
          </cell>
          <cell r="B5796" t="str">
            <v>070058</v>
          </cell>
          <cell r="C5796" t="str">
            <v>CB</v>
          </cell>
          <cell r="D5796" t="str">
            <v>CB</v>
          </cell>
          <cell r="E5796" t="str">
            <v>86040</v>
          </cell>
        </row>
        <row r="5797">
          <cell r="A5797" t="str">
            <v>RIPALIMOSANI</v>
          </cell>
          <cell r="B5797" t="str">
            <v>070059</v>
          </cell>
          <cell r="C5797" t="str">
            <v>CB</v>
          </cell>
          <cell r="D5797" t="str">
            <v>CB</v>
          </cell>
          <cell r="E5797" t="str">
            <v>86025</v>
          </cell>
        </row>
        <row r="5798">
          <cell r="A5798" t="str">
            <v>ROCCAVIVARA</v>
          </cell>
          <cell r="B5798" t="str">
            <v>070060</v>
          </cell>
          <cell r="C5798" t="str">
            <v>CB</v>
          </cell>
          <cell r="D5798" t="str">
            <v>CB</v>
          </cell>
          <cell r="E5798" t="str">
            <v>86020</v>
          </cell>
        </row>
        <row r="5799">
          <cell r="A5799" t="str">
            <v>ROTELLO</v>
          </cell>
          <cell r="B5799" t="str">
            <v>070061</v>
          </cell>
          <cell r="C5799" t="str">
            <v>CB</v>
          </cell>
          <cell r="D5799" t="str">
            <v>CB</v>
          </cell>
          <cell r="E5799" t="str">
            <v>86040</v>
          </cell>
        </row>
        <row r="5800">
          <cell r="A5800" t="str">
            <v>SALCITO</v>
          </cell>
          <cell r="B5800" t="str">
            <v>070062</v>
          </cell>
          <cell r="C5800" t="str">
            <v>CB</v>
          </cell>
          <cell r="D5800" t="str">
            <v>CB</v>
          </cell>
          <cell r="E5800" t="str">
            <v>86026</v>
          </cell>
        </row>
        <row r="5801">
          <cell r="A5801" t="str">
            <v>SAN BIASE</v>
          </cell>
          <cell r="B5801" t="str">
            <v>070063</v>
          </cell>
          <cell r="C5801" t="str">
            <v>CB</v>
          </cell>
          <cell r="D5801" t="str">
            <v>CB</v>
          </cell>
          <cell r="E5801" t="str">
            <v>86020</v>
          </cell>
        </row>
        <row r="5802">
          <cell r="A5802" t="str">
            <v>SAN FELICE DEL MOLISE</v>
          </cell>
          <cell r="B5802" t="str">
            <v>070064</v>
          </cell>
          <cell r="C5802" t="str">
            <v>CB</v>
          </cell>
          <cell r="D5802" t="str">
            <v>CB</v>
          </cell>
          <cell r="E5802" t="str">
            <v>86030</v>
          </cell>
        </row>
        <row r="5803">
          <cell r="A5803" t="str">
            <v>SAN GIACOMO DEGLI SCHIAVONI</v>
          </cell>
          <cell r="B5803" t="str">
            <v>070065</v>
          </cell>
          <cell r="C5803" t="str">
            <v>CB</v>
          </cell>
          <cell r="D5803" t="str">
            <v>CB</v>
          </cell>
          <cell r="E5803" t="str">
            <v>86030</v>
          </cell>
        </row>
        <row r="5804">
          <cell r="A5804" t="str">
            <v>SAN GIOVANNI IN GALDO</v>
          </cell>
          <cell r="B5804" t="str">
            <v>070066</v>
          </cell>
          <cell r="C5804" t="str">
            <v>CB</v>
          </cell>
          <cell r="D5804" t="str">
            <v>CB</v>
          </cell>
          <cell r="E5804" t="str">
            <v>86010</v>
          </cell>
        </row>
        <row r="5805">
          <cell r="A5805" t="str">
            <v>SAN GIULIANO DEL SANNIO</v>
          </cell>
          <cell r="B5805" t="str">
            <v>070067</v>
          </cell>
          <cell r="C5805" t="str">
            <v>CB</v>
          </cell>
          <cell r="D5805" t="str">
            <v>CB</v>
          </cell>
          <cell r="E5805" t="str">
            <v>86010</v>
          </cell>
        </row>
        <row r="5806">
          <cell r="A5806" t="str">
            <v>SAN GIULIANO DI PUGLIA</v>
          </cell>
          <cell r="B5806" t="str">
            <v>070068</v>
          </cell>
          <cell r="C5806" t="str">
            <v>CB</v>
          </cell>
          <cell r="D5806" t="str">
            <v>CB</v>
          </cell>
          <cell r="E5806" t="str">
            <v>86040</v>
          </cell>
        </row>
        <row r="5807">
          <cell r="A5807" t="str">
            <v>SAN MARTINO IN PENSILIS</v>
          </cell>
          <cell r="B5807" t="str">
            <v>070069</v>
          </cell>
          <cell r="C5807" t="str">
            <v>CB</v>
          </cell>
          <cell r="D5807" t="str">
            <v>CB</v>
          </cell>
          <cell r="E5807" t="str">
            <v>86046</v>
          </cell>
        </row>
        <row r="5808">
          <cell r="A5808" t="str">
            <v>SAN MASSIMO</v>
          </cell>
          <cell r="B5808" t="str">
            <v>070070</v>
          </cell>
          <cell r="C5808" t="str">
            <v>CB</v>
          </cell>
          <cell r="D5808" t="str">
            <v>CB</v>
          </cell>
          <cell r="E5808" t="str">
            <v>86027</v>
          </cell>
        </row>
        <row r="5809">
          <cell r="A5809" t="str">
            <v>SAN POLO MATESE</v>
          </cell>
          <cell r="B5809" t="str">
            <v>070071</v>
          </cell>
          <cell r="C5809" t="str">
            <v>CB</v>
          </cell>
          <cell r="D5809" t="str">
            <v>CB</v>
          </cell>
          <cell r="E5809" t="str">
            <v>86020</v>
          </cell>
        </row>
        <row r="5810">
          <cell r="A5810" t="str">
            <v>SANTA CROCE DI MAGLIANO</v>
          </cell>
          <cell r="B5810" t="str">
            <v>070072</v>
          </cell>
          <cell r="C5810" t="str">
            <v>CB</v>
          </cell>
          <cell r="D5810" t="str">
            <v>CB</v>
          </cell>
          <cell r="E5810" t="str">
            <v>86047</v>
          </cell>
        </row>
        <row r="5811">
          <cell r="A5811" t="str">
            <v>SANT'ANGELO LIMOSANO</v>
          </cell>
          <cell r="B5811" t="str">
            <v>070073</v>
          </cell>
          <cell r="C5811" t="str">
            <v>CB</v>
          </cell>
          <cell r="D5811" t="str">
            <v>CB</v>
          </cell>
          <cell r="E5811" t="str">
            <v>86020</v>
          </cell>
        </row>
        <row r="5812">
          <cell r="A5812" t="str">
            <v>SANT'ELIA A PIANISI</v>
          </cell>
          <cell r="B5812" t="str">
            <v>070074</v>
          </cell>
          <cell r="C5812" t="str">
            <v>CB</v>
          </cell>
          <cell r="D5812" t="str">
            <v>CB</v>
          </cell>
          <cell r="E5812" t="str">
            <v>86048</v>
          </cell>
        </row>
        <row r="5813">
          <cell r="A5813" t="str">
            <v>SEPINO</v>
          </cell>
          <cell r="B5813" t="str">
            <v>070075</v>
          </cell>
          <cell r="C5813" t="str">
            <v>CB</v>
          </cell>
          <cell r="D5813" t="str">
            <v>CB</v>
          </cell>
          <cell r="E5813" t="str">
            <v>86017</v>
          </cell>
        </row>
        <row r="5814">
          <cell r="A5814" t="str">
            <v>SPINETE</v>
          </cell>
          <cell r="B5814" t="str">
            <v>070076</v>
          </cell>
          <cell r="C5814" t="str">
            <v>CB</v>
          </cell>
          <cell r="D5814" t="str">
            <v>CB</v>
          </cell>
          <cell r="E5814" t="str">
            <v>86020</v>
          </cell>
        </row>
        <row r="5815">
          <cell r="A5815" t="str">
            <v>TAVENNA</v>
          </cell>
          <cell r="B5815" t="str">
            <v>070077</v>
          </cell>
          <cell r="C5815" t="str">
            <v>CB</v>
          </cell>
          <cell r="D5815" t="str">
            <v>CB</v>
          </cell>
          <cell r="E5815" t="str">
            <v>86030</v>
          </cell>
        </row>
        <row r="5816">
          <cell r="A5816" t="str">
            <v>TERMOLI</v>
          </cell>
          <cell r="B5816" t="str">
            <v>070078</v>
          </cell>
          <cell r="C5816" t="str">
            <v>CB</v>
          </cell>
          <cell r="D5816" t="str">
            <v>CB</v>
          </cell>
          <cell r="E5816" t="str">
            <v>86039</v>
          </cell>
        </row>
        <row r="5817">
          <cell r="A5817" t="str">
            <v>TORELLA DEL SANNIO</v>
          </cell>
          <cell r="B5817" t="str">
            <v>070079</v>
          </cell>
          <cell r="C5817" t="str">
            <v>CB</v>
          </cell>
          <cell r="D5817" t="str">
            <v>CB</v>
          </cell>
          <cell r="E5817" t="str">
            <v>86028</v>
          </cell>
        </row>
        <row r="5818">
          <cell r="A5818" t="str">
            <v>TORO</v>
          </cell>
          <cell r="B5818" t="str">
            <v>070080</v>
          </cell>
          <cell r="C5818" t="str">
            <v>CB</v>
          </cell>
          <cell r="D5818" t="str">
            <v>CB</v>
          </cell>
          <cell r="E5818" t="str">
            <v>86018</v>
          </cell>
        </row>
        <row r="5819">
          <cell r="A5819" t="str">
            <v>TRIVENTO</v>
          </cell>
          <cell r="B5819" t="str">
            <v>070081</v>
          </cell>
          <cell r="C5819" t="str">
            <v>CB</v>
          </cell>
          <cell r="D5819" t="str">
            <v>CB</v>
          </cell>
          <cell r="E5819" t="str">
            <v>86029</v>
          </cell>
        </row>
        <row r="5820">
          <cell r="A5820" t="str">
            <v>TUFARA</v>
          </cell>
          <cell r="B5820" t="str">
            <v>070082</v>
          </cell>
          <cell r="C5820" t="str">
            <v>CB</v>
          </cell>
          <cell r="D5820" t="str">
            <v>CB</v>
          </cell>
          <cell r="E5820" t="str">
            <v>86010</v>
          </cell>
        </row>
        <row r="5821">
          <cell r="A5821" t="str">
            <v>URURI</v>
          </cell>
          <cell r="B5821" t="str">
            <v>070083</v>
          </cell>
          <cell r="C5821" t="str">
            <v>CB</v>
          </cell>
          <cell r="D5821" t="str">
            <v>CB</v>
          </cell>
          <cell r="E5821" t="str">
            <v>86049</v>
          </cell>
        </row>
        <row r="5822">
          <cell r="A5822" t="str">
            <v>VINCHIATURO</v>
          </cell>
          <cell r="B5822" t="str">
            <v>070084</v>
          </cell>
          <cell r="C5822" t="str">
            <v>CB</v>
          </cell>
          <cell r="D5822" t="str">
            <v>CB</v>
          </cell>
          <cell r="E5822" t="str">
            <v>86019</v>
          </cell>
        </row>
        <row r="5823">
          <cell r="A5823" t="str">
            <v>ACCADIA</v>
          </cell>
          <cell r="B5823" t="str">
            <v>071001</v>
          </cell>
          <cell r="C5823" t="str">
            <v>FG</v>
          </cell>
          <cell r="D5823" t="str">
            <v>FG</v>
          </cell>
          <cell r="E5823" t="str">
            <v>71021</v>
          </cell>
        </row>
        <row r="5824">
          <cell r="A5824" t="str">
            <v>ALBERONA</v>
          </cell>
          <cell r="B5824" t="str">
            <v>071002</v>
          </cell>
          <cell r="C5824" t="str">
            <v>FG</v>
          </cell>
          <cell r="D5824" t="str">
            <v>FG</v>
          </cell>
          <cell r="E5824" t="str">
            <v>71031</v>
          </cell>
        </row>
        <row r="5825">
          <cell r="A5825" t="str">
            <v>ANZANO DI PUGLIA</v>
          </cell>
          <cell r="B5825" t="str">
            <v>071003</v>
          </cell>
          <cell r="C5825" t="str">
            <v>FG</v>
          </cell>
          <cell r="D5825" t="str">
            <v>FG</v>
          </cell>
          <cell r="E5825" t="str">
            <v>71020</v>
          </cell>
        </row>
        <row r="5826">
          <cell r="A5826" t="str">
            <v>APRICENA</v>
          </cell>
          <cell r="B5826" t="str">
            <v>071004</v>
          </cell>
          <cell r="C5826" t="str">
            <v>FG</v>
          </cell>
          <cell r="D5826" t="str">
            <v>FG</v>
          </cell>
          <cell r="E5826" t="str">
            <v>71011</v>
          </cell>
        </row>
        <row r="5827">
          <cell r="A5827" t="str">
            <v>ASCOLI SATRIANO</v>
          </cell>
          <cell r="B5827" t="str">
            <v>071005</v>
          </cell>
          <cell r="C5827" t="str">
            <v>FG</v>
          </cell>
          <cell r="D5827" t="str">
            <v>FG</v>
          </cell>
          <cell r="E5827" t="str">
            <v>71022</v>
          </cell>
        </row>
        <row r="5828">
          <cell r="A5828" t="str">
            <v>BICCARI</v>
          </cell>
          <cell r="B5828" t="str">
            <v>071006</v>
          </cell>
          <cell r="C5828" t="str">
            <v>FG</v>
          </cell>
          <cell r="D5828" t="str">
            <v>FG</v>
          </cell>
          <cell r="E5828" t="str">
            <v>71032</v>
          </cell>
        </row>
        <row r="5829">
          <cell r="A5829" t="str">
            <v>BOVINO</v>
          </cell>
          <cell r="B5829" t="str">
            <v>071007</v>
          </cell>
          <cell r="C5829" t="str">
            <v>FG</v>
          </cell>
          <cell r="D5829" t="str">
            <v>FG</v>
          </cell>
          <cell r="E5829" t="str">
            <v>71023</v>
          </cell>
        </row>
        <row r="5830">
          <cell r="A5830" t="str">
            <v>CAGNANO VARANO</v>
          </cell>
          <cell r="B5830" t="str">
            <v>071008</v>
          </cell>
          <cell r="C5830" t="str">
            <v>FG</v>
          </cell>
          <cell r="D5830" t="str">
            <v>FG</v>
          </cell>
          <cell r="E5830" t="str">
            <v>71010</v>
          </cell>
        </row>
        <row r="5831">
          <cell r="A5831" t="str">
            <v>CANDELA</v>
          </cell>
          <cell r="B5831" t="str">
            <v>071009</v>
          </cell>
          <cell r="C5831" t="str">
            <v>FG</v>
          </cell>
          <cell r="D5831" t="str">
            <v>FG</v>
          </cell>
          <cell r="E5831" t="str">
            <v>71024</v>
          </cell>
        </row>
        <row r="5832">
          <cell r="A5832" t="str">
            <v>CARAPELLE</v>
          </cell>
          <cell r="B5832" t="str">
            <v>071010</v>
          </cell>
          <cell r="C5832" t="str">
            <v>FG</v>
          </cell>
          <cell r="D5832" t="str">
            <v>FG</v>
          </cell>
          <cell r="E5832" t="str">
            <v>71041</v>
          </cell>
        </row>
        <row r="5833">
          <cell r="A5833" t="str">
            <v>CARLANTINO</v>
          </cell>
          <cell r="B5833" t="str">
            <v>071011</v>
          </cell>
          <cell r="C5833" t="str">
            <v>FG</v>
          </cell>
          <cell r="D5833" t="str">
            <v>FG</v>
          </cell>
          <cell r="E5833" t="str">
            <v>71030</v>
          </cell>
        </row>
        <row r="5834">
          <cell r="A5834" t="str">
            <v>CARPINO</v>
          </cell>
          <cell r="B5834" t="str">
            <v>071012</v>
          </cell>
          <cell r="C5834" t="str">
            <v>FG</v>
          </cell>
          <cell r="D5834" t="str">
            <v>FG</v>
          </cell>
          <cell r="E5834" t="str">
            <v>71010</v>
          </cell>
        </row>
        <row r="5835">
          <cell r="A5835" t="str">
            <v>CASALNUOVO MONTEROTARO</v>
          </cell>
          <cell r="B5835" t="str">
            <v>071013</v>
          </cell>
          <cell r="C5835" t="str">
            <v>FG</v>
          </cell>
          <cell r="D5835" t="str">
            <v>FG</v>
          </cell>
          <cell r="E5835" t="str">
            <v>71033</v>
          </cell>
        </row>
        <row r="5836">
          <cell r="A5836" t="str">
            <v>CASALVECCHIO DI PUGLIA</v>
          </cell>
          <cell r="B5836" t="str">
            <v>071014</v>
          </cell>
          <cell r="C5836" t="str">
            <v>FG</v>
          </cell>
          <cell r="D5836" t="str">
            <v>FG</v>
          </cell>
          <cell r="E5836" t="str">
            <v>71030</v>
          </cell>
        </row>
        <row r="5837">
          <cell r="A5837" t="str">
            <v>CASTELLUCCIO DEI SAURI</v>
          </cell>
          <cell r="B5837" t="str">
            <v>071015</v>
          </cell>
          <cell r="C5837" t="str">
            <v>FG</v>
          </cell>
          <cell r="D5837" t="str">
            <v>FG</v>
          </cell>
          <cell r="E5837" t="str">
            <v>71025</v>
          </cell>
        </row>
        <row r="5838">
          <cell r="A5838" t="str">
            <v>CASTELLUCCIO VALMAGGIORE</v>
          </cell>
          <cell r="B5838" t="str">
            <v>071016</v>
          </cell>
          <cell r="C5838" t="str">
            <v>FG</v>
          </cell>
          <cell r="D5838" t="str">
            <v>FG</v>
          </cell>
          <cell r="E5838" t="str">
            <v>71020</v>
          </cell>
        </row>
        <row r="5839">
          <cell r="A5839" t="str">
            <v>CASTELNUOVO DELLA DAUNIA</v>
          </cell>
          <cell r="B5839" t="str">
            <v>071017</v>
          </cell>
          <cell r="C5839" t="str">
            <v>FG</v>
          </cell>
          <cell r="D5839" t="str">
            <v>FG</v>
          </cell>
          <cell r="E5839" t="str">
            <v>71034</v>
          </cell>
        </row>
        <row r="5840">
          <cell r="A5840" t="str">
            <v>CELENZA VALFORTORE</v>
          </cell>
          <cell r="B5840" t="str">
            <v>071018</v>
          </cell>
          <cell r="C5840" t="str">
            <v>FG</v>
          </cell>
          <cell r="D5840" t="str">
            <v>FG</v>
          </cell>
          <cell r="E5840" t="str">
            <v>71035</v>
          </cell>
        </row>
        <row r="5841">
          <cell r="A5841" t="str">
            <v>CELLE DI SAN VITO</v>
          </cell>
          <cell r="B5841" t="str">
            <v>071019</v>
          </cell>
          <cell r="C5841" t="str">
            <v>FG</v>
          </cell>
          <cell r="D5841" t="str">
            <v>FG</v>
          </cell>
          <cell r="E5841" t="str">
            <v>71020</v>
          </cell>
        </row>
        <row r="5842">
          <cell r="A5842" t="str">
            <v>CERIGNOLA</v>
          </cell>
          <cell r="B5842" t="str">
            <v>071020</v>
          </cell>
          <cell r="C5842" t="str">
            <v>FG</v>
          </cell>
          <cell r="D5842" t="str">
            <v>FG</v>
          </cell>
          <cell r="E5842" t="str">
            <v>71042</v>
          </cell>
        </row>
        <row r="5843">
          <cell r="A5843" t="str">
            <v>CHIEUTI</v>
          </cell>
          <cell r="B5843" t="str">
            <v>071021</v>
          </cell>
          <cell r="C5843" t="str">
            <v>FG</v>
          </cell>
          <cell r="D5843" t="str">
            <v>FG</v>
          </cell>
          <cell r="E5843" t="str">
            <v>71010</v>
          </cell>
        </row>
        <row r="5844">
          <cell r="A5844" t="str">
            <v>DELICETO</v>
          </cell>
          <cell r="B5844" t="str">
            <v>071022</v>
          </cell>
          <cell r="C5844" t="str">
            <v>FG</v>
          </cell>
          <cell r="D5844" t="str">
            <v>FG</v>
          </cell>
          <cell r="E5844" t="str">
            <v>71026</v>
          </cell>
        </row>
        <row r="5845">
          <cell r="A5845" t="str">
            <v>FAETO</v>
          </cell>
          <cell r="B5845" t="str">
            <v>071023</v>
          </cell>
          <cell r="C5845" t="str">
            <v>FG</v>
          </cell>
          <cell r="D5845" t="str">
            <v>FG</v>
          </cell>
          <cell r="E5845" t="str">
            <v>71020</v>
          </cell>
        </row>
        <row r="5846">
          <cell r="A5846" t="str">
            <v>FOGGIA</v>
          </cell>
          <cell r="B5846" t="str">
            <v>071024</v>
          </cell>
          <cell r="C5846" t="str">
            <v>FG</v>
          </cell>
          <cell r="D5846" t="str">
            <v>FG</v>
          </cell>
          <cell r="E5846" t="str">
            <v>7112x</v>
          </cell>
        </row>
        <row r="5847">
          <cell r="A5847" t="str">
            <v>ISCHITELLA</v>
          </cell>
          <cell r="B5847" t="str">
            <v>071025</v>
          </cell>
          <cell r="C5847" t="str">
            <v>FG</v>
          </cell>
          <cell r="D5847" t="str">
            <v>FG</v>
          </cell>
          <cell r="E5847" t="str">
            <v>71010</v>
          </cell>
        </row>
        <row r="5848">
          <cell r="A5848" t="str">
            <v>ISOLE TREMITI</v>
          </cell>
          <cell r="B5848" t="str">
            <v>071026</v>
          </cell>
          <cell r="C5848" t="str">
            <v>FG</v>
          </cell>
          <cell r="D5848" t="str">
            <v>FG</v>
          </cell>
          <cell r="E5848" t="str">
            <v>71040</v>
          </cell>
        </row>
        <row r="5849">
          <cell r="A5849" t="str">
            <v>LESINA</v>
          </cell>
          <cell r="B5849" t="str">
            <v>071027</v>
          </cell>
          <cell r="C5849" t="str">
            <v>FG</v>
          </cell>
          <cell r="D5849" t="str">
            <v>FG</v>
          </cell>
          <cell r="E5849" t="str">
            <v>71010</v>
          </cell>
        </row>
        <row r="5850">
          <cell r="A5850" t="str">
            <v>LUCERA</v>
          </cell>
          <cell r="B5850" t="str">
            <v>071028</v>
          </cell>
          <cell r="C5850" t="str">
            <v>FG</v>
          </cell>
          <cell r="D5850" t="str">
            <v>FG</v>
          </cell>
          <cell r="E5850" t="str">
            <v>71036</v>
          </cell>
        </row>
        <row r="5851">
          <cell r="A5851" t="str">
            <v>MANFREDONIA</v>
          </cell>
          <cell r="B5851" t="str">
            <v>071029</v>
          </cell>
          <cell r="C5851" t="str">
            <v>FG</v>
          </cell>
          <cell r="D5851" t="str">
            <v>FG</v>
          </cell>
          <cell r="E5851" t="str">
            <v>71043</v>
          </cell>
        </row>
        <row r="5852">
          <cell r="A5852" t="str">
            <v>MATTINATA</v>
          </cell>
          <cell r="B5852" t="str">
            <v>071031</v>
          </cell>
          <cell r="C5852" t="str">
            <v>FG</v>
          </cell>
          <cell r="D5852" t="str">
            <v>FG</v>
          </cell>
          <cell r="E5852" t="str">
            <v>71030</v>
          </cell>
        </row>
        <row r="5853">
          <cell r="A5853" t="str">
            <v>MONTELEONE DI PUGLIA</v>
          </cell>
          <cell r="B5853" t="str">
            <v>071032</v>
          </cell>
          <cell r="C5853" t="str">
            <v>FG</v>
          </cell>
          <cell r="D5853" t="str">
            <v>FG</v>
          </cell>
          <cell r="E5853" t="str">
            <v>71020</v>
          </cell>
        </row>
        <row r="5854">
          <cell r="A5854" t="str">
            <v>MONTE SANT'ANGELO</v>
          </cell>
          <cell r="B5854" t="str">
            <v>071033</v>
          </cell>
          <cell r="C5854" t="str">
            <v>FG</v>
          </cell>
          <cell r="D5854" t="str">
            <v>FG</v>
          </cell>
          <cell r="E5854" t="str">
            <v>71037</v>
          </cell>
        </row>
        <row r="5855">
          <cell r="A5855" t="str">
            <v>MOTTA MONTECORVINO</v>
          </cell>
          <cell r="B5855" t="str">
            <v>071034</v>
          </cell>
          <cell r="C5855" t="str">
            <v>FG</v>
          </cell>
          <cell r="D5855" t="str">
            <v>FG</v>
          </cell>
          <cell r="E5855" t="str">
            <v>71030</v>
          </cell>
        </row>
        <row r="5856">
          <cell r="A5856" t="str">
            <v>ORSARA DI PUGLIA</v>
          </cell>
          <cell r="B5856" t="str">
            <v>071035</v>
          </cell>
          <cell r="C5856" t="str">
            <v>FG</v>
          </cell>
          <cell r="D5856" t="str">
            <v>FG</v>
          </cell>
          <cell r="E5856" t="str">
            <v>71027</v>
          </cell>
        </row>
        <row r="5857">
          <cell r="A5857" t="str">
            <v>ORTA NOVA</v>
          </cell>
          <cell r="B5857" t="str">
            <v>071036</v>
          </cell>
          <cell r="C5857" t="str">
            <v>FG</v>
          </cell>
          <cell r="D5857" t="str">
            <v>FG</v>
          </cell>
          <cell r="E5857" t="str">
            <v>71045</v>
          </cell>
        </row>
        <row r="5858">
          <cell r="A5858" t="str">
            <v>PANNI</v>
          </cell>
          <cell r="B5858" t="str">
            <v>071037</v>
          </cell>
          <cell r="C5858" t="str">
            <v>FG</v>
          </cell>
          <cell r="D5858" t="str">
            <v>FG</v>
          </cell>
          <cell r="E5858" t="str">
            <v>71020</v>
          </cell>
        </row>
        <row r="5859">
          <cell r="A5859" t="str">
            <v>PESCHICI</v>
          </cell>
          <cell r="B5859" t="str">
            <v>071038</v>
          </cell>
          <cell r="C5859" t="str">
            <v>FG</v>
          </cell>
          <cell r="D5859" t="str">
            <v>FG</v>
          </cell>
          <cell r="E5859" t="str">
            <v>71010</v>
          </cell>
        </row>
        <row r="5860">
          <cell r="A5860" t="str">
            <v>PIETRAMONTECORVINO</v>
          </cell>
          <cell r="B5860" t="str">
            <v>071039</v>
          </cell>
          <cell r="C5860" t="str">
            <v>FG</v>
          </cell>
          <cell r="D5860" t="str">
            <v>FG</v>
          </cell>
          <cell r="E5860" t="str">
            <v>71038</v>
          </cell>
        </row>
        <row r="5861">
          <cell r="A5861" t="str">
            <v>POGGIO IMPERIALE</v>
          </cell>
          <cell r="B5861" t="str">
            <v>071040</v>
          </cell>
          <cell r="C5861" t="str">
            <v>FG</v>
          </cell>
          <cell r="D5861" t="str">
            <v>FG</v>
          </cell>
          <cell r="E5861" t="str">
            <v>71010</v>
          </cell>
        </row>
        <row r="5862">
          <cell r="A5862" t="str">
            <v>RIGNANO GARGANICO</v>
          </cell>
          <cell r="B5862" t="str">
            <v>071041</v>
          </cell>
          <cell r="C5862" t="str">
            <v>FG</v>
          </cell>
          <cell r="D5862" t="str">
            <v>FG</v>
          </cell>
          <cell r="E5862" t="str">
            <v>71010</v>
          </cell>
        </row>
        <row r="5863">
          <cell r="A5863" t="str">
            <v>ROCCHETTA SANT'ANTONIO</v>
          </cell>
          <cell r="B5863" t="str">
            <v>071042</v>
          </cell>
          <cell r="C5863" t="str">
            <v>FG</v>
          </cell>
          <cell r="D5863" t="str">
            <v>FG</v>
          </cell>
          <cell r="E5863" t="str">
            <v>71020</v>
          </cell>
        </row>
        <row r="5864">
          <cell r="A5864" t="str">
            <v>RODI GARGANICO</v>
          </cell>
          <cell r="B5864" t="str">
            <v>071043</v>
          </cell>
          <cell r="C5864" t="str">
            <v>FG</v>
          </cell>
          <cell r="D5864" t="str">
            <v>FG</v>
          </cell>
          <cell r="E5864" t="str">
            <v>71012</v>
          </cell>
        </row>
        <row r="5865">
          <cell r="A5865" t="str">
            <v>ROSETO VALFORTORE</v>
          </cell>
          <cell r="B5865" t="str">
            <v>071044</v>
          </cell>
          <cell r="C5865" t="str">
            <v>FG</v>
          </cell>
          <cell r="D5865" t="str">
            <v>FG</v>
          </cell>
          <cell r="E5865" t="str">
            <v>71039</v>
          </cell>
        </row>
        <row r="5866">
          <cell r="A5866" t="str">
            <v>SAN GIOVANNI ROTONDO</v>
          </cell>
          <cell r="B5866" t="str">
            <v>071046</v>
          </cell>
          <cell r="C5866" t="str">
            <v>FG</v>
          </cell>
          <cell r="D5866" t="str">
            <v>FG</v>
          </cell>
          <cell r="E5866" t="str">
            <v>71013</v>
          </cell>
        </row>
        <row r="5867">
          <cell r="A5867" t="str">
            <v>SAN MARCO IN LAMIS</v>
          </cell>
          <cell r="B5867" t="str">
            <v>071047</v>
          </cell>
          <cell r="C5867" t="str">
            <v>FG</v>
          </cell>
          <cell r="D5867" t="str">
            <v>FG</v>
          </cell>
          <cell r="E5867" t="str">
            <v>71014</v>
          </cell>
        </row>
        <row r="5868">
          <cell r="A5868" t="str">
            <v>SAN MARCO LA CATOLA</v>
          </cell>
          <cell r="B5868" t="str">
            <v>071048</v>
          </cell>
          <cell r="C5868" t="str">
            <v>FG</v>
          </cell>
          <cell r="D5868" t="str">
            <v>FG</v>
          </cell>
          <cell r="E5868" t="str">
            <v>71030</v>
          </cell>
        </row>
        <row r="5869">
          <cell r="A5869" t="str">
            <v>SAN NICANDRO GARGANICO</v>
          </cell>
          <cell r="B5869" t="str">
            <v>071049</v>
          </cell>
          <cell r="C5869" t="str">
            <v>FG</v>
          </cell>
          <cell r="D5869" t="str">
            <v>FG</v>
          </cell>
          <cell r="E5869" t="str">
            <v>71015</v>
          </cell>
        </row>
        <row r="5870">
          <cell r="A5870" t="str">
            <v>SAN PAOLO DI CIVITATE</v>
          </cell>
          <cell r="B5870" t="str">
            <v>071050</v>
          </cell>
          <cell r="C5870" t="str">
            <v>FG</v>
          </cell>
          <cell r="D5870" t="str">
            <v>FG</v>
          </cell>
          <cell r="E5870" t="str">
            <v>71010</v>
          </cell>
        </row>
        <row r="5871">
          <cell r="A5871" t="str">
            <v>SAN SEVERO</v>
          </cell>
          <cell r="B5871" t="str">
            <v>071051</v>
          </cell>
          <cell r="C5871" t="str">
            <v>FG</v>
          </cell>
          <cell r="D5871" t="str">
            <v>FG</v>
          </cell>
          <cell r="E5871" t="str">
            <v>71016</v>
          </cell>
        </row>
        <row r="5872">
          <cell r="A5872" t="str">
            <v>SANT'AGATA DI PUGLIA</v>
          </cell>
          <cell r="B5872" t="str">
            <v>071052</v>
          </cell>
          <cell r="C5872" t="str">
            <v>FG</v>
          </cell>
          <cell r="D5872" t="str">
            <v>FG</v>
          </cell>
          <cell r="E5872" t="str">
            <v>71028</v>
          </cell>
        </row>
        <row r="5873">
          <cell r="A5873" t="str">
            <v>SERRACAPRIOLA</v>
          </cell>
          <cell r="B5873" t="str">
            <v>071053</v>
          </cell>
          <cell r="C5873" t="str">
            <v>FG</v>
          </cell>
          <cell r="D5873" t="str">
            <v>FG</v>
          </cell>
          <cell r="E5873" t="str">
            <v>71010</v>
          </cell>
        </row>
        <row r="5874">
          <cell r="A5874" t="str">
            <v>STORNARA</v>
          </cell>
          <cell r="B5874" t="str">
            <v>071054</v>
          </cell>
          <cell r="C5874" t="str">
            <v>FG</v>
          </cell>
          <cell r="D5874" t="str">
            <v>FG</v>
          </cell>
          <cell r="E5874" t="str">
            <v>71047</v>
          </cell>
        </row>
        <row r="5875">
          <cell r="A5875" t="str">
            <v>STORNARELLA</v>
          </cell>
          <cell r="B5875" t="str">
            <v>071055</v>
          </cell>
          <cell r="C5875" t="str">
            <v>FG</v>
          </cell>
          <cell r="D5875" t="str">
            <v>FG</v>
          </cell>
          <cell r="E5875" t="str">
            <v>71048</v>
          </cell>
        </row>
        <row r="5876">
          <cell r="A5876" t="str">
            <v>TORREMAGGIORE</v>
          </cell>
          <cell r="B5876" t="str">
            <v>071056</v>
          </cell>
          <cell r="C5876" t="str">
            <v>FG</v>
          </cell>
          <cell r="D5876" t="str">
            <v>FG</v>
          </cell>
          <cell r="E5876" t="str">
            <v>71017</v>
          </cell>
        </row>
        <row r="5877">
          <cell r="A5877" t="str">
            <v>TROIA</v>
          </cell>
          <cell r="B5877" t="str">
            <v>071058</v>
          </cell>
          <cell r="C5877" t="str">
            <v>FG</v>
          </cell>
          <cell r="D5877" t="str">
            <v>FG</v>
          </cell>
          <cell r="E5877" t="str">
            <v>71029</v>
          </cell>
        </row>
        <row r="5878">
          <cell r="A5878" t="str">
            <v>VICO DEL GARGANO</v>
          </cell>
          <cell r="B5878" t="str">
            <v>071059</v>
          </cell>
          <cell r="C5878" t="str">
            <v>FG</v>
          </cell>
          <cell r="D5878" t="str">
            <v>FG</v>
          </cell>
          <cell r="E5878" t="str">
            <v>71018</v>
          </cell>
        </row>
        <row r="5879">
          <cell r="A5879" t="str">
            <v>VIESTE</v>
          </cell>
          <cell r="B5879" t="str">
            <v>071060</v>
          </cell>
          <cell r="C5879" t="str">
            <v>FG</v>
          </cell>
          <cell r="D5879" t="str">
            <v>FG</v>
          </cell>
          <cell r="E5879" t="str">
            <v>71019</v>
          </cell>
        </row>
        <row r="5880">
          <cell r="A5880" t="str">
            <v>VOLTURARA APPULA</v>
          </cell>
          <cell r="B5880" t="str">
            <v>071061</v>
          </cell>
          <cell r="C5880" t="str">
            <v>FG</v>
          </cell>
          <cell r="D5880" t="str">
            <v>FG</v>
          </cell>
          <cell r="E5880" t="str">
            <v>71030</v>
          </cell>
        </row>
        <row r="5881">
          <cell r="A5881" t="str">
            <v>VOLTURINO</v>
          </cell>
          <cell r="B5881" t="str">
            <v>071062</v>
          </cell>
          <cell r="C5881" t="str">
            <v>FG</v>
          </cell>
          <cell r="D5881" t="str">
            <v>FG</v>
          </cell>
          <cell r="E5881" t="str">
            <v>71030</v>
          </cell>
        </row>
        <row r="5882">
          <cell r="A5882" t="str">
            <v>ORDONA</v>
          </cell>
          <cell r="B5882" t="str">
            <v>071063</v>
          </cell>
          <cell r="C5882" t="str">
            <v>FG</v>
          </cell>
          <cell r="D5882" t="str">
            <v>FG</v>
          </cell>
          <cell r="E5882" t="str">
            <v>71040</v>
          </cell>
        </row>
        <row r="5883">
          <cell r="A5883" t="str">
            <v>ZAPPONETA</v>
          </cell>
          <cell r="B5883" t="str">
            <v>071064</v>
          </cell>
          <cell r="C5883" t="str">
            <v>FG</v>
          </cell>
          <cell r="D5883" t="str">
            <v>FG</v>
          </cell>
          <cell r="E5883" t="str">
            <v>71030</v>
          </cell>
        </row>
        <row r="5884">
          <cell r="A5884" t="str">
            <v>ACQUAVIVA DELLE FONTI</v>
          </cell>
          <cell r="B5884" t="str">
            <v>072001</v>
          </cell>
          <cell r="C5884" t="str">
            <v>BA</v>
          </cell>
          <cell r="D5884" t="str">
            <v>BA</v>
          </cell>
          <cell r="E5884" t="str">
            <v>70021</v>
          </cell>
        </row>
        <row r="5885">
          <cell r="A5885" t="str">
            <v>ADELFIA</v>
          </cell>
          <cell r="B5885" t="str">
            <v>072002</v>
          </cell>
          <cell r="C5885" t="str">
            <v>BA</v>
          </cell>
          <cell r="D5885" t="str">
            <v>BA</v>
          </cell>
          <cell r="E5885" t="str">
            <v>70010</v>
          </cell>
        </row>
        <row r="5886">
          <cell r="A5886" t="str">
            <v>ALBEROBELLO</v>
          </cell>
          <cell r="B5886" t="str">
            <v>072003</v>
          </cell>
          <cell r="C5886" t="str">
            <v>BA</v>
          </cell>
          <cell r="D5886" t="str">
            <v>BA</v>
          </cell>
          <cell r="E5886" t="str">
            <v>70011</v>
          </cell>
        </row>
        <row r="5887">
          <cell r="A5887" t="str">
            <v>ALTAMURA</v>
          </cell>
          <cell r="B5887" t="str">
            <v>072004</v>
          </cell>
          <cell r="C5887" t="str">
            <v>BA</v>
          </cell>
          <cell r="D5887" t="str">
            <v>BA</v>
          </cell>
          <cell r="E5887" t="str">
            <v>70022</v>
          </cell>
        </row>
        <row r="5888">
          <cell r="A5888" t="str">
            <v>BARI</v>
          </cell>
          <cell r="B5888" t="str">
            <v>072006</v>
          </cell>
          <cell r="C5888" t="str">
            <v>BA</v>
          </cell>
          <cell r="D5888" t="str">
            <v>BA</v>
          </cell>
          <cell r="E5888" t="str">
            <v>701xx</v>
          </cell>
        </row>
        <row r="5889">
          <cell r="A5889" t="str">
            <v>BINETTO</v>
          </cell>
          <cell r="B5889" t="str">
            <v>072008</v>
          </cell>
          <cell r="C5889" t="str">
            <v>BA</v>
          </cell>
          <cell r="D5889" t="str">
            <v>BA</v>
          </cell>
          <cell r="E5889" t="str">
            <v>70020</v>
          </cell>
        </row>
        <row r="5890">
          <cell r="A5890" t="str">
            <v>BITETTO</v>
          </cell>
          <cell r="B5890" t="str">
            <v>072010</v>
          </cell>
          <cell r="C5890" t="str">
            <v>BA</v>
          </cell>
          <cell r="D5890" t="str">
            <v>BA</v>
          </cell>
          <cell r="E5890" t="str">
            <v>70020</v>
          </cell>
        </row>
        <row r="5891">
          <cell r="A5891" t="str">
            <v>BITONTO</v>
          </cell>
          <cell r="B5891" t="str">
            <v>072011</v>
          </cell>
          <cell r="C5891" t="str">
            <v>BA</v>
          </cell>
          <cell r="D5891" t="str">
            <v>BA</v>
          </cell>
          <cell r="E5891" t="str">
            <v>70032</v>
          </cell>
        </row>
        <row r="5892">
          <cell r="A5892" t="str">
            <v>BITRITTO</v>
          </cell>
          <cell r="B5892" t="str">
            <v>072012</v>
          </cell>
          <cell r="C5892" t="str">
            <v>BA</v>
          </cell>
          <cell r="D5892" t="str">
            <v>BA</v>
          </cell>
          <cell r="E5892" t="str">
            <v>70020</v>
          </cell>
        </row>
        <row r="5893">
          <cell r="A5893" t="str">
            <v>CAPURSO</v>
          </cell>
          <cell r="B5893" t="str">
            <v>072014</v>
          </cell>
          <cell r="C5893" t="str">
            <v>BA</v>
          </cell>
          <cell r="D5893" t="str">
            <v>BA</v>
          </cell>
          <cell r="E5893" t="str">
            <v>70010</v>
          </cell>
        </row>
        <row r="5894">
          <cell r="A5894" t="str">
            <v>CASAMASSIMA</v>
          </cell>
          <cell r="B5894" t="str">
            <v>072015</v>
          </cell>
          <cell r="C5894" t="str">
            <v>BA</v>
          </cell>
          <cell r="D5894" t="str">
            <v>BA</v>
          </cell>
          <cell r="E5894" t="str">
            <v>70010</v>
          </cell>
        </row>
        <row r="5895">
          <cell r="A5895" t="str">
            <v>CASSANO DELLE MURGE</v>
          </cell>
          <cell r="B5895" t="str">
            <v>072016</v>
          </cell>
          <cell r="C5895" t="str">
            <v>BA</v>
          </cell>
          <cell r="D5895" t="str">
            <v>BA</v>
          </cell>
          <cell r="E5895" t="str">
            <v>70020</v>
          </cell>
        </row>
        <row r="5896">
          <cell r="A5896" t="str">
            <v>CASTELLANA GROTTE</v>
          </cell>
          <cell r="B5896" t="str">
            <v>072017</v>
          </cell>
          <cell r="C5896" t="str">
            <v>BA</v>
          </cell>
          <cell r="D5896" t="str">
            <v>BA</v>
          </cell>
          <cell r="E5896" t="str">
            <v>70013</v>
          </cell>
        </row>
        <row r="5897">
          <cell r="A5897" t="str">
            <v>CELLAMARE</v>
          </cell>
          <cell r="B5897" t="str">
            <v>072018</v>
          </cell>
          <cell r="C5897" t="str">
            <v>BA</v>
          </cell>
          <cell r="D5897" t="str">
            <v>BA</v>
          </cell>
          <cell r="E5897" t="str">
            <v>70010</v>
          </cell>
        </row>
        <row r="5898">
          <cell r="A5898" t="str">
            <v>CONVERSANO</v>
          </cell>
          <cell r="B5898" t="str">
            <v>072019</v>
          </cell>
          <cell r="C5898" t="str">
            <v>BA</v>
          </cell>
          <cell r="D5898" t="str">
            <v>BA</v>
          </cell>
          <cell r="E5898" t="str">
            <v>70014</v>
          </cell>
        </row>
        <row r="5899">
          <cell r="A5899" t="str">
            <v>CORATO</v>
          </cell>
          <cell r="B5899" t="str">
            <v>072020</v>
          </cell>
          <cell r="C5899" t="str">
            <v>BA</v>
          </cell>
          <cell r="D5899" t="str">
            <v>BA</v>
          </cell>
          <cell r="E5899" t="str">
            <v>70033</v>
          </cell>
        </row>
        <row r="5900">
          <cell r="A5900" t="str">
            <v>GIOIA DEL COLLE</v>
          </cell>
          <cell r="B5900" t="str">
            <v>072021</v>
          </cell>
          <cell r="C5900" t="str">
            <v>BA</v>
          </cell>
          <cell r="D5900" t="str">
            <v>BA</v>
          </cell>
          <cell r="E5900" t="str">
            <v>70023</v>
          </cell>
        </row>
        <row r="5901">
          <cell r="A5901" t="str">
            <v>GIOVINAZZO</v>
          </cell>
          <cell r="B5901" t="str">
            <v>072022</v>
          </cell>
          <cell r="C5901" t="str">
            <v>BA</v>
          </cell>
          <cell r="D5901" t="str">
            <v>BA</v>
          </cell>
          <cell r="E5901" t="str">
            <v>70054</v>
          </cell>
        </row>
        <row r="5902">
          <cell r="A5902" t="str">
            <v>GRAVINA IN PUGLIA</v>
          </cell>
          <cell r="B5902" t="str">
            <v>072023</v>
          </cell>
          <cell r="C5902" t="str">
            <v>BA</v>
          </cell>
          <cell r="D5902" t="str">
            <v>BA</v>
          </cell>
          <cell r="E5902" t="str">
            <v>70024</v>
          </cell>
        </row>
        <row r="5903">
          <cell r="A5903" t="str">
            <v>GRUMO APPULA</v>
          </cell>
          <cell r="B5903" t="str">
            <v>072024</v>
          </cell>
          <cell r="C5903" t="str">
            <v>BA</v>
          </cell>
          <cell r="D5903" t="str">
            <v>BA</v>
          </cell>
          <cell r="E5903" t="str">
            <v>70025</v>
          </cell>
        </row>
        <row r="5904">
          <cell r="A5904" t="str">
            <v>LOCOROTONDO</v>
          </cell>
          <cell r="B5904" t="str">
            <v>072025</v>
          </cell>
          <cell r="C5904" t="str">
            <v>BA</v>
          </cell>
          <cell r="D5904" t="str">
            <v>BA</v>
          </cell>
          <cell r="E5904" t="str">
            <v>70010</v>
          </cell>
        </row>
        <row r="5905">
          <cell r="A5905" t="str">
            <v>MODUGNO</v>
          </cell>
          <cell r="B5905" t="str">
            <v>072027</v>
          </cell>
          <cell r="C5905" t="str">
            <v>BA</v>
          </cell>
          <cell r="D5905" t="str">
            <v>BA</v>
          </cell>
          <cell r="E5905" t="str">
            <v>70026</v>
          </cell>
        </row>
        <row r="5906">
          <cell r="A5906" t="str">
            <v>MOLA DI BARI</v>
          </cell>
          <cell r="B5906" t="str">
            <v>072028</v>
          </cell>
          <cell r="C5906" t="str">
            <v>BA</v>
          </cell>
          <cell r="D5906" t="str">
            <v>BA</v>
          </cell>
          <cell r="E5906" t="str">
            <v>70042</v>
          </cell>
        </row>
        <row r="5907">
          <cell r="A5907" t="str">
            <v>MOLFETTA</v>
          </cell>
          <cell r="B5907" t="str">
            <v>072029</v>
          </cell>
          <cell r="C5907" t="str">
            <v>BA</v>
          </cell>
          <cell r="D5907" t="str">
            <v>BA</v>
          </cell>
          <cell r="E5907" t="str">
            <v>70056</v>
          </cell>
        </row>
        <row r="5908">
          <cell r="A5908" t="str">
            <v>MONOPOLI</v>
          </cell>
          <cell r="B5908" t="str">
            <v>072030</v>
          </cell>
          <cell r="C5908" t="str">
            <v>BA</v>
          </cell>
          <cell r="D5908" t="str">
            <v>BA</v>
          </cell>
          <cell r="E5908" t="str">
            <v>70043</v>
          </cell>
        </row>
        <row r="5909">
          <cell r="A5909" t="str">
            <v>NOCI</v>
          </cell>
          <cell r="B5909" t="str">
            <v>072031</v>
          </cell>
          <cell r="C5909" t="str">
            <v>BA</v>
          </cell>
          <cell r="D5909" t="str">
            <v>BA</v>
          </cell>
          <cell r="E5909" t="str">
            <v>70015</v>
          </cell>
        </row>
        <row r="5910">
          <cell r="A5910" t="str">
            <v>NOICATTARO</v>
          </cell>
          <cell r="B5910" t="str">
            <v>072032</v>
          </cell>
          <cell r="C5910" t="str">
            <v>BA</v>
          </cell>
          <cell r="D5910" t="e">
            <v>#N/A</v>
          </cell>
          <cell r="E5910" t="e">
            <v>#N/A</v>
          </cell>
        </row>
        <row r="5911">
          <cell r="A5911" t="str">
            <v>PALO DEL COLLE</v>
          </cell>
          <cell r="B5911" t="str">
            <v>072033</v>
          </cell>
          <cell r="C5911" t="str">
            <v>BA</v>
          </cell>
          <cell r="D5911" t="str">
            <v>BA</v>
          </cell>
          <cell r="E5911" t="str">
            <v>70027</v>
          </cell>
        </row>
        <row r="5912">
          <cell r="A5912" t="str">
            <v>POGGIORSINI</v>
          </cell>
          <cell r="B5912" t="str">
            <v>072034</v>
          </cell>
          <cell r="C5912" t="str">
            <v>BA</v>
          </cell>
          <cell r="D5912" t="str">
            <v>BA</v>
          </cell>
          <cell r="E5912" t="str">
            <v>70020</v>
          </cell>
        </row>
        <row r="5913">
          <cell r="A5913" t="str">
            <v>POLIGNANO A MARE</v>
          </cell>
          <cell r="B5913" t="str">
            <v>072035</v>
          </cell>
          <cell r="C5913" t="str">
            <v>BA</v>
          </cell>
          <cell r="D5913" t="str">
            <v>BA</v>
          </cell>
          <cell r="E5913" t="str">
            <v>70044</v>
          </cell>
        </row>
        <row r="5914">
          <cell r="A5914" t="str">
            <v>PUTIGNANO</v>
          </cell>
          <cell r="B5914" t="str">
            <v>072036</v>
          </cell>
          <cell r="C5914" t="str">
            <v>BA</v>
          </cell>
          <cell r="D5914" t="str">
            <v>BA</v>
          </cell>
          <cell r="E5914" t="str">
            <v>70017</v>
          </cell>
        </row>
        <row r="5915">
          <cell r="A5915" t="str">
            <v>RUTIGLIANO</v>
          </cell>
          <cell r="B5915" t="str">
            <v>072037</v>
          </cell>
          <cell r="C5915" t="str">
            <v>BA</v>
          </cell>
          <cell r="D5915" t="str">
            <v>BA</v>
          </cell>
          <cell r="E5915" t="str">
            <v>70018</v>
          </cell>
        </row>
        <row r="5916">
          <cell r="A5916" t="str">
            <v>RUVO DI PUGLIA</v>
          </cell>
          <cell r="B5916" t="str">
            <v>072038</v>
          </cell>
          <cell r="C5916" t="str">
            <v>BA</v>
          </cell>
          <cell r="D5916" t="str">
            <v>BA</v>
          </cell>
          <cell r="E5916" t="str">
            <v>70037</v>
          </cell>
        </row>
        <row r="5917">
          <cell r="A5917" t="str">
            <v>SAMMICHELE DI BARI</v>
          </cell>
          <cell r="B5917" t="str">
            <v>072039</v>
          </cell>
          <cell r="C5917" t="str">
            <v>BA</v>
          </cell>
          <cell r="D5917" t="str">
            <v>BA</v>
          </cell>
          <cell r="E5917" t="str">
            <v>70010</v>
          </cell>
        </row>
        <row r="5918">
          <cell r="A5918" t="str">
            <v>SANNICANDRO DI BARI</v>
          </cell>
          <cell r="B5918" t="str">
            <v>072040</v>
          </cell>
          <cell r="C5918" t="str">
            <v>BA</v>
          </cell>
          <cell r="D5918" t="str">
            <v>BA</v>
          </cell>
          <cell r="E5918" t="str">
            <v>70028</v>
          </cell>
        </row>
        <row r="5919">
          <cell r="A5919" t="str">
            <v>SANTERAMO IN COLLE</v>
          </cell>
          <cell r="B5919" t="str">
            <v>072041</v>
          </cell>
          <cell r="C5919" t="str">
            <v>BA</v>
          </cell>
          <cell r="D5919" t="str">
            <v>BA</v>
          </cell>
          <cell r="E5919" t="str">
            <v>70029</v>
          </cell>
        </row>
        <row r="5920">
          <cell r="A5920" t="str">
            <v>TERLIZZI</v>
          </cell>
          <cell r="B5920" t="str">
            <v>072043</v>
          </cell>
          <cell r="C5920" t="str">
            <v>BA</v>
          </cell>
          <cell r="D5920" t="str">
            <v>BA</v>
          </cell>
          <cell r="E5920" t="str">
            <v>70038</v>
          </cell>
        </row>
        <row r="5921">
          <cell r="A5921" t="str">
            <v>TORITTO</v>
          </cell>
          <cell r="B5921" t="str">
            <v>072044</v>
          </cell>
          <cell r="C5921" t="str">
            <v>BA</v>
          </cell>
          <cell r="D5921" t="str">
            <v>BA</v>
          </cell>
          <cell r="E5921" t="str">
            <v>70020</v>
          </cell>
        </row>
        <row r="5922">
          <cell r="A5922" t="str">
            <v>TRIGGIANO</v>
          </cell>
          <cell r="B5922" t="str">
            <v>072046</v>
          </cell>
          <cell r="C5922" t="str">
            <v>BA</v>
          </cell>
          <cell r="D5922" t="str">
            <v>BA</v>
          </cell>
          <cell r="E5922" t="str">
            <v>70019</v>
          </cell>
        </row>
        <row r="5923">
          <cell r="A5923" t="str">
            <v>TURI</v>
          </cell>
          <cell r="B5923" t="str">
            <v>072047</v>
          </cell>
          <cell r="C5923" t="str">
            <v>BA</v>
          </cell>
          <cell r="D5923" t="str">
            <v>BA</v>
          </cell>
          <cell r="E5923" t="str">
            <v>70010</v>
          </cell>
        </row>
        <row r="5924">
          <cell r="A5924" t="str">
            <v>VALENZANO</v>
          </cell>
          <cell r="B5924" t="str">
            <v>072048</v>
          </cell>
          <cell r="C5924" t="str">
            <v>BA</v>
          </cell>
          <cell r="D5924" t="str">
            <v>BA</v>
          </cell>
          <cell r="E5924" t="str">
            <v>70010</v>
          </cell>
        </row>
        <row r="5925">
          <cell r="A5925" t="str">
            <v>AVETRANA</v>
          </cell>
          <cell r="B5925" t="str">
            <v>073001</v>
          </cell>
          <cell r="C5925" t="str">
            <v>TA</v>
          </cell>
          <cell r="D5925" t="str">
            <v>TA</v>
          </cell>
          <cell r="E5925" t="str">
            <v>74020</v>
          </cell>
        </row>
        <row r="5926">
          <cell r="A5926" t="str">
            <v>CAROSINO</v>
          </cell>
          <cell r="B5926" t="str">
            <v>073002</v>
          </cell>
          <cell r="C5926" t="str">
            <v>TA</v>
          </cell>
          <cell r="D5926" t="str">
            <v>TA</v>
          </cell>
          <cell r="E5926" t="str">
            <v>74021</v>
          </cell>
        </row>
        <row r="5927">
          <cell r="A5927" t="str">
            <v>CASTELLANETA</v>
          </cell>
          <cell r="B5927" t="str">
            <v>073003</v>
          </cell>
          <cell r="C5927" t="str">
            <v>TA</v>
          </cell>
          <cell r="D5927" t="str">
            <v>TA</v>
          </cell>
          <cell r="E5927" t="str">
            <v>74011</v>
          </cell>
        </row>
        <row r="5928">
          <cell r="A5928" t="str">
            <v>CRISPIANO</v>
          </cell>
          <cell r="B5928" t="str">
            <v>073004</v>
          </cell>
          <cell r="C5928" t="str">
            <v>TA</v>
          </cell>
          <cell r="D5928" t="str">
            <v>TA</v>
          </cell>
          <cell r="E5928" t="str">
            <v>74012</v>
          </cell>
        </row>
        <row r="5929">
          <cell r="A5929" t="str">
            <v>FAGGIANO</v>
          </cell>
          <cell r="B5929" t="str">
            <v>073005</v>
          </cell>
          <cell r="C5929" t="str">
            <v>TA</v>
          </cell>
          <cell r="D5929" t="str">
            <v>TA</v>
          </cell>
          <cell r="E5929" t="str">
            <v>74020</v>
          </cell>
        </row>
        <row r="5930">
          <cell r="A5930" t="str">
            <v>FRAGAGNANO</v>
          </cell>
          <cell r="B5930" t="str">
            <v>073006</v>
          </cell>
          <cell r="C5930" t="str">
            <v>TA</v>
          </cell>
          <cell r="D5930" t="str">
            <v>TA</v>
          </cell>
          <cell r="E5930" t="str">
            <v>74022</v>
          </cell>
        </row>
        <row r="5931">
          <cell r="A5931" t="str">
            <v>GINOSA</v>
          </cell>
          <cell r="B5931" t="str">
            <v>073007</v>
          </cell>
          <cell r="C5931" t="str">
            <v>TA</v>
          </cell>
          <cell r="D5931" t="str">
            <v>TA</v>
          </cell>
          <cell r="E5931" t="str">
            <v>74013</v>
          </cell>
        </row>
        <row r="5932">
          <cell r="A5932" t="str">
            <v>GROTTAGLIE</v>
          </cell>
          <cell r="B5932" t="str">
            <v>073008</v>
          </cell>
          <cell r="C5932" t="str">
            <v>TA</v>
          </cell>
          <cell r="D5932" t="str">
            <v>TA</v>
          </cell>
          <cell r="E5932" t="str">
            <v>74023</v>
          </cell>
        </row>
        <row r="5933">
          <cell r="A5933" t="str">
            <v>LATERZA</v>
          </cell>
          <cell r="B5933" t="str">
            <v>073009</v>
          </cell>
          <cell r="C5933" t="str">
            <v>TA</v>
          </cell>
          <cell r="D5933" t="str">
            <v>TA</v>
          </cell>
          <cell r="E5933" t="str">
            <v>74014</v>
          </cell>
        </row>
        <row r="5934">
          <cell r="A5934" t="str">
            <v>LEPORANO</v>
          </cell>
          <cell r="B5934" t="str">
            <v>073010</v>
          </cell>
          <cell r="C5934" t="str">
            <v>TA</v>
          </cell>
          <cell r="D5934" t="str">
            <v>TA</v>
          </cell>
          <cell r="E5934" t="str">
            <v>74020</v>
          </cell>
        </row>
        <row r="5935">
          <cell r="A5935" t="str">
            <v>LIZZANO</v>
          </cell>
          <cell r="B5935" t="str">
            <v>073011</v>
          </cell>
          <cell r="C5935" t="str">
            <v>TA</v>
          </cell>
          <cell r="D5935" t="str">
            <v>TA</v>
          </cell>
          <cell r="E5935" t="str">
            <v>74020</v>
          </cell>
        </row>
        <row r="5936">
          <cell r="A5936" t="str">
            <v>MANDURIA</v>
          </cell>
          <cell r="B5936" t="str">
            <v>073012</v>
          </cell>
          <cell r="C5936" t="str">
            <v>TA</v>
          </cell>
          <cell r="D5936" t="str">
            <v>TA</v>
          </cell>
          <cell r="E5936" t="str">
            <v>74024</v>
          </cell>
        </row>
        <row r="5937">
          <cell r="A5937" t="str">
            <v>MARTINA FRANCA</v>
          </cell>
          <cell r="B5937" t="str">
            <v>073013</v>
          </cell>
          <cell r="C5937" t="str">
            <v>TA</v>
          </cell>
          <cell r="D5937" t="str">
            <v>TA</v>
          </cell>
          <cell r="E5937" t="str">
            <v>74015</v>
          </cell>
        </row>
        <row r="5938">
          <cell r="A5938" t="str">
            <v>MARUGGIO</v>
          </cell>
          <cell r="B5938" t="str">
            <v>073014</v>
          </cell>
          <cell r="C5938" t="str">
            <v>TA</v>
          </cell>
          <cell r="D5938" t="str">
            <v>TA</v>
          </cell>
          <cell r="E5938" t="str">
            <v>74020</v>
          </cell>
        </row>
        <row r="5939">
          <cell r="A5939" t="str">
            <v>MASSAFRA</v>
          </cell>
          <cell r="B5939" t="str">
            <v>073015</v>
          </cell>
          <cell r="C5939" t="str">
            <v>TA</v>
          </cell>
          <cell r="D5939" t="str">
            <v>TA</v>
          </cell>
          <cell r="E5939" t="str">
            <v>74016</v>
          </cell>
        </row>
        <row r="5940">
          <cell r="A5940" t="str">
            <v>MONTEIASI</v>
          </cell>
          <cell r="B5940" t="str">
            <v>073016</v>
          </cell>
          <cell r="C5940" t="str">
            <v>TA</v>
          </cell>
          <cell r="D5940" t="str">
            <v>TA</v>
          </cell>
          <cell r="E5940" t="str">
            <v>74020</v>
          </cell>
        </row>
        <row r="5941">
          <cell r="A5941" t="str">
            <v>MONTEMESOLA</v>
          </cell>
          <cell r="B5941" t="str">
            <v>073017</v>
          </cell>
          <cell r="C5941" t="str">
            <v>TA</v>
          </cell>
          <cell r="D5941" t="str">
            <v>TA</v>
          </cell>
          <cell r="E5941" t="str">
            <v>74020</v>
          </cell>
        </row>
        <row r="5942">
          <cell r="A5942" t="str">
            <v>MONTEPARANO</v>
          </cell>
          <cell r="B5942" t="str">
            <v>073018</v>
          </cell>
          <cell r="C5942" t="str">
            <v>TA</v>
          </cell>
          <cell r="D5942" t="str">
            <v>TA</v>
          </cell>
          <cell r="E5942" t="str">
            <v>74020</v>
          </cell>
        </row>
        <row r="5943">
          <cell r="A5943" t="str">
            <v>MOTTOLA</v>
          </cell>
          <cell r="B5943" t="str">
            <v>073019</v>
          </cell>
          <cell r="C5943" t="str">
            <v>TA</v>
          </cell>
          <cell r="D5943" t="str">
            <v>TA</v>
          </cell>
          <cell r="E5943" t="str">
            <v>74017</v>
          </cell>
        </row>
        <row r="5944">
          <cell r="A5944" t="str">
            <v>PALAGIANELLO</v>
          </cell>
          <cell r="B5944" t="str">
            <v>073020</v>
          </cell>
          <cell r="C5944" t="str">
            <v>TA</v>
          </cell>
          <cell r="D5944" t="str">
            <v>TA</v>
          </cell>
          <cell r="E5944" t="str">
            <v>74018</v>
          </cell>
        </row>
        <row r="5945">
          <cell r="A5945" t="str">
            <v>PALAGIANO</v>
          </cell>
          <cell r="B5945" t="str">
            <v>073021</v>
          </cell>
          <cell r="C5945" t="str">
            <v>TA</v>
          </cell>
          <cell r="D5945" t="str">
            <v>TA</v>
          </cell>
          <cell r="E5945" t="str">
            <v>74019</v>
          </cell>
        </row>
        <row r="5946">
          <cell r="A5946" t="str">
            <v>PULSANO</v>
          </cell>
          <cell r="B5946" t="str">
            <v>073022</v>
          </cell>
          <cell r="C5946" t="str">
            <v>TA</v>
          </cell>
          <cell r="D5946" t="str">
            <v>TA</v>
          </cell>
          <cell r="E5946" t="str">
            <v>74026</v>
          </cell>
        </row>
        <row r="5947">
          <cell r="A5947" t="str">
            <v>ROCCAFORZATA</v>
          </cell>
          <cell r="B5947" t="str">
            <v>073023</v>
          </cell>
          <cell r="C5947" t="str">
            <v>TA</v>
          </cell>
          <cell r="D5947" t="str">
            <v>TA</v>
          </cell>
          <cell r="E5947" t="str">
            <v>74020</v>
          </cell>
        </row>
        <row r="5948">
          <cell r="A5948" t="str">
            <v>SAN GIORGIO IONICO</v>
          </cell>
          <cell r="B5948" t="str">
            <v>073024</v>
          </cell>
          <cell r="C5948" t="str">
            <v>TA</v>
          </cell>
          <cell r="D5948" t="str">
            <v>TA</v>
          </cell>
          <cell r="E5948" t="str">
            <v>74027</v>
          </cell>
        </row>
        <row r="5949">
          <cell r="A5949" t="str">
            <v>SAN MARZANO DI SAN GIUSEPPE</v>
          </cell>
          <cell r="B5949" t="str">
            <v>073025</v>
          </cell>
          <cell r="C5949" t="str">
            <v>TA</v>
          </cell>
          <cell r="D5949" t="str">
            <v>TA</v>
          </cell>
          <cell r="E5949" t="str">
            <v>74020</v>
          </cell>
        </row>
        <row r="5950">
          <cell r="A5950" t="str">
            <v>SAVA</v>
          </cell>
          <cell r="B5950" t="str">
            <v>073026</v>
          </cell>
          <cell r="C5950" t="str">
            <v>TA</v>
          </cell>
          <cell r="D5950" t="str">
            <v>TA</v>
          </cell>
          <cell r="E5950" t="str">
            <v>74028</v>
          </cell>
        </row>
        <row r="5951">
          <cell r="A5951" t="str">
            <v>TARANTO</v>
          </cell>
          <cell r="B5951" t="str">
            <v>073027</v>
          </cell>
          <cell r="C5951" t="str">
            <v>TA</v>
          </cell>
          <cell r="D5951" t="str">
            <v>TA</v>
          </cell>
          <cell r="E5951" t="str">
            <v>7412x</v>
          </cell>
        </row>
        <row r="5952">
          <cell r="A5952" t="str">
            <v>TORRICELLA</v>
          </cell>
          <cell r="B5952" t="str">
            <v>073028</v>
          </cell>
          <cell r="C5952" t="str">
            <v>TA</v>
          </cell>
          <cell r="D5952" t="str">
            <v>TA</v>
          </cell>
          <cell r="E5952" t="str">
            <v>74020</v>
          </cell>
        </row>
        <row r="5953">
          <cell r="A5953" t="str">
            <v>STATTE</v>
          </cell>
          <cell r="B5953" t="str">
            <v>073029</v>
          </cell>
          <cell r="C5953" t="str">
            <v>TA</v>
          </cell>
          <cell r="D5953" t="str">
            <v>TA</v>
          </cell>
          <cell r="E5953" t="str">
            <v>74010</v>
          </cell>
        </row>
        <row r="5954">
          <cell r="A5954" t="str">
            <v>BRINDISI</v>
          </cell>
          <cell r="B5954" t="str">
            <v>074001</v>
          </cell>
          <cell r="C5954" t="str">
            <v>BR</v>
          </cell>
          <cell r="D5954" t="str">
            <v>BR</v>
          </cell>
          <cell r="E5954" t="str">
            <v>72100</v>
          </cell>
        </row>
        <row r="5955">
          <cell r="A5955" t="str">
            <v>CAROVIGNO</v>
          </cell>
          <cell r="B5955" t="str">
            <v>074002</v>
          </cell>
          <cell r="C5955" t="str">
            <v>BR</v>
          </cell>
          <cell r="D5955" t="str">
            <v>BR</v>
          </cell>
          <cell r="E5955" t="str">
            <v>72012</v>
          </cell>
        </row>
        <row r="5956">
          <cell r="A5956" t="str">
            <v>CEGLIE MESSAPICA</v>
          </cell>
          <cell r="B5956" t="str">
            <v>074003</v>
          </cell>
          <cell r="C5956" t="str">
            <v>BR</v>
          </cell>
          <cell r="D5956" t="str">
            <v>BR</v>
          </cell>
          <cell r="E5956" t="str">
            <v>72013</v>
          </cell>
        </row>
        <row r="5957">
          <cell r="A5957" t="str">
            <v>CELLINO SAN MARCO</v>
          </cell>
          <cell r="B5957" t="str">
            <v>074004</v>
          </cell>
          <cell r="C5957" t="str">
            <v>BR</v>
          </cell>
          <cell r="D5957" t="str">
            <v>BR</v>
          </cell>
          <cell r="E5957" t="str">
            <v>72020</v>
          </cell>
        </row>
        <row r="5958">
          <cell r="A5958" t="str">
            <v>CISTERNINO</v>
          </cell>
          <cell r="B5958" t="str">
            <v>074005</v>
          </cell>
          <cell r="C5958" t="str">
            <v>BR</v>
          </cell>
          <cell r="D5958" t="str">
            <v>BR</v>
          </cell>
          <cell r="E5958" t="str">
            <v>72014</v>
          </cell>
        </row>
        <row r="5959">
          <cell r="A5959" t="str">
            <v>ERCHIE</v>
          </cell>
          <cell r="B5959" t="str">
            <v>074006</v>
          </cell>
          <cell r="C5959" t="str">
            <v>BR</v>
          </cell>
          <cell r="D5959" t="str">
            <v>BR</v>
          </cell>
          <cell r="E5959" t="str">
            <v>72020</v>
          </cell>
        </row>
        <row r="5960">
          <cell r="A5960" t="str">
            <v>FASANO</v>
          </cell>
          <cell r="B5960" t="str">
            <v>074007</v>
          </cell>
          <cell r="C5960" t="str">
            <v>BR</v>
          </cell>
          <cell r="D5960" t="str">
            <v>BR</v>
          </cell>
          <cell r="E5960" t="str">
            <v>72015</v>
          </cell>
        </row>
        <row r="5961">
          <cell r="A5961" t="str">
            <v>FRANCAVILLA FONTANA</v>
          </cell>
          <cell r="B5961" t="str">
            <v>074008</v>
          </cell>
          <cell r="C5961" t="str">
            <v>BR</v>
          </cell>
          <cell r="D5961" t="str">
            <v>BR</v>
          </cell>
          <cell r="E5961" t="str">
            <v>72021</v>
          </cell>
        </row>
        <row r="5962">
          <cell r="A5962" t="str">
            <v>LATIANO</v>
          </cell>
          <cell r="B5962" t="str">
            <v>074009</v>
          </cell>
          <cell r="C5962" t="str">
            <v>BR</v>
          </cell>
          <cell r="D5962" t="str">
            <v>BR</v>
          </cell>
          <cell r="E5962" t="str">
            <v>72022</v>
          </cell>
        </row>
        <row r="5963">
          <cell r="A5963" t="str">
            <v>MESAGNE</v>
          </cell>
          <cell r="B5963" t="str">
            <v>074010</v>
          </cell>
          <cell r="C5963" t="str">
            <v>BR</v>
          </cell>
          <cell r="D5963" t="str">
            <v>BR</v>
          </cell>
          <cell r="E5963" t="str">
            <v>72023</v>
          </cell>
        </row>
        <row r="5964">
          <cell r="A5964" t="str">
            <v>ORIA</v>
          </cell>
          <cell r="B5964" t="str">
            <v>074011</v>
          </cell>
          <cell r="C5964" t="str">
            <v>BR</v>
          </cell>
          <cell r="D5964" t="str">
            <v>BR</v>
          </cell>
          <cell r="E5964" t="str">
            <v>72024</v>
          </cell>
        </row>
        <row r="5965">
          <cell r="A5965" t="str">
            <v>OSTUNI</v>
          </cell>
          <cell r="B5965" t="str">
            <v>074012</v>
          </cell>
          <cell r="C5965" t="str">
            <v>BR</v>
          </cell>
          <cell r="D5965" t="str">
            <v>BR</v>
          </cell>
          <cell r="E5965" t="str">
            <v>72017</v>
          </cell>
        </row>
        <row r="5966">
          <cell r="A5966" t="str">
            <v>SAN DONACI</v>
          </cell>
          <cell r="B5966" t="str">
            <v>074013</v>
          </cell>
          <cell r="C5966" t="str">
            <v>BR</v>
          </cell>
          <cell r="D5966" t="str">
            <v>BR</v>
          </cell>
          <cell r="E5966" t="str">
            <v>72025</v>
          </cell>
        </row>
        <row r="5967">
          <cell r="A5967" t="str">
            <v>SAN MICHELE SALENTINO</v>
          </cell>
          <cell r="B5967" t="str">
            <v>074014</v>
          </cell>
          <cell r="C5967" t="str">
            <v>BR</v>
          </cell>
          <cell r="D5967" t="str">
            <v>BR</v>
          </cell>
          <cell r="E5967" t="str">
            <v>72018</v>
          </cell>
        </row>
        <row r="5968">
          <cell r="A5968" t="str">
            <v>SAN PANCRAZIO SALENTINO</v>
          </cell>
          <cell r="B5968" t="str">
            <v>074015</v>
          </cell>
          <cell r="C5968" t="str">
            <v>BR</v>
          </cell>
          <cell r="D5968" t="str">
            <v>BR</v>
          </cell>
          <cell r="E5968" t="str">
            <v>72026</v>
          </cell>
        </row>
        <row r="5969">
          <cell r="A5969" t="str">
            <v>SAN PIETRO VERNOTICO</v>
          </cell>
          <cell r="B5969" t="str">
            <v>074016</v>
          </cell>
          <cell r="C5969" t="str">
            <v>BR</v>
          </cell>
          <cell r="D5969" t="str">
            <v>BR</v>
          </cell>
          <cell r="E5969" t="str">
            <v>72027</v>
          </cell>
        </row>
        <row r="5970">
          <cell r="A5970" t="str">
            <v>SAN VITO DEI NORMANNI</v>
          </cell>
          <cell r="B5970" t="str">
            <v>074017</v>
          </cell>
          <cell r="C5970" t="str">
            <v>BR</v>
          </cell>
          <cell r="D5970" t="str">
            <v>BR</v>
          </cell>
          <cell r="E5970" t="str">
            <v>72019</v>
          </cell>
        </row>
        <row r="5971">
          <cell r="A5971" t="str">
            <v>TORCHIAROLO</v>
          </cell>
          <cell r="B5971" t="str">
            <v>074018</v>
          </cell>
          <cell r="C5971" t="str">
            <v>BR</v>
          </cell>
          <cell r="D5971" t="str">
            <v>BR</v>
          </cell>
          <cell r="E5971" t="str">
            <v>72020</v>
          </cell>
        </row>
        <row r="5972">
          <cell r="A5972" t="str">
            <v>TORRE SANTA SUSANNA</v>
          </cell>
          <cell r="B5972" t="str">
            <v>074019</v>
          </cell>
          <cell r="C5972" t="str">
            <v>BR</v>
          </cell>
          <cell r="D5972" t="str">
            <v>BR</v>
          </cell>
          <cell r="E5972" t="str">
            <v>72028</v>
          </cell>
        </row>
        <row r="5973">
          <cell r="A5973" t="str">
            <v>VILLA CASTELLI</v>
          </cell>
          <cell r="B5973" t="str">
            <v>074020</v>
          </cell>
          <cell r="C5973" t="str">
            <v>BR</v>
          </cell>
          <cell r="D5973" t="str">
            <v>BR</v>
          </cell>
          <cell r="E5973" t="str">
            <v>72029</v>
          </cell>
        </row>
        <row r="5974">
          <cell r="A5974" t="str">
            <v>ALESSANO</v>
          </cell>
          <cell r="B5974" t="str">
            <v>075002</v>
          </cell>
          <cell r="C5974" t="str">
            <v>LE</v>
          </cell>
          <cell r="D5974" t="str">
            <v>LE</v>
          </cell>
          <cell r="E5974" t="str">
            <v>73031</v>
          </cell>
        </row>
        <row r="5975">
          <cell r="A5975" t="str">
            <v>ALEZIO</v>
          </cell>
          <cell r="B5975" t="str">
            <v>075003</v>
          </cell>
          <cell r="C5975" t="str">
            <v>LE</v>
          </cell>
          <cell r="D5975" t="str">
            <v>LE</v>
          </cell>
          <cell r="E5975" t="str">
            <v>73011</v>
          </cell>
        </row>
        <row r="5976">
          <cell r="A5976" t="str">
            <v>ALLISTE</v>
          </cell>
          <cell r="B5976" t="str">
            <v>075004</v>
          </cell>
          <cell r="C5976" t="str">
            <v>LE</v>
          </cell>
          <cell r="D5976" t="str">
            <v>LE</v>
          </cell>
          <cell r="E5976" t="str">
            <v>73040</v>
          </cell>
        </row>
        <row r="5977">
          <cell r="A5977" t="str">
            <v>ANDRANO</v>
          </cell>
          <cell r="B5977" t="str">
            <v>075005</v>
          </cell>
          <cell r="C5977" t="str">
            <v>LE</v>
          </cell>
          <cell r="D5977" t="str">
            <v>LE</v>
          </cell>
          <cell r="E5977" t="str">
            <v>73032</v>
          </cell>
        </row>
        <row r="5978">
          <cell r="A5978" t="str">
            <v>ARADEO</v>
          </cell>
          <cell r="B5978" t="str">
            <v>075006</v>
          </cell>
          <cell r="C5978" t="str">
            <v>LE</v>
          </cell>
          <cell r="D5978" t="str">
            <v>LE</v>
          </cell>
          <cell r="E5978" t="str">
            <v>73040</v>
          </cell>
        </row>
        <row r="5979">
          <cell r="A5979" t="str">
            <v>ARNESANO</v>
          </cell>
          <cell r="B5979" t="str">
            <v>075007</v>
          </cell>
          <cell r="C5979" t="str">
            <v>LE</v>
          </cell>
          <cell r="D5979" t="str">
            <v>LE</v>
          </cell>
          <cell r="E5979" t="str">
            <v>73010</v>
          </cell>
        </row>
        <row r="5980">
          <cell r="A5980" t="str">
            <v>BAGNOLO DEL SALENTO</v>
          </cell>
          <cell r="B5980" t="str">
            <v>075008</v>
          </cell>
          <cell r="C5980" t="str">
            <v>LE</v>
          </cell>
          <cell r="D5980" t="str">
            <v>LE</v>
          </cell>
          <cell r="E5980" t="str">
            <v>73020</v>
          </cell>
        </row>
        <row r="5981">
          <cell r="A5981" t="str">
            <v>BOTRUGNO</v>
          </cell>
          <cell r="B5981" t="str">
            <v>075009</v>
          </cell>
          <cell r="C5981" t="str">
            <v>LE</v>
          </cell>
          <cell r="D5981" t="str">
            <v>LE</v>
          </cell>
          <cell r="E5981" t="str">
            <v>73020</v>
          </cell>
        </row>
        <row r="5982">
          <cell r="A5982" t="str">
            <v>CALIMERA</v>
          </cell>
          <cell r="B5982" t="str">
            <v>075010</v>
          </cell>
          <cell r="C5982" t="str">
            <v>LE</v>
          </cell>
          <cell r="D5982" t="str">
            <v>LE</v>
          </cell>
          <cell r="E5982" t="str">
            <v>73021</v>
          </cell>
        </row>
        <row r="5983">
          <cell r="A5983" t="str">
            <v>CAMPI SALENTINA</v>
          </cell>
          <cell r="B5983" t="str">
            <v>075011</v>
          </cell>
          <cell r="C5983" t="str">
            <v>LE</v>
          </cell>
          <cell r="D5983" t="str">
            <v>LE</v>
          </cell>
          <cell r="E5983" t="str">
            <v>73012</v>
          </cell>
        </row>
        <row r="5984">
          <cell r="A5984" t="str">
            <v>CANNOLE</v>
          </cell>
          <cell r="B5984" t="str">
            <v>075012</v>
          </cell>
          <cell r="C5984" t="str">
            <v>LE</v>
          </cell>
          <cell r="D5984" t="str">
            <v>LE</v>
          </cell>
          <cell r="E5984" t="str">
            <v>73020</v>
          </cell>
        </row>
        <row r="5985">
          <cell r="A5985" t="str">
            <v>CAPRARICA DI LECCE</v>
          </cell>
          <cell r="B5985" t="str">
            <v>075013</v>
          </cell>
          <cell r="C5985" t="str">
            <v>LE</v>
          </cell>
          <cell r="D5985" t="str">
            <v>LE</v>
          </cell>
          <cell r="E5985" t="str">
            <v>73010</v>
          </cell>
        </row>
        <row r="5986">
          <cell r="A5986" t="str">
            <v>CARMIANO</v>
          </cell>
          <cell r="B5986" t="str">
            <v>075014</v>
          </cell>
          <cell r="C5986" t="str">
            <v>LE</v>
          </cell>
          <cell r="D5986" t="str">
            <v>LE</v>
          </cell>
          <cell r="E5986" t="str">
            <v>73041</v>
          </cell>
        </row>
        <row r="5987">
          <cell r="A5987" t="str">
            <v>CARPIGNANO SALENTINO</v>
          </cell>
          <cell r="B5987" t="str">
            <v>075015</v>
          </cell>
          <cell r="C5987" t="str">
            <v>LE</v>
          </cell>
          <cell r="D5987" t="str">
            <v>LE</v>
          </cell>
          <cell r="E5987" t="str">
            <v>73020</v>
          </cell>
        </row>
        <row r="5988">
          <cell r="A5988" t="str">
            <v>CASARANO</v>
          </cell>
          <cell r="B5988" t="str">
            <v>075016</v>
          </cell>
          <cell r="C5988" t="str">
            <v>LE</v>
          </cell>
          <cell r="D5988" t="str">
            <v>LE</v>
          </cell>
          <cell r="E5988" t="str">
            <v>73042</v>
          </cell>
        </row>
        <row r="5989">
          <cell r="A5989" t="str">
            <v>CASTRI DI LECCE</v>
          </cell>
          <cell r="B5989" t="str">
            <v>075017</v>
          </cell>
          <cell r="C5989" t="str">
            <v>LE</v>
          </cell>
          <cell r="D5989" t="str">
            <v>LE</v>
          </cell>
          <cell r="E5989" t="str">
            <v>73020</v>
          </cell>
        </row>
        <row r="5990">
          <cell r="A5990" t="str">
            <v>CASTRIGNANO DE' GRECI</v>
          </cell>
          <cell r="B5990" t="str">
            <v>075018</v>
          </cell>
          <cell r="C5990" t="str">
            <v>LE</v>
          </cell>
          <cell r="D5990" t="str">
            <v>LE</v>
          </cell>
          <cell r="E5990" t="str">
            <v>73020</v>
          </cell>
        </row>
        <row r="5991">
          <cell r="A5991" t="str">
            <v>CASTRIGNANO DEL CAPO</v>
          </cell>
          <cell r="B5991" t="str">
            <v>075019</v>
          </cell>
          <cell r="C5991" t="str">
            <v>LE</v>
          </cell>
          <cell r="D5991" t="str">
            <v>LE</v>
          </cell>
          <cell r="E5991" t="str">
            <v>73040</v>
          </cell>
        </row>
        <row r="5992">
          <cell r="A5992" t="str">
            <v>CAVALLINO</v>
          </cell>
          <cell r="B5992" t="str">
            <v>075020</v>
          </cell>
          <cell r="C5992" t="str">
            <v>LE</v>
          </cell>
          <cell r="D5992" t="str">
            <v>LE</v>
          </cell>
          <cell r="E5992" t="str">
            <v>73020</v>
          </cell>
        </row>
        <row r="5993">
          <cell r="A5993" t="str">
            <v>COLLEPASSO</v>
          </cell>
          <cell r="B5993" t="str">
            <v>075021</v>
          </cell>
          <cell r="C5993" t="str">
            <v>LE</v>
          </cell>
          <cell r="D5993" t="str">
            <v>LE</v>
          </cell>
          <cell r="E5993" t="str">
            <v>73040</v>
          </cell>
        </row>
        <row r="5994">
          <cell r="A5994" t="str">
            <v>COPERTINO</v>
          </cell>
          <cell r="B5994" t="str">
            <v>075022</v>
          </cell>
          <cell r="C5994" t="str">
            <v>LE</v>
          </cell>
          <cell r="D5994" t="str">
            <v>LE</v>
          </cell>
          <cell r="E5994" t="str">
            <v>73043</v>
          </cell>
        </row>
        <row r="5995">
          <cell r="A5995" t="str">
            <v>CORIGLIANO D'OTRANTO</v>
          </cell>
          <cell r="B5995" t="str">
            <v>075023</v>
          </cell>
          <cell r="C5995" t="str">
            <v>LE</v>
          </cell>
          <cell r="D5995" t="str">
            <v>LE</v>
          </cell>
          <cell r="E5995" t="str">
            <v>73022</v>
          </cell>
        </row>
        <row r="5996">
          <cell r="A5996" t="str">
            <v>CORSANO</v>
          </cell>
          <cell r="B5996" t="str">
            <v>075024</v>
          </cell>
          <cell r="C5996" t="str">
            <v>LE</v>
          </cell>
          <cell r="D5996" t="str">
            <v>LE</v>
          </cell>
          <cell r="E5996" t="str">
            <v>73033</v>
          </cell>
        </row>
        <row r="5997">
          <cell r="A5997" t="str">
            <v>CURSI</v>
          </cell>
          <cell r="B5997" t="str">
            <v>075025</v>
          </cell>
          <cell r="C5997" t="str">
            <v>LE</v>
          </cell>
          <cell r="D5997" t="str">
            <v>LE</v>
          </cell>
          <cell r="E5997" t="str">
            <v>73020</v>
          </cell>
        </row>
        <row r="5998">
          <cell r="A5998" t="str">
            <v>CUTROFIANO</v>
          </cell>
          <cell r="B5998" t="str">
            <v>075026</v>
          </cell>
          <cell r="C5998" t="str">
            <v>LE</v>
          </cell>
          <cell r="D5998" t="str">
            <v>LE</v>
          </cell>
          <cell r="E5998" t="str">
            <v>73020</v>
          </cell>
        </row>
        <row r="5999">
          <cell r="A5999" t="str">
            <v>DISO</v>
          </cell>
          <cell r="B5999" t="str">
            <v>075027</v>
          </cell>
          <cell r="C5999" t="str">
            <v>LE</v>
          </cell>
          <cell r="D5999" t="str">
            <v>LE</v>
          </cell>
          <cell r="E5999" t="str">
            <v>73030</v>
          </cell>
        </row>
        <row r="6000">
          <cell r="A6000" t="str">
            <v>GAGLIANO DEL CAPO</v>
          </cell>
          <cell r="B6000" t="str">
            <v>075028</v>
          </cell>
          <cell r="C6000" t="str">
            <v>LE</v>
          </cell>
          <cell r="D6000" t="str">
            <v>LE</v>
          </cell>
          <cell r="E6000" t="str">
            <v>73034</v>
          </cell>
        </row>
        <row r="6001">
          <cell r="A6001" t="str">
            <v>GALATINA</v>
          </cell>
          <cell r="B6001" t="str">
            <v>075029</v>
          </cell>
          <cell r="C6001" t="str">
            <v>LE</v>
          </cell>
          <cell r="D6001" t="str">
            <v>LE</v>
          </cell>
          <cell r="E6001" t="str">
            <v>73013</v>
          </cell>
        </row>
        <row r="6002">
          <cell r="A6002" t="str">
            <v>GALATONE</v>
          </cell>
          <cell r="B6002" t="str">
            <v>075030</v>
          </cell>
          <cell r="C6002" t="str">
            <v>LE</v>
          </cell>
          <cell r="D6002" t="str">
            <v>LE</v>
          </cell>
          <cell r="E6002" t="str">
            <v>73044</v>
          </cell>
        </row>
        <row r="6003">
          <cell r="A6003" t="str">
            <v>GALLIPOLI</v>
          </cell>
          <cell r="B6003" t="str">
            <v>075031</v>
          </cell>
          <cell r="C6003" t="str">
            <v>LE</v>
          </cell>
          <cell r="D6003" t="str">
            <v>LE</v>
          </cell>
          <cell r="E6003" t="str">
            <v>73014</v>
          </cell>
        </row>
        <row r="6004">
          <cell r="A6004" t="str">
            <v>GIUGGIANELLO</v>
          </cell>
          <cell r="B6004" t="str">
            <v>075032</v>
          </cell>
          <cell r="C6004" t="str">
            <v>LE</v>
          </cell>
          <cell r="D6004" t="str">
            <v>LE</v>
          </cell>
          <cell r="E6004" t="str">
            <v>73030</v>
          </cell>
        </row>
        <row r="6005">
          <cell r="A6005" t="str">
            <v>GIURDIGNANO</v>
          </cell>
          <cell r="B6005" t="str">
            <v>075033</v>
          </cell>
          <cell r="C6005" t="str">
            <v>LE</v>
          </cell>
          <cell r="D6005" t="str">
            <v>LE</v>
          </cell>
          <cell r="E6005" t="str">
            <v>73020</v>
          </cell>
        </row>
        <row r="6006">
          <cell r="A6006" t="str">
            <v>GUAGNANO</v>
          </cell>
          <cell r="B6006" t="str">
            <v>075034</v>
          </cell>
          <cell r="C6006" t="str">
            <v>LE</v>
          </cell>
          <cell r="D6006" t="str">
            <v>LE</v>
          </cell>
          <cell r="E6006" t="str">
            <v>73010</v>
          </cell>
        </row>
        <row r="6007">
          <cell r="A6007" t="str">
            <v>LECCE</v>
          </cell>
          <cell r="B6007" t="str">
            <v>075035</v>
          </cell>
          <cell r="C6007" t="str">
            <v>LE</v>
          </cell>
          <cell r="D6007" t="str">
            <v>LE</v>
          </cell>
          <cell r="E6007" t="str">
            <v>73100</v>
          </cell>
        </row>
        <row r="6008">
          <cell r="A6008" t="str">
            <v>LEQUILE</v>
          </cell>
          <cell r="B6008" t="str">
            <v>075036</v>
          </cell>
          <cell r="C6008" t="str">
            <v>LE</v>
          </cell>
          <cell r="D6008" t="str">
            <v>LE</v>
          </cell>
          <cell r="E6008" t="str">
            <v>73010</v>
          </cell>
        </row>
        <row r="6009">
          <cell r="A6009" t="str">
            <v>LEVERANO</v>
          </cell>
          <cell r="B6009" t="str">
            <v>075037</v>
          </cell>
          <cell r="C6009" t="str">
            <v>LE</v>
          </cell>
          <cell r="D6009" t="str">
            <v>LE</v>
          </cell>
          <cell r="E6009" t="str">
            <v>73045</v>
          </cell>
        </row>
        <row r="6010">
          <cell r="A6010" t="str">
            <v>LIZZANELLO</v>
          </cell>
          <cell r="B6010" t="str">
            <v>075038</v>
          </cell>
          <cell r="C6010" t="str">
            <v>LE</v>
          </cell>
          <cell r="D6010" t="str">
            <v>LE</v>
          </cell>
          <cell r="E6010" t="str">
            <v>73023</v>
          </cell>
        </row>
        <row r="6011">
          <cell r="A6011" t="str">
            <v>MAGLIE</v>
          </cell>
          <cell r="B6011" t="str">
            <v>075039</v>
          </cell>
          <cell r="C6011" t="str">
            <v>LE</v>
          </cell>
          <cell r="D6011" t="str">
            <v>LE</v>
          </cell>
          <cell r="E6011" t="str">
            <v>73024</v>
          </cell>
        </row>
        <row r="6012">
          <cell r="A6012" t="str">
            <v>MARTANO</v>
          </cell>
          <cell r="B6012" t="str">
            <v>075040</v>
          </cell>
          <cell r="C6012" t="str">
            <v>LE</v>
          </cell>
          <cell r="D6012" t="str">
            <v>LE</v>
          </cell>
          <cell r="E6012" t="str">
            <v>73025</v>
          </cell>
        </row>
        <row r="6013">
          <cell r="A6013" t="str">
            <v>MARTIGNANO</v>
          </cell>
          <cell r="B6013" t="str">
            <v>075041</v>
          </cell>
          <cell r="C6013" t="str">
            <v>LE</v>
          </cell>
          <cell r="D6013" t="str">
            <v>LE</v>
          </cell>
          <cell r="E6013" t="str">
            <v>73020</v>
          </cell>
        </row>
        <row r="6014">
          <cell r="A6014" t="str">
            <v>MATINO</v>
          </cell>
          <cell r="B6014" t="str">
            <v>075042</v>
          </cell>
          <cell r="C6014" t="str">
            <v>LE</v>
          </cell>
          <cell r="D6014" t="str">
            <v>LE</v>
          </cell>
          <cell r="E6014" t="str">
            <v>73046</v>
          </cell>
        </row>
        <row r="6015">
          <cell r="A6015" t="str">
            <v>MELENDUGNO</v>
          </cell>
          <cell r="B6015" t="str">
            <v>075043</v>
          </cell>
          <cell r="C6015" t="str">
            <v>LE</v>
          </cell>
          <cell r="D6015" t="str">
            <v>LE</v>
          </cell>
          <cell r="E6015" t="str">
            <v>73026</v>
          </cell>
        </row>
        <row r="6016">
          <cell r="A6016" t="str">
            <v>MELISSANO</v>
          </cell>
          <cell r="B6016" t="str">
            <v>075044</v>
          </cell>
          <cell r="C6016" t="str">
            <v>LE</v>
          </cell>
          <cell r="D6016" t="str">
            <v>LE</v>
          </cell>
          <cell r="E6016" t="str">
            <v>73040</v>
          </cell>
        </row>
        <row r="6017">
          <cell r="A6017" t="str">
            <v>MELPIGNANO</v>
          </cell>
          <cell r="B6017" t="str">
            <v>075045</v>
          </cell>
          <cell r="C6017" t="str">
            <v>LE</v>
          </cell>
          <cell r="D6017" t="str">
            <v>LE</v>
          </cell>
          <cell r="E6017" t="str">
            <v>73020</v>
          </cell>
        </row>
        <row r="6018">
          <cell r="A6018" t="str">
            <v>MIGGIANO</v>
          </cell>
          <cell r="B6018" t="str">
            <v>075046</v>
          </cell>
          <cell r="C6018" t="str">
            <v>LE</v>
          </cell>
          <cell r="D6018" t="str">
            <v>LE</v>
          </cell>
          <cell r="E6018" t="str">
            <v>73035</v>
          </cell>
        </row>
        <row r="6019">
          <cell r="A6019" t="str">
            <v>MINERVINO DI LECCE</v>
          </cell>
          <cell r="B6019" t="str">
            <v>075047</v>
          </cell>
          <cell r="C6019" t="str">
            <v>LE</v>
          </cell>
          <cell r="D6019" t="str">
            <v>LE</v>
          </cell>
          <cell r="E6019" t="str">
            <v>73027</v>
          </cell>
        </row>
        <row r="6020">
          <cell r="A6020" t="str">
            <v>MONTERONI DI LECCE</v>
          </cell>
          <cell r="B6020" t="str">
            <v>075048</v>
          </cell>
          <cell r="C6020" t="str">
            <v>LE</v>
          </cell>
          <cell r="D6020" t="str">
            <v>LE</v>
          </cell>
          <cell r="E6020" t="str">
            <v>73047</v>
          </cell>
        </row>
        <row r="6021">
          <cell r="A6021" t="str">
            <v>MONTESANO SALENTINO</v>
          </cell>
          <cell r="B6021" t="str">
            <v>075049</v>
          </cell>
          <cell r="C6021" t="str">
            <v>LE</v>
          </cell>
          <cell r="D6021" t="str">
            <v>LE</v>
          </cell>
          <cell r="E6021" t="str">
            <v>73030</v>
          </cell>
        </row>
        <row r="6022">
          <cell r="A6022" t="str">
            <v>MORCIANO DI LEUCA</v>
          </cell>
          <cell r="B6022" t="str">
            <v>075050</v>
          </cell>
          <cell r="C6022" t="str">
            <v>LE</v>
          </cell>
          <cell r="D6022" t="str">
            <v>LE</v>
          </cell>
          <cell r="E6022" t="str">
            <v>73040</v>
          </cell>
        </row>
        <row r="6023">
          <cell r="A6023" t="str">
            <v>MURO LECCESE</v>
          </cell>
          <cell r="B6023" t="str">
            <v>075051</v>
          </cell>
          <cell r="C6023" t="str">
            <v>LE</v>
          </cell>
          <cell r="D6023" t="str">
            <v>LE</v>
          </cell>
          <cell r="E6023" t="str">
            <v>73036</v>
          </cell>
        </row>
        <row r="6024">
          <cell r="A6024" t="str">
            <v>NARDÒ</v>
          </cell>
          <cell r="B6024" t="str">
            <v>075052</v>
          </cell>
          <cell r="C6024" t="str">
            <v>LE</v>
          </cell>
          <cell r="D6024" t="str">
            <v>LE</v>
          </cell>
          <cell r="E6024" t="str">
            <v>73048</v>
          </cell>
        </row>
        <row r="6025">
          <cell r="A6025" t="str">
            <v>NEVIANO</v>
          </cell>
          <cell r="B6025" t="str">
            <v>075053</v>
          </cell>
          <cell r="C6025" t="str">
            <v>LE</v>
          </cell>
          <cell r="D6025" t="str">
            <v>LE</v>
          </cell>
          <cell r="E6025" t="str">
            <v>73040</v>
          </cell>
        </row>
        <row r="6026">
          <cell r="A6026" t="str">
            <v>NOCIGLIA</v>
          </cell>
          <cell r="B6026" t="str">
            <v>075054</v>
          </cell>
          <cell r="C6026" t="str">
            <v>LE</v>
          </cell>
          <cell r="D6026" t="str">
            <v>LE</v>
          </cell>
          <cell r="E6026" t="str">
            <v>73020</v>
          </cell>
        </row>
        <row r="6027">
          <cell r="A6027" t="str">
            <v>NOVOLI</v>
          </cell>
          <cell r="B6027" t="str">
            <v>075055</v>
          </cell>
          <cell r="C6027" t="str">
            <v>LE</v>
          </cell>
          <cell r="D6027" t="str">
            <v>LE</v>
          </cell>
          <cell r="E6027" t="str">
            <v>73051</v>
          </cell>
        </row>
        <row r="6028">
          <cell r="A6028" t="str">
            <v>ORTELLE</v>
          </cell>
          <cell r="B6028" t="str">
            <v>075056</v>
          </cell>
          <cell r="C6028" t="str">
            <v>LE</v>
          </cell>
          <cell r="D6028" t="str">
            <v>LE</v>
          </cell>
          <cell r="E6028" t="str">
            <v>73030</v>
          </cell>
        </row>
        <row r="6029">
          <cell r="A6029" t="str">
            <v>OTRANTO</v>
          </cell>
          <cell r="B6029" t="str">
            <v>075057</v>
          </cell>
          <cell r="C6029" t="str">
            <v>LE</v>
          </cell>
          <cell r="D6029" t="str">
            <v>LE</v>
          </cell>
          <cell r="E6029" t="str">
            <v>73028</v>
          </cell>
        </row>
        <row r="6030">
          <cell r="A6030" t="str">
            <v>PALMARIGGI</v>
          </cell>
          <cell r="B6030" t="str">
            <v>075058</v>
          </cell>
          <cell r="C6030" t="str">
            <v>LE</v>
          </cell>
          <cell r="D6030" t="str">
            <v>LE</v>
          </cell>
          <cell r="E6030" t="str">
            <v>73020</v>
          </cell>
        </row>
        <row r="6031">
          <cell r="A6031" t="str">
            <v>PARABITA</v>
          </cell>
          <cell r="B6031" t="str">
            <v>075059</v>
          </cell>
          <cell r="C6031" t="str">
            <v>LE</v>
          </cell>
          <cell r="D6031" t="str">
            <v>LE</v>
          </cell>
          <cell r="E6031" t="str">
            <v>73052</v>
          </cell>
        </row>
        <row r="6032">
          <cell r="A6032" t="str">
            <v>PATÙ</v>
          </cell>
          <cell r="B6032" t="str">
            <v>075060</v>
          </cell>
          <cell r="C6032" t="str">
            <v>LE</v>
          </cell>
          <cell r="D6032" t="str">
            <v>LE</v>
          </cell>
          <cell r="E6032" t="str">
            <v>73053</v>
          </cell>
        </row>
        <row r="6033">
          <cell r="A6033" t="str">
            <v>POGGIARDO</v>
          </cell>
          <cell r="B6033" t="str">
            <v>075061</v>
          </cell>
          <cell r="C6033" t="str">
            <v>LE</v>
          </cell>
          <cell r="D6033" t="str">
            <v>LE</v>
          </cell>
          <cell r="E6033" t="str">
            <v>73037</v>
          </cell>
        </row>
        <row r="6034">
          <cell r="A6034" t="str">
            <v>RACALE</v>
          </cell>
          <cell r="B6034" t="str">
            <v>075063</v>
          </cell>
          <cell r="C6034" t="str">
            <v>LE</v>
          </cell>
          <cell r="D6034" t="str">
            <v>LE</v>
          </cell>
          <cell r="E6034" t="str">
            <v>73055</v>
          </cell>
        </row>
        <row r="6035">
          <cell r="A6035" t="str">
            <v>RUFFANO</v>
          </cell>
          <cell r="B6035" t="str">
            <v>075064</v>
          </cell>
          <cell r="C6035" t="str">
            <v>LE</v>
          </cell>
          <cell r="D6035" t="str">
            <v>LE</v>
          </cell>
          <cell r="E6035" t="str">
            <v>73049</v>
          </cell>
        </row>
        <row r="6036">
          <cell r="A6036" t="str">
            <v>SALICE SALENTINO</v>
          </cell>
          <cell r="B6036" t="str">
            <v>075065</v>
          </cell>
          <cell r="C6036" t="str">
            <v>LE</v>
          </cell>
          <cell r="D6036" t="str">
            <v>LE</v>
          </cell>
          <cell r="E6036" t="str">
            <v>73015</v>
          </cell>
        </row>
        <row r="6037">
          <cell r="A6037" t="str">
            <v>SALVE</v>
          </cell>
          <cell r="B6037" t="str">
            <v>075066</v>
          </cell>
          <cell r="C6037" t="str">
            <v>LE</v>
          </cell>
          <cell r="D6037" t="str">
            <v>LE</v>
          </cell>
          <cell r="E6037" t="str">
            <v>73050</v>
          </cell>
        </row>
        <row r="6038">
          <cell r="A6038" t="str">
            <v>SANARICA</v>
          </cell>
          <cell r="B6038" t="str">
            <v>075067</v>
          </cell>
          <cell r="C6038" t="str">
            <v>LE</v>
          </cell>
          <cell r="D6038" t="str">
            <v>LE</v>
          </cell>
          <cell r="E6038" t="str">
            <v>73030</v>
          </cell>
        </row>
        <row r="6039">
          <cell r="A6039" t="str">
            <v>SAN CESARIO DI LECCE</v>
          </cell>
          <cell r="B6039" t="str">
            <v>075068</v>
          </cell>
          <cell r="C6039" t="str">
            <v>LE</v>
          </cell>
          <cell r="D6039" t="str">
            <v>LE</v>
          </cell>
          <cell r="E6039" t="str">
            <v>73016</v>
          </cell>
        </row>
        <row r="6040">
          <cell r="A6040" t="str">
            <v>SAN DONATO DI LECCE</v>
          </cell>
          <cell r="B6040" t="str">
            <v>075069</v>
          </cell>
          <cell r="C6040" t="str">
            <v>LE</v>
          </cell>
          <cell r="D6040" t="str">
            <v>LE</v>
          </cell>
          <cell r="E6040" t="str">
            <v>73010</v>
          </cell>
        </row>
        <row r="6041">
          <cell r="A6041" t="str">
            <v>SANNICOLA</v>
          </cell>
          <cell r="B6041" t="str">
            <v>075070</v>
          </cell>
          <cell r="C6041" t="str">
            <v>LE</v>
          </cell>
          <cell r="D6041" t="str">
            <v>LE</v>
          </cell>
          <cell r="E6041" t="str">
            <v>73017</v>
          </cell>
        </row>
        <row r="6042">
          <cell r="A6042" t="str">
            <v>SAN PIETRO IN LAMA</v>
          </cell>
          <cell r="B6042" t="str">
            <v>075071</v>
          </cell>
          <cell r="C6042" t="str">
            <v>LE</v>
          </cell>
          <cell r="D6042" t="str">
            <v>LE</v>
          </cell>
          <cell r="E6042" t="str">
            <v>73010</v>
          </cell>
        </row>
        <row r="6043">
          <cell r="A6043" t="str">
            <v>SANTA CESAREA TERME</v>
          </cell>
          <cell r="B6043" t="str">
            <v>075072</v>
          </cell>
          <cell r="C6043" t="str">
            <v>LE</v>
          </cell>
          <cell r="D6043" t="str">
            <v>LE</v>
          </cell>
          <cell r="E6043" t="str">
            <v>73020</v>
          </cell>
        </row>
        <row r="6044">
          <cell r="A6044" t="str">
            <v>SCORRANO</v>
          </cell>
          <cell r="B6044" t="str">
            <v>075073</v>
          </cell>
          <cell r="C6044" t="str">
            <v>LE</v>
          </cell>
          <cell r="D6044" t="str">
            <v>LE</v>
          </cell>
          <cell r="E6044" t="str">
            <v>73020</v>
          </cell>
        </row>
        <row r="6045">
          <cell r="A6045" t="str">
            <v>SECLÌ</v>
          </cell>
          <cell r="B6045" t="str">
            <v>075074</v>
          </cell>
          <cell r="C6045" t="str">
            <v>LE</v>
          </cell>
          <cell r="D6045" t="str">
            <v>LE</v>
          </cell>
          <cell r="E6045" t="str">
            <v>73050</v>
          </cell>
        </row>
        <row r="6046">
          <cell r="A6046" t="str">
            <v>SOGLIANO CAVOUR</v>
          </cell>
          <cell r="B6046" t="str">
            <v>075075</v>
          </cell>
          <cell r="C6046" t="str">
            <v>LE</v>
          </cell>
          <cell r="D6046" t="str">
            <v>LE</v>
          </cell>
          <cell r="E6046" t="str">
            <v>73010</v>
          </cell>
        </row>
        <row r="6047">
          <cell r="A6047" t="str">
            <v>SOLETO</v>
          </cell>
          <cell r="B6047" t="str">
            <v>075076</v>
          </cell>
          <cell r="C6047" t="str">
            <v>LE</v>
          </cell>
          <cell r="D6047" t="str">
            <v>LE</v>
          </cell>
          <cell r="E6047" t="str">
            <v>73010</v>
          </cell>
        </row>
        <row r="6048">
          <cell r="A6048" t="str">
            <v>SPECCHIA</v>
          </cell>
          <cell r="B6048" t="str">
            <v>075077</v>
          </cell>
          <cell r="C6048" t="str">
            <v>LE</v>
          </cell>
          <cell r="D6048" t="str">
            <v>LE</v>
          </cell>
          <cell r="E6048" t="str">
            <v>73040</v>
          </cell>
        </row>
        <row r="6049">
          <cell r="A6049" t="str">
            <v>SPONGANO</v>
          </cell>
          <cell r="B6049" t="str">
            <v>075078</v>
          </cell>
          <cell r="C6049" t="str">
            <v>LE</v>
          </cell>
          <cell r="D6049" t="str">
            <v>LE</v>
          </cell>
          <cell r="E6049" t="str">
            <v>73038</v>
          </cell>
        </row>
        <row r="6050">
          <cell r="A6050" t="str">
            <v>SQUINZANO</v>
          </cell>
          <cell r="B6050" t="str">
            <v>075079</v>
          </cell>
          <cell r="C6050" t="str">
            <v>LE</v>
          </cell>
          <cell r="D6050" t="str">
            <v>LE</v>
          </cell>
          <cell r="E6050" t="str">
            <v>73018</v>
          </cell>
        </row>
        <row r="6051">
          <cell r="A6051" t="str">
            <v>STERNATIA</v>
          </cell>
          <cell r="B6051" t="str">
            <v>075080</v>
          </cell>
          <cell r="C6051" t="str">
            <v>LE</v>
          </cell>
          <cell r="D6051" t="str">
            <v>LE</v>
          </cell>
          <cell r="E6051" t="str">
            <v>73010</v>
          </cell>
        </row>
        <row r="6052">
          <cell r="A6052" t="str">
            <v>SUPERSANO</v>
          </cell>
          <cell r="B6052" t="str">
            <v>075081</v>
          </cell>
          <cell r="C6052" t="str">
            <v>LE</v>
          </cell>
          <cell r="D6052" t="str">
            <v>LE</v>
          </cell>
          <cell r="E6052" t="str">
            <v>73040</v>
          </cell>
        </row>
        <row r="6053">
          <cell r="A6053" t="str">
            <v>SURANO</v>
          </cell>
          <cell r="B6053" t="str">
            <v>075082</v>
          </cell>
          <cell r="C6053" t="str">
            <v>LE</v>
          </cell>
          <cell r="D6053" t="str">
            <v>LE</v>
          </cell>
          <cell r="E6053" t="str">
            <v>73030</v>
          </cell>
        </row>
        <row r="6054">
          <cell r="A6054" t="str">
            <v>SURBO</v>
          </cell>
          <cell r="B6054" t="str">
            <v>075083</v>
          </cell>
          <cell r="C6054" t="str">
            <v>LE</v>
          </cell>
          <cell r="D6054" t="str">
            <v>LE</v>
          </cell>
          <cell r="E6054" t="str">
            <v>73010</v>
          </cell>
        </row>
        <row r="6055">
          <cell r="A6055" t="str">
            <v>TAURISANO</v>
          </cell>
          <cell r="B6055" t="str">
            <v>075084</v>
          </cell>
          <cell r="C6055" t="str">
            <v>LE</v>
          </cell>
          <cell r="D6055" t="str">
            <v>LE</v>
          </cell>
          <cell r="E6055" t="str">
            <v>73056</v>
          </cell>
        </row>
        <row r="6056">
          <cell r="A6056" t="str">
            <v>TAVIANO</v>
          </cell>
          <cell r="B6056" t="str">
            <v>075085</v>
          </cell>
          <cell r="C6056" t="str">
            <v>LE</v>
          </cell>
          <cell r="D6056" t="str">
            <v>LE</v>
          </cell>
          <cell r="E6056" t="str">
            <v>73057</v>
          </cell>
        </row>
        <row r="6057">
          <cell r="A6057" t="str">
            <v>TIGGIANO</v>
          </cell>
          <cell r="B6057" t="str">
            <v>075086</v>
          </cell>
          <cell r="C6057" t="str">
            <v>LE</v>
          </cell>
          <cell r="D6057" t="str">
            <v>LE</v>
          </cell>
          <cell r="E6057" t="str">
            <v>73030</v>
          </cell>
        </row>
        <row r="6058">
          <cell r="A6058" t="str">
            <v>TREPUZZI</v>
          </cell>
          <cell r="B6058" t="str">
            <v>075087</v>
          </cell>
          <cell r="C6058" t="str">
            <v>LE</v>
          </cell>
          <cell r="D6058" t="str">
            <v>LE</v>
          </cell>
          <cell r="E6058" t="str">
            <v>73019</v>
          </cell>
        </row>
        <row r="6059">
          <cell r="A6059" t="str">
            <v>TRICASE</v>
          </cell>
          <cell r="B6059" t="str">
            <v>075088</v>
          </cell>
          <cell r="C6059" t="str">
            <v>LE</v>
          </cell>
          <cell r="D6059" t="str">
            <v>LE</v>
          </cell>
          <cell r="E6059" t="str">
            <v>73039</v>
          </cell>
        </row>
        <row r="6060">
          <cell r="A6060" t="str">
            <v>TUGLIE</v>
          </cell>
          <cell r="B6060" t="str">
            <v>075089</v>
          </cell>
          <cell r="C6060" t="str">
            <v>LE</v>
          </cell>
          <cell r="D6060" t="str">
            <v>LE</v>
          </cell>
          <cell r="E6060" t="str">
            <v>73058</v>
          </cell>
        </row>
        <row r="6061">
          <cell r="A6061" t="str">
            <v>UGENTO</v>
          </cell>
          <cell r="B6061" t="str">
            <v>075090</v>
          </cell>
          <cell r="C6061" t="str">
            <v>LE</v>
          </cell>
          <cell r="D6061" t="str">
            <v>LE</v>
          </cell>
          <cell r="E6061" t="str">
            <v>73059</v>
          </cell>
        </row>
        <row r="6062">
          <cell r="A6062" t="str">
            <v>UGGIANO LA CHIESA</v>
          </cell>
          <cell r="B6062" t="str">
            <v>075091</v>
          </cell>
          <cell r="C6062" t="str">
            <v>LE</v>
          </cell>
          <cell r="D6062" t="str">
            <v>LE</v>
          </cell>
          <cell r="E6062" t="str">
            <v>73020</v>
          </cell>
        </row>
        <row r="6063">
          <cell r="A6063" t="str">
            <v>VEGLIE</v>
          </cell>
          <cell r="B6063" t="str">
            <v>075092</v>
          </cell>
          <cell r="C6063" t="str">
            <v>LE</v>
          </cell>
          <cell r="D6063" t="str">
            <v>LE</v>
          </cell>
          <cell r="E6063" t="str">
            <v>73010</v>
          </cell>
        </row>
        <row r="6064">
          <cell r="A6064" t="str">
            <v>VERNOLE</v>
          </cell>
          <cell r="B6064" t="str">
            <v>075093</v>
          </cell>
          <cell r="C6064" t="str">
            <v>LE</v>
          </cell>
          <cell r="D6064" t="str">
            <v>LE</v>
          </cell>
          <cell r="E6064" t="str">
            <v>73029</v>
          </cell>
        </row>
        <row r="6065">
          <cell r="A6065" t="str">
            <v>ZOLLINO</v>
          </cell>
          <cell r="B6065" t="str">
            <v>075094</v>
          </cell>
          <cell r="C6065" t="str">
            <v>LE</v>
          </cell>
          <cell r="D6065" t="str">
            <v>LE</v>
          </cell>
          <cell r="E6065" t="str">
            <v>73010</v>
          </cell>
        </row>
        <row r="6066">
          <cell r="A6066" t="str">
            <v>SAN CASSIANO</v>
          </cell>
          <cell r="B6066" t="str">
            <v>075095</v>
          </cell>
          <cell r="C6066" t="str">
            <v>LE</v>
          </cell>
          <cell r="D6066" t="str">
            <v>LE</v>
          </cell>
          <cell r="E6066" t="str">
            <v>73020</v>
          </cell>
        </row>
        <row r="6067">
          <cell r="A6067" t="str">
            <v>CASTRO</v>
          </cell>
          <cell r="B6067" t="str">
            <v>075096</v>
          </cell>
          <cell r="C6067" t="str">
            <v>LE</v>
          </cell>
          <cell r="D6067" t="str">
            <v>BG</v>
          </cell>
          <cell r="E6067" t="str">
            <v>24063</v>
          </cell>
        </row>
        <row r="6068">
          <cell r="A6068" t="str">
            <v>PORTO CESAREO</v>
          </cell>
          <cell r="B6068" t="str">
            <v>075097</v>
          </cell>
          <cell r="C6068" t="str">
            <v>LE</v>
          </cell>
          <cell r="D6068" t="str">
            <v>LE</v>
          </cell>
          <cell r="E6068" t="str">
            <v>73010</v>
          </cell>
        </row>
        <row r="6069">
          <cell r="A6069" t="str">
            <v>PRESICCE-ACQUARICA</v>
          </cell>
          <cell r="B6069" t="str">
            <v>075098</v>
          </cell>
          <cell r="C6069" t="str">
            <v>LE</v>
          </cell>
          <cell r="D6069" t="e">
            <v>#N/A</v>
          </cell>
          <cell r="E6069" t="e">
            <v>#N/A</v>
          </cell>
        </row>
        <row r="6070">
          <cell r="A6070" t="str">
            <v>ABRIOLA</v>
          </cell>
          <cell r="B6070" t="str">
            <v>076001</v>
          </cell>
          <cell r="C6070" t="str">
            <v>PZ</v>
          </cell>
          <cell r="D6070" t="str">
            <v>PZ</v>
          </cell>
          <cell r="E6070" t="str">
            <v>85010</v>
          </cell>
        </row>
        <row r="6071">
          <cell r="A6071" t="str">
            <v>ACERENZA</v>
          </cell>
          <cell r="B6071" t="str">
            <v>076002</v>
          </cell>
          <cell r="C6071" t="str">
            <v>PZ</v>
          </cell>
          <cell r="D6071" t="str">
            <v>PZ</v>
          </cell>
          <cell r="E6071" t="str">
            <v>85011</v>
          </cell>
        </row>
        <row r="6072">
          <cell r="A6072" t="str">
            <v>ALBANO DI LUCANIA</v>
          </cell>
          <cell r="B6072" t="str">
            <v>076003</v>
          </cell>
          <cell r="C6072" t="str">
            <v>PZ</v>
          </cell>
          <cell r="D6072" t="str">
            <v>PZ</v>
          </cell>
          <cell r="E6072" t="str">
            <v>85010</v>
          </cell>
        </row>
        <row r="6073">
          <cell r="A6073" t="str">
            <v>ANZI</v>
          </cell>
          <cell r="B6073" t="str">
            <v>076004</v>
          </cell>
          <cell r="C6073" t="str">
            <v>PZ</v>
          </cell>
          <cell r="D6073" t="str">
            <v>PZ</v>
          </cell>
          <cell r="E6073" t="str">
            <v>85010</v>
          </cell>
        </row>
        <row r="6074">
          <cell r="A6074" t="str">
            <v>ARMENTO</v>
          </cell>
          <cell r="B6074" t="str">
            <v>076005</v>
          </cell>
          <cell r="C6074" t="str">
            <v>PZ</v>
          </cell>
          <cell r="D6074" t="str">
            <v>PZ</v>
          </cell>
          <cell r="E6074" t="str">
            <v>85010</v>
          </cell>
        </row>
        <row r="6075">
          <cell r="A6075" t="str">
            <v>ATELLA</v>
          </cell>
          <cell r="B6075" t="str">
            <v>076006</v>
          </cell>
          <cell r="C6075" t="str">
            <v>PZ</v>
          </cell>
          <cell r="D6075" t="str">
            <v>PZ</v>
          </cell>
          <cell r="E6075" t="str">
            <v>85020</v>
          </cell>
        </row>
        <row r="6076">
          <cell r="A6076" t="str">
            <v>AVIGLIANO</v>
          </cell>
          <cell r="B6076" t="str">
            <v>076007</v>
          </cell>
          <cell r="C6076" t="str">
            <v>PZ</v>
          </cell>
          <cell r="D6076" t="str">
            <v>PZ</v>
          </cell>
          <cell r="E6076" t="str">
            <v>85021</v>
          </cell>
        </row>
        <row r="6077">
          <cell r="A6077" t="str">
            <v>BALVANO</v>
          </cell>
          <cell r="B6077" t="str">
            <v>076008</v>
          </cell>
          <cell r="C6077" t="str">
            <v>PZ</v>
          </cell>
          <cell r="D6077" t="str">
            <v>PZ</v>
          </cell>
          <cell r="E6077" t="str">
            <v>85050</v>
          </cell>
        </row>
        <row r="6078">
          <cell r="A6078" t="str">
            <v>BANZI</v>
          </cell>
          <cell r="B6078" t="str">
            <v>076009</v>
          </cell>
          <cell r="C6078" t="str">
            <v>PZ</v>
          </cell>
          <cell r="D6078" t="str">
            <v>PZ</v>
          </cell>
          <cell r="E6078" t="str">
            <v>85010</v>
          </cell>
        </row>
        <row r="6079">
          <cell r="A6079" t="str">
            <v>BARAGIANO</v>
          </cell>
          <cell r="B6079" t="str">
            <v>076010</v>
          </cell>
          <cell r="C6079" t="str">
            <v>PZ</v>
          </cell>
          <cell r="D6079" t="str">
            <v>PZ</v>
          </cell>
          <cell r="E6079" t="str">
            <v>85050</v>
          </cell>
        </row>
        <row r="6080">
          <cell r="A6080" t="str">
            <v>BARILE</v>
          </cell>
          <cell r="B6080" t="str">
            <v>076011</v>
          </cell>
          <cell r="C6080" t="str">
            <v>PZ</v>
          </cell>
          <cell r="D6080" t="str">
            <v>PZ</v>
          </cell>
          <cell r="E6080" t="str">
            <v>85022</v>
          </cell>
        </row>
        <row r="6081">
          <cell r="A6081" t="str">
            <v>BELLA</v>
          </cell>
          <cell r="B6081" t="str">
            <v>076012</v>
          </cell>
          <cell r="C6081" t="str">
            <v>PZ</v>
          </cell>
          <cell r="D6081" t="str">
            <v>PZ</v>
          </cell>
          <cell r="E6081" t="str">
            <v>85051</v>
          </cell>
        </row>
        <row r="6082">
          <cell r="A6082" t="str">
            <v>BRIENZA</v>
          </cell>
          <cell r="B6082" t="str">
            <v>076013</v>
          </cell>
          <cell r="C6082" t="str">
            <v>PZ</v>
          </cell>
          <cell r="D6082" t="str">
            <v>PZ</v>
          </cell>
          <cell r="E6082" t="str">
            <v>85050</v>
          </cell>
        </row>
        <row r="6083">
          <cell r="A6083" t="str">
            <v>BRINDISI MONTAGNA</v>
          </cell>
          <cell r="B6083" t="str">
            <v>076014</v>
          </cell>
          <cell r="C6083" t="str">
            <v>PZ</v>
          </cell>
          <cell r="D6083" t="str">
            <v>PZ</v>
          </cell>
          <cell r="E6083" t="str">
            <v>85010</v>
          </cell>
        </row>
        <row r="6084">
          <cell r="A6084" t="str">
            <v>CALVELLO</v>
          </cell>
          <cell r="B6084" t="str">
            <v>076015</v>
          </cell>
          <cell r="C6084" t="str">
            <v>PZ</v>
          </cell>
          <cell r="D6084" t="str">
            <v>PZ</v>
          </cell>
          <cell r="E6084" t="str">
            <v>85010</v>
          </cell>
        </row>
        <row r="6085">
          <cell r="A6085" t="str">
            <v>CALVERA</v>
          </cell>
          <cell r="B6085" t="str">
            <v>076016</v>
          </cell>
          <cell r="C6085" t="str">
            <v>PZ</v>
          </cell>
          <cell r="D6085" t="str">
            <v>PZ</v>
          </cell>
          <cell r="E6085" t="str">
            <v>85030</v>
          </cell>
        </row>
        <row r="6086">
          <cell r="A6086" t="str">
            <v>CAMPOMAGGIORE</v>
          </cell>
          <cell r="B6086" t="str">
            <v>076017</v>
          </cell>
          <cell r="C6086" t="str">
            <v>PZ</v>
          </cell>
          <cell r="D6086" t="str">
            <v>PZ</v>
          </cell>
          <cell r="E6086" t="str">
            <v>85010</v>
          </cell>
        </row>
        <row r="6087">
          <cell r="A6087" t="str">
            <v>CANCELLARA</v>
          </cell>
          <cell r="B6087" t="str">
            <v>076018</v>
          </cell>
          <cell r="C6087" t="str">
            <v>PZ</v>
          </cell>
          <cell r="D6087" t="str">
            <v>PZ</v>
          </cell>
          <cell r="E6087" t="str">
            <v>85010</v>
          </cell>
        </row>
        <row r="6088">
          <cell r="A6088" t="str">
            <v>CARBONE</v>
          </cell>
          <cell r="B6088" t="str">
            <v>076019</v>
          </cell>
          <cell r="C6088" t="str">
            <v>PZ</v>
          </cell>
          <cell r="D6088" t="str">
            <v>PZ</v>
          </cell>
          <cell r="E6088" t="str">
            <v>85030</v>
          </cell>
        </row>
        <row r="6089">
          <cell r="A6089" t="str">
            <v>SAN PAOLO ALBANESE</v>
          </cell>
          <cell r="B6089" t="str">
            <v>076020</v>
          </cell>
          <cell r="C6089" t="str">
            <v>PZ</v>
          </cell>
          <cell r="D6089" t="str">
            <v>PZ</v>
          </cell>
          <cell r="E6089" t="str">
            <v>85030</v>
          </cell>
        </row>
        <row r="6090">
          <cell r="A6090" t="str">
            <v>CASTELGRANDE</v>
          </cell>
          <cell r="B6090" t="str">
            <v>076021</v>
          </cell>
          <cell r="C6090" t="str">
            <v>PZ</v>
          </cell>
          <cell r="D6090" t="str">
            <v>PZ</v>
          </cell>
          <cell r="E6090" t="str">
            <v>85050</v>
          </cell>
        </row>
        <row r="6091">
          <cell r="A6091" t="str">
            <v>CASTELLUCCIO INFERIORE</v>
          </cell>
          <cell r="B6091" t="str">
            <v>076022</v>
          </cell>
          <cell r="C6091" t="str">
            <v>PZ</v>
          </cell>
          <cell r="D6091" t="str">
            <v>PZ</v>
          </cell>
          <cell r="E6091" t="str">
            <v>85040</v>
          </cell>
        </row>
        <row r="6092">
          <cell r="A6092" t="str">
            <v>CASTELLUCCIO SUPERIORE</v>
          </cell>
          <cell r="B6092" t="str">
            <v>076023</v>
          </cell>
          <cell r="C6092" t="str">
            <v>PZ</v>
          </cell>
          <cell r="D6092" t="str">
            <v>PZ</v>
          </cell>
          <cell r="E6092" t="str">
            <v>85040</v>
          </cell>
        </row>
        <row r="6093">
          <cell r="A6093" t="str">
            <v>CASTELMEZZANO</v>
          </cell>
          <cell r="B6093" t="str">
            <v>076024</v>
          </cell>
          <cell r="C6093" t="str">
            <v>PZ</v>
          </cell>
          <cell r="D6093" t="str">
            <v>PZ</v>
          </cell>
          <cell r="E6093" t="str">
            <v>85010</v>
          </cell>
        </row>
        <row r="6094">
          <cell r="A6094" t="str">
            <v>CASTELSARACENO</v>
          </cell>
          <cell r="B6094" t="str">
            <v>076025</v>
          </cell>
          <cell r="C6094" t="str">
            <v>PZ</v>
          </cell>
          <cell r="D6094" t="str">
            <v>PZ</v>
          </cell>
          <cell r="E6094" t="str">
            <v>85031</v>
          </cell>
        </row>
        <row r="6095">
          <cell r="A6095" t="str">
            <v>CASTRONUOVO DI SANT'ANDREA</v>
          </cell>
          <cell r="B6095" t="str">
            <v>076026</v>
          </cell>
          <cell r="C6095" t="str">
            <v>PZ</v>
          </cell>
          <cell r="D6095" t="str">
            <v>PZ</v>
          </cell>
          <cell r="E6095" t="str">
            <v>85030</v>
          </cell>
        </row>
        <row r="6096">
          <cell r="A6096" t="str">
            <v>CERSOSIMO</v>
          </cell>
          <cell r="B6096" t="str">
            <v>076027</v>
          </cell>
          <cell r="C6096" t="str">
            <v>PZ</v>
          </cell>
          <cell r="D6096" t="str">
            <v>PZ</v>
          </cell>
          <cell r="E6096" t="str">
            <v>85030</v>
          </cell>
        </row>
        <row r="6097">
          <cell r="A6097" t="str">
            <v>CHIAROMONTE</v>
          </cell>
          <cell r="B6097" t="str">
            <v>076028</v>
          </cell>
          <cell r="C6097" t="str">
            <v>PZ</v>
          </cell>
          <cell r="D6097" t="str">
            <v>PZ</v>
          </cell>
          <cell r="E6097" t="str">
            <v>85032</v>
          </cell>
        </row>
        <row r="6098">
          <cell r="A6098" t="str">
            <v>CORLETO PERTICARA</v>
          </cell>
          <cell r="B6098" t="str">
            <v>076029</v>
          </cell>
          <cell r="C6098" t="str">
            <v>PZ</v>
          </cell>
          <cell r="D6098" t="str">
            <v>PZ</v>
          </cell>
          <cell r="E6098" t="str">
            <v>85012</v>
          </cell>
        </row>
        <row r="6099">
          <cell r="A6099" t="str">
            <v>EPISCOPIA</v>
          </cell>
          <cell r="B6099" t="str">
            <v>076030</v>
          </cell>
          <cell r="C6099" t="str">
            <v>PZ</v>
          </cell>
          <cell r="D6099" t="str">
            <v>PZ</v>
          </cell>
          <cell r="E6099" t="str">
            <v>85033</v>
          </cell>
        </row>
        <row r="6100">
          <cell r="A6100" t="str">
            <v>FARDELLA</v>
          </cell>
          <cell r="B6100" t="str">
            <v>076031</v>
          </cell>
          <cell r="C6100" t="str">
            <v>PZ</v>
          </cell>
          <cell r="D6100" t="str">
            <v>PZ</v>
          </cell>
          <cell r="E6100" t="str">
            <v>85034</v>
          </cell>
        </row>
        <row r="6101">
          <cell r="A6101" t="str">
            <v>FILIANO</v>
          </cell>
          <cell r="B6101" t="str">
            <v>076032</v>
          </cell>
          <cell r="C6101" t="str">
            <v>PZ</v>
          </cell>
          <cell r="D6101" t="str">
            <v>PZ</v>
          </cell>
          <cell r="E6101" t="str">
            <v>85020</v>
          </cell>
        </row>
        <row r="6102">
          <cell r="A6102" t="str">
            <v>FORENZA</v>
          </cell>
          <cell r="B6102" t="str">
            <v>076033</v>
          </cell>
          <cell r="C6102" t="str">
            <v>PZ</v>
          </cell>
          <cell r="D6102" t="str">
            <v>PZ</v>
          </cell>
          <cell r="E6102" t="str">
            <v>85023</v>
          </cell>
        </row>
        <row r="6103">
          <cell r="A6103" t="str">
            <v>FRANCAVILLA IN SINNI</v>
          </cell>
          <cell r="B6103" t="str">
            <v>076034</v>
          </cell>
          <cell r="C6103" t="str">
            <v>PZ</v>
          </cell>
          <cell r="D6103" t="str">
            <v>PZ</v>
          </cell>
          <cell r="E6103" t="str">
            <v>85034</v>
          </cell>
        </row>
        <row r="6104">
          <cell r="A6104" t="str">
            <v>GALLICCHIO</v>
          </cell>
          <cell r="B6104" t="str">
            <v>076035</v>
          </cell>
          <cell r="C6104" t="str">
            <v>PZ</v>
          </cell>
          <cell r="D6104" t="str">
            <v>PZ</v>
          </cell>
          <cell r="E6104" t="str">
            <v>85010</v>
          </cell>
        </row>
        <row r="6105">
          <cell r="A6105" t="str">
            <v>GENZANO DI LUCANIA</v>
          </cell>
          <cell r="B6105" t="str">
            <v>076036</v>
          </cell>
          <cell r="C6105" t="str">
            <v>PZ</v>
          </cell>
          <cell r="D6105" t="str">
            <v>PZ</v>
          </cell>
          <cell r="E6105" t="str">
            <v>85013</v>
          </cell>
        </row>
        <row r="6106">
          <cell r="A6106" t="str">
            <v>GRUMENTO NOVA</v>
          </cell>
          <cell r="B6106" t="str">
            <v>076037</v>
          </cell>
          <cell r="C6106" t="str">
            <v>PZ</v>
          </cell>
          <cell r="D6106" t="str">
            <v>PZ</v>
          </cell>
          <cell r="E6106" t="str">
            <v>85050</v>
          </cell>
        </row>
        <row r="6107">
          <cell r="A6107" t="str">
            <v>GUARDIA PERTICARA</v>
          </cell>
          <cell r="B6107" t="str">
            <v>076038</v>
          </cell>
          <cell r="C6107" t="str">
            <v>PZ</v>
          </cell>
          <cell r="D6107" t="str">
            <v>PZ</v>
          </cell>
          <cell r="E6107" t="str">
            <v>85010</v>
          </cell>
        </row>
        <row r="6108">
          <cell r="A6108" t="str">
            <v>LAGONEGRO</v>
          </cell>
          <cell r="B6108" t="str">
            <v>076039</v>
          </cell>
          <cell r="C6108" t="str">
            <v>PZ</v>
          </cell>
          <cell r="D6108" t="str">
            <v>PZ</v>
          </cell>
          <cell r="E6108" t="str">
            <v>85042</v>
          </cell>
        </row>
        <row r="6109">
          <cell r="A6109" t="str">
            <v>LATRONICO</v>
          </cell>
          <cell r="B6109" t="str">
            <v>076040</v>
          </cell>
          <cell r="C6109" t="str">
            <v>PZ</v>
          </cell>
          <cell r="D6109" t="str">
            <v>PZ</v>
          </cell>
          <cell r="E6109" t="str">
            <v>85043</v>
          </cell>
        </row>
        <row r="6110">
          <cell r="A6110" t="str">
            <v>LAURENZANA</v>
          </cell>
          <cell r="B6110" t="str">
            <v>076041</v>
          </cell>
          <cell r="C6110" t="str">
            <v>PZ</v>
          </cell>
          <cell r="D6110" t="str">
            <v>PZ</v>
          </cell>
          <cell r="E6110" t="str">
            <v>85014</v>
          </cell>
        </row>
        <row r="6111">
          <cell r="A6111" t="str">
            <v>LAURIA</v>
          </cell>
          <cell r="B6111" t="str">
            <v>076042</v>
          </cell>
          <cell r="C6111" t="str">
            <v>PZ</v>
          </cell>
          <cell r="D6111" t="str">
            <v>PZ</v>
          </cell>
          <cell r="E6111" t="str">
            <v>85044</v>
          </cell>
        </row>
        <row r="6112">
          <cell r="A6112" t="str">
            <v>LAVELLO</v>
          </cell>
          <cell r="B6112" t="str">
            <v>076043</v>
          </cell>
          <cell r="C6112" t="str">
            <v>PZ</v>
          </cell>
          <cell r="D6112" t="str">
            <v>PZ</v>
          </cell>
          <cell r="E6112" t="str">
            <v>85024</v>
          </cell>
        </row>
        <row r="6113">
          <cell r="A6113" t="str">
            <v>MARATEA</v>
          </cell>
          <cell r="B6113" t="str">
            <v>076044</v>
          </cell>
          <cell r="C6113" t="str">
            <v>PZ</v>
          </cell>
          <cell r="D6113" t="str">
            <v>PZ</v>
          </cell>
          <cell r="E6113" t="str">
            <v>85046</v>
          </cell>
        </row>
        <row r="6114">
          <cell r="A6114" t="str">
            <v>MARSICO NUOVO</v>
          </cell>
          <cell r="B6114" t="str">
            <v>076045</v>
          </cell>
          <cell r="C6114" t="str">
            <v>PZ</v>
          </cell>
          <cell r="D6114" t="str">
            <v>PZ</v>
          </cell>
          <cell r="E6114" t="str">
            <v>85052</v>
          </cell>
        </row>
        <row r="6115">
          <cell r="A6115" t="str">
            <v>MARSICOVETERE</v>
          </cell>
          <cell r="B6115" t="str">
            <v>076046</v>
          </cell>
          <cell r="C6115" t="str">
            <v>PZ</v>
          </cell>
          <cell r="D6115" t="str">
            <v>PZ</v>
          </cell>
          <cell r="E6115" t="str">
            <v>85050</v>
          </cell>
        </row>
        <row r="6116">
          <cell r="A6116" t="str">
            <v>MASCHITO</v>
          </cell>
          <cell r="B6116" t="str">
            <v>076047</v>
          </cell>
          <cell r="C6116" t="str">
            <v>PZ</v>
          </cell>
          <cell r="D6116" t="str">
            <v>PZ</v>
          </cell>
          <cell r="E6116" t="str">
            <v>85020</v>
          </cell>
        </row>
        <row r="6117">
          <cell r="A6117" t="str">
            <v>MELFI</v>
          </cell>
          <cell r="B6117" t="str">
            <v>076048</v>
          </cell>
          <cell r="C6117" t="str">
            <v>PZ</v>
          </cell>
          <cell r="D6117" t="str">
            <v>PZ</v>
          </cell>
          <cell r="E6117" t="str">
            <v>85025</v>
          </cell>
        </row>
        <row r="6118">
          <cell r="A6118" t="str">
            <v>MISSANELLO</v>
          </cell>
          <cell r="B6118" t="str">
            <v>076049</v>
          </cell>
          <cell r="C6118" t="str">
            <v>PZ</v>
          </cell>
          <cell r="D6118" t="str">
            <v>PZ</v>
          </cell>
          <cell r="E6118" t="str">
            <v>85010</v>
          </cell>
        </row>
        <row r="6119">
          <cell r="A6119" t="str">
            <v>MOLITERNO</v>
          </cell>
          <cell r="B6119" t="str">
            <v>076050</v>
          </cell>
          <cell r="C6119" t="str">
            <v>PZ</v>
          </cell>
          <cell r="D6119" t="str">
            <v>PZ</v>
          </cell>
          <cell r="E6119" t="str">
            <v>85047</v>
          </cell>
        </row>
        <row r="6120">
          <cell r="A6120" t="str">
            <v>MONTEMILONE</v>
          </cell>
          <cell r="B6120" t="str">
            <v>076051</v>
          </cell>
          <cell r="C6120" t="str">
            <v>PZ</v>
          </cell>
          <cell r="D6120" t="str">
            <v>PZ</v>
          </cell>
          <cell r="E6120" t="str">
            <v>85020</v>
          </cell>
        </row>
        <row r="6121">
          <cell r="A6121" t="str">
            <v>MONTEMURRO</v>
          </cell>
          <cell r="B6121" t="str">
            <v>076052</v>
          </cell>
          <cell r="C6121" t="str">
            <v>PZ</v>
          </cell>
          <cell r="D6121" t="str">
            <v>PZ</v>
          </cell>
          <cell r="E6121" t="str">
            <v>85053</v>
          </cell>
        </row>
        <row r="6122">
          <cell r="A6122" t="str">
            <v>MURO LUCANO</v>
          </cell>
          <cell r="B6122" t="str">
            <v>076053</v>
          </cell>
          <cell r="C6122" t="str">
            <v>PZ</v>
          </cell>
          <cell r="D6122" t="str">
            <v>PZ</v>
          </cell>
          <cell r="E6122" t="str">
            <v>85054</v>
          </cell>
        </row>
        <row r="6123">
          <cell r="A6123" t="str">
            <v>NEMOLI</v>
          </cell>
          <cell r="B6123" t="str">
            <v>076054</v>
          </cell>
          <cell r="C6123" t="str">
            <v>PZ</v>
          </cell>
          <cell r="D6123" t="str">
            <v>PZ</v>
          </cell>
          <cell r="E6123" t="str">
            <v>85040</v>
          </cell>
        </row>
        <row r="6124">
          <cell r="A6124" t="str">
            <v>NOEPOLI</v>
          </cell>
          <cell r="B6124" t="str">
            <v>076055</v>
          </cell>
          <cell r="C6124" t="str">
            <v>PZ</v>
          </cell>
          <cell r="D6124" t="str">
            <v>PZ</v>
          </cell>
          <cell r="E6124" t="str">
            <v>85035</v>
          </cell>
        </row>
        <row r="6125">
          <cell r="A6125" t="str">
            <v>OPPIDO LUCANO</v>
          </cell>
          <cell r="B6125" t="str">
            <v>076056</v>
          </cell>
          <cell r="C6125" t="str">
            <v>PZ</v>
          </cell>
          <cell r="D6125" t="str">
            <v>PZ</v>
          </cell>
          <cell r="E6125" t="str">
            <v>85015</v>
          </cell>
        </row>
        <row r="6126">
          <cell r="A6126" t="str">
            <v>PALAZZO SAN GERVASIO</v>
          </cell>
          <cell r="B6126" t="str">
            <v>076057</v>
          </cell>
          <cell r="C6126" t="str">
            <v>PZ</v>
          </cell>
          <cell r="D6126" t="str">
            <v>PZ</v>
          </cell>
          <cell r="E6126" t="str">
            <v>85026</v>
          </cell>
        </row>
        <row r="6127">
          <cell r="A6127" t="str">
            <v>PESCOPAGANO</v>
          </cell>
          <cell r="B6127" t="str">
            <v>076058</v>
          </cell>
          <cell r="C6127" t="str">
            <v>PZ</v>
          </cell>
          <cell r="D6127" t="str">
            <v>PZ</v>
          </cell>
          <cell r="E6127" t="str">
            <v>85020</v>
          </cell>
        </row>
        <row r="6128">
          <cell r="A6128" t="str">
            <v>PICERNO</v>
          </cell>
          <cell r="B6128" t="str">
            <v>076059</v>
          </cell>
          <cell r="C6128" t="str">
            <v>PZ</v>
          </cell>
          <cell r="D6128" t="str">
            <v>PZ</v>
          </cell>
          <cell r="E6128" t="str">
            <v>85055</v>
          </cell>
        </row>
        <row r="6129">
          <cell r="A6129" t="str">
            <v>PIETRAGALLA</v>
          </cell>
          <cell r="B6129" t="str">
            <v>076060</v>
          </cell>
          <cell r="C6129" t="str">
            <v>PZ</v>
          </cell>
          <cell r="D6129" t="str">
            <v>PZ</v>
          </cell>
          <cell r="E6129" t="str">
            <v>85016</v>
          </cell>
        </row>
        <row r="6130">
          <cell r="A6130" t="str">
            <v>PIETRAPERTOSA</v>
          </cell>
          <cell r="B6130" t="str">
            <v>076061</v>
          </cell>
          <cell r="C6130" t="str">
            <v>PZ</v>
          </cell>
          <cell r="D6130" t="str">
            <v>PZ</v>
          </cell>
          <cell r="E6130" t="str">
            <v>85010</v>
          </cell>
        </row>
        <row r="6131">
          <cell r="A6131" t="str">
            <v>PIGNOLA</v>
          </cell>
          <cell r="B6131" t="str">
            <v>076062</v>
          </cell>
          <cell r="C6131" t="str">
            <v>PZ</v>
          </cell>
          <cell r="D6131" t="str">
            <v>PZ</v>
          </cell>
          <cell r="E6131" t="str">
            <v>85010</v>
          </cell>
        </row>
        <row r="6132">
          <cell r="A6132" t="str">
            <v>POTENZA</v>
          </cell>
          <cell r="B6132" t="str">
            <v>076063</v>
          </cell>
          <cell r="C6132" t="str">
            <v>PZ</v>
          </cell>
          <cell r="D6132" t="str">
            <v>PZ</v>
          </cell>
          <cell r="E6132" t="str">
            <v>85100</v>
          </cell>
        </row>
        <row r="6133">
          <cell r="A6133" t="str">
            <v>RAPOLLA</v>
          </cell>
          <cell r="B6133" t="str">
            <v>076064</v>
          </cell>
          <cell r="C6133" t="str">
            <v>PZ</v>
          </cell>
          <cell r="D6133" t="str">
            <v>PZ</v>
          </cell>
          <cell r="E6133" t="str">
            <v>85027</v>
          </cell>
        </row>
        <row r="6134">
          <cell r="A6134" t="str">
            <v>RAPONE</v>
          </cell>
          <cell r="B6134" t="str">
            <v>076065</v>
          </cell>
          <cell r="C6134" t="str">
            <v>PZ</v>
          </cell>
          <cell r="D6134" t="str">
            <v>PZ</v>
          </cell>
          <cell r="E6134" t="str">
            <v>85020</v>
          </cell>
        </row>
        <row r="6135">
          <cell r="A6135" t="str">
            <v>RIONERO IN VULTURE</v>
          </cell>
          <cell r="B6135" t="str">
            <v>076066</v>
          </cell>
          <cell r="C6135" t="str">
            <v>PZ</v>
          </cell>
          <cell r="D6135" t="str">
            <v>PZ</v>
          </cell>
          <cell r="E6135" t="str">
            <v>85028</v>
          </cell>
        </row>
        <row r="6136">
          <cell r="A6136" t="str">
            <v>RIPACANDIDA</v>
          </cell>
          <cell r="B6136" t="str">
            <v>076067</v>
          </cell>
          <cell r="C6136" t="str">
            <v>PZ</v>
          </cell>
          <cell r="D6136" t="str">
            <v>PZ</v>
          </cell>
          <cell r="E6136" t="str">
            <v>85020</v>
          </cell>
        </row>
        <row r="6137">
          <cell r="A6137" t="str">
            <v>RIVELLO</v>
          </cell>
          <cell r="B6137" t="str">
            <v>076068</v>
          </cell>
          <cell r="C6137" t="str">
            <v>PZ</v>
          </cell>
          <cell r="D6137" t="str">
            <v>PZ</v>
          </cell>
          <cell r="E6137" t="str">
            <v>85040</v>
          </cell>
        </row>
        <row r="6138">
          <cell r="A6138" t="str">
            <v>ROCCANOVA</v>
          </cell>
          <cell r="B6138" t="str">
            <v>076069</v>
          </cell>
          <cell r="C6138" t="str">
            <v>PZ</v>
          </cell>
          <cell r="D6138" t="str">
            <v>PZ</v>
          </cell>
          <cell r="E6138" t="str">
            <v>85036</v>
          </cell>
        </row>
        <row r="6139">
          <cell r="A6139" t="str">
            <v>ROTONDA</v>
          </cell>
          <cell r="B6139" t="str">
            <v>076070</v>
          </cell>
          <cell r="C6139" t="str">
            <v>PZ</v>
          </cell>
          <cell r="D6139" t="str">
            <v>PZ</v>
          </cell>
          <cell r="E6139" t="str">
            <v>85048</v>
          </cell>
        </row>
        <row r="6140">
          <cell r="A6140" t="str">
            <v>RUOTI</v>
          </cell>
          <cell r="B6140" t="str">
            <v>076071</v>
          </cell>
          <cell r="C6140" t="str">
            <v>PZ</v>
          </cell>
          <cell r="D6140" t="str">
            <v>PZ</v>
          </cell>
          <cell r="E6140" t="str">
            <v>85056</v>
          </cell>
        </row>
        <row r="6141">
          <cell r="A6141" t="str">
            <v>RUVO DEL MONTE</v>
          </cell>
          <cell r="B6141" t="str">
            <v>076072</v>
          </cell>
          <cell r="C6141" t="str">
            <v>PZ</v>
          </cell>
          <cell r="D6141" t="str">
            <v>PZ</v>
          </cell>
          <cell r="E6141" t="str">
            <v>85020</v>
          </cell>
        </row>
        <row r="6142">
          <cell r="A6142" t="str">
            <v>SAN CHIRICO NUOVO</v>
          </cell>
          <cell r="B6142" t="str">
            <v>076073</v>
          </cell>
          <cell r="C6142" t="str">
            <v>PZ</v>
          </cell>
          <cell r="D6142" t="str">
            <v>PZ</v>
          </cell>
          <cell r="E6142" t="str">
            <v>85010</v>
          </cell>
        </row>
        <row r="6143">
          <cell r="A6143" t="str">
            <v>SAN CHIRICO RAPARO</v>
          </cell>
          <cell r="B6143" t="str">
            <v>076074</v>
          </cell>
          <cell r="C6143" t="str">
            <v>PZ</v>
          </cell>
          <cell r="D6143" t="str">
            <v>PZ</v>
          </cell>
          <cell r="E6143" t="str">
            <v>85030</v>
          </cell>
        </row>
        <row r="6144">
          <cell r="A6144" t="str">
            <v>SAN COSTANTINO ALBANESE</v>
          </cell>
          <cell r="B6144" t="str">
            <v>076075</v>
          </cell>
          <cell r="C6144" t="str">
            <v>PZ</v>
          </cell>
          <cell r="D6144" t="str">
            <v>PZ</v>
          </cell>
          <cell r="E6144" t="str">
            <v>85030</v>
          </cell>
        </row>
        <row r="6145">
          <cell r="A6145" t="str">
            <v>SAN FELE</v>
          </cell>
          <cell r="B6145" t="str">
            <v>076076</v>
          </cell>
          <cell r="C6145" t="str">
            <v>PZ</v>
          </cell>
          <cell r="D6145" t="str">
            <v>PZ</v>
          </cell>
          <cell r="E6145" t="str">
            <v>85020</v>
          </cell>
        </row>
        <row r="6146">
          <cell r="A6146" t="str">
            <v>SAN MARTINO D'AGRI</v>
          </cell>
          <cell r="B6146" t="str">
            <v>076077</v>
          </cell>
          <cell r="C6146" t="str">
            <v>PZ</v>
          </cell>
          <cell r="D6146" t="str">
            <v>PZ</v>
          </cell>
          <cell r="E6146" t="str">
            <v>85030</v>
          </cell>
        </row>
        <row r="6147">
          <cell r="A6147" t="str">
            <v>SAN SEVERINO LUCANO</v>
          </cell>
          <cell r="B6147" t="str">
            <v>076078</v>
          </cell>
          <cell r="C6147" t="str">
            <v>PZ</v>
          </cell>
          <cell r="D6147" t="str">
            <v>PZ</v>
          </cell>
          <cell r="E6147" t="str">
            <v>85030</v>
          </cell>
        </row>
        <row r="6148">
          <cell r="A6148" t="str">
            <v>SANT'ANGELO LE FRATTE</v>
          </cell>
          <cell r="B6148" t="str">
            <v>076079</v>
          </cell>
          <cell r="C6148" t="str">
            <v>PZ</v>
          </cell>
          <cell r="D6148" t="str">
            <v>PZ</v>
          </cell>
          <cell r="E6148" t="str">
            <v>85050</v>
          </cell>
        </row>
        <row r="6149">
          <cell r="A6149" t="str">
            <v>SANT'ARCANGELO</v>
          </cell>
          <cell r="B6149" t="str">
            <v>076080</v>
          </cell>
          <cell r="C6149" t="str">
            <v>PZ</v>
          </cell>
          <cell r="D6149" t="str">
            <v>PZ</v>
          </cell>
          <cell r="E6149" t="str">
            <v>85037</v>
          </cell>
        </row>
        <row r="6150">
          <cell r="A6150" t="str">
            <v>SARCONI</v>
          </cell>
          <cell r="B6150" t="str">
            <v>076081</v>
          </cell>
          <cell r="C6150" t="str">
            <v>PZ</v>
          </cell>
          <cell r="D6150" t="str">
            <v>PZ</v>
          </cell>
          <cell r="E6150" t="str">
            <v>85050</v>
          </cell>
        </row>
        <row r="6151">
          <cell r="A6151" t="str">
            <v>SASSO DI CASTALDA</v>
          </cell>
          <cell r="B6151" t="str">
            <v>076082</v>
          </cell>
          <cell r="C6151" t="str">
            <v>PZ</v>
          </cell>
          <cell r="D6151" t="str">
            <v>PZ</v>
          </cell>
          <cell r="E6151" t="str">
            <v>85050</v>
          </cell>
        </row>
        <row r="6152">
          <cell r="A6152" t="str">
            <v>SATRIANO DI LUCANIA</v>
          </cell>
          <cell r="B6152" t="str">
            <v>076083</v>
          </cell>
          <cell r="C6152" t="str">
            <v>PZ</v>
          </cell>
          <cell r="D6152" t="str">
            <v>PZ</v>
          </cell>
          <cell r="E6152" t="str">
            <v>85050</v>
          </cell>
        </row>
        <row r="6153">
          <cell r="A6153" t="str">
            <v>SAVOIA DI LUCANIA</v>
          </cell>
          <cell r="B6153" t="str">
            <v>076084</v>
          </cell>
          <cell r="C6153" t="str">
            <v>PZ</v>
          </cell>
          <cell r="D6153" t="str">
            <v>PZ</v>
          </cell>
          <cell r="E6153" t="str">
            <v>85050</v>
          </cell>
        </row>
        <row r="6154">
          <cell r="A6154" t="str">
            <v>SENISE</v>
          </cell>
          <cell r="B6154" t="str">
            <v>076085</v>
          </cell>
          <cell r="C6154" t="str">
            <v>PZ</v>
          </cell>
          <cell r="D6154" t="str">
            <v>PZ</v>
          </cell>
          <cell r="E6154" t="str">
            <v>85038</v>
          </cell>
        </row>
        <row r="6155">
          <cell r="A6155" t="str">
            <v>SPINOSO</v>
          </cell>
          <cell r="B6155" t="str">
            <v>076086</v>
          </cell>
          <cell r="C6155" t="str">
            <v>PZ</v>
          </cell>
          <cell r="D6155" t="str">
            <v>PZ</v>
          </cell>
          <cell r="E6155" t="str">
            <v>85039</v>
          </cell>
        </row>
        <row r="6156">
          <cell r="A6156" t="str">
            <v>TEANA</v>
          </cell>
          <cell r="B6156" t="str">
            <v>076087</v>
          </cell>
          <cell r="C6156" t="str">
            <v>PZ</v>
          </cell>
          <cell r="D6156" t="str">
            <v>PZ</v>
          </cell>
          <cell r="E6156" t="str">
            <v>85032</v>
          </cell>
        </row>
        <row r="6157">
          <cell r="A6157" t="str">
            <v>TERRANOVA DI POLLINO</v>
          </cell>
          <cell r="B6157" t="str">
            <v>076088</v>
          </cell>
          <cell r="C6157" t="str">
            <v>PZ</v>
          </cell>
          <cell r="D6157" t="str">
            <v>PZ</v>
          </cell>
          <cell r="E6157" t="str">
            <v>85030</v>
          </cell>
        </row>
        <row r="6158">
          <cell r="A6158" t="str">
            <v>TITO</v>
          </cell>
          <cell r="B6158" t="str">
            <v>076089</v>
          </cell>
          <cell r="C6158" t="str">
            <v>PZ</v>
          </cell>
          <cell r="D6158" t="str">
            <v>PZ</v>
          </cell>
          <cell r="E6158" t="str">
            <v>85050</v>
          </cell>
        </row>
        <row r="6159">
          <cell r="A6159" t="str">
            <v>TOLVE</v>
          </cell>
          <cell r="B6159" t="str">
            <v>076090</v>
          </cell>
          <cell r="C6159" t="str">
            <v>PZ</v>
          </cell>
          <cell r="D6159" t="str">
            <v>PZ</v>
          </cell>
          <cell r="E6159" t="str">
            <v>85017</v>
          </cell>
        </row>
        <row r="6160">
          <cell r="A6160" t="str">
            <v>TRAMUTOLA</v>
          </cell>
          <cell r="B6160" t="str">
            <v>076091</v>
          </cell>
          <cell r="C6160" t="str">
            <v>PZ</v>
          </cell>
          <cell r="D6160" t="str">
            <v>PZ</v>
          </cell>
          <cell r="E6160" t="str">
            <v>85057</v>
          </cell>
        </row>
        <row r="6161">
          <cell r="A6161" t="str">
            <v>TRECCHINA</v>
          </cell>
          <cell r="B6161" t="str">
            <v>076092</v>
          </cell>
          <cell r="C6161" t="str">
            <v>PZ</v>
          </cell>
          <cell r="D6161" t="str">
            <v>PZ</v>
          </cell>
          <cell r="E6161" t="str">
            <v>85049</v>
          </cell>
        </row>
        <row r="6162">
          <cell r="A6162" t="str">
            <v>TRIVIGNO</v>
          </cell>
          <cell r="B6162" t="str">
            <v>076093</v>
          </cell>
          <cell r="C6162" t="str">
            <v>PZ</v>
          </cell>
          <cell r="D6162" t="str">
            <v>PZ</v>
          </cell>
          <cell r="E6162" t="str">
            <v>85018</v>
          </cell>
        </row>
        <row r="6163">
          <cell r="A6163" t="str">
            <v>VAGLIO BASILICATA</v>
          </cell>
          <cell r="B6163" t="str">
            <v>076094</v>
          </cell>
          <cell r="C6163" t="str">
            <v>PZ</v>
          </cell>
          <cell r="D6163" t="str">
            <v>PZ</v>
          </cell>
          <cell r="E6163" t="str">
            <v>85010</v>
          </cell>
        </row>
        <row r="6164">
          <cell r="A6164" t="str">
            <v>VENOSA</v>
          </cell>
          <cell r="B6164" t="str">
            <v>076095</v>
          </cell>
          <cell r="C6164" t="str">
            <v>PZ</v>
          </cell>
          <cell r="D6164" t="str">
            <v>PZ</v>
          </cell>
          <cell r="E6164" t="str">
            <v>85029</v>
          </cell>
        </row>
        <row r="6165">
          <cell r="A6165" t="str">
            <v>VIETRI DI POTENZA</v>
          </cell>
          <cell r="B6165" t="str">
            <v>076096</v>
          </cell>
          <cell r="C6165" t="str">
            <v>PZ</v>
          </cell>
          <cell r="D6165" t="str">
            <v>PZ</v>
          </cell>
          <cell r="E6165" t="str">
            <v>85058</v>
          </cell>
        </row>
        <row r="6166">
          <cell r="A6166" t="str">
            <v>VIGGIANELLO</v>
          </cell>
          <cell r="B6166" t="str">
            <v>076097</v>
          </cell>
          <cell r="C6166" t="str">
            <v>PZ</v>
          </cell>
          <cell r="D6166" t="str">
            <v>PZ</v>
          </cell>
          <cell r="E6166" t="str">
            <v>85040</v>
          </cell>
        </row>
        <row r="6167">
          <cell r="A6167" t="str">
            <v>VIGGIANO</v>
          </cell>
          <cell r="B6167" t="str">
            <v>076098</v>
          </cell>
          <cell r="C6167" t="str">
            <v>PZ</v>
          </cell>
          <cell r="D6167" t="str">
            <v>PZ</v>
          </cell>
          <cell r="E6167" t="str">
            <v>85059</v>
          </cell>
        </row>
        <row r="6168">
          <cell r="A6168" t="str">
            <v>GINESTRA</v>
          </cell>
          <cell r="B6168" t="str">
            <v>076099</v>
          </cell>
          <cell r="C6168" t="str">
            <v>PZ</v>
          </cell>
          <cell r="D6168" t="str">
            <v>PZ</v>
          </cell>
          <cell r="E6168" t="str">
            <v>85020</v>
          </cell>
        </row>
        <row r="6169">
          <cell r="A6169" t="str">
            <v>PATERNO</v>
          </cell>
          <cell r="B6169" t="str">
            <v>076100</v>
          </cell>
          <cell r="C6169" t="str">
            <v>PZ</v>
          </cell>
          <cell r="D6169" t="str">
            <v>PZ</v>
          </cell>
          <cell r="E6169" t="str">
            <v>85050</v>
          </cell>
        </row>
        <row r="6170">
          <cell r="A6170" t="str">
            <v>ACCETTURA</v>
          </cell>
          <cell r="B6170" t="str">
            <v>077001</v>
          </cell>
          <cell r="C6170" t="str">
            <v>MT</v>
          </cell>
          <cell r="D6170" t="str">
            <v>MT</v>
          </cell>
          <cell r="E6170" t="str">
            <v>75011</v>
          </cell>
        </row>
        <row r="6171">
          <cell r="A6171" t="str">
            <v>ALIANO</v>
          </cell>
          <cell r="B6171" t="str">
            <v>077002</v>
          </cell>
          <cell r="C6171" t="str">
            <v>MT</v>
          </cell>
          <cell r="D6171" t="str">
            <v>MT</v>
          </cell>
          <cell r="E6171" t="str">
            <v>75010</v>
          </cell>
        </row>
        <row r="6172">
          <cell r="A6172" t="str">
            <v>BERNALDA</v>
          </cell>
          <cell r="B6172" t="str">
            <v>077003</v>
          </cell>
          <cell r="C6172" t="str">
            <v>MT</v>
          </cell>
          <cell r="D6172" t="str">
            <v>MT</v>
          </cell>
          <cell r="E6172" t="str">
            <v>75012</v>
          </cell>
        </row>
        <row r="6173">
          <cell r="A6173" t="str">
            <v>CALCIANO</v>
          </cell>
          <cell r="B6173" t="str">
            <v>077004</v>
          </cell>
          <cell r="C6173" t="str">
            <v>MT</v>
          </cell>
          <cell r="D6173" t="str">
            <v>MT</v>
          </cell>
          <cell r="E6173" t="str">
            <v>75010</v>
          </cell>
        </row>
        <row r="6174">
          <cell r="A6174" t="str">
            <v>CIRIGLIANO</v>
          </cell>
          <cell r="B6174" t="str">
            <v>077005</v>
          </cell>
          <cell r="C6174" t="str">
            <v>MT</v>
          </cell>
          <cell r="D6174" t="str">
            <v>MT</v>
          </cell>
          <cell r="E6174" t="str">
            <v>75010</v>
          </cell>
        </row>
        <row r="6175">
          <cell r="A6175" t="str">
            <v>COLOBRARO</v>
          </cell>
          <cell r="B6175" t="str">
            <v>077006</v>
          </cell>
          <cell r="C6175" t="str">
            <v>MT</v>
          </cell>
          <cell r="D6175" t="str">
            <v>MT</v>
          </cell>
          <cell r="E6175" t="str">
            <v>75021</v>
          </cell>
        </row>
        <row r="6176">
          <cell r="A6176" t="str">
            <v>CRACO</v>
          </cell>
          <cell r="B6176" t="str">
            <v>077007</v>
          </cell>
          <cell r="C6176" t="str">
            <v>MT</v>
          </cell>
          <cell r="D6176" t="str">
            <v>MT</v>
          </cell>
          <cell r="E6176" t="str">
            <v>75010</v>
          </cell>
        </row>
        <row r="6177">
          <cell r="A6177" t="str">
            <v>FERRANDINA</v>
          </cell>
          <cell r="B6177" t="str">
            <v>077008</v>
          </cell>
          <cell r="C6177" t="str">
            <v>MT</v>
          </cell>
          <cell r="D6177" t="str">
            <v>MT</v>
          </cell>
          <cell r="E6177" t="str">
            <v>75013</v>
          </cell>
        </row>
        <row r="6178">
          <cell r="A6178" t="str">
            <v>GARAGUSO</v>
          </cell>
          <cell r="B6178" t="str">
            <v>077009</v>
          </cell>
          <cell r="C6178" t="str">
            <v>MT</v>
          </cell>
          <cell r="D6178" t="str">
            <v>MT</v>
          </cell>
          <cell r="E6178" t="str">
            <v>75010</v>
          </cell>
        </row>
        <row r="6179">
          <cell r="A6179" t="str">
            <v>GORGOGLIONE</v>
          </cell>
          <cell r="B6179" t="str">
            <v>077010</v>
          </cell>
          <cell r="C6179" t="str">
            <v>MT</v>
          </cell>
          <cell r="D6179" t="str">
            <v>MT</v>
          </cell>
          <cell r="E6179" t="str">
            <v>75010</v>
          </cell>
        </row>
        <row r="6180">
          <cell r="A6180" t="str">
            <v>GRASSANO</v>
          </cell>
          <cell r="B6180" t="str">
            <v>077011</v>
          </cell>
          <cell r="C6180" t="str">
            <v>MT</v>
          </cell>
          <cell r="D6180" t="str">
            <v>MT</v>
          </cell>
          <cell r="E6180" t="str">
            <v>75014</v>
          </cell>
        </row>
        <row r="6181">
          <cell r="A6181" t="str">
            <v>GROTTOLE</v>
          </cell>
          <cell r="B6181" t="str">
            <v>077012</v>
          </cell>
          <cell r="C6181" t="str">
            <v>MT</v>
          </cell>
          <cell r="D6181" t="str">
            <v>MT</v>
          </cell>
          <cell r="E6181" t="str">
            <v>75010</v>
          </cell>
        </row>
        <row r="6182">
          <cell r="A6182" t="str">
            <v>IRSINA</v>
          </cell>
          <cell r="B6182" t="str">
            <v>077013</v>
          </cell>
          <cell r="C6182" t="str">
            <v>MT</v>
          </cell>
          <cell r="D6182" t="str">
            <v>MT</v>
          </cell>
          <cell r="E6182" t="str">
            <v>75022</v>
          </cell>
        </row>
        <row r="6183">
          <cell r="A6183" t="str">
            <v>MATERA</v>
          </cell>
          <cell r="B6183" t="str">
            <v>077014</v>
          </cell>
          <cell r="C6183" t="str">
            <v>MT</v>
          </cell>
          <cell r="D6183" t="str">
            <v>MT</v>
          </cell>
          <cell r="E6183" t="str">
            <v>75100</v>
          </cell>
        </row>
        <row r="6184">
          <cell r="A6184" t="str">
            <v>MIGLIONICO</v>
          </cell>
          <cell r="B6184" t="str">
            <v>077015</v>
          </cell>
          <cell r="C6184" t="str">
            <v>MT</v>
          </cell>
          <cell r="D6184" t="str">
            <v>MT</v>
          </cell>
          <cell r="E6184" t="str">
            <v>75010</v>
          </cell>
        </row>
        <row r="6185">
          <cell r="A6185" t="str">
            <v>MONTALBANO JONICO</v>
          </cell>
          <cell r="B6185" t="str">
            <v>077016</v>
          </cell>
          <cell r="C6185" t="str">
            <v>MT</v>
          </cell>
          <cell r="D6185" t="str">
            <v>MT</v>
          </cell>
          <cell r="E6185" t="str">
            <v>75023</v>
          </cell>
        </row>
        <row r="6186">
          <cell r="A6186" t="str">
            <v>MONTESCAGLIOSO</v>
          </cell>
          <cell r="B6186" t="str">
            <v>077017</v>
          </cell>
          <cell r="C6186" t="str">
            <v>MT</v>
          </cell>
          <cell r="D6186" t="str">
            <v>MT</v>
          </cell>
          <cell r="E6186" t="str">
            <v>75024</v>
          </cell>
        </row>
        <row r="6187">
          <cell r="A6187" t="str">
            <v>NOVA SIRI</v>
          </cell>
          <cell r="B6187" t="str">
            <v>077018</v>
          </cell>
          <cell r="C6187" t="str">
            <v>MT</v>
          </cell>
          <cell r="D6187" t="str">
            <v>MT</v>
          </cell>
          <cell r="E6187" t="str">
            <v>75020</v>
          </cell>
        </row>
        <row r="6188">
          <cell r="A6188" t="str">
            <v>OLIVETO LUCANO</v>
          </cell>
          <cell r="B6188" t="str">
            <v>077019</v>
          </cell>
          <cell r="C6188" t="str">
            <v>MT</v>
          </cell>
          <cell r="D6188" t="str">
            <v>MT</v>
          </cell>
          <cell r="E6188" t="str">
            <v>75010</v>
          </cell>
        </row>
        <row r="6189">
          <cell r="A6189" t="str">
            <v>PISTICCI</v>
          </cell>
          <cell r="B6189" t="str">
            <v>077020</v>
          </cell>
          <cell r="C6189" t="str">
            <v>MT</v>
          </cell>
          <cell r="D6189" t="str">
            <v>MT</v>
          </cell>
          <cell r="E6189" t="str">
            <v>75015</v>
          </cell>
        </row>
        <row r="6190">
          <cell r="A6190" t="str">
            <v>POLICORO</v>
          </cell>
          <cell r="B6190" t="str">
            <v>077021</v>
          </cell>
          <cell r="C6190" t="str">
            <v>MT</v>
          </cell>
          <cell r="D6190" t="str">
            <v>MT</v>
          </cell>
          <cell r="E6190" t="str">
            <v>75025</v>
          </cell>
        </row>
        <row r="6191">
          <cell r="A6191" t="str">
            <v>POMARICO</v>
          </cell>
          <cell r="B6191" t="str">
            <v>077022</v>
          </cell>
          <cell r="C6191" t="str">
            <v>MT</v>
          </cell>
          <cell r="D6191" t="str">
            <v>MT</v>
          </cell>
          <cell r="E6191" t="str">
            <v>75016</v>
          </cell>
        </row>
        <row r="6192">
          <cell r="A6192" t="str">
            <v>ROTONDELLA</v>
          </cell>
          <cell r="B6192" t="str">
            <v>077023</v>
          </cell>
          <cell r="C6192" t="str">
            <v>MT</v>
          </cell>
          <cell r="D6192" t="str">
            <v>MT</v>
          </cell>
          <cell r="E6192" t="str">
            <v>75026</v>
          </cell>
        </row>
        <row r="6193">
          <cell r="A6193" t="str">
            <v>SALANDRA</v>
          </cell>
          <cell r="B6193" t="str">
            <v>077024</v>
          </cell>
          <cell r="C6193" t="str">
            <v>MT</v>
          </cell>
          <cell r="D6193" t="str">
            <v>MT</v>
          </cell>
          <cell r="E6193" t="str">
            <v>75017</v>
          </cell>
        </row>
        <row r="6194">
          <cell r="A6194" t="str">
            <v>SAN GIORGIO LUCANO</v>
          </cell>
          <cell r="B6194" t="str">
            <v>077025</v>
          </cell>
          <cell r="C6194" t="str">
            <v>MT</v>
          </cell>
          <cell r="D6194" t="str">
            <v>MT</v>
          </cell>
          <cell r="E6194" t="str">
            <v>75027</v>
          </cell>
        </row>
        <row r="6195">
          <cell r="A6195" t="str">
            <v>SAN MAURO FORTE</v>
          </cell>
          <cell r="B6195" t="str">
            <v>077026</v>
          </cell>
          <cell r="C6195" t="str">
            <v>MT</v>
          </cell>
          <cell r="D6195" t="str">
            <v>MT</v>
          </cell>
          <cell r="E6195" t="str">
            <v>75010</v>
          </cell>
        </row>
        <row r="6196">
          <cell r="A6196" t="str">
            <v>STIGLIANO</v>
          </cell>
          <cell r="B6196" t="str">
            <v>077027</v>
          </cell>
          <cell r="C6196" t="str">
            <v>MT</v>
          </cell>
          <cell r="D6196" t="str">
            <v>MT</v>
          </cell>
          <cell r="E6196" t="str">
            <v>75018</v>
          </cell>
        </row>
        <row r="6197">
          <cell r="A6197" t="str">
            <v>TRICARICO</v>
          </cell>
          <cell r="B6197" t="str">
            <v>077028</v>
          </cell>
          <cell r="C6197" t="str">
            <v>MT</v>
          </cell>
          <cell r="D6197" t="str">
            <v>MT</v>
          </cell>
          <cell r="E6197" t="str">
            <v>75019</v>
          </cell>
        </row>
        <row r="6198">
          <cell r="A6198" t="str">
            <v>TURSI</v>
          </cell>
          <cell r="B6198" t="str">
            <v>077029</v>
          </cell>
          <cell r="C6198" t="str">
            <v>MT</v>
          </cell>
          <cell r="D6198" t="str">
            <v>MT</v>
          </cell>
          <cell r="E6198" t="str">
            <v>75028</v>
          </cell>
        </row>
        <row r="6199">
          <cell r="A6199" t="str">
            <v>VALSINNI</v>
          </cell>
          <cell r="B6199" t="str">
            <v>077030</v>
          </cell>
          <cell r="C6199" t="str">
            <v>MT</v>
          </cell>
          <cell r="D6199" t="str">
            <v>MT</v>
          </cell>
          <cell r="E6199" t="str">
            <v>75029</v>
          </cell>
        </row>
        <row r="6200">
          <cell r="A6200" t="str">
            <v>SCANZANO JONICO</v>
          </cell>
          <cell r="B6200" t="str">
            <v>077031</v>
          </cell>
          <cell r="C6200" t="str">
            <v>MT</v>
          </cell>
          <cell r="D6200" t="str">
            <v>MT</v>
          </cell>
          <cell r="E6200" t="str">
            <v>75020</v>
          </cell>
        </row>
        <row r="6201">
          <cell r="A6201" t="str">
            <v>ACQUAFORMOSA</v>
          </cell>
          <cell r="B6201" t="str">
            <v>078001</v>
          </cell>
          <cell r="C6201" t="str">
            <v>CS</v>
          </cell>
          <cell r="D6201" t="str">
            <v>CS</v>
          </cell>
          <cell r="E6201" t="str">
            <v>87010</v>
          </cell>
        </row>
        <row r="6202">
          <cell r="A6202" t="str">
            <v>ACQUAPPESA</v>
          </cell>
          <cell r="B6202" t="str">
            <v>078002</v>
          </cell>
          <cell r="C6202" t="str">
            <v>CS</v>
          </cell>
          <cell r="D6202" t="str">
            <v>CS</v>
          </cell>
          <cell r="E6202" t="str">
            <v>87020</v>
          </cell>
        </row>
        <row r="6203">
          <cell r="A6203" t="str">
            <v>ACRI</v>
          </cell>
          <cell r="B6203" t="str">
            <v>078003</v>
          </cell>
          <cell r="C6203" t="str">
            <v>CS</v>
          </cell>
          <cell r="D6203" t="str">
            <v>CS</v>
          </cell>
          <cell r="E6203" t="str">
            <v>87041</v>
          </cell>
        </row>
        <row r="6204">
          <cell r="A6204" t="str">
            <v>AIELLO CALABRO</v>
          </cell>
          <cell r="B6204" t="str">
            <v>078004</v>
          </cell>
          <cell r="C6204" t="str">
            <v>CS</v>
          </cell>
          <cell r="D6204" t="str">
            <v>CS</v>
          </cell>
          <cell r="E6204" t="str">
            <v>87031</v>
          </cell>
        </row>
        <row r="6205">
          <cell r="A6205" t="str">
            <v>AIETA</v>
          </cell>
          <cell r="B6205" t="str">
            <v>078005</v>
          </cell>
          <cell r="C6205" t="str">
            <v>CS</v>
          </cell>
          <cell r="D6205" t="str">
            <v>CS</v>
          </cell>
          <cell r="E6205" t="str">
            <v>87020</v>
          </cell>
        </row>
        <row r="6206">
          <cell r="A6206" t="str">
            <v>ALBIDONA</v>
          </cell>
          <cell r="B6206" t="str">
            <v>078006</v>
          </cell>
          <cell r="C6206" t="str">
            <v>CS</v>
          </cell>
          <cell r="D6206" t="str">
            <v>CS</v>
          </cell>
          <cell r="E6206" t="str">
            <v>87070</v>
          </cell>
        </row>
        <row r="6207">
          <cell r="A6207" t="str">
            <v>ALESSANDRIA DEL CARRETTO</v>
          </cell>
          <cell r="B6207" t="str">
            <v>078007</v>
          </cell>
          <cell r="C6207" t="str">
            <v>CS</v>
          </cell>
          <cell r="D6207" t="str">
            <v>CS</v>
          </cell>
          <cell r="E6207" t="str">
            <v>87070</v>
          </cell>
        </row>
        <row r="6208">
          <cell r="A6208" t="str">
            <v>ALTILIA</v>
          </cell>
          <cell r="B6208" t="str">
            <v>078008</v>
          </cell>
          <cell r="C6208" t="str">
            <v>CS</v>
          </cell>
          <cell r="D6208" t="str">
            <v>CS</v>
          </cell>
          <cell r="E6208" t="str">
            <v>87040</v>
          </cell>
        </row>
        <row r="6209">
          <cell r="A6209" t="str">
            <v>ALTOMONTE</v>
          </cell>
          <cell r="B6209" t="str">
            <v>078009</v>
          </cell>
          <cell r="C6209" t="str">
            <v>CS</v>
          </cell>
          <cell r="D6209" t="str">
            <v>CS</v>
          </cell>
          <cell r="E6209" t="str">
            <v>87042</v>
          </cell>
        </row>
        <row r="6210">
          <cell r="A6210" t="str">
            <v>AMANTEA</v>
          </cell>
          <cell r="B6210" t="str">
            <v>078010</v>
          </cell>
          <cell r="C6210" t="str">
            <v>CS</v>
          </cell>
          <cell r="D6210" t="str">
            <v>CS</v>
          </cell>
          <cell r="E6210" t="str">
            <v>87032</v>
          </cell>
        </row>
        <row r="6211">
          <cell r="A6211" t="str">
            <v>AMENDOLARA</v>
          </cell>
          <cell r="B6211" t="str">
            <v>078011</v>
          </cell>
          <cell r="C6211" t="str">
            <v>CS</v>
          </cell>
          <cell r="D6211" t="str">
            <v>CS</v>
          </cell>
          <cell r="E6211" t="str">
            <v>87071</v>
          </cell>
        </row>
        <row r="6212">
          <cell r="A6212" t="str">
            <v>APRIGLIANO</v>
          </cell>
          <cell r="B6212" t="str">
            <v>078012</v>
          </cell>
          <cell r="C6212" t="str">
            <v>CS</v>
          </cell>
          <cell r="D6212" t="str">
            <v>CS</v>
          </cell>
          <cell r="E6212" t="str">
            <v>87051</v>
          </cell>
        </row>
        <row r="6213">
          <cell r="A6213" t="str">
            <v>BELMONTE CALABRO</v>
          </cell>
          <cell r="B6213" t="str">
            <v>078013</v>
          </cell>
          <cell r="C6213" t="str">
            <v>CS</v>
          </cell>
          <cell r="D6213" t="str">
            <v>CS</v>
          </cell>
          <cell r="E6213" t="str">
            <v>87033</v>
          </cell>
        </row>
        <row r="6214">
          <cell r="A6214" t="str">
            <v>BELSITO</v>
          </cell>
          <cell r="B6214" t="str">
            <v>078014</v>
          </cell>
          <cell r="C6214" t="str">
            <v>CS</v>
          </cell>
          <cell r="D6214" t="str">
            <v>CS</v>
          </cell>
          <cell r="E6214" t="str">
            <v>87030</v>
          </cell>
        </row>
        <row r="6215">
          <cell r="A6215" t="str">
            <v>BELVEDERE MARITTIMO</v>
          </cell>
          <cell r="B6215" t="str">
            <v>078015</v>
          </cell>
          <cell r="C6215" t="str">
            <v>CS</v>
          </cell>
          <cell r="D6215" t="str">
            <v>CS</v>
          </cell>
          <cell r="E6215" t="str">
            <v>87021</v>
          </cell>
        </row>
        <row r="6216">
          <cell r="A6216" t="str">
            <v>BIANCHI</v>
          </cell>
          <cell r="B6216" t="str">
            <v>078016</v>
          </cell>
          <cell r="C6216" t="str">
            <v>CS</v>
          </cell>
          <cell r="D6216" t="str">
            <v>CS</v>
          </cell>
          <cell r="E6216" t="str">
            <v>87050</v>
          </cell>
        </row>
        <row r="6217">
          <cell r="A6217" t="str">
            <v>BISIGNANO</v>
          </cell>
          <cell r="B6217" t="str">
            <v>078017</v>
          </cell>
          <cell r="C6217" t="str">
            <v>CS</v>
          </cell>
          <cell r="D6217" t="str">
            <v>CS</v>
          </cell>
          <cell r="E6217" t="str">
            <v>87043</v>
          </cell>
        </row>
        <row r="6218">
          <cell r="A6218" t="str">
            <v>BOCCHIGLIERO</v>
          </cell>
          <cell r="B6218" t="str">
            <v>078018</v>
          </cell>
          <cell r="C6218" t="str">
            <v>CS</v>
          </cell>
          <cell r="D6218" t="str">
            <v>CS</v>
          </cell>
          <cell r="E6218" t="str">
            <v>87060</v>
          </cell>
        </row>
        <row r="6219">
          <cell r="A6219" t="str">
            <v>BONIFATI</v>
          </cell>
          <cell r="B6219" t="str">
            <v>078019</v>
          </cell>
          <cell r="C6219" t="str">
            <v>CS</v>
          </cell>
          <cell r="D6219" t="str">
            <v>CS</v>
          </cell>
          <cell r="E6219" t="str">
            <v>87020</v>
          </cell>
        </row>
        <row r="6220">
          <cell r="A6220" t="str">
            <v>BUONVICINO</v>
          </cell>
          <cell r="B6220" t="str">
            <v>078020</v>
          </cell>
          <cell r="C6220" t="str">
            <v>CS</v>
          </cell>
          <cell r="D6220" t="str">
            <v>CS</v>
          </cell>
          <cell r="E6220" t="str">
            <v>87020</v>
          </cell>
        </row>
        <row r="6221">
          <cell r="A6221" t="str">
            <v>CALOPEZZATI</v>
          </cell>
          <cell r="B6221" t="str">
            <v>078021</v>
          </cell>
          <cell r="C6221" t="str">
            <v>CS</v>
          </cell>
          <cell r="D6221" t="str">
            <v>CS</v>
          </cell>
          <cell r="E6221" t="str">
            <v>87060</v>
          </cell>
        </row>
        <row r="6222">
          <cell r="A6222" t="str">
            <v>CALOVETO</v>
          </cell>
          <cell r="B6222" t="str">
            <v>078022</v>
          </cell>
          <cell r="C6222" t="str">
            <v>CS</v>
          </cell>
          <cell r="D6222" t="str">
            <v>CS</v>
          </cell>
          <cell r="E6222" t="str">
            <v>87060</v>
          </cell>
        </row>
        <row r="6223">
          <cell r="A6223" t="str">
            <v>CAMPANA</v>
          </cell>
          <cell r="B6223" t="str">
            <v>078023</v>
          </cell>
          <cell r="C6223" t="str">
            <v>CS</v>
          </cell>
          <cell r="D6223" t="str">
            <v>CS</v>
          </cell>
          <cell r="E6223" t="str">
            <v>87061</v>
          </cell>
        </row>
        <row r="6224">
          <cell r="A6224" t="str">
            <v>CANNA</v>
          </cell>
          <cell r="B6224" t="str">
            <v>078024</v>
          </cell>
          <cell r="C6224" t="str">
            <v>CS</v>
          </cell>
          <cell r="D6224" t="str">
            <v>CS</v>
          </cell>
          <cell r="E6224" t="str">
            <v>87070</v>
          </cell>
        </row>
        <row r="6225">
          <cell r="A6225" t="str">
            <v>CARIATI</v>
          </cell>
          <cell r="B6225" t="str">
            <v>078025</v>
          </cell>
          <cell r="C6225" t="str">
            <v>CS</v>
          </cell>
          <cell r="D6225" t="str">
            <v>CS</v>
          </cell>
          <cell r="E6225" t="str">
            <v>87062</v>
          </cell>
        </row>
        <row r="6226">
          <cell r="A6226" t="str">
            <v>CAROLEI</v>
          </cell>
          <cell r="B6226" t="str">
            <v>078026</v>
          </cell>
          <cell r="C6226" t="str">
            <v>CS</v>
          </cell>
          <cell r="D6226" t="str">
            <v>CS</v>
          </cell>
          <cell r="E6226" t="str">
            <v>87030</v>
          </cell>
        </row>
        <row r="6227">
          <cell r="A6227" t="str">
            <v>CARPANZANO</v>
          </cell>
          <cell r="B6227" t="str">
            <v>078027</v>
          </cell>
          <cell r="C6227" t="str">
            <v>CS</v>
          </cell>
          <cell r="D6227" t="str">
            <v>CS</v>
          </cell>
          <cell r="E6227" t="str">
            <v>87050</v>
          </cell>
        </row>
        <row r="6228">
          <cell r="A6228" t="str">
            <v>CASSANO ALL'IONIO</v>
          </cell>
          <cell r="B6228" t="str">
            <v>078029</v>
          </cell>
          <cell r="C6228" t="str">
            <v>CS</v>
          </cell>
          <cell r="D6228" t="str">
            <v>CS</v>
          </cell>
          <cell r="E6228" t="str">
            <v>87011</v>
          </cell>
        </row>
        <row r="6229">
          <cell r="A6229" t="str">
            <v>CASTIGLIONE COSENTINO</v>
          </cell>
          <cell r="B6229" t="str">
            <v>078030</v>
          </cell>
          <cell r="C6229" t="str">
            <v>CS</v>
          </cell>
          <cell r="D6229" t="str">
            <v>CS</v>
          </cell>
          <cell r="E6229" t="str">
            <v>87040</v>
          </cell>
        </row>
        <row r="6230">
          <cell r="A6230" t="str">
            <v>CASTROLIBERO</v>
          </cell>
          <cell r="B6230" t="str">
            <v>078031</v>
          </cell>
          <cell r="C6230" t="str">
            <v>CS</v>
          </cell>
          <cell r="D6230" t="str">
            <v>CS</v>
          </cell>
          <cell r="E6230" t="str">
            <v>87040</v>
          </cell>
        </row>
        <row r="6231">
          <cell r="A6231" t="str">
            <v>CASTROREGIO</v>
          </cell>
          <cell r="B6231" t="str">
            <v>078032</v>
          </cell>
          <cell r="C6231" t="str">
            <v>CS</v>
          </cell>
          <cell r="D6231" t="str">
            <v>CS</v>
          </cell>
          <cell r="E6231" t="str">
            <v>87070</v>
          </cell>
        </row>
        <row r="6232">
          <cell r="A6232" t="str">
            <v>CASTROVILLARI</v>
          </cell>
          <cell r="B6232" t="str">
            <v>078033</v>
          </cell>
          <cell r="C6232" t="str">
            <v>CS</v>
          </cell>
          <cell r="D6232" t="str">
            <v>CS</v>
          </cell>
          <cell r="E6232" t="str">
            <v>87012</v>
          </cell>
        </row>
        <row r="6233">
          <cell r="A6233" t="str">
            <v>CELICO</v>
          </cell>
          <cell r="B6233" t="str">
            <v>078034</v>
          </cell>
          <cell r="C6233" t="str">
            <v>CS</v>
          </cell>
          <cell r="D6233" t="str">
            <v>CS</v>
          </cell>
          <cell r="E6233" t="str">
            <v>87053</v>
          </cell>
        </row>
        <row r="6234">
          <cell r="A6234" t="str">
            <v>CELLARA</v>
          </cell>
          <cell r="B6234" t="str">
            <v>078035</v>
          </cell>
          <cell r="C6234" t="str">
            <v>CS</v>
          </cell>
          <cell r="D6234" t="str">
            <v>CS</v>
          </cell>
          <cell r="E6234" t="str">
            <v>87050</v>
          </cell>
        </row>
        <row r="6235">
          <cell r="A6235" t="str">
            <v>CERCHIARA DI CALABRIA</v>
          </cell>
          <cell r="B6235" t="str">
            <v>078036</v>
          </cell>
          <cell r="C6235" t="str">
            <v>CS</v>
          </cell>
          <cell r="D6235" t="str">
            <v>CS</v>
          </cell>
          <cell r="E6235" t="str">
            <v>87070</v>
          </cell>
        </row>
        <row r="6236">
          <cell r="A6236" t="str">
            <v>CERISANO</v>
          </cell>
          <cell r="B6236" t="str">
            <v>078037</v>
          </cell>
          <cell r="C6236" t="str">
            <v>CS</v>
          </cell>
          <cell r="D6236" t="str">
            <v>CS</v>
          </cell>
          <cell r="E6236" t="str">
            <v>87044</v>
          </cell>
        </row>
        <row r="6237">
          <cell r="A6237" t="str">
            <v>CERVICATI</v>
          </cell>
          <cell r="B6237" t="str">
            <v>078038</v>
          </cell>
          <cell r="C6237" t="str">
            <v>CS</v>
          </cell>
          <cell r="D6237" t="str">
            <v>CS</v>
          </cell>
          <cell r="E6237" t="str">
            <v>87010</v>
          </cell>
        </row>
        <row r="6238">
          <cell r="A6238" t="str">
            <v>CERZETO</v>
          </cell>
          <cell r="B6238" t="str">
            <v>078039</v>
          </cell>
          <cell r="C6238" t="str">
            <v>CS</v>
          </cell>
          <cell r="D6238" t="str">
            <v>CS</v>
          </cell>
          <cell r="E6238" t="str">
            <v>87040</v>
          </cell>
        </row>
        <row r="6239">
          <cell r="A6239" t="str">
            <v>CETRARO</v>
          </cell>
          <cell r="B6239" t="str">
            <v>078040</v>
          </cell>
          <cell r="C6239" t="str">
            <v>CS</v>
          </cell>
          <cell r="D6239" t="str">
            <v>CS</v>
          </cell>
          <cell r="E6239" t="str">
            <v>87022</v>
          </cell>
        </row>
        <row r="6240">
          <cell r="A6240" t="str">
            <v>CIVITA</v>
          </cell>
          <cell r="B6240" t="str">
            <v>078041</v>
          </cell>
          <cell r="C6240" t="str">
            <v>CS</v>
          </cell>
          <cell r="D6240" t="str">
            <v>CS</v>
          </cell>
          <cell r="E6240" t="str">
            <v>87010</v>
          </cell>
        </row>
        <row r="6241">
          <cell r="A6241" t="str">
            <v>CLETO</v>
          </cell>
          <cell r="B6241" t="str">
            <v>078042</v>
          </cell>
          <cell r="C6241" t="str">
            <v>CS</v>
          </cell>
          <cell r="D6241" t="str">
            <v>CS</v>
          </cell>
          <cell r="E6241" t="str">
            <v>87030</v>
          </cell>
        </row>
        <row r="6242">
          <cell r="A6242" t="str">
            <v>COLOSIMI</v>
          </cell>
          <cell r="B6242" t="str">
            <v>078043</v>
          </cell>
          <cell r="C6242" t="str">
            <v>CS</v>
          </cell>
          <cell r="D6242" t="str">
            <v>CS</v>
          </cell>
          <cell r="E6242" t="str">
            <v>87050</v>
          </cell>
        </row>
        <row r="6243">
          <cell r="A6243" t="str">
            <v>COSENZA</v>
          </cell>
          <cell r="B6243" t="str">
            <v>078045</v>
          </cell>
          <cell r="C6243" t="str">
            <v>CS</v>
          </cell>
          <cell r="D6243" t="str">
            <v>CS</v>
          </cell>
          <cell r="E6243" t="str">
            <v>87100</v>
          </cell>
        </row>
        <row r="6244">
          <cell r="A6244" t="str">
            <v>CROPALATI</v>
          </cell>
          <cell r="B6244" t="str">
            <v>078046</v>
          </cell>
          <cell r="C6244" t="str">
            <v>CS</v>
          </cell>
          <cell r="D6244" t="str">
            <v>CS</v>
          </cell>
          <cell r="E6244" t="str">
            <v>87060</v>
          </cell>
        </row>
        <row r="6245">
          <cell r="A6245" t="str">
            <v>CROSIA</v>
          </cell>
          <cell r="B6245" t="str">
            <v>078047</v>
          </cell>
          <cell r="C6245" t="str">
            <v>CS</v>
          </cell>
          <cell r="D6245" t="str">
            <v>CS</v>
          </cell>
          <cell r="E6245" t="str">
            <v>87060</v>
          </cell>
        </row>
        <row r="6246">
          <cell r="A6246" t="str">
            <v>DIAMANTE</v>
          </cell>
          <cell r="B6246" t="str">
            <v>078048</v>
          </cell>
          <cell r="C6246" t="str">
            <v>CS</v>
          </cell>
          <cell r="D6246" t="str">
            <v>CS</v>
          </cell>
          <cell r="E6246" t="str">
            <v>87023</v>
          </cell>
        </row>
        <row r="6247">
          <cell r="A6247" t="str">
            <v>DIPIGNANO</v>
          </cell>
          <cell r="B6247" t="str">
            <v>078049</v>
          </cell>
          <cell r="C6247" t="str">
            <v>CS</v>
          </cell>
          <cell r="D6247" t="str">
            <v>CS</v>
          </cell>
          <cell r="E6247" t="str">
            <v>87045</v>
          </cell>
        </row>
        <row r="6248">
          <cell r="A6248" t="str">
            <v>DOMANICO</v>
          </cell>
          <cell r="B6248" t="str">
            <v>078050</v>
          </cell>
          <cell r="C6248" t="str">
            <v>CS</v>
          </cell>
          <cell r="D6248" t="str">
            <v>CS</v>
          </cell>
          <cell r="E6248" t="str">
            <v>87030</v>
          </cell>
        </row>
        <row r="6249">
          <cell r="A6249" t="str">
            <v>FAGNANO CASTELLO</v>
          </cell>
          <cell r="B6249" t="str">
            <v>078051</v>
          </cell>
          <cell r="C6249" t="str">
            <v>CS</v>
          </cell>
          <cell r="D6249" t="str">
            <v>CS</v>
          </cell>
          <cell r="E6249" t="str">
            <v>87013</v>
          </cell>
        </row>
        <row r="6250">
          <cell r="A6250" t="str">
            <v>FALCONARA ALBANESE</v>
          </cell>
          <cell r="B6250" t="str">
            <v>078052</v>
          </cell>
          <cell r="C6250" t="str">
            <v>CS</v>
          </cell>
          <cell r="D6250" t="str">
            <v>CS</v>
          </cell>
          <cell r="E6250" t="str">
            <v>87030</v>
          </cell>
        </row>
        <row r="6251">
          <cell r="A6251" t="str">
            <v>FIGLINE VEGLIATURO</v>
          </cell>
          <cell r="B6251" t="str">
            <v>078053</v>
          </cell>
          <cell r="C6251" t="str">
            <v>CS</v>
          </cell>
          <cell r="D6251" t="str">
            <v>CS</v>
          </cell>
          <cell r="E6251" t="str">
            <v>87050</v>
          </cell>
        </row>
        <row r="6252">
          <cell r="A6252" t="str">
            <v>FIRMO</v>
          </cell>
          <cell r="B6252" t="str">
            <v>078054</v>
          </cell>
          <cell r="C6252" t="str">
            <v>CS</v>
          </cell>
          <cell r="D6252" t="str">
            <v>CS</v>
          </cell>
          <cell r="E6252" t="str">
            <v>87010</v>
          </cell>
        </row>
        <row r="6253">
          <cell r="A6253" t="str">
            <v>FIUMEFREDDO BRUZIO</v>
          </cell>
          <cell r="B6253" t="str">
            <v>078055</v>
          </cell>
          <cell r="C6253" t="str">
            <v>CS</v>
          </cell>
          <cell r="D6253" t="str">
            <v>CS</v>
          </cell>
          <cell r="E6253" t="str">
            <v>87030</v>
          </cell>
        </row>
        <row r="6254">
          <cell r="A6254" t="str">
            <v>FRANCAVILLA MARITTIMA</v>
          </cell>
          <cell r="B6254" t="str">
            <v>078056</v>
          </cell>
          <cell r="C6254" t="str">
            <v>CS</v>
          </cell>
          <cell r="D6254" t="str">
            <v>CS</v>
          </cell>
          <cell r="E6254" t="str">
            <v>87072</v>
          </cell>
        </row>
        <row r="6255">
          <cell r="A6255" t="str">
            <v>FRASCINETO</v>
          </cell>
          <cell r="B6255" t="str">
            <v>078057</v>
          </cell>
          <cell r="C6255" t="str">
            <v>CS</v>
          </cell>
          <cell r="D6255" t="str">
            <v>CS</v>
          </cell>
          <cell r="E6255" t="str">
            <v>87010</v>
          </cell>
        </row>
        <row r="6256">
          <cell r="A6256" t="str">
            <v>FUSCALDO</v>
          </cell>
          <cell r="B6256" t="str">
            <v>078058</v>
          </cell>
          <cell r="C6256" t="str">
            <v>CS</v>
          </cell>
          <cell r="D6256" t="str">
            <v>CS</v>
          </cell>
          <cell r="E6256" t="str">
            <v>87024</v>
          </cell>
        </row>
        <row r="6257">
          <cell r="A6257" t="str">
            <v>GRIMALDI</v>
          </cell>
          <cell r="B6257" t="str">
            <v>078059</v>
          </cell>
          <cell r="C6257" t="str">
            <v>CS</v>
          </cell>
          <cell r="D6257" t="str">
            <v>CS</v>
          </cell>
          <cell r="E6257" t="str">
            <v>87034</v>
          </cell>
        </row>
        <row r="6258">
          <cell r="A6258" t="str">
            <v>GRISOLIA</v>
          </cell>
          <cell r="B6258" t="str">
            <v>078060</v>
          </cell>
          <cell r="C6258" t="str">
            <v>CS</v>
          </cell>
          <cell r="D6258" t="str">
            <v>CS</v>
          </cell>
          <cell r="E6258" t="str">
            <v>87020</v>
          </cell>
        </row>
        <row r="6259">
          <cell r="A6259" t="str">
            <v>GUARDIA PIEMONTESE</v>
          </cell>
          <cell r="B6259" t="str">
            <v>078061</v>
          </cell>
          <cell r="C6259" t="str">
            <v>CS</v>
          </cell>
          <cell r="D6259" t="str">
            <v>CS</v>
          </cell>
          <cell r="E6259" t="str">
            <v>87020</v>
          </cell>
        </row>
        <row r="6260">
          <cell r="A6260" t="str">
            <v>LAGO</v>
          </cell>
          <cell r="B6260" t="str">
            <v>078062</v>
          </cell>
          <cell r="C6260" t="str">
            <v>CS</v>
          </cell>
          <cell r="D6260" t="str">
            <v>CS</v>
          </cell>
          <cell r="E6260" t="str">
            <v>87035</v>
          </cell>
        </row>
        <row r="6261">
          <cell r="A6261" t="str">
            <v>LAINO BORGO</v>
          </cell>
          <cell r="B6261" t="str">
            <v>078063</v>
          </cell>
          <cell r="C6261" t="str">
            <v>CS</v>
          </cell>
          <cell r="D6261" t="str">
            <v>CS</v>
          </cell>
          <cell r="E6261" t="str">
            <v>87014</v>
          </cell>
        </row>
        <row r="6262">
          <cell r="A6262" t="str">
            <v>LAINO CASTELLO</v>
          </cell>
          <cell r="B6262" t="str">
            <v>078064</v>
          </cell>
          <cell r="C6262" t="str">
            <v>CS</v>
          </cell>
          <cell r="D6262" t="str">
            <v>CS</v>
          </cell>
          <cell r="E6262" t="str">
            <v>87015</v>
          </cell>
        </row>
        <row r="6263">
          <cell r="A6263" t="str">
            <v>LAPPANO</v>
          </cell>
          <cell r="B6263" t="str">
            <v>078065</v>
          </cell>
          <cell r="C6263" t="str">
            <v>CS</v>
          </cell>
          <cell r="D6263" t="str">
            <v>CS</v>
          </cell>
          <cell r="E6263" t="str">
            <v>87050</v>
          </cell>
        </row>
        <row r="6264">
          <cell r="A6264" t="str">
            <v>LATTARICO</v>
          </cell>
          <cell r="B6264" t="str">
            <v>078066</v>
          </cell>
          <cell r="C6264" t="str">
            <v>CS</v>
          </cell>
          <cell r="D6264" t="str">
            <v>CS</v>
          </cell>
          <cell r="E6264" t="str">
            <v>87010</v>
          </cell>
        </row>
        <row r="6265">
          <cell r="A6265" t="str">
            <v>LONGOBARDI</v>
          </cell>
          <cell r="B6265" t="str">
            <v>078067</v>
          </cell>
          <cell r="C6265" t="str">
            <v>CS</v>
          </cell>
          <cell r="D6265" t="str">
            <v>CS</v>
          </cell>
          <cell r="E6265" t="str">
            <v>87030</v>
          </cell>
        </row>
        <row r="6266">
          <cell r="A6266" t="str">
            <v>LONGOBUCCO</v>
          </cell>
          <cell r="B6266" t="str">
            <v>078068</v>
          </cell>
          <cell r="C6266" t="str">
            <v>CS</v>
          </cell>
          <cell r="D6266" t="str">
            <v>CS</v>
          </cell>
          <cell r="E6266" t="str">
            <v>87066</v>
          </cell>
        </row>
        <row r="6267">
          <cell r="A6267" t="str">
            <v>LUNGRO</v>
          </cell>
          <cell r="B6267" t="str">
            <v>078069</v>
          </cell>
          <cell r="C6267" t="str">
            <v>CS</v>
          </cell>
          <cell r="D6267" t="str">
            <v>CS</v>
          </cell>
          <cell r="E6267" t="str">
            <v>87010</v>
          </cell>
        </row>
        <row r="6268">
          <cell r="A6268" t="str">
            <v>LUZZI</v>
          </cell>
          <cell r="B6268" t="str">
            <v>078070</v>
          </cell>
          <cell r="C6268" t="str">
            <v>CS</v>
          </cell>
          <cell r="D6268" t="str">
            <v>CS</v>
          </cell>
          <cell r="E6268" t="str">
            <v>87040</v>
          </cell>
        </row>
        <row r="6269">
          <cell r="A6269" t="str">
            <v>MAIERÀ</v>
          </cell>
          <cell r="B6269" t="str">
            <v>078071</v>
          </cell>
          <cell r="C6269" t="str">
            <v>CS</v>
          </cell>
          <cell r="D6269" t="str">
            <v>CS</v>
          </cell>
          <cell r="E6269" t="str">
            <v>87020</v>
          </cell>
        </row>
        <row r="6270">
          <cell r="A6270" t="str">
            <v>MALITO</v>
          </cell>
          <cell r="B6270" t="str">
            <v>078072</v>
          </cell>
          <cell r="C6270" t="str">
            <v>CS</v>
          </cell>
          <cell r="D6270" t="str">
            <v>CS</v>
          </cell>
          <cell r="E6270" t="str">
            <v>87030</v>
          </cell>
        </row>
        <row r="6271">
          <cell r="A6271" t="str">
            <v>MALVITO</v>
          </cell>
          <cell r="B6271" t="str">
            <v>078073</v>
          </cell>
          <cell r="C6271" t="str">
            <v>CS</v>
          </cell>
          <cell r="D6271" t="str">
            <v>CS</v>
          </cell>
          <cell r="E6271" t="str">
            <v>87010</v>
          </cell>
        </row>
        <row r="6272">
          <cell r="A6272" t="str">
            <v>MANDATORICCIO</v>
          </cell>
          <cell r="B6272" t="str">
            <v>078074</v>
          </cell>
          <cell r="C6272" t="str">
            <v>CS</v>
          </cell>
          <cell r="D6272" t="str">
            <v>CS</v>
          </cell>
          <cell r="E6272" t="str">
            <v>87060</v>
          </cell>
        </row>
        <row r="6273">
          <cell r="A6273" t="str">
            <v>MANGONE</v>
          </cell>
          <cell r="B6273" t="str">
            <v>078075</v>
          </cell>
          <cell r="C6273" t="str">
            <v>CS</v>
          </cell>
          <cell r="D6273" t="str">
            <v>CS</v>
          </cell>
          <cell r="E6273" t="str">
            <v>87050</v>
          </cell>
        </row>
        <row r="6274">
          <cell r="A6274" t="str">
            <v>MARANO MARCHESATO</v>
          </cell>
          <cell r="B6274" t="str">
            <v>078076</v>
          </cell>
          <cell r="C6274" t="str">
            <v>CS</v>
          </cell>
          <cell r="D6274" t="str">
            <v>CS</v>
          </cell>
          <cell r="E6274" t="str">
            <v>87040</v>
          </cell>
        </row>
        <row r="6275">
          <cell r="A6275" t="str">
            <v>MARANO PRINCIPATO</v>
          </cell>
          <cell r="B6275" t="str">
            <v>078077</v>
          </cell>
          <cell r="C6275" t="str">
            <v>CS</v>
          </cell>
          <cell r="D6275" t="str">
            <v>CS</v>
          </cell>
          <cell r="E6275" t="str">
            <v>87040</v>
          </cell>
        </row>
        <row r="6276">
          <cell r="A6276" t="str">
            <v>MARZI</v>
          </cell>
          <cell r="B6276" t="str">
            <v>078078</v>
          </cell>
          <cell r="C6276" t="str">
            <v>CS</v>
          </cell>
          <cell r="D6276" t="str">
            <v>CS</v>
          </cell>
          <cell r="E6276" t="str">
            <v>87050</v>
          </cell>
        </row>
        <row r="6277">
          <cell r="A6277" t="str">
            <v>MENDICINO</v>
          </cell>
          <cell r="B6277" t="str">
            <v>078079</v>
          </cell>
          <cell r="C6277" t="str">
            <v>CS</v>
          </cell>
          <cell r="D6277" t="str">
            <v>CS</v>
          </cell>
          <cell r="E6277" t="str">
            <v>87040</v>
          </cell>
        </row>
        <row r="6278">
          <cell r="A6278" t="str">
            <v>MONGRASSANO</v>
          </cell>
          <cell r="B6278" t="str">
            <v>078080</v>
          </cell>
          <cell r="C6278" t="str">
            <v>CS</v>
          </cell>
          <cell r="D6278" t="str">
            <v>CS</v>
          </cell>
          <cell r="E6278" t="str">
            <v>87040</v>
          </cell>
        </row>
        <row r="6279">
          <cell r="A6279" t="str">
            <v>MONTALTO UFFUGO</v>
          </cell>
          <cell r="B6279" t="str">
            <v>078081</v>
          </cell>
          <cell r="C6279" t="str">
            <v>CS</v>
          </cell>
          <cell r="D6279" t="str">
            <v>CS</v>
          </cell>
          <cell r="E6279" t="str">
            <v>87046</v>
          </cell>
        </row>
        <row r="6280">
          <cell r="A6280" t="str">
            <v>MONTEGIORDANO</v>
          </cell>
          <cell r="B6280" t="str">
            <v>078082</v>
          </cell>
          <cell r="C6280" t="str">
            <v>CS</v>
          </cell>
          <cell r="D6280" t="str">
            <v>CS</v>
          </cell>
          <cell r="E6280" t="str">
            <v>87070</v>
          </cell>
        </row>
        <row r="6281">
          <cell r="A6281" t="str">
            <v>MORANO CALABRO</v>
          </cell>
          <cell r="B6281" t="str">
            <v>078083</v>
          </cell>
          <cell r="C6281" t="str">
            <v>CS</v>
          </cell>
          <cell r="D6281" t="str">
            <v>CS</v>
          </cell>
          <cell r="E6281" t="str">
            <v>87016</v>
          </cell>
        </row>
        <row r="6282">
          <cell r="A6282" t="str">
            <v>MORMANNO</v>
          </cell>
          <cell r="B6282" t="str">
            <v>078084</v>
          </cell>
          <cell r="C6282" t="str">
            <v>CS</v>
          </cell>
          <cell r="D6282" t="str">
            <v>CS</v>
          </cell>
          <cell r="E6282" t="str">
            <v>87026</v>
          </cell>
        </row>
        <row r="6283">
          <cell r="A6283" t="str">
            <v>MOTTAFOLLONE</v>
          </cell>
          <cell r="B6283" t="str">
            <v>078085</v>
          </cell>
          <cell r="C6283" t="str">
            <v>CS</v>
          </cell>
          <cell r="D6283" t="str">
            <v>CS</v>
          </cell>
          <cell r="E6283" t="str">
            <v>87010</v>
          </cell>
        </row>
        <row r="6284">
          <cell r="A6284" t="str">
            <v>NOCARA</v>
          </cell>
          <cell r="B6284" t="str">
            <v>078086</v>
          </cell>
          <cell r="C6284" t="str">
            <v>CS</v>
          </cell>
          <cell r="D6284" t="str">
            <v>CS</v>
          </cell>
          <cell r="E6284" t="str">
            <v>87070</v>
          </cell>
        </row>
        <row r="6285">
          <cell r="A6285" t="str">
            <v>ORIOLO</v>
          </cell>
          <cell r="B6285" t="str">
            <v>078087</v>
          </cell>
          <cell r="C6285" t="str">
            <v>CS</v>
          </cell>
          <cell r="D6285" t="str">
            <v>CS</v>
          </cell>
          <cell r="E6285" t="str">
            <v>87073</v>
          </cell>
        </row>
        <row r="6286">
          <cell r="A6286" t="str">
            <v>ORSOMARSO</v>
          </cell>
          <cell r="B6286" t="str">
            <v>078088</v>
          </cell>
          <cell r="C6286" t="str">
            <v>CS</v>
          </cell>
          <cell r="D6286" t="str">
            <v>CS</v>
          </cell>
          <cell r="E6286" t="str">
            <v>87020</v>
          </cell>
        </row>
        <row r="6287">
          <cell r="A6287" t="str">
            <v>PALUDI</v>
          </cell>
          <cell r="B6287" t="str">
            <v>078089</v>
          </cell>
          <cell r="C6287" t="str">
            <v>CS</v>
          </cell>
          <cell r="D6287" t="str">
            <v>CS</v>
          </cell>
          <cell r="E6287" t="str">
            <v>87060</v>
          </cell>
        </row>
        <row r="6288">
          <cell r="A6288" t="str">
            <v>PANETTIERI</v>
          </cell>
          <cell r="B6288" t="str">
            <v>078090</v>
          </cell>
          <cell r="C6288" t="str">
            <v>CS</v>
          </cell>
          <cell r="D6288" t="str">
            <v>CS</v>
          </cell>
          <cell r="E6288" t="str">
            <v>87050</v>
          </cell>
        </row>
        <row r="6289">
          <cell r="A6289" t="str">
            <v>PAOLA</v>
          </cell>
          <cell r="B6289" t="str">
            <v>078091</v>
          </cell>
          <cell r="C6289" t="str">
            <v>CS</v>
          </cell>
          <cell r="D6289" t="str">
            <v>CS</v>
          </cell>
          <cell r="E6289" t="str">
            <v>87027</v>
          </cell>
        </row>
        <row r="6290">
          <cell r="A6290" t="str">
            <v>PAPASIDERO</v>
          </cell>
          <cell r="B6290" t="str">
            <v>078092</v>
          </cell>
          <cell r="C6290" t="str">
            <v>CS</v>
          </cell>
          <cell r="D6290" t="str">
            <v>CS</v>
          </cell>
          <cell r="E6290" t="str">
            <v>87020</v>
          </cell>
        </row>
        <row r="6291">
          <cell r="A6291" t="str">
            <v>PARENTI</v>
          </cell>
          <cell r="B6291" t="str">
            <v>078093</v>
          </cell>
          <cell r="C6291" t="str">
            <v>CS</v>
          </cell>
          <cell r="D6291" t="str">
            <v>CS</v>
          </cell>
          <cell r="E6291" t="str">
            <v>87040</v>
          </cell>
        </row>
        <row r="6292">
          <cell r="A6292" t="str">
            <v>PATERNO CALABRO</v>
          </cell>
          <cell r="B6292" t="str">
            <v>078094</v>
          </cell>
          <cell r="C6292" t="str">
            <v>CS</v>
          </cell>
          <cell r="D6292" t="str">
            <v>CS</v>
          </cell>
          <cell r="E6292" t="str">
            <v>87040</v>
          </cell>
        </row>
        <row r="6293">
          <cell r="A6293" t="str">
            <v>PEDIVIGLIANO</v>
          </cell>
          <cell r="B6293" t="str">
            <v>078096</v>
          </cell>
          <cell r="C6293" t="str">
            <v>CS</v>
          </cell>
          <cell r="D6293" t="str">
            <v>CS</v>
          </cell>
          <cell r="E6293" t="str">
            <v>87050</v>
          </cell>
        </row>
        <row r="6294">
          <cell r="A6294" t="str">
            <v>PIANE CRATI</v>
          </cell>
          <cell r="B6294" t="str">
            <v>078097</v>
          </cell>
          <cell r="C6294" t="str">
            <v>CS</v>
          </cell>
          <cell r="D6294" t="str">
            <v>CS</v>
          </cell>
          <cell r="E6294" t="str">
            <v>87050</v>
          </cell>
        </row>
        <row r="6295">
          <cell r="A6295" t="str">
            <v>PIETRAFITTA</v>
          </cell>
          <cell r="B6295" t="str">
            <v>078098</v>
          </cell>
          <cell r="C6295" t="str">
            <v>CS</v>
          </cell>
          <cell r="D6295" t="str">
            <v>CS</v>
          </cell>
          <cell r="E6295" t="str">
            <v>87050</v>
          </cell>
        </row>
        <row r="6296">
          <cell r="A6296" t="str">
            <v>PIETRAPAOLA</v>
          </cell>
          <cell r="B6296" t="str">
            <v>078099</v>
          </cell>
          <cell r="C6296" t="str">
            <v>CS</v>
          </cell>
          <cell r="D6296" t="str">
            <v>CS</v>
          </cell>
          <cell r="E6296" t="str">
            <v>87060</v>
          </cell>
        </row>
        <row r="6297">
          <cell r="A6297" t="str">
            <v>PLATACI</v>
          </cell>
          <cell r="B6297" t="str">
            <v>078100</v>
          </cell>
          <cell r="C6297" t="str">
            <v>CS</v>
          </cell>
          <cell r="D6297" t="str">
            <v>CS</v>
          </cell>
          <cell r="E6297" t="str">
            <v>87070</v>
          </cell>
        </row>
        <row r="6298">
          <cell r="A6298" t="str">
            <v>PRAIA A MARE</v>
          </cell>
          <cell r="B6298" t="str">
            <v>078101</v>
          </cell>
          <cell r="C6298" t="str">
            <v>CS</v>
          </cell>
          <cell r="D6298" t="str">
            <v>CS</v>
          </cell>
          <cell r="E6298" t="str">
            <v>87028</v>
          </cell>
        </row>
        <row r="6299">
          <cell r="A6299" t="str">
            <v>RENDE</v>
          </cell>
          <cell r="B6299" t="str">
            <v>078102</v>
          </cell>
          <cell r="C6299" t="str">
            <v>CS</v>
          </cell>
          <cell r="D6299" t="str">
            <v>CS</v>
          </cell>
          <cell r="E6299" t="str">
            <v>87036</v>
          </cell>
        </row>
        <row r="6300">
          <cell r="A6300" t="str">
            <v>ROCCA IMPERIALE</v>
          </cell>
          <cell r="B6300" t="str">
            <v>078103</v>
          </cell>
          <cell r="C6300" t="str">
            <v>CS</v>
          </cell>
          <cell r="D6300" t="str">
            <v>CS</v>
          </cell>
          <cell r="E6300" t="str">
            <v>87074</v>
          </cell>
        </row>
        <row r="6301">
          <cell r="A6301" t="str">
            <v>ROGGIANO GRAVINA</v>
          </cell>
          <cell r="B6301" t="str">
            <v>078104</v>
          </cell>
          <cell r="C6301" t="str">
            <v>CS</v>
          </cell>
          <cell r="D6301" t="str">
            <v>CS</v>
          </cell>
          <cell r="E6301" t="str">
            <v>87017</v>
          </cell>
        </row>
        <row r="6302">
          <cell r="A6302" t="str">
            <v>ROGLIANO</v>
          </cell>
          <cell r="B6302" t="str">
            <v>078105</v>
          </cell>
          <cell r="C6302" t="str">
            <v>CS</v>
          </cell>
          <cell r="D6302" t="str">
            <v>CS</v>
          </cell>
          <cell r="E6302" t="str">
            <v>87054</v>
          </cell>
        </row>
        <row r="6303">
          <cell r="A6303" t="str">
            <v>ROSE</v>
          </cell>
          <cell r="B6303" t="str">
            <v>078106</v>
          </cell>
          <cell r="C6303" t="str">
            <v>CS</v>
          </cell>
          <cell r="D6303" t="str">
            <v>CS</v>
          </cell>
          <cell r="E6303" t="str">
            <v>87040</v>
          </cell>
        </row>
        <row r="6304">
          <cell r="A6304" t="str">
            <v>ROSETO CAPO SPULICO</v>
          </cell>
          <cell r="B6304" t="str">
            <v>078107</v>
          </cell>
          <cell r="C6304" t="str">
            <v>CS</v>
          </cell>
          <cell r="D6304" t="str">
            <v>CS</v>
          </cell>
          <cell r="E6304" t="str">
            <v>87070</v>
          </cell>
        </row>
        <row r="6305">
          <cell r="A6305" t="str">
            <v>ROTA GRECA</v>
          </cell>
          <cell r="B6305" t="str">
            <v>078109</v>
          </cell>
          <cell r="C6305" t="str">
            <v>CS</v>
          </cell>
          <cell r="D6305" t="str">
            <v>CS</v>
          </cell>
          <cell r="E6305" t="str">
            <v>87010</v>
          </cell>
        </row>
        <row r="6306">
          <cell r="A6306" t="str">
            <v>ROVITO</v>
          </cell>
          <cell r="B6306" t="str">
            <v>078110</v>
          </cell>
          <cell r="C6306" t="str">
            <v>CS</v>
          </cell>
          <cell r="D6306" t="str">
            <v>CS</v>
          </cell>
          <cell r="E6306" t="str">
            <v>87050</v>
          </cell>
        </row>
        <row r="6307">
          <cell r="A6307" t="str">
            <v>SAN BASILE</v>
          </cell>
          <cell r="B6307" t="str">
            <v>078111</v>
          </cell>
          <cell r="C6307" t="str">
            <v>CS</v>
          </cell>
          <cell r="D6307" t="str">
            <v>CS</v>
          </cell>
          <cell r="E6307" t="str">
            <v>87010</v>
          </cell>
        </row>
        <row r="6308">
          <cell r="A6308" t="str">
            <v>SAN BENEDETTO ULLANO</v>
          </cell>
          <cell r="B6308" t="str">
            <v>078112</v>
          </cell>
          <cell r="C6308" t="str">
            <v>CS</v>
          </cell>
          <cell r="D6308" t="str">
            <v>CS</v>
          </cell>
          <cell r="E6308" t="str">
            <v>87040</v>
          </cell>
        </row>
        <row r="6309">
          <cell r="A6309" t="str">
            <v>SAN COSMO ALBANESE</v>
          </cell>
          <cell r="B6309" t="str">
            <v>078113</v>
          </cell>
          <cell r="C6309" t="str">
            <v>CS</v>
          </cell>
          <cell r="D6309" t="str">
            <v>CS</v>
          </cell>
          <cell r="E6309" t="str">
            <v>87060</v>
          </cell>
        </row>
        <row r="6310">
          <cell r="A6310" t="str">
            <v>SAN DEMETRIO CORONE</v>
          </cell>
          <cell r="B6310" t="str">
            <v>078114</v>
          </cell>
          <cell r="C6310" t="str">
            <v>CS</v>
          </cell>
          <cell r="D6310" t="str">
            <v>CS</v>
          </cell>
          <cell r="E6310" t="str">
            <v>87069</v>
          </cell>
        </row>
        <row r="6311">
          <cell r="A6311" t="str">
            <v>SAN DONATO DI NINEA</v>
          </cell>
          <cell r="B6311" t="str">
            <v>078115</v>
          </cell>
          <cell r="C6311" t="str">
            <v>CS</v>
          </cell>
          <cell r="D6311" t="str">
            <v>CS</v>
          </cell>
          <cell r="E6311" t="str">
            <v>87010</v>
          </cell>
        </row>
        <row r="6312">
          <cell r="A6312" t="str">
            <v>SAN FILI</v>
          </cell>
          <cell r="B6312" t="str">
            <v>078116</v>
          </cell>
          <cell r="C6312" t="str">
            <v>CS</v>
          </cell>
          <cell r="D6312" t="str">
            <v>CS</v>
          </cell>
          <cell r="E6312" t="str">
            <v>87037</v>
          </cell>
        </row>
        <row r="6313">
          <cell r="A6313" t="str">
            <v>SANGINETO</v>
          </cell>
          <cell r="B6313" t="str">
            <v>078117</v>
          </cell>
          <cell r="C6313" t="str">
            <v>CS</v>
          </cell>
          <cell r="D6313" t="str">
            <v>CS</v>
          </cell>
          <cell r="E6313" t="str">
            <v>87020</v>
          </cell>
        </row>
        <row r="6314">
          <cell r="A6314" t="str">
            <v>SAN GIORGIO ALBANESE</v>
          </cell>
          <cell r="B6314" t="str">
            <v>078118</v>
          </cell>
          <cell r="C6314" t="str">
            <v>CS</v>
          </cell>
          <cell r="D6314" t="str">
            <v>CS</v>
          </cell>
          <cell r="E6314" t="str">
            <v>87060</v>
          </cell>
        </row>
        <row r="6315">
          <cell r="A6315" t="str">
            <v>SAN GIOVANNI IN FIORE</v>
          </cell>
          <cell r="B6315" t="str">
            <v>078119</v>
          </cell>
          <cell r="C6315" t="str">
            <v>CS</v>
          </cell>
          <cell r="D6315" t="str">
            <v>CS</v>
          </cell>
          <cell r="E6315" t="str">
            <v>87055</v>
          </cell>
        </row>
        <row r="6316">
          <cell r="A6316" t="str">
            <v>SAN LORENZO BELLIZZI</v>
          </cell>
          <cell r="B6316" t="str">
            <v>078120</v>
          </cell>
          <cell r="C6316" t="str">
            <v>CS</v>
          </cell>
          <cell r="D6316" t="str">
            <v>CS</v>
          </cell>
          <cell r="E6316" t="str">
            <v>87070</v>
          </cell>
        </row>
        <row r="6317">
          <cell r="A6317" t="str">
            <v>SAN LORENZO DEL VALLO</v>
          </cell>
          <cell r="B6317" t="str">
            <v>078121</v>
          </cell>
          <cell r="C6317" t="str">
            <v>CS</v>
          </cell>
          <cell r="D6317" t="str">
            <v>CS</v>
          </cell>
          <cell r="E6317" t="str">
            <v>87040</v>
          </cell>
        </row>
        <row r="6318">
          <cell r="A6318" t="str">
            <v>SAN LUCIDO</v>
          </cell>
          <cell r="B6318" t="str">
            <v>078122</v>
          </cell>
          <cell r="C6318" t="str">
            <v>CS</v>
          </cell>
          <cell r="D6318" t="str">
            <v>CS</v>
          </cell>
          <cell r="E6318" t="str">
            <v>87038</v>
          </cell>
        </row>
        <row r="6319">
          <cell r="A6319" t="str">
            <v>SAN MARCO ARGENTANO</v>
          </cell>
          <cell r="B6319" t="str">
            <v>078123</v>
          </cell>
          <cell r="C6319" t="str">
            <v>CS</v>
          </cell>
          <cell r="D6319" t="str">
            <v>CS</v>
          </cell>
          <cell r="E6319" t="str">
            <v>87018</v>
          </cell>
        </row>
        <row r="6320">
          <cell r="A6320" t="str">
            <v>SAN MARTINO DI FINITA</v>
          </cell>
          <cell r="B6320" t="str">
            <v>078124</v>
          </cell>
          <cell r="C6320" t="str">
            <v>CS</v>
          </cell>
          <cell r="D6320" t="str">
            <v>CS</v>
          </cell>
          <cell r="E6320" t="str">
            <v>87010</v>
          </cell>
        </row>
        <row r="6321">
          <cell r="A6321" t="str">
            <v>SAN NICOLA ARCELLA</v>
          </cell>
          <cell r="B6321" t="str">
            <v>078125</v>
          </cell>
          <cell r="C6321" t="str">
            <v>CS</v>
          </cell>
          <cell r="D6321" t="str">
            <v>CS</v>
          </cell>
          <cell r="E6321" t="str">
            <v>87020</v>
          </cell>
        </row>
        <row r="6322">
          <cell r="A6322" t="str">
            <v>SAN PIETRO IN AMANTEA</v>
          </cell>
          <cell r="B6322" t="str">
            <v>078126</v>
          </cell>
          <cell r="C6322" t="str">
            <v>CS</v>
          </cell>
          <cell r="D6322" t="str">
            <v>CS</v>
          </cell>
          <cell r="E6322" t="str">
            <v>87030</v>
          </cell>
        </row>
        <row r="6323">
          <cell r="A6323" t="str">
            <v>SAN PIETRO IN GUARANO</v>
          </cell>
          <cell r="B6323" t="str">
            <v>078127</v>
          </cell>
          <cell r="C6323" t="str">
            <v>CS</v>
          </cell>
          <cell r="D6323" t="str">
            <v>CS</v>
          </cell>
          <cell r="E6323" t="str">
            <v>87047</v>
          </cell>
        </row>
        <row r="6324">
          <cell r="A6324" t="str">
            <v>SAN SOSTI</v>
          </cell>
          <cell r="B6324" t="str">
            <v>078128</v>
          </cell>
          <cell r="C6324" t="str">
            <v>CS</v>
          </cell>
          <cell r="D6324" t="str">
            <v>CS</v>
          </cell>
          <cell r="E6324" t="str">
            <v>87010</v>
          </cell>
        </row>
        <row r="6325">
          <cell r="A6325" t="str">
            <v>SANTA CATERINA ALBANESE</v>
          </cell>
          <cell r="B6325" t="str">
            <v>078129</v>
          </cell>
          <cell r="C6325" t="str">
            <v>CS</v>
          </cell>
          <cell r="D6325" t="str">
            <v>CS</v>
          </cell>
          <cell r="E6325" t="str">
            <v>87010</v>
          </cell>
        </row>
        <row r="6326">
          <cell r="A6326" t="str">
            <v>SANTA DOMENICA TALAO</v>
          </cell>
          <cell r="B6326" t="str">
            <v>078130</v>
          </cell>
          <cell r="C6326" t="str">
            <v>CS</v>
          </cell>
          <cell r="D6326" t="str">
            <v>CS</v>
          </cell>
          <cell r="E6326" t="str">
            <v>87020</v>
          </cell>
        </row>
        <row r="6327">
          <cell r="A6327" t="str">
            <v>SANT'AGATA DI ESARO</v>
          </cell>
          <cell r="B6327" t="str">
            <v>078131</v>
          </cell>
          <cell r="C6327" t="str">
            <v>CS</v>
          </cell>
          <cell r="D6327" t="str">
            <v>CS</v>
          </cell>
          <cell r="E6327" t="str">
            <v>87010</v>
          </cell>
        </row>
        <row r="6328">
          <cell r="A6328" t="str">
            <v>SANTA MARIA DEL CEDRO</v>
          </cell>
          <cell r="B6328" t="str">
            <v>078132</v>
          </cell>
          <cell r="C6328" t="str">
            <v>CS</v>
          </cell>
          <cell r="D6328" t="str">
            <v>CS</v>
          </cell>
          <cell r="E6328" t="str">
            <v>87020</v>
          </cell>
        </row>
        <row r="6329">
          <cell r="A6329" t="str">
            <v>SANTA SOFIA D'EPIRO</v>
          </cell>
          <cell r="B6329" t="str">
            <v>078133</v>
          </cell>
          <cell r="C6329" t="str">
            <v>CS</v>
          </cell>
          <cell r="D6329" t="str">
            <v>CS</v>
          </cell>
          <cell r="E6329" t="str">
            <v>87048</v>
          </cell>
        </row>
        <row r="6330">
          <cell r="A6330" t="str">
            <v>SANTO STEFANO DI ROGLIANO</v>
          </cell>
          <cell r="B6330" t="str">
            <v>078134</v>
          </cell>
          <cell r="C6330" t="str">
            <v>CS</v>
          </cell>
          <cell r="D6330" t="str">
            <v>CS</v>
          </cell>
          <cell r="E6330" t="str">
            <v>87056</v>
          </cell>
        </row>
        <row r="6331">
          <cell r="A6331" t="str">
            <v>SAN VINCENZO LA COSTA</v>
          </cell>
          <cell r="B6331" t="str">
            <v>078135</v>
          </cell>
          <cell r="C6331" t="str">
            <v>CS</v>
          </cell>
          <cell r="D6331" t="str">
            <v>CS</v>
          </cell>
          <cell r="E6331" t="str">
            <v>87030</v>
          </cell>
        </row>
        <row r="6332">
          <cell r="A6332" t="str">
            <v>SARACENA</v>
          </cell>
          <cell r="B6332" t="str">
            <v>078136</v>
          </cell>
          <cell r="C6332" t="str">
            <v>CS</v>
          </cell>
          <cell r="D6332" t="str">
            <v>CS</v>
          </cell>
          <cell r="E6332" t="str">
            <v>87010</v>
          </cell>
        </row>
        <row r="6333">
          <cell r="A6333" t="str">
            <v>SCALA COELI</v>
          </cell>
          <cell r="B6333" t="str">
            <v>078137</v>
          </cell>
          <cell r="C6333" t="str">
            <v>CS</v>
          </cell>
          <cell r="D6333" t="str">
            <v>CS</v>
          </cell>
          <cell r="E6333" t="str">
            <v>87060</v>
          </cell>
        </row>
        <row r="6334">
          <cell r="A6334" t="str">
            <v>SCALEA</v>
          </cell>
          <cell r="B6334" t="str">
            <v>078138</v>
          </cell>
          <cell r="C6334" t="str">
            <v>CS</v>
          </cell>
          <cell r="D6334" t="str">
            <v>CS</v>
          </cell>
          <cell r="E6334" t="str">
            <v>87029</v>
          </cell>
        </row>
        <row r="6335">
          <cell r="A6335" t="str">
            <v>SCIGLIANO</v>
          </cell>
          <cell r="B6335" t="str">
            <v>078139</v>
          </cell>
          <cell r="C6335" t="str">
            <v>CS</v>
          </cell>
          <cell r="D6335" t="str">
            <v>CS</v>
          </cell>
          <cell r="E6335" t="str">
            <v>87057</v>
          </cell>
        </row>
        <row r="6336">
          <cell r="A6336" t="str">
            <v>SERRA D'AIELLO</v>
          </cell>
          <cell r="B6336" t="str">
            <v>078140</v>
          </cell>
          <cell r="C6336" t="str">
            <v>CS</v>
          </cell>
          <cell r="D6336" t="str">
            <v>CS</v>
          </cell>
          <cell r="E6336" t="str">
            <v>87030</v>
          </cell>
        </row>
        <row r="6337">
          <cell r="A6337" t="str">
            <v>SPEZZANO ALBANESE</v>
          </cell>
          <cell r="B6337" t="str">
            <v>078142</v>
          </cell>
          <cell r="C6337" t="str">
            <v>CS</v>
          </cell>
          <cell r="D6337" t="str">
            <v>CS</v>
          </cell>
          <cell r="E6337" t="str">
            <v>87019</v>
          </cell>
        </row>
        <row r="6338">
          <cell r="A6338" t="str">
            <v>SPEZZANO DELLA SILA</v>
          </cell>
          <cell r="B6338" t="str">
            <v>078143</v>
          </cell>
          <cell r="C6338" t="str">
            <v>CS</v>
          </cell>
          <cell r="D6338" t="str">
            <v>CS</v>
          </cell>
          <cell r="E6338" t="str">
            <v>87058</v>
          </cell>
        </row>
        <row r="6339">
          <cell r="A6339" t="str">
            <v>TARSIA</v>
          </cell>
          <cell r="B6339" t="str">
            <v>078145</v>
          </cell>
          <cell r="C6339" t="str">
            <v>CS</v>
          </cell>
          <cell r="D6339" t="str">
            <v>CS</v>
          </cell>
          <cell r="E6339" t="str">
            <v>87040</v>
          </cell>
        </row>
        <row r="6340">
          <cell r="A6340" t="str">
            <v>TERRANOVA DA SIBARI</v>
          </cell>
          <cell r="B6340" t="str">
            <v>078146</v>
          </cell>
          <cell r="C6340" t="str">
            <v>CS</v>
          </cell>
          <cell r="D6340" t="str">
            <v>CS</v>
          </cell>
          <cell r="E6340" t="str">
            <v>87010</v>
          </cell>
        </row>
        <row r="6341">
          <cell r="A6341" t="str">
            <v>TERRAVECCHIA</v>
          </cell>
          <cell r="B6341" t="str">
            <v>078147</v>
          </cell>
          <cell r="C6341" t="str">
            <v>CS</v>
          </cell>
          <cell r="D6341" t="str">
            <v>CS</v>
          </cell>
          <cell r="E6341" t="str">
            <v>87060</v>
          </cell>
        </row>
        <row r="6342">
          <cell r="A6342" t="str">
            <v>TORANO CASTELLO</v>
          </cell>
          <cell r="B6342" t="str">
            <v>078148</v>
          </cell>
          <cell r="C6342" t="str">
            <v>CS</v>
          </cell>
          <cell r="D6342" t="str">
            <v>CS</v>
          </cell>
          <cell r="E6342" t="str">
            <v>87010</v>
          </cell>
        </row>
        <row r="6343">
          <cell r="A6343" t="str">
            <v>TORTORA</v>
          </cell>
          <cell r="B6343" t="str">
            <v>078149</v>
          </cell>
          <cell r="C6343" t="str">
            <v>CS</v>
          </cell>
          <cell r="D6343" t="str">
            <v>CS</v>
          </cell>
          <cell r="E6343" t="str">
            <v>87020</v>
          </cell>
        </row>
        <row r="6344">
          <cell r="A6344" t="str">
            <v>TREBISACCE</v>
          </cell>
          <cell r="B6344" t="str">
            <v>078150</v>
          </cell>
          <cell r="C6344" t="str">
            <v>CS</v>
          </cell>
          <cell r="D6344" t="str">
            <v>CS</v>
          </cell>
          <cell r="E6344" t="str">
            <v>87075</v>
          </cell>
        </row>
        <row r="6345">
          <cell r="A6345" t="str">
            <v>VACCARIZZO ALBANESE</v>
          </cell>
          <cell r="B6345" t="str">
            <v>078152</v>
          </cell>
          <cell r="C6345" t="str">
            <v>CS</v>
          </cell>
          <cell r="D6345" t="str">
            <v>CS</v>
          </cell>
          <cell r="E6345" t="str">
            <v>87060</v>
          </cell>
        </row>
        <row r="6346">
          <cell r="A6346" t="str">
            <v>VERBICARO</v>
          </cell>
          <cell r="B6346" t="str">
            <v>078153</v>
          </cell>
          <cell r="C6346" t="str">
            <v>CS</v>
          </cell>
          <cell r="D6346" t="str">
            <v>CS</v>
          </cell>
          <cell r="E6346" t="str">
            <v>87020</v>
          </cell>
        </row>
        <row r="6347">
          <cell r="A6347" t="str">
            <v>VILLAPIANA</v>
          </cell>
          <cell r="B6347" t="str">
            <v>078154</v>
          </cell>
          <cell r="C6347" t="str">
            <v>CS</v>
          </cell>
          <cell r="D6347" t="str">
            <v>CS</v>
          </cell>
          <cell r="E6347" t="str">
            <v>87076</v>
          </cell>
        </row>
        <row r="6348">
          <cell r="A6348" t="str">
            <v>ZUMPANO</v>
          </cell>
          <cell r="B6348" t="str">
            <v>078155</v>
          </cell>
          <cell r="C6348" t="str">
            <v>CS</v>
          </cell>
          <cell r="D6348" t="str">
            <v>CS</v>
          </cell>
          <cell r="E6348" t="str">
            <v>87040</v>
          </cell>
        </row>
        <row r="6349">
          <cell r="A6349" t="str">
            <v>CASALI DEL MANCO</v>
          </cell>
          <cell r="B6349" t="str">
            <v>078156</v>
          </cell>
          <cell r="C6349" t="str">
            <v>CS</v>
          </cell>
          <cell r="D6349" t="e">
            <v>#N/A</v>
          </cell>
          <cell r="E6349" t="e">
            <v>#N/A</v>
          </cell>
        </row>
        <row r="6350">
          <cell r="A6350" t="str">
            <v>CORIGLIANO-ROSSANO</v>
          </cell>
          <cell r="B6350" t="str">
            <v>078157</v>
          </cell>
          <cell r="C6350" t="str">
            <v>CS</v>
          </cell>
          <cell r="D6350" t="e">
            <v>#N/A</v>
          </cell>
          <cell r="E6350" t="e">
            <v>#N/A</v>
          </cell>
        </row>
        <row r="6351">
          <cell r="A6351" t="str">
            <v>ALBI</v>
          </cell>
          <cell r="B6351" t="str">
            <v>079002</v>
          </cell>
          <cell r="C6351" t="str">
            <v>CZ</v>
          </cell>
          <cell r="D6351" t="str">
            <v>CZ</v>
          </cell>
          <cell r="E6351" t="str">
            <v>88055</v>
          </cell>
        </row>
        <row r="6352">
          <cell r="A6352" t="str">
            <v>AMARONI</v>
          </cell>
          <cell r="B6352" t="str">
            <v>079003</v>
          </cell>
          <cell r="C6352" t="str">
            <v>CZ</v>
          </cell>
          <cell r="D6352" t="str">
            <v>CZ</v>
          </cell>
          <cell r="E6352" t="str">
            <v>88050</v>
          </cell>
        </row>
        <row r="6353">
          <cell r="A6353" t="str">
            <v>AMATO</v>
          </cell>
          <cell r="B6353" t="str">
            <v>079004</v>
          </cell>
          <cell r="C6353" t="str">
            <v>CZ</v>
          </cell>
          <cell r="D6353" t="str">
            <v>CZ</v>
          </cell>
          <cell r="E6353" t="str">
            <v>88040</v>
          </cell>
        </row>
        <row r="6354">
          <cell r="A6354" t="str">
            <v>ANDALI</v>
          </cell>
          <cell r="B6354" t="str">
            <v>079005</v>
          </cell>
          <cell r="C6354" t="str">
            <v>CZ</v>
          </cell>
          <cell r="D6354" t="str">
            <v>CZ</v>
          </cell>
          <cell r="E6354" t="str">
            <v>88050</v>
          </cell>
        </row>
        <row r="6355">
          <cell r="A6355" t="str">
            <v>ARGUSTO</v>
          </cell>
          <cell r="B6355" t="str">
            <v>079007</v>
          </cell>
          <cell r="C6355" t="str">
            <v>CZ</v>
          </cell>
          <cell r="D6355" t="str">
            <v>CZ</v>
          </cell>
          <cell r="E6355" t="str">
            <v>88060</v>
          </cell>
        </row>
        <row r="6356">
          <cell r="A6356" t="str">
            <v>BADOLATO</v>
          </cell>
          <cell r="B6356" t="str">
            <v>079008</v>
          </cell>
          <cell r="C6356" t="str">
            <v>CZ</v>
          </cell>
          <cell r="D6356" t="str">
            <v>CZ</v>
          </cell>
          <cell r="E6356" t="str">
            <v>88060</v>
          </cell>
        </row>
        <row r="6357">
          <cell r="A6357" t="str">
            <v>BELCASTRO</v>
          </cell>
          <cell r="B6357" t="str">
            <v>079009</v>
          </cell>
          <cell r="C6357" t="str">
            <v>CZ</v>
          </cell>
          <cell r="D6357" t="str">
            <v>CZ</v>
          </cell>
          <cell r="E6357" t="str">
            <v>88050</v>
          </cell>
        </row>
        <row r="6358">
          <cell r="A6358" t="str">
            <v>BORGIA</v>
          </cell>
          <cell r="B6358" t="str">
            <v>079011</v>
          </cell>
          <cell r="C6358" t="str">
            <v>CZ</v>
          </cell>
          <cell r="D6358" t="str">
            <v>CZ</v>
          </cell>
          <cell r="E6358" t="str">
            <v>88021</v>
          </cell>
        </row>
        <row r="6359">
          <cell r="A6359" t="str">
            <v>BOTRICELLO</v>
          </cell>
          <cell r="B6359" t="str">
            <v>079012</v>
          </cell>
          <cell r="C6359" t="str">
            <v>CZ</v>
          </cell>
          <cell r="D6359" t="str">
            <v>CZ</v>
          </cell>
          <cell r="E6359" t="str">
            <v>88070</v>
          </cell>
        </row>
        <row r="6360">
          <cell r="A6360" t="str">
            <v>CARAFFA DI CATANZARO</v>
          </cell>
          <cell r="B6360" t="str">
            <v>079017</v>
          </cell>
          <cell r="C6360" t="str">
            <v>CZ</v>
          </cell>
          <cell r="D6360" t="str">
            <v>CZ</v>
          </cell>
          <cell r="E6360" t="str">
            <v>88050</v>
          </cell>
        </row>
        <row r="6361">
          <cell r="A6361" t="str">
            <v>CARDINALE</v>
          </cell>
          <cell r="B6361" t="str">
            <v>079018</v>
          </cell>
          <cell r="C6361" t="str">
            <v>CZ</v>
          </cell>
          <cell r="D6361" t="str">
            <v>CZ</v>
          </cell>
          <cell r="E6361" t="str">
            <v>88062</v>
          </cell>
        </row>
        <row r="6362">
          <cell r="A6362" t="str">
            <v>CARLOPOLI</v>
          </cell>
          <cell r="B6362" t="str">
            <v>079020</v>
          </cell>
          <cell r="C6362" t="str">
            <v>CZ</v>
          </cell>
          <cell r="D6362" t="str">
            <v>CZ</v>
          </cell>
          <cell r="E6362" t="str">
            <v>88040</v>
          </cell>
        </row>
        <row r="6363">
          <cell r="A6363" t="str">
            <v>CATANZARO</v>
          </cell>
          <cell r="B6363" t="str">
            <v>079023</v>
          </cell>
          <cell r="C6363" t="str">
            <v>CZ</v>
          </cell>
          <cell r="D6363" t="str">
            <v>CZ</v>
          </cell>
          <cell r="E6363" t="str">
            <v>88100</v>
          </cell>
        </row>
        <row r="6364">
          <cell r="A6364" t="str">
            <v>CENADI</v>
          </cell>
          <cell r="B6364" t="str">
            <v>079024</v>
          </cell>
          <cell r="C6364" t="str">
            <v>CZ</v>
          </cell>
          <cell r="D6364" t="str">
            <v>CZ</v>
          </cell>
          <cell r="E6364" t="str">
            <v>88067</v>
          </cell>
        </row>
        <row r="6365">
          <cell r="A6365" t="str">
            <v>CENTRACHE</v>
          </cell>
          <cell r="B6365" t="str">
            <v>079025</v>
          </cell>
          <cell r="C6365" t="str">
            <v>CZ</v>
          </cell>
          <cell r="D6365" t="str">
            <v>CZ</v>
          </cell>
          <cell r="E6365" t="str">
            <v>88067</v>
          </cell>
        </row>
        <row r="6366">
          <cell r="A6366" t="str">
            <v>CERVA</v>
          </cell>
          <cell r="B6366" t="str">
            <v>079027</v>
          </cell>
          <cell r="C6366" t="str">
            <v>CZ</v>
          </cell>
          <cell r="D6366" t="str">
            <v>CZ</v>
          </cell>
          <cell r="E6366" t="str">
            <v>88050</v>
          </cell>
        </row>
        <row r="6367">
          <cell r="A6367" t="str">
            <v>CHIARAVALLE CENTRALE</v>
          </cell>
          <cell r="B6367" t="str">
            <v>079029</v>
          </cell>
          <cell r="C6367" t="str">
            <v>CZ</v>
          </cell>
          <cell r="D6367" t="str">
            <v>CZ</v>
          </cell>
          <cell r="E6367" t="str">
            <v>88064</v>
          </cell>
        </row>
        <row r="6368">
          <cell r="A6368" t="str">
            <v>CICALA</v>
          </cell>
          <cell r="B6368" t="str">
            <v>079030</v>
          </cell>
          <cell r="C6368" t="str">
            <v>CZ</v>
          </cell>
          <cell r="D6368" t="str">
            <v>CZ</v>
          </cell>
          <cell r="E6368" t="str">
            <v>88040</v>
          </cell>
        </row>
        <row r="6369">
          <cell r="A6369" t="str">
            <v>CONFLENTI</v>
          </cell>
          <cell r="B6369" t="str">
            <v>079033</v>
          </cell>
          <cell r="C6369" t="str">
            <v>CZ</v>
          </cell>
          <cell r="D6369" t="str">
            <v>CZ</v>
          </cell>
          <cell r="E6369" t="str">
            <v>88040</v>
          </cell>
        </row>
        <row r="6370">
          <cell r="A6370" t="str">
            <v>CORTALE</v>
          </cell>
          <cell r="B6370" t="str">
            <v>079034</v>
          </cell>
          <cell r="C6370" t="str">
            <v>CZ</v>
          </cell>
          <cell r="D6370" t="str">
            <v>CZ</v>
          </cell>
          <cell r="E6370" t="str">
            <v>88020</v>
          </cell>
        </row>
        <row r="6371">
          <cell r="A6371" t="str">
            <v>CROPANI</v>
          </cell>
          <cell r="B6371" t="str">
            <v>079036</v>
          </cell>
          <cell r="C6371" t="str">
            <v>CZ</v>
          </cell>
          <cell r="D6371" t="str">
            <v>CZ</v>
          </cell>
          <cell r="E6371" t="str">
            <v>88051</v>
          </cell>
        </row>
        <row r="6372">
          <cell r="A6372" t="str">
            <v>CURINGA</v>
          </cell>
          <cell r="B6372" t="str">
            <v>079039</v>
          </cell>
          <cell r="C6372" t="str">
            <v>CZ</v>
          </cell>
          <cell r="D6372" t="str">
            <v>CZ</v>
          </cell>
          <cell r="E6372" t="str">
            <v>88022</v>
          </cell>
        </row>
        <row r="6373">
          <cell r="A6373" t="str">
            <v>DAVOLI</v>
          </cell>
          <cell r="B6373" t="str">
            <v>079042</v>
          </cell>
          <cell r="C6373" t="str">
            <v>CZ</v>
          </cell>
          <cell r="D6373" t="str">
            <v>CZ</v>
          </cell>
          <cell r="E6373" t="str">
            <v>88060</v>
          </cell>
        </row>
        <row r="6374">
          <cell r="A6374" t="str">
            <v>DECOLLATURA</v>
          </cell>
          <cell r="B6374" t="str">
            <v>079043</v>
          </cell>
          <cell r="C6374" t="str">
            <v>CZ</v>
          </cell>
          <cell r="D6374" t="str">
            <v>CZ</v>
          </cell>
          <cell r="E6374" t="str">
            <v>88041</v>
          </cell>
        </row>
        <row r="6375">
          <cell r="A6375" t="str">
            <v>FALERNA</v>
          </cell>
          <cell r="B6375" t="str">
            <v>079047</v>
          </cell>
          <cell r="C6375" t="str">
            <v>CZ</v>
          </cell>
          <cell r="D6375" t="str">
            <v>CZ</v>
          </cell>
          <cell r="E6375" t="str">
            <v>88042</v>
          </cell>
        </row>
        <row r="6376">
          <cell r="A6376" t="str">
            <v>FEROLETO ANTICO</v>
          </cell>
          <cell r="B6376" t="str">
            <v>079048</v>
          </cell>
          <cell r="C6376" t="str">
            <v>CZ</v>
          </cell>
          <cell r="D6376" t="str">
            <v>CZ</v>
          </cell>
          <cell r="E6376" t="str">
            <v>88040</v>
          </cell>
        </row>
        <row r="6377">
          <cell r="A6377" t="str">
            <v>FOSSATO SERRALTA</v>
          </cell>
          <cell r="B6377" t="str">
            <v>079052</v>
          </cell>
          <cell r="C6377" t="str">
            <v>CZ</v>
          </cell>
          <cell r="D6377" t="str">
            <v>CZ</v>
          </cell>
          <cell r="E6377" t="str">
            <v>88050</v>
          </cell>
        </row>
        <row r="6378">
          <cell r="A6378" t="str">
            <v>GAGLIATO</v>
          </cell>
          <cell r="B6378" t="str">
            <v>079055</v>
          </cell>
          <cell r="C6378" t="str">
            <v>CZ</v>
          </cell>
          <cell r="D6378" t="str">
            <v>CZ</v>
          </cell>
          <cell r="E6378" t="str">
            <v>88060</v>
          </cell>
        </row>
        <row r="6379">
          <cell r="A6379" t="str">
            <v>GASPERINA</v>
          </cell>
          <cell r="B6379" t="str">
            <v>079056</v>
          </cell>
          <cell r="C6379" t="str">
            <v>CZ</v>
          </cell>
          <cell r="D6379" t="str">
            <v>CZ</v>
          </cell>
          <cell r="E6379" t="str">
            <v>88060</v>
          </cell>
        </row>
        <row r="6380">
          <cell r="A6380" t="str">
            <v>GIMIGLIANO</v>
          </cell>
          <cell r="B6380" t="str">
            <v>079058</v>
          </cell>
          <cell r="C6380" t="str">
            <v>CZ</v>
          </cell>
          <cell r="D6380" t="str">
            <v>CZ</v>
          </cell>
          <cell r="E6380" t="str">
            <v>88045</v>
          </cell>
        </row>
        <row r="6381">
          <cell r="A6381" t="str">
            <v>GIRIFALCO</v>
          </cell>
          <cell r="B6381" t="str">
            <v>079059</v>
          </cell>
          <cell r="C6381" t="str">
            <v>CZ</v>
          </cell>
          <cell r="D6381" t="str">
            <v>CZ</v>
          </cell>
          <cell r="E6381" t="str">
            <v>88024</v>
          </cell>
        </row>
        <row r="6382">
          <cell r="A6382" t="str">
            <v>GIZZERIA</v>
          </cell>
          <cell r="B6382" t="str">
            <v>079060</v>
          </cell>
          <cell r="C6382" t="str">
            <v>CZ</v>
          </cell>
          <cell r="D6382" t="str">
            <v>CZ</v>
          </cell>
          <cell r="E6382" t="str">
            <v>88040</v>
          </cell>
        </row>
        <row r="6383">
          <cell r="A6383" t="str">
            <v>GUARDAVALLE</v>
          </cell>
          <cell r="B6383" t="str">
            <v>079061</v>
          </cell>
          <cell r="C6383" t="str">
            <v>CZ</v>
          </cell>
          <cell r="D6383" t="str">
            <v>CZ</v>
          </cell>
          <cell r="E6383" t="str">
            <v>88065</v>
          </cell>
        </row>
        <row r="6384">
          <cell r="A6384" t="str">
            <v>ISCA SULLO IONIO</v>
          </cell>
          <cell r="B6384" t="str">
            <v>079063</v>
          </cell>
          <cell r="C6384" t="str">
            <v>CZ</v>
          </cell>
          <cell r="D6384" t="str">
            <v>CZ</v>
          </cell>
          <cell r="E6384" t="str">
            <v>88060</v>
          </cell>
        </row>
        <row r="6385">
          <cell r="A6385" t="str">
            <v>JACURSO</v>
          </cell>
          <cell r="B6385" t="str">
            <v>079065</v>
          </cell>
          <cell r="C6385" t="str">
            <v>CZ</v>
          </cell>
          <cell r="D6385" t="str">
            <v>CZ</v>
          </cell>
          <cell r="E6385" t="str">
            <v>88020</v>
          </cell>
        </row>
        <row r="6386">
          <cell r="A6386" t="str">
            <v>MAGISANO</v>
          </cell>
          <cell r="B6386" t="str">
            <v>079068</v>
          </cell>
          <cell r="C6386" t="str">
            <v>CZ</v>
          </cell>
          <cell r="D6386" t="str">
            <v>CZ</v>
          </cell>
          <cell r="E6386" t="str">
            <v>88050</v>
          </cell>
        </row>
        <row r="6387">
          <cell r="A6387" t="str">
            <v>MAIDA</v>
          </cell>
          <cell r="B6387" t="str">
            <v>079069</v>
          </cell>
          <cell r="C6387" t="str">
            <v>CZ</v>
          </cell>
          <cell r="D6387" t="str">
            <v>CZ</v>
          </cell>
          <cell r="E6387" t="str">
            <v>88025</v>
          </cell>
        </row>
        <row r="6388">
          <cell r="A6388" t="str">
            <v>MARCEDUSA</v>
          </cell>
          <cell r="B6388" t="str">
            <v>079071</v>
          </cell>
          <cell r="C6388" t="str">
            <v>CZ</v>
          </cell>
          <cell r="D6388" t="str">
            <v>CZ</v>
          </cell>
          <cell r="E6388" t="str">
            <v>88050</v>
          </cell>
        </row>
        <row r="6389">
          <cell r="A6389" t="str">
            <v>MARCELLINARA</v>
          </cell>
          <cell r="B6389" t="str">
            <v>079072</v>
          </cell>
          <cell r="C6389" t="str">
            <v>CZ</v>
          </cell>
          <cell r="D6389" t="str">
            <v>CZ</v>
          </cell>
          <cell r="E6389" t="str">
            <v>88044</v>
          </cell>
        </row>
        <row r="6390">
          <cell r="A6390" t="str">
            <v>MARTIRANO</v>
          </cell>
          <cell r="B6390" t="str">
            <v>079073</v>
          </cell>
          <cell r="C6390" t="str">
            <v>CZ</v>
          </cell>
          <cell r="D6390" t="str">
            <v>CZ</v>
          </cell>
          <cell r="E6390" t="str">
            <v>88040</v>
          </cell>
        </row>
        <row r="6391">
          <cell r="A6391" t="str">
            <v>MARTIRANO LOMBARDO</v>
          </cell>
          <cell r="B6391" t="str">
            <v>079074</v>
          </cell>
          <cell r="C6391" t="str">
            <v>CZ</v>
          </cell>
          <cell r="D6391" t="str">
            <v>CZ</v>
          </cell>
          <cell r="E6391" t="str">
            <v>88040</v>
          </cell>
        </row>
        <row r="6392">
          <cell r="A6392" t="str">
            <v>MIGLIERINA</v>
          </cell>
          <cell r="B6392" t="str">
            <v>079077</v>
          </cell>
          <cell r="C6392" t="str">
            <v>CZ</v>
          </cell>
          <cell r="D6392" t="str">
            <v>CZ</v>
          </cell>
          <cell r="E6392" t="str">
            <v>88040</v>
          </cell>
        </row>
        <row r="6393">
          <cell r="A6393" t="str">
            <v>MONTAURO</v>
          </cell>
          <cell r="B6393" t="str">
            <v>079080</v>
          </cell>
          <cell r="C6393" t="str">
            <v>CZ</v>
          </cell>
          <cell r="D6393" t="str">
            <v>CZ</v>
          </cell>
          <cell r="E6393" t="str">
            <v>88060</v>
          </cell>
        </row>
        <row r="6394">
          <cell r="A6394" t="str">
            <v>MONTEPAONE</v>
          </cell>
          <cell r="B6394" t="str">
            <v>079081</v>
          </cell>
          <cell r="C6394" t="str">
            <v>CZ</v>
          </cell>
          <cell r="D6394" t="str">
            <v>CZ</v>
          </cell>
          <cell r="E6394" t="str">
            <v>88060</v>
          </cell>
        </row>
        <row r="6395">
          <cell r="A6395" t="str">
            <v>MOTTA SANTA LUCIA</v>
          </cell>
          <cell r="B6395" t="str">
            <v>079083</v>
          </cell>
          <cell r="C6395" t="str">
            <v>CZ</v>
          </cell>
          <cell r="D6395" t="str">
            <v>CZ</v>
          </cell>
          <cell r="E6395" t="str">
            <v>88040</v>
          </cell>
        </row>
        <row r="6396">
          <cell r="A6396" t="str">
            <v>NOCERA TERINESE</v>
          </cell>
          <cell r="B6396" t="str">
            <v>079087</v>
          </cell>
          <cell r="C6396" t="str">
            <v>CZ</v>
          </cell>
          <cell r="D6396" t="str">
            <v>CZ</v>
          </cell>
          <cell r="E6396" t="str">
            <v>88047</v>
          </cell>
        </row>
        <row r="6397">
          <cell r="A6397" t="str">
            <v>OLIVADI</v>
          </cell>
          <cell r="B6397" t="str">
            <v>079088</v>
          </cell>
          <cell r="C6397" t="str">
            <v>CZ</v>
          </cell>
          <cell r="D6397" t="str">
            <v>CZ</v>
          </cell>
          <cell r="E6397" t="str">
            <v>88067</v>
          </cell>
        </row>
        <row r="6398">
          <cell r="A6398" t="str">
            <v>PALERMITI</v>
          </cell>
          <cell r="B6398" t="str">
            <v>079089</v>
          </cell>
          <cell r="C6398" t="str">
            <v>CZ</v>
          </cell>
          <cell r="D6398" t="str">
            <v>CZ</v>
          </cell>
          <cell r="E6398" t="str">
            <v>88050</v>
          </cell>
        </row>
        <row r="6399">
          <cell r="A6399" t="str">
            <v>PENTONE</v>
          </cell>
          <cell r="B6399" t="str">
            <v>079092</v>
          </cell>
          <cell r="C6399" t="str">
            <v>CZ</v>
          </cell>
          <cell r="D6399" t="str">
            <v>CZ</v>
          </cell>
          <cell r="E6399" t="str">
            <v>88050</v>
          </cell>
        </row>
        <row r="6400">
          <cell r="A6400" t="str">
            <v>PETRIZZI</v>
          </cell>
          <cell r="B6400" t="str">
            <v>079094</v>
          </cell>
          <cell r="C6400" t="str">
            <v>CZ</v>
          </cell>
          <cell r="D6400" t="str">
            <v>CZ</v>
          </cell>
          <cell r="E6400" t="str">
            <v>88060</v>
          </cell>
        </row>
        <row r="6401">
          <cell r="A6401" t="str">
            <v>PETRONÀ</v>
          </cell>
          <cell r="B6401" t="str">
            <v>079095</v>
          </cell>
          <cell r="C6401" t="str">
            <v>CZ</v>
          </cell>
          <cell r="D6401" t="str">
            <v>CZ</v>
          </cell>
          <cell r="E6401" t="str">
            <v>88050</v>
          </cell>
        </row>
        <row r="6402">
          <cell r="A6402" t="str">
            <v>PIANOPOLI</v>
          </cell>
          <cell r="B6402" t="str">
            <v>079096</v>
          </cell>
          <cell r="C6402" t="str">
            <v>CZ</v>
          </cell>
          <cell r="D6402" t="str">
            <v>CZ</v>
          </cell>
          <cell r="E6402" t="str">
            <v>88040</v>
          </cell>
        </row>
        <row r="6403">
          <cell r="A6403" t="str">
            <v>PLATANIA</v>
          </cell>
          <cell r="B6403" t="str">
            <v>079099</v>
          </cell>
          <cell r="C6403" t="str">
            <v>CZ</v>
          </cell>
          <cell r="D6403" t="str">
            <v>CZ</v>
          </cell>
          <cell r="E6403" t="str">
            <v>88040</v>
          </cell>
        </row>
        <row r="6404">
          <cell r="A6404" t="str">
            <v>SAN FLORO</v>
          </cell>
          <cell r="B6404" t="str">
            <v>079108</v>
          </cell>
          <cell r="C6404" t="str">
            <v>CZ</v>
          </cell>
          <cell r="D6404" t="str">
            <v>CZ</v>
          </cell>
          <cell r="E6404" t="str">
            <v>88021</v>
          </cell>
        </row>
        <row r="6405">
          <cell r="A6405" t="str">
            <v>SAN MANGO D'AQUINO</v>
          </cell>
          <cell r="B6405" t="str">
            <v>079110</v>
          </cell>
          <cell r="C6405" t="str">
            <v>CZ</v>
          </cell>
          <cell r="D6405" t="str">
            <v>CZ</v>
          </cell>
          <cell r="E6405" t="str">
            <v>88040</v>
          </cell>
        </row>
        <row r="6406">
          <cell r="A6406" t="str">
            <v>SAN PIETRO A MAIDA</v>
          </cell>
          <cell r="B6406" t="str">
            <v>079114</v>
          </cell>
          <cell r="C6406" t="str">
            <v>CZ</v>
          </cell>
          <cell r="D6406" t="str">
            <v>CZ</v>
          </cell>
          <cell r="E6406" t="str">
            <v>88025</v>
          </cell>
        </row>
        <row r="6407">
          <cell r="A6407" t="str">
            <v>SAN PIETRO APOSTOLO</v>
          </cell>
          <cell r="B6407" t="str">
            <v>079115</v>
          </cell>
          <cell r="C6407" t="str">
            <v>CZ</v>
          </cell>
          <cell r="D6407" t="str">
            <v>CZ</v>
          </cell>
          <cell r="E6407" t="str">
            <v>88040</v>
          </cell>
        </row>
        <row r="6408">
          <cell r="A6408" t="str">
            <v>SAN SOSTENE</v>
          </cell>
          <cell r="B6408" t="str">
            <v>079116</v>
          </cell>
          <cell r="C6408" t="str">
            <v>CZ</v>
          </cell>
          <cell r="D6408" t="str">
            <v>CZ</v>
          </cell>
          <cell r="E6408" t="str">
            <v>88060</v>
          </cell>
        </row>
        <row r="6409">
          <cell r="A6409" t="str">
            <v>SANTA CATERINA DELLO IONIO</v>
          </cell>
          <cell r="B6409" t="str">
            <v>079117</v>
          </cell>
          <cell r="C6409" t="str">
            <v>CZ</v>
          </cell>
          <cell r="D6409" t="str">
            <v>CZ</v>
          </cell>
          <cell r="E6409" t="str">
            <v>88060</v>
          </cell>
        </row>
        <row r="6410">
          <cell r="A6410" t="str">
            <v>SANT'ANDREA APOSTOLO DELLO IONIO</v>
          </cell>
          <cell r="B6410" t="str">
            <v>079118</v>
          </cell>
          <cell r="C6410" t="str">
            <v>CZ</v>
          </cell>
          <cell r="D6410" t="str">
            <v>CZ</v>
          </cell>
          <cell r="E6410" t="str">
            <v>88060</v>
          </cell>
        </row>
        <row r="6411">
          <cell r="A6411" t="str">
            <v>SAN VITO SULLO IONIO</v>
          </cell>
          <cell r="B6411" t="str">
            <v>079122</v>
          </cell>
          <cell r="C6411" t="str">
            <v>CZ</v>
          </cell>
          <cell r="D6411" t="str">
            <v>CZ</v>
          </cell>
          <cell r="E6411" t="str">
            <v>88067</v>
          </cell>
        </row>
        <row r="6412">
          <cell r="A6412" t="str">
            <v>SATRIANO</v>
          </cell>
          <cell r="B6412" t="str">
            <v>079123</v>
          </cell>
          <cell r="C6412" t="str">
            <v>CZ</v>
          </cell>
          <cell r="D6412" t="str">
            <v>CZ</v>
          </cell>
          <cell r="E6412" t="str">
            <v>88060</v>
          </cell>
        </row>
        <row r="6413">
          <cell r="A6413" t="str">
            <v>SELLIA</v>
          </cell>
          <cell r="B6413" t="str">
            <v>079126</v>
          </cell>
          <cell r="C6413" t="str">
            <v>CZ</v>
          </cell>
          <cell r="D6413" t="str">
            <v>CZ</v>
          </cell>
          <cell r="E6413" t="str">
            <v>88050</v>
          </cell>
        </row>
        <row r="6414">
          <cell r="A6414" t="str">
            <v>SELLIA MARINA</v>
          </cell>
          <cell r="B6414" t="str">
            <v>079127</v>
          </cell>
          <cell r="C6414" t="str">
            <v>CZ</v>
          </cell>
          <cell r="D6414" t="str">
            <v>CZ</v>
          </cell>
          <cell r="E6414" t="str">
            <v>88050</v>
          </cell>
        </row>
        <row r="6415">
          <cell r="A6415" t="str">
            <v>SERRASTRETTA</v>
          </cell>
          <cell r="B6415" t="str">
            <v>079129</v>
          </cell>
          <cell r="C6415" t="str">
            <v>CZ</v>
          </cell>
          <cell r="D6415" t="str">
            <v>CZ</v>
          </cell>
          <cell r="E6415" t="str">
            <v>88040</v>
          </cell>
        </row>
        <row r="6416">
          <cell r="A6416" t="str">
            <v>SERSALE</v>
          </cell>
          <cell r="B6416" t="str">
            <v>079130</v>
          </cell>
          <cell r="C6416" t="str">
            <v>CZ</v>
          </cell>
          <cell r="D6416" t="str">
            <v>CZ</v>
          </cell>
          <cell r="E6416" t="str">
            <v>88054</v>
          </cell>
        </row>
        <row r="6417">
          <cell r="A6417" t="str">
            <v>SETTINGIANO</v>
          </cell>
          <cell r="B6417" t="str">
            <v>079131</v>
          </cell>
          <cell r="C6417" t="str">
            <v>CZ</v>
          </cell>
          <cell r="D6417" t="str">
            <v>CZ</v>
          </cell>
          <cell r="E6417" t="str">
            <v>88040</v>
          </cell>
        </row>
        <row r="6418">
          <cell r="A6418" t="str">
            <v>SIMERI CRICHI</v>
          </cell>
          <cell r="B6418" t="str">
            <v>079133</v>
          </cell>
          <cell r="C6418" t="str">
            <v>CZ</v>
          </cell>
          <cell r="D6418" t="str">
            <v>CZ</v>
          </cell>
          <cell r="E6418" t="str">
            <v>88050</v>
          </cell>
        </row>
        <row r="6419">
          <cell r="A6419" t="str">
            <v>SORBO SAN BASILE</v>
          </cell>
          <cell r="B6419" t="str">
            <v>079134</v>
          </cell>
          <cell r="C6419" t="str">
            <v>CZ</v>
          </cell>
          <cell r="D6419" t="str">
            <v>CZ</v>
          </cell>
          <cell r="E6419" t="str">
            <v>88050</v>
          </cell>
        </row>
        <row r="6420">
          <cell r="A6420" t="str">
            <v>SOVERATO</v>
          </cell>
          <cell r="B6420" t="str">
            <v>079137</v>
          </cell>
          <cell r="C6420" t="str">
            <v>CZ</v>
          </cell>
          <cell r="D6420" t="str">
            <v>CZ</v>
          </cell>
          <cell r="E6420" t="str">
            <v>88068</v>
          </cell>
        </row>
        <row r="6421">
          <cell r="A6421" t="str">
            <v>SOVERIA MANNELLI</v>
          </cell>
          <cell r="B6421" t="str">
            <v>079138</v>
          </cell>
          <cell r="C6421" t="str">
            <v>CZ</v>
          </cell>
          <cell r="D6421" t="str">
            <v>CZ</v>
          </cell>
          <cell r="E6421" t="str">
            <v>88049</v>
          </cell>
        </row>
        <row r="6422">
          <cell r="A6422" t="str">
            <v>SOVERIA SIMERI</v>
          </cell>
          <cell r="B6422" t="str">
            <v>079139</v>
          </cell>
          <cell r="C6422" t="str">
            <v>CZ</v>
          </cell>
          <cell r="D6422" t="str">
            <v>CZ</v>
          </cell>
          <cell r="E6422" t="str">
            <v>88050</v>
          </cell>
        </row>
        <row r="6423">
          <cell r="A6423" t="str">
            <v>SQUILLACE</v>
          </cell>
          <cell r="B6423" t="str">
            <v>079142</v>
          </cell>
          <cell r="C6423" t="str">
            <v>CZ</v>
          </cell>
          <cell r="D6423" t="str">
            <v>CZ</v>
          </cell>
          <cell r="E6423" t="str">
            <v>88069</v>
          </cell>
        </row>
        <row r="6424">
          <cell r="A6424" t="str">
            <v>STALETTÌ</v>
          </cell>
          <cell r="B6424" t="str">
            <v>079143</v>
          </cell>
          <cell r="C6424" t="str">
            <v>CZ</v>
          </cell>
          <cell r="D6424" t="str">
            <v>CZ</v>
          </cell>
          <cell r="E6424" t="str">
            <v>88069</v>
          </cell>
        </row>
        <row r="6425">
          <cell r="A6425" t="str">
            <v>TAVERNA</v>
          </cell>
          <cell r="B6425" t="str">
            <v>079146</v>
          </cell>
          <cell r="C6425" t="str">
            <v>CZ</v>
          </cell>
          <cell r="D6425" t="str">
            <v>CZ</v>
          </cell>
          <cell r="E6425" t="str">
            <v>88055</v>
          </cell>
        </row>
        <row r="6426">
          <cell r="A6426" t="str">
            <v>TIRIOLO</v>
          </cell>
          <cell r="B6426" t="str">
            <v>079147</v>
          </cell>
          <cell r="C6426" t="str">
            <v>CZ</v>
          </cell>
          <cell r="D6426" t="str">
            <v>CZ</v>
          </cell>
          <cell r="E6426" t="str">
            <v>88056</v>
          </cell>
        </row>
        <row r="6427">
          <cell r="A6427" t="str">
            <v>TORRE DI RUGGIERO</v>
          </cell>
          <cell r="B6427" t="str">
            <v>079148</v>
          </cell>
          <cell r="C6427" t="str">
            <v>CZ</v>
          </cell>
          <cell r="D6427" t="str">
            <v>CZ</v>
          </cell>
          <cell r="E6427" t="str">
            <v>88060</v>
          </cell>
        </row>
        <row r="6428">
          <cell r="A6428" t="str">
            <v>VALLEFIORITA</v>
          </cell>
          <cell r="B6428" t="str">
            <v>079151</v>
          </cell>
          <cell r="C6428" t="str">
            <v>CZ</v>
          </cell>
          <cell r="D6428" t="str">
            <v>CZ</v>
          </cell>
          <cell r="E6428" t="str">
            <v>88050</v>
          </cell>
        </row>
        <row r="6429">
          <cell r="A6429" t="str">
            <v>ZAGARISE</v>
          </cell>
          <cell r="B6429" t="str">
            <v>079157</v>
          </cell>
          <cell r="C6429" t="str">
            <v>CZ</v>
          </cell>
          <cell r="D6429" t="str">
            <v>CZ</v>
          </cell>
          <cell r="E6429" t="str">
            <v>88050</v>
          </cell>
        </row>
        <row r="6430">
          <cell r="A6430" t="str">
            <v>LAMEZIA TERME</v>
          </cell>
          <cell r="B6430" t="str">
            <v>079160</v>
          </cell>
          <cell r="C6430" t="str">
            <v>CZ</v>
          </cell>
          <cell r="D6430" t="str">
            <v>CZ</v>
          </cell>
          <cell r="E6430" t="str">
            <v>88046</v>
          </cell>
        </row>
        <row r="6431">
          <cell r="A6431" t="str">
            <v>AFRICO</v>
          </cell>
          <cell r="B6431" t="str">
            <v>080001</v>
          </cell>
          <cell r="C6431" t="str">
            <v>RC</v>
          </cell>
          <cell r="D6431" t="str">
            <v>RC</v>
          </cell>
          <cell r="E6431" t="str">
            <v>89030</v>
          </cell>
        </row>
        <row r="6432">
          <cell r="A6432" t="str">
            <v>AGNANA CALABRA</v>
          </cell>
          <cell r="B6432" t="str">
            <v>080002</v>
          </cell>
          <cell r="C6432" t="str">
            <v>RC</v>
          </cell>
          <cell r="D6432" t="str">
            <v>RC</v>
          </cell>
          <cell r="E6432" t="str">
            <v>89040</v>
          </cell>
        </row>
        <row r="6433">
          <cell r="A6433" t="str">
            <v>ANOIA</v>
          </cell>
          <cell r="B6433" t="str">
            <v>080003</v>
          </cell>
          <cell r="C6433" t="str">
            <v>RC</v>
          </cell>
          <cell r="D6433" t="str">
            <v>RC</v>
          </cell>
          <cell r="E6433" t="str">
            <v>89020</v>
          </cell>
        </row>
        <row r="6434">
          <cell r="A6434" t="str">
            <v>ANTONIMINA</v>
          </cell>
          <cell r="B6434" t="str">
            <v>080004</v>
          </cell>
          <cell r="C6434" t="str">
            <v>RC</v>
          </cell>
          <cell r="D6434" t="str">
            <v>RC</v>
          </cell>
          <cell r="E6434" t="str">
            <v>89040</v>
          </cell>
        </row>
        <row r="6435">
          <cell r="A6435" t="str">
            <v>ARDORE</v>
          </cell>
          <cell r="B6435" t="str">
            <v>080005</v>
          </cell>
          <cell r="C6435" t="str">
            <v>RC</v>
          </cell>
          <cell r="D6435" t="str">
            <v>RC</v>
          </cell>
          <cell r="E6435" t="str">
            <v>89031</v>
          </cell>
        </row>
        <row r="6436">
          <cell r="A6436" t="str">
            <v>BAGALADI</v>
          </cell>
          <cell r="B6436" t="str">
            <v>080006</v>
          </cell>
          <cell r="C6436" t="str">
            <v>RC</v>
          </cell>
          <cell r="D6436" t="str">
            <v>RC</v>
          </cell>
          <cell r="E6436" t="str">
            <v>89060</v>
          </cell>
        </row>
        <row r="6437">
          <cell r="A6437" t="str">
            <v>BAGNARA CALABRA</v>
          </cell>
          <cell r="B6437" t="str">
            <v>080007</v>
          </cell>
          <cell r="C6437" t="str">
            <v>RC</v>
          </cell>
          <cell r="D6437" t="str">
            <v>RC</v>
          </cell>
          <cell r="E6437" t="str">
            <v>89011</v>
          </cell>
        </row>
        <row r="6438">
          <cell r="A6438" t="str">
            <v>BENESTARE</v>
          </cell>
          <cell r="B6438" t="str">
            <v>080008</v>
          </cell>
          <cell r="C6438" t="str">
            <v>RC</v>
          </cell>
          <cell r="D6438" t="str">
            <v>RC</v>
          </cell>
          <cell r="E6438" t="str">
            <v>89030</v>
          </cell>
        </row>
        <row r="6439">
          <cell r="A6439" t="str">
            <v>BIANCO</v>
          </cell>
          <cell r="B6439" t="str">
            <v>080009</v>
          </cell>
          <cell r="C6439" t="str">
            <v>RC</v>
          </cell>
          <cell r="D6439" t="str">
            <v>RC</v>
          </cell>
          <cell r="E6439" t="str">
            <v>89032</v>
          </cell>
        </row>
        <row r="6440">
          <cell r="A6440" t="str">
            <v>BIVONGI</v>
          </cell>
          <cell r="B6440" t="str">
            <v>080010</v>
          </cell>
          <cell r="C6440" t="str">
            <v>RC</v>
          </cell>
          <cell r="D6440" t="str">
            <v>RC</v>
          </cell>
          <cell r="E6440" t="str">
            <v>89040</v>
          </cell>
        </row>
        <row r="6441">
          <cell r="A6441" t="str">
            <v>BOVA</v>
          </cell>
          <cell r="B6441" t="str">
            <v>080011</v>
          </cell>
          <cell r="C6441" t="str">
            <v>RC</v>
          </cell>
          <cell r="D6441" t="str">
            <v>RC</v>
          </cell>
          <cell r="E6441" t="str">
            <v>89033</v>
          </cell>
        </row>
        <row r="6442">
          <cell r="A6442" t="str">
            <v>BOVALINO</v>
          </cell>
          <cell r="B6442" t="str">
            <v>080012</v>
          </cell>
          <cell r="C6442" t="str">
            <v>RC</v>
          </cell>
          <cell r="D6442" t="str">
            <v>RC</v>
          </cell>
          <cell r="E6442" t="str">
            <v>89034</v>
          </cell>
        </row>
        <row r="6443">
          <cell r="A6443" t="str">
            <v>BOVA MARINA</v>
          </cell>
          <cell r="B6443" t="str">
            <v>080013</v>
          </cell>
          <cell r="C6443" t="str">
            <v>RC</v>
          </cell>
          <cell r="D6443" t="str">
            <v>RC</v>
          </cell>
          <cell r="E6443" t="str">
            <v>89035</v>
          </cell>
        </row>
        <row r="6444">
          <cell r="A6444" t="str">
            <v>BRANCALEONE</v>
          </cell>
          <cell r="B6444" t="str">
            <v>080014</v>
          </cell>
          <cell r="C6444" t="str">
            <v>RC</v>
          </cell>
          <cell r="D6444" t="str">
            <v>RC</v>
          </cell>
          <cell r="E6444" t="str">
            <v>89036</v>
          </cell>
        </row>
        <row r="6445">
          <cell r="A6445" t="str">
            <v>BRUZZANO ZEFFIRIO</v>
          </cell>
          <cell r="B6445" t="str">
            <v>080015</v>
          </cell>
          <cell r="C6445" t="str">
            <v>RC</v>
          </cell>
          <cell r="D6445" t="str">
            <v>RC</v>
          </cell>
          <cell r="E6445" t="str">
            <v>89030</v>
          </cell>
        </row>
        <row r="6446">
          <cell r="A6446" t="str">
            <v>CALANNA</v>
          </cell>
          <cell r="B6446" t="str">
            <v>080016</v>
          </cell>
          <cell r="C6446" t="str">
            <v>RC</v>
          </cell>
          <cell r="D6446" t="str">
            <v>RC</v>
          </cell>
          <cell r="E6446" t="str">
            <v>89050</v>
          </cell>
        </row>
        <row r="6447">
          <cell r="A6447" t="str">
            <v>CAMINI</v>
          </cell>
          <cell r="B6447" t="str">
            <v>080017</v>
          </cell>
          <cell r="C6447" t="str">
            <v>RC</v>
          </cell>
          <cell r="D6447" t="str">
            <v>RC</v>
          </cell>
          <cell r="E6447" t="str">
            <v>89040</v>
          </cell>
        </row>
        <row r="6448">
          <cell r="A6448" t="str">
            <v>CAMPO CALABRO</v>
          </cell>
          <cell r="B6448" t="str">
            <v>080018</v>
          </cell>
          <cell r="C6448" t="str">
            <v>RC</v>
          </cell>
          <cell r="D6448" t="str">
            <v>RC</v>
          </cell>
          <cell r="E6448" t="str">
            <v>89052</v>
          </cell>
        </row>
        <row r="6449">
          <cell r="A6449" t="str">
            <v>CANDIDONI</v>
          </cell>
          <cell r="B6449" t="str">
            <v>080019</v>
          </cell>
          <cell r="C6449" t="str">
            <v>RC</v>
          </cell>
          <cell r="D6449" t="str">
            <v>RC</v>
          </cell>
          <cell r="E6449" t="str">
            <v>89020</v>
          </cell>
        </row>
        <row r="6450">
          <cell r="A6450" t="str">
            <v>CANOLO</v>
          </cell>
          <cell r="B6450" t="str">
            <v>080020</v>
          </cell>
          <cell r="C6450" t="str">
            <v>RC</v>
          </cell>
          <cell r="D6450" t="str">
            <v>RC</v>
          </cell>
          <cell r="E6450" t="str">
            <v>89040</v>
          </cell>
        </row>
        <row r="6451">
          <cell r="A6451" t="str">
            <v>CARAFFA DEL BIANCO</v>
          </cell>
          <cell r="B6451" t="str">
            <v>080021</v>
          </cell>
          <cell r="C6451" t="str">
            <v>RC</v>
          </cell>
          <cell r="D6451" t="str">
            <v>RC</v>
          </cell>
          <cell r="E6451" t="str">
            <v>89030</v>
          </cell>
        </row>
        <row r="6452">
          <cell r="A6452" t="str">
            <v>CARDETO</v>
          </cell>
          <cell r="B6452" t="str">
            <v>080022</v>
          </cell>
          <cell r="C6452" t="str">
            <v>RC</v>
          </cell>
          <cell r="D6452" t="str">
            <v>RC</v>
          </cell>
          <cell r="E6452" t="str">
            <v>89060</v>
          </cell>
        </row>
        <row r="6453">
          <cell r="A6453" t="str">
            <v>CARERI</v>
          </cell>
          <cell r="B6453" t="str">
            <v>080023</v>
          </cell>
          <cell r="C6453" t="str">
            <v>RC</v>
          </cell>
          <cell r="D6453" t="str">
            <v>RC</v>
          </cell>
          <cell r="E6453" t="str">
            <v>89030</v>
          </cell>
        </row>
        <row r="6454">
          <cell r="A6454" t="str">
            <v>CASIGNANA</v>
          </cell>
          <cell r="B6454" t="str">
            <v>080024</v>
          </cell>
          <cell r="C6454" t="str">
            <v>RC</v>
          </cell>
          <cell r="D6454" t="str">
            <v>RC</v>
          </cell>
          <cell r="E6454" t="str">
            <v>89030</v>
          </cell>
        </row>
        <row r="6455">
          <cell r="A6455" t="str">
            <v>CAULONIA</v>
          </cell>
          <cell r="B6455" t="str">
            <v>080025</v>
          </cell>
          <cell r="C6455" t="str">
            <v>RC</v>
          </cell>
          <cell r="D6455" t="str">
            <v>RC</v>
          </cell>
          <cell r="E6455" t="str">
            <v>89041</v>
          </cell>
        </row>
        <row r="6456">
          <cell r="A6456" t="str">
            <v>CIMINÀ</v>
          </cell>
          <cell r="B6456" t="str">
            <v>080026</v>
          </cell>
          <cell r="C6456" t="str">
            <v>RC</v>
          </cell>
          <cell r="D6456" t="str">
            <v>RC</v>
          </cell>
          <cell r="E6456" t="str">
            <v>89040</v>
          </cell>
        </row>
        <row r="6457">
          <cell r="A6457" t="str">
            <v>CINQUEFRONDI</v>
          </cell>
          <cell r="B6457" t="str">
            <v>080027</v>
          </cell>
          <cell r="C6457" t="str">
            <v>RC</v>
          </cell>
          <cell r="D6457" t="str">
            <v>RC</v>
          </cell>
          <cell r="E6457" t="str">
            <v>89021</v>
          </cell>
        </row>
        <row r="6458">
          <cell r="A6458" t="str">
            <v>CITTANOVA</v>
          </cell>
          <cell r="B6458" t="str">
            <v>080028</v>
          </cell>
          <cell r="C6458" t="str">
            <v>RC</v>
          </cell>
          <cell r="D6458" t="str">
            <v>RC</v>
          </cell>
          <cell r="E6458" t="str">
            <v>89022</v>
          </cell>
        </row>
        <row r="6459">
          <cell r="A6459" t="str">
            <v>CONDOFURI</v>
          </cell>
          <cell r="B6459" t="str">
            <v>080029</v>
          </cell>
          <cell r="C6459" t="str">
            <v>RC</v>
          </cell>
          <cell r="D6459" t="str">
            <v>RC</v>
          </cell>
          <cell r="E6459" t="str">
            <v>89030</v>
          </cell>
        </row>
        <row r="6460">
          <cell r="A6460" t="str">
            <v>COSOLETO</v>
          </cell>
          <cell r="B6460" t="str">
            <v>080030</v>
          </cell>
          <cell r="C6460" t="str">
            <v>RC</v>
          </cell>
          <cell r="D6460" t="str">
            <v>RC</v>
          </cell>
          <cell r="E6460" t="str">
            <v>89050</v>
          </cell>
        </row>
        <row r="6461">
          <cell r="A6461" t="str">
            <v>DELIANUOVA</v>
          </cell>
          <cell r="B6461" t="str">
            <v>080031</v>
          </cell>
          <cell r="C6461" t="str">
            <v>RC</v>
          </cell>
          <cell r="D6461" t="str">
            <v>RC</v>
          </cell>
          <cell r="E6461" t="str">
            <v>89012</v>
          </cell>
        </row>
        <row r="6462">
          <cell r="A6462" t="str">
            <v>FEROLETO DELLA CHIESA</v>
          </cell>
          <cell r="B6462" t="str">
            <v>080032</v>
          </cell>
          <cell r="C6462" t="str">
            <v>RC</v>
          </cell>
          <cell r="D6462" t="str">
            <v>RC</v>
          </cell>
          <cell r="E6462" t="str">
            <v>89050</v>
          </cell>
        </row>
        <row r="6463">
          <cell r="A6463" t="str">
            <v>FERRUZZANO</v>
          </cell>
          <cell r="B6463" t="str">
            <v>080033</v>
          </cell>
          <cell r="C6463" t="str">
            <v>RC</v>
          </cell>
          <cell r="D6463" t="str">
            <v>RC</v>
          </cell>
          <cell r="E6463" t="str">
            <v>89030</v>
          </cell>
        </row>
        <row r="6464">
          <cell r="A6464" t="str">
            <v>FIUMARA</v>
          </cell>
          <cell r="B6464" t="str">
            <v>080034</v>
          </cell>
          <cell r="C6464" t="str">
            <v>RC</v>
          </cell>
          <cell r="D6464" t="str">
            <v>RC</v>
          </cell>
          <cell r="E6464" t="str">
            <v>89050</v>
          </cell>
        </row>
        <row r="6465">
          <cell r="A6465" t="str">
            <v>GALATRO</v>
          </cell>
          <cell r="B6465" t="str">
            <v>080035</v>
          </cell>
          <cell r="C6465" t="str">
            <v>RC</v>
          </cell>
          <cell r="D6465" t="str">
            <v>RC</v>
          </cell>
          <cell r="E6465" t="str">
            <v>89054</v>
          </cell>
        </row>
        <row r="6466">
          <cell r="A6466" t="str">
            <v>GERACE</v>
          </cell>
          <cell r="B6466" t="str">
            <v>080036</v>
          </cell>
          <cell r="C6466" t="str">
            <v>RC</v>
          </cell>
          <cell r="D6466" t="str">
            <v>RC</v>
          </cell>
          <cell r="E6466" t="str">
            <v>89040</v>
          </cell>
        </row>
        <row r="6467">
          <cell r="A6467" t="str">
            <v>GIFFONE</v>
          </cell>
          <cell r="B6467" t="str">
            <v>080037</v>
          </cell>
          <cell r="C6467" t="str">
            <v>RC</v>
          </cell>
          <cell r="D6467" t="str">
            <v>RC</v>
          </cell>
          <cell r="E6467" t="str">
            <v>89020</v>
          </cell>
        </row>
        <row r="6468">
          <cell r="A6468" t="str">
            <v>GIOIA TAURO</v>
          </cell>
          <cell r="B6468" t="str">
            <v>080038</v>
          </cell>
          <cell r="C6468" t="str">
            <v>RC</v>
          </cell>
          <cell r="D6468" t="str">
            <v>RC</v>
          </cell>
          <cell r="E6468" t="str">
            <v>89013</v>
          </cell>
        </row>
        <row r="6469">
          <cell r="A6469" t="str">
            <v>GIOIOSA IONICA</v>
          </cell>
          <cell r="B6469" t="str">
            <v>080039</v>
          </cell>
          <cell r="C6469" t="str">
            <v>RC</v>
          </cell>
          <cell r="D6469" t="str">
            <v>RC</v>
          </cell>
          <cell r="E6469" t="str">
            <v>89042</v>
          </cell>
        </row>
        <row r="6470">
          <cell r="A6470" t="str">
            <v>GROTTERIA</v>
          </cell>
          <cell r="B6470" t="str">
            <v>080040</v>
          </cell>
          <cell r="C6470" t="str">
            <v>RC</v>
          </cell>
          <cell r="D6470" t="str">
            <v>RC</v>
          </cell>
          <cell r="E6470" t="str">
            <v>89043</v>
          </cell>
        </row>
        <row r="6471">
          <cell r="A6471" t="str">
            <v>LAGANADI</v>
          </cell>
          <cell r="B6471" t="str">
            <v>080041</v>
          </cell>
          <cell r="C6471" t="str">
            <v>RC</v>
          </cell>
          <cell r="D6471" t="str">
            <v>RC</v>
          </cell>
          <cell r="E6471" t="str">
            <v>89050</v>
          </cell>
        </row>
        <row r="6472">
          <cell r="A6472" t="str">
            <v>LAUREANA DI BORRELLO</v>
          </cell>
          <cell r="B6472" t="str">
            <v>080042</v>
          </cell>
          <cell r="C6472" t="str">
            <v>RC</v>
          </cell>
          <cell r="D6472" t="str">
            <v>RC</v>
          </cell>
          <cell r="E6472" t="str">
            <v>89023</v>
          </cell>
        </row>
        <row r="6473">
          <cell r="A6473" t="str">
            <v>LOCRI</v>
          </cell>
          <cell r="B6473" t="str">
            <v>080043</v>
          </cell>
          <cell r="C6473" t="str">
            <v>RC</v>
          </cell>
          <cell r="D6473" t="str">
            <v>RC</v>
          </cell>
          <cell r="E6473" t="str">
            <v>89044</v>
          </cell>
        </row>
        <row r="6474">
          <cell r="A6474" t="str">
            <v>MAMMOLA</v>
          </cell>
          <cell r="B6474" t="str">
            <v>080044</v>
          </cell>
          <cell r="C6474" t="str">
            <v>RC</v>
          </cell>
          <cell r="D6474" t="str">
            <v>RC</v>
          </cell>
          <cell r="E6474" t="str">
            <v>89045</v>
          </cell>
        </row>
        <row r="6475">
          <cell r="A6475" t="str">
            <v>MARINA DI GIOIOSA IONICA</v>
          </cell>
          <cell r="B6475" t="str">
            <v>080045</v>
          </cell>
          <cell r="C6475" t="str">
            <v>RC</v>
          </cell>
          <cell r="D6475" t="str">
            <v>RC</v>
          </cell>
          <cell r="E6475" t="str">
            <v>89046</v>
          </cell>
        </row>
        <row r="6476">
          <cell r="A6476" t="str">
            <v>MAROPATI</v>
          </cell>
          <cell r="B6476" t="str">
            <v>080046</v>
          </cell>
          <cell r="C6476" t="str">
            <v>RC</v>
          </cell>
          <cell r="D6476" t="str">
            <v>RC</v>
          </cell>
          <cell r="E6476" t="str">
            <v>89020</v>
          </cell>
        </row>
        <row r="6477">
          <cell r="A6477" t="str">
            <v>MARTONE</v>
          </cell>
          <cell r="B6477" t="str">
            <v>080047</v>
          </cell>
          <cell r="C6477" t="str">
            <v>RC</v>
          </cell>
          <cell r="D6477" t="str">
            <v>RC</v>
          </cell>
          <cell r="E6477" t="str">
            <v>89040</v>
          </cell>
        </row>
        <row r="6478">
          <cell r="A6478" t="str">
            <v>MELICUCCÀ</v>
          </cell>
          <cell r="B6478" t="str">
            <v>080048</v>
          </cell>
          <cell r="C6478" t="str">
            <v>RC</v>
          </cell>
          <cell r="D6478" t="str">
            <v>RC</v>
          </cell>
          <cell r="E6478" t="str">
            <v>89020</v>
          </cell>
        </row>
        <row r="6479">
          <cell r="A6479" t="str">
            <v>MELICUCCO</v>
          </cell>
          <cell r="B6479" t="str">
            <v>080049</v>
          </cell>
          <cell r="C6479" t="str">
            <v>RC</v>
          </cell>
          <cell r="D6479" t="str">
            <v>RC</v>
          </cell>
          <cell r="E6479" t="str">
            <v>89020</v>
          </cell>
        </row>
        <row r="6480">
          <cell r="A6480" t="str">
            <v>MELITO DI PORTO SALVO</v>
          </cell>
          <cell r="B6480" t="str">
            <v>080050</v>
          </cell>
          <cell r="C6480" t="str">
            <v>RC</v>
          </cell>
          <cell r="D6480" t="str">
            <v>RC</v>
          </cell>
          <cell r="E6480" t="str">
            <v>89063</v>
          </cell>
        </row>
        <row r="6481">
          <cell r="A6481" t="str">
            <v>MOLOCHIO</v>
          </cell>
          <cell r="B6481" t="str">
            <v>080051</v>
          </cell>
          <cell r="C6481" t="str">
            <v>RC</v>
          </cell>
          <cell r="D6481" t="str">
            <v>RC</v>
          </cell>
          <cell r="E6481" t="str">
            <v>89010</v>
          </cell>
        </row>
        <row r="6482">
          <cell r="A6482" t="str">
            <v>MONASTERACE</v>
          </cell>
          <cell r="B6482" t="str">
            <v>080052</v>
          </cell>
          <cell r="C6482" t="str">
            <v>RC</v>
          </cell>
          <cell r="D6482" t="str">
            <v>RC</v>
          </cell>
          <cell r="E6482" t="str">
            <v>89040</v>
          </cell>
        </row>
        <row r="6483">
          <cell r="A6483" t="str">
            <v>MONTEBELLO JONICO</v>
          </cell>
          <cell r="B6483" t="str">
            <v>080053</v>
          </cell>
          <cell r="C6483" t="str">
            <v>RC</v>
          </cell>
          <cell r="D6483" t="e">
            <v>#N/A</v>
          </cell>
          <cell r="E6483" t="e">
            <v>#N/A</v>
          </cell>
        </row>
        <row r="6484">
          <cell r="A6484" t="str">
            <v>MOTTA SAN GIOVANNI</v>
          </cell>
          <cell r="B6484" t="str">
            <v>080054</v>
          </cell>
          <cell r="C6484" t="str">
            <v>RC</v>
          </cell>
          <cell r="D6484" t="str">
            <v>RC</v>
          </cell>
          <cell r="E6484" t="str">
            <v>89065</v>
          </cell>
        </row>
        <row r="6485">
          <cell r="A6485" t="str">
            <v>OPPIDO MAMERTINA</v>
          </cell>
          <cell r="B6485" t="str">
            <v>080055</v>
          </cell>
          <cell r="C6485" t="str">
            <v>RC</v>
          </cell>
          <cell r="D6485" t="str">
            <v>RC</v>
          </cell>
          <cell r="E6485" t="str">
            <v>89014</v>
          </cell>
        </row>
        <row r="6486">
          <cell r="A6486" t="str">
            <v>PALIZZI</v>
          </cell>
          <cell r="B6486" t="str">
            <v>080056</v>
          </cell>
          <cell r="C6486" t="str">
            <v>RC</v>
          </cell>
          <cell r="D6486" t="str">
            <v>RC</v>
          </cell>
          <cell r="E6486" t="str">
            <v>89038</v>
          </cell>
        </row>
        <row r="6487">
          <cell r="A6487" t="str">
            <v>PALMI</v>
          </cell>
          <cell r="B6487" t="str">
            <v>080057</v>
          </cell>
          <cell r="C6487" t="str">
            <v>RC</v>
          </cell>
          <cell r="D6487" t="str">
            <v>RC</v>
          </cell>
          <cell r="E6487" t="str">
            <v>89015</v>
          </cell>
        </row>
        <row r="6488">
          <cell r="A6488" t="str">
            <v>PAZZANO</v>
          </cell>
          <cell r="B6488" t="str">
            <v>080058</v>
          </cell>
          <cell r="C6488" t="str">
            <v>RC</v>
          </cell>
          <cell r="D6488" t="str">
            <v>RC</v>
          </cell>
          <cell r="E6488" t="str">
            <v>89040</v>
          </cell>
        </row>
        <row r="6489">
          <cell r="A6489" t="str">
            <v>PLACANICA</v>
          </cell>
          <cell r="B6489" t="str">
            <v>080059</v>
          </cell>
          <cell r="C6489" t="str">
            <v>RC</v>
          </cell>
          <cell r="D6489" t="str">
            <v>RC</v>
          </cell>
          <cell r="E6489" t="str">
            <v>89040</v>
          </cell>
        </row>
        <row r="6490">
          <cell r="A6490" t="str">
            <v>PLATÌ</v>
          </cell>
          <cell r="B6490" t="str">
            <v>080060</v>
          </cell>
          <cell r="C6490" t="str">
            <v>RC</v>
          </cell>
          <cell r="D6490" t="str">
            <v>RC</v>
          </cell>
          <cell r="E6490" t="str">
            <v>89039</v>
          </cell>
        </row>
        <row r="6491">
          <cell r="A6491" t="str">
            <v>POLISTENA</v>
          </cell>
          <cell r="B6491" t="str">
            <v>080061</v>
          </cell>
          <cell r="C6491" t="str">
            <v>RC</v>
          </cell>
          <cell r="D6491" t="str">
            <v>RC</v>
          </cell>
          <cell r="E6491" t="str">
            <v>89024</v>
          </cell>
        </row>
        <row r="6492">
          <cell r="A6492" t="str">
            <v>PORTIGLIOLA</v>
          </cell>
          <cell r="B6492" t="str">
            <v>080062</v>
          </cell>
          <cell r="C6492" t="str">
            <v>RC</v>
          </cell>
          <cell r="D6492" t="str">
            <v>RC</v>
          </cell>
          <cell r="E6492" t="str">
            <v>89040</v>
          </cell>
        </row>
        <row r="6493">
          <cell r="A6493" t="str">
            <v>REGGIO DI CALABRIA</v>
          </cell>
          <cell r="B6493" t="str">
            <v>080063</v>
          </cell>
          <cell r="C6493" t="str">
            <v>RC</v>
          </cell>
          <cell r="D6493" t="e">
            <v>#N/A</v>
          </cell>
          <cell r="E6493" t="e">
            <v>#N/A</v>
          </cell>
        </row>
        <row r="6494">
          <cell r="A6494" t="str">
            <v>RIACE</v>
          </cell>
          <cell r="B6494" t="str">
            <v>080064</v>
          </cell>
          <cell r="C6494" t="str">
            <v>RC</v>
          </cell>
          <cell r="D6494" t="str">
            <v>RC</v>
          </cell>
          <cell r="E6494" t="str">
            <v>89040</v>
          </cell>
        </row>
        <row r="6495">
          <cell r="A6495" t="str">
            <v>RIZZICONI</v>
          </cell>
          <cell r="B6495" t="str">
            <v>080065</v>
          </cell>
          <cell r="C6495" t="str">
            <v>RC</v>
          </cell>
          <cell r="D6495" t="str">
            <v>RC</v>
          </cell>
          <cell r="E6495" t="str">
            <v>89016</v>
          </cell>
        </row>
        <row r="6496">
          <cell r="A6496" t="str">
            <v>ROCCAFORTE DEL GRECO</v>
          </cell>
          <cell r="B6496" t="str">
            <v>080066</v>
          </cell>
          <cell r="C6496" t="str">
            <v>RC</v>
          </cell>
          <cell r="D6496" t="str">
            <v>RC</v>
          </cell>
          <cell r="E6496" t="str">
            <v>89060</v>
          </cell>
        </row>
        <row r="6497">
          <cell r="A6497" t="str">
            <v>ROCCELLA IONICA</v>
          </cell>
          <cell r="B6497" t="str">
            <v>080067</v>
          </cell>
          <cell r="C6497" t="str">
            <v>RC</v>
          </cell>
          <cell r="D6497" t="str">
            <v>RC</v>
          </cell>
          <cell r="E6497" t="str">
            <v>89047</v>
          </cell>
        </row>
        <row r="6498">
          <cell r="A6498" t="str">
            <v>ROGHUDI</v>
          </cell>
          <cell r="B6498" t="str">
            <v>080068</v>
          </cell>
          <cell r="C6498" t="str">
            <v>RC</v>
          </cell>
          <cell r="D6498" t="str">
            <v>RC</v>
          </cell>
          <cell r="E6498" t="str">
            <v>89060</v>
          </cell>
        </row>
        <row r="6499">
          <cell r="A6499" t="str">
            <v>ROSARNO</v>
          </cell>
          <cell r="B6499" t="str">
            <v>080069</v>
          </cell>
          <cell r="C6499" t="str">
            <v>RC</v>
          </cell>
          <cell r="D6499" t="str">
            <v>RC</v>
          </cell>
          <cell r="E6499" t="str">
            <v>89025</v>
          </cell>
        </row>
        <row r="6500">
          <cell r="A6500" t="str">
            <v>SAMO</v>
          </cell>
          <cell r="B6500" t="str">
            <v>080070</v>
          </cell>
          <cell r="C6500" t="str">
            <v>RC</v>
          </cell>
          <cell r="D6500" t="str">
            <v>RC</v>
          </cell>
          <cell r="E6500" t="str">
            <v>89030</v>
          </cell>
        </row>
        <row r="6501">
          <cell r="A6501" t="str">
            <v>SAN GIORGIO MORGETO</v>
          </cell>
          <cell r="B6501" t="str">
            <v>080071</v>
          </cell>
          <cell r="C6501" t="str">
            <v>RC</v>
          </cell>
          <cell r="D6501" t="str">
            <v>RC</v>
          </cell>
          <cell r="E6501" t="str">
            <v>89017</v>
          </cell>
        </row>
        <row r="6502">
          <cell r="A6502" t="str">
            <v>SAN GIOVANNI DI GERACE</v>
          </cell>
          <cell r="B6502" t="str">
            <v>080072</v>
          </cell>
          <cell r="C6502" t="str">
            <v>RC</v>
          </cell>
          <cell r="D6502" t="str">
            <v>RC</v>
          </cell>
          <cell r="E6502" t="str">
            <v>89040</v>
          </cell>
        </row>
        <row r="6503">
          <cell r="A6503" t="str">
            <v>SAN LORENZO</v>
          </cell>
          <cell r="B6503" t="str">
            <v>080073</v>
          </cell>
          <cell r="C6503" t="str">
            <v>RC</v>
          </cell>
          <cell r="D6503" t="str">
            <v>RC</v>
          </cell>
          <cell r="E6503" t="str">
            <v>89069</v>
          </cell>
        </row>
        <row r="6504">
          <cell r="A6504" t="str">
            <v>SAN LUCA</v>
          </cell>
          <cell r="B6504" t="str">
            <v>080074</v>
          </cell>
          <cell r="C6504" t="str">
            <v>RC</v>
          </cell>
          <cell r="D6504" t="str">
            <v>RC</v>
          </cell>
          <cell r="E6504" t="str">
            <v>89030</v>
          </cell>
        </row>
        <row r="6505">
          <cell r="A6505" t="str">
            <v>SAN PIETRO DI CARIDÀ</v>
          </cell>
          <cell r="B6505" t="str">
            <v>080075</v>
          </cell>
          <cell r="C6505" t="str">
            <v>RC</v>
          </cell>
          <cell r="D6505" t="str">
            <v>RC</v>
          </cell>
          <cell r="E6505" t="str">
            <v>89020</v>
          </cell>
        </row>
        <row r="6506">
          <cell r="A6506" t="str">
            <v>SAN PROCOPIO</v>
          </cell>
          <cell r="B6506" t="str">
            <v>080076</v>
          </cell>
          <cell r="C6506" t="str">
            <v>RC</v>
          </cell>
          <cell r="D6506" t="str">
            <v>RC</v>
          </cell>
          <cell r="E6506" t="str">
            <v>89020</v>
          </cell>
        </row>
        <row r="6507">
          <cell r="A6507" t="str">
            <v>SAN ROBERTO</v>
          </cell>
          <cell r="B6507" t="str">
            <v>080077</v>
          </cell>
          <cell r="C6507" t="str">
            <v>RC</v>
          </cell>
          <cell r="D6507" t="str">
            <v>RC</v>
          </cell>
          <cell r="E6507" t="str">
            <v>89050</v>
          </cell>
        </row>
        <row r="6508">
          <cell r="A6508" t="str">
            <v>SANTA CRISTINA D'ASPROMONTE</v>
          </cell>
          <cell r="B6508" t="str">
            <v>080078</v>
          </cell>
          <cell r="C6508" t="str">
            <v>RC</v>
          </cell>
          <cell r="D6508" t="str">
            <v>RC</v>
          </cell>
          <cell r="E6508" t="str">
            <v>89056</v>
          </cell>
        </row>
        <row r="6509">
          <cell r="A6509" t="str">
            <v>SANT'AGATA DEL BIANCO</v>
          </cell>
          <cell r="B6509" t="str">
            <v>080079</v>
          </cell>
          <cell r="C6509" t="str">
            <v>RC</v>
          </cell>
          <cell r="D6509" t="str">
            <v>RC</v>
          </cell>
          <cell r="E6509" t="str">
            <v>89030</v>
          </cell>
        </row>
        <row r="6510">
          <cell r="A6510" t="str">
            <v>SANT'ALESSIO IN ASPROMONTE</v>
          </cell>
          <cell r="B6510" t="str">
            <v>080080</v>
          </cell>
          <cell r="C6510" t="str">
            <v>RC</v>
          </cell>
          <cell r="D6510" t="str">
            <v>RC</v>
          </cell>
          <cell r="E6510" t="str">
            <v>89050</v>
          </cell>
        </row>
        <row r="6511">
          <cell r="A6511" t="str">
            <v>SANT'EUFEMIA D'ASPROMONTE</v>
          </cell>
          <cell r="B6511" t="str">
            <v>080081</v>
          </cell>
          <cell r="C6511" t="str">
            <v>RC</v>
          </cell>
          <cell r="D6511" t="str">
            <v>RC</v>
          </cell>
          <cell r="E6511" t="str">
            <v>89027</v>
          </cell>
        </row>
        <row r="6512">
          <cell r="A6512" t="str">
            <v>SANT'ILARIO DELLO IONIO</v>
          </cell>
          <cell r="B6512" t="str">
            <v>080082</v>
          </cell>
          <cell r="C6512" t="str">
            <v>RC</v>
          </cell>
          <cell r="D6512" t="str">
            <v>RC</v>
          </cell>
          <cell r="E6512" t="str">
            <v>89040</v>
          </cell>
        </row>
        <row r="6513">
          <cell r="A6513" t="str">
            <v>SANTO STEFANO IN ASPROMONTE</v>
          </cell>
          <cell r="B6513" t="str">
            <v>080083</v>
          </cell>
          <cell r="C6513" t="str">
            <v>RC</v>
          </cell>
          <cell r="D6513" t="str">
            <v>RC</v>
          </cell>
          <cell r="E6513" t="str">
            <v>89057</v>
          </cell>
        </row>
        <row r="6514">
          <cell r="A6514" t="str">
            <v>SCIDO</v>
          </cell>
          <cell r="B6514" t="str">
            <v>080084</v>
          </cell>
          <cell r="C6514" t="str">
            <v>RC</v>
          </cell>
          <cell r="D6514" t="str">
            <v>RC</v>
          </cell>
          <cell r="E6514" t="str">
            <v>89010</v>
          </cell>
        </row>
        <row r="6515">
          <cell r="A6515" t="str">
            <v>SCILLA</v>
          </cell>
          <cell r="B6515" t="str">
            <v>080085</v>
          </cell>
          <cell r="C6515" t="str">
            <v>RC</v>
          </cell>
          <cell r="D6515" t="str">
            <v>RC</v>
          </cell>
          <cell r="E6515" t="str">
            <v>89058</v>
          </cell>
        </row>
        <row r="6516">
          <cell r="A6516" t="str">
            <v>SEMINARA</v>
          </cell>
          <cell r="B6516" t="str">
            <v>080086</v>
          </cell>
          <cell r="C6516" t="str">
            <v>RC</v>
          </cell>
          <cell r="D6516" t="str">
            <v>RC</v>
          </cell>
          <cell r="E6516" t="str">
            <v>89028</v>
          </cell>
        </row>
        <row r="6517">
          <cell r="A6517" t="str">
            <v>SERRATA</v>
          </cell>
          <cell r="B6517" t="str">
            <v>080087</v>
          </cell>
          <cell r="C6517" t="str">
            <v>RC</v>
          </cell>
          <cell r="D6517" t="str">
            <v>RC</v>
          </cell>
          <cell r="E6517" t="str">
            <v>89020</v>
          </cell>
        </row>
        <row r="6518">
          <cell r="A6518" t="str">
            <v>SIDERNO</v>
          </cell>
          <cell r="B6518" t="str">
            <v>080088</v>
          </cell>
          <cell r="C6518" t="str">
            <v>RC</v>
          </cell>
          <cell r="D6518" t="str">
            <v>RC</v>
          </cell>
          <cell r="E6518" t="str">
            <v>89048</v>
          </cell>
        </row>
        <row r="6519">
          <cell r="A6519" t="str">
            <v>SINOPOLI</v>
          </cell>
          <cell r="B6519" t="str">
            <v>080089</v>
          </cell>
          <cell r="C6519" t="str">
            <v>RC</v>
          </cell>
          <cell r="D6519" t="str">
            <v>RC</v>
          </cell>
          <cell r="E6519" t="str">
            <v>89020</v>
          </cell>
        </row>
        <row r="6520">
          <cell r="A6520" t="str">
            <v>STAITI</v>
          </cell>
          <cell r="B6520" t="str">
            <v>080090</v>
          </cell>
          <cell r="C6520" t="str">
            <v>RC</v>
          </cell>
          <cell r="D6520" t="str">
            <v>RC</v>
          </cell>
          <cell r="E6520" t="str">
            <v>89030</v>
          </cell>
        </row>
        <row r="6521">
          <cell r="A6521" t="str">
            <v>STIGNANO</v>
          </cell>
          <cell r="B6521" t="str">
            <v>080091</v>
          </cell>
          <cell r="C6521" t="str">
            <v>RC</v>
          </cell>
          <cell r="D6521" t="str">
            <v>RC</v>
          </cell>
          <cell r="E6521" t="str">
            <v>89040</v>
          </cell>
        </row>
        <row r="6522">
          <cell r="A6522" t="str">
            <v>STILO</v>
          </cell>
          <cell r="B6522" t="str">
            <v>080092</v>
          </cell>
          <cell r="C6522" t="str">
            <v>RC</v>
          </cell>
          <cell r="D6522" t="str">
            <v>RC</v>
          </cell>
          <cell r="E6522" t="str">
            <v>89049</v>
          </cell>
        </row>
        <row r="6523">
          <cell r="A6523" t="str">
            <v>TAURIANOVA</v>
          </cell>
          <cell r="B6523" t="str">
            <v>080093</v>
          </cell>
          <cell r="C6523" t="str">
            <v>RC</v>
          </cell>
          <cell r="D6523" t="str">
            <v>RC</v>
          </cell>
          <cell r="E6523" t="str">
            <v>89029</v>
          </cell>
        </row>
        <row r="6524">
          <cell r="A6524" t="str">
            <v>TERRANOVA SAPPO MINULIO</v>
          </cell>
          <cell r="B6524" t="str">
            <v>080094</v>
          </cell>
          <cell r="C6524" t="str">
            <v>RC</v>
          </cell>
          <cell r="D6524" t="str">
            <v>RC</v>
          </cell>
          <cell r="E6524" t="str">
            <v>89010</v>
          </cell>
        </row>
        <row r="6525">
          <cell r="A6525" t="str">
            <v>VARAPODIO</v>
          </cell>
          <cell r="B6525" t="str">
            <v>080095</v>
          </cell>
          <cell r="C6525" t="str">
            <v>RC</v>
          </cell>
          <cell r="D6525" t="str">
            <v>RC</v>
          </cell>
          <cell r="E6525" t="str">
            <v>89010</v>
          </cell>
        </row>
        <row r="6526">
          <cell r="A6526" t="str">
            <v>VILLA SAN GIOVANNI</v>
          </cell>
          <cell r="B6526" t="str">
            <v>080096</v>
          </cell>
          <cell r="C6526" t="str">
            <v>RC</v>
          </cell>
          <cell r="D6526" t="str">
            <v>RC</v>
          </cell>
          <cell r="E6526" t="str">
            <v>89018</v>
          </cell>
        </row>
        <row r="6527">
          <cell r="A6527" t="str">
            <v>SAN FERDINANDO</v>
          </cell>
          <cell r="B6527" t="str">
            <v>080097</v>
          </cell>
          <cell r="C6527" t="str">
            <v>RC</v>
          </cell>
          <cell r="D6527" t="str">
            <v>RC</v>
          </cell>
          <cell r="E6527" t="str">
            <v>89026</v>
          </cell>
        </row>
        <row r="6528">
          <cell r="A6528" t="str">
            <v>ALCAMO</v>
          </cell>
          <cell r="B6528" t="str">
            <v>081001</v>
          </cell>
          <cell r="C6528" t="str">
            <v>TP</v>
          </cell>
          <cell r="D6528" t="str">
            <v>TP</v>
          </cell>
          <cell r="E6528" t="str">
            <v>91011</v>
          </cell>
        </row>
        <row r="6529">
          <cell r="A6529" t="str">
            <v>BUSETO PALIZZOLO</v>
          </cell>
          <cell r="B6529" t="str">
            <v>081002</v>
          </cell>
          <cell r="C6529" t="str">
            <v>TP</v>
          </cell>
          <cell r="D6529" t="str">
            <v>TP</v>
          </cell>
          <cell r="E6529" t="str">
            <v>91012</v>
          </cell>
        </row>
        <row r="6530">
          <cell r="A6530" t="str">
            <v>CALATAFIMI-SEGESTA</v>
          </cell>
          <cell r="B6530" t="str">
            <v>081003</v>
          </cell>
          <cell r="C6530" t="str">
            <v>TP</v>
          </cell>
          <cell r="D6530" t="e">
            <v>#N/A</v>
          </cell>
          <cell r="E6530" t="e">
            <v>#N/A</v>
          </cell>
        </row>
        <row r="6531">
          <cell r="A6531" t="str">
            <v>CAMPOBELLO DI MAZARA</v>
          </cell>
          <cell r="B6531" t="str">
            <v>081004</v>
          </cell>
          <cell r="C6531" t="str">
            <v>TP</v>
          </cell>
          <cell r="D6531" t="str">
            <v>TP</v>
          </cell>
          <cell r="E6531" t="str">
            <v>91021</v>
          </cell>
        </row>
        <row r="6532">
          <cell r="A6532" t="str">
            <v>CASTELLAMMARE DEL GOLFO</v>
          </cell>
          <cell r="B6532" t="str">
            <v>081005</v>
          </cell>
          <cell r="C6532" t="str">
            <v>TP</v>
          </cell>
          <cell r="D6532" t="str">
            <v>TP</v>
          </cell>
          <cell r="E6532" t="str">
            <v>91014</v>
          </cell>
        </row>
        <row r="6533">
          <cell r="A6533" t="str">
            <v>CASTELVETRANO</v>
          </cell>
          <cell r="B6533" t="str">
            <v>081006</v>
          </cell>
          <cell r="C6533" t="str">
            <v>TP</v>
          </cell>
          <cell r="D6533" t="str">
            <v>TP</v>
          </cell>
          <cell r="E6533" t="str">
            <v>91022</v>
          </cell>
        </row>
        <row r="6534">
          <cell r="A6534" t="str">
            <v>CUSTONACI</v>
          </cell>
          <cell r="B6534" t="str">
            <v>081007</v>
          </cell>
          <cell r="C6534" t="str">
            <v>TP</v>
          </cell>
          <cell r="D6534" t="str">
            <v>TP</v>
          </cell>
          <cell r="E6534" t="str">
            <v>91015</v>
          </cell>
        </row>
        <row r="6535">
          <cell r="A6535" t="str">
            <v>ERICE</v>
          </cell>
          <cell r="B6535" t="str">
            <v>081008</v>
          </cell>
          <cell r="C6535" t="str">
            <v>TP</v>
          </cell>
          <cell r="D6535" t="str">
            <v>TP</v>
          </cell>
          <cell r="E6535" t="str">
            <v>91016</v>
          </cell>
        </row>
        <row r="6536">
          <cell r="A6536" t="str">
            <v>FAVIGNANA</v>
          </cell>
          <cell r="B6536" t="str">
            <v>081009</v>
          </cell>
          <cell r="C6536" t="str">
            <v>TP</v>
          </cell>
          <cell r="D6536" t="str">
            <v>TP</v>
          </cell>
          <cell r="E6536" t="str">
            <v>91023</v>
          </cell>
        </row>
        <row r="6537">
          <cell r="A6537" t="str">
            <v>GIBELLINA</v>
          </cell>
          <cell r="B6537" t="str">
            <v>081010</v>
          </cell>
          <cell r="C6537" t="str">
            <v>TP</v>
          </cell>
          <cell r="D6537" t="str">
            <v>TP</v>
          </cell>
          <cell r="E6537" t="str">
            <v>91024</v>
          </cell>
        </row>
        <row r="6538">
          <cell r="A6538" t="str">
            <v>MARSALA</v>
          </cell>
          <cell r="B6538" t="str">
            <v>081011</v>
          </cell>
          <cell r="C6538" t="str">
            <v>TP</v>
          </cell>
          <cell r="D6538" t="str">
            <v>TP</v>
          </cell>
          <cell r="E6538" t="str">
            <v>91025</v>
          </cell>
        </row>
        <row r="6539">
          <cell r="A6539" t="str">
            <v>MAZARA DEL VALLO</v>
          </cell>
          <cell r="B6539" t="str">
            <v>081012</v>
          </cell>
          <cell r="C6539" t="str">
            <v>TP</v>
          </cell>
          <cell r="D6539" t="str">
            <v>TP</v>
          </cell>
          <cell r="E6539" t="str">
            <v>91026</v>
          </cell>
        </row>
        <row r="6540">
          <cell r="A6540" t="str">
            <v>PACECO</v>
          </cell>
          <cell r="B6540" t="str">
            <v>081013</v>
          </cell>
          <cell r="C6540" t="str">
            <v>TP</v>
          </cell>
          <cell r="D6540" t="str">
            <v>TP</v>
          </cell>
          <cell r="E6540" t="str">
            <v>91027</v>
          </cell>
        </row>
        <row r="6541">
          <cell r="A6541" t="str">
            <v>PANTELLERIA</v>
          </cell>
          <cell r="B6541" t="str">
            <v>081014</v>
          </cell>
          <cell r="C6541" t="str">
            <v>TP</v>
          </cell>
          <cell r="D6541" t="str">
            <v>TP</v>
          </cell>
          <cell r="E6541" t="str">
            <v>91017</v>
          </cell>
        </row>
        <row r="6542">
          <cell r="A6542" t="str">
            <v>PARTANNA</v>
          </cell>
          <cell r="B6542" t="str">
            <v>081015</v>
          </cell>
          <cell r="C6542" t="str">
            <v>TP</v>
          </cell>
          <cell r="D6542" t="str">
            <v>TP</v>
          </cell>
          <cell r="E6542" t="str">
            <v>91028</v>
          </cell>
        </row>
        <row r="6543">
          <cell r="A6543" t="str">
            <v>POGGIOREALE</v>
          </cell>
          <cell r="B6543" t="str">
            <v>081016</v>
          </cell>
          <cell r="C6543" t="str">
            <v>TP</v>
          </cell>
          <cell r="D6543" t="str">
            <v>TP</v>
          </cell>
          <cell r="E6543" t="str">
            <v>91020</v>
          </cell>
        </row>
        <row r="6544">
          <cell r="A6544" t="str">
            <v>SALAPARUTA</v>
          </cell>
          <cell r="B6544" t="str">
            <v>081017</v>
          </cell>
          <cell r="C6544" t="str">
            <v>TP</v>
          </cell>
          <cell r="D6544" t="str">
            <v>TP</v>
          </cell>
          <cell r="E6544" t="str">
            <v>91020</v>
          </cell>
        </row>
        <row r="6545">
          <cell r="A6545" t="str">
            <v>SALEMI</v>
          </cell>
          <cell r="B6545" t="str">
            <v>081018</v>
          </cell>
          <cell r="C6545" t="str">
            <v>TP</v>
          </cell>
          <cell r="D6545" t="str">
            <v>TP</v>
          </cell>
          <cell r="E6545" t="str">
            <v>91018</v>
          </cell>
        </row>
        <row r="6546">
          <cell r="A6546" t="str">
            <v>SANTA NINFA</v>
          </cell>
          <cell r="B6546" t="str">
            <v>081019</v>
          </cell>
          <cell r="C6546" t="str">
            <v>TP</v>
          </cell>
          <cell r="D6546" t="str">
            <v>TP</v>
          </cell>
          <cell r="E6546" t="str">
            <v>91029</v>
          </cell>
        </row>
        <row r="6547">
          <cell r="A6547" t="str">
            <v>SAN VITO LO CAPO</v>
          </cell>
          <cell r="B6547" t="str">
            <v>081020</v>
          </cell>
          <cell r="C6547" t="str">
            <v>TP</v>
          </cell>
          <cell r="D6547" t="str">
            <v>TP</v>
          </cell>
          <cell r="E6547" t="str">
            <v>91010</v>
          </cell>
        </row>
        <row r="6548">
          <cell r="A6548" t="str">
            <v>TRAPANI</v>
          </cell>
          <cell r="B6548" t="str">
            <v>081021</v>
          </cell>
          <cell r="C6548" t="str">
            <v>TP</v>
          </cell>
          <cell r="D6548" t="str">
            <v>TP</v>
          </cell>
          <cell r="E6548" t="str">
            <v>91100</v>
          </cell>
        </row>
        <row r="6549">
          <cell r="A6549" t="str">
            <v>VALDERICE</v>
          </cell>
          <cell r="B6549" t="str">
            <v>081022</v>
          </cell>
          <cell r="C6549" t="str">
            <v>TP</v>
          </cell>
          <cell r="D6549" t="str">
            <v>TP</v>
          </cell>
          <cell r="E6549" t="str">
            <v>91019</v>
          </cell>
        </row>
        <row r="6550">
          <cell r="A6550" t="str">
            <v>VITA</v>
          </cell>
          <cell r="B6550" t="str">
            <v>081023</v>
          </cell>
          <cell r="C6550" t="str">
            <v>TP</v>
          </cell>
          <cell r="D6550" t="str">
            <v>TP</v>
          </cell>
          <cell r="E6550" t="str">
            <v>91010</v>
          </cell>
        </row>
        <row r="6551">
          <cell r="A6551" t="str">
            <v>PETROSINO</v>
          </cell>
          <cell r="B6551" t="str">
            <v>081024</v>
          </cell>
          <cell r="C6551" t="str">
            <v>TP</v>
          </cell>
          <cell r="D6551" t="str">
            <v>TP</v>
          </cell>
          <cell r="E6551" t="str">
            <v>91020</v>
          </cell>
        </row>
        <row r="6552">
          <cell r="A6552" t="str">
            <v>MISILISCEMI</v>
          </cell>
          <cell r="B6552" t="str">
            <v>081025</v>
          </cell>
          <cell r="C6552" t="str">
            <v>TP</v>
          </cell>
          <cell r="D6552" t="e">
            <v>#N/A</v>
          </cell>
          <cell r="E6552" t="e">
            <v>#N/A</v>
          </cell>
        </row>
        <row r="6553">
          <cell r="A6553" t="str">
            <v>ALIA</v>
          </cell>
          <cell r="B6553" t="str">
            <v>082001</v>
          </cell>
          <cell r="C6553" t="str">
            <v>PA</v>
          </cell>
          <cell r="D6553" t="str">
            <v>PA</v>
          </cell>
          <cell r="E6553" t="str">
            <v>90021</v>
          </cell>
        </row>
        <row r="6554">
          <cell r="A6554" t="str">
            <v>ALIMENA</v>
          </cell>
          <cell r="B6554" t="str">
            <v>082002</v>
          </cell>
          <cell r="C6554" t="str">
            <v>PA</v>
          </cell>
          <cell r="D6554" t="str">
            <v>PA</v>
          </cell>
          <cell r="E6554" t="str">
            <v>90020</v>
          </cell>
        </row>
        <row r="6555">
          <cell r="A6555" t="str">
            <v>ALIMINUSA</v>
          </cell>
          <cell r="B6555" t="str">
            <v>082003</v>
          </cell>
          <cell r="C6555" t="str">
            <v>PA</v>
          </cell>
          <cell r="D6555" t="str">
            <v>PA</v>
          </cell>
          <cell r="E6555" t="str">
            <v>90020</v>
          </cell>
        </row>
        <row r="6556">
          <cell r="A6556" t="str">
            <v>ALTAVILLA MILICIA</v>
          </cell>
          <cell r="B6556" t="str">
            <v>082004</v>
          </cell>
          <cell r="C6556" t="str">
            <v>PA</v>
          </cell>
          <cell r="D6556" t="str">
            <v>PA</v>
          </cell>
          <cell r="E6556" t="str">
            <v>90010</v>
          </cell>
        </row>
        <row r="6557">
          <cell r="A6557" t="str">
            <v>ALTOFONTE</v>
          </cell>
          <cell r="B6557" t="str">
            <v>082005</v>
          </cell>
          <cell r="C6557" t="str">
            <v>PA</v>
          </cell>
          <cell r="D6557" t="str">
            <v>PA</v>
          </cell>
          <cell r="E6557" t="str">
            <v>90030</v>
          </cell>
        </row>
        <row r="6558">
          <cell r="A6558" t="str">
            <v>BAGHERIA</v>
          </cell>
          <cell r="B6558" t="str">
            <v>082006</v>
          </cell>
          <cell r="C6558" t="str">
            <v>PA</v>
          </cell>
          <cell r="D6558" t="str">
            <v>PA</v>
          </cell>
          <cell r="E6558" t="str">
            <v>90011</v>
          </cell>
        </row>
        <row r="6559">
          <cell r="A6559" t="str">
            <v>BALESTRATE</v>
          </cell>
          <cell r="B6559" t="str">
            <v>082007</v>
          </cell>
          <cell r="C6559" t="str">
            <v>PA</v>
          </cell>
          <cell r="D6559" t="str">
            <v>PA</v>
          </cell>
          <cell r="E6559" t="str">
            <v>90041</v>
          </cell>
        </row>
        <row r="6560">
          <cell r="A6560" t="str">
            <v>BAUCINA</v>
          </cell>
          <cell r="B6560" t="str">
            <v>082008</v>
          </cell>
          <cell r="C6560" t="str">
            <v>PA</v>
          </cell>
          <cell r="D6560" t="str">
            <v>PA</v>
          </cell>
          <cell r="E6560" t="str">
            <v>90020</v>
          </cell>
        </row>
        <row r="6561">
          <cell r="A6561" t="str">
            <v>BELMONTE MEZZAGNO</v>
          </cell>
          <cell r="B6561" t="str">
            <v>082009</v>
          </cell>
          <cell r="C6561" t="str">
            <v>PA</v>
          </cell>
          <cell r="D6561" t="str">
            <v>PA</v>
          </cell>
          <cell r="E6561" t="str">
            <v>90031</v>
          </cell>
        </row>
        <row r="6562">
          <cell r="A6562" t="str">
            <v>BISACQUINO</v>
          </cell>
          <cell r="B6562" t="str">
            <v>082010</v>
          </cell>
          <cell r="C6562" t="str">
            <v>PA</v>
          </cell>
          <cell r="D6562" t="str">
            <v>PA</v>
          </cell>
          <cell r="E6562" t="str">
            <v>90032</v>
          </cell>
        </row>
        <row r="6563">
          <cell r="A6563" t="str">
            <v>BOLOGNETTA</v>
          </cell>
          <cell r="B6563" t="str">
            <v>082011</v>
          </cell>
          <cell r="C6563" t="str">
            <v>PA</v>
          </cell>
          <cell r="D6563" t="str">
            <v>PA</v>
          </cell>
          <cell r="E6563" t="str">
            <v>90030</v>
          </cell>
        </row>
        <row r="6564">
          <cell r="A6564" t="str">
            <v>BOMPIETRO</v>
          </cell>
          <cell r="B6564" t="str">
            <v>082012</v>
          </cell>
          <cell r="C6564" t="str">
            <v>PA</v>
          </cell>
          <cell r="D6564" t="str">
            <v>PA</v>
          </cell>
          <cell r="E6564" t="str">
            <v>90020</v>
          </cell>
        </row>
        <row r="6565">
          <cell r="A6565" t="str">
            <v>BORGETTO</v>
          </cell>
          <cell r="B6565" t="str">
            <v>082013</v>
          </cell>
          <cell r="C6565" t="str">
            <v>PA</v>
          </cell>
          <cell r="D6565" t="str">
            <v>PA</v>
          </cell>
          <cell r="E6565" t="str">
            <v>90042</v>
          </cell>
        </row>
        <row r="6566">
          <cell r="A6566" t="str">
            <v>CACCAMO</v>
          </cell>
          <cell r="B6566" t="str">
            <v>082014</v>
          </cell>
          <cell r="C6566" t="str">
            <v>PA</v>
          </cell>
          <cell r="D6566" t="str">
            <v>PA</v>
          </cell>
          <cell r="E6566" t="str">
            <v>90012</v>
          </cell>
        </row>
        <row r="6567">
          <cell r="A6567" t="str">
            <v>CALTAVUTURO</v>
          </cell>
          <cell r="B6567" t="str">
            <v>082015</v>
          </cell>
          <cell r="C6567" t="str">
            <v>PA</v>
          </cell>
          <cell r="D6567" t="str">
            <v>PA</v>
          </cell>
          <cell r="E6567" t="str">
            <v>90022</v>
          </cell>
        </row>
        <row r="6568">
          <cell r="A6568" t="str">
            <v>CAMPOFELICE DI FITALIA</v>
          </cell>
          <cell r="B6568" t="str">
            <v>082016</v>
          </cell>
          <cell r="C6568" t="str">
            <v>PA</v>
          </cell>
          <cell r="D6568" t="str">
            <v>PA</v>
          </cell>
          <cell r="E6568" t="str">
            <v>90030</v>
          </cell>
        </row>
        <row r="6569">
          <cell r="A6569" t="str">
            <v>CAMPOFELICE DI ROCCELLA</v>
          </cell>
          <cell r="B6569" t="str">
            <v>082017</v>
          </cell>
          <cell r="C6569" t="str">
            <v>PA</v>
          </cell>
          <cell r="D6569" t="str">
            <v>PA</v>
          </cell>
          <cell r="E6569" t="str">
            <v>90010</v>
          </cell>
        </row>
        <row r="6570">
          <cell r="A6570" t="str">
            <v>CAMPOFIORITO</v>
          </cell>
          <cell r="B6570" t="str">
            <v>082018</v>
          </cell>
          <cell r="C6570" t="str">
            <v>PA</v>
          </cell>
          <cell r="D6570" t="str">
            <v>PA</v>
          </cell>
          <cell r="E6570" t="str">
            <v>90030</v>
          </cell>
        </row>
        <row r="6571">
          <cell r="A6571" t="str">
            <v>CAMPOREALE</v>
          </cell>
          <cell r="B6571" t="str">
            <v>082019</v>
          </cell>
          <cell r="C6571" t="str">
            <v>PA</v>
          </cell>
          <cell r="D6571" t="str">
            <v>PA</v>
          </cell>
          <cell r="E6571" t="str">
            <v>90043</v>
          </cell>
        </row>
        <row r="6572">
          <cell r="A6572" t="str">
            <v>CAPACI</v>
          </cell>
          <cell r="B6572" t="str">
            <v>082020</v>
          </cell>
          <cell r="C6572" t="str">
            <v>PA</v>
          </cell>
          <cell r="D6572" t="str">
            <v>PA</v>
          </cell>
          <cell r="E6572" t="str">
            <v>90040</v>
          </cell>
        </row>
        <row r="6573">
          <cell r="A6573" t="str">
            <v>CARINI</v>
          </cell>
          <cell r="B6573" t="str">
            <v>082021</v>
          </cell>
          <cell r="C6573" t="str">
            <v>PA</v>
          </cell>
          <cell r="D6573" t="str">
            <v>PA</v>
          </cell>
          <cell r="E6573" t="str">
            <v>90044</v>
          </cell>
        </row>
        <row r="6574">
          <cell r="A6574" t="str">
            <v>CASTELBUONO</v>
          </cell>
          <cell r="B6574" t="str">
            <v>082022</v>
          </cell>
          <cell r="C6574" t="str">
            <v>PA</v>
          </cell>
          <cell r="D6574" t="str">
            <v>PA</v>
          </cell>
          <cell r="E6574" t="str">
            <v>90013</v>
          </cell>
        </row>
        <row r="6575">
          <cell r="A6575" t="str">
            <v>CASTELDACCIA</v>
          </cell>
          <cell r="B6575" t="str">
            <v>082023</v>
          </cell>
          <cell r="C6575" t="str">
            <v>PA</v>
          </cell>
          <cell r="D6575" t="str">
            <v>PA</v>
          </cell>
          <cell r="E6575" t="str">
            <v>90014</v>
          </cell>
        </row>
        <row r="6576">
          <cell r="A6576" t="str">
            <v>CASTELLANA SICULA</v>
          </cell>
          <cell r="B6576" t="str">
            <v>082024</v>
          </cell>
          <cell r="C6576" t="str">
            <v>PA</v>
          </cell>
          <cell r="D6576" t="str">
            <v>PA</v>
          </cell>
          <cell r="E6576" t="str">
            <v>90020</v>
          </cell>
        </row>
        <row r="6577">
          <cell r="A6577" t="str">
            <v>CASTRONOVO DI SICILIA</v>
          </cell>
          <cell r="B6577" t="str">
            <v>082025</v>
          </cell>
          <cell r="C6577" t="str">
            <v>PA</v>
          </cell>
          <cell r="D6577" t="str">
            <v>PA</v>
          </cell>
          <cell r="E6577" t="str">
            <v>90030</v>
          </cell>
        </row>
        <row r="6578">
          <cell r="A6578" t="str">
            <v>CEFALÀ DIANA</v>
          </cell>
          <cell r="B6578" t="str">
            <v>082026</v>
          </cell>
          <cell r="C6578" t="str">
            <v>PA</v>
          </cell>
          <cell r="D6578" t="str">
            <v>PA</v>
          </cell>
          <cell r="E6578" t="str">
            <v>90030</v>
          </cell>
        </row>
        <row r="6579">
          <cell r="A6579" t="str">
            <v>CEFALÙ</v>
          </cell>
          <cell r="B6579" t="str">
            <v>082027</v>
          </cell>
          <cell r="C6579" t="str">
            <v>PA</v>
          </cell>
          <cell r="D6579" t="str">
            <v>PA</v>
          </cell>
          <cell r="E6579" t="str">
            <v>90015</v>
          </cell>
        </row>
        <row r="6580">
          <cell r="A6580" t="str">
            <v>CERDA</v>
          </cell>
          <cell r="B6580" t="str">
            <v>082028</v>
          </cell>
          <cell r="C6580" t="str">
            <v>PA</v>
          </cell>
          <cell r="D6580" t="str">
            <v>PA</v>
          </cell>
          <cell r="E6580" t="str">
            <v>90010</v>
          </cell>
        </row>
        <row r="6581">
          <cell r="A6581" t="str">
            <v>CHIUSA SCLAFANI</v>
          </cell>
          <cell r="B6581" t="str">
            <v>082029</v>
          </cell>
          <cell r="C6581" t="str">
            <v>PA</v>
          </cell>
          <cell r="D6581" t="str">
            <v>PA</v>
          </cell>
          <cell r="E6581" t="str">
            <v>90033</v>
          </cell>
        </row>
        <row r="6582">
          <cell r="A6582" t="str">
            <v>CIMINNA</v>
          </cell>
          <cell r="B6582" t="str">
            <v>082030</v>
          </cell>
          <cell r="C6582" t="str">
            <v>PA</v>
          </cell>
          <cell r="D6582" t="str">
            <v>PA</v>
          </cell>
          <cell r="E6582" t="str">
            <v>90023</v>
          </cell>
        </row>
        <row r="6583">
          <cell r="A6583" t="str">
            <v>CINISI</v>
          </cell>
          <cell r="B6583" t="str">
            <v>082031</v>
          </cell>
          <cell r="C6583" t="str">
            <v>PA</v>
          </cell>
          <cell r="D6583" t="str">
            <v>PA</v>
          </cell>
          <cell r="E6583" t="str">
            <v>90045</v>
          </cell>
        </row>
        <row r="6584">
          <cell r="A6584" t="str">
            <v>COLLESANO</v>
          </cell>
          <cell r="B6584" t="str">
            <v>082032</v>
          </cell>
          <cell r="C6584" t="str">
            <v>PA</v>
          </cell>
          <cell r="D6584" t="str">
            <v>PA</v>
          </cell>
          <cell r="E6584" t="str">
            <v>90016</v>
          </cell>
        </row>
        <row r="6585">
          <cell r="A6585" t="str">
            <v>CONTESSA ENTELLINA</v>
          </cell>
          <cell r="B6585" t="str">
            <v>082033</v>
          </cell>
          <cell r="C6585" t="str">
            <v>PA</v>
          </cell>
          <cell r="D6585" t="str">
            <v>PA</v>
          </cell>
          <cell r="E6585" t="str">
            <v>90030</v>
          </cell>
        </row>
        <row r="6586">
          <cell r="A6586" t="str">
            <v>CORLEONE</v>
          </cell>
          <cell r="B6586" t="str">
            <v>082034</v>
          </cell>
          <cell r="C6586" t="str">
            <v>PA</v>
          </cell>
          <cell r="D6586" t="str">
            <v>PA</v>
          </cell>
          <cell r="E6586" t="str">
            <v>90034</v>
          </cell>
        </row>
        <row r="6587">
          <cell r="A6587" t="str">
            <v>FICARAZZI</v>
          </cell>
          <cell r="B6587" t="str">
            <v>082035</v>
          </cell>
          <cell r="C6587" t="str">
            <v>PA</v>
          </cell>
          <cell r="D6587" t="str">
            <v>PA</v>
          </cell>
          <cell r="E6587" t="str">
            <v>90010</v>
          </cell>
        </row>
        <row r="6588">
          <cell r="A6588" t="str">
            <v>GANGI</v>
          </cell>
          <cell r="B6588" t="str">
            <v>082036</v>
          </cell>
          <cell r="C6588" t="str">
            <v>PA</v>
          </cell>
          <cell r="D6588" t="str">
            <v>PA</v>
          </cell>
          <cell r="E6588" t="str">
            <v>90024</v>
          </cell>
        </row>
        <row r="6589">
          <cell r="A6589" t="str">
            <v>GERACI SICULO</v>
          </cell>
          <cell r="B6589" t="str">
            <v>082037</v>
          </cell>
          <cell r="C6589" t="str">
            <v>PA</v>
          </cell>
          <cell r="D6589" t="str">
            <v>PA</v>
          </cell>
          <cell r="E6589" t="str">
            <v>90010</v>
          </cell>
        </row>
        <row r="6590">
          <cell r="A6590" t="str">
            <v>GIARDINELLO</v>
          </cell>
          <cell r="B6590" t="str">
            <v>082038</v>
          </cell>
          <cell r="C6590" t="str">
            <v>PA</v>
          </cell>
          <cell r="D6590" t="str">
            <v>PA</v>
          </cell>
          <cell r="E6590" t="str">
            <v>90040</v>
          </cell>
        </row>
        <row r="6591">
          <cell r="A6591" t="str">
            <v>GIULIANA</v>
          </cell>
          <cell r="B6591" t="str">
            <v>082039</v>
          </cell>
          <cell r="C6591" t="str">
            <v>PA</v>
          </cell>
          <cell r="D6591" t="str">
            <v>PA</v>
          </cell>
          <cell r="E6591" t="str">
            <v>90030</v>
          </cell>
        </row>
        <row r="6592">
          <cell r="A6592" t="str">
            <v>GODRANO</v>
          </cell>
          <cell r="B6592" t="str">
            <v>082040</v>
          </cell>
          <cell r="C6592" t="str">
            <v>PA</v>
          </cell>
          <cell r="D6592" t="str">
            <v>PA</v>
          </cell>
          <cell r="E6592" t="str">
            <v>90030</v>
          </cell>
        </row>
        <row r="6593">
          <cell r="A6593" t="str">
            <v>GRATTERI</v>
          </cell>
          <cell r="B6593" t="str">
            <v>082041</v>
          </cell>
          <cell r="C6593" t="str">
            <v>PA</v>
          </cell>
          <cell r="D6593" t="str">
            <v>PA</v>
          </cell>
          <cell r="E6593" t="str">
            <v>90010</v>
          </cell>
        </row>
        <row r="6594">
          <cell r="A6594" t="str">
            <v>ISNELLO</v>
          </cell>
          <cell r="B6594" t="str">
            <v>082042</v>
          </cell>
          <cell r="C6594" t="str">
            <v>PA</v>
          </cell>
          <cell r="D6594" t="str">
            <v>PA</v>
          </cell>
          <cell r="E6594" t="str">
            <v>90010</v>
          </cell>
        </row>
        <row r="6595">
          <cell r="A6595" t="str">
            <v>ISOLA DELLE FEMMINE</v>
          </cell>
          <cell r="B6595" t="str">
            <v>082043</v>
          </cell>
          <cell r="C6595" t="str">
            <v>PA</v>
          </cell>
          <cell r="D6595" t="str">
            <v>PA</v>
          </cell>
          <cell r="E6595" t="str">
            <v>90040</v>
          </cell>
        </row>
        <row r="6596">
          <cell r="A6596" t="str">
            <v>LASCARI</v>
          </cell>
          <cell r="B6596" t="str">
            <v>082044</v>
          </cell>
          <cell r="C6596" t="str">
            <v>PA</v>
          </cell>
          <cell r="D6596" t="str">
            <v>PA</v>
          </cell>
          <cell r="E6596" t="str">
            <v>90010</v>
          </cell>
        </row>
        <row r="6597">
          <cell r="A6597" t="str">
            <v>LERCARA FRIDDI</v>
          </cell>
          <cell r="B6597" t="str">
            <v>082045</v>
          </cell>
          <cell r="C6597" t="str">
            <v>PA</v>
          </cell>
          <cell r="D6597" t="str">
            <v>PA</v>
          </cell>
          <cell r="E6597" t="str">
            <v>90025</v>
          </cell>
        </row>
        <row r="6598">
          <cell r="A6598" t="str">
            <v>MARINEO</v>
          </cell>
          <cell r="B6598" t="str">
            <v>082046</v>
          </cell>
          <cell r="C6598" t="str">
            <v>PA</v>
          </cell>
          <cell r="D6598" t="str">
            <v>PA</v>
          </cell>
          <cell r="E6598" t="str">
            <v>90035</v>
          </cell>
        </row>
        <row r="6599">
          <cell r="A6599" t="str">
            <v>MEZZOJUSO</v>
          </cell>
          <cell r="B6599" t="str">
            <v>082047</v>
          </cell>
          <cell r="C6599" t="str">
            <v>PA</v>
          </cell>
          <cell r="D6599" t="str">
            <v>PA</v>
          </cell>
          <cell r="E6599" t="str">
            <v>90030</v>
          </cell>
        </row>
        <row r="6600">
          <cell r="A6600" t="str">
            <v>MISILMERI</v>
          </cell>
          <cell r="B6600" t="str">
            <v>082048</v>
          </cell>
          <cell r="C6600" t="str">
            <v>PA</v>
          </cell>
          <cell r="D6600" t="str">
            <v>PA</v>
          </cell>
          <cell r="E6600" t="str">
            <v>90036</v>
          </cell>
        </row>
        <row r="6601">
          <cell r="A6601" t="str">
            <v>MONREALE</v>
          </cell>
          <cell r="B6601" t="str">
            <v>082049</v>
          </cell>
          <cell r="C6601" t="str">
            <v>PA</v>
          </cell>
          <cell r="D6601" t="str">
            <v>PA</v>
          </cell>
          <cell r="E6601" t="str">
            <v>90046</v>
          </cell>
        </row>
        <row r="6602">
          <cell r="A6602" t="str">
            <v>MONTELEPRE</v>
          </cell>
          <cell r="B6602" t="str">
            <v>082050</v>
          </cell>
          <cell r="C6602" t="str">
            <v>PA</v>
          </cell>
          <cell r="D6602" t="str">
            <v>PA</v>
          </cell>
          <cell r="E6602" t="str">
            <v>90040</v>
          </cell>
        </row>
        <row r="6603">
          <cell r="A6603" t="str">
            <v>MONTEMAGGIORE BELSITO</v>
          </cell>
          <cell r="B6603" t="str">
            <v>082051</v>
          </cell>
          <cell r="C6603" t="str">
            <v>PA</v>
          </cell>
          <cell r="D6603" t="str">
            <v>PA</v>
          </cell>
          <cell r="E6603" t="str">
            <v>90020</v>
          </cell>
        </row>
        <row r="6604">
          <cell r="A6604" t="str">
            <v>PALAZZO ADRIANO</v>
          </cell>
          <cell r="B6604" t="str">
            <v>082052</v>
          </cell>
          <cell r="C6604" t="str">
            <v>PA</v>
          </cell>
          <cell r="D6604" t="str">
            <v>PA</v>
          </cell>
          <cell r="E6604" t="str">
            <v>90030</v>
          </cell>
        </row>
        <row r="6605">
          <cell r="A6605" t="str">
            <v>PALERMO</v>
          </cell>
          <cell r="B6605" t="str">
            <v>082053</v>
          </cell>
          <cell r="C6605" t="str">
            <v>PA</v>
          </cell>
          <cell r="D6605" t="str">
            <v>PA</v>
          </cell>
          <cell r="E6605" t="str">
            <v>901xx</v>
          </cell>
        </row>
        <row r="6606">
          <cell r="A6606" t="str">
            <v>PARTINICO</v>
          </cell>
          <cell r="B6606" t="str">
            <v>082054</v>
          </cell>
          <cell r="C6606" t="str">
            <v>PA</v>
          </cell>
          <cell r="D6606" t="str">
            <v>PA</v>
          </cell>
          <cell r="E6606" t="str">
            <v>90047</v>
          </cell>
        </row>
        <row r="6607">
          <cell r="A6607" t="str">
            <v>PETRALIA SOPRANA</v>
          </cell>
          <cell r="B6607" t="str">
            <v>082055</v>
          </cell>
          <cell r="C6607" t="str">
            <v>PA</v>
          </cell>
          <cell r="D6607" t="str">
            <v>PA</v>
          </cell>
          <cell r="E6607" t="str">
            <v>90026</v>
          </cell>
        </row>
        <row r="6608">
          <cell r="A6608" t="str">
            <v>PETRALIA SOTTANA</v>
          </cell>
          <cell r="B6608" t="str">
            <v>082056</v>
          </cell>
          <cell r="C6608" t="str">
            <v>PA</v>
          </cell>
          <cell r="D6608" t="str">
            <v>PA</v>
          </cell>
          <cell r="E6608" t="str">
            <v>90027</v>
          </cell>
        </row>
        <row r="6609">
          <cell r="A6609" t="str">
            <v>PIANA DEGLI ALBANESI</v>
          </cell>
          <cell r="B6609" t="str">
            <v>082057</v>
          </cell>
          <cell r="C6609" t="str">
            <v>PA</v>
          </cell>
          <cell r="D6609" t="str">
            <v>PA</v>
          </cell>
          <cell r="E6609" t="str">
            <v>90037</v>
          </cell>
        </row>
        <row r="6610">
          <cell r="A6610" t="str">
            <v>POLIZZI GENEROSA</v>
          </cell>
          <cell r="B6610" t="str">
            <v>082058</v>
          </cell>
          <cell r="C6610" t="str">
            <v>PA</v>
          </cell>
          <cell r="D6610" t="str">
            <v>PA</v>
          </cell>
          <cell r="E6610" t="str">
            <v>90028</v>
          </cell>
        </row>
        <row r="6611">
          <cell r="A6611" t="str">
            <v>POLLINA</v>
          </cell>
          <cell r="B6611" t="str">
            <v>082059</v>
          </cell>
          <cell r="C6611" t="str">
            <v>PA</v>
          </cell>
          <cell r="D6611" t="str">
            <v>PA</v>
          </cell>
          <cell r="E6611" t="str">
            <v>90010</v>
          </cell>
        </row>
        <row r="6612">
          <cell r="A6612" t="str">
            <v>PRIZZI</v>
          </cell>
          <cell r="B6612" t="str">
            <v>082060</v>
          </cell>
          <cell r="C6612" t="str">
            <v>PA</v>
          </cell>
          <cell r="D6612" t="str">
            <v>PA</v>
          </cell>
          <cell r="E6612" t="str">
            <v>90038</v>
          </cell>
        </row>
        <row r="6613">
          <cell r="A6613" t="str">
            <v>ROCCAMENA</v>
          </cell>
          <cell r="B6613" t="str">
            <v>082061</v>
          </cell>
          <cell r="C6613" t="str">
            <v>PA</v>
          </cell>
          <cell r="D6613" t="str">
            <v>PA</v>
          </cell>
          <cell r="E6613" t="str">
            <v>90040</v>
          </cell>
        </row>
        <row r="6614">
          <cell r="A6614" t="str">
            <v>ROCCAPALUMBA</v>
          </cell>
          <cell r="B6614" t="str">
            <v>082062</v>
          </cell>
          <cell r="C6614" t="str">
            <v>PA</v>
          </cell>
          <cell r="D6614" t="str">
            <v>PA</v>
          </cell>
          <cell r="E6614" t="str">
            <v>90020</v>
          </cell>
        </row>
        <row r="6615">
          <cell r="A6615" t="str">
            <v>SAN CIPIRELLO</v>
          </cell>
          <cell r="B6615" t="str">
            <v>082063</v>
          </cell>
          <cell r="C6615" t="str">
            <v>PA</v>
          </cell>
          <cell r="D6615" t="str">
            <v>PA</v>
          </cell>
          <cell r="E6615" t="str">
            <v>90040</v>
          </cell>
        </row>
        <row r="6616">
          <cell r="A6616" t="str">
            <v>SAN GIUSEPPE JATO</v>
          </cell>
          <cell r="B6616" t="str">
            <v>082064</v>
          </cell>
          <cell r="C6616" t="str">
            <v>PA</v>
          </cell>
          <cell r="D6616" t="str">
            <v>PA</v>
          </cell>
          <cell r="E6616" t="str">
            <v>90048</v>
          </cell>
        </row>
        <row r="6617">
          <cell r="A6617" t="str">
            <v>SAN MAURO CASTELVERDE</v>
          </cell>
          <cell r="B6617" t="str">
            <v>082065</v>
          </cell>
          <cell r="C6617" t="str">
            <v>PA</v>
          </cell>
          <cell r="D6617" t="str">
            <v>PA</v>
          </cell>
          <cell r="E6617" t="str">
            <v>90010</v>
          </cell>
        </row>
        <row r="6618">
          <cell r="A6618" t="str">
            <v>SANTA CRISTINA GELA</v>
          </cell>
          <cell r="B6618" t="str">
            <v>082066</v>
          </cell>
          <cell r="C6618" t="str">
            <v>PA</v>
          </cell>
          <cell r="D6618" t="str">
            <v>PA</v>
          </cell>
          <cell r="E6618" t="str">
            <v>90030</v>
          </cell>
        </row>
        <row r="6619">
          <cell r="A6619" t="str">
            <v>SANTA FLAVIA</v>
          </cell>
          <cell r="B6619" t="str">
            <v>082067</v>
          </cell>
          <cell r="C6619" t="str">
            <v>PA</v>
          </cell>
          <cell r="D6619" t="str">
            <v>PA</v>
          </cell>
          <cell r="E6619" t="str">
            <v>90017</v>
          </cell>
        </row>
        <row r="6620">
          <cell r="A6620" t="str">
            <v>SCIARA</v>
          </cell>
          <cell r="B6620" t="str">
            <v>082068</v>
          </cell>
          <cell r="C6620" t="str">
            <v>PA</v>
          </cell>
          <cell r="D6620" t="str">
            <v>PA</v>
          </cell>
          <cell r="E6620" t="str">
            <v>90020</v>
          </cell>
        </row>
        <row r="6621">
          <cell r="A6621" t="str">
            <v>SCLAFANI BAGNI</v>
          </cell>
          <cell r="B6621" t="str">
            <v>082069</v>
          </cell>
          <cell r="C6621" t="str">
            <v>PA</v>
          </cell>
          <cell r="D6621" t="str">
            <v>PA</v>
          </cell>
          <cell r="E6621" t="str">
            <v>90020</v>
          </cell>
        </row>
        <row r="6622">
          <cell r="A6622" t="str">
            <v>TERMINI IMERESE</v>
          </cell>
          <cell r="B6622" t="str">
            <v>082070</v>
          </cell>
          <cell r="C6622" t="str">
            <v>PA</v>
          </cell>
          <cell r="D6622" t="str">
            <v>PA</v>
          </cell>
          <cell r="E6622" t="str">
            <v>90018</v>
          </cell>
        </row>
        <row r="6623">
          <cell r="A6623" t="str">
            <v>TERRASINI</v>
          </cell>
          <cell r="B6623" t="str">
            <v>082071</v>
          </cell>
          <cell r="C6623" t="str">
            <v>PA</v>
          </cell>
          <cell r="D6623" t="str">
            <v>PA</v>
          </cell>
          <cell r="E6623" t="str">
            <v>90049</v>
          </cell>
        </row>
        <row r="6624">
          <cell r="A6624" t="str">
            <v>TORRETTA</v>
          </cell>
          <cell r="B6624" t="str">
            <v>082072</v>
          </cell>
          <cell r="C6624" t="str">
            <v>PA</v>
          </cell>
          <cell r="D6624" t="str">
            <v>PA</v>
          </cell>
          <cell r="E6624" t="str">
            <v>90040</v>
          </cell>
        </row>
        <row r="6625">
          <cell r="A6625" t="str">
            <v>TRABIA</v>
          </cell>
          <cell r="B6625" t="str">
            <v>082073</v>
          </cell>
          <cell r="C6625" t="str">
            <v>PA</v>
          </cell>
          <cell r="D6625" t="str">
            <v>PA</v>
          </cell>
          <cell r="E6625" t="str">
            <v>90019</v>
          </cell>
        </row>
        <row r="6626">
          <cell r="A6626" t="str">
            <v>TRAPPETO</v>
          </cell>
          <cell r="B6626" t="str">
            <v>082074</v>
          </cell>
          <cell r="C6626" t="str">
            <v>PA</v>
          </cell>
          <cell r="D6626" t="str">
            <v>PA</v>
          </cell>
          <cell r="E6626" t="str">
            <v>90040</v>
          </cell>
        </row>
        <row r="6627">
          <cell r="A6627" t="str">
            <v>USTICA</v>
          </cell>
          <cell r="B6627" t="str">
            <v>082075</v>
          </cell>
          <cell r="C6627" t="str">
            <v>PA</v>
          </cell>
          <cell r="D6627" t="str">
            <v>PA</v>
          </cell>
          <cell r="E6627" t="str">
            <v>90010</v>
          </cell>
        </row>
        <row r="6628">
          <cell r="A6628" t="str">
            <v>VALLEDOLMO</v>
          </cell>
          <cell r="B6628" t="str">
            <v>082076</v>
          </cell>
          <cell r="C6628" t="str">
            <v>PA</v>
          </cell>
          <cell r="D6628" t="str">
            <v>PA</v>
          </cell>
          <cell r="E6628" t="str">
            <v>90029</v>
          </cell>
        </row>
        <row r="6629">
          <cell r="A6629" t="str">
            <v>VENTIMIGLIA DI SICILIA</v>
          </cell>
          <cell r="B6629" t="str">
            <v>082077</v>
          </cell>
          <cell r="C6629" t="str">
            <v>PA</v>
          </cell>
          <cell r="D6629" t="str">
            <v>PA</v>
          </cell>
          <cell r="E6629" t="str">
            <v>90020</v>
          </cell>
        </row>
        <row r="6630">
          <cell r="A6630" t="str">
            <v>VICARI</v>
          </cell>
          <cell r="B6630" t="str">
            <v>082078</v>
          </cell>
          <cell r="C6630" t="str">
            <v>PA</v>
          </cell>
          <cell r="D6630" t="str">
            <v>PA</v>
          </cell>
          <cell r="E6630" t="str">
            <v>90020</v>
          </cell>
        </row>
        <row r="6631">
          <cell r="A6631" t="str">
            <v>VILLABATE</v>
          </cell>
          <cell r="B6631" t="str">
            <v>082079</v>
          </cell>
          <cell r="C6631" t="str">
            <v>PA</v>
          </cell>
          <cell r="D6631" t="str">
            <v>PA</v>
          </cell>
          <cell r="E6631" t="str">
            <v>90039</v>
          </cell>
        </row>
        <row r="6632">
          <cell r="A6632" t="str">
            <v>VILLAFRATI</v>
          </cell>
          <cell r="B6632" t="str">
            <v>082080</v>
          </cell>
          <cell r="C6632" t="str">
            <v>PA</v>
          </cell>
          <cell r="D6632" t="str">
            <v>PA</v>
          </cell>
          <cell r="E6632" t="str">
            <v>90030</v>
          </cell>
        </row>
        <row r="6633">
          <cell r="A6633" t="str">
            <v>SCILLATO</v>
          </cell>
          <cell r="B6633" t="str">
            <v>082081</v>
          </cell>
          <cell r="C6633" t="str">
            <v>PA</v>
          </cell>
          <cell r="D6633" t="str">
            <v>PA</v>
          </cell>
          <cell r="E6633" t="str">
            <v>90020</v>
          </cell>
        </row>
        <row r="6634">
          <cell r="A6634" t="str">
            <v>BLUFI</v>
          </cell>
          <cell r="B6634" t="str">
            <v>082082</v>
          </cell>
          <cell r="C6634" t="str">
            <v>PA</v>
          </cell>
          <cell r="D6634" t="str">
            <v>PA</v>
          </cell>
          <cell r="E6634" t="str">
            <v>90020</v>
          </cell>
        </row>
        <row r="6635">
          <cell r="A6635" t="str">
            <v>ALCARA LI FUSI</v>
          </cell>
          <cell r="B6635" t="str">
            <v>083001</v>
          </cell>
          <cell r="C6635" t="str">
            <v>ME</v>
          </cell>
          <cell r="D6635" t="str">
            <v>ME</v>
          </cell>
          <cell r="E6635" t="str">
            <v>98070</v>
          </cell>
        </row>
        <row r="6636">
          <cell r="A6636" t="str">
            <v>ALÌ</v>
          </cell>
          <cell r="B6636" t="str">
            <v>083002</v>
          </cell>
          <cell r="C6636" t="str">
            <v>ME</v>
          </cell>
          <cell r="D6636" t="str">
            <v>ME</v>
          </cell>
          <cell r="E6636" t="str">
            <v>98020</v>
          </cell>
        </row>
        <row r="6637">
          <cell r="A6637" t="str">
            <v>ALÌ TERME</v>
          </cell>
          <cell r="B6637" t="str">
            <v>083003</v>
          </cell>
          <cell r="C6637" t="str">
            <v>ME</v>
          </cell>
          <cell r="D6637" t="str">
            <v>ME</v>
          </cell>
          <cell r="E6637" t="str">
            <v>98021</v>
          </cell>
        </row>
        <row r="6638">
          <cell r="A6638" t="str">
            <v>ANTILLO</v>
          </cell>
          <cell r="B6638" t="str">
            <v>083004</v>
          </cell>
          <cell r="C6638" t="str">
            <v>ME</v>
          </cell>
          <cell r="D6638" t="str">
            <v>ME</v>
          </cell>
          <cell r="E6638" t="str">
            <v>98030</v>
          </cell>
        </row>
        <row r="6639">
          <cell r="A6639" t="str">
            <v>BARCELLONA POZZO DI GOTTO</v>
          </cell>
          <cell r="B6639" t="str">
            <v>083005</v>
          </cell>
          <cell r="C6639" t="str">
            <v>ME</v>
          </cell>
          <cell r="D6639" t="str">
            <v>ME</v>
          </cell>
          <cell r="E6639" t="str">
            <v>98051</v>
          </cell>
        </row>
        <row r="6640">
          <cell r="A6640" t="str">
            <v>BASICÒ</v>
          </cell>
          <cell r="B6640" t="str">
            <v>083006</v>
          </cell>
          <cell r="C6640" t="str">
            <v>ME</v>
          </cell>
          <cell r="D6640" t="str">
            <v>ME</v>
          </cell>
          <cell r="E6640" t="str">
            <v>98060</v>
          </cell>
        </row>
        <row r="6641">
          <cell r="A6641" t="str">
            <v>BROLO</v>
          </cell>
          <cell r="B6641" t="str">
            <v>083007</v>
          </cell>
          <cell r="C6641" t="str">
            <v>ME</v>
          </cell>
          <cell r="D6641" t="str">
            <v>ME</v>
          </cell>
          <cell r="E6641" t="str">
            <v>98061</v>
          </cell>
        </row>
        <row r="6642">
          <cell r="A6642" t="str">
            <v>CAPIZZI</v>
          </cell>
          <cell r="B6642" t="str">
            <v>083008</v>
          </cell>
          <cell r="C6642" t="str">
            <v>ME</v>
          </cell>
          <cell r="D6642" t="str">
            <v>ME</v>
          </cell>
          <cell r="E6642" t="str">
            <v>98031</v>
          </cell>
        </row>
        <row r="6643">
          <cell r="A6643" t="str">
            <v>CAPO D'ORLANDO</v>
          </cell>
          <cell r="B6643" t="str">
            <v>083009</v>
          </cell>
          <cell r="C6643" t="str">
            <v>ME</v>
          </cell>
          <cell r="D6643" t="str">
            <v>ME</v>
          </cell>
          <cell r="E6643" t="str">
            <v>98071</v>
          </cell>
        </row>
        <row r="6644">
          <cell r="A6644" t="str">
            <v>CAPRI LEONE</v>
          </cell>
          <cell r="B6644" t="str">
            <v>083010</v>
          </cell>
          <cell r="C6644" t="str">
            <v>ME</v>
          </cell>
          <cell r="D6644" t="str">
            <v>ME</v>
          </cell>
          <cell r="E6644" t="str">
            <v>98070</v>
          </cell>
        </row>
        <row r="6645">
          <cell r="A6645" t="str">
            <v>CARONIA</v>
          </cell>
          <cell r="B6645" t="str">
            <v>083011</v>
          </cell>
          <cell r="C6645" t="str">
            <v>ME</v>
          </cell>
          <cell r="D6645" t="str">
            <v>ME</v>
          </cell>
          <cell r="E6645" t="str">
            <v>98072</v>
          </cell>
        </row>
        <row r="6646">
          <cell r="A6646" t="str">
            <v>CASALVECCHIO SICULO</v>
          </cell>
          <cell r="B6646" t="str">
            <v>083012</v>
          </cell>
          <cell r="C6646" t="str">
            <v>ME</v>
          </cell>
          <cell r="D6646" t="str">
            <v>ME</v>
          </cell>
          <cell r="E6646" t="str">
            <v>98032</v>
          </cell>
        </row>
        <row r="6647">
          <cell r="A6647" t="str">
            <v>CASTEL DI LUCIO</v>
          </cell>
          <cell r="B6647" t="str">
            <v>083013</v>
          </cell>
          <cell r="C6647" t="str">
            <v>ME</v>
          </cell>
          <cell r="D6647" t="str">
            <v>ME</v>
          </cell>
          <cell r="E6647" t="str">
            <v>98070</v>
          </cell>
        </row>
        <row r="6648">
          <cell r="A6648" t="str">
            <v>CASTELL'UMBERTO</v>
          </cell>
          <cell r="B6648" t="str">
            <v>083014</v>
          </cell>
          <cell r="C6648" t="str">
            <v>ME</v>
          </cell>
          <cell r="D6648" t="str">
            <v>ME</v>
          </cell>
          <cell r="E6648" t="str">
            <v>98070</v>
          </cell>
        </row>
        <row r="6649">
          <cell r="A6649" t="str">
            <v>CASTELMOLA</v>
          </cell>
          <cell r="B6649" t="str">
            <v>083015</v>
          </cell>
          <cell r="C6649" t="str">
            <v>ME</v>
          </cell>
          <cell r="D6649" t="str">
            <v>ME</v>
          </cell>
          <cell r="E6649" t="str">
            <v>98030</v>
          </cell>
        </row>
        <row r="6650">
          <cell r="A6650" t="str">
            <v>CASTROREALE</v>
          </cell>
          <cell r="B6650" t="str">
            <v>083016</v>
          </cell>
          <cell r="C6650" t="str">
            <v>ME</v>
          </cell>
          <cell r="D6650" t="str">
            <v>ME</v>
          </cell>
          <cell r="E6650" t="str">
            <v>98053</v>
          </cell>
        </row>
        <row r="6651">
          <cell r="A6651" t="str">
            <v>CESARÒ</v>
          </cell>
          <cell r="B6651" t="str">
            <v>083017</v>
          </cell>
          <cell r="C6651" t="str">
            <v>ME</v>
          </cell>
          <cell r="D6651" t="str">
            <v>ME</v>
          </cell>
          <cell r="E6651" t="str">
            <v>98033</v>
          </cell>
        </row>
        <row r="6652">
          <cell r="A6652" t="str">
            <v>CONDRÒ</v>
          </cell>
          <cell r="B6652" t="str">
            <v>083018</v>
          </cell>
          <cell r="C6652" t="str">
            <v>ME</v>
          </cell>
          <cell r="D6652" t="str">
            <v>ME</v>
          </cell>
          <cell r="E6652" t="str">
            <v>98040</v>
          </cell>
        </row>
        <row r="6653">
          <cell r="A6653" t="str">
            <v>FALCONE</v>
          </cell>
          <cell r="B6653" t="str">
            <v>083019</v>
          </cell>
          <cell r="C6653" t="str">
            <v>ME</v>
          </cell>
          <cell r="D6653" t="str">
            <v>ME</v>
          </cell>
          <cell r="E6653" t="str">
            <v>98060</v>
          </cell>
        </row>
        <row r="6654">
          <cell r="A6654" t="str">
            <v>FICARRA</v>
          </cell>
          <cell r="B6654" t="str">
            <v>083020</v>
          </cell>
          <cell r="C6654" t="str">
            <v>ME</v>
          </cell>
          <cell r="D6654" t="str">
            <v>ME</v>
          </cell>
          <cell r="E6654" t="str">
            <v>98062</v>
          </cell>
        </row>
        <row r="6655">
          <cell r="A6655" t="str">
            <v>FIUMEDINISI</v>
          </cell>
          <cell r="B6655" t="str">
            <v>083021</v>
          </cell>
          <cell r="C6655" t="str">
            <v>ME</v>
          </cell>
          <cell r="D6655" t="str">
            <v>ME</v>
          </cell>
          <cell r="E6655" t="str">
            <v>98022</v>
          </cell>
        </row>
        <row r="6656">
          <cell r="A6656" t="str">
            <v>FLORESTA</v>
          </cell>
          <cell r="B6656" t="str">
            <v>083022</v>
          </cell>
          <cell r="C6656" t="str">
            <v>ME</v>
          </cell>
          <cell r="D6656" t="str">
            <v>ME</v>
          </cell>
          <cell r="E6656" t="str">
            <v>98030</v>
          </cell>
        </row>
        <row r="6657">
          <cell r="A6657" t="str">
            <v>FONDACHELLI-FANTINA</v>
          </cell>
          <cell r="B6657" t="str">
            <v>083023</v>
          </cell>
          <cell r="C6657" t="str">
            <v>ME</v>
          </cell>
          <cell r="D6657" t="str">
            <v>ME</v>
          </cell>
          <cell r="E6657" t="str">
            <v>98050</v>
          </cell>
        </row>
        <row r="6658">
          <cell r="A6658" t="str">
            <v>FORZA D'AGRÒ</v>
          </cell>
          <cell r="B6658" t="str">
            <v>083024</v>
          </cell>
          <cell r="C6658" t="str">
            <v>ME</v>
          </cell>
          <cell r="D6658" t="str">
            <v>ME</v>
          </cell>
          <cell r="E6658" t="str">
            <v>98030</v>
          </cell>
        </row>
        <row r="6659">
          <cell r="A6659" t="str">
            <v>FRANCAVILLA DI SICILIA</v>
          </cell>
          <cell r="B6659" t="str">
            <v>083025</v>
          </cell>
          <cell r="C6659" t="str">
            <v>ME</v>
          </cell>
          <cell r="D6659" t="str">
            <v>ME</v>
          </cell>
          <cell r="E6659" t="str">
            <v>98034</v>
          </cell>
        </row>
        <row r="6660">
          <cell r="A6660" t="str">
            <v>FRAZZANÒ</v>
          </cell>
          <cell r="B6660" t="str">
            <v>083026</v>
          </cell>
          <cell r="C6660" t="str">
            <v>ME</v>
          </cell>
          <cell r="D6660" t="str">
            <v>ME</v>
          </cell>
          <cell r="E6660" t="str">
            <v>98070</v>
          </cell>
        </row>
        <row r="6661">
          <cell r="A6661" t="str">
            <v>FURCI SICULO</v>
          </cell>
          <cell r="B6661" t="str">
            <v>083027</v>
          </cell>
          <cell r="C6661" t="str">
            <v>ME</v>
          </cell>
          <cell r="D6661" t="str">
            <v>ME</v>
          </cell>
          <cell r="E6661" t="str">
            <v>98023</v>
          </cell>
        </row>
        <row r="6662">
          <cell r="A6662" t="str">
            <v>FURNARI</v>
          </cell>
          <cell r="B6662" t="str">
            <v>083028</v>
          </cell>
          <cell r="C6662" t="str">
            <v>ME</v>
          </cell>
          <cell r="D6662" t="str">
            <v>ME</v>
          </cell>
          <cell r="E6662" t="str">
            <v>98054</v>
          </cell>
        </row>
        <row r="6663">
          <cell r="A6663" t="str">
            <v>GAGGI</v>
          </cell>
          <cell r="B6663" t="str">
            <v>083029</v>
          </cell>
          <cell r="C6663" t="str">
            <v>ME</v>
          </cell>
          <cell r="D6663" t="str">
            <v>ME</v>
          </cell>
          <cell r="E6663" t="str">
            <v>98030</v>
          </cell>
        </row>
        <row r="6664">
          <cell r="A6664" t="str">
            <v>GALATI MAMERTINO</v>
          </cell>
          <cell r="B6664" t="str">
            <v>083030</v>
          </cell>
          <cell r="C6664" t="str">
            <v>ME</v>
          </cell>
          <cell r="D6664" t="str">
            <v>ME</v>
          </cell>
          <cell r="E6664" t="str">
            <v>98070</v>
          </cell>
        </row>
        <row r="6665">
          <cell r="A6665" t="str">
            <v>GALLODORO</v>
          </cell>
          <cell r="B6665" t="str">
            <v>083031</v>
          </cell>
          <cell r="C6665" t="str">
            <v>ME</v>
          </cell>
          <cell r="D6665" t="str">
            <v>ME</v>
          </cell>
          <cell r="E6665" t="str">
            <v>98030</v>
          </cell>
        </row>
        <row r="6666">
          <cell r="A6666" t="str">
            <v>GIARDINI-NAXOS</v>
          </cell>
          <cell r="B6666" t="str">
            <v>083032</v>
          </cell>
          <cell r="C6666" t="str">
            <v>ME</v>
          </cell>
          <cell r="D6666" t="str">
            <v>ME</v>
          </cell>
          <cell r="E6666" t="str">
            <v>98035</v>
          </cell>
        </row>
        <row r="6667">
          <cell r="A6667" t="str">
            <v>GIOIOSA MAREA</v>
          </cell>
          <cell r="B6667" t="str">
            <v>083033</v>
          </cell>
          <cell r="C6667" t="str">
            <v>ME</v>
          </cell>
          <cell r="D6667" t="str">
            <v>ME</v>
          </cell>
          <cell r="E6667" t="str">
            <v>98063</v>
          </cell>
        </row>
        <row r="6668">
          <cell r="A6668" t="str">
            <v>GRANITI</v>
          </cell>
          <cell r="B6668" t="str">
            <v>083034</v>
          </cell>
          <cell r="C6668" t="str">
            <v>ME</v>
          </cell>
          <cell r="D6668" t="str">
            <v>ME</v>
          </cell>
          <cell r="E6668" t="str">
            <v>98036</v>
          </cell>
        </row>
        <row r="6669">
          <cell r="A6669" t="str">
            <v>GUALTIERI SICAMINÒ</v>
          </cell>
          <cell r="B6669" t="str">
            <v>083035</v>
          </cell>
          <cell r="C6669" t="str">
            <v>ME</v>
          </cell>
          <cell r="D6669" t="str">
            <v>ME</v>
          </cell>
          <cell r="E6669" t="str">
            <v>98040</v>
          </cell>
        </row>
        <row r="6670">
          <cell r="A6670" t="str">
            <v>ITALA</v>
          </cell>
          <cell r="B6670" t="str">
            <v>083036</v>
          </cell>
          <cell r="C6670" t="str">
            <v>ME</v>
          </cell>
          <cell r="D6670" t="str">
            <v>ME</v>
          </cell>
          <cell r="E6670" t="str">
            <v>98025</v>
          </cell>
        </row>
        <row r="6671">
          <cell r="A6671" t="str">
            <v>LENI</v>
          </cell>
          <cell r="B6671" t="str">
            <v>083037</v>
          </cell>
          <cell r="C6671" t="str">
            <v>ME</v>
          </cell>
          <cell r="D6671" t="str">
            <v>ME</v>
          </cell>
          <cell r="E6671" t="str">
            <v>98050</v>
          </cell>
        </row>
        <row r="6672">
          <cell r="A6672" t="str">
            <v>LETOJANNI</v>
          </cell>
          <cell r="B6672" t="str">
            <v>083038</v>
          </cell>
          <cell r="C6672" t="str">
            <v>ME</v>
          </cell>
          <cell r="D6672" t="str">
            <v>ME</v>
          </cell>
          <cell r="E6672" t="str">
            <v>98037</v>
          </cell>
        </row>
        <row r="6673">
          <cell r="A6673" t="str">
            <v>LIBRIZZI</v>
          </cell>
          <cell r="B6673" t="str">
            <v>083039</v>
          </cell>
          <cell r="C6673" t="str">
            <v>ME</v>
          </cell>
          <cell r="D6673" t="str">
            <v>ME</v>
          </cell>
          <cell r="E6673" t="str">
            <v>98064</v>
          </cell>
        </row>
        <row r="6674">
          <cell r="A6674" t="str">
            <v>LIMINA</v>
          </cell>
          <cell r="B6674" t="str">
            <v>083040</v>
          </cell>
          <cell r="C6674" t="str">
            <v>ME</v>
          </cell>
          <cell r="D6674" t="str">
            <v>ME</v>
          </cell>
          <cell r="E6674" t="str">
            <v>98030</v>
          </cell>
        </row>
        <row r="6675">
          <cell r="A6675" t="str">
            <v>LIPARI</v>
          </cell>
          <cell r="B6675" t="str">
            <v>083041</v>
          </cell>
          <cell r="C6675" t="str">
            <v>ME</v>
          </cell>
          <cell r="D6675" t="str">
            <v>ME</v>
          </cell>
          <cell r="E6675" t="str">
            <v>98055</v>
          </cell>
        </row>
        <row r="6676">
          <cell r="A6676" t="str">
            <v>LONGI</v>
          </cell>
          <cell r="B6676" t="str">
            <v>083042</v>
          </cell>
          <cell r="C6676" t="str">
            <v>ME</v>
          </cell>
          <cell r="D6676" t="str">
            <v>ME</v>
          </cell>
          <cell r="E6676" t="str">
            <v>98070</v>
          </cell>
        </row>
        <row r="6677">
          <cell r="A6677" t="str">
            <v>MALFA</v>
          </cell>
          <cell r="B6677" t="str">
            <v>083043</v>
          </cell>
          <cell r="C6677" t="str">
            <v>ME</v>
          </cell>
          <cell r="D6677" t="str">
            <v>ME</v>
          </cell>
          <cell r="E6677" t="str">
            <v>98050</v>
          </cell>
        </row>
        <row r="6678">
          <cell r="A6678" t="str">
            <v>MALVAGNA</v>
          </cell>
          <cell r="B6678" t="str">
            <v>083044</v>
          </cell>
          <cell r="C6678" t="str">
            <v>ME</v>
          </cell>
          <cell r="D6678" t="str">
            <v>ME</v>
          </cell>
          <cell r="E6678" t="str">
            <v>98030</v>
          </cell>
        </row>
        <row r="6679">
          <cell r="A6679" t="str">
            <v>MANDANICI</v>
          </cell>
          <cell r="B6679" t="str">
            <v>083045</v>
          </cell>
          <cell r="C6679" t="str">
            <v>ME</v>
          </cell>
          <cell r="D6679" t="str">
            <v>ME</v>
          </cell>
          <cell r="E6679" t="str">
            <v>98020</v>
          </cell>
        </row>
        <row r="6680">
          <cell r="A6680" t="str">
            <v>MAZZARRÀ SANT'ANDREA</v>
          </cell>
          <cell r="B6680" t="str">
            <v>083046</v>
          </cell>
          <cell r="C6680" t="str">
            <v>ME</v>
          </cell>
          <cell r="D6680" t="str">
            <v>ME</v>
          </cell>
          <cell r="E6680" t="str">
            <v>98056</v>
          </cell>
        </row>
        <row r="6681">
          <cell r="A6681" t="str">
            <v>MERÌ</v>
          </cell>
          <cell r="B6681" t="str">
            <v>083047</v>
          </cell>
          <cell r="C6681" t="str">
            <v>ME</v>
          </cell>
          <cell r="D6681" t="str">
            <v>ME</v>
          </cell>
          <cell r="E6681" t="str">
            <v>98040</v>
          </cell>
        </row>
        <row r="6682">
          <cell r="A6682" t="str">
            <v>MESSINA</v>
          </cell>
          <cell r="B6682" t="str">
            <v>083048</v>
          </cell>
          <cell r="C6682" t="str">
            <v>ME</v>
          </cell>
          <cell r="D6682" t="str">
            <v>ME</v>
          </cell>
          <cell r="E6682" t="str">
            <v>981xx</v>
          </cell>
        </row>
        <row r="6683">
          <cell r="A6683" t="str">
            <v>MILAZZO</v>
          </cell>
          <cell r="B6683" t="str">
            <v>083049</v>
          </cell>
          <cell r="C6683" t="str">
            <v>ME</v>
          </cell>
          <cell r="D6683" t="str">
            <v>ME</v>
          </cell>
          <cell r="E6683" t="str">
            <v>98057</v>
          </cell>
        </row>
        <row r="6684">
          <cell r="A6684" t="str">
            <v>MILITELLO ROSMARINO</v>
          </cell>
          <cell r="B6684" t="str">
            <v>083050</v>
          </cell>
          <cell r="C6684" t="str">
            <v>ME</v>
          </cell>
          <cell r="D6684" t="str">
            <v>ME</v>
          </cell>
          <cell r="E6684" t="str">
            <v>98070</v>
          </cell>
        </row>
        <row r="6685">
          <cell r="A6685" t="str">
            <v>MIRTO</v>
          </cell>
          <cell r="B6685" t="str">
            <v>083051</v>
          </cell>
          <cell r="C6685" t="str">
            <v>ME</v>
          </cell>
          <cell r="D6685" t="str">
            <v>ME</v>
          </cell>
          <cell r="E6685" t="str">
            <v>98070</v>
          </cell>
        </row>
        <row r="6686">
          <cell r="A6686" t="str">
            <v>MISTRETTA</v>
          </cell>
          <cell r="B6686" t="str">
            <v>083052</v>
          </cell>
          <cell r="C6686" t="str">
            <v>ME</v>
          </cell>
          <cell r="D6686" t="str">
            <v>ME</v>
          </cell>
          <cell r="E6686" t="str">
            <v>98073</v>
          </cell>
        </row>
        <row r="6687">
          <cell r="A6687" t="str">
            <v>MOIO ALCANTARA</v>
          </cell>
          <cell r="B6687" t="str">
            <v>083053</v>
          </cell>
          <cell r="C6687" t="str">
            <v>ME</v>
          </cell>
          <cell r="D6687" t="str">
            <v>ME</v>
          </cell>
          <cell r="E6687" t="str">
            <v>98030</v>
          </cell>
        </row>
        <row r="6688">
          <cell r="A6688" t="str">
            <v>MONFORTE SAN GIORGIO</v>
          </cell>
          <cell r="B6688" t="str">
            <v>083054</v>
          </cell>
          <cell r="C6688" t="str">
            <v>ME</v>
          </cell>
          <cell r="D6688" t="str">
            <v>ME</v>
          </cell>
          <cell r="E6688" t="str">
            <v>98041</v>
          </cell>
        </row>
        <row r="6689">
          <cell r="A6689" t="str">
            <v>MONGIUFFI MELIA</v>
          </cell>
          <cell r="B6689" t="str">
            <v>083055</v>
          </cell>
          <cell r="C6689" t="str">
            <v>ME</v>
          </cell>
          <cell r="D6689" t="str">
            <v>ME</v>
          </cell>
          <cell r="E6689" t="str">
            <v>98030</v>
          </cell>
        </row>
        <row r="6690">
          <cell r="A6690" t="str">
            <v>MONTAGNAREALE</v>
          </cell>
          <cell r="B6690" t="str">
            <v>083056</v>
          </cell>
          <cell r="C6690" t="str">
            <v>ME</v>
          </cell>
          <cell r="D6690" t="str">
            <v>ME</v>
          </cell>
          <cell r="E6690" t="str">
            <v>98060</v>
          </cell>
        </row>
        <row r="6691">
          <cell r="A6691" t="str">
            <v>MONTALBANO ELICONA</v>
          </cell>
          <cell r="B6691" t="str">
            <v>083057</v>
          </cell>
          <cell r="C6691" t="str">
            <v>ME</v>
          </cell>
          <cell r="D6691" t="str">
            <v>ME</v>
          </cell>
          <cell r="E6691" t="str">
            <v>98065</v>
          </cell>
        </row>
        <row r="6692">
          <cell r="A6692" t="str">
            <v>MOTTA CAMASTRA</v>
          </cell>
          <cell r="B6692" t="str">
            <v>083058</v>
          </cell>
          <cell r="C6692" t="str">
            <v>ME</v>
          </cell>
          <cell r="D6692" t="str">
            <v>ME</v>
          </cell>
          <cell r="E6692" t="str">
            <v>98030</v>
          </cell>
        </row>
        <row r="6693">
          <cell r="A6693" t="str">
            <v>MOTTA D'AFFERMO</v>
          </cell>
          <cell r="B6693" t="str">
            <v>083059</v>
          </cell>
          <cell r="C6693" t="str">
            <v>ME</v>
          </cell>
          <cell r="D6693" t="str">
            <v>ME</v>
          </cell>
          <cell r="E6693" t="str">
            <v>98070</v>
          </cell>
        </row>
        <row r="6694">
          <cell r="A6694" t="str">
            <v>NASO</v>
          </cell>
          <cell r="B6694" t="str">
            <v>083060</v>
          </cell>
          <cell r="C6694" t="str">
            <v>ME</v>
          </cell>
          <cell r="D6694" t="str">
            <v>ME</v>
          </cell>
          <cell r="E6694" t="str">
            <v>98074</v>
          </cell>
        </row>
        <row r="6695">
          <cell r="A6695" t="str">
            <v>NIZZA DI SICILIA</v>
          </cell>
          <cell r="B6695" t="str">
            <v>083061</v>
          </cell>
          <cell r="C6695" t="str">
            <v>ME</v>
          </cell>
          <cell r="D6695" t="str">
            <v>ME</v>
          </cell>
          <cell r="E6695" t="str">
            <v>98026</v>
          </cell>
        </row>
        <row r="6696">
          <cell r="A6696" t="str">
            <v>NOVARA DI SICILIA</v>
          </cell>
          <cell r="B6696" t="str">
            <v>083062</v>
          </cell>
          <cell r="C6696" t="str">
            <v>ME</v>
          </cell>
          <cell r="D6696" t="str">
            <v>ME</v>
          </cell>
          <cell r="E6696" t="str">
            <v>98058</v>
          </cell>
        </row>
        <row r="6697">
          <cell r="A6697" t="str">
            <v>OLIVERI</v>
          </cell>
          <cell r="B6697" t="str">
            <v>083063</v>
          </cell>
          <cell r="C6697" t="str">
            <v>ME</v>
          </cell>
          <cell r="D6697" t="str">
            <v>ME</v>
          </cell>
          <cell r="E6697" t="str">
            <v>98060</v>
          </cell>
        </row>
        <row r="6698">
          <cell r="A6698" t="str">
            <v>PACE DEL MELA</v>
          </cell>
          <cell r="B6698" t="str">
            <v>083064</v>
          </cell>
          <cell r="C6698" t="str">
            <v>ME</v>
          </cell>
          <cell r="D6698" t="str">
            <v>ME</v>
          </cell>
          <cell r="E6698" t="str">
            <v>98042</v>
          </cell>
        </row>
        <row r="6699">
          <cell r="A6699" t="str">
            <v>PAGLIARA</v>
          </cell>
          <cell r="B6699" t="str">
            <v>083065</v>
          </cell>
          <cell r="C6699" t="str">
            <v>ME</v>
          </cell>
          <cell r="D6699" t="str">
            <v>ME</v>
          </cell>
          <cell r="E6699" t="str">
            <v>98020</v>
          </cell>
        </row>
        <row r="6700">
          <cell r="A6700" t="str">
            <v>PATTI</v>
          </cell>
          <cell r="B6700" t="str">
            <v>083066</v>
          </cell>
          <cell r="C6700" t="str">
            <v>ME</v>
          </cell>
          <cell r="D6700" t="str">
            <v>ME</v>
          </cell>
          <cell r="E6700" t="str">
            <v>98066</v>
          </cell>
        </row>
        <row r="6701">
          <cell r="A6701" t="str">
            <v>PETTINEO</v>
          </cell>
          <cell r="B6701" t="str">
            <v>083067</v>
          </cell>
          <cell r="C6701" t="str">
            <v>ME</v>
          </cell>
          <cell r="D6701" t="str">
            <v>ME</v>
          </cell>
          <cell r="E6701" t="str">
            <v>98070</v>
          </cell>
        </row>
        <row r="6702">
          <cell r="A6702" t="str">
            <v>PIRAINO</v>
          </cell>
          <cell r="B6702" t="str">
            <v>083068</v>
          </cell>
          <cell r="C6702" t="str">
            <v>ME</v>
          </cell>
          <cell r="D6702" t="str">
            <v>ME</v>
          </cell>
          <cell r="E6702" t="str">
            <v>98060</v>
          </cell>
        </row>
        <row r="6703">
          <cell r="A6703" t="str">
            <v>RACCUJA</v>
          </cell>
          <cell r="B6703" t="str">
            <v>083069</v>
          </cell>
          <cell r="C6703" t="str">
            <v>ME</v>
          </cell>
          <cell r="D6703" t="str">
            <v>ME</v>
          </cell>
          <cell r="E6703" t="str">
            <v>98067</v>
          </cell>
        </row>
        <row r="6704">
          <cell r="A6704" t="str">
            <v>REITANO</v>
          </cell>
          <cell r="B6704" t="str">
            <v>083070</v>
          </cell>
          <cell r="C6704" t="str">
            <v>ME</v>
          </cell>
          <cell r="D6704" t="str">
            <v>ME</v>
          </cell>
          <cell r="E6704" t="str">
            <v>98070</v>
          </cell>
        </row>
        <row r="6705">
          <cell r="A6705" t="str">
            <v>ROCCAFIORITA</v>
          </cell>
          <cell r="B6705" t="str">
            <v>083071</v>
          </cell>
          <cell r="C6705" t="str">
            <v>ME</v>
          </cell>
          <cell r="D6705" t="str">
            <v>ME</v>
          </cell>
          <cell r="E6705" t="str">
            <v>98030</v>
          </cell>
        </row>
        <row r="6706">
          <cell r="A6706" t="str">
            <v>ROCCALUMERA</v>
          </cell>
          <cell r="B6706" t="str">
            <v>083072</v>
          </cell>
          <cell r="C6706" t="str">
            <v>ME</v>
          </cell>
          <cell r="D6706" t="str">
            <v>ME</v>
          </cell>
          <cell r="E6706" t="str">
            <v>98027</v>
          </cell>
        </row>
        <row r="6707">
          <cell r="A6707" t="str">
            <v>ROCCAVALDINA</v>
          </cell>
          <cell r="B6707" t="str">
            <v>083073</v>
          </cell>
          <cell r="C6707" t="str">
            <v>ME</v>
          </cell>
          <cell r="D6707" t="str">
            <v>ME</v>
          </cell>
          <cell r="E6707" t="str">
            <v>98040</v>
          </cell>
        </row>
        <row r="6708">
          <cell r="A6708" t="str">
            <v>ROCCELLA VALDEMONE</v>
          </cell>
          <cell r="B6708" t="str">
            <v>083074</v>
          </cell>
          <cell r="C6708" t="str">
            <v>ME</v>
          </cell>
          <cell r="D6708" t="str">
            <v>ME</v>
          </cell>
          <cell r="E6708" t="str">
            <v>98030</v>
          </cell>
        </row>
        <row r="6709">
          <cell r="A6709" t="str">
            <v>RODÌ MILICI</v>
          </cell>
          <cell r="B6709" t="str">
            <v>083075</v>
          </cell>
          <cell r="C6709" t="str">
            <v>ME</v>
          </cell>
          <cell r="D6709" t="str">
            <v>ME</v>
          </cell>
          <cell r="E6709" t="str">
            <v>98059</v>
          </cell>
        </row>
        <row r="6710">
          <cell r="A6710" t="str">
            <v>ROMETTA</v>
          </cell>
          <cell r="B6710" t="str">
            <v>083076</v>
          </cell>
          <cell r="C6710" t="str">
            <v>ME</v>
          </cell>
          <cell r="D6710" t="str">
            <v>ME</v>
          </cell>
          <cell r="E6710" t="str">
            <v>98043</v>
          </cell>
        </row>
        <row r="6711">
          <cell r="A6711" t="str">
            <v>SAN FILIPPO DEL MELA</v>
          </cell>
          <cell r="B6711" t="str">
            <v>083077</v>
          </cell>
          <cell r="C6711" t="str">
            <v>ME</v>
          </cell>
          <cell r="D6711" t="str">
            <v>ME</v>
          </cell>
          <cell r="E6711" t="str">
            <v>98044</v>
          </cell>
        </row>
        <row r="6712">
          <cell r="A6712" t="str">
            <v>SAN FRATELLO</v>
          </cell>
          <cell r="B6712" t="str">
            <v>083078</v>
          </cell>
          <cell r="C6712" t="str">
            <v>ME</v>
          </cell>
          <cell r="D6712" t="str">
            <v>ME</v>
          </cell>
          <cell r="E6712" t="str">
            <v>98075</v>
          </cell>
        </row>
        <row r="6713">
          <cell r="A6713" t="str">
            <v>SAN MARCO D'ALUNZIO</v>
          </cell>
          <cell r="B6713" t="str">
            <v>083079</v>
          </cell>
          <cell r="C6713" t="str">
            <v>ME</v>
          </cell>
          <cell r="D6713" t="str">
            <v>ME</v>
          </cell>
          <cell r="E6713" t="str">
            <v>98070</v>
          </cell>
        </row>
        <row r="6714">
          <cell r="A6714" t="str">
            <v>SAN PIER NICETO</v>
          </cell>
          <cell r="B6714" t="str">
            <v>083080</v>
          </cell>
          <cell r="C6714" t="str">
            <v>ME</v>
          </cell>
          <cell r="D6714" t="str">
            <v>ME</v>
          </cell>
          <cell r="E6714" t="str">
            <v>98045</v>
          </cell>
        </row>
        <row r="6715">
          <cell r="A6715" t="str">
            <v>SAN PIERO PATTI</v>
          </cell>
          <cell r="B6715" t="str">
            <v>083081</v>
          </cell>
          <cell r="C6715" t="str">
            <v>ME</v>
          </cell>
          <cell r="D6715" t="str">
            <v>ME</v>
          </cell>
          <cell r="E6715" t="str">
            <v>98068</v>
          </cell>
        </row>
        <row r="6716">
          <cell r="A6716" t="str">
            <v>SAN SALVATORE DI FITALIA</v>
          </cell>
          <cell r="B6716" t="str">
            <v>083082</v>
          </cell>
          <cell r="C6716" t="str">
            <v>ME</v>
          </cell>
          <cell r="D6716" t="str">
            <v>ME</v>
          </cell>
          <cell r="E6716" t="str">
            <v>98070</v>
          </cell>
        </row>
        <row r="6717">
          <cell r="A6717" t="str">
            <v>SANTA DOMENICA VITTORIA</v>
          </cell>
          <cell r="B6717" t="str">
            <v>083083</v>
          </cell>
          <cell r="C6717" t="str">
            <v>ME</v>
          </cell>
          <cell r="D6717" t="str">
            <v>ME</v>
          </cell>
          <cell r="E6717" t="str">
            <v>98030</v>
          </cell>
        </row>
        <row r="6718">
          <cell r="A6718" t="str">
            <v>SANT'AGATA DI MILITELLO</v>
          </cell>
          <cell r="B6718" t="str">
            <v>083084</v>
          </cell>
          <cell r="C6718" t="str">
            <v>ME</v>
          </cell>
          <cell r="D6718" t="str">
            <v>ME</v>
          </cell>
          <cell r="E6718" t="str">
            <v>98076</v>
          </cell>
        </row>
        <row r="6719">
          <cell r="A6719" t="str">
            <v>SANT'ALESSIO SICULO</v>
          </cell>
          <cell r="B6719" t="str">
            <v>083085</v>
          </cell>
          <cell r="C6719" t="str">
            <v>ME</v>
          </cell>
          <cell r="D6719" t="str">
            <v>ME</v>
          </cell>
          <cell r="E6719" t="str">
            <v>98030</v>
          </cell>
        </row>
        <row r="6720">
          <cell r="A6720" t="str">
            <v>SANTA LUCIA DEL MELA</v>
          </cell>
          <cell r="B6720" t="str">
            <v>083086</v>
          </cell>
          <cell r="C6720" t="str">
            <v>ME</v>
          </cell>
          <cell r="D6720" t="str">
            <v>ME</v>
          </cell>
          <cell r="E6720" t="str">
            <v>98046</v>
          </cell>
        </row>
        <row r="6721">
          <cell r="A6721" t="str">
            <v>SANTA MARINA SALINA</v>
          </cell>
          <cell r="B6721" t="str">
            <v>083087</v>
          </cell>
          <cell r="C6721" t="str">
            <v>ME</v>
          </cell>
          <cell r="D6721" t="str">
            <v>ME</v>
          </cell>
          <cell r="E6721" t="str">
            <v>98050</v>
          </cell>
        </row>
        <row r="6722">
          <cell r="A6722" t="str">
            <v>SANT'ANGELO DI BROLO</v>
          </cell>
          <cell r="B6722" t="str">
            <v>083088</v>
          </cell>
          <cell r="C6722" t="str">
            <v>ME</v>
          </cell>
          <cell r="D6722" t="str">
            <v>ME</v>
          </cell>
          <cell r="E6722" t="str">
            <v>98060</v>
          </cell>
        </row>
        <row r="6723">
          <cell r="A6723" t="str">
            <v>SANTA TERESA DI RIVA</v>
          </cell>
          <cell r="B6723" t="str">
            <v>083089</v>
          </cell>
          <cell r="C6723" t="str">
            <v>ME</v>
          </cell>
          <cell r="D6723" t="str">
            <v>ME</v>
          </cell>
          <cell r="E6723" t="str">
            <v>98028</v>
          </cell>
        </row>
        <row r="6724">
          <cell r="A6724" t="str">
            <v>SAN TEODORO</v>
          </cell>
          <cell r="B6724" t="str">
            <v>083090</v>
          </cell>
          <cell r="C6724" t="str">
            <v>ME</v>
          </cell>
          <cell r="D6724" t="str">
            <v>ME</v>
          </cell>
          <cell r="E6724" t="str">
            <v>98030</v>
          </cell>
        </row>
        <row r="6725">
          <cell r="A6725" t="str">
            <v>SANTO STEFANO DI CAMASTRA</v>
          </cell>
          <cell r="B6725" t="str">
            <v>083091</v>
          </cell>
          <cell r="C6725" t="str">
            <v>ME</v>
          </cell>
          <cell r="D6725" t="str">
            <v>ME</v>
          </cell>
          <cell r="E6725" t="str">
            <v>98077</v>
          </cell>
        </row>
        <row r="6726">
          <cell r="A6726" t="str">
            <v>SAPONARA</v>
          </cell>
          <cell r="B6726" t="str">
            <v>083092</v>
          </cell>
          <cell r="C6726" t="str">
            <v>ME</v>
          </cell>
          <cell r="D6726" t="str">
            <v>ME</v>
          </cell>
          <cell r="E6726" t="str">
            <v>98047</v>
          </cell>
        </row>
        <row r="6727">
          <cell r="A6727" t="str">
            <v>SAVOCA</v>
          </cell>
          <cell r="B6727" t="str">
            <v>083093</v>
          </cell>
          <cell r="C6727" t="str">
            <v>ME</v>
          </cell>
          <cell r="D6727" t="str">
            <v>ME</v>
          </cell>
          <cell r="E6727" t="str">
            <v>98038</v>
          </cell>
        </row>
        <row r="6728">
          <cell r="A6728" t="str">
            <v>SCALETTA ZANCLEA</v>
          </cell>
          <cell r="B6728" t="str">
            <v>083094</v>
          </cell>
          <cell r="C6728" t="str">
            <v>ME</v>
          </cell>
          <cell r="D6728" t="str">
            <v>ME</v>
          </cell>
          <cell r="E6728" t="str">
            <v>98029</v>
          </cell>
        </row>
        <row r="6729">
          <cell r="A6729" t="str">
            <v>SINAGRA</v>
          </cell>
          <cell r="B6729" t="str">
            <v>083095</v>
          </cell>
          <cell r="C6729" t="str">
            <v>ME</v>
          </cell>
          <cell r="D6729" t="str">
            <v>ME</v>
          </cell>
          <cell r="E6729" t="str">
            <v>98069</v>
          </cell>
        </row>
        <row r="6730">
          <cell r="A6730" t="str">
            <v>SPADAFORA</v>
          </cell>
          <cell r="B6730" t="str">
            <v>083096</v>
          </cell>
          <cell r="C6730" t="str">
            <v>ME</v>
          </cell>
          <cell r="D6730" t="str">
            <v>ME</v>
          </cell>
          <cell r="E6730" t="str">
            <v>98048</v>
          </cell>
        </row>
        <row r="6731">
          <cell r="A6731" t="str">
            <v>TAORMINA</v>
          </cell>
          <cell r="B6731" t="str">
            <v>083097</v>
          </cell>
          <cell r="C6731" t="str">
            <v>ME</v>
          </cell>
          <cell r="D6731" t="str">
            <v>ME</v>
          </cell>
          <cell r="E6731" t="str">
            <v>98039</v>
          </cell>
        </row>
        <row r="6732">
          <cell r="A6732" t="str">
            <v>TORREGROTTA</v>
          </cell>
          <cell r="B6732" t="str">
            <v>083098</v>
          </cell>
          <cell r="C6732" t="str">
            <v>ME</v>
          </cell>
          <cell r="D6732" t="str">
            <v>ME</v>
          </cell>
          <cell r="E6732" t="str">
            <v>98040</v>
          </cell>
        </row>
        <row r="6733">
          <cell r="A6733" t="str">
            <v>TORTORICI</v>
          </cell>
          <cell r="B6733" t="str">
            <v>083099</v>
          </cell>
          <cell r="C6733" t="str">
            <v>ME</v>
          </cell>
          <cell r="D6733" t="str">
            <v>ME</v>
          </cell>
          <cell r="E6733" t="str">
            <v>98078</v>
          </cell>
        </row>
        <row r="6734">
          <cell r="A6734" t="str">
            <v>TRIPI</v>
          </cell>
          <cell r="B6734" t="str">
            <v>083100</v>
          </cell>
          <cell r="C6734" t="str">
            <v>ME</v>
          </cell>
          <cell r="D6734" t="str">
            <v>ME</v>
          </cell>
          <cell r="E6734" t="str">
            <v>98060</v>
          </cell>
        </row>
        <row r="6735">
          <cell r="A6735" t="str">
            <v>TUSA</v>
          </cell>
          <cell r="B6735" t="str">
            <v>083101</v>
          </cell>
          <cell r="C6735" t="str">
            <v>ME</v>
          </cell>
          <cell r="D6735" t="str">
            <v>ME</v>
          </cell>
          <cell r="E6735" t="str">
            <v>98079</v>
          </cell>
        </row>
        <row r="6736">
          <cell r="A6736" t="str">
            <v>UCRIA</v>
          </cell>
          <cell r="B6736" t="str">
            <v>083102</v>
          </cell>
          <cell r="C6736" t="str">
            <v>ME</v>
          </cell>
          <cell r="D6736" t="str">
            <v>ME</v>
          </cell>
          <cell r="E6736" t="str">
            <v>98060</v>
          </cell>
        </row>
        <row r="6737">
          <cell r="A6737" t="str">
            <v>VALDINA</v>
          </cell>
          <cell r="B6737" t="str">
            <v>083103</v>
          </cell>
          <cell r="C6737" t="str">
            <v>ME</v>
          </cell>
          <cell r="D6737" t="str">
            <v>ME</v>
          </cell>
          <cell r="E6737" t="str">
            <v>98040</v>
          </cell>
        </row>
        <row r="6738">
          <cell r="A6738" t="str">
            <v>VENETICO</v>
          </cell>
          <cell r="B6738" t="str">
            <v>083104</v>
          </cell>
          <cell r="C6738" t="str">
            <v>ME</v>
          </cell>
          <cell r="D6738" t="str">
            <v>ME</v>
          </cell>
          <cell r="E6738" t="str">
            <v>98040</v>
          </cell>
        </row>
        <row r="6739">
          <cell r="A6739" t="str">
            <v>VILLAFRANCA TIRRENA</v>
          </cell>
          <cell r="B6739" t="str">
            <v>083105</v>
          </cell>
          <cell r="C6739" t="str">
            <v>ME</v>
          </cell>
          <cell r="D6739" t="str">
            <v>ME</v>
          </cell>
          <cell r="E6739" t="str">
            <v>98049</v>
          </cell>
        </row>
        <row r="6740">
          <cell r="A6740" t="str">
            <v>TERME VIGLIATORE</v>
          </cell>
          <cell r="B6740" t="str">
            <v>083106</v>
          </cell>
          <cell r="C6740" t="str">
            <v>ME</v>
          </cell>
          <cell r="D6740" t="str">
            <v>ME</v>
          </cell>
          <cell r="E6740" t="str">
            <v>98050</v>
          </cell>
        </row>
        <row r="6741">
          <cell r="A6741" t="str">
            <v>ACQUEDOLCI</v>
          </cell>
          <cell r="B6741" t="str">
            <v>083107</v>
          </cell>
          <cell r="C6741" t="str">
            <v>ME</v>
          </cell>
          <cell r="D6741" t="str">
            <v>ME</v>
          </cell>
          <cell r="E6741" t="str">
            <v>98070</v>
          </cell>
        </row>
        <row r="6742">
          <cell r="A6742" t="str">
            <v>TORRENOVA</v>
          </cell>
          <cell r="B6742" t="str">
            <v>083108</v>
          </cell>
          <cell r="C6742" t="str">
            <v>ME</v>
          </cell>
          <cell r="D6742" t="str">
            <v>ME</v>
          </cell>
          <cell r="E6742" t="str">
            <v>98070</v>
          </cell>
        </row>
        <row r="6743">
          <cell r="A6743" t="str">
            <v>AGRIGENTO</v>
          </cell>
          <cell r="B6743" t="str">
            <v>084001</v>
          </cell>
          <cell r="C6743" t="str">
            <v>AG</v>
          </cell>
          <cell r="D6743" t="str">
            <v>AG</v>
          </cell>
          <cell r="E6743" t="str">
            <v>92100</v>
          </cell>
        </row>
        <row r="6744">
          <cell r="A6744" t="str">
            <v>ALESSANDRIA DELLA ROCCA</v>
          </cell>
          <cell r="B6744" t="str">
            <v>084002</v>
          </cell>
          <cell r="C6744" t="str">
            <v>AG</v>
          </cell>
          <cell r="D6744" t="str">
            <v>AG</v>
          </cell>
          <cell r="E6744" t="str">
            <v>92010</v>
          </cell>
        </row>
        <row r="6745">
          <cell r="A6745" t="str">
            <v>ARAGONA</v>
          </cell>
          <cell r="B6745" t="str">
            <v>084003</v>
          </cell>
          <cell r="C6745" t="str">
            <v>AG</v>
          </cell>
          <cell r="D6745" t="str">
            <v>AG</v>
          </cell>
          <cell r="E6745" t="str">
            <v>92021</v>
          </cell>
        </row>
        <row r="6746">
          <cell r="A6746" t="str">
            <v>BIVONA</v>
          </cell>
          <cell r="B6746" t="str">
            <v>084004</v>
          </cell>
          <cell r="C6746" t="str">
            <v>AG</v>
          </cell>
          <cell r="D6746" t="str">
            <v>AG</v>
          </cell>
          <cell r="E6746" t="str">
            <v>92010</v>
          </cell>
        </row>
        <row r="6747">
          <cell r="A6747" t="str">
            <v>BURGIO</v>
          </cell>
          <cell r="B6747" t="str">
            <v>084005</v>
          </cell>
          <cell r="C6747" t="str">
            <v>AG</v>
          </cell>
          <cell r="D6747" t="str">
            <v>AG</v>
          </cell>
          <cell r="E6747" t="str">
            <v>92010</v>
          </cell>
        </row>
        <row r="6748">
          <cell r="A6748" t="str">
            <v>CALAMONACI</v>
          </cell>
          <cell r="B6748" t="str">
            <v>084006</v>
          </cell>
          <cell r="C6748" t="str">
            <v>AG</v>
          </cell>
          <cell r="D6748" t="str">
            <v>AG</v>
          </cell>
          <cell r="E6748" t="str">
            <v>92010</v>
          </cell>
        </row>
        <row r="6749">
          <cell r="A6749" t="str">
            <v>CALTABELLOTTA</v>
          </cell>
          <cell r="B6749" t="str">
            <v>084007</v>
          </cell>
          <cell r="C6749" t="str">
            <v>AG</v>
          </cell>
          <cell r="D6749" t="str">
            <v>AG</v>
          </cell>
          <cell r="E6749" t="str">
            <v>92010</v>
          </cell>
        </row>
        <row r="6750">
          <cell r="A6750" t="str">
            <v>CAMASTRA</v>
          </cell>
          <cell r="B6750" t="str">
            <v>084008</v>
          </cell>
          <cell r="C6750" t="str">
            <v>AG</v>
          </cell>
          <cell r="D6750" t="str">
            <v>AG</v>
          </cell>
          <cell r="E6750" t="str">
            <v>92020</v>
          </cell>
        </row>
        <row r="6751">
          <cell r="A6751" t="str">
            <v>CAMMARATA</v>
          </cell>
          <cell r="B6751" t="str">
            <v>084009</v>
          </cell>
          <cell r="C6751" t="str">
            <v>AG</v>
          </cell>
          <cell r="D6751" t="str">
            <v>AG</v>
          </cell>
          <cell r="E6751" t="str">
            <v>92022</v>
          </cell>
        </row>
        <row r="6752">
          <cell r="A6752" t="str">
            <v>CAMPOBELLO DI LICATA</v>
          </cell>
          <cell r="B6752" t="str">
            <v>084010</v>
          </cell>
          <cell r="C6752" t="str">
            <v>AG</v>
          </cell>
          <cell r="D6752" t="str">
            <v>AG</v>
          </cell>
          <cell r="E6752" t="str">
            <v>92023</v>
          </cell>
        </row>
        <row r="6753">
          <cell r="A6753" t="str">
            <v>CANICATTÌ</v>
          </cell>
          <cell r="B6753" t="str">
            <v>084011</v>
          </cell>
          <cell r="C6753" t="str">
            <v>AG</v>
          </cell>
          <cell r="D6753" t="str">
            <v>AG</v>
          </cell>
          <cell r="E6753" t="str">
            <v>92024</v>
          </cell>
        </row>
        <row r="6754">
          <cell r="A6754" t="str">
            <v>CASTELTERMINI</v>
          </cell>
          <cell r="B6754" t="str">
            <v>084012</v>
          </cell>
          <cell r="C6754" t="str">
            <v>AG</v>
          </cell>
          <cell r="D6754" t="str">
            <v>AG</v>
          </cell>
          <cell r="E6754" t="str">
            <v>92025</v>
          </cell>
        </row>
        <row r="6755">
          <cell r="A6755" t="str">
            <v>CASTROFILIPPO</v>
          </cell>
          <cell r="B6755" t="str">
            <v>084013</v>
          </cell>
          <cell r="C6755" t="str">
            <v>AG</v>
          </cell>
          <cell r="D6755" t="str">
            <v>AG</v>
          </cell>
          <cell r="E6755" t="str">
            <v>92020</v>
          </cell>
        </row>
        <row r="6756">
          <cell r="A6756" t="str">
            <v>CATTOLICA ERACLEA</v>
          </cell>
          <cell r="B6756" t="str">
            <v>084014</v>
          </cell>
          <cell r="C6756" t="str">
            <v>AG</v>
          </cell>
          <cell r="D6756" t="str">
            <v>AG</v>
          </cell>
          <cell r="E6756" t="str">
            <v>92011</v>
          </cell>
        </row>
        <row r="6757">
          <cell r="A6757" t="str">
            <v>CIANCIANA</v>
          </cell>
          <cell r="B6757" t="str">
            <v>084015</v>
          </cell>
          <cell r="C6757" t="str">
            <v>AG</v>
          </cell>
          <cell r="D6757" t="str">
            <v>AG</v>
          </cell>
          <cell r="E6757" t="str">
            <v>92012</v>
          </cell>
        </row>
        <row r="6758">
          <cell r="A6758" t="str">
            <v>COMITINI</v>
          </cell>
          <cell r="B6758" t="str">
            <v>084016</v>
          </cell>
          <cell r="C6758" t="str">
            <v>AG</v>
          </cell>
          <cell r="D6758" t="str">
            <v>AG</v>
          </cell>
          <cell r="E6758" t="str">
            <v>92020</v>
          </cell>
        </row>
        <row r="6759">
          <cell r="A6759" t="str">
            <v>FAVARA</v>
          </cell>
          <cell r="B6759" t="str">
            <v>084017</v>
          </cell>
          <cell r="C6759" t="str">
            <v>AG</v>
          </cell>
          <cell r="D6759" t="str">
            <v>AG</v>
          </cell>
          <cell r="E6759" t="str">
            <v>92026</v>
          </cell>
        </row>
        <row r="6760">
          <cell r="A6760" t="str">
            <v>GROTTE</v>
          </cell>
          <cell r="B6760" t="str">
            <v>084018</v>
          </cell>
          <cell r="C6760" t="str">
            <v>AG</v>
          </cell>
          <cell r="D6760" t="str">
            <v>AG</v>
          </cell>
          <cell r="E6760" t="str">
            <v>92020</v>
          </cell>
        </row>
        <row r="6761">
          <cell r="A6761" t="str">
            <v>JOPPOLO GIANCAXIO</v>
          </cell>
          <cell r="B6761" t="str">
            <v>084019</v>
          </cell>
          <cell r="C6761" t="str">
            <v>AG</v>
          </cell>
          <cell r="D6761" t="str">
            <v>AG</v>
          </cell>
          <cell r="E6761" t="str">
            <v>92010</v>
          </cell>
        </row>
        <row r="6762">
          <cell r="A6762" t="str">
            <v>LAMPEDUSA E LINOSA</v>
          </cell>
          <cell r="B6762" t="str">
            <v>084020</v>
          </cell>
          <cell r="C6762" t="str">
            <v>AG</v>
          </cell>
          <cell r="D6762" t="str">
            <v>AG</v>
          </cell>
          <cell r="E6762" t="str">
            <v>92010</v>
          </cell>
        </row>
        <row r="6763">
          <cell r="A6763" t="str">
            <v>LICATA</v>
          </cell>
          <cell r="B6763" t="str">
            <v>084021</v>
          </cell>
          <cell r="C6763" t="str">
            <v>AG</v>
          </cell>
          <cell r="D6763" t="str">
            <v>AG</v>
          </cell>
          <cell r="E6763" t="str">
            <v>92027</v>
          </cell>
        </row>
        <row r="6764">
          <cell r="A6764" t="str">
            <v>LUCCA SICULA</v>
          </cell>
          <cell r="B6764" t="str">
            <v>084022</v>
          </cell>
          <cell r="C6764" t="str">
            <v>AG</v>
          </cell>
          <cell r="D6764" t="str">
            <v>AG</v>
          </cell>
          <cell r="E6764" t="str">
            <v>92010</v>
          </cell>
        </row>
        <row r="6765">
          <cell r="A6765" t="str">
            <v>MENFI</v>
          </cell>
          <cell r="B6765" t="str">
            <v>084023</v>
          </cell>
          <cell r="C6765" t="str">
            <v>AG</v>
          </cell>
          <cell r="D6765" t="str">
            <v>AG</v>
          </cell>
          <cell r="E6765" t="str">
            <v>92013</v>
          </cell>
        </row>
        <row r="6766">
          <cell r="A6766" t="str">
            <v>MONTALLEGRO</v>
          </cell>
          <cell r="B6766" t="str">
            <v>084024</v>
          </cell>
          <cell r="C6766" t="str">
            <v>AG</v>
          </cell>
          <cell r="D6766" t="str">
            <v>AG</v>
          </cell>
          <cell r="E6766" t="str">
            <v>92010</v>
          </cell>
        </row>
        <row r="6767">
          <cell r="A6767" t="str">
            <v>MONTEVAGO</v>
          </cell>
          <cell r="B6767" t="str">
            <v>084025</v>
          </cell>
          <cell r="C6767" t="str">
            <v>AG</v>
          </cell>
          <cell r="D6767" t="str">
            <v>AG</v>
          </cell>
          <cell r="E6767" t="str">
            <v>92010</v>
          </cell>
        </row>
        <row r="6768">
          <cell r="A6768" t="str">
            <v>NARO</v>
          </cell>
          <cell r="B6768" t="str">
            <v>084026</v>
          </cell>
          <cell r="C6768" t="str">
            <v>AG</v>
          </cell>
          <cell r="D6768" t="str">
            <v>AG</v>
          </cell>
          <cell r="E6768" t="str">
            <v>92028</v>
          </cell>
        </row>
        <row r="6769">
          <cell r="A6769" t="str">
            <v>PALMA DI MONTECHIARO</v>
          </cell>
          <cell r="B6769" t="str">
            <v>084027</v>
          </cell>
          <cell r="C6769" t="str">
            <v>AG</v>
          </cell>
          <cell r="D6769" t="str">
            <v>AG</v>
          </cell>
          <cell r="E6769" t="str">
            <v>92020</v>
          </cell>
        </row>
        <row r="6770">
          <cell r="A6770" t="str">
            <v>PORTO EMPEDOCLE</v>
          </cell>
          <cell r="B6770" t="str">
            <v>084028</v>
          </cell>
          <cell r="C6770" t="str">
            <v>AG</v>
          </cell>
          <cell r="D6770" t="str">
            <v>AG</v>
          </cell>
          <cell r="E6770" t="str">
            <v>92014</v>
          </cell>
        </row>
        <row r="6771">
          <cell r="A6771" t="str">
            <v>RACALMUTO</v>
          </cell>
          <cell r="B6771" t="str">
            <v>084029</v>
          </cell>
          <cell r="C6771" t="str">
            <v>AG</v>
          </cell>
          <cell r="D6771" t="str">
            <v>AG</v>
          </cell>
          <cell r="E6771" t="str">
            <v>92020</v>
          </cell>
        </row>
        <row r="6772">
          <cell r="A6772" t="str">
            <v>RAFFADALI</v>
          </cell>
          <cell r="B6772" t="str">
            <v>084030</v>
          </cell>
          <cell r="C6772" t="str">
            <v>AG</v>
          </cell>
          <cell r="D6772" t="str">
            <v>AG</v>
          </cell>
          <cell r="E6772" t="str">
            <v>92015</v>
          </cell>
        </row>
        <row r="6773">
          <cell r="A6773" t="str">
            <v>RAVANUSA</v>
          </cell>
          <cell r="B6773" t="str">
            <v>084031</v>
          </cell>
          <cell r="C6773" t="str">
            <v>AG</v>
          </cell>
          <cell r="D6773" t="str">
            <v>AG</v>
          </cell>
          <cell r="E6773" t="str">
            <v>92029</v>
          </cell>
        </row>
        <row r="6774">
          <cell r="A6774" t="str">
            <v>REALMONTE</v>
          </cell>
          <cell r="B6774" t="str">
            <v>084032</v>
          </cell>
          <cell r="C6774" t="str">
            <v>AG</v>
          </cell>
          <cell r="D6774" t="str">
            <v>AG</v>
          </cell>
          <cell r="E6774" t="str">
            <v>92010</v>
          </cell>
        </row>
        <row r="6775">
          <cell r="A6775" t="str">
            <v>RIBERA</v>
          </cell>
          <cell r="B6775" t="str">
            <v>084033</v>
          </cell>
          <cell r="C6775" t="str">
            <v>AG</v>
          </cell>
          <cell r="D6775" t="str">
            <v>AG</v>
          </cell>
          <cell r="E6775" t="str">
            <v>92016</v>
          </cell>
        </row>
        <row r="6776">
          <cell r="A6776" t="str">
            <v>SAMBUCA DI SICILIA</v>
          </cell>
          <cell r="B6776" t="str">
            <v>084034</v>
          </cell>
          <cell r="C6776" t="str">
            <v>AG</v>
          </cell>
          <cell r="D6776" t="str">
            <v>AG</v>
          </cell>
          <cell r="E6776" t="str">
            <v>92017</v>
          </cell>
        </row>
        <row r="6777">
          <cell r="A6777" t="str">
            <v>SAN BIAGIO PLATANI</v>
          </cell>
          <cell r="B6777" t="str">
            <v>084035</v>
          </cell>
          <cell r="C6777" t="str">
            <v>AG</v>
          </cell>
          <cell r="D6777" t="str">
            <v>AG</v>
          </cell>
          <cell r="E6777" t="str">
            <v>92020</v>
          </cell>
        </row>
        <row r="6778">
          <cell r="A6778" t="str">
            <v>SAN GIOVANNI GEMINI</v>
          </cell>
          <cell r="B6778" t="str">
            <v>084036</v>
          </cell>
          <cell r="C6778" t="str">
            <v>AG</v>
          </cell>
          <cell r="D6778" t="str">
            <v>AG</v>
          </cell>
          <cell r="E6778" t="str">
            <v>92020</v>
          </cell>
        </row>
        <row r="6779">
          <cell r="A6779" t="str">
            <v>SANTA ELISABETTA</v>
          </cell>
          <cell r="B6779" t="str">
            <v>084037</v>
          </cell>
          <cell r="C6779" t="str">
            <v>AG</v>
          </cell>
          <cell r="D6779" t="str">
            <v>AG</v>
          </cell>
          <cell r="E6779" t="str">
            <v>92020</v>
          </cell>
        </row>
        <row r="6780">
          <cell r="A6780" t="str">
            <v>SANTA MARGHERITA DI BELICE</v>
          </cell>
          <cell r="B6780" t="str">
            <v>084038</v>
          </cell>
          <cell r="C6780" t="str">
            <v>AG</v>
          </cell>
          <cell r="D6780" t="str">
            <v>AG</v>
          </cell>
          <cell r="E6780" t="str">
            <v>92018</v>
          </cell>
        </row>
        <row r="6781">
          <cell r="A6781" t="str">
            <v>SANT'ANGELO MUXARO</v>
          </cell>
          <cell r="B6781" t="str">
            <v>084039</v>
          </cell>
          <cell r="C6781" t="str">
            <v>AG</v>
          </cell>
          <cell r="D6781" t="str">
            <v>AG</v>
          </cell>
          <cell r="E6781" t="str">
            <v>92020</v>
          </cell>
        </row>
        <row r="6782">
          <cell r="A6782" t="str">
            <v>SANTO STEFANO QUISQUINA</v>
          </cell>
          <cell r="B6782" t="str">
            <v>084040</v>
          </cell>
          <cell r="C6782" t="str">
            <v>AG</v>
          </cell>
          <cell r="D6782" t="str">
            <v>AG</v>
          </cell>
          <cell r="E6782" t="str">
            <v>92020</v>
          </cell>
        </row>
        <row r="6783">
          <cell r="A6783" t="str">
            <v>SCIACCA</v>
          </cell>
          <cell r="B6783" t="str">
            <v>084041</v>
          </cell>
          <cell r="C6783" t="str">
            <v>AG</v>
          </cell>
          <cell r="D6783" t="str">
            <v>AG</v>
          </cell>
          <cell r="E6783" t="str">
            <v>92019</v>
          </cell>
        </row>
        <row r="6784">
          <cell r="A6784" t="str">
            <v>SICULIANA</v>
          </cell>
          <cell r="B6784" t="str">
            <v>084042</v>
          </cell>
          <cell r="C6784" t="str">
            <v>AG</v>
          </cell>
          <cell r="D6784" t="str">
            <v>AG</v>
          </cell>
          <cell r="E6784" t="str">
            <v>92010</v>
          </cell>
        </row>
        <row r="6785">
          <cell r="A6785" t="str">
            <v>VILLAFRANCA SICULA</v>
          </cell>
          <cell r="B6785" t="str">
            <v>084043</v>
          </cell>
          <cell r="C6785" t="str">
            <v>AG</v>
          </cell>
          <cell r="D6785" t="str">
            <v>AG</v>
          </cell>
          <cell r="E6785" t="str">
            <v>92020</v>
          </cell>
        </row>
        <row r="6786">
          <cell r="A6786" t="str">
            <v>ACQUAVIVA PLATANI</v>
          </cell>
          <cell r="B6786" t="str">
            <v>085001</v>
          </cell>
          <cell r="C6786" t="str">
            <v>CL</v>
          </cell>
          <cell r="D6786" t="str">
            <v>CL</v>
          </cell>
          <cell r="E6786" t="str">
            <v>93010</v>
          </cell>
        </row>
        <row r="6787">
          <cell r="A6787" t="str">
            <v>BOMPENSIERE</v>
          </cell>
          <cell r="B6787" t="str">
            <v>085002</v>
          </cell>
          <cell r="C6787" t="str">
            <v>CL</v>
          </cell>
          <cell r="D6787" t="str">
            <v>CL</v>
          </cell>
          <cell r="E6787" t="str">
            <v>93010</v>
          </cell>
        </row>
        <row r="6788">
          <cell r="A6788" t="str">
            <v>BUTERA</v>
          </cell>
          <cell r="B6788" t="str">
            <v>085003</v>
          </cell>
          <cell r="C6788" t="str">
            <v>CL</v>
          </cell>
          <cell r="D6788" t="str">
            <v>CL</v>
          </cell>
          <cell r="E6788" t="str">
            <v>93011</v>
          </cell>
        </row>
        <row r="6789">
          <cell r="A6789" t="str">
            <v>CALTANISSETTA</v>
          </cell>
          <cell r="B6789" t="str">
            <v>085004</v>
          </cell>
          <cell r="C6789" t="str">
            <v>CL</v>
          </cell>
          <cell r="D6789" t="str">
            <v>CL</v>
          </cell>
          <cell r="E6789" t="str">
            <v>93100</v>
          </cell>
        </row>
        <row r="6790">
          <cell r="A6790" t="str">
            <v>CAMPOFRANCO</v>
          </cell>
          <cell r="B6790" t="str">
            <v>085005</v>
          </cell>
          <cell r="C6790" t="str">
            <v>CL</v>
          </cell>
          <cell r="D6790" t="str">
            <v>CL</v>
          </cell>
          <cell r="E6790" t="str">
            <v>93010</v>
          </cell>
        </row>
        <row r="6791">
          <cell r="A6791" t="str">
            <v>DELIA</v>
          </cell>
          <cell r="B6791" t="str">
            <v>085006</v>
          </cell>
          <cell r="C6791" t="str">
            <v>CL</v>
          </cell>
          <cell r="D6791" t="str">
            <v>CL</v>
          </cell>
          <cell r="E6791" t="str">
            <v>93010</v>
          </cell>
        </row>
        <row r="6792">
          <cell r="A6792" t="str">
            <v>GELA</v>
          </cell>
          <cell r="B6792" t="str">
            <v>085007</v>
          </cell>
          <cell r="C6792" t="str">
            <v>CL</v>
          </cell>
          <cell r="D6792" t="str">
            <v>CL</v>
          </cell>
          <cell r="E6792" t="str">
            <v>93012</v>
          </cell>
        </row>
        <row r="6793">
          <cell r="A6793" t="str">
            <v>MARIANOPOLI</v>
          </cell>
          <cell r="B6793" t="str">
            <v>085008</v>
          </cell>
          <cell r="C6793" t="str">
            <v>CL</v>
          </cell>
          <cell r="D6793" t="str">
            <v>CL</v>
          </cell>
          <cell r="E6793" t="str">
            <v>93010</v>
          </cell>
        </row>
        <row r="6794">
          <cell r="A6794" t="str">
            <v>MAZZARINO</v>
          </cell>
          <cell r="B6794" t="str">
            <v>085009</v>
          </cell>
          <cell r="C6794" t="str">
            <v>CL</v>
          </cell>
          <cell r="D6794" t="str">
            <v>CL</v>
          </cell>
          <cell r="E6794" t="str">
            <v>93013</v>
          </cell>
        </row>
        <row r="6795">
          <cell r="A6795" t="str">
            <v>MILENA</v>
          </cell>
          <cell r="B6795" t="str">
            <v>085010</v>
          </cell>
          <cell r="C6795" t="str">
            <v>CL</v>
          </cell>
          <cell r="D6795" t="str">
            <v>CL</v>
          </cell>
          <cell r="E6795" t="str">
            <v>93010</v>
          </cell>
        </row>
        <row r="6796">
          <cell r="A6796" t="str">
            <v>MONTEDORO</v>
          </cell>
          <cell r="B6796" t="str">
            <v>085011</v>
          </cell>
          <cell r="C6796" t="str">
            <v>CL</v>
          </cell>
          <cell r="D6796" t="str">
            <v>CL</v>
          </cell>
          <cell r="E6796" t="str">
            <v>93010</v>
          </cell>
        </row>
        <row r="6797">
          <cell r="A6797" t="str">
            <v>MUSSOMELI</v>
          </cell>
          <cell r="B6797" t="str">
            <v>085012</v>
          </cell>
          <cell r="C6797" t="str">
            <v>CL</v>
          </cell>
          <cell r="D6797" t="str">
            <v>CL</v>
          </cell>
          <cell r="E6797" t="str">
            <v>93014</v>
          </cell>
        </row>
        <row r="6798">
          <cell r="A6798" t="str">
            <v>NISCEMI</v>
          </cell>
          <cell r="B6798" t="str">
            <v>085013</v>
          </cell>
          <cell r="C6798" t="str">
            <v>CL</v>
          </cell>
          <cell r="D6798" t="str">
            <v>CL</v>
          </cell>
          <cell r="E6798" t="str">
            <v>93015</v>
          </cell>
        </row>
        <row r="6799">
          <cell r="A6799" t="str">
            <v>RESUTTANO</v>
          </cell>
          <cell r="B6799" t="str">
            <v>085014</v>
          </cell>
          <cell r="C6799" t="str">
            <v>CL</v>
          </cell>
          <cell r="D6799" t="str">
            <v>CL</v>
          </cell>
          <cell r="E6799" t="str">
            <v>93010</v>
          </cell>
        </row>
        <row r="6800">
          <cell r="A6800" t="str">
            <v>RIESI</v>
          </cell>
          <cell r="B6800" t="str">
            <v>085015</v>
          </cell>
          <cell r="C6800" t="str">
            <v>CL</v>
          </cell>
          <cell r="D6800" t="str">
            <v>CL</v>
          </cell>
          <cell r="E6800" t="str">
            <v>93016</v>
          </cell>
        </row>
        <row r="6801">
          <cell r="A6801" t="str">
            <v>SAN CATALDO</v>
          </cell>
          <cell r="B6801" t="str">
            <v>085016</v>
          </cell>
          <cell r="C6801" t="str">
            <v>CL</v>
          </cell>
          <cell r="D6801" t="str">
            <v>CL</v>
          </cell>
          <cell r="E6801" t="str">
            <v>93017</v>
          </cell>
        </row>
        <row r="6802">
          <cell r="A6802" t="str">
            <v>SANTA CATERINA VILLARMOSA</v>
          </cell>
          <cell r="B6802" t="str">
            <v>085017</v>
          </cell>
          <cell r="C6802" t="str">
            <v>CL</v>
          </cell>
          <cell r="D6802" t="str">
            <v>CL</v>
          </cell>
          <cell r="E6802" t="str">
            <v>93018</v>
          </cell>
        </row>
        <row r="6803">
          <cell r="A6803" t="str">
            <v>SERRADIFALCO</v>
          </cell>
          <cell r="B6803" t="str">
            <v>085018</v>
          </cell>
          <cell r="C6803" t="str">
            <v>CL</v>
          </cell>
          <cell r="D6803" t="str">
            <v>CL</v>
          </cell>
          <cell r="E6803" t="str">
            <v>93010</v>
          </cell>
        </row>
        <row r="6804">
          <cell r="A6804" t="str">
            <v>SOMMATINO</v>
          </cell>
          <cell r="B6804" t="str">
            <v>085019</v>
          </cell>
          <cell r="C6804" t="str">
            <v>CL</v>
          </cell>
          <cell r="D6804" t="str">
            <v>CL</v>
          </cell>
          <cell r="E6804" t="str">
            <v>93019</v>
          </cell>
        </row>
        <row r="6805">
          <cell r="A6805" t="str">
            <v>SUTERA</v>
          </cell>
          <cell r="B6805" t="str">
            <v>085020</v>
          </cell>
          <cell r="C6805" t="str">
            <v>CL</v>
          </cell>
          <cell r="D6805" t="str">
            <v>CL</v>
          </cell>
          <cell r="E6805" t="str">
            <v>93010</v>
          </cell>
        </row>
        <row r="6806">
          <cell r="A6806" t="str">
            <v>VALLELUNGA PRATAMENO</v>
          </cell>
          <cell r="B6806" t="str">
            <v>085021</v>
          </cell>
          <cell r="C6806" t="str">
            <v>CL</v>
          </cell>
          <cell r="D6806" t="str">
            <v>CL</v>
          </cell>
          <cell r="E6806" t="str">
            <v>93010</v>
          </cell>
        </row>
        <row r="6807">
          <cell r="A6807" t="str">
            <v>VILLALBA</v>
          </cell>
          <cell r="B6807" t="str">
            <v>085022</v>
          </cell>
          <cell r="C6807" t="str">
            <v>CL</v>
          </cell>
          <cell r="D6807" t="str">
            <v>CL</v>
          </cell>
          <cell r="E6807" t="str">
            <v>93010</v>
          </cell>
        </row>
        <row r="6808">
          <cell r="A6808" t="str">
            <v>AGIRA</v>
          </cell>
          <cell r="B6808" t="str">
            <v>086001</v>
          </cell>
          <cell r="C6808" t="str">
            <v>EN</v>
          </cell>
          <cell r="D6808" t="str">
            <v>EN</v>
          </cell>
          <cell r="E6808" t="str">
            <v>94011</v>
          </cell>
        </row>
        <row r="6809">
          <cell r="A6809" t="str">
            <v>AIDONE</v>
          </cell>
          <cell r="B6809" t="str">
            <v>086002</v>
          </cell>
          <cell r="C6809" t="str">
            <v>EN</v>
          </cell>
          <cell r="D6809" t="str">
            <v>EN</v>
          </cell>
          <cell r="E6809" t="str">
            <v>94010</v>
          </cell>
        </row>
        <row r="6810">
          <cell r="A6810" t="str">
            <v>ASSORO</v>
          </cell>
          <cell r="B6810" t="str">
            <v>086003</v>
          </cell>
          <cell r="C6810" t="str">
            <v>EN</v>
          </cell>
          <cell r="D6810" t="str">
            <v>EN</v>
          </cell>
          <cell r="E6810" t="str">
            <v>94010</v>
          </cell>
        </row>
        <row r="6811">
          <cell r="A6811" t="str">
            <v>BARRAFRANCA</v>
          </cell>
          <cell r="B6811" t="str">
            <v>086004</v>
          </cell>
          <cell r="C6811" t="str">
            <v>EN</v>
          </cell>
          <cell r="D6811" t="str">
            <v>EN</v>
          </cell>
          <cell r="E6811" t="str">
            <v>94012</v>
          </cell>
        </row>
        <row r="6812">
          <cell r="A6812" t="str">
            <v>CALASCIBETTA</v>
          </cell>
          <cell r="B6812" t="str">
            <v>086005</v>
          </cell>
          <cell r="C6812" t="str">
            <v>EN</v>
          </cell>
          <cell r="D6812" t="str">
            <v>EN</v>
          </cell>
          <cell r="E6812" t="str">
            <v>94010</v>
          </cell>
        </row>
        <row r="6813">
          <cell r="A6813" t="str">
            <v>CATENANUOVA</v>
          </cell>
          <cell r="B6813" t="str">
            <v>086006</v>
          </cell>
          <cell r="C6813" t="str">
            <v>EN</v>
          </cell>
          <cell r="D6813" t="str">
            <v>EN</v>
          </cell>
          <cell r="E6813" t="str">
            <v>94010</v>
          </cell>
        </row>
        <row r="6814">
          <cell r="A6814" t="str">
            <v>CENTURIPE</v>
          </cell>
          <cell r="B6814" t="str">
            <v>086007</v>
          </cell>
          <cell r="C6814" t="str">
            <v>EN</v>
          </cell>
          <cell r="D6814" t="str">
            <v>EN</v>
          </cell>
          <cell r="E6814" t="str">
            <v>94010</v>
          </cell>
        </row>
        <row r="6815">
          <cell r="A6815" t="str">
            <v>CERAMI</v>
          </cell>
          <cell r="B6815" t="str">
            <v>086008</v>
          </cell>
          <cell r="C6815" t="str">
            <v>EN</v>
          </cell>
          <cell r="D6815" t="str">
            <v>EN</v>
          </cell>
          <cell r="E6815" t="str">
            <v>94010</v>
          </cell>
        </row>
        <row r="6816">
          <cell r="A6816" t="str">
            <v>ENNA</v>
          </cell>
          <cell r="B6816" t="str">
            <v>086009</v>
          </cell>
          <cell r="C6816" t="str">
            <v>EN</v>
          </cell>
          <cell r="D6816" t="str">
            <v>EN</v>
          </cell>
          <cell r="E6816" t="str">
            <v>94100</v>
          </cell>
        </row>
        <row r="6817">
          <cell r="A6817" t="str">
            <v>GAGLIANO CASTELFERRATO</v>
          </cell>
          <cell r="B6817" t="str">
            <v>086010</v>
          </cell>
          <cell r="C6817" t="str">
            <v>EN</v>
          </cell>
          <cell r="D6817" t="str">
            <v>EN</v>
          </cell>
          <cell r="E6817" t="str">
            <v>94010</v>
          </cell>
        </row>
        <row r="6818">
          <cell r="A6818" t="str">
            <v>LEONFORTE</v>
          </cell>
          <cell r="B6818" t="str">
            <v>086011</v>
          </cell>
          <cell r="C6818" t="str">
            <v>EN</v>
          </cell>
          <cell r="D6818" t="str">
            <v>EN</v>
          </cell>
          <cell r="E6818" t="str">
            <v>94013</v>
          </cell>
        </row>
        <row r="6819">
          <cell r="A6819" t="str">
            <v>NICOSIA</v>
          </cell>
          <cell r="B6819" t="str">
            <v>086012</v>
          </cell>
          <cell r="C6819" t="str">
            <v>EN</v>
          </cell>
          <cell r="D6819" t="str">
            <v>EN</v>
          </cell>
          <cell r="E6819" t="str">
            <v>94014</v>
          </cell>
        </row>
        <row r="6820">
          <cell r="A6820" t="str">
            <v>NISSORIA</v>
          </cell>
          <cell r="B6820" t="str">
            <v>086013</v>
          </cell>
          <cell r="C6820" t="str">
            <v>EN</v>
          </cell>
          <cell r="D6820" t="str">
            <v>EN</v>
          </cell>
          <cell r="E6820" t="str">
            <v>94010</v>
          </cell>
        </row>
        <row r="6821">
          <cell r="A6821" t="str">
            <v>PIAZZA ARMERINA</v>
          </cell>
          <cell r="B6821" t="str">
            <v>086014</v>
          </cell>
          <cell r="C6821" t="str">
            <v>EN</v>
          </cell>
          <cell r="D6821" t="str">
            <v>EN</v>
          </cell>
          <cell r="E6821" t="str">
            <v>94015</v>
          </cell>
        </row>
        <row r="6822">
          <cell r="A6822" t="str">
            <v>PIETRAPERZIA</v>
          </cell>
          <cell r="B6822" t="str">
            <v>086015</v>
          </cell>
          <cell r="C6822" t="str">
            <v>EN</v>
          </cell>
          <cell r="D6822" t="str">
            <v>EN</v>
          </cell>
          <cell r="E6822" t="str">
            <v>94016</v>
          </cell>
        </row>
        <row r="6823">
          <cell r="A6823" t="str">
            <v>REGALBUTO</v>
          </cell>
          <cell r="B6823" t="str">
            <v>086016</v>
          </cell>
          <cell r="C6823" t="str">
            <v>EN</v>
          </cell>
          <cell r="D6823" t="str">
            <v>EN</v>
          </cell>
          <cell r="E6823" t="str">
            <v>94017</v>
          </cell>
        </row>
        <row r="6824">
          <cell r="A6824" t="str">
            <v>SPERLINGA</v>
          </cell>
          <cell r="B6824" t="str">
            <v>086017</v>
          </cell>
          <cell r="C6824" t="str">
            <v>EN</v>
          </cell>
          <cell r="D6824" t="str">
            <v>EN</v>
          </cell>
          <cell r="E6824" t="str">
            <v>94010</v>
          </cell>
        </row>
        <row r="6825">
          <cell r="A6825" t="str">
            <v>TROINA</v>
          </cell>
          <cell r="B6825" t="str">
            <v>086018</v>
          </cell>
          <cell r="C6825" t="str">
            <v>EN</v>
          </cell>
          <cell r="D6825" t="str">
            <v>EN</v>
          </cell>
          <cell r="E6825" t="str">
            <v>94018</v>
          </cell>
        </row>
        <row r="6826">
          <cell r="A6826" t="str">
            <v>VALGUARNERA CAROPEPE</v>
          </cell>
          <cell r="B6826" t="str">
            <v>086019</v>
          </cell>
          <cell r="C6826" t="str">
            <v>EN</v>
          </cell>
          <cell r="D6826" t="str">
            <v>EN</v>
          </cell>
          <cell r="E6826" t="str">
            <v>94019</v>
          </cell>
        </row>
        <row r="6827">
          <cell r="A6827" t="str">
            <v>VILLAROSA</v>
          </cell>
          <cell r="B6827" t="str">
            <v>086020</v>
          </cell>
          <cell r="C6827" t="str">
            <v>EN</v>
          </cell>
          <cell r="D6827" t="str">
            <v>EN</v>
          </cell>
          <cell r="E6827" t="str">
            <v>94010</v>
          </cell>
        </row>
        <row r="6828">
          <cell r="A6828" t="str">
            <v>ACI BONACCORSI</v>
          </cell>
          <cell r="B6828" t="str">
            <v>087001</v>
          </cell>
          <cell r="C6828" t="str">
            <v>CT</v>
          </cell>
          <cell r="D6828" t="str">
            <v>CT</v>
          </cell>
          <cell r="E6828" t="str">
            <v>95020</v>
          </cell>
        </row>
        <row r="6829">
          <cell r="A6829" t="str">
            <v>ACI CASTELLO</v>
          </cell>
          <cell r="B6829" t="str">
            <v>087002</v>
          </cell>
          <cell r="C6829" t="str">
            <v>CT</v>
          </cell>
          <cell r="D6829" t="str">
            <v>CT</v>
          </cell>
          <cell r="E6829" t="str">
            <v>95021</v>
          </cell>
        </row>
        <row r="6830">
          <cell r="A6830" t="str">
            <v>ACI CATENA</v>
          </cell>
          <cell r="B6830" t="str">
            <v>087003</v>
          </cell>
          <cell r="C6830" t="str">
            <v>CT</v>
          </cell>
          <cell r="D6830" t="str">
            <v>CT</v>
          </cell>
          <cell r="E6830" t="str">
            <v>95022</v>
          </cell>
        </row>
        <row r="6831">
          <cell r="A6831" t="str">
            <v>ACIREALE</v>
          </cell>
          <cell r="B6831" t="str">
            <v>087004</v>
          </cell>
          <cell r="C6831" t="str">
            <v>CT</v>
          </cell>
          <cell r="D6831" t="str">
            <v>CT</v>
          </cell>
          <cell r="E6831" t="str">
            <v>95024</v>
          </cell>
        </row>
        <row r="6832">
          <cell r="A6832" t="str">
            <v>ACI SANT'ANTONIO</v>
          </cell>
          <cell r="B6832" t="str">
            <v>087005</v>
          </cell>
          <cell r="C6832" t="str">
            <v>CT</v>
          </cell>
          <cell r="D6832" t="str">
            <v>CT</v>
          </cell>
          <cell r="E6832" t="str">
            <v>95025</v>
          </cell>
        </row>
        <row r="6833">
          <cell r="A6833" t="str">
            <v>ADRANO</v>
          </cell>
          <cell r="B6833" t="str">
            <v>087006</v>
          </cell>
          <cell r="C6833" t="str">
            <v>CT</v>
          </cell>
          <cell r="D6833" t="str">
            <v>CT</v>
          </cell>
          <cell r="E6833" t="str">
            <v>95031</v>
          </cell>
        </row>
        <row r="6834">
          <cell r="A6834" t="str">
            <v>BELPASSO</v>
          </cell>
          <cell r="B6834" t="str">
            <v>087007</v>
          </cell>
          <cell r="C6834" t="str">
            <v>CT</v>
          </cell>
          <cell r="D6834" t="str">
            <v>CT</v>
          </cell>
          <cell r="E6834" t="str">
            <v>95032</v>
          </cell>
        </row>
        <row r="6835">
          <cell r="A6835" t="str">
            <v>BIANCAVILLA</v>
          </cell>
          <cell r="B6835" t="str">
            <v>087008</v>
          </cell>
          <cell r="C6835" t="str">
            <v>CT</v>
          </cell>
          <cell r="D6835" t="str">
            <v>CT</v>
          </cell>
          <cell r="E6835" t="str">
            <v>95033</v>
          </cell>
        </row>
        <row r="6836">
          <cell r="A6836" t="str">
            <v>BRONTE</v>
          </cell>
          <cell r="B6836" t="str">
            <v>087009</v>
          </cell>
          <cell r="C6836" t="str">
            <v>CT</v>
          </cell>
          <cell r="D6836" t="str">
            <v>CT</v>
          </cell>
          <cell r="E6836" t="str">
            <v>95034</v>
          </cell>
        </row>
        <row r="6837">
          <cell r="A6837" t="str">
            <v>CALATABIANO</v>
          </cell>
          <cell r="B6837" t="str">
            <v>087010</v>
          </cell>
          <cell r="C6837" t="str">
            <v>CT</v>
          </cell>
          <cell r="D6837" t="str">
            <v>CT</v>
          </cell>
          <cell r="E6837" t="str">
            <v>95011</v>
          </cell>
        </row>
        <row r="6838">
          <cell r="A6838" t="str">
            <v>CALTAGIRONE</v>
          </cell>
          <cell r="B6838" t="str">
            <v>087011</v>
          </cell>
          <cell r="C6838" t="str">
            <v>CT</v>
          </cell>
          <cell r="D6838" t="str">
            <v>CT</v>
          </cell>
          <cell r="E6838" t="str">
            <v>95041</v>
          </cell>
        </row>
        <row r="6839">
          <cell r="A6839" t="str">
            <v>CAMPOROTONDO ETNEO</v>
          </cell>
          <cell r="B6839" t="str">
            <v>087012</v>
          </cell>
          <cell r="C6839" t="str">
            <v>CT</v>
          </cell>
          <cell r="D6839" t="str">
            <v>CT</v>
          </cell>
          <cell r="E6839" t="str">
            <v>95040</v>
          </cell>
        </row>
        <row r="6840">
          <cell r="A6840" t="str">
            <v>CASTEL DI IUDICA</v>
          </cell>
          <cell r="B6840" t="str">
            <v>087013</v>
          </cell>
          <cell r="C6840" t="str">
            <v>CT</v>
          </cell>
          <cell r="D6840" t="str">
            <v>CT</v>
          </cell>
          <cell r="E6840" t="str">
            <v>95040</v>
          </cell>
        </row>
        <row r="6841">
          <cell r="A6841" t="str">
            <v>CASTIGLIONE DI SICILIA</v>
          </cell>
          <cell r="B6841" t="str">
            <v>087014</v>
          </cell>
          <cell r="C6841" t="str">
            <v>CT</v>
          </cell>
          <cell r="D6841" t="str">
            <v>CT</v>
          </cell>
          <cell r="E6841" t="str">
            <v>95012</v>
          </cell>
        </row>
        <row r="6842">
          <cell r="A6842" t="str">
            <v>CATANIA</v>
          </cell>
          <cell r="B6842" t="str">
            <v>087015</v>
          </cell>
          <cell r="C6842" t="str">
            <v>CT</v>
          </cell>
          <cell r="D6842" t="str">
            <v>CT</v>
          </cell>
          <cell r="E6842" t="str">
            <v>951xx</v>
          </cell>
        </row>
        <row r="6843">
          <cell r="A6843" t="str">
            <v>FIUMEFREDDO DI SICILIA</v>
          </cell>
          <cell r="B6843" t="str">
            <v>087016</v>
          </cell>
          <cell r="C6843" t="str">
            <v>CT</v>
          </cell>
          <cell r="D6843" t="str">
            <v>CT</v>
          </cell>
          <cell r="E6843" t="str">
            <v>95013</v>
          </cell>
        </row>
        <row r="6844">
          <cell r="A6844" t="str">
            <v>GIARRE</v>
          </cell>
          <cell r="B6844" t="str">
            <v>087017</v>
          </cell>
          <cell r="C6844" t="str">
            <v>CT</v>
          </cell>
          <cell r="D6844" t="str">
            <v>CT</v>
          </cell>
          <cell r="E6844" t="str">
            <v>95014</v>
          </cell>
        </row>
        <row r="6845">
          <cell r="A6845" t="str">
            <v>GRAMMICHELE</v>
          </cell>
          <cell r="B6845" t="str">
            <v>087018</v>
          </cell>
          <cell r="C6845" t="str">
            <v>CT</v>
          </cell>
          <cell r="D6845" t="str">
            <v>CT</v>
          </cell>
          <cell r="E6845" t="str">
            <v>95042</v>
          </cell>
        </row>
        <row r="6846">
          <cell r="A6846" t="str">
            <v>GRAVINA DI CATANIA</v>
          </cell>
          <cell r="B6846" t="str">
            <v>087019</v>
          </cell>
          <cell r="C6846" t="str">
            <v>CT</v>
          </cell>
          <cell r="D6846" t="str">
            <v>CT</v>
          </cell>
          <cell r="E6846" t="str">
            <v>95030</v>
          </cell>
        </row>
        <row r="6847">
          <cell r="A6847" t="str">
            <v>LICODIA EUBEA</v>
          </cell>
          <cell r="B6847" t="str">
            <v>087020</v>
          </cell>
          <cell r="C6847" t="str">
            <v>CT</v>
          </cell>
          <cell r="D6847" t="str">
            <v>CT</v>
          </cell>
          <cell r="E6847" t="str">
            <v>95040</v>
          </cell>
        </row>
        <row r="6848">
          <cell r="A6848" t="str">
            <v>LINGUAGLOSSA</v>
          </cell>
          <cell r="B6848" t="str">
            <v>087021</v>
          </cell>
          <cell r="C6848" t="str">
            <v>CT</v>
          </cell>
          <cell r="D6848" t="str">
            <v>CT</v>
          </cell>
          <cell r="E6848" t="str">
            <v>95015</v>
          </cell>
        </row>
        <row r="6849">
          <cell r="A6849" t="str">
            <v>MALETTO</v>
          </cell>
          <cell r="B6849" t="str">
            <v>087022</v>
          </cell>
          <cell r="C6849" t="str">
            <v>CT</v>
          </cell>
          <cell r="D6849" t="str">
            <v>CT</v>
          </cell>
          <cell r="E6849" t="str">
            <v>95035</v>
          </cell>
        </row>
        <row r="6850">
          <cell r="A6850" t="str">
            <v>MASCALI</v>
          </cell>
          <cell r="B6850" t="str">
            <v>087023</v>
          </cell>
          <cell r="C6850" t="str">
            <v>CT</v>
          </cell>
          <cell r="D6850" t="str">
            <v>CT</v>
          </cell>
          <cell r="E6850" t="str">
            <v>95016</v>
          </cell>
        </row>
        <row r="6851">
          <cell r="A6851" t="str">
            <v>MASCALUCIA</v>
          </cell>
          <cell r="B6851" t="str">
            <v>087024</v>
          </cell>
          <cell r="C6851" t="str">
            <v>CT</v>
          </cell>
          <cell r="D6851" t="str">
            <v>CT</v>
          </cell>
          <cell r="E6851" t="str">
            <v>95030</v>
          </cell>
        </row>
        <row r="6852">
          <cell r="A6852" t="str">
            <v>MILITELLO IN VAL DI CATANIA</v>
          </cell>
          <cell r="B6852" t="str">
            <v>087025</v>
          </cell>
          <cell r="C6852" t="str">
            <v>CT</v>
          </cell>
          <cell r="D6852" t="str">
            <v>CT</v>
          </cell>
          <cell r="E6852" t="str">
            <v>95043</v>
          </cell>
        </row>
        <row r="6853">
          <cell r="A6853" t="str">
            <v>MILO</v>
          </cell>
          <cell r="B6853" t="str">
            <v>087026</v>
          </cell>
          <cell r="C6853" t="str">
            <v>CT</v>
          </cell>
          <cell r="D6853" t="str">
            <v>CT</v>
          </cell>
          <cell r="E6853" t="str">
            <v>95010</v>
          </cell>
        </row>
        <row r="6854">
          <cell r="A6854" t="str">
            <v>MINEO</v>
          </cell>
          <cell r="B6854" t="str">
            <v>087027</v>
          </cell>
          <cell r="C6854" t="str">
            <v>CT</v>
          </cell>
          <cell r="D6854" t="str">
            <v>CT</v>
          </cell>
          <cell r="E6854" t="str">
            <v>95044</v>
          </cell>
        </row>
        <row r="6855">
          <cell r="A6855" t="str">
            <v>MIRABELLA IMBACCARI</v>
          </cell>
          <cell r="B6855" t="str">
            <v>087028</v>
          </cell>
          <cell r="C6855" t="str">
            <v>CT</v>
          </cell>
          <cell r="D6855" t="str">
            <v>CT</v>
          </cell>
          <cell r="E6855" t="str">
            <v>95040</v>
          </cell>
        </row>
        <row r="6856">
          <cell r="A6856" t="str">
            <v>MISTERBIANCO</v>
          </cell>
          <cell r="B6856" t="str">
            <v>087029</v>
          </cell>
          <cell r="C6856" t="str">
            <v>CT</v>
          </cell>
          <cell r="D6856" t="str">
            <v>CT</v>
          </cell>
          <cell r="E6856" t="str">
            <v>95045</v>
          </cell>
        </row>
        <row r="6857">
          <cell r="A6857" t="str">
            <v>MOTTA SANT'ANASTASIA</v>
          </cell>
          <cell r="B6857" t="str">
            <v>087030</v>
          </cell>
          <cell r="C6857" t="str">
            <v>CT</v>
          </cell>
          <cell r="D6857" t="str">
            <v>CT</v>
          </cell>
          <cell r="E6857" t="str">
            <v>95040</v>
          </cell>
        </row>
        <row r="6858">
          <cell r="A6858" t="str">
            <v>NICOLOSI</v>
          </cell>
          <cell r="B6858" t="str">
            <v>087031</v>
          </cell>
          <cell r="C6858" t="str">
            <v>CT</v>
          </cell>
          <cell r="D6858" t="str">
            <v>CT</v>
          </cell>
          <cell r="E6858" t="str">
            <v>95030</v>
          </cell>
        </row>
        <row r="6859">
          <cell r="A6859" t="str">
            <v>PALAGONIA</v>
          </cell>
          <cell r="B6859" t="str">
            <v>087032</v>
          </cell>
          <cell r="C6859" t="str">
            <v>CT</v>
          </cell>
          <cell r="D6859" t="str">
            <v>CT</v>
          </cell>
          <cell r="E6859" t="str">
            <v>95046</v>
          </cell>
        </row>
        <row r="6860">
          <cell r="A6860" t="str">
            <v>PATERNÒ</v>
          </cell>
          <cell r="B6860" t="str">
            <v>087033</v>
          </cell>
          <cell r="C6860" t="str">
            <v>CT</v>
          </cell>
          <cell r="D6860" t="str">
            <v>CT</v>
          </cell>
          <cell r="E6860" t="str">
            <v>95047</v>
          </cell>
        </row>
        <row r="6861">
          <cell r="A6861" t="str">
            <v>PEDARA</v>
          </cell>
          <cell r="B6861" t="str">
            <v>087034</v>
          </cell>
          <cell r="C6861" t="str">
            <v>CT</v>
          </cell>
          <cell r="D6861" t="str">
            <v>CT</v>
          </cell>
          <cell r="E6861" t="str">
            <v>95030</v>
          </cell>
        </row>
        <row r="6862">
          <cell r="A6862" t="str">
            <v>PIEDIMONTE ETNEO</v>
          </cell>
          <cell r="B6862" t="str">
            <v>087035</v>
          </cell>
          <cell r="C6862" t="str">
            <v>CT</v>
          </cell>
          <cell r="D6862" t="str">
            <v>CT</v>
          </cell>
          <cell r="E6862" t="str">
            <v>95017</v>
          </cell>
        </row>
        <row r="6863">
          <cell r="A6863" t="str">
            <v>RADDUSA</v>
          </cell>
          <cell r="B6863" t="str">
            <v>087036</v>
          </cell>
          <cell r="C6863" t="str">
            <v>CT</v>
          </cell>
          <cell r="D6863" t="str">
            <v>CT</v>
          </cell>
          <cell r="E6863" t="str">
            <v>95040</v>
          </cell>
        </row>
        <row r="6864">
          <cell r="A6864" t="str">
            <v>RAMACCA</v>
          </cell>
          <cell r="B6864" t="str">
            <v>087037</v>
          </cell>
          <cell r="C6864" t="str">
            <v>CT</v>
          </cell>
          <cell r="D6864" t="str">
            <v>CT</v>
          </cell>
          <cell r="E6864" t="str">
            <v>95040</v>
          </cell>
        </row>
        <row r="6865">
          <cell r="A6865" t="str">
            <v>RANDAZZO</v>
          </cell>
          <cell r="B6865" t="str">
            <v>087038</v>
          </cell>
          <cell r="C6865" t="str">
            <v>CT</v>
          </cell>
          <cell r="D6865" t="str">
            <v>CT</v>
          </cell>
          <cell r="E6865" t="str">
            <v>95036</v>
          </cell>
        </row>
        <row r="6866">
          <cell r="A6866" t="str">
            <v>RIPOSTO</v>
          </cell>
          <cell r="B6866" t="str">
            <v>087039</v>
          </cell>
          <cell r="C6866" t="str">
            <v>CT</v>
          </cell>
          <cell r="D6866" t="str">
            <v>CT</v>
          </cell>
          <cell r="E6866" t="str">
            <v>95018</v>
          </cell>
        </row>
        <row r="6867">
          <cell r="A6867" t="str">
            <v>SAN CONO</v>
          </cell>
          <cell r="B6867" t="str">
            <v>087040</v>
          </cell>
          <cell r="C6867" t="str">
            <v>CT</v>
          </cell>
          <cell r="D6867" t="str">
            <v>CT</v>
          </cell>
          <cell r="E6867" t="str">
            <v>95040</v>
          </cell>
        </row>
        <row r="6868">
          <cell r="A6868" t="str">
            <v>SAN GIOVANNI LA PUNTA</v>
          </cell>
          <cell r="B6868" t="str">
            <v>087041</v>
          </cell>
          <cell r="C6868" t="str">
            <v>CT</v>
          </cell>
          <cell r="D6868" t="str">
            <v>CT</v>
          </cell>
          <cell r="E6868" t="str">
            <v>95037</v>
          </cell>
        </row>
        <row r="6869">
          <cell r="A6869" t="str">
            <v>SAN GREGORIO DI CATANIA</v>
          </cell>
          <cell r="B6869" t="str">
            <v>087042</v>
          </cell>
          <cell r="C6869" t="str">
            <v>CT</v>
          </cell>
          <cell r="D6869" t="str">
            <v>CT</v>
          </cell>
          <cell r="E6869" t="str">
            <v>95027</v>
          </cell>
        </row>
        <row r="6870">
          <cell r="A6870" t="str">
            <v>SAN MICHELE DI GANZARIA</v>
          </cell>
          <cell r="B6870" t="str">
            <v>087043</v>
          </cell>
          <cell r="C6870" t="str">
            <v>CT</v>
          </cell>
          <cell r="D6870" t="str">
            <v>CT</v>
          </cell>
          <cell r="E6870" t="str">
            <v>95040</v>
          </cell>
        </row>
        <row r="6871">
          <cell r="A6871" t="str">
            <v>SAN PIETRO CLARENZA</v>
          </cell>
          <cell r="B6871" t="str">
            <v>087044</v>
          </cell>
          <cell r="C6871" t="str">
            <v>CT</v>
          </cell>
          <cell r="D6871" t="str">
            <v>CT</v>
          </cell>
          <cell r="E6871" t="str">
            <v>95030</v>
          </cell>
        </row>
        <row r="6872">
          <cell r="A6872" t="str">
            <v>SANT'AGATA LI BATTIATI</v>
          </cell>
          <cell r="B6872" t="str">
            <v>087045</v>
          </cell>
          <cell r="C6872" t="str">
            <v>CT</v>
          </cell>
          <cell r="D6872" t="str">
            <v>CT</v>
          </cell>
          <cell r="E6872" t="str">
            <v>95030</v>
          </cell>
        </row>
        <row r="6873">
          <cell r="A6873" t="str">
            <v>SANT'ALFIO</v>
          </cell>
          <cell r="B6873" t="str">
            <v>087046</v>
          </cell>
          <cell r="C6873" t="str">
            <v>CT</v>
          </cell>
          <cell r="D6873" t="str">
            <v>CT</v>
          </cell>
          <cell r="E6873" t="str">
            <v>95010</v>
          </cell>
        </row>
        <row r="6874">
          <cell r="A6874" t="str">
            <v>SANTA MARIA DI LICODIA</v>
          </cell>
          <cell r="B6874" t="str">
            <v>087047</v>
          </cell>
          <cell r="C6874" t="str">
            <v>CT</v>
          </cell>
          <cell r="D6874" t="str">
            <v>CT</v>
          </cell>
          <cell r="E6874" t="str">
            <v>95038</v>
          </cell>
        </row>
        <row r="6875">
          <cell r="A6875" t="str">
            <v>SANTA VENERINA</v>
          </cell>
          <cell r="B6875" t="str">
            <v>087048</v>
          </cell>
          <cell r="C6875" t="str">
            <v>CT</v>
          </cell>
          <cell r="D6875" t="str">
            <v>CT</v>
          </cell>
          <cell r="E6875" t="str">
            <v>95010</v>
          </cell>
        </row>
        <row r="6876">
          <cell r="A6876" t="str">
            <v>SCORDIA</v>
          </cell>
          <cell r="B6876" t="str">
            <v>087049</v>
          </cell>
          <cell r="C6876" t="str">
            <v>CT</v>
          </cell>
          <cell r="D6876" t="str">
            <v>CT</v>
          </cell>
          <cell r="E6876" t="str">
            <v>95048</v>
          </cell>
        </row>
        <row r="6877">
          <cell r="A6877" t="str">
            <v>TRECASTAGNI</v>
          </cell>
          <cell r="B6877" t="str">
            <v>087050</v>
          </cell>
          <cell r="C6877" t="str">
            <v>CT</v>
          </cell>
          <cell r="D6877" t="str">
            <v>CT</v>
          </cell>
          <cell r="E6877" t="str">
            <v>95039</v>
          </cell>
        </row>
        <row r="6878">
          <cell r="A6878" t="str">
            <v>TREMESTIERI ETNEO</v>
          </cell>
          <cell r="B6878" t="str">
            <v>087051</v>
          </cell>
          <cell r="C6878" t="str">
            <v>CT</v>
          </cell>
          <cell r="D6878" t="str">
            <v>CT</v>
          </cell>
          <cell r="E6878" t="str">
            <v>95030</v>
          </cell>
        </row>
        <row r="6879">
          <cell r="A6879" t="str">
            <v>VALVERDE</v>
          </cell>
          <cell r="B6879" t="str">
            <v>087052</v>
          </cell>
          <cell r="C6879" t="str">
            <v>CT</v>
          </cell>
          <cell r="D6879" t="str">
            <v>PV</v>
          </cell>
          <cell r="E6879" t="str">
            <v>27050</v>
          </cell>
        </row>
        <row r="6880">
          <cell r="A6880" t="str">
            <v>VIAGRANDE</v>
          </cell>
          <cell r="B6880" t="str">
            <v>087053</v>
          </cell>
          <cell r="C6880" t="str">
            <v>CT</v>
          </cell>
          <cell r="D6880" t="str">
            <v>CT</v>
          </cell>
          <cell r="E6880" t="str">
            <v>95029</v>
          </cell>
        </row>
        <row r="6881">
          <cell r="A6881" t="str">
            <v>VIZZINI</v>
          </cell>
          <cell r="B6881" t="str">
            <v>087054</v>
          </cell>
          <cell r="C6881" t="str">
            <v>CT</v>
          </cell>
          <cell r="D6881" t="str">
            <v>CT</v>
          </cell>
          <cell r="E6881" t="str">
            <v>95049</v>
          </cell>
        </row>
        <row r="6882">
          <cell r="A6882" t="str">
            <v>ZAFFERANA ETNEA</v>
          </cell>
          <cell r="B6882" t="str">
            <v>087055</v>
          </cell>
          <cell r="C6882" t="str">
            <v>CT</v>
          </cell>
          <cell r="D6882" t="str">
            <v>CT</v>
          </cell>
          <cell r="E6882" t="str">
            <v>95019</v>
          </cell>
        </row>
        <row r="6883">
          <cell r="A6883" t="str">
            <v>MAZZARRONE</v>
          </cell>
          <cell r="B6883" t="str">
            <v>087056</v>
          </cell>
          <cell r="C6883" t="str">
            <v>CT</v>
          </cell>
          <cell r="D6883" t="str">
            <v>CT</v>
          </cell>
          <cell r="E6883" t="str">
            <v>95040</v>
          </cell>
        </row>
        <row r="6884">
          <cell r="A6884" t="str">
            <v>MANIACE</v>
          </cell>
          <cell r="B6884" t="str">
            <v>087057</v>
          </cell>
          <cell r="C6884" t="str">
            <v>CT</v>
          </cell>
          <cell r="D6884" t="str">
            <v>CT</v>
          </cell>
          <cell r="E6884" t="str">
            <v>95030</v>
          </cell>
        </row>
        <row r="6885">
          <cell r="A6885" t="str">
            <v>RAGALNA</v>
          </cell>
          <cell r="B6885" t="str">
            <v>087058</v>
          </cell>
          <cell r="C6885" t="str">
            <v>CT</v>
          </cell>
          <cell r="D6885" t="str">
            <v>CT</v>
          </cell>
          <cell r="E6885" t="str">
            <v>95030</v>
          </cell>
        </row>
        <row r="6886">
          <cell r="A6886" t="str">
            <v>ACATE</v>
          </cell>
          <cell r="B6886" t="str">
            <v>088001</v>
          </cell>
          <cell r="C6886" t="str">
            <v>RG</v>
          </cell>
          <cell r="D6886" t="str">
            <v>RG</v>
          </cell>
          <cell r="E6886" t="str">
            <v>97011</v>
          </cell>
        </row>
        <row r="6887">
          <cell r="A6887" t="str">
            <v>CHIARAMONTE GULFI</v>
          </cell>
          <cell r="B6887" t="str">
            <v>088002</v>
          </cell>
          <cell r="C6887" t="str">
            <v>RG</v>
          </cell>
          <cell r="D6887" t="str">
            <v>RG</v>
          </cell>
          <cell r="E6887" t="str">
            <v>97012</v>
          </cell>
        </row>
        <row r="6888">
          <cell r="A6888" t="str">
            <v>COMISO</v>
          </cell>
          <cell r="B6888" t="str">
            <v>088003</v>
          </cell>
          <cell r="C6888" t="str">
            <v>RG</v>
          </cell>
          <cell r="D6888" t="str">
            <v>RG</v>
          </cell>
          <cell r="E6888" t="str">
            <v>97013</v>
          </cell>
        </row>
        <row r="6889">
          <cell r="A6889" t="str">
            <v>GIARRATANA</v>
          </cell>
          <cell r="B6889" t="str">
            <v>088004</v>
          </cell>
          <cell r="C6889" t="str">
            <v>RG</v>
          </cell>
          <cell r="D6889" t="str">
            <v>RG</v>
          </cell>
          <cell r="E6889" t="str">
            <v>97010</v>
          </cell>
        </row>
        <row r="6890">
          <cell r="A6890" t="str">
            <v>ISPICA</v>
          </cell>
          <cell r="B6890" t="str">
            <v>088005</v>
          </cell>
          <cell r="C6890" t="str">
            <v>RG</v>
          </cell>
          <cell r="D6890" t="str">
            <v>RG</v>
          </cell>
          <cell r="E6890" t="str">
            <v>97014</v>
          </cell>
        </row>
        <row r="6891">
          <cell r="A6891" t="str">
            <v>MODICA</v>
          </cell>
          <cell r="B6891" t="str">
            <v>088006</v>
          </cell>
          <cell r="C6891" t="str">
            <v>RG</v>
          </cell>
          <cell r="D6891" t="str">
            <v>RG</v>
          </cell>
          <cell r="E6891" t="str">
            <v>97015</v>
          </cell>
        </row>
        <row r="6892">
          <cell r="A6892" t="str">
            <v>MONTEROSSO ALMO</v>
          </cell>
          <cell r="B6892" t="str">
            <v>088007</v>
          </cell>
          <cell r="C6892" t="str">
            <v>RG</v>
          </cell>
          <cell r="D6892" t="str">
            <v>RG</v>
          </cell>
          <cell r="E6892" t="str">
            <v>97010</v>
          </cell>
        </row>
        <row r="6893">
          <cell r="A6893" t="str">
            <v>POZZALLO</v>
          </cell>
          <cell r="B6893" t="str">
            <v>088008</v>
          </cell>
          <cell r="C6893" t="str">
            <v>RG</v>
          </cell>
          <cell r="D6893" t="str">
            <v>RG</v>
          </cell>
          <cell r="E6893" t="str">
            <v>97016</v>
          </cell>
        </row>
        <row r="6894">
          <cell r="A6894" t="str">
            <v>RAGUSA</v>
          </cell>
          <cell r="B6894" t="str">
            <v>088009</v>
          </cell>
          <cell r="C6894" t="str">
            <v>RG</v>
          </cell>
          <cell r="D6894" t="str">
            <v>RG</v>
          </cell>
          <cell r="E6894" t="str">
            <v>97100</v>
          </cell>
        </row>
        <row r="6895">
          <cell r="A6895" t="str">
            <v>SANTA CROCE CAMERINA</v>
          </cell>
          <cell r="B6895" t="str">
            <v>088010</v>
          </cell>
          <cell r="C6895" t="str">
            <v>RG</v>
          </cell>
          <cell r="D6895" t="str">
            <v>RG</v>
          </cell>
          <cell r="E6895" t="str">
            <v>97017</v>
          </cell>
        </row>
        <row r="6896">
          <cell r="A6896" t="str">
            <v>SCICLI</v>
          </cell>
          <cell r="B6896" t="str">
            <v>088011</v>
          </cell>
          <cell r="C6896" t="str">
            <v>RG</v>
          </cell>
          <cell r="D6896" t="str">
            <v>RG</v>
          </cell>
          <cell r="E6896" t="str">
            <v>97018</v>
          </cell>
        </row>
        <row r="6897">
          <cell r="A6897" t="str">
            <v>VITTORIA</v>
          </cell>
          <cell r="B6897" t="str">
            <v>088012</v>
          </cell>
          <cell r="C6897" t="str">
            <v>RG</v>
          </cell>
          <cell r="D6897" t="str">
            <v>RG</v>
          </cell>
          <cell r="E6897" t="str">
            <v>97019</v>
          </cell>
        </row>
        <row r="6898">
          <cell r="A6898" t="str">
            <v>AUGUSTA</v>
          </cell>
          <cell r="B6898" t="str">
            <v>089001</v>
          </cell>
          <cell r="C6898" t="str">
            <v>SR</v>
          </cell>
          <cell r="D6898" t="str">
            <v>SR</v>
          </cell>
          <cell r="E6898" t="str">
            <v>96011</v>
          </cell>
        </row>
        <row r="6899">
          <cell r="A6899" t="str">
            <v>AVOLA</v>
          </cell>
          <cell r="B6899" t="str">
            <v>089002</v>
          </cell>
          <cell r="C6899" t="str">
            <v>SR</v>
          </cell>
          <cell r="D6899" t="str">
            <v>SR</v>
          </cell>
          <cell r="E6899" t="str">
            <v>96012</v>
          </cell>
        </row>
        <row r="6900">
          <cell r="A6900" t="str">
            <v>BUCCHERI</v>
          </cell>
          <cell r="B6900" t="str">
            <v>089003</v>
          </cell>
          <cell r="C6900" t="str">
            <v>SR</v>
          </cell>
          <cell r="D6900" t="str">
            <v>SR</v>
          </cell>
          <cell r="E6900" t="str">
            <v>96010</v>
          </cell>
        </row>
        <row r="6901">
          <cell r="A6901" t="str">
            <v>BUSCEMI</v>
          </cell>
          <cell r="B6901" t="str">
            <v>089004</v>
          </cell>
          <cell r="C6901" t="str">
            <v>SR</v>
          </cell>
          <cell r="D6901" t="str">
            <v>SR</v>
          </cell>
          <cell r="E6901" t="str">
            <v>96010</v>
          </cell>
        </row>
        <row r="6902">
          <cell r="A6902" t="str">
            <v>CANICATTINI BAGNI</v>
          </cell>
          <cell r="B6902" t="str">
            <v>089005</v>
          </cell>
          <cell r="C6902" t="str">
            <v>SR</v>
          </cell>
          <cell r="D6902" t="str">
            <v>SR</v>
          </cell>
          <cell r="E6902" t="str">
            <v>96010</v>
          </cell>
        </row>
        <row r="6903">
          <cell r="A6903" t="str">
            <v>CARLENTINI</v>
          </cell>
          <cell r="B6903" t="str">
            <v>089006</v>
          </cell>
          <cell r="C6903" t="str">
            <v>SR</v>
          </cell>
          <cell r="D6903" t="str">
            <v>SR</v>
          </cell>
          <cell r="E6903" t="str">
            <v>96013</v>
          </cell>
        </row>
        <row r="6904">
          <cell r="A6904" t="str">
            <v>CASSARO</v>
          </cell>
          <cell r="B6904" t="str">
            <v>089007</v>
          </cell>
          <cell r="C6904" t="str">
            <v>SR</v>
          </cell>
          <cell r="D6904" t="str">
            <v>SR</v>
          </cell>
          <cell r="E6904" t="str">
            <v>96010</v>
          </cell>
        </row>
        <row r="6905">
          <cell r="A6905" t="str">
            <v>FERLA</v>
          </cell>
          <cell r="B6905" t="str">
            <v>089008</v>
          </cell>
          <cell r="C6905" t="str">
            <v>SR</v>
          </cell>
          <cell r="D6905" t="str">
            <v>SR</v>
          </cell>
          <cell r="E6905" t="str">
            <v>96010</v>
          </cell>
        </row>
        <row r="6906">
          <cell r="A6906" t="str">
            <v>FLORIDIA</v>
          </cell>
          <cell r="B6906" t="str">
            <v>089009</v>
          </cell>
          <cell r="C6906" t="str">
            <v>SR</v>
          </cell>
          <cell r="D6906" t="str">
            <v>SR</v>
          </cell>
          <cell r="E6906" t="str">
            <v>96014</v>
          </cell>
        </row>
        <row r="6907">
          <cell r="A6907" t="str">
            <v>FRANCOFONTE</v>
          </cell>
          <cell r="B6907" t="str">
            <v>089010</v>
          </cell>
          <cell r="C6907" t="str">
            <v>SR</v>
          </cell>
          <cell r="D6907" t="str">
            <v>SR</v>
          </cell>
          <cell r="E6907" t="str">
            <v>96015</v>
          </cell>
        </row>
        <row r="6908">
          <cell r="A6908" t="str">
            <v>LENTINI</v>
          </cell>
          <cell r="B6908" t="str">
            <v>089011</v>
          </cell>
          <cell r="C6908" t="str">
            <v>SR</v>
          </cell>
          <cell r="D6908" t="str">
            <v>SR</v>
          </cell>
          <cell r="E6908" t="str">
            <v>96016</v>
          </cell>
        </row>
        <row r="6909">
          <cell r="A6909" t="str">
            <v>MELILLI</v>
          </cell>
          <cell r="B6909" t="str">
            <v>089012</v>
          </cell>
          <cell r="C6909" t="str">
            <v>SR</v>
          </cell>
          <cell r="D6909" t="str">
            <v>SR</v>
          </cell>
          <cell r="E6909" t="str">
            <v>96010</v>
          </cell>
        </row>
        <row r="6910">
          <cell r="A6910" t="str">
            <v>NOTO</v>
          </cell>
          <cell r="B6910" t="str">
            <v>089013</v>
          </cell>
          <cell r="C6910" t="str">
            <v>SR</v>
          </cell>
          <cell r="D6910" t="str">
            <v>SR</v>
          </cell>
          <cell r="E6910" t="str">
            <v>96017</v>
          </cell>
        </row>
        <row r="6911">
          <cell r="A6911" t="str">
            <v>PACHINO</v>
          </cell>
          <cell r="B6911" t="str">
            <v>089014</v>
          </cell>
          <cell r="C6911" t="str">
            <v>SR</v>
          </cell>
          <cell r="D6911" t="str">
            <v>SR</v>
          </cell>
          <cell r="E6911" t="str">
            <v>96018</v>
          </cell>
        </row>
        <row r="6912">
          <cell r="A6912" t="str">
            <v>PALAZZOLO ACREIDE</v>
          </cell>
          <cell r="B6912" t="str">
            <v>089015</v>
          </cell>
          <cell r="C6912" t="str">
            <v>SR</v>
          </cell>
          <cell r="D6912" t="str">
            <v>SR</v>
          </cell>
          <cell r="E6912" t="str">
            <v>96010</v>
          </cell>
        </row>
        <row r="6913">
          <cell r="A6913" t="str">
            <v>ROSOLINI</v>
          </cell>
          <cell r="B6913" t="str">
            <v>089016</v>
          </cell>
          <cell r="C6913" t="str">
            <v>SR</v>
          </cell>
          <cell r="D6913" t="str">
            <v>SR</v>
          </cell>
          <cell r="E6913" t="str">
            <v>96019</v>
          </cell>
        </row>
        <row r="6914">
          <cell r="A6914" t="str">
            <v>SIRACUSA</v>
          </cell>
          <cell r="B6914" t="str">
            <v>089017</v>
          </cell>
          <cell r="C6914" t="str">
            <v>SR</v>
          </cell>
          <cell r="D6914" t="str">
            <v>SR</v>
          </cell>
          <cell r="E6914" t="str">
            <v>96100</v>
          </cell>
        </row>
        <row r="6915">
          <cell r="A6915" t="str">
            <v>SOLARINO</v>
          </cell>
          <cell r="B6915" t="str">
            <v>089018</v>
          </cell>
          <cell r="C6915" t="str">
            <v>SR</v>
          </cell>
          <cell r="D6915" t="str">
            <v>SR</v>
          </cell>
          <cell r="E6915" t="str">
            <v>96010</v>
          </cell>
        </row>
        <row r="6916">
          <cell r="A6916" t="str">
            <v>SORTINO</v>
          </cell>
          <cell r="B6916" t="str">
            <v>089019</v>
          </cell>
          <cell r="C6916" t="str">
            <v>SR</v>
          </cell>
          <cell r="D6916" t="str">
            <v>SR</v>
          </cell>
          <cell r="E6916" t="str">
            <v>96010</v>
          </cell>
        </row>
        <row r="6917">
          <cell r="A6917" t="str">
            <v>PORTOPALO DI CAPO PASSERO</v>
          </cell>
          <cell r="B6917" t="str">
            <v>089020</v>
          </cell>
          <cell r="C6917" t="str">
            <v>SR</v>
          </cell>
          <cell r="D6917" t="str">
            <v>SR</v>
          </cell>
          <cell r="E6917" t="str">
            <v>96010</v>
          </cell>
        </row>
        <row r="6918">
          <cell r="A6918" t="str">
            <v>PRIOLO GARGALLO</v>
          </cell>
          <cell r="B6918" t="str">
            <v>089021</v>
          </cell>
          <cell r="C6918" t="str">
            <v>SR</v>
          </cell>
          <cell r="D6918" t="str">
            <v>SR</v>
          </cell>
          <cell r="E6918" t="str">
            <v>96010</v>
          </cell>
        </row>
        <row r="6919">
          <cell r="A6919" t="str">
            <v>AGGIUS</v>
          </cell>
          <cell r="B6919" t="str">
            <v>090001</v>
          </cell>
          <cell r="C6919" t="str">
            <v>SS</v>
          </cell>
          <cell r="D6919" t="str">
            <v>OT</v>
          </cell>
          <cell r="E6919" t="str">
            <v>07020</v>
          </cell>
        </row>
        <row r="6920">
          <cell r="A6920" t="str">
            <v>ALÀ DEI SARDI</v>
          </cell>
          <cell r="B6920" t="str">
            <v>090002</v>
          </cell>
          <cell r="C6920" t="str">
            <v>SS</v>
          </cell>
          <cell r="D6920" t="str">
            <v>OT</v>
          </cell>
          <cell r="E6920" t="str">
            <v>07020</v>
          </cell>
        </row>
        <row r="6921">
          <cell r="A6921" t="str">
            <v>ALGHERO</v>
          </cell>
          <cell r="B6921" t="str">
            <v>090003</v>
          </cell>
          <cell r="C6921" t="str">
            <v>SS</v>
          </cell>
          <cell r="D6921" t="str">
            <v>SS</v>
          </cell>
          <cell r="E6921" t="str">
            <v>07041</v>
          </cell>
        </row>
        <row r="6922">
          <cell r="A6922" t="str">
            <v>ANELA</v>
          </cell>
          <cell r="B6922" t="str">
            <v>090004</v>
          </cell>
          <cell r="C6922" t="str">
            <v>SS</v>
          </cell>
          <cell r="D6922" t="str">
            <v>SS</v>
          </cell>
          <cell r="E6922" t="str">
            <v>07010</v>
          </cell>
        </row>
        <row r="6923">
          <cell r="A6923" t="str">
            <v>ARDARA</v>
          </cell>
          <cell r="B6923" t="str">
            <v>090005</v>
          </cell>
          <cell r="C6923" t="str">
            <v>SS</v>
          </cell>
          <cell r="D6923" t="str">
            <v>SS</v>
          </cell>
          <cell r="E6923" t="str">
            <v>07010</v>
          </cell>
        </row>
        <row r="6924">
          <cell r="A6924" t="str">
            <v>ARZACHENA</v>
          </cell>
          <cell r="B6924" t="str">
            <v>090006</v>
          </cell>
          <cell r="C6924" t="str">
            <v>SS</v>
          </cell>
          <cell r="D6924" t="str">
            <v>OT</v>
          </cell>
          <cell r="E6924" t="str">
            <v>07021</v>
          </cell>
        </row>
        <row r="6925">
          <cell r="A6925" t="str">
            <v>BANARI</v>
          </cell>
          <cell r="B6925" t="str">
            <v>090007</v>
          </cell>
          <cell r="C6925" t="str">
            <v>SS</v>
          </cell>
          <cell r="D6925" t="str">
            <v>SS</v>
          </cell>
          <cell r="E6925" t="str">
            <v>07040</v>
          </cell>
        </row>
        <row r="6926">
          <cell r="A6926" t="str">
            <v>BENETUTTI</v>
          </cell>
          <cell r="B6926" t="str">
            <v>090008</v>
          </cell>
          <cell r="C6926" t="str">
            <v>SS</v>
          </cell>
          <cell r="D6926" t="str">
            <v>SS</v>
          </cell>
          <cell r="E6926" t="str">
            <v>07010</v>
          </cell>
        </row>
        <row r="6927">
          <cell r="A6927" t="str">
            <v>BERCHIDDA</v>
          </cell>
          <cell r="B6927" t="str">
            <v>090009</v>
          </cell>
          <cell r="C6927" t="str">
            <v>SS</v>
          </cell>
          <cell r="D6927" t="str">
            <v>OT</v>
          </cell>
          <cell r="E6927" t="str">
            <v>07022</v>
          </cell>
        </row>
        <row r="6928">
          <cell r="A6928" t="str">
            <v>BESSUDE</v>
          </cell>
          <cell r="B6928" t="str">
            <v>090010</v>
          </cell>
          <cell r="C6928" t="str">
            <v>SS</v>
          </cell>
          <cell r="D6928" t="str">
            <v>SS</v>
          </cell>
          <cell r="E6928" t="str">
            <v>07040</v>
          </cell>
        </row>
        <row r="6929">
          <cell r="A6929" t="str">
            <v>BONNANARO</v>
          </cell>
          <cell r="B6929" t="str">
            <v>090011</v>
          </cell>
          <cell r="C6929" t="str">
            <v>SS</v>
          </cell>
          <cell r="D6929" t="str">
            <v>SS</v>
          </cell>
          <cell r="E6929" t="str">
            <v>07043</v>
          </cell>
        </row>
        <row r="6930">
          <cell r="A6930" t="str">
            <v>BONO</v>
          </cell>
          <cell r="B6930" t="str">
            <v>090012</v>
          </cell>
          <cell r="C6930" t="str">
            <v>SS</v>
          </cell>
          <cell r="D6930" t="str">
            <v>SS</v>
          </cell>
          <cell r="E6930" t="str">
            <v>07011</v>
          </cell>
        </row>
        <row r="6931">
          <cell r="A6931" t="str">
            <v>BONORVA</v>
          </cell>
          <cell r="B6931" t="str">
            <v>090013</v>
          </cell>
          <cell r="C6931" t="str">
            <v>SS</v>
          </cell>
          <cell r="D6931" t="str">
            <v>SS</v>
          </cell>
          <cell r="E6931" t="str">
            <v>07012</v>
          </cell>
        </row>
        <row r="6932">
          <cell r="A6932" t="str">
            <v>BORTIGIADAS</v>
          </cell>
          <cell r="B6932" t="str">
            <v>090014</v>
          </cell>
          <cell r="C6932" t="str">
            <v>SS</v>
          </cell>
          <cell r="D6932" t="str">
            <v>OT</v>
          </cell>
          <cell r="E6932" t="str">
            <v>07030</v>
          </cell>
        </row>
        <row r="6933">
          <cell r="A6933" t="str">
            <v>BORUTTA</v>
          </cell>
          <cell r="B6933" t="str">
            <v>090015</v>
          </cell>
          <cell r="C6933" t="str">
            <v>SS</v>
          </cell>
          <cell r="D6933" t="str">
            <v>SS</v>
          </cell>
          <cell r="E6933" t="str">
            <v>07040</v>
          </cell>
        </row>
        <row r="6934">
          <cell r="A6934" t="str">
            <v>BOTTIDDA</v>
          </cell>
          <cell r="B6934" t="str">
            <v>090016</v>
          </cell>
          <cell r="C6934" t="str">
            <v>SS</v>
          </cell>
          <cell r="D6934" t="str">
            <v>SS</v>
          </cell>
          <cell r="E6934" t="str">
            <v>07010</v>
          </cell>
        </row>
        <row r="6935">
          <cell r="A6935" t="str">
            <v>BUDDUSÒ</v>
          </cell>
          <cell r="B6935" t="str">
            <v>090017</v>
          </cell>
          <cell r="C6935" t="str">
            <v>SS</v>
          </cell>
          <cell r="D6935" t="str">
            <v>OT</v>
          </cell>
          <cell r="E6935" t="str">
            <v>07020</v>
          </cell>
        </row>
        <row r="6936">
          <cell r="A6936" t="str">
            <v>BULTEI</v>
          </cell>
          <cell r="B6936" t="str">
            <v>090018</v>
          </cell>
          <cell r="C6936" t="str">
            <v>SS</v>
          </cell>
          <cell r="D6936" t="str">
            <v>SS</v>
          </cell>
          <cell r="E6936" t="str">
            <v>07010</v>
          </cell>
        </row>
        <row r="6937">
          <cell r="A6937" t="str">
            <v>BULZI</v>
          </cell>
          <cell r="B6937" t="str">
            <v>090019</v>
          </cell>
          <cell r="C6937" t="str">
            <v>SS</v>
          </cell>
          <cell r="D6937" t="str">
            <v>SS</v>
          </cell>
          <cell r="E6937" t="str">
            <v>07030</v>
          </cell>
        </row>
        <row r="6938">
          <cell r="A6938" t="str">
            <v>BURGOS</v>
          </cell>
          <cell r="B6938" t="str">
            <v>090020</v>
          </cell>
          <cell r="C6938" t="str">
            <v>SS</v>
          </cell>
          <cell r="D6938" t="str">
            <v>SS</v>
          </cell>
          <cell r="E6938" t="str">
            <v>07010</v>
          </cell>
        </row>
        <row r="6939">
          <cell r="A6939" t="str">
            <v>CALANGIANUS</v>
          </cell>
          <cell r="B6939" t="str">
            <v>090021</v>
          </cell>
          <cell r="C6939" t="str">
            <v>SS</v>
          </cell>
          <cell r="D6939" t="str">
            <v>OT</v>
          </cell>
          <cell r="E6939" t="str">
            <v>07023</v>
          </cell>
        </row>
        <row r="6940">
          <cell r="A6940" t="str">
            <v>CARGEGHE</v>
          </cell>
          <cell r="B6940" t="str">
            <v>090022</v>
          </cell>
          <cell r="C6940" t="str">
            <v>SS</v>
          </cell>
          <cell r="D6940" t="str">
            <v>SS</v>
          </cell>
          <cell r="E6940" t="str">
            <v>07030</v>
          </cell>
        </row>
        <row r="6941">
          <cell r="A6941" t="str">
            <v>CASTELSARDO</v>
          </cell>
          <cell r="B6941" t="str">
            <v>090023</v>
          </cell>
          <cell r="C6941" t="str">
            <v>SS</v>
          </cell>
          <cell r="D6941" t="str">
            <v>SS</v>
          </cell>
          <cell r="E6941" t="str">
            <v>07031</v>
          </cell>
        </row>
        <row r="6942">
          <cell r="A6942" t="str">
            <v>CHEREMULE</v>
          </cell>
          <cell r="B6942" t="str">
            <v>090024</v>
          </cell>
          <cell r="C6942" t="str">
            <v>SS</v>
          </cell>
          <cell r="D6942" t="str">
            <v>SS</v>
          </cell>
          <cell r="E6942" t="str">
            <v>07040</v>
          </cell>
        </row>
        <row r="6943">
          <cell r="A6943" t="str">
            <v>CHIARAMONTI</v>
          </cell>
          <cell r="B6943" t="str">
            <v>090025</v>
          </cell>
          <cell r="C6943" t="str">
            <v>SS</v>
          </cell>
          <cell r="D6943" t="str">
            <v>SS</v>
          </cell>
          <cell r="E6943" t="str">
            <v>07030</v>
          </cell>
        </row>
        <row r="6944">
          <cell r="A6944" t="str">
            <v>CODRONGIANOS</v>
          </cell>
          <cell r="B6944" t="str">
            <v>090026</v>
          </cell>
          <cell r="C6944" t="str">
            <v>SS</v>
          </cell>
          <cell r="D6944" t="str">
            <v>SS</v>
          </cell>
          <cell r="E6944" t="str">
            <v>07040</v>
          </cell>
        </row>
        <row r="6945">
          <cell r="A6945" t="str">
            <v>COSSOINE</v>
          </cell>
          <cell r="B6945" t="str">
            <v>090027</v>
          </cell>
          <cell r="C6945" t="str">
            <v>SS</v>
          </cell>
          <cell r="D6945" t="str">
            <v>SS</v>
          </cell>
          <cell r="E6945" t="str">
            <v>07010</v>
          </cell>
        </row>
        <row r="6946">
          <cell r="A6946" t="str">
            <v>ESPORLATU</v>
          </cell>
          <cell r="B6946" t="str">
            <v>090028</v>
          </cell>
          <cell r="C6946" t="str">
            <v>SS</v>
          </cell>
          <cell r="D6946" t="str">
            <v>SS</v>
          </cell>
          <cell r="E6946" t="str">
            <v>07010</v>
          </cell>
        </row>
        <row r="6947">
          <cell r="A6947" t="str">
            <v>FLORINAS</v>
          </cell>
          <cell r="B6947" t="str">
            <v>090029</v>
          </cell>
          <cell r="C6947" t="str">
            <v>SS</v>
          </cell>
          <cell r="D6947" t="str">
            <v>SS</v>
          </cell>
          <cell r="E6947" t="str">
            <v>07030</v>
          </cell>
        </row>
        <row r="6948">
          <cell r="A6948" t="str">
            <v>GIAVE</v>
          </cell>
          <cell r="B6948" t="str">
            <v>090030</v>
          </cell>
          <cell r="C6948" t="str">
            <v>SS</v>
          </cell>
          <cell r="D6948" t="str">
            <v>SS</v>
          </cell>
          <cell r="E6948" t="str">
            <v>07010</v>
          </cell>
        </row>
        <row r="6949">
          <cell r="A6949" t="str">
            <v>ILLORAI</v>
          </cell>
          <cell r="B6949" t="str">
            <v>090031</v>
          </cell>
          <cell r="C6949" t="str">
            <v>SS</v>
          </cell>
          <cell r="D6949" t="str">
            <v>SS</v>
          </cell>
          <cell r="E6949" t="str">
            <v>07010</v>
          </cell>
        </row>
        <row r="6950">
          <cell r="A6950" t="str">
            <v>ITTIREDDU</v>
          </cell>
          <cell r="B6950" t="str">
            <v>090032</v>
          </cell>
          <cell r="C6950" t="str">
            <v>SS</v>
          </cell>
          <cell r="D6950" t="str">
            <v>SS</v>
          </cell>
          <cell r="E6950" t="str">
            <v>07010</v>
          </cell>
        </row>
        <row r="6951">
          <cell r="A6951" t="str">
            <v>ITTIRI</v>
          </cell>
          <cell r="B6951" t="str">
            <v>090033</v>
          </cell>
          <cell r="C6951" t="str">
            <v>SS</v>
          </cell>
          <cell r="D6951" t="str">
            <v>SS</v>
          </cell>
          <cell r="E6951" t="str">
            <v>07044</v>
          </cell>
        </row>
        <row r="6952">
          <cell r="A6952" t="str">
            <v>LAERRU</v>
          </cell>
          <cell r="B6952" t="str">
            <v>090034</v>
          </cell>
          <cell r="C6952" t="str">
            <v>SS</v>
          </cell>
          <cell r="D6952" t="str">
            <v>SS</v>
          </cell>
          <cell r="E6952" t="str">
            <v>07030</v>
          </cell>
        </row>
        <row r="6953">
          <cell r="A6953" t="str">
            <v>LA MADDALENA</v>
          </cell>
          <cell r="B6953" t="str">
            <v>090035</v>
          </cell>
          <cell r="C6953" t="str">
            <v>SS</v>
          </cell>
          <cell r="D6953" t="str">
            <v>OT</v>
          </cell>
          <cell r="E6953" t="str">
            <v>07024</v>
          </cell>
        </row>
        <row r="6954">
          <cell r="A6954" t="str">
            <v>LUOGOSANTO</v>
          </cell>
          <cell r="B6954" t="str">
            <v>090036</v>
          </cell>
          <cell r="C6954" t="str">
            <v>SS</v>
          </cell>
          <cell r="D6954" t="str">
            <v>OT</v>
          </cell>
          <cell r="E6954" t="str">
            <v>07020</v>
          </cell>
        </row>
        <row r="6955">
          <cell r="A6955" t="str">
            <v>LURAS</v>
          </cell>
          <cell r="B6955" t="str">
            <v>090037</v>
          </cell>
          <cell r="C6955" t="str">
            <v>SS</v>
          </cell>
          <cell r="D6955" t="str">
            <v>OT</v>
          </cell>
          <cell r="E6955" t="str">
            <v>07025</v>
          </cell>
        </row>
        <row r="6956">
          <cell r="A6956" t="str">
            <v>MARA</v>
          </cell>
          <cell r="B6956" t="str">
            <v>090038</v>
          </cell>
          <cell r="C6956" t="str">
            <v>SS</v>
          </cell>
          <cell r="D6956" t="str">
            <v>SS</v>
          </cell>
          <cell r="E6956" t="str">
            <v>07010</v>
          </cell>
        </row>
        <row r="6957">
          <cell r="A6957" t="str">
            <v>MARTIS</v>
          </cell>
          <cell r="B6957" t="str">
            <v>090039</v>
          </cell>
          <cell r="C6957" t="str">
            <v>SS</v>
          </cell>
          <cell r="D6957" t="str">
            <v>SS</v>
          </cell>
          <cell r="E6957" t="str">
            <v>07030</v>
          </cell>
        </row>
        <row r="6958">
          <cell r="A6958" t="str">
            <v>MONTELEONE ROCCA DORIA</v>
          </cell>
          <cell r="B6958" t="str">
            <v>090040</v>
          </cell>
          <cell r="C6958" t="str">
            <v>SS</v>
          </cell>
          <cell r="D6958" t="str">
            <v>SS</v>
          </cell>
          <cell r="E6958" t="str">
            <v>07010</v>
          </cell>
        </row>
        <row r="6959">
          <cell r="A6959" t="str">
            <v>MONTI</v>
          </cell>
          <cell r="B6959" t="str">
            <v>090041</v>
          </cell>
          <cell r="C6959" t="str">
            <v>SS</v>
          </cell>
          <cell r="D6959" t="str">
            <v>OT</v>
          </cell>
          <cell r="E6959" t="str">
            <v>07020</v>
          </cell>
        </row>
        <row r="6960">
          <cell r="A6960" t="str">
            <v>MORES</v>
          </cell>
          <cell r="B6960" t="str">
            <v>090042</v>
          </cell>
          <cell r="C6960" t="str">
            <v>SS</v>
          </cell>
          <cell r="D6960" t="str">
            <v>SS</v>
          </cell>
          <cell r="E6960" t="str">
            <v>07013</v>
          </cell>
        </row>
        <row r="6961">
          <cell r="A6961" t="str">
            <v>MUROS</v>
          </cell>
          <cell r="B6961" t="str">
            <v>090043</v>
          </cell>
          <cell r="C6961" t="str">
            <v>SS</v>
          </cell>
          <cell r="D6961" t="str">
            <v>SS</v>
          </cell>
          <cell r="E6961" t="str">
            <v>07030</v>
          </cell>
        </row>
        <row r="6962">
          <cell r="A6962" t="str">
            <v>NUGHEDU SAN NICOLÒ</v>
          </cell>
          <cell r="B6962" t="str">
            <v>090044</v>
          </cell>
          <cell r="C6962" t="str">
            <v>SS</v>
          </cell>
          <cell r="D6962" t="str">
            <v>SS</v>
          </cell>
          <cell r="E6962" t="str">
            <v>07010</v>
          </cell>
        </row>
        <row r="6963">
          <cell r="A6963" t="str">
            <v>NULE</v>
          </cell>
          <cell r="B6963" t="str">
            <v>090045</v>
          </cell>
          <cell r="C6963" t="str">
            <v>SS</v>
          </cell>
          <cell r="D6963" t="str">
            <v>SS</v>
          </cell>
          <cell r="E6963" t="str">
            <v>07010</v>
          </cell>
        </row>
        <row r="6964">
          <cell r="A6964" t="str">
            <v>NULVI</v>
          </cell>
          <cell r="B6964" t="str">
            <v>090046</v>
          </cell>
          <cell r="C6964" t="str">
            <v>SS</v>
          </cell>
          <cell r="D6964" t="str">
            <v>SS</v>
          </cell>
          <cell r="E6964" t="str">
            <v>07032</v>
          </cell>
        </row>
        <row r="6965">
          <cell r="A6965" t="str">
            <v>OLBIA</v>
          </cell>
          <cell r="B6965" t="str">
            <v>090047</v>
          </cell>
          <cell r="C6965" t="str">
            <v>SS</v>
          </cell>
          <cell r="D6965" t="str">
            <v>OT</v>
          </cell>
          <cell r="E6965" t="str">
            <v>07026</v>
          </cell>
        </row>
        <row r="6966">
          <cell r="A6966" t="str">
            <v>OLMEDO</v>
          </cell>
          <cell r="B6966" t="str">
            <v>090048</v>
          </cell>
          <cell r="C6966" t="str">
            <v>SS</v>
          </cell>
          <cell r="D6966" t="str">
            <v>SS</v>
          </cell>
          <cell r="E6966" t="str">
            <v>07040</v>
          </cell>
        </row>
        <row r="6967">
          <cell r="A6967" t="str">
            <v>OSCHIRI</v>
          </cell>
          <cell r="B6967" t="str">
            <v>090049</v>
          </cell>
          <cell r="C6967" t="str">
            <v>SS</v>
          </cell>
          <cell r="D6967" t="str">
            <v>OT</v>
          </cell>
          <cell r="E6967" t="str">
            <v>07027</v>
          </cell>
        </row>
        <row r="6968">
          <cell r="A6968" t="str">
            <v>OSILO</v>
          </cell>
          <cell r="B6968" t="str">
            <v>090050</v>
          </cell>
          <cell r="C6968" t="str">
            <v>SS</v>
          </cell>
          <cell r="D6968" t="str">
            <v>SS</v>
          </cell>
          <cell r="E6968" t="str">
            <v>07033</v>
          </cell>
        </row>
        <row r="6969">
          <cell r="A6969" t="str">
            <v>OSSI</v>
          </cell>
          <cell r="B6969" t="str">
            <v>090051</v>
          </cell>
          <cell r="C6969" t="str">
            <v>SS</v>
          </cell>
          <cell r="D6969" t="str">
            <v>SS</v>
          </cell>
          <cell r="E6969" t="str">
            <v>07045</v>
          </cell>
        </row>
        <row r="6970">
          <cell r="A6970" t="str">
            <v>OZIERI</v>
          </cell>
          <cell r="B6970" t="str">
            <v>090052</v>
          </cell>
          <cell r="C6970" t="str">
            <v>SS</v>
          </cell>
          <cell r="D6970" t="str">
            <v>SS</v>
          </cell>
          <cell r="E6970" t="str">
            <v>07014</v>
          </cell>
        </row>
        <row r="6971">
          <cell r="A6971" t="str">
            <v>PADRIA</v>
          </cell>
          <cell r="B6971" t="str">
            <v>090053</v>
          </cell>
          <cell r="C6971" t="str">
            <v>SS</v>
          </cell>
          <cell r="D6971" t="str">
            <v>SS</v>
          </cell>
          <cell r="E6971" t="str">
            <v>07015</v>
          </cell>
        </row>
        <row r="6972">
          <cell r="A6972" t="str">
            <v>PALAU</v>
          </cell>
          <cell r="B6972" t="str">
            <v>090054</v>
          </cell>
          <cell r="C6972" t="str">
            <v>SS</v>
          </cell>
          <cell r="D6972" t="str">
            <v>OT</v>
          </cell>
          <cell r="E6972" t="str">
            <v>07020</v>
          </cell>
        </row>
        <row r="6973">
          <cell r="A6973" t="str">
            <v>PATTADA</v>
          </cell>
          <cell r="B6973" t="str">
            <v>090055</v>
          </cell>
          <cell r="C6973" t="str">
            <v>SS</v>
          </cell>
          <cell r="D6973" t="str">
            <v>SS</v>
          </cell>
          <cell r="E6973" t="str">
            <v>07016</v>
          </cell>
        </row>
        <row r="6974">
          <cell r="A6974" t="str">
            <v>PERFUGAS</v>
          </cell>
          <cell r="B6974" t="str">
            <v>090056</v>
          </cell>
          <cell r="C6974" t="str">
            <v>SS</v>
          </cell>
          <cell r="D6974" t="str">
            <v>SS</v>
          </cell>
          <cell r="E6974" t="str">
            <v>07034</v>
          </cell>
        </row>
        <row r="6975">
          <cell r="A6975" t="str">
            <v>PLOAGHE</v>
          </cell>
          <cell r="B6975" t="str">
            <v>090057</v>
          </cell>
          <cell r="C6975" t="str">
            <v>SS</v>
          </cell>
          <cell r="D6975" t="str">
            <v>SS</v>
          </cell>
          <cell r="E6975" t="str">
            <v>07017</v>
          </cell>
        </row>
        <row r="6976">
          <cell r="A6976" t="str">
            <v>PORTO TORRES</v>
          </cell>
          <cell r="B6976" t="str">
            <v>090058</v>
          </cell>
          <cell r="C6976" t="str">
            <v>SS</v>
          </cell>
          <cell r="D6976" t="str">
            <v>SS</v>
          </cell>
          <cell r="E6976" t="str">
            <v>07046</v>
          </cell>
        </row>
        <row r="6977">
          <cell r="A6977" t="str">
            <v>POZZOMAGGIORE</v>
          </cell>
          <cell r="B6977" t="str">
            <v>090059</v>
          </cell>
          <cell r="C6977" t="str">
            <v>SS</v>
          </cell>
          <cell r="D6977" t="str">
            <v>SS</v>
          </cell>
          <cell r="E6977" t="str">
            <v>07018</v>
          </cell>
        </row>
        <row r="6978">
          <cell r="A6978" t="str">
            <v>PUTIFIGARI</v>
          </cell>
          <cell r="B6978" t="str">
            <v>090060</v>
          </cell>
          <cell r="C6978" t="str">
            <v>SS</v>
          </cell>
          <cell r="D6978" t="str">
            <v>SS</v>
          </cell>
          <cell r="E6978" t="str">
            <v>07040</v>
          </cell>
        </row>
        <row r="6979">
          <cell r="A6979" t="str">
            <v>ROMANA</v>
          </cell>
          <cell r="B6979" t="str">
            <v>090061</v>
          </cell>
          <cell r="C6979" t="str">
            <v>SS</v>
          </cell>
          <cell r="D6979" t="str">
            <v>SS</v>
          </cell>
          <cell r="E6979" t="str">
            <v>07010</v>
          </cell>
        </row>
        <row r="6980">
          <cell r="A6980" t="str">
            <v>AGLIENTU</v>
          </cell>
          <cell r="B6980" t="str">
            <v>090062</v>
          </cell>
          <cell r="C6980" t="str">
            <v>SS</v>
          </cell>
          <cell r="D6980" t="str">
            <v>OT</v>
          </cell>
          <cell r="E6980" t="str">
            <v>07020</v>
          </cell>
        </row>
        <row r="6981">
          <cell r="A6981" t="str">
            <v>SANTA TERESA GALLURA</v>
          </cell>
          <cell r="B6981" t="str">
            <v>090063</v>
          </cell>
          <cell r="C6981" t="str">
            <v>SS</v>
          </cell>
          <cell r="D6981" t="str">
            <v>OT</v>
          </cell>
          <cell r="E6981" t="str">
            <v>07028</v>
          </cell>
        </row>
        <row r="6982">
          <cell r="A6982" t="str">
            <v>SASSARI</v>
          </cell>
          <cell r="B6982" t="str">
            <v>090064</v>
          </cell>
          <cell r="C6982" t="str">
            <v>SS</v>
          </cell>
          <cell r="D6982" t="str">
            <v>SS</v>
          </cell>
          <cell r="E6982" t="str">
            <v>07100</v>
          </cell>
        </row>
        <row r="6983">
          <cell r="A6983" t="str">
            <v>SEDINI</v>
          </cell>
          <cell r="B6983" t="str">
            <v>090065</v>
          </cell>
          <cell r="C6983" t="str">
            <v>SS</v>
          </cell>
          <cell r="D6983" t="str">
            <v>SS</v>
          </cell>
          <cell r="E6983" t="str">
            <v>07035</v>
          </cell>
        </row>
        <row r="6984">
          <cell r="A6984" t="str">
            <v>SEMESTENE</v>
          </cell>
          <cell r="B6984" t="str">
            <v>090066</v>
          </cell>
          <cell r="C6984" t="str">
            <v>SS</v>
          </cell>
          <cell r="D6984" t="str">
            <v>SS</v>
          </cell>
          <cell r="E6984" t="str">
            <v>07010</v>
          </cell>
        </row>
        <row r="6985">
          <cell r="A6985" t="str">
            <v>SENNORI</v>
          </cell>
          <cell r="B6985" t="str">
            <v>090067</v>
          </cell>
          <cell r="C6985" t="str">
            <v>SS</v>
          </cell>
          <cell r="D6985" t="str">
            <v>SS</v>
          </cell>
          <cell r="E6985" t="str">
            <v>07036</v>
          </cell>
        </row>
        <row r="6986">
          <cell r="A6986" t="str">
            <v>SILIGO</v>
          </cell>
          <cell r="B6986" t="str">
            <v>090068</v>
          </cell>
          <cell r="C6986" t="str">
            <v>SS</v>
          </cell>
          <cell r="D6986" t="str">
            <v>SS</v>
          </cell>
          <cell r="E6986" t="str">
            <v>07040</v>
          </cell>
        </row>
        <row r="6987">
          <cell r="A6987" t="str">
            <v>SORSO</v>
          </cell>
          <cell r="B6987" t="str">
            <v>090069</v>
          </cell>
          <cell r="C6987" t="str">
            <v>SS</v>
          </cell>
          <cell r="D6987" t="str">
            <v>SS</v>
          </cell>
          <cell r="E6987" t="str">
            <v>07037</v>
          </cell>
        </row>
        <row r="6988">
          <cell r="A6988" t="str">
            <v>TEMPIO PAUSANIA</v>
          </cell>
          <cell r="B6988" t="str">
            <v>090070</v>
          </cell>
          <cell r="C6988" t="str">
            <v>SS</v>
          </cell>
          <cell r="D6988" t="str">
            <v>OT</v>
          </cell>
          <cell r="E6988" t="str">
            <v>07029</v>
          </cell>
        </row>
        <row r="6989">
          <cell r="A6989" t="str">
            <v>THIESI</v>
          </cell>
          <cell r="B6989" t="str">
            <v>090071</v>
          </cell>
          <cell r="C6989" t="str">
            <v>SS</v>
          </cell>
          <cell r="D6989" t="str">
            <v>SS</v>
          </cell>
          <cell r="E6989" t="str">
            <v>07047</v>
          </cell>
        </row>
        <row r="6990">
          <cell r="A6990" t="str">
            <v>TISSI</v>
          </cell>
          <cell r="B6990" t="str">
            <v>090072</v>
          </cell>
          <cell r="C6990" t="str">
            <v>SS</v>
          </cell>
          <cell r="D6990" t="str">
            <v>SS</v>
          </cell>
          <cell r="E6990" t="str">
            <v>07040</v>
          </cell>
        </row>
        <row r="6991">
          <cell r="A6991" t="str">
            <v>TORRALBA</v>
          </cell>
          <cell r="B6991" t="str">
            <v>090073</v>
          </cell>
          <cell r="C6991" t="str">
            <v>SS</v>
          </cell>
          <cell r="D6991" t="str">
            <v>SS</v>
          </cell>
          <cell r="E6991" t="str">
            <v>07048</v>
          </cell>
        </row>
        <row r="6992">
          <cell r="A6992" t="str">
            <v>TRINITÀ D'AGULTU E VIGNOLA</v>
          </cell>
          <cell r="B6992" t="str">
            <v>090074</v>
          </cell>
          <cell r="C6992" t="str">
            <v>SS</v>
          </cell>
          <cell r="D6992" t="str">
            <v>OT</v>
          </cell>
          <cell r="E6992" t="str">
            <v>07038</v>
          </cell>
        </row>
        <row r="6993">
          <cell r="A6993" t="str">
            <v>TULA</v>
          </cell>
          <cell r="B6993" t="str">
            <v>090075</v>
          </cell>
          <cell r="C6993" t="str">
            <v>SS</v>
          </cell>
          <cell r="D6993" t="str">
            <v>SS</v>
          </cell>
          <cell r="E6993" t="str">
            <v>07010</v>
          </cell>
        </row>
        <row r="6994">
          <cell r="A6994" t="str">
            <v>URI</v>
          </cell>
          <cell r="B6994" t="str">
            <v>090076</v>
          </cell>
          <cell r="C6994" t="str">
            <v>SS</v>
          </cell>
          <cell r="D6994" t="str">
            <v>SS</v>
          </cell>
          <cell r="E6994" t="str">
            <v>07040</v>
          </cell>
        </row>
        <row r="6995">
          <cell r="A6995" t="str">
            <v>USINI</v>
          </cell>
          <cell r="B6995" t="str">
            <v>090077</v>
          </cell>
          <cell r="C6995" t="str">
            <v>SS</v>
          </cell>
          <cell r="D6995" t="str">
            <v>SS</v>
          </cell>
          <cell r="E6995" t="str">
            <v>07049</v>
          </cell>
        </row>
        <row r="6996">
          <cell r="A6996" t="str">
            <v>VILLANOVA MONTELEONE</v>
          </cell>
          <cell r="B6996" t="str">
            <v>090078</v>
          </cell>
          <cell r="C6996" t="str">
            <v>SS</v>
          </cell>
          <cell r="D6996" t="str">
            <v>SS</v>
          </cell>
          <cell r="E6996" t="str">
            <v>07019</v>
          </cell>
        </row>
        <row r="6997">
          <cell r="A6997" t="str">
            <v>VALLEDORIA</v>
          </cell>
          <cell r="B6997" t="str">
            <v>090079</v>
          </cell>
          <cell r="C6997" t="str">
            <v>SS</v>
          </cell>
          <cell r="D6997" t="str">
            <v>SS</v>
          </cell>
          <cell r="E6997" t="str">
            <v>07039</v>
          </cell>
        </row>
        <row r="6998">
          <cell r="A6998" t="str">
            <v>TELTI</v>
          </cell>
          <cell r="B6998" t="str">
            <v>090080</v>
          </cell>
          <cell r="C6998" t="str">
            <v>SS</v>
          </cell>
          <cell r="D6998" t="str">
            <v>OT</v>
          </cell>
          <cell r="E6998" t="str">
            <v>07020</v>
          </cell>
        </row>
        <row r="6999">
          <cell r="A6999" t="str">
            <v>BADESI</v>
          </cell>
          <cell r="B6999" t="str">
            <v>090081</v>
          </cell>
          <cell r="C6999" t="str">
            <v>SS</v>
          </cell>
          <cell r="D6999" t="str">
            <v>OT</v>
          </cell>
          <cell r="E6999" t="str">
            <v>07030</v>
          </cell>
        </row>
        <row r="7000">
          <cell r="A7000" t="str">
            <v>VIDDALBA</v>
          </cell>
          <cell r="B7000" t="str">
            <v>090082</v>
          </cell>
          <cell r="C7000" t="str">
            <v>SS</v>
          </cell>
          <cell r="D7000" t="str">
            <v>SS</v>
          </cell>
          <cell r="E7000" t="str">
            <v>07030</v>
          </cell>
        </row>
        <row r="7001">
          <cell r="A7001" t="str">
            <v>GOLFO ARANCI</v>
          </cell>
          <cell r="B7001" t="str">
            <v>090083</v>
          </cell>
          <cell r="C7001" t="str">
            <v>SS</v>
          </cell>
          <cell r="D7001" t="str">
            <v>OT</v>
          </cell>
          <cell r="E7001" t="str">
            <v>07020</v>
          </cell>
        </row>
        <row r="7002">
          <cell r="A7002" t="str">
            <v>LOIRI PORTO SAN PAOLO</v>
          </cell>
          <cell r="B7002" t="str">
            <v>090084</v>
          </cell>
          <cell r="C7002" t="str">
            <v>SS</v>
          </cell>
          <cell r="D7002" t="str">
            <v>OT</v>
          </cell>
          <cell r="E7002" t="str">
            <v>07020</v>
          </cell>
        </row>
        <row r="7003">
          <cell r="A7003" t="str">
            <v>SANT'ANTONIO DI GALLURA</v>
          </cell>
          <cell r="B7003" t="str">
            <v>090085</v>
          </cell>
          <cell r="C7003" t="str">
            <v>SS</v>
          </cell>
          <cell r="D7003" t="str">
            <v>OT</v>
          </cell>
          <cell r="E7003" t="str">
            <v>07030</v>
          </cell>
        </row>
        <row r="7004">
          <cell r="A7004" t="str">
            <v>TERGU</v>
          </cell>
          <cell r="B7004" t="str">
            <v>090086</v>
          </cell>
          <cell r="C7004" t="str">
            <v>SS</v>
          </cell>
          <cell r="D7004" t="str">
            <v>SS</v>
          </cell>
          <cell r="E7004" t="str">
            <v>07030</v>
          </cell>
        </row>
        <row r="7005">
          <cell r="A7005" t="str">
            <v>SANTA MARIA COGHINAS</v>
          </cell>
          <cell r="B7005" t="str">
            <v>090087</v>
          </cell>
          <cell r="C7005" t="str">
            <v>SS</v>
          </cell>
          <cell r="D7005" t="str">
            <v>SS</v>
          </cell>
          <cell r="E7005" t="str">
            <v>07030</v>
          </cell>
        </row>
        <row r="7006">
          <cell r="A7006" t="str">
            <v>ERULA</v>
          </cell>
          <cell r="B7006" t="str">
            <v>090088</v>
          </cell>
          <cell r="C7006" t="str">
            <v>SS</v>
          </cell>
          <cell r="D7006" t="str">
            <v>SS</v>
          </cell>
          <cell r="E7006" t="str">
            <v>07030</v>
          </cell>
        </row>
        <row r="7007">
          <cell r="A7007" t="str">
            <v>STINTINO</v>
          </cell>
          <cell r="B7007" t="str">
            <v>090089</v>
          </cell>
          <cell r="C7007" t="str">
            <v>SS</v>
          </cell>
          <cell r="D7007" t="str">
            <v>SS</v>
          </cell>
          <cell r="E7007" t="str">
            <v>07040</v>
          </cell>
        </row>
        <row r="7008">
          <cell r="A7008" t="str">
            <v>PADRU</v>
          </cell>
          <cell r="B7008" t="str">
            <v>090090</v>
          </cell>
          <cell r="C7008" t="str">
            <v>SS</v>
          </cell>
          <cell r="D7008" t="str">
            <v>OT</v>
          </cell>
          <cell r="E7008" t="str">
            <v>07020</v>
          </cell>
        </row>
        <row r="7009">
          <cell r="A7009" t="str">
            <v>BUDONI</v>
          </cell>
          <cell r="B7009" t="str">
            <v>090091</v>
          </cell>
          <cell r="C7009" t="str">
            <v>SS</v>
          </cell>
          <cell r="D7009" t="str">
            <v>OT</v>
          </cell>
          <cell r="E7009" t="str">
            <v>08020</v>
          </cell>
        </row>
        <row r="7010">
          <cell r="A7010" t="str">
            <v>SAN TEODORO</v>
          </cell>
          <cell r="B7010" t="str">
            <v>090092</v>
          </cell>
          <cell r="C7010" t="str">
            <v>SS</v>
          </cell>
          <cell r="D7010" t="str">
            <v>ME</v>
          </cell>
          <cell r="E7010" t="str">
            <v>98030</v>
          </cell>
        </row>
        <row r="7011">
          <cell r="A7011" t="str">
            <v>ARITZO</v>
          </cell>
          <cell r="B7011" t="str">
            <v>091001</v>
          </cell>
          <cell r="C7011" t="str">
            <v>NU</v>
          </cell>
          <cell r="D7011" t="str">
            <v>NU</v>
          </cell>
          <cell r="E7011" t="str">
            <v>08031</v>
          </cell>
        </row>
        <row r="7012">
          <cell r="A7012" t="str">
            <v>ARZANA</v>
          </cell>
          <cell r="B7012" t="str">
            <v>091002</v>
          </cell>
          <cell r="C7012" t="str">
            <v>NU</v>
          </cell>
          <cell r="D7012" t="str">
            <v>OG</v>
          </cell>
          <cell r="E7012" t="str">
            <v>08040</v>
          </cell>
        </row>
        <row r="7013">
          <cell r="A7013" t="str">
            <v>ATZARA</v>
          </cell>
          <cell r="B7013" t="str">
            <v>091003</v>
          </cell>
          <cell r="C7013" t="str">
            <v>NU</v>
          </cell>
          <cell r="D7013" t="str">
            <v>NU</v>
          </cell>
          <cell r="E7013" t="str">
            <v>08030</v>
          </cell>
        </row>
        <row r="7014">
          <cell r="A7014" t="str">
            <v>AUSTIS</v>
          </cell>
          <cell r="B7014" t="str">
            <v>091004</v>
          </cell>
          <cell r="C7014" t="str">
            <v>NU</v>
          </cell>
          <cell r="D7014" t="str">
            <v>NU</v>
          </cell>
          <cell r="E7014" t="str">
            <v>08030</v>
          </cell>
        </row>
        <row r="7015">
          <cell r="A7015" t="str">
            <v>BARI SARDO</v>
          </cell>
          <cell r="B7015" t="str">
            <v>091005</v>
          </cell>
          <cell r="C7015" t="str">
            <v>NU</v>
          </cell>
          <cell r="D7015" t="str">
            <v>OG</v>
          </cell>
          <cell r="E7015" t="str">
            <v>08042</v>
          </cell>
        </row>
        <row r="7016">
          <cell r="A7016" t="str">
            <v>BAUNEI</v>
          </cell>
          <cell r="B7016" t="str">
            <v>091006</v>
          </cell>
          <cell r="C7016" t="str">
            <v>NU</v>
          </cell>
          <cell r="D7016" t="str">
            <v>OG</v>
          </cell>
          <cell r="E7016" t="str">
            <v>08040</v>
          </cell>
        </row>
        <row r="7017">
          <cell r="A7017" t="str">
            <v>BELVÌ</v>
          </cell>
          <cell r="B7017" t="str">
            <v>091007</v>
          </cell>
          <cell r="C7017" t="str">
            <v>NU</v>
          </cell>
          <cell r="D7017" t="str">
            <v>NU</v>
          </cell>
          <cell r="E7017" t="str">
            <v>08030</v>
          </cell>
        </row>
        <row r="7018">
          <cell r="A7018" t="str">
            <v>BIRORI</v>
          </cell>
          <cell r="B7018" t="str">
            <v>091008</v>
          </cell>
          <cell r="C7018" t="str">
            <v>NU</v>
          </cell>
          <cell r="D7018" t="str">
            <v>NU</v>
          </cell>
          <cell r="E7018" t="str">
            <v>08010</v>
          </cell>
        </row>
        <row r="7019">
          <cell r="A7019" t="str">
            <v>BITTI</v>
          </cell>
          <cell r="B7019" t="str">
            <v>091009</v>
          </cell>
          <cell r="C7019" t="str">
            <v>NU</v>
          </cell>
          <cell r="D7019" t="str">
            <v>NU</v>
          </cell>
          <cell r="E7019" t="str">
            <v>08021</v>
          </cell>
        </row>
        <row r="7020">
          <cell r="A7020" t="str">
            <v>BOLOTANA</v>
          </cell>
          <cell r="B7020" t="str">
            <v>091010</v>
          </cell>
          <cell r="C7020" t="str">
            <v>NU</v>
          </cell>
          <cell r="D7020" t="str">
            <v>NU</v>
          </cell>
          <cell r="E7020" t="str">
            <v>08011</v>
          </cell>
        </row>
        <row r="7021">
          <cell r="A7021" t="str">
            <v>BORORE</v>
          </cell>
          <cell r="B7021" t="str">
            <v>091011</v>
          </cell>
          <cell r="C7021" t="str">
            <v>NU</v>
          </cell>
          <cell r="D7021" t="str">
            <v>NU</v>
          </cell>
          <cell r="E7021" t="str">
            <v>08016</v>
          </cell>
        </row>
        <row r="7022">
          <cell r="A7022" t="str">
            <v>BORTIGALI</v>
          </cell>
          <cell r="B7022" t="str">
            <v>091012</v>
          </cell>
          <cell r="C7022" t="str">
            <v>NU</v>
          </cell>
          <cell r="D7022" t="str">
            <v>NU</v>
          </cell>
          <cell r="E7022" t="str">
            <v>08012</v>
          </cell>
        </row>
        <row r="7023">
          <cell r="A7023" t="str">
            <v>DESULO</v>
          </cell>
          <cell r="B7023" t="str">
            <v>091016</v>
          </cell>
          <cell r="C7023" t="str">
            <v>NU</v>
          </cell>
          <cell r="D7023" t="str">
            <v>NU</v>
          </cell>
          <cell r="E7023" t="str">
            <v>08032</v>
          </cell>
        </row>
        <row r="7024">
          <cell r="A7024" t="str">
            <v>DORGALI</v>
          </cell>
          <cell r="B7024" t="str">
            <v>091017</v>
          </cell>
          <cell r="C7024" t="str">
            <v>NU</v>
          </cell>
          <cell r="D7024" t="str">
            <v>NU</v>
          </cell>
          <cell r="E7024" t="str">
            <v>08022</v>
          </cell>
        </row>
        <row r="7025">
          <cell r="A7025" t="str">
            <v>DUALCHI</v>
          </cell>
          <cell r="B7025" t="str">
            <v>091018</v>
          </cell>
          <cell r="C7025" t="str">
            <v>NU</v>
          </cell>
          <cell r="D7025" t="str">
            <v>NU</v>
          </cell>
          <cell r="E7025" t="str">
            <v>08010</v>
          </cell>
        </row>
        <row r="7026">
          <cell r="A7026" t="str">
            <v>ELINI</v>
          </cell>
          <cell r="B7026" t="str">
            <v>091019</v>
          </cell>
          <cell r="C7026" t="str">
            <v>NU</v>
          </cell>
          <cell r="D7026" t="str">
            <v>OG</v>
          </cell>
          <cell r="E7026" t="str">
            <v>08040</v>
          </cell>
        </row>
        <row r="7027">
          <cell r="A7027" t="str">
            <v>FONNI</v>
          </cell>
          <cell r="B7027" t="str">
            <v>091024</v>
          </cell>
          <cell r="C7027" t="str">
            <v>NU</v>
          </cell>
          <cell r="D7027" t="str">
            <v>NU</v>
          </cell>
          <cell r="E7027" t="str">
            <v>08023</v>
          </cell>
        </row>
        <row r="7028">
          <cell r="A7028" t="str">
            <v>GADONI</v>
          </cell>
          <cell r="B7028" t="str">
            <v>091025</v>
          </cell>
          <cell r="C7028" t="str">
            <v>NU</v>
          </cell>
          <cell r="D7028" t="str">
            <v>NU</v>
          </cell>
          <cell r="E7028" t="str">
            <v>08030</v>
          </cell>
        </row>
        <row r="7029">
          <cell r="A7029" t="str">
            <v>GAIRO</v>
          </cell>
          <cell r="B7029" t="str">
            <v>091026</v>
          </cell>
          <cell r="C7029" t="str">
            <v>NU</v>
          </cell>
          <cell r="D7029" t="str">
            <v>OG</v>
          </cell>
          <cell r="E7029" t="str">
            <v>08040</v>
          </cell>
        </row>
        <row r="7030">
          <cell r="A7030" t="str">
            <v>GALTELLÌ</v>
          </cell>
          <cell r="B7030" t="str">
            <v>091027</v>
          </cell>
          <cell r="C7030" t="str">
            <v>NU</v>
          </cell>
          <cell r="D7030" t="str">
            <v>NU</v>
          </cell>
          <cell r="E7030" t="str">
            <v>08020</v>
          </cell>
        </row>
        <row r="7031">
          <cell r="A7031" t="str">
            <v>GAVOI</v>
          </cell>
          <cell r="B7031" t="str">
            <v>091028</v>
          </cell>
          <cell r="C7031" t="str">
            <v>NU</v>
          </cell>
          <cell r="D7031" t="str">
            <v>NU</v>
          </cell>
          <cell r="E7031" t="str">
            <v>08020</v>
          </cell>
        </row>
        <row r="7032">
          <cell r="A7032" t="str">
            <v>GIRASOLE</v>
          </cell>
          <cell r="B7032" t="str">
            <v>091031</v>
          </cell>
          <cell r="C7032" t="str">
            <v>NU</v>
          </cell>
          <cell r="D7032" t="str">
            <v>OG</v>
          </cell>
          <cell r="E7032" t="str">
            <v>08040</v>
          </cell>
        </row>
        <row r="7033">
          <cell r="A7033" t="str">
            <v>ILBONO</v>
          </cell>
          <cell r="B7033" t="str">
            <v>091032</v>
          </cell>
          <cell r="C7033" t="str">
            <v>NU</v>
          </cell>
          <cell r="D7033" t="str">
            <v>OG</v>
          </cell>
          <cell r="E7033" t="str">
            <v>08040</v>
          </cell>
        </row>
        <row r="7034">
          <cell r="A7034" t="str">
            <v>IRGOLI</v>
          </cell>
          <cell r="B7034" t="str">
            <v>091033</v>
          </cell>
          <cell r="C7034" t="str">
            <v>NU</v>
          </cell>
          <cell r="D7034" t="str">
            <v>NU</v>
          </cell>
          <cell r="E7034" t="str">
            <v>08020</v>
          </cell>
        </row>
        <row r="7035">
          <cell r="A7035" t="str">
            <v>JERZU</v>
          </cell>
          <cell r="B7035" t="str">
            <v>091035</v>
          </cell>
          <cell r="C7035" t="str">
            <v>NU</v>
          </cell>
          <cell r="D7035" t="str">
            <v>OG</v>
          </cell>
          <cell r="E7035" t="str">
            <v>08044</v>
          </cell>
        </row>
        <row r="7036">
          <cell r="A7036" t="str">
            <v>LANUSEI</v>
          </cell>
          <cell r="B7036" t="str">
            <v>091037</v>
          </cell>
          <cell r="C7036" t="str">
            <v>NU</v>
          </cell>
          <cell r="D7036" t="str">
            <v>OG</v>
          </cell>
          <cell r="E7036" t="str">
            <v>08045</v>
          </cell>
        </row>
        <row r="7037">
          <cell r="A7037" t="str">
            <v>LEI</v>
          </cell>
          <cell r="B7037" t="str">
            <v>091038</v>
          </cell>
          <cell r="C7037" t="str">
            <v>NU</v>
          </cell>
          <cell r="D7037" t="str">
            <v>NU</v>
          </cell>
          <cell r="E7037" t="str">
            <v>08010</v>
          </cell>
        </row>
        <row r="7038">
          <cell r="A7038" t="str">
            <v>LOCERI</v>
          </cell>
          <cell r="B7038" t="str">
            <v>091039</v>
          </cell>
          <cell r="C7038" t="str">
            <v>NU</v>
          </cell>
          <cell r="D7038" t="str">
            <v>OG</v>
          </cell>
          <cell r="E7038" t="str">
            <v>08040</v>
          </cell>
        </row>
        <row r="7039">
          <cell r="A7039" t="str">
            <v>LOCULI</v>
          </cell>
          <cell r="B7039" t="str">
            <v>091040</v>
          </cell>
          <cell r="C7039" t="str">
            <v>NU</v>
          </cell>
          <cell r="D7039" t="str">
            <v>NU</v>
          </cell>
          <cell r="E7039" t="str">
            <v>08020</v>
          </cell>
        </row>
        <row r="7040">
          <cell r="A7040" t="str">
            <v>LODÈ</v>
          </cell>
          <cell r="B7040" t="str">
            <v>091041</v>
          </cell>
          <cell r="C7040" t="str">
            <v>NU</v>
          </cell>
          <cell r="D7040" t="str">
            <v>NU</v>
          </cell>
          <cell r="E7040" t="str">
            <v>08020</v>
          </cell>
        </row>
        <row r="7041">
          <cell r="A7041" t="str">
            <v>LOTZORAI</v>
          </cell>
          <cell r="B7041" t="str">
            <v>091042</v>
          </cell>
          <cell r="C7041" t="str">
            <v>NU</v>
          </cell>
          <cell r="D7041" t="str">
            <v>OG</v>
          </cell>
          <cell r="E7041" t="str">
            <v>08040</v>
          </cell>
        </row>
        <row r="7042">
          <cell r="A7042" t="str">
            <v>LULA</v>
          </cell>
          <cell r="B7042" t="str">
            <v>091043</v>
          </cell>
          <cell r="C7042" t="str">
            <v>NU</v>
          </cell>
          <cell r="D7042" t="str">
            <v>NU</v>
          </cell>
          <cell r="E7042" t="str">
            <v>08020</v>
          </cell>
        </row>
        <row r="7043">
          <cell r="A7043" t="str">
            <v>MACOMER</v>
          </cell>
          <cell r="B7043" t="str">
            <v>091044</v>
          </cell>
          <cell r="C7043" t="str">
            <v>NU</v>
          </cell>
          <cell r="D7043" t="str">
            <v>NU</v>
          </cell>
          <cell r="E7043" t="str">
            <v>08015</v>
          </cell>
        </row>
        <row r="7044">
          <cell r="A7044" t="str">
            <v>MAMOIADA</v>
          </cell>
          <cell r="B7044" t="str">
            <v>091046</v>
          </cell>
          <cell r="C7044" t="str">
            <v>NU</v>
          </cell>
          <cell r="D7044" t="str">
            <v>NU</v>
          </cell>
          <cell r="E7044" t="str">
            <v>08024</v>
          </cell>
        </row>
        <row r="7045">
          <cell r="A7045" t="str">
            <v>MEANA SARDO</v>
          </cell>
          <cell r="B7045" t="str">
            <v>091047</v>
          </cell>
          <cell r="C7045" t="str">
            <v>NU</v>
          </cell>
          <cell r="D7045" t="str">
            <v>NU</v>
          </cell>
          <cell r="E7045" t="str">
            <v>08030</v>
          </cell>
        </row>
        <row r="7046">
          <cell r="A7046" t="str">
            <v>NORAGUGUME</v>
          </cell>
          <cell r="B7046" t="str">
            <v>091050</v>
          </cell>
          <cell r="C7046" t="str">
            <v>NU</v>
          </cell>
          <cell r="D7046" t="str">
            <v>NU</v>
          </cell>
          <cell r="E7046" t="str">
            <v>08010</v>
          </cell>
        </row>
        <row r="7047">
          <cell r="A7047" t="str">
            <v>NUORO</v>
          </cell>
          <cell r="B7047" t="str">
            <v>091051</v>
          </cell>
          <cell r="C7047" t="str">
            <v>NU</v>
          </cell>
          <cell r="D7047" t="str">
            <v>NU</v>
          </cell>
          <cell r="E7047" t="str">
            <v>08100</v>
          </cell>
        </row>
        <row r="7048">
          <cell r="A7048" t="str">
            <v>OLIENA</v>
          </cell>
          <cell r="B7048" t="str">
            <v>091055</v>
          </cell>
          <cell r="C7048" t="str">
            <v>NU</v>
          </cell>
          <cell r="D7048" t="str">
            <v>NU</v>
          </cell>
          <cell r="E7048" t="str">
            <v>08025</v>
          </cell>
        </row>
        <row r="7049">
          <cell r="A7049" t="str">
            <v>OLLOLAI</v>
          </cell>
          <cell r="B7049" t="str">
            <v>091056</v>
          </cell>
          <cell r="C7049" t="str">
            <v>NU</v>
          </cell>
          <cell r="D7049" t="str">
            <v>NU</v>
          </cell>
          <cell r="E7049" t="str">
            <v>08020</v>
          </cell>
        </row>
        <row r="7050">
          <cell r="A7050" t="str">
            <v>OLZAI</v>
          </cell>
          <cell r="B7050" t="str">
            <v>091057</v>
          </cell>
          <cell r="C7050" t="str">
            <v>NU</v>
          </cell>
          <cell r="D7050" t="str">
            <v>NU</v>
          </cell>
          <cell r="E7050" t="str">
            <v>08020</v>
          </cell>
        </row>
        <row r="7051">
          <cell r="A7051" t="str">
            <v>ONANÌ</v>
          </cell>
          <cell r="B7051" t="str">
            <v>091058</v>
          </cell>
          <cell r="C7051" t="str">
            <v>NU</v>
          </cell>
          <cell r="D7051" t="str">
            <v>NU</v>
          </cell>
          <cell r="E7051" t="str">
            <v>08020</v>
          </cell>
        </row>
        <row r="7052">
          <cell r="A7052" t="str">
            <v>ONIFAI</v>
          </cell>
          <cell r="B7052" t="str">
            <v>091059</v>
          </cell>
          <cell r="C7052" t="str">
            <v>NU</v>
          </cell>
          <cell r="D7052" t="str">
            <v>NU</v>
          </cell>
          <cell r="E7052" t="str">
            <v>08020</v>
          </cell>
        </row>
        <row r="7053">
          <cell r="A7053" t="str">
            <v>ONIFERI</v>
          </cell>
          <cell r="B7053" t="str">
            <v>091060</v>
          </cell>
          <cell r="C7053" t="str">
            <v>NU</v>
          </cell>
          <cell r="D7053" t="str">
            <v>NU</v>
          </cell>
          <cell r="E7053" t="str">
            <v>08020</v>
          </cell>
        </row>
        <row r="7054">
          <cell r="A7054" t="str">
            <v>ORANI</v>
          </cell>
          <cell r="B7054" t="str">
            <v>091061</v>
          </cell>
          <cell r="C7054" t="str">
            <v>NU</v>
          </cell>
          <cell r="D7054" t="str">
            <v>NU</v>
          </cell>
          <cell r="E7054" t="str">
            <v>08026</v>
          </cell>
        </row>
        <row r="7055">
          <cell r="A7055" t="str">
            <v>ORGOSOLO</v>
          </cell>
          <cell r="B7055" t="str">
            <v>091062</v>
          </cell>
          <cell r="C7055" t="str">
            <v>NU</v>
          </cell>
          <cell r="D7055" t="str">
            <v>NU</v>
          </cell>
          <cell r="E7055" t="str">
            <v>08027</v>
          </cell>
        </row>
        <row r="7056">
          <cell r="A7056" t="str">
            <v>OROSEI</v>
          </cell>
          <cell r="B7056" t="str">
            <v>091063</v>
          </cell>
          <cell r="C7056" t="str">
            <v>NU</v>
          </cell>
          <cell r="D7056" t="str">
            <v>NU</v>
          </cell>
          <cell r="E7056" t="str">
            <v>08028</v>
          </cell>
        </row>
        <row r="7057">
          <cell r="A7057" t="str">
            <v>OROTELLI</v>
          </cell>
          <cell r="B7057" t="str">
            <v>091064</v>
          </cell>
          <cell r="C7057" t="str">
            <v>NU</v>
          </cell>
          <cell r="D7057" t="str">
            <v>NU</v>
          </cell>
          <cell r="E7057" t="str">
            <v>08020</v>
          </cell>
        </row>
        <row r="7058">
          <cell r="A7058" t="str">
            <v>ORTUERI</v>
          </cell>
          <cell r="B7058" t="str">
            <v>091066</v>
          </cell>
          <cell r="C7058" t="str">
            <v>NU</v>
          </cell>
          <cell r="D7058" t="str">
            <v>NU</v>
          </cell>
          <cell r="E7058" t="str">
            <v>08036</v>
          </cell>
        </row>
        <row r="7059">
          <cell r="A7059" t="str">
            <v>ORUNE</v>
          </cell>
          <cell r="B7059" t="str">
            <v>091067</v>
          </cell>
          <cell r="C7059" t="str">
            <v>NU</v>
          </cell>
          <cell r="D7059" t="str">
            <v>NU</v>
          </cell>
          <cell r="E7059" t="str">
            <v>08020</v>
          </cell>
        </row>
        <row r="7060">
          <cell r="A7060" t="str">
            <v>OSIDDA</v>
          </cell>
          <cell r="B7060" t="str">
            <v>091068</v>
          </cell>
          <cell r="C7060" t="str">
            <v>NU</v>
          </cell>
          <cell r="D7060" t="str">
            <v>NU</v>
          </cell>
          <cell r="E7060" t="str">
            <v>08020</v>
          </cell>
        </row>
        <row r="7061">
          <cell r="A7061" t="str">
            <v>OSINI</v>
          </cell>
          <cell r="B7061" t="str">
            <v>091069</v>
          </cell>
          <cell r="C7061" t="str">
            <v>NU</v>
          </cell>
          <cell r="D7061" t="str">
            <v>OG</v>
          </cell>
          <cell r="E7061" t="str">
            <v>08040</v>
          </cell>
        </row>
        <row r="7062">
          <cell r="A7062" t="str">
            <v>OTTANA</v>
          </cell>
          <cell r="B7062" t="str">
            <v>091070</v>
          </cell>
          <cell r="C7062" t="str">
            <v>NU</v>
          </cell>
          <cell r="D7062" t="str">
            <v>NU</v>
          </cell>
          <cell r="E7062" t="str">
            <v>08020</v>
          </cell>
        </row>
        <row r="7063">
          <cell r="A7063" t="str">
            <v>OVODDA</v>
          </cell>
          <cell r="B7063" t="str">
            <v>091071</v>
          </cell>
          <cell r="C7063" t="str">
            <v>NU</v>
          </cell>
          <cell r="D7063" t="str">
            <v>NU</v>
          </cell>
          <cell r="E7063" t="str">
            <v>08020</v>
          </cell>
        </row>
        <row r="7064">
          <cell r="A7064" t="str">
            <v>PERDASDEFOGU</v>
          </cell>
          <cell r="B7064" t="str">
            <v>091072</v>
          </cell>
          <cell r="C7064" t="str">
            <v>NU</v>
          </cell>
          <cell r="D7064" t="str">
            <v>OG</v>
          </cell>
          <cell r="E7064" t="str">
            <v>08046</v>
          </cell>
        </row>
        <row r="7065">
          <cell r="A7065" t="str">
            <v>POSADA</v>
          </cell>
          <cell r="B7065" t="str">
            <v>091073</v>
          </cell>
          <cell r="C7065" t="str">
            <v>NU</v>
          </cell>
          <cell r="D7065" t="str">
            <v>NU</v>
          </cell>
          <cell r="E7065" t="str">
            <v>08020</v>
          </cell>
        </row>
        <row r="7066">
          <cell r="A7066" t="str">
            <v>SARULE</v>
          </cell>
          <cell r="B7066" t="str">
            <v>091077</v>
          </cell>
          <cell r="C7066" t="str">
            <v>NU</v>
          </cell>
          <cell r="D7066" t="str">
            <v>NU</v>
          </cell>
          <cell r="E7066" t="str">
            <v>08020</v>
          </cell>
        </row>
        <row r="7067">
          <cell r="A7067" t="str">
            <v>SILANUS</v>
          </cell>
          <cell r="B7067" t="str">
            <v>091083</v>
          </cell>
          <cell r="C7067" t="str">
            <v>NU</v>
          </cell>
          <cell r="D7067" t="str">
            <v>NU</v>
          </cell>
          <cell r="E7067" t="str">
            <v>08017</v>
          </cell>
        </row>
        <row r="7068">
          <cell r="A7068" t="str">
            <v>SINDIA</v>
          </cell>
          <cell r="B7068" t="str">
            <v>091084</v>
          </cell>
          <cell r="C7068" t="str">
            <v>NU</v>
          </cell>
          <cell r="D7068" t="str">
            <v>NU</v>
          </cell>
          <cell r="E7068" t="str">
            <v>08018</v>
          </cell>
        </row>
        <row r="7069">
          <cell r="A7069" t="str">
            <v>SINISCOLA</v>
          </cell>
          <cell r="B7069" t="str">
            <v>091085</v>
          </cell>
          <cell r="C7069" t="str">
            <v>NU</v>
          </cell>
          <cell r="D7069" t="str">
            <v>NU</v>
          </cell>
          <cell r="E7069" t="str">
            <v>08029</v>
          </cell>
        </row>
        <row r="7070">
          <cell r="A7070" t="str">
            <v>SORGONO</v>
          </cell>
          <cell r="B7070" t="str">
            <v>091086</v>
          </cell>
          <cell r="C7070" t="str">
            <v>NU</v>
          </cell>
          <cell r="D7070" t="str">
            <v>NU</v>
          </cell>
          <cell r="E7070" t="str">
            <v>08038</v>
          </cell>
        </row>
        <row r="7071">
          <cell r="A7071" t="str">
            <v>TALANA</v>
          </cell>
          <cell r="B7071" t="str">
            <v>091088</v>
          </cell>
          <cell r="C7071" t="str">
            <v>NU</v>
          </cell>
          <cell r="D7071" t="str">
            <v>OG</v>
          </cell>
          <cell r="E7071" t="str">
            <v>08040</v>
          </cell>
        </row>
        <row r="7072">
          <cell r="A7072" t="str">
            <v>TERTENIA</v>
          </cell>
          <cell r="B7072" t="str">
            <v>091089</v>
          </cell>
          <cell r="C7072" t="str">
            <v>NU</v>
          </cell>
          <cell r="D7072" t="str">
            <v>OG</v>
          </cell>
          <cell r="E7072" t="str">
            <v>08047</v>
          </cell>
        </row>
        <row r="7073">
          <cell r="A7073" t="str">
            <v>TETI</v>
          </cell>
          <cell r="B7073" t="str">
            <v>091090</v>
          </cell>
          <cell r="C7073" t="str">
            <v>NU</v>
          </cell>
          <cell r="D7073" t="str">
            <v>NU</v>
          </cell>
          <cell r="E7073" t="str">
            <v>08030</v>
          </cell>
        </row>
        <row r="7074">
          <cell r="A7074" t="str">
            <v>TIANA</v>
          </cell>
          <cell r="B7074" t="str">
            <v>091091</v>
          </cell>
          <cell r="C7074" t="str">
            <v>NU</v>
          </cell>
          <cell r="D7074" t="str">
            <v>NU</v>
          </cell>
          <cell r="E7074" t="str">
            <v>08020</v>
          </cell>
        </row>
        <row r="7075">
          <cell r="A7075" t="str">
            <v>TONARA</v>
          </cell>
          <cell r="B7075" t="str">
            <v>091093</v>
          </cell>
          <cell r="C7075" t="str">
            <v>NU</v>
          </cell>
          <cell r="D7075" t="str">
            <v>NU</v>
          </cell>
          <cell r="E7075" t="str">
            <v>08039</v>
          </cell>
        </row>
        <row r="7076">
          <cell r="A7076" t="str">
            <v>TORPÈ</v>
          </cell>
          <cell r="B7076" t="str">
            <v>091094</v>
          </cell>
          <cell r="C7076" t="str">
            <v>NU</v>
          </cell>
          <cell r="D7076" t="str">
            <v>NU</v>
          </cell>
          <cell r="E7076" t="str">
            <v>08020</v>
          </cell>
        </row>
        <row r="7077">
          <cell r="A7077" t="str">
            <v>TORTOLÌ</v>
          </cell>
          <cell r="B7077" t="str">
            <v>091095</v>
          </cell>
          <cell r="C7077" t="str">
            <v>NU</v>
          </cell>
          <cell r="D7077" t="str">
            <v>OG</v>
          </cell>
          <cell r="E7077" t="str">
            <v>08048</v>
          </cell>
        </row>
        <row r="7078">
          <cell r="A7078" t="str">
            <v>TRIEI</v>
          </cell>
          <cell r="B7078" t="str">
            <v>091097</v>
          </cell>
          <cell r="C7078" t="str">
            <v>NU</v>
          </cell>
          <cell r="D7078" t="str">
            <v>OG</v>
          </cell>
          <cell r="E7078" t="str">
            <v>08040</v>
          </cell>
        </row>
        <row r="7079">
          <cell r="A7079" t="str">
            <v>ULASSAI</v>
          </cell>
          <cell r="B7079" t="str">
            <v>091098</v>
          </cell>
          <cell r="C7079" t="str">
            <v>NU</v>
          </cell>
          <cell r="D7079" t="str">
            <v>OG</v>
          </cell>
          <cell r="E7079" t="str">
            <v>08040</v>
          </cell>
        </row>
        <row r="7080">
          <cell r="A7080" t="str">
            <v>URZULEI</v>
          </cell>
          <cell r="B7080" t="str">
            <v>091099</v>
          </cell>
          <cell r="C7080" t="str">
            <v>NU</v>
          </cell>
          <cell r="D7080" t="str">
            <v>OG</v>
          </cell>
          <cell r="E7080" t="str">
            <v>08040</v>
          </cell>
        </row>
        <row r="7081">
          <cell r="A7081" t="str">
            <v>USSASSAI</v>
          </cell>
          <cell r="B7081" t="str">
            <v>091100</v>
          </cell>
          <cell r="C7081" t="str">
            <v>NU</v>
          </cell>
          <cell r="D7081" t="str">
            <v>OG</v>
          </cell>
          <cell r="E7081" t="str">
            <v>08040</v>
          </cell>
        </row>
        <row r="7082">
          <cell r="A7082" t="str">
            <v>VILLAGRANDE STRISAILI</v>
          </cell>
          <cell r="B7082" t="str">
            <v>091101</v>
          </cell>
          <cell r="C7082" t="str">
            <v>NU</v>
          </cell>
          <cell r="D7082" t="str">
            <v>OG</v>
          </cell>
          <cell r="E7082" t="str">
            <v>08049</v>
          </cell>
        </row>
        <row r="7083">
          <cell r="A7083" t="str">
            <v>CARDEDU</v>
          </cell>
          <cell r="B7083" t="str">
            <v>091103</v>
          </cell>
          <cell r="C7083" t="str">
            <v>NU</v>
          </cell>
          <cell r="D7083" t="str">
            <v>OG</v>
          </cell>
          <cell r="E7083" t="str">
            <v>08040</v>
          </cell>
        </row>
        <row r="7084">
          <cell r="A7084" t="str">
            <v>LODINE</v>
          </cell>
          <cell r="B7084" t="str">
            <v>091104</v>
          </cell>
          <cell r="C7084" t="str">
            <v>NU</v>
          </cell>
          <cell r="D7084" t="str">
            <v>NU</v>
          </cell>
          <cell r="E7084" t="str">
            <v>08020</v>
          </cell>
        </row>
        <row r="7085">
          <cell r="A7085" t="str">
            <v>ASSEMINI</v>
          </cell>
          <cell r="B7085" t="str">
            <v>092003</v>
          </cell>
          <cell r="C7085" t="str">
            <v>CA</v>
          </cell>
          <cell r="D7085" t="str">
            <v>CA</v>
          </cell>
          <cell r="E7085" t="str">
            <v>09032</v>
          </cell>
        </row>
        <row r="7086">
          <cell r="A7086" t="str">
            <v>CAGLIARI</v>
          </cell>
          <cell r="B7086" t="str">
            <v>092009</v>
          </cell>
          <cell r="C7086" t="str">
            <v>CA</v>
          </cell>
          <cell r="D7086" t="str">
            <v>CA</v>
          </cell>
          <cell r="E7086" t="str">
            <v>091xx</v>
          </cell>
        </row>
        <row r="7087">
          <cell r="A7087" t="str">
            <v>CAPOTERRA</v>
          </cell>
          <cell r="B7087" t="str">
            <v>092011</v>
          </cell>
          <cell r="C7087" t="str">
            <v>CA</v>
          </cell>
          <cell r="D7087" t="str">
            <v>CA</v>
          </cell>
          <cell r="E7087" t="str">
            <v>09012</v>
          </cell>
        </row>
        <row r="7088">
          <cell r="A7088" t="str">
            <v>DECIMOMANNU</v>
          </cell>
          <cell r="B7088" t="str">
            <v>092015</v>
          </cell>
          <cell r="C7088" t="str">
            <v>CA</v>
          </cell>
          <cell r="D7088" t="str">
            <v>CA</v>
          </cell>
          <cell r="E7088" t="str">
            <v>09033</v>
          </cell>
        </row>
        <row r="7089">
          <cell r="A7089" t="str">
            <v>MARACALAGONIS</v>
          </cell>
          <cell r="B7089" t="str">
            <v>092037</v>
          </cell>
          <cell r="C7089" t="str">
            <v>CA</v>
          </cell>
          <cell r="D7089" t="str">
            <v>CA</v>
          </cell>
          <cell r="E7089" t="str">
            <v>09040</v>
          </cell>
        </row>
        <row r="7090">
          <cell r="A7090" t="str">
            <v>PULA</v>
          </cell>
          <cell r="B7090" t="str">
            <v>092050</v>
          </cell>
          <cell r="C7090" t="str">
            <v>CA</v>
          </cell>
          <cell r="D7090" t="str">
            <v>CA</v>
          </cell>
          <cell r="E7090" t="str">
            <v>09010</v>
          </cell>
        </row>
        <row r="7091">
          <cell r="A7091" t="str">
            <v>QUARTU SANT'ELENA</v>
          </cell>
          <cell r="B7091" t="str">
            <v>092051</v>
          </cell>
          <cell r="C7091" t="str">
            <v>CA</v>
          </cell>
          <cell r="D7091" t="str">
            <v>CA</v>
          </cell>
          <cell r="E7091" t="str">
            <v>09045</v>
          </cell>
        </row>
        <row r="7092">
          <cell r="A7092" t="str">
            <v>SARROCH</v>
          </cell>
          <cell r="B7092" t="str">
            <v>092066</v>
          </cell>
          <cell r="C7092" t="str">
            <v>CA</v>
          </cell>
          <cell r="D7092" t="str">
            <v>CA</v>
          </cell>
          <cell r="E7092" t="str">
            <v>09018</v>
          </cell>
        </row>
        <row r="7093">
          <cell r="A7093" t="str">
            <v>SELARGIUS</v>
          </cell>
          <cell r="B7093" t="str">
            <v>092068</v>
          </cell>
          <cell r="C7093" t="str">
            <v>CA</v>
          </cell>
          <cell r="D7093" t="str">
            <v>CA</v>
          </cell>
          <cell r="E7093" t="str">
            <v>09047</v>
          </cell>
        </row>
        <row r="7094">
          <cell r="A7094" t="str">
            <v>SESTU</v>
          </cell>
          <cell r="B7094" t="str">
            <v>092074</v>
          </cell>
          <cell r="C7094" t="str">
            <v>CA</v>
          </cell>
          <cell r="D7094" t="str">
            <v>CA</v>
          </cell>
          <cell r="E7094" t="str">
            <v>09028</v>
          </cell>
        </row>
        <row r="7095">
          <cell r="A7095" t="str">
            <v>SETTIMO SAN PIETRO</v>
          </cell>
          <cell r="B7095" t="str">
            <v>092075</v>
          </cell>
          <cell r="C7095" t="str">
            <v>CA</v>
          </cell>
          <cell r="D7095" t="str">
            <v>CA</v>
          </cell>
          <cell r="E7095" t="str">
            <v>09040</v>
          </cell>
        </row>
        <row r="7096">
          <cell r="A7096" t="str">
            <v>SINNAI</v>
          </cell>
          <cell r="B7096" t="str">
            <v>092080</v>
          </cell>
          <cell r="C7096" t="str">
            <v>CA</v>
          </cell>
          <cell r="D7096" t="str">
            <v>CA</v>
          </cell>
          <cell r="E7096" t="str">
            <v>09048</v>
          </cell>
        </row>
        <row r="7097">
          <cell r="A7097" t="str">
            <v>UTA</v>
          </cell>
          <cell r="B7097" t="str">
            <v>092090</v>
          </cell>
          <cell r="C7097" t="str">
            <v>CA</v>
          </cell>
          <cell r="D7097" t="str">
            <v>CA</v>
          </cell>
          <cell r="E7097" t="str">
            <v>09010</v>
          </cell>
        </row>
        <row r="7098">
          <cell r="A7098" t="str">
            <v>VILLA SAN PIETRO</v>
          </cell>
          <cell r="B7098" t="str">
            <v>092099</v>
          </cell>
          <cell r="C7098" t="str">
            <v>CA</v>
          </cell>
          <cell r="D7098" t="str">
            <v>CA</v>
          </cell>
          <cell r="E7098" t="str">
            <v>09010</v>
          </cell>
        </row>
        <row r="7099">
          <cell r="A7099" t="str">
            <v>QUARTUCCIU</v>
          </cell>
          <cell r="B7099" t="str">
            <v>092105</v>
          </cell>
          <cell r="C7099" t="str">
            <v>CA</v>
          </cell>
          <cell r="D7099" t="str">
            <v>CA</v>
          </cell>
          <cell r="E7099" t="str">
            <v>09044</v>
          </cell>
        </row>
        <row r="7100">
          <cell r="A7100" t="str">
            <v>ELMAS</v>
          </cell>
          <cell r="B7100" t="str">
            <v>092108</v>
          </cell>
          <cell r="C7100" t="str">
            <v>CA</v>
          </cell>
          <cell r="D7100" t="str">
            <v>CA</v>
          </cell>
          <cell r="E7100" t="str">
            <v>09030</v>
          </cell>
        </row>
        <row r="7101">
          <cell r="A7101" t="str">
            <v>MONSERRATO</v>
          </cell>
          <cell r="B7101" t="str">
            <v>092109</v>
          </cell>
          <cell r="C7101" t="str">
            <v>CA</v>
          </cell>
          <cell r="D7101" t="str">
            <v>CA</v>
          </cell>
          <cell r="E7101" t="str">
            <v>09042</v>
          </cell>
        </row>
        <row r="7102">
          <cell r="A7102" t="str">
            <v>ANDREIS</v>
          </cell>
          <cell r="B7102" t="str">
            <v>093001</v>
          </cell>
          <cell r="C7102" t="str">
            <v>PN</v>
          </cell>
          <cell r="D7102" t="str">
            <v>PN</v>
          </cell>
          <cell r="E7102" t="str">
            <v>33080</v>
          </cell>
        </row>
        <row r="7103">
          <cell r="A7103" t="str">
            <v>ARBA</v>
          </cell>
          <cell r="B7103" t="str">
            <v>093002</v>
          </cell>
          <cell r="C7103" t="str">
            <v>PN</v>
          </cell>
          <cell r="D7103" t="str">
            <v>PN</v>
          </cell>
          <cell r="E7103" t="str">
            <v>33090</v>
          </cell>
        </row>
        <row r="7104">
          <cell r="A7104" t="str">
            <v>AVIANO</v>
          </cell>
          <cell r="B7104" t="str">
            <v>093004</v>
          </cell>
          <cell r="C7104" t="str">
            <v>PN</v>
          </cell>
          <cell r="D7104" t="str">
            <v>PN</v>
          </cell>
          <cell r="E7104" t="str">
            <v>33081</v>
          </cell>
        </row>
        <row r="7105">
          <cell r="A7105" t="str">
            <v>AZZANO DECIMO</v>
          </cell>
          <cell r="B7105" t="str">
            <v>093005</v>
          </cell>
          <cell r="C7105" t="str">
            <v>PN</v>
          </cell>
          <cell r="D7105" t="str">
            <v>PN</v>
          </cell>
          <cell r="E7105" t="str">
            <v>33082</v>
          </cell>
        </row>
        <row r="7106">
          <cell r="A7106" t="str">
            <v>BARCIS</v>
          </cell>
          <cell r="B7106" t="str">
            <v>093006</v>
          </cell>
          <cell r="C7106" t="str">
            <v>PN</v>
          </cell>
          <cell r="D7106" t="str">
            <v>PN</v>
          </cell>
          <cell r="E7106" t="str">
            <v>33080</v>
          </cell>
        </row>
        <row r="7107">
          <cell r="A7107" t="str">
            <v>BRUGNERA</v>
          </cell>
          <cell r="B7107" t="str">
            <v>093007</v>
          </cell>
          <cell r="C7107" t="str">
            <v>PN</v>
          </cell>
          <cell r="D7107" t="str">
            <v>PN</v>
          </cell>
          <cell r="E7107" t="str">
            <v>33070</v>
          </cell>
        </row>
        <row r="7108">
          <cell r="A7108" t="str">
            <v>BUDOIA</v>
          </cell>
          <cell r="B7108" t="str">
            <v>093008</v>
          </cell>
          <cell r="C7108" t="str">
            <v>PN</v>
          </cell>
          <cell r="D7108" t="str">
            <v>PN</v>
          </cell>
          <cell r="E7108" t="str">
            <v>33070</v>
          </cell>
        </row>
        <row r="7109">
          <cell r="A7109" t="str">
            <v>CANEVA</v>
          </cell>
          <cell r="B7109" t="str">
            <v>093009</v>
          </cell>
          <cell r="C7109" t="str">
            <v>PN</v>
          </cell>
          <cell r="D7109" t="str">
            <v>PN</v>
          </cell>
          <cell r="E7109" t="str">
            <v>33070</v>
          </cell>
        </row>
        <row r="7110">
          <cell r="A7110" t="str">
            <v>CASARSA DELLA DELIZIA</v>
          </cell>
          <cell r="B7110" t="str">
            <v>093010</v>
          </cell>
          <cell r="C7110" t="str">
            <v>PN</v>
          </cell>
          <cell r="D7110" t="str">
            <v>PN</v>
          </cell>
          <cell r="E7110" t="str">
            <v>33072</v>
          </cell>
        </row>
        <row r="7111">
          <cell r="A7111" t="str">
            <v>CASTELNOVO DEL FRIULI</v>
          </cell>
          <cell r="B7111" t="str">
            <v>093011</v>
          </cell>
          <cell r="C7111" t="str">
            <v>PN</v>
          </cell>
          <cell r="D7111" t="str">
            <v>PN</v>
          </cell>
          <cell r="E7111" t="str">
            <v>33090</v>
          </cell>
        </row>
        <row r="7112">
          <cell r="A7112" t="str">
            <v>CAVASSO NUOVO</v>
          </cell>
          <cell r="B7112" t="str">
            <v>093012</v>
          </cell>
          <cell r="C7112" t="str">
            <v>PN</v>
          </cell>
          <cell r="D7112" t="str">
            <v>PN</v>
          </cell>
          <cell r="E7112" t="str">
            <v>33092</v>
          </cell>
        </row>
        <row r="7113">
          <cell r="A7113" t="str">
            <v>CHIONS</v>
          </cell>
          <cell r="B7113" t="str">
            <v>093013</v>
          </cell>
          <cell r="C7113" t="str">
            <v>PN</v>
          </cell>
          <cell r="D7113" t="str">
            <v>PN</v>
          </cell>
          <cell r="E7113" t="str">
            <v>33083</v>
          </cell>
        </row>
        <row r="7114">
          <cell r="A7114" t="str">
            <v>CIMOLAIS</v>
          </cell>
          <cell r="B7114" t="str">
            <v>093014</v>
          </cell>
          <cell r="C7114" t="str">
            <v>PN</v>
          </cell>
          <cell r="D7114" t="str">
            <v>PN</v>
          </cell>
          <cell r="E7114" t="str">
            <v>33080</v>
          </cell>
        </row>
        <row r="7115">
          <cell r="A7115" t="str">
            <v>CLAUT</v>
          </cell>
          <cell r="B7115" t="str">
            <v>093015</v>
          </cell>
          <cell r="C7115" t="str">
            <v>PN</v>
          </cell>
          <cell r="D7115" t="str">
            <v>PN</v>
          </cell>
          <cell r="E7115" t="str">
            <v>33080</v>
          </cell>
        </row>
        <row r="7116">
          <cell r="A7116" t="str">
            <v>CLAUZETTO</v>
          </cell>
          <cell r="B7116" t="str">
            <v>093016</v>
          </cell>
          <cell r="C7116" t="str">
            <v>PN</v>
          </cell>
          <cell r="D7116" t="str">
            <v>PN</v>
          </cell>
          <cell r="E7116" t="str">
            <v>33090</v>
          </cell>
        </row>
        <row r="7117">
          <cell r="A7117" t="str">
            <v>CORDENONS</v>
          </cell>
          <cell r="B7117" t="str">
            <v>093017</v>
          </cell>
          <cell r="C7117" t="str">
            <v>PN</v>
          </cell>
          <cell r="D7117" t="str">
            <v>PN</v>
          </cell>
          <cell r="E7117" t="str">
            <v>33084</v>
          </cell>
        </row>
        <row r="7118">
          <cell r="A7118" t="str">
            <v>CORDOVADO</v>
          </cell>
          <cell r="B7118" t="str">
            <v>093018</v>
          </cell>
          <cell r="C7118" t="str">
            <v>PN</v>
          </cell>
          <cell r="D7118" t="str">
            <v>PN</v>
          </cell>
          <cell r="E7118" t="str">
            <v>33075</v>
          </cell>
        </row>
        <row r="7119">
          <cell r="A7119" t="str">
            <v>ERTO E CASSO</v>
          </cell>
          <cell r="B7119" t="str">
            <v>093019</v>
          </cell>
          <cell r="C7119" t="str">
            <v>PN</v>
          </cell>
          <cell r="D7119" t="str">
            <v>PN</v>
          </cell>
          <cell r="E7119" t="str">
            <v>33080</v>
          </cell>
        </row>
        <row r="7120">
          <cell r="A7120" t="str">
            <v>FANNA</v>
          </cell>
          <cell r="B7120" t="str">
            <v>093020</v>
          </cell>
          <cell r="C7120" t="str">
            <v>PN</v>
          </cell>
          <cell r="D7120" t="str">
            <v>PN</v>
          </cell>
          <cell r="E7120" t="str">
            <v>33092</v>
          </cell>
        </row>
        <row r="7121">
          <cell r="A7121" t="str">
            <v>FIUME VENETO</v>
          </cell>
          <cell r="B7121" t="str">
            <v>093021</v>
          </cell>
          <cell r="C7121" t="str">
            <v>PN</v>
          </cell>
          <cell r="D7121" t="str">
            <v>PN</v>
          </cell>
          <cell r="E7121" t="str">
            <v>33080</v>
          </cell>
        </row>
        <row r="7122">
          <cell r="A7122" t="str">
            <v>FONTANAFREDDA</v>
          </cell>
          <cell r="B7122" t="str">
            <v>093022</v>
          </cell>
          <cell r="C7122" t="str">
            <v>PN</v>
          </cell>
          <cell r="D7122" t="str">
            <v>PN</v>
          </cell>
          <cell r="E7122" t="str">
            <v>33074</v>
          </cell>
        </row>
        <row r="7123">
          <cell r="A7123" t="str">
            <v>FRISANCO</v>
          </cell>
          <cell r="B7123" t="str">
            <v>093024</v>
          </cell>
          <cell r="C7123" t="str">
            <v>PN</v>
          </cell>
          <cell r="D7123" t="str">
            <v>PN</v>
          </cell>
          <cell r="E7123" t="str">
            <v>33080</v>
          </cell>
        </row>
        <row r="7124">
          <cell r="A7124" t="str">
            <v>MANIAGO</v>
          </cell>
          <cell r="B7124" t="str">
            <v>093025</v>
          </cell>
          <cell r="C7124" t="str">
            <v>PN</v>
          </cell>
          <cell r="D7124" t="str">
            <v>PN</v>
          </cell>
          <cell r="E7124" t="str">
            <v>33085</v>
          </cell>
        </row>
        <row r="7125">
          <cell r="A7125" t="str">
            <v>MEDUNO</v>
          </cell>
          <cell r="B7125" t="str">
            <v>093026</v>
          </cell>
          <cell r="C7125" t="str">
            <v>PN</v>
          </cell>
          <cell r="D7125" t="str">
            <v>PN</v>
          </cell>
          <cell r="E7125" t="str">
            <v>33092</v>
          </cell>
        </row>
        <row r="7126">
          <cell r="A7126" t="str">
            <v>MONTEREALE VALCELLINA</v>
          </cell>
          <cell r="B7126" t="str">
            <v>093027</v>
          </cell>
          <cell r="C7126" t="str">
            <v>PN</v>
          </cell>
          <cell r="D7126" t="str">
            <v>PN</v>
          </cell>
          <cell r="E7126" t="str">
            <v>33086</v>
          </cell>
        </row>
        <row r="7127">
          <cell r="A7127" t="str">
            <v>MORSANO AL TAGLIAMENTO</v>
          </cell>
          <cell r="B7127" t="str">
            <v>093028</v>
          </cell>
          <cell r="C7127" t="str">
            <v>PN</v>
          </cell>
          <cell r="D7127" t="str">
            <v>PN</v>
          </cell>
          <cell r="E7127" t="str">
            <v>33075</v>
          </cell>
        </row>
        <row r="7128">
          <cell r="A7128" t="str">
            <v>PASIANO DI PORDENONE</v>
          </cell>
          <cell r="B7128" t="str">
            <v>093029</v>
          </cell>
          <cell r="C7128" t="str">
            <v>PN</v>
          </cell>
          <cell r="D7128" t="str">
            <v>PN</v>
          </cell>
          <cell r="E7128" t="str">
            <v>33087</v>
          </cell>
        </row>
        <row r="7129">
          <cell r="A7129" t="str">
            <v>PINZANO AL TAGLIAMENTO</v>
          </cell>
          <cell r="B7129" t="str">
            <v>093030</v>
          </cell>
          <cell r="C7129" t="str">
            <v>PN</v>
          </cell>
          <cell r="D7129" t="str">
            <v>PN</v>
          </cell>
          <cell r="E7129" t="str">
            <v>33094</v>
          </cell>
        </row>
        <row r="7130">
          <cell r="A7130" t="str">
            <v>POLCENIGO</v>
          </cell>
          <cell r="B7130" t="str">
            <v>093031</v>
          </cell>
          <cell r="C7130" t="str">
            <v>PN</v>
          </cell>
          <cell r="D7130" t="str">
            <v>PN</v>
          </cell>
          <cell r="E7130" t="str">
            <v>33070</v>
          </cell>
        </row>
        <row r="7131">
          <cell r="A7131" t="str">
            <v>PORCIA</v>
          </cell>
          <cell r="B7131" t="str">
            <v>093032</v>
          </cell>
          <cell r="C7131" t="str">
            <v>PN</v>
          </cell>
          <cell r="D7131" t="str">
            <v>PN</v>
          </cell>
          <cell r="E7131" t="str">
            <v>33080</v>
          </cell>
        </row>
        <row r="7132">
          <cell r="A7132" t="str">
            <v>PORDENONE</v>
          </cell>
          <cell r="B7132" t="str">
            <v>093033</v>
          </cell>
          <cell r="C7132" t="str">
            <v>PN</v>
          </cell>
          <cell r="D7132" t="str">
            <v>PN</v>
          </cell>
          <cell r="E7132" t="str">
            <v>33170</v>
          </cell>
        </row>
        <row r="7133">
          <cell r="A7133" t="str">
            <v>PRATA DI PORDENONE</v>
          </cell>
          <cell r="B7133" t="str">
            <v>093034</v>
          </cell>
          <cell r="C7133" t="str">
            <v>PN</v>
          </cell>
          <cell r="D7133" t="str">
            <v>PN</v>
          </cell>
          <cell r="E7133" t="str">
            <v>33080</v>
          </cell>
        </row>
        <row r="7134">
          <cell r="A7134" t="str">
            <v>PRAVISDOMINI</v>
          </cell>
          <cell r="B7134" t="str">
            <v>093035</v>
          </cell>
          <cell r="C7134" t="str">
            <v>PN</v>
          </cell>
          <cell r="D7134" t="str">
            <v>PN</v>
          </cell>
          <cell r="E7134" t="str">
            <v>33076</v>
          </cell>
        </row>
        <row r="7135">
          <cell r="A7135" t="str">
            <v>ROVEREDO IN PIANO</v>
          </cell>
          <cell r="B7135" t="str">
            <v>093036</v>
          </cell>
          <cell r="C7135" t="str">
            <v>PN</v>
          </cell>
          <cell r="D7135" t="str">
            <v>PN</v>
          </cell>
          <cell r="E7135" t="str">
            <v>33080</v>
          </cell>
        </row>
        <row r="7136">
          <cell r="A7136" t="str">
            <v>SACILE</v>
          </cell>
          <cell r="B7136" t="str">
            <v>093037</v>
          </cell>
          <cell r="C7136" t="str">
            <v>PN</v>
          </cell>
          <cell r="D7136" t="str">
            <v>PN</v>
          </cell>
          <cell r="E7136" t="str">
            <v>33077</v>
          </cell>
        </row>
        <row r="7137">
          <cell r="A7137" t="str">
            <v>SAN GIORGIO DELLA RICHINVELDA</v>
          </cell>
          <cell r="B7137" t="str">
            <v>093038</v>
          </cell>
          <cell r="C7137" t="str">
            <v>PN</v>
          </cell>
          <cell r="D7137" t="str">
            <v>PN</v>
          </cell>
          <cell r="E7137" t="str">
            <v>33095</v>
          </cell>
        </row>
        <row r="7138">
          <cell r="A7138" t="str">
            <v>SAN MARTINO AL TAGLIAMENTO</v>
          </cell>
          <cell r="B7138" t="str">
            <v>093039</v>
          </cell>
          <cell r="C7138" t="str">
            <v>PN</v>
          </cell>
          <cell r="D7138" t="str">
            <v>PN</v>
          </cell>
          <cell r="E7138" t="str">
            <v>33098</v>
          </cell>
        </row>
        <row r="7139">
          <cell r="A7139" t="str">
            <v>SAN QUIRINO</v>
          </cell>
          <cell r="B7139" t="str">
            <v>093040</v>
          </cell>
          <cell r="C7139" t="str">
            <v>PN</v>
          </cell>
          <cell r="D7139" t="str">
            <v>PN</v>
          </cell>
          <cell r="E7139" t="str">
            <v>33080</v>
          </cell>
        </row>
        <row r="7140">
          <cell r="A7140" t="str">
            <v>SAN VITO AL TAGLIAMENTO</v>
          </cell>
          <cell r="B7140" t="str">
            <v>093041</v>
          </cell>
          <cell r="C7140" t="str">
            <v>PN</v>
          </cell>
          <cell r="D7140" t="str">
            <v>PN</v>
          </cell>
          <cell r="E7140" t="str">
            <v>33078</v>
          </cell>
        </row>
        <row r="7141">
          <cell r="A7141" t="str">
            <v>SEQUALS</v>
          </cell>
          <cell r="B7141" t="str">
            <v>093042</v>
          </cell>
          <cell r="C7141" t="str">
            <v>PN</v>
          </cell>
          <cell r="D7141" t="str">
            <v>PN</v>
          </cell>
          <cell r="E7141" t="str">
            <v>33090</v>
          </cell>
        </row>
        <row r="7142">
          <cell r="A7142" t="str">
            <v>SESTO AL REGHENA</v>
          </cell>
          <cell r="B7142" t="str">
            <v>093043</v>
          </cell>
          <cell r="C7142" t="str">
            <v>PN</v>
          </cell>
          <cell r="D7142" t="str">
            <v>PN</v>
          </cell>
          <cell r="E7142" t="str">
            <v>33079</v>
          </cell>
        </row>
        <row r="7143">
          <cell r="A7143" t="str">
            <v>SPILIMBERGO</v>
          </cell>
          <cell r="B7143" t="str">
            <v>093044</v>
          </cell>
          <cell r="C7143" t="str">
            <v>PN</v>
          </cell>
          <cell r="D7143" t="str">
            <v>PN</v>
          </cell>
          <cell r="E7143" t="str">
            <v>33097</v>
          </cell>
        </row>
        <row r="7144">
          <cell r="A7144" t="str">
            <v>TRAMONTI DI SOPRA</v>
          </cell>
          <cell r="B7144" t="str">
            <v>093045</v>
          </cell>
          <cell r="C7144" t="str">
            <v>PN</v>
          </cell>
          <cell r="D7144" t="str">
            <v>PN</v>
          </cell>
          <cell r="E7144" t="str">
            <v>33090</v>
          </cell>
        </row>
        <row r="7145">
          <cell r="A7145" t="str">
            <v>TRAMONTI DI SOTTO</v>
          </cell>
          <cell r="B7145" t="str">
            <v>093046</v>
          </cell>
          <cell r="C7145" t="str">
            <v>PN</v>
          </cell>
          <cell r="D7145" t="str">
            <v>PN</v>
          </cell>
          <cell r="E7145" t="str">
            <v>33090</v>
          </cell>
        </row>
        <row r="7146">
          <cell r="A7146" t="str">
            <v>TRAVESIO</v>
          </cell>
          <cell r="B7146" t="str">
            <v>093047</v>
          </cell>
          <cell r="C7146" t="str">
            <v>PN</v>
          </cell>
          <cell r="D7146" t="str">
            <v>PN</v>
          </cell>
          <cell r="E7146" t="str">
            <v>33090</v>
          </cell>
        </row>
        <row r="7147">
          <cell r="A7147" t="str">
            <v>VITO D'ASIO</v>
          </cell>
          <cell r="B7147" t="str">
            <v>093049</v>
          </cell>
          <cell r="C7147" t="str">
            <v>PN</v>
          </cell>
          <cell r="D7147" t="str">
            <v>PN</v>
          </cell>
          <cell r="E7147" t="str">
            <v>33090</v>
          </cell>
        </row>
        <row r="7148">
          <cell r="A7148" t="str">
            <v>VIVARO</v>
          </cell>
          <cell r="B7148" t="str">
            <v>093050</v>
          </cell>
          <cell r="C7148" t="str">
            <v>PN</v>
          </cell>
          <cell r="D7148" t="str">
            <v>PN</v>
          </cell>
          <cell r="E7148" t="str">
            <v>33099</v>
          </cell>
        </row>
        <row r="7149">
          <cell r="A7149" t="str">
            <v>ZOPPOLA</v>
          </cell>
          <cell r="B7149" t="str">
            <v>093051</v>
          </cell>
          <cell r="C7149" t="str">
            <v>PN</v>
          </cell>
          <cell r="D7149" t="str">
            <v>PN</v>
          </cell>
          <cell r="E7149" t="str">
            <v>33080</v>
          </cell>
        </row>
        <row r="7150">
          <cell r="A7150" t="str">
            <v>VAJONT</v>
          </cell>
          <cell r="B7150" t="str">
            <v>093052</v>
          </cell>
          <cell r="C7150" t="str">
            <v>PN</v>
          </cell>
          <cell r="D7150" t="str">
            <v>PN</v>
          </cell>
          <cell r="E7150" t="str">
            <v>33080</v>
          </cell>
        </row>
        <row r="7151">
          <cell r="A7151" t="str">
            <v>VALVASONE ARZENE</v>
          </cell>
          <cell r="B7151" t="str">
            <v>093053</v>
          </cell>
          <cell r="C7151" t="str">
            <v>PN</v>
          </cell>
          <cell r="D7151" t="e">
            <v>#N/A</v>
          </cell>
          <cell r="E7151" t="e">
            <v>#N/A</v>
          </cell>
        </row>
        <row r="7152">
          <cell r="A7152" t="str">
            <v>ACQUAVIVA D'ISERNIA</v>
          </cell>
          <cell r="B7152" t="str">
            <v>094001</v>
          </cell>
          <cell r="C7152" t="str">
            <v>IS</v>
          </cell>
          <cell r="D7152" t="str">
            <v>IS</v>
          </cell>
          <cell r="E7152" t="str">
            <v>86080</v>
          </cell>
        </row>
        <row r="7153">
          <cell r="A7153" t="str">
            <v>AGNONE</v>
          </cell>
          <cell r="B7153" t="str">
            <v>094002</v>
          </cell>
          <cell r="C7153" t="str">
            <v>IS</v>
          </cell>
          <cell r="D7153" t="str">
            <v>IS</v>
          </cell>
          <cell r="E7153" t="str">
            <v>86081</v>
          </cell>
        </row>
        <row r="7154">
          <cell r="A7154" t="str">
            <v>BAGNOLI DEL TRIGNO</v>
          </cell>
          <cell r="B7154" t="str">
            <v>094003</v>
          </cell>
          <cell r="C7154" t="str">
            <v>IS</v>
          </cell>
          <cell r="D7154" t="str">
            <v>IS</v>
          </cell>
          <cell r="E7154" t="str">
            <v>86091</v>
          </cell>
        </row>
        <row r="7155">
          <cell r="A7155" t="str">
            <v>BELMONTE DEL SANNIO</v>
          </cell>
          <cell r="B7155" t="str">
            <v>094004</v>
          </cell>
          <cell r="C7155" t="str">
            <v>IS</v>
          </cell>
          <cell r="D7155" t="str">
            <v>IS</v>
          </cell>
          <cell r="E7155" t="str">
            <v>86080</v>
          </cell>
        </row>
        <row r="7156">
          <cell r="A7156" t="str">
            <v>CANTALUPO NEL SANNIO</v>
          </cell>
          <cell r="B7156" t="str">
            <v>094005</v>
          </cell>
          <cell r="C7156" t="str">
            <v>IS</v>
          </cell>
          <cell r="D7156" t="str">
            <v>IS</v>
          </cell>
          <cell r="E7156" t="str">
            <v>86092</v>
          </cell>
        </row>
        <row r="7157">
          <cell r="A7157" t="str">
            <v>CAPRACOTTA</v>
          </cell>
          <cell r="B7157" t="str">
            <v>094006</v>
          </cell>
          <cell r="C7157" t="str">
            <v>IS</v>
          </cell>
          <cell r="D7157" t="str">
            <v>IS</v>
          </cell>
          <cell r="E7157" t="str">
            <v>86082</v>
          </cell>
        </row>
        <row r="7158">
          <cell r="A7158" t="str">
            <v>CAROVILLI</v>
          </cell>
          <cell r="B7158" t="str">
            <v>094007</v>
          </cell>
          <cell r="C7158" t="str">
            <v>IS</v>
          </cell>
          <cell r="D7158" t="str">
            <v>IS</v>
          </cell>
          <cell r="E7158" t="str">
            <v>86083</v>
          </cell>
        </row>
        <row r="7159">
          <cell r="A7159" t="str">
            <v>CARPINONE</v>
          </cell>
          <cell r="B7159" t="str">
            <v>094008</v>
          </cell>
          <cell r="C7159" t="str">
            <v>IS</v>
          </cell>
          <cell r="D7159" t="str">
            <v>IS</v>
          </cell>
          <cell r="E7159" t="str">
            <v>86093</v>
          </cell>
        </row>
        <row r="7160">
          <cell r="A7160" t="str">
            <v>CASTEL DEL GIUDICE</v>
          </cell>
          <cell r="B7160" t="str">
            <v>094009</v>
          </cell>
          <cell r="C7160" t="str">
            <v>IS</v>
          </cell>
          <cell r="D7160" t="str">
            <v>IS</v>
          </cell>
          <cell r="E7160" t="str">
            <v>86080</v>
          </cell>
        </row>
        <row r="7161">
          <cell r="A7161" t="str">
            <v>CASTELPETROSO</v>
          </cell>
          <cell r="B7161" t="str">
            <v>094010</v>
          </cell>
          <cell r="C7161" t="str">
            <v>IS</v>
          </cell>
          <cell r="D7161" t="str">
            <v>IS</v>
          </cell>
          <cell r="E7161" t="str">
            <v>86090</v>
          </cell>
        </row>
        <row r="7162">
          <cell r="A7162" t="str">
            <v>CASTELPIZZUTO</v>
          </cell>
          <cell r="B7162" t="str">
            <v>094011</v>
          </cell>
          <cell r="C7162" t="str">
            <v>IS</v>
          </cell>
          <cell r="D7162" t="str">
            <v>IS</v>
          </cell>
          <cell r="E7162" t="str">
            <v>86090</v>
          </cell>
        </row>
        <row r="7163">
          <cell r="A7163" t="str">
            <v>CASTEL SAN VINCENZO</v>
          </cell>
          <cell r="B7163" t="str">
            <v>094012</v>
          </cell>
          <cell r="C7163" t="str">
            <v>IS</v>
          </cell>
          <cell r="D7163" t="str">
            <v>IS</v>
          </cell>
          <cell r="E7163" t="str">
            <v>86071</v>
          </cell>
        </row>
        <row r="7164">
          <cell r="A7164" t="str">
            <v>CASTELVERRINO</v>
          </cell>
          <cell r="B7164" t="str">
            <v>094013</v>
          </cell>
          <cell r="C7164" t="str">
            <v>IS</v>
          </cell>
          <cell r="D7164" t="str">
            <v>IS</v>
          </cell>
          <cell r="E7164" t="str">
            <v>86080</v>
          </cell>
        </row>
        <row r="7165">
          <cell r="A7165" t="str">
            <v>CERRO AL VOLTURNO</v>
          </cell>
          <cell r="B7165" t="str">
            <v>094014</v>
          </cell>
          <cell r="C7165" t="str">
            <v>IS</v>
          </cell>
          <cell r="D7165" t="str">
            <v>IS</v>
          </cell>
          <cell r="E7165" t="str">
            <v>86072</v>
          </cell>
        </row>
        <row r="7166">
          <cell r="A7166" t="str">
            <v>CHIAUCI</v>
          </cell>
          <cell r="B7166" t="str">
            <v>094015</v>
          </cell>
          <cell r="C7166" t="str">
            <v>IS</v>
          </cell>
          <cell r="D7166" t="str">
            <v>IS</v>
          </cell>
          <cell r="E7166" t="str">
            <v>86097</v>
          </cell>
        </row>
        <row r="7167">
          <cell r="A7167" t="str">
            <v>CIVITANOVA DEL SANNIO</v>
          </cell>
          <cell r="B7167" t="str">
            <v>094016</v>
          </cell>
          <cell r="C7167" t="str">
            <v>IS</v>
          </cell>
          <cell r="D7167" t="str">
            <v>IS</v>
          </cell>
          <cell r="E7167" t="str">
            <v>86094</v>
          </cell>
        </row>
        <row r="7168">
          <cell r="A7168" t="str">
            <v>COLLI A VOLTURNO</v>
          </cell>
          <cell r="B7168" t="str">
            <v>094017</v>
          </cell>
          <cell r="C7168" t="str">
            <v>IS</v>
          </cell>
          <cell r="D7168" t="str">
            <v>IS</v>
          </cell>
          <cell r="E7168" t="str">
            <v>86073</v>
          </cell>
        </row>
        <row r="7169">
          <cell r="A7169" t="str">
            <v>CONCA CASALE</v>
          </cell>
          <cell r="B7169" t="str">
            <v>094018</v>
          </cell>
          <cell r="C7169" t="str">
            <v>IS</v>
          </cell>
          <cell r="D7169" t="str">
            <v>IS</v>
          </cell>
          <cell r="E7169" t="str">
            <v>86070</v>
          </cell>
        </row>
        <row r="7170">
          <cell r="A7170" t="str">
            <v>FILIGNANO</v>
          </cell>
          <cell r="B7170" t="str">
            <v>094019</v>
          </cell>
          <cell r="C7170" t="str">
            <v>IS</v>
          </cell>
          <cell r="D7170" t="str">
            <v>IS</v>
          </cell>
          <cell r="E7170" t="str">
            <v>86074</v>
          </cell>
        </row>
        <row r="7171">
          <cell r="A7171" t="str">
            <v>FORLÌ DEL SANNIO</v>
          </cell>
          <cell r="B7171" t="str">
            <v>094020</v>
          </cell>
          <cell r="C7171" t="str">
            <v>IS</v>
          </cell>
          <cell r="D7171" t="str">
            <v>IS</v>
          </cell>
          <cell r="E7171" t="str">
            <v>86084</v>
          </cell>
        </row>
        <row r="7172">
          <cell r="A7172" t="str">
            <v>FORNELLI</v>
          </cell>
          <cell r="B7172" t="str">
            <v>094021</v>
          </cell>
          <cell r="C7172" t="str">
            <v>IS</v>
          </cell>
          <cell r="D7172" t="str">
            <v>IS</v>
          </cell>
          <cell r="E7172" t="str">
            <v>86070</v>
          </cell>
        </row>
        <row r="7173">
          <cell r="A7173" t="str">
            <v>FROSOLONE</v>
          </cell>
          <cell r="B7173" t="str">
            <v>094022</v>
          </cell>
          <cell r="C7173" t="str">
            <v>IS</v>
          </cell>
          <cell r="D7173" t="str">
            <v>IS</v>
          </cell>
          <cell r="E7173" t="str">
            <v>86095</v>
          </cell>
        </row>
        <row r="7174">
          <cell r="A7174" t="str">
            <v>ISERNIA</v>
          </cell>
          <cell r="B7174" t="str">
            <v>094023</v>
          </cell>
          <cell r="C7174" t="str">
            <v>IS</v>
          </cell>
          <cell r="D7174" t="str">
            <v>IS</v>
          </cell>
          <cell r="E7174" t="str">
            <v>86170</v>
          </cell>
        </row>
        <row r="7175">
          <cell r="A7175" t="str">
            <v>LONGANO</v>
          </cell>
          <cell r="B7175" t="str">
            <v>094024</v>
          </cell>
          <cell r="C7175" t="str">
            <v>IS</v>
          </cell>
          <cell r="D7175" t="str">
            <v>IS</v>
          </cell>
          <cell r="E7175" t="str">
            <v>86090</v>
          </cell>
        </row>
        <row r="7176">
          <cell r="A7176" t="str">
            <v>MACCHIA D'ISERNIA</v>
          </cell>
          <cell r="B7176" t="str">
            <v>094025</v>
          </cell>
          <cell r="C7176" t="str">
            <v>IS</v>
          </cell>
          <cell r="D7176" t="str">
            <v>IS</v>
          </cell>
          <cell r="E7176" t="str">
            <v>86070</v>
          </cell>
        </row>
        <row r="7177">
          <cell r="A7177" t="str">
            <v>MACCHIAGODENA</v>
          </cell>
          <cell r="B7177" t="str">
            <v>094026</v>
          </cell>
          <cell r="C7177" t="str">
            <v>IS</v>
          </cell>
          <cell r="D7177" t="str">
            <v>IS</v>
          </cell>
          <cell r="E7177" t="str">
            <v>86096</v>
          </cell>
        </row>
        <row r="7178">
          <cell r="A7178" t="str">
            <v>MIRANDA</v>
          </cell>
          <cell r="B7178" t="str">
            <v>094027</v>
          </cell>
          <cell r="C7178" t="str">
            <v>IS</v>
          </cell>
          <cell r="D7178" t="str">
            <v>IS</v>
          </cell>
          <cell r="E7178" t="str">
            <v>86080</v>
          </cell>
        </row>
        <row r="7179">
          <cell r="A7179" t="str">
            <v>MONTAQUILA</v>
          </cell>
          <cell r="B7179" t="str">
            <v>094028</v>
          </cell>
          <cell r="C7179" t="str">
            <v>IS</v>
          </cell>
          <cell r="D7179" t="str">
            <v>IS</v>
          </cell>
          <cell r="E7179" t="str">
            <v>86070</v>
          </cell>
        </row>
        <row r="7180">
          <cell r="A7180" t="str">
            <v>MONTENERO VAL COCCHIARA</v>
          </cell>
          <cell r="B7180" t="str">
            <v>094029</v>
          </cell>
          <cell r="C7180" t="str">
            <v>IS</v>
          </cell>
          <cell r="D7180" t="str">
            <v>IS</v>
          </cell>
          <cell r="E7180" t="str">
            <v>86080</v>
          </cell>
        </row>
        <row r="7181">
          <cell r="A7181" t="str">
            <v>MONTERODUNI</v>
          </cell>
          <cell r="B7181" t="str">
            <v>094030</v>
          </cell>
          <cell r="C7181" t="str">
            <v>IS</v>
          </cell>
          <cell r="D7181" t="str">
            <v>IS</v>
          </cell>
          <cell r="E7181" t="str">
            <v>86075</v>
          </cell>
        </row>
        <row r="7182">
          <cell r="A7182" t="str">
            <v>PESCHE</v>
          </cell>
          <cell r="B7182" t="str">
            <v>094031</v>
          </cell>
          <cell r="C7182" t="str">
            <v>IS</v>
          </cell>
          <cell r="D7182" t="str">
            <v>IS</v>
          </cell>
          <cell r="E7182" t="str">
            <v>86090</v>
          </cell>
        </row>
        <row r="7183">
          <cell r="A7183" t="str">
            <v>PESCOLANCIANO</v>
          </cell>
          <cell r="B7183" t="str">
            <v>094032</v>
          </cell>
          <cell r="C7183" t="str">
            <v>IS</v>
          </cell>
          <cell r="D7183" t="str">
            <v>IS</v>
          </cell>
          <cell r="E7183" t="str">
            <v>86097</v>
          </cell>
        </row>
        <row r="7184">
          <cell r="A7184" t="str">
            <v>PESCOPENNATARO</v>
          </cell>
          <cell r="B7184" t="str">
            <v>094033</v>
          </cell>
          <cell r="C7184" t="str">
            <v>IS</v>
          </cell>
          <cell r="D7184" t="str">
            <v>IS</v>
          </cell>
          <cell r="E7184" t="str">
            <v>86080</v>
          </cell>
        </row>
        <row r="7185">
          <cell r="A7185" t="str">
            <v>PETTORANELLO DEL MOLISE</v>
          </cell>
          <cell r="B7185" t="str">
            <v>094034</v>
          </cell>
          <cell r="C7185" t="str">
            <v>IS</v>
          </cell>
          <cell r="D7185" t="str">
            <v>IS</v>
          </cell>
          <cell r="E7185" t="str">
            <v>86090</v>
          </cell>
        </row>
        <row r="7186">
          <cell r="A7186" t="str">
            <v>PIETRABBONDANTE</v>
          </cell>
          <cell r="B7186" t="str">
            <v>094035</v>
          </cell>
          <cell r="C7186" t="str">
            <v>IS</v>
          </cell>
          <cell r="D7186" t="str">
            <v>IS</v>
          </cell>
          <cell r="E7186" t="str">
            <v>86085</v>
          </cell>
        </row>
        <row r="7187">
          <cell r="A7187" t="str">
            <v>PIZZONE</v>
          </cell>
          <cell r="B7187" t="str">
            <v>094036</v>
          </cell>
          <cell r="C7187" t="str">
            <v>IS</v>
          </cell>
          <cell r="D7187" t="str">
            <v>IS</v>
          </cell>
          <cell r="E7187" t="str">
            <v>86071</v>
          </cell>
        </row>
        <row r="7188">
          <cell r="A7188" t="str">
            <v>POGGIO SANNITA</v>
          </cell>
          <cell r="B7188" t="str">
            <v>094037</v>
          </cell>
          <cell r="C7188" t="str">
            <v>IS</v>
          </cell>
          <cell r="D7188" t="str">
            <v>IS</v>
          </cell>
          <cell r="E7188" t="str">
            <v>86086</v>
          </cell>
        </row>
        <row r="7189">
          <cell r="A7189" t="str">
            <v>POZZILLI</v>
          </cell>
          <cell r="B7189" t="str">
            <v>094038</v>
          </cell>
          <cell r="C7189" t="str">
            <v>IS</v>
          </cell>
          <cell r="D7189" t="str">
            <v>IS</v>
          </cell>
          <cell r="E7189" t="str">
            <v>86077</v>
          </cell>
        </row>
        <row r="7190">
          <cell r="A7190" t="str">
            <v>RIONERO SANNITICO</v>
          </cell>
          <cell r="B7190" t="str">
            <v>094039</v>
          </cell>
          <cell r="C7190" t="str">
            <v>IS</v>
          </cell>
          <cell r="D7190" t="str">
            <v>IS</v>
          </cell>
          <cell r="E7190" t="str">
            <v>86087</v>
          </cell>
        </row>
        <row r="7191">
          <cell r="A7191" t="str">
            <v>ROCCAMANDOLFI</v>
          </cell>
          <cell r="B7191" t="str">
            <v>094040</v>
          </cell>
          <cell r="C7191" t="str">
            <v>IS</v>
          </cell>
          <cell r="D7191" t="str">
            <v>IS</v>
          </cell>
          <cell r="E7191" t="str">
            <v>86092</v>
          </cell>
        </row>
        <row r="7192">
          <cell r="A7192" t="str">
            <v>ROCCASICURA</v>
          </cell>
          <cell r="B7192" t="str">
            <v>094041</v>
          </cell>
          <cell r="C7192" t="str">
            <v>IS</v>
          </cell>
          <cell r="D7192" t="str">
            <v>IS</v>
          </cell>
          <cell r="E7192" t="str">
            <v>86080</v>
          </cell>
        </row>
        <row r="7193">
          <cell r="A7193" t="str">
            <v>ROCCHETTA A VOLTURNO</v>
          </cell>
          <cell r="B7193" t="str">
            <v>094042</v>
          </cell>
          <cell r="C7193" t="str">
            <v>IS</v>
          </cell>
          <cell r="D7193" t="str">
            <v>IS</v>
          </cell>
          <cell r="E7193" t="str">
            <v>86070</v>
          </cell>
        </row>
        <row r="7194">
          <cell r="A7194" t="str">
            <v>SAN PIETRO AVELLANA</v>
          </cell>
          <cell r="B7194" t="str">
            <v>094043</v>
          </cell>
          <cell r="C7194" t="str">
            <v>IS</v>
          </cell>
          <cell r="D7194" t="str">
            <v>IS</v>
          </cell>
          <cell r="E7194" t="str">
            <v>86088</v>
          </cell>
        </row>
        <row r="7195">
          <cell r="A7195" t="str">
            <v>SANT'AGAPITO</v>
          </cell>
          <cell r="B7195" t="str">
            <v>094044</v>
          </cell>
          <cell r="C7195" t="str">
            <v>IS</v>
          </cell>
          <cell r="D7195" t="str">
            <v>IS</v>
          </cell>
          <cell r="E7195" t="str">
            <v>86070</v>
          </cell>
        </row>
        <row r="7196">
          <cell r="A7196" t="str">
            <v>SANTA MARIA DEL MOLISE</v>
          </cell>
          <cell r="B7196" t="str">
            <v>094045</v>
          </cell>
          <cell r="C7196" t="str">
            <v>IS</v>
          </cell>
          <cell r="D7196" t="str">
            <v>IS</v>
          </cell>
          <cell r="E7196" t="str">
            <v>86096</v>
          </cell>
        </row>
        <row r="7197">
          <cell r="A7197" t="str">
            <v>SANT'ANGELO DEL PESCO</v>
          </cell>
          <cell r="B7197" t="str">
            <v>094046</v>
          </cell>
          <cell r="C7197" t="str">
            <v>IS</v>
          </cell>
          <cell r="D7197" t="str">
            <v>IS</v>
          </cell>
          <cell r="E7197" t="str">
            <v>86080</v>
          </cell>
        </row>
        <row r="7198">
          <cell r="A7198" t="str">
            <v>SANT'ELENA SANNITA</v>
          </cell>
          <cell r="B7198" t="str">
            <v>094047</v>
          </cell>
          <cell r="C7198" t="str">
            <v>IS</v>
          </cell>
          <cell r="D7198" t="str">
            <v>IS</v>
          </cell>
          <cell r="E7198" t="str">
            <v>86095</v>
          </cell>
        </row>
        <row r="7199">
          <cell r="A7199" t="str">
            <v>SCAPOLI</v>
          </cell>
          <cell r="B7199" t="str">
            <v>094048</v>
          </cell>
          <cell r="C7199" t="str">
            <v>IS</v>
          </cell>
          <cell r="D7199" t="str">
            <v>IS</v>
          </cell>
          <cell r="E7199" t="str">
            <v>86070</v>
          </cell>
        </row>
        <row r="7200">
          <cell r="A7200" t="str">
            <v>SESSANO DEL MOLISE</v>
          </cell>
          <cell r="B7200" t="str">
            <v>094049</v>
          </cell>
          <cell r="C7200" t="str">
            <v>IS</v>
          </cell>
          <cell r="D7200" t="str">
            <v>IS</v>
          </cell>
          <cell r="E7200" t="str">
            <v>86097</v>
          </cell>
        </row>
        <row r="7201">
          <cell r="A7201" t="str">
            <v>SESTO CAMPANO</v>
          </cell>
          <cell r="B7201" t="str">
            <v>094050</v>
          </cell>
          <cell r="C7201" t="str">
            <v>IS</v>
          </cell>
          <cell r="D7201" t="str">
            <v>IS</v>
          </cell>
          <cell r="E7201" t="str">
            <v>86078</v>
          </cell>
        </row>
        <row r="7202">
          <cell r="A7202" t="str">
            <v>VASTOGIRARDI</v>
          </cell>
          <cell r="B7202" t="str">
            <v>094051</v>
          </cell>
          <cell r="C7202" t="str">
            <v>IS</v>
          </cell>
          <cell r="D7202" t="str">
            <v>IS</v>
          </cell>
          <cell r="E7202" t="str">
            <v>86089</v>
          </cell>
        </row>
        <row r="7203">
          <cell r="A7203" t="str">
            <v>VENAFRO</v>
          </cell>
          <cell r="B7203" t="str">
            <v>094052</v>
          </cell>
          <cell r="C7203" t="str">
            <v>IS</v>
          </cell>
          <cell r="D7203" t="str">
            <v>IS</v>
          </cell>
          <cell r="E7203" t="str">
            <v>86079</v>
          </cell>
        </row>
        <row r="7204">
          <cell r="A7204" t="str">
            <v>ABBASANTA</v>
          </cell>
          <cell r="B7204" t="str">
            <v>095001</v>
          </cell>
          <cell r="C7204" t="str">
            <v>OR</v>
          </cell>
          <cell r="D7204" t="str">
            <v>OR</v>
          </cell>
          <cell r="E7204" t="str">
            <v>09071</v>
          </cell>
        </row>
        <row r="7205">
          <cell r="A7205" t="str">
            <v>AIDOMAGGIORE</v>
          </cell>
          <cell r="B7205" t="str">
            <v>095002</v>
          </cell>
          <cell r="C7205" t="str">
            <v>OR</v>
          </cell>
          <cell r="D7205" t="str">
            <v>OR</v>
          </cell>
          <cell r="E7205" t="str">
            <v>09070</v>
          </cell>
        </row>
        <row r="7206">
          <cell r="A7206" t="str">
            <v>ALBAGIARA</v>
          </cell>
          <cell r="B7206" t="str">
            <v>095003</v>
          </cell>
          <cell r="C7206" t="str">
            <v>OR</v>
          </cell>
          <cell r="D7206" t="str">
            <v>OR</v>
          </cell>
          <cell r="E7206" t="str">
            <v>09090</v>
          </cell>
        </row>
        <row r="7207">
          <cell r="A7207" t="str">
            <v>ALES</v>
          </cell>
          <cell r="B7207" t="str">
            <v>095004</v>
          </cell>
          <cell r="C7207" t="str">
            <v>OR</v>
          </cell>
          <cell r="D7207" t="str">
            <v>OR</v>
          </cell>
          <cell r="E7207" t="str">
            <v>09091</v>
          </cell>
        </row>
        <row r="7208">
          <cell r="A7208" t="str">
            <v>ALLAI</v>
          </cell>
          <cell r="B7208" t="str">
            <v>095005</v>
          </cell>
          <cell r="C7208" t="str">
            <v>OR</v>
          </cell>
          <cell r="D7208" t="str">
            <v>OR</v>
          </cell>
          <cell r="E7208" t="str">
            <v>09080</v>
          </cell>
        </row>
        <row r="7209">
          <cell r="A7209" t="str">
            <v>ARBOREA</v>
          </cell>
          <cell r="B7209" t="str">
            <v>095006</v>
          </cell>
          <cell r="C7209" t="str">
            <v>OR</v>
          </cell>
          <cell r="D7209" t="str">
            <v>OR</v>
          </cell>
          <cell r="E7209" t="str">
            <v>09092</v>
          </cell>
        </row>
        <row r="7210">
          <cell r="A7210" t="str">
            <v>ARDAULI</v>
          </cell>
          <cell r="B7210" t="str">
            <v>095007</v>
          </cell>
          <cell r="C7210" t="str">
            <v>OR</v>
          </cell>
          <cell r="D7210" t="str">
            <v>OR</v>
          </cell>
          <cell r="E7210" t="str">
            <v>09081</v>
          </cell>
        </row>
        <row r="7211">
          <cell r="A7211" t="str">
            <v>ASSOLO</v>
          </cell>
          <cell r="B7211" t="str">
            <v>095008</v>
          </cell>
          <cell r="C7211" t="str">
            <v>OR</v>
          </cell>
          <cell r="D7211" t="str">
            <v>OR</v>
          </cell>
          <cell r="E7211" t="str">
            <v>09080</v>
          </cell>
        </row>
        <row r="7212">
          <cell r="A7212" t="str">
            <v>ASUNI</v>
          </cell>
          <cell r="B7212" t="str">
            <v>095009</v>
          </cell>
          <cell r="C7212" t="str">
            <v>OR</v>
          </cell>
          <cell r="D7212" t="str">
            <v>OR</v>
          </cell>
          <cell r="E7212" t="str">
            <v>09080</v>
          </cell>
        </row>
        <row r="7213">
          <cell r="A7213" t="str">
            <v>BARADILI</v>
          </cell>
          <cell r="B7213" t="str">
            <v>095010</v>
          </cell>
          <cell r="C7213" t="str">
            <v>OR</v>
          </cell>
          <cell r="D7213" t="str">
            <v>OR</v>
          </cell>
          <cell r="E7213" t="str">
            <v>09090</v>
          </cell>
        </row>
        <row r="7214">
          <cell r="A7214" t="str">
            <v>BARATILI SAN PIETRO</v>
          </cell>
          <cell r="B7214" t="str">
            <v>095011</v>
          </cell>
          <cell r="C7214" t="str">
            <v>OR</v>
          </cell>
          <cell r="D7214" t="str">
            <v>OR</v>
          </cell>
          <cell r="E7214" t="str">
            <v>09070</v>
          </cell>
        </row>
        <row r="7215">
          <cell r="A7215" t="str">
            <v>BARESSA</v>
          </cell>
          <cell r="B7215" t="str">
            <v>095012</v>
          </cell>
          <cell r="C7215" t="str">
            <v>OR</v>
          </cell>
          <cell r="D7215" t="str">
            <v>OR</v>
          </cell>
          <cell r="E7215" t="str">
            <v>09090</v>
          </cell>
        </row>
        <row r="7216">
          <cell r="A7216" t="str">
            <v>BAULADU</v>
          </cell>
          <cell r="B7216" t="str">
            <v>095013</v>
          </cell>
          <cell r="C7216" t="str">
            <v>OR</v>
          </cell>
          <cell r="D7216" t="str">
            <v>OR</v>
          </cell>
          <cell r="E7216" t="str">
            <v>09070</v>
          </cell>
        </row>
        <row r="7217">
          <cell r="A7217" t="str">
            <v>BIDONÌ</v>
          </cell>
          <cell r="B7217" t="str">
            <v>095014</v>
          </cell>
          <cell r="C7217" t="str">
            <v>OR</v>
          </cell>
          <cell r="D7217" t="str">
            <v>OR</v>
          </cell>
          <cell r="E7217" t="str">
            <v>09080</v>
          </cell>
        </row>
        <row r="7218">
          <cell r="A7218" t="str">
            <v>BONARCADO</v>
          </cell>
          <cell r="B7218" t="str">
            <v>095015</v>
          </cell>
          <cell r="C7218" t="str">
            <v>OR</v>
          </cell>
          <cell r="D7218" t="str">
            <v>OR</v>
          </cell>
          <cell r="E7218" t="str">
            <v>09070</v>
          </cell>
        </row>
        <row r="7219">
          <cell r="A7219" t="str">
            <v>BORONEDDU</v>
          </cell>
          <cell r="B7219" t="str">
            <v>095016</v>
          </cell>
          <cell r="C7219" t="str">
            <v>OR</v>
          </cell>
          <cell r="D7219" t="str">
            <v>OR</v>
          </cell>
          <cell r="E7219" t="str">
            <v>09080</v>
          </cell>
        </row>
        <row r="7220">
          <cell r="A7220" t="str">
            <v>BUSACHI</v>
          </cell>
          <cell r="B7220" t="str">
            <v>095017</v>
          </cell>
          <cell r="C7220" t="str">
            <v>OR</v>
          </cell>
          <cell r="D7220" t="str">
            <v>OR</v>
          </cell>
          <cell r="E7220" t="str">
            <v>09082</v>
          </cell>
        </row>
        <row r="7221">
          <cell r="A7221" t="str">
            <v>CABRAS</v>
          </cell>
          <cell r="B7221" t="str">
            <v>095018</v>
          </cell>
          <cell r="C7221" t="str">
            <v>OR</v>
          </cell>
          <cell r="D7221" t="str">
            <v>OR</v>
          </cell>
          <cell r="E7221" t="str">
            <v>09072</v>
          </cell>
        </row>
        <row r="7222">
          <cell r="A7222" t="str">
            <v>CUGLIERI</v>
          </cell>
          <cell r="B7222" t="str">
            <v>095019</v>
          </cell>
          <cell r="C7222" t="str">
            <v>OR</v>
          </cell>
          <cell r="D7222" t="str">
            <v>OR</v>
          </cell>
          <cell r="E7222" t="str">
            <v>09073</v>
          </cell>
        </row>
        <row r="7223">
          <cell r="A7223" t="str">
            <v>FORDONGIANUS</v>
          </cell>
          <cell r="B7223" t="str">
            <v>095020</v>
          </cell>
          <cell r="C7223" t="str">
            <v>OR</v>
          </cell>
          <cell r="D7223" t="str">
            <v>OR</v>
          </cell>
          <cell r="E7223" t="str">
            <v>09083</v>
          </cell>
        </row>
        <row r="7224">
          <cell r="A7224" t="str">
            <v>GHILARZA</v>
          </cell>
          <cell r="B7224" t="str">
            <v>095021</v>
          </cell>
          <cell r="C7224" t="str">
            <v>OR</v>
          </cell>
          <cell r="D7224" t="str">
            <v>OR</v>
          </cell>
          <cell r="E7224" t="str">
            <v>09074</v>
          </cell>
        </row>
        <row r="7225">
          <cell r="A7225" t="str">
            <v>GONNOSCODINA</v>
          </cell>
          <cell r="B7225" t="str">
            <v>095022</v>
          </cell>
          <cell r="C7225" t="str">
            <v>OR</v>
          </cell>
          <cell r="D7225" t="str">
            <v>OR</v>
          </cell>
          <cell r="E7225" t="str">
            <v>09090</v>
          </cell>
        </row>
        <row r="7226">
          <cell r="A7226" t="str">
            <v>GONNOSNÒ</v>
          </cell>
          <cell r="B7226" t="str">
            <v>095023</v>
          </cell>
          <cell r="C7226" t="str">
            <v>OR</v>
          </cell>
          <cell r="D7226" t="str">
            <v>OR</v>
          </cell>
          <cell r="E7226" t="str">
            <v>09090</v>
          </cell>
        </row>
        <row r="7227">
          <cell r="A7227" t="str">
            <v>GONNOSTRAMATZA</v>
          </cell>
          <cell r="B7227" t="str">
            <v>095024</v>
          </cell>
          <cell r="C7227" t="str">
            <v>OR</v>
          </cell>
          <cell r="D7227" t="str">
            <v>OR</v>
          </cell>
          <cell r="E7227" t="str">
            <v>09093</v>
          </cell>
        </row>
        <row r="7228">
          <cell r="A7228" t="str">
            <v>MARRUBIU</v>
          </cell>
          <cell r="B7228" t="str">
            <v>095025</v>
          </cell>
          <cell r="C7228" t="str">
            <v>OR</v>
          </cell>
          <cell r="D7228" t="str">
            <v>OR</v>
          </cell>
          <cell r="E7228" t="str">
            <v>09094</v>
          </cell>
        </row>
        <row r="7229">
          <cell r="A7229" t="str">
            <v>MASULLAS</v>
          </cell>
          <cell r="B7229" t="str">
            <v>095026</v>
          </cell>
          <cell r="C7229" t="str">
            <v>OR</v>
          </cell>
          <cell r="D7229" t="str">
            <v>OR</v>
          </cell>
          <cell r="E7229" t="str">
            <v>09090</v>
          </cell>
        </row>
        <row r="7230">
          <cell r="A7230" t="str">
            <v>MILIS</v>
          </cell>
          <cell r="B7230" t="str">
            <v>095027</v>
          </cell>
          <cell r="C7230" t="str">
            <v>OR</v>
          </cell>
          <cell r="D7230" t="str">
            <v>OR</v>
          </cell>
          <cell r="E7230" t="str">
            <v>09070</v>
          </cell>
        </row>
        <row r="7231">
          <cell r="A7231" t="str">
            <v>MOGORELLA</v>
          </cell>
          <cell r="B7231" t="str">
            <v>095028</v>
          </cell>
          <cell r="C7231" t="str">
            <v>OR</v>
          </cell>
          <cell r="D7231" t="str">
            <v>OR</v>
          </cell>
          <cell r="E7231" t="str">
            <v>09080</v>
          </cell>
        </row>
        <row r="7232">
          <cell r="A7232" t="str">
            <v>MOGORO</v>
          </cell>
          <cell r="B7232" t="str">
            <v>095029</v>
          </cell>
          <cell r="C7232" t="str">
            <v>OR</v>
          </cell>
          <cell r="D7232" t="str">
            <v>OR</v>
          </cell>
          <cell r="E7232" t="str">
            <v>09095</v>
          </cell>
        </row>
        <row r="7233">
          <cell r="A7233" t="str">
            <v>MORGONGIORI</v>
          </cell>
          <cell r="B7233" t="str">
            <v>095030</v>
          </cell>
          <cell r="C7233" t="str">
            <v>OR</v>
          </cell>
          <cell r="D7233" t="str">
            <v>OR</v>
          </cell>
          <cell r="E7233" t="str">
            <v>09090</v>
          </cell>
        </row>
        <row r="7234">
          <cell r="A7234" t="str">
            <v>NARBOLIA</v>
          </cell>
          <cell r="B7234" t="str">
            <v>095031</v>
          </cell>
          <cell r="C7234" t="str">
            <v>OR</v>
          </cell>
          <cell r="D7234" t="str">
            <v>OR</v>
          </cell>
          <cell r="E7234" t="str">
            <v>09070</v>
          </cell>
        </row>
        <row r="7235">
          <cell r="A7235" t="str">
            <v>NEONELI</v>
          </cell>
          <cell r="B7235" t="str">
            <v>095032</v>
          </cell>
          <cell r="C7235" t="str">
            <v>OR</v>
          </cell>
          <cell r="D7235" t="str">
            <v>OR</v>
          </cell>
          <cell r="E7235" t="str">
            <v>09080</v>
          </cell>
        </row>
        <row r="7236">
          <cell r="A7236" t="str">
            <v>NORBELLO</v>
          </cell>
          <cell r="B7236" t="str">
            <v>095033</v>
          </cell>
          <cell r="C7236" t="str">
            <v>OR</v>
          </cell>
          <cell r="D7236" t="str">
            <v>OR</v>
          </cell>
          <cell r="E7236" t="str">
            <v>09070</v>
          </cell>
        </row>
        <row r="7237">
          <cell r="A7237" t="str">
            <v>NUGHEDU SANTA VITTORIA</v>
          </cell>
          <cell r="B7237" t="str">
            <v>095034</v>
          </cell>
          <cell r="C7237" t="str">
            <v>OR</v>
          </cell>
          <cell r="D7237" t="str">
            <v>OR</v>
          </cell>
          <cell r="E7237" t="str">
            <v>09080</v>
          </cell>
        </row>
        <row r="7238">
          <cell r="A7238" t="str">
            <v>NURACHI</v>
          </cell>
          <cell r="B7238" t="str">
            <v>095035</v>
          </cell>
          <cell r="C7238" t="str">
            <v>OR</v>
          </cell>
          <cell r="D7238" t="str">
            <v>OR</v>
          </cell>
          <cell r="E7238" t="str">
            <v>09070</v>
          </cell>
        </row>
        <row r="7239">
          <cell r="A7239" t="str">
            <v>NURECI</v>
          </cell>
          <cell r="B7239" t="str">
            <v>095036</v>
          </cell>
          <cell r="C7239" t="str">
            <v>OR</v>
          </cell>
          <cell r="D7239" t="str">
            <v>OR</v>
          </cell>
          <cell r="E7239" t="str">
            <v>09080</v>
          </cell>
        </row>
        <row r="7240">
          <cell r="A7240" t="str">
            <v>OLLASTRA</v>
          </cell>
          <cell r="B7240" t="str">
            <v>095037</v>
          </cell>
          <cell r="C7240" t="str">
            <v>OR</v>
          </cell>
          <cell r="D7240" t="str">
            <v>OR</v>
          </cell>
          <cell r="E7240" t="str">
            <v>09088</v>
          </cell>
        </row>
        <row r="7241">
          <cell r="A7241" t="str">
            <v>ORISTANO</v>
          </cell>
          <cell r="B7241" t="str">
            <v>095038</v>
          </cell>
          <cell r="C7241" t="str">
            <v>OR</v>
          </cell>
          <cell r="D7241" t="str">
            <v>OR</v>
          </cell>
          <cell r="E7241" t="str">
            <v>09170</v>
          </cell>
        </row>
        <row r="7242">
          <cell r="A7242" t="str">
            <v>PALMAS ARBOREA</v>
          </cell>
          <cell r="B7242" t="str">
            <v>095039</v>
          </cell>
          <cell r="C7242" t="str">
            <v>OR</v>
          </cell>
          <cell r="D7242" t="str">
            <v>OR</v>
          </cell>
          <cell r="E7242" t="str">
            <v>09090</v>
          </cell>
        </row>
        <row r="7243">
          <cell r="A7243" t="str">
            <v>PAU</v>
          </cell>
          <cell r="B7243" t="str">
            <v>095040</v>
          </cell>
          <cell r="C7243" t="str">
            <v>OR</v>
          </cell>
          <cell r="D7243" t="str">
            <v>OR</v>
          </cell>
          <cell r="E7243" t="str">
            <v>09090</v>
          </cell>
        </row>
        <row r="7244">
          <cell r="A7244" t="str">
            <v>PAULILATINO</v>
          </cell>
          <cell r="B7244" t="str">
            <v>095041</v>
          </cell>
          <cell r="C7244" t="str">
            <v>OR</v>
          </cell>
          <cell r="D7244" t="str">
            <v>OR</v>
          </cell>
          <cell r="E7244" t="str">
            <v>09070</v>
          </cell>
        </row>
        <row r="7245">
          <cell r="A7245" t="str">
            <v>POMPU</v>
          </cell>
          <cell r="B7245" t="str">
            <v>095042</v>
          </cell>
          <cell r="C7245" t="str">
            <v>OR</v>
          </cell>
          <cell r="D7245" t="str">
            <v>OR</v>
          </cell>
          <cell r="E7245" t="str">
            <v>09093</v>
          </cell>
        </row>
        <row r="7246">
          <cell r="A7246" t="str">
            <v>RIOLA SARDO</v>
          </cell>
          <cell r="B7246" t="str">
            <v>095043</v>
          </cell>
          <cell r="C7246" t="str">
            <v>OR</v>
          </cell>
          <cell r="D7246" t="str">
            <v>OR</v>
          </cell>
          <cell r="E7246" t="str">
            <v>09070</v>
          </cell>
        </row>
        <row r="7247">
          <cell r="A7247" t="str">
            <v>RUINAS</v>
          </cell>
          <cell r="B7247" t="str">
            <v>095044</v>
          </cell>
          <cell r="C7247" t="str">
            <v>OR</v>
          </cell>
          <cell r="D7247" t="str">
            <v>OR</v>
          </cell>
          <cell r="E7247" t="str">
            <v>09085</v>
          </cell>
        </row>
        <row r="7248">
          <cell r="A7248" t="str">
            <v>SAMUGHEO</v>
          </cell>
          <cell r="B7248" t="str">
            <v>095045</v>
          </cell>
          <cell r="C7248" t="str">
            <v>OR</v>
          </cell>
          <cell r="D7248" t="str">
            <v>OR</v>
          </cell>
          <cell r="E7248" t="str">
            <v>09086</v>
          </cell>
        </row>
        <row r="7249">
          <cell r="A7249" t="str">
            <v>SAN NICOLÒ D'ARCIDANO</v>
          </cell>
          <cell r="B7249" t="str">
            <v>095046</v>
          </cell>
          <cell r="C7249" t="str">
            <v>OR</v>
          </cell>
          <cell r="D7249" t="str">
            <v>OR</v>
          </cell>
          <cell r="E7249" t="str">
            <v>09097</v>
          </cell>
        </row>
        <row r="7250">
          <cell r="A7250" t="str">
            <v>SANTA GIUSTA</v>
          </cell>
          <cell r="B7250" t="str">
            <v>095047</v>
          </cell>
          <cell r="C7250" t="str">
            <v>OR</v>
          </cell>
          <cell r="D7250" t="str">
            <v>OR</v>
          </cell>
          <cell r="E7250" t="str">
            <v>09096</v>
          </cell>
        </row>
        <row r="7251">
          <cell r="A7251" t="str">
            <v>VILLA SANT'ANTONIO</v>
          </cell>
          <cell r="B7251" t="str">
            <v>095048</v>
          </cell>
          <cell r="C7251" t="str">
            <v>OR</v>
          </cell>
          <cell r="D7251" t="str">
            <v>OR</v>
          </cell>
          <cell r="E7251" t="str">
            <v>09080</v>
          </cell>
        </row>
        <row r="7252">
          <cell r="A7252" t="str">
            <v>SANTU LUSSURGIU</v>
          </cell>
          <cell r="B7252" t="str">
            <v>095049</v>
          </cell>
          <cell r="C7252" t="str">
            <v>OR</v>
          </cell>
          <cell r="D7252" t="str">
            <v>OR</v>
          </cell>
          <cell r="E7252" t="str">
            <v>09075</v>
          </cell>
        </row>
        <row r="7253">
          <cell r="A7253" t="str">
            <v>SAN VERO MILIS</v>
          </cell>
          <cell r="B7253" t="str">
            <v>095050</v>
          </cell>
          <cell r="C7253" t="str">
            <v>OR</v>
          </cell>
          <cell r="D7253" t="str">
            <v>OR</v>
          </cell>
          <cell r="E7253" t="str">
            <v>09070</v>
          </cell>
        </row>
        <row r="7254">
          <cell r="A7254" t="str">
            <v>SCANO DI MONTIFERRO</v>
          </cell>
          <cell r="B7254" t="str">
            <v>095051</v>
          </cell>
          <cell r="C7254" t="str">
            <v>OR</v>
          </cell>
          <cell r="D7254" t="str">
            <v>OR</v>
          </cell>
          <cell r="E7254" t="str">
            <v>09078</v>
          </cell>
        </row>
        <row r="7255">
          <cell r="A7255" t="str">
            <v>SEDILO</v>
          </cell>
          <cell r="B7255" t="str">
            <v>095052</v>
          </cell>
          <cell r="C7255" t="str">
            <v>OR</v>
          </cell>
          <cell r="D7255" t="str">
            <v>OR</v>
          </cell>
          <cell r="E7255" t="str">
            <v>09076</v>
          </cell>
        </row>
        <row r="7256">
          <cell r="A7256" t="str">
            <v>SENEGHE</v>
          </cell>
          <cell r="B7256" t="str">
            <v>095053</v>
          </cell>
          <cell r="C7256" t="str">
            <v>OR</v>
          </cell>
          <cell r="D7256" t="str">
            <v>OR</v>
          </cell>
          <cell r="E7256" t="str">
            <v>09070</v>
          </cell>
        </row>
        <row r="7257">
          <cell r="A7257" t="str">
            <v>SENIS</v>
          </cell>
          <cell r="B7257" t="str">
            <v>095054</v>
          </cell>
          <cell r="C7257" t="str">
            <v>OR</v>
          </cell>
          <cell r="D7257" t="str">
            <v>OR</v>
          </cell>
          <cell r="E7257" t="str">
            <v>09080</v>
          </cell>
        </row>
        <row r="7258">
          <cell r="A7258" t="str">
            <v>SENNARIOLO</v>
          </cell>
          <cell r="B7258" t="str">
            <v>095055</v>
          </cell>
          <cell r="C7258" t="str">
            <v>OR</v>
          </cell>
          <cell r="D7258" t="str">
            <v>OR</v>
          </cell>
          <cell r="E7258" t="str">
            <v>09078</v>
          </cell>
        </row>
        <row r="7259">
          <cell r="A7259" t="str">
            <v>SIAMAGGIORE</v>
          </cell>
          <cell r="B7259" t="str">
            <v>095056</v>
          </cell>
          <cell r="C7259" t="str">
            <v>OR</v>
          </cell>
          <cell r="D7259" t="str">
            <v>OR</v>
          </cell>
          <cell r="E7259" t="str">
            <v>09070</v>
          </cell>
        </row>
        <row r="7260">
          <cell r="A7260" t="str">
            <v>SIAMANNA</v>
          </cell>
          <cell r="B7260" t="str">
            <v>095057</v>
          </cell>
          <cell r="C7260" t="str">
            <v>OR</v>
          </cell>
          <cell r="D7260" t="str">
            <v>OR</v>
          </cell>
          <cell r="E7260" t="str">
            <v>09080</v>
          </cell>
        </row>
        <row r="7261">
          <cell r="A7261" t="str">
            <v>SIMALA</v>
          </cell>
          <cell r="B7261" t="str">
            <v>095058</v>
          </cell>
          <cell r="C7261" t="str">
            <v>OR</v>
          </cell>
          <cell r="D7261" t="str">
            <v>OR</v>
          </cell>
          <cell r="E7261" t="str">
            <v>09090</v>
          </cell>
        </row>
        <row r="7262">
          <cell r="A7262" t="str">
            <v>SIMAXIS</v>
          </cell>
          <cell r="B7262" t="str">
            <v>095059</v>
          </cell>
          <cell r="C7262" t="str">
            <v>OR</v>
          </cell>
          <cell r="D7262" t="str">
            <v>OR</v>
          </cell>
          <cell r="E7262" t="str">
            <v>09088</v>
          </cell>
        </row>
        <row r="7263">
          <cell r="A7263" t="str">
            <v>SINI</v>
          </cell>
          <cell r="B7263" t="str">
            <v>095060</v>
          </cell>
          <cell r="C7263" t="str">
            <v>OR</v>
          </cell>
          <cell r="D7263" t="str">
            <v>OR</v>
          </cell>
          <cell r="E7263" t="str">
            <v>09090</v>
          </cell>
        </row>
        <row r="7264">
          <cell r="A7264" t="str">
            <v>SIRIS</v>
          </cell>
          <cell r="B7264" t="str">
            <v>095061</v>
          </cell>
          <cell r="C7264" t="str">
            <v>OR</v>
          </cell>
          <cell r="D7264" t="str">
            <v>OR</v>
          </cell>
          <cell r="E7264" t="str">
            <v>09090</v>
          </cell>
        </row>
        <row r="7265">
          <cell r="A7265" t="str">
            <v>SOLARUSSA</v>
          </cell>
          <cell r="B7265" t="str">
            <v>095062</v>
          </cell>
          <cell r="C7265" t="str">
            <v>OR</v>
          </cell>
          <cell r="D7265" t="str">
            <v>OR</v>
          </cell>
          <cell r="E7265" t="str">
            <v>09077</v>
          </cell>
        </row>
        <row r="7266">
          <cell r="A7266" t="str">
            <v>SORRADILE</v>
          </cell>
          <cell r="B7266" t="str">
            <v>095063</v>
          </cell>
          <cell r="C7266" t="str">
            <v>OR</v>
          </cell>
          <cell r="D7266" t="str">
            <v>OR</v>
          </cell>
          <cell r="E7266" t="str">
            <v>09080</v>
          </cell>
        </row>
        <row r="7267">
          <cell r="A7267" t="str">
            <v>TADASUNI</v>
          </cell>
          <cell r="B7267" t="str">
            <v>095064</v>
          </cell>
          <cell r="C7267" t="str">
            <v>OR</v>
          </cell>
          <cell r="D7267" t="str">
            <v>OR</v>
          </cell>
          <cell r="E7267" t="str">
            <v>09080</v>
          </cell>
        </row>
        <row r="7268">
          <cell r="A7268" t="str">
            <v>TERRALBA</v>
          </cell>
          <cell r="B7268" t="str">
            <v>095065</v>
          </cell>
          <cell r="C7268" t="str">
            <v>OR</v>
          </cell>
          <cell r="D7268" t="str">
            <v>OR</v>
          </cell>
          <cell r="E7268" t="str">
            <v>09098</v>
          </cell>
        </row>
        <row r="7269">
          <cell r="A7269" t="str">
            <v>TRAMATZA</v>
          </cell>
          <cell r="B7269" t="str">
            <v>095066</v>
          </cell>
          <cell r="C7269" t="str">
            <v>OR</v>
          </cell>
          <cell r="D7269" t="str">
            <v>OR</v>
          </cell>
          <cell r="E7269" t="str">
            <v>09070</v>
          </cell>
        </row>
        <row r="7270">
          <cell r="A7270" t="str">
            <v>TRESNURAGHES</v>
          </cell>
          <cell r="B7270" t="str">
            <v>095067</v>
          </cell>
          <cell r="C7270" t="str">
            <v>OR</v>
          </cell>
          <cell r="D7270" t="str">
            <v>OR</v>
          </cell>
          <cell r="E7270" t="str">
            <v>09079</v>
          </cell>
        </row>
        <row r="7271">
          <cell r="A7271" t="str">
            <v>ULÀ TIRSO</v>
          </cell>
          <cell r="B7271" t="str">
            <v>095068</v>
          </cell>
          <cell r="C7271" t="str">
            <v>OR</v>
          </cell>
          <cell r="D7271" t="str">
            <v>OR</v>
          </cell>
          <cell r="E7271" t="str">
            <v>09080</v>
          </cell>
        </row>
        <row r="7272">
          <cell r="A7272" t="str">
            <v>URAS</v>
          </cell>
          <cell r="B7272" t="str">
            <v>095069</v>
          </cell>
          <cell r="C7272" t="str">
            <v>OR</v>
          </cell>
          <cell r="D7272" t="str">
            <v>OR</v>
          </cell>
          <cell r="E7272" t="str">
            <v>09099</v>
          </cell>
        </row>
        <row r="7273">
          <cell r="A7273" t="str">
            <v>USELLUS</v>
          </cell>
          <cell r="B7273" t="str">
            <v>095070</v>
          </cell>
          <cell r="C7273" t="str">
            <v>OR</v>
          </cell>
          <cell r="D7273" t="str">
            <v>OR</v>
          </cell>
          <cell r="E7273" t="str">
            <v>09090</v>
          </cell>
        </row>
        <row r="7274">
          <cell r="A7274" t="str">
            <v>VILLANOVA TRUSCHEDU</v>
          </cell>
          <cell r="B7274" t="str">
            <v>095071</v>
          </cell>
          <cell r="C7274" t="str">
            <v>OR</v>
          </cell>
          <cell r="D7274" t="str">
            <v>OR</v>
          </cell>
          <cell r="E7274" t="str">
            <v>09084</v>
          </cell>
        </row>
        <row r="7275">
          <cell r="A7275" t="str">
            <v>VILLAURBANA</v>
          </cell>
          <cell r="B7275" t="str">
            <v>095072</v>
          </cell>
          <cell r="C7275" t="str">
            <v>OR</v>
          </cell>
          <cell r="D7275" t="str">
            <v>OR</v>
          </cell>
          <cell r="E7275" t="str">
            <v>09080</v>
          </cell>
        </row>
        <row r="7276">
          <cell r="A7276" t="str">
            <v>VILLA VERDE</v>
          </cell>
          <cell r="B7276" t="str">
            <v>095073</v>
          </cell>
          <cell r="C7276" t="str">
            <v>OR</v>
          </cell>
          <cell r="D7276" t="str">
            <v>OR</v>
          </cell>
          <cell r="E7276" t="str">
            <v>09090</v>
          </cell>
        </row>
        <row r="7277">
          <cell r="A7277" t="str">
            <v>ZEDDIANI</v>
          </cell>
          <cell r="B7277" t="str">
            <v>095074</v>
          </cell>
          <cell r="C7277" t="str">
            <v>OR</v>
          </cell>
          <cell r="D7277" t="str">
            <v>OR</v>
          </cell>
          <cell r="E7277" t="str">
            <v>09070</v>
          </cell>
        </row>
        <row r="7278">
          <cell r="A7278" t="str">
            <v>ZERFALIU</v>
          </cell>
          <cell r="B7278" t="str">
            <v>095075</v>
          </cell>
          <cell r="C7278" t="str">
            <v>OR</v>
          </cell>
          <cell r="D7278" t="str">
            <v>OR</v>
          </cell>
          <cell r="E7278" t="str">
            <v>09070</v>
          </cell>
        </row>
        <row r="7279">
          <cell r="A7279" t="str">
            <v>SIAPICCIA</v>
          </cell>
          <cell r="B7279" t="str">
            <v>095076</v>
          </cell>
          <cell r="C7279" t="str">
            <v>OR</v>
          </cell>
          <cell r="D7279" t="str">
            <v>OR</v>
          </cell>
          <cell r="E7279" t="str">
            <v>09080</v>
          </cell>
        </row>
        <row r="7280">
          <cell r="A7280" t="str">
            <v>CURCURIS</v>
          </cell>
          <cell r="B7280" t="str">
            <v>095077</v>
          </cell>
          <cell r="C7280" t="str">
            <v>OR</v>
          </cell>
          <cell r="D7280" t="str">
            <v>OR</v>
          </cell>
          <cell r="E7280" t="str">
            <v>09090</v>
          </cell>
        </row>
        <row r="7281">
          <cell r="A7281" t="str">
            <v>SODDÌ</v>
          </cell>
          <cell r="B7281" t="str">
            <v>095078</v>
          </cell>
          <cell r="C7281" t="str">
            <v>OR</v>
          </cell>
          <cell r="D7281" t="str">
            <v>OR</v>
          </cell>
          <cell r="E7281" t="str">
            <v>09080</v>
          </cell>
        </row>
        <row r="7282">
          <cell r="A7282" t="str">
            <v>BOSA</v>
          </cell>
          <cell r="B7282" t="str">
            <v>095079</v>
          </cell>
          <cell r="C7282" t="str">
            <v>OR</v>
          </cell>
          <cell r="D7282" t="str">
            <v>OR</v>
          </cell>
          <cell r="E7282" t="str">
            <v>08013</v>
          </cell>
        </row>
        <row r="7283">
          <cell r="A7283" t="str">
            <v>FLUSSIO</v>
          </cell>
          <cell r="B7283" t="str">
            <v>095080</v>
          </cell>
          <cell r="C7283" t="str">
            <v>OR</v>
          </cell>
          <cell r="D7283" t="str">
            <v>OR</v>
          </cell>
          <cell r="E7283" t="str">
            <v>08010</v>
          </cell>
        </row>
        <row r="7284">
          <cell r="A7284" t="str">
            <v>LACONI</v>
          </cell>
          <cell r="B7284" t="str">
            <v>095082</v>
          </cell>
          <cell r="C7284" t="str">
            <v>OR</v>
          </cell>
          <cell r="D7284" t="str">
            <v>OR</v>
          </cell>
          <cell r="E7284" t="str">
            <v>08034</v>
          </cell>
        </row>
        <row r="7285">
          <cell r="A7285" t="str">
            <v>MAGOMADAS</v>
          </cell>
          <cell r="B7285" t="str">
            <v>095083</v>
          </cell>
          <cell r="C7285" t="str">
            <v>OR</v>
          </cell>
          <cell r="D7285" t="str">
            <v>OR</v>
          </cell>
          <cell r="E7285" t="str">
            <v>08010</v>
          </cell>
        </row>
        <row r="7286">
          <cell r="A7286" t="str">
            <v>MODOLO</v>
          </cell>
          <cell r="B7286" t="str">
            <v>095084</v>
          </cell>
          <cell r="C7286" t="str">
            <v>OR</v>
          </cell>
          <cell r="D7286" t="str">
            <v>OR</v>
          </cell>
          <cell r="E7286" t="str">
            <v>08019</v>
          </cell>
        </row>
        <row r="7287">
          <cell r="A7287" t="str">
            <v>MONTRESTA</v>
          </cell>
          <cell r="B7287" t="str">
            <v>095085</v>
          </cell>
          <cell r="C7287" t="str">
            <v>OR</v>
          </cell>
          <cell r="D7287" t="str">
            <v>OR</v>
          </cell>
          <cell r="E7287" t="str">
            <v>08010</v>
          </cell>
        </row>
        <row r="7288">
          <cell r="A7288" t="str">
            <v>SAGAMA</v>
          </cell>
          <cell r="B7288" t="str">
            <v>095086</v>
          </cell>
          <cell r="C7288" t="str">
            <v>OR</v>
          </cell>
          <cell r="D7288" t="str">
            <v>OR</v>
          </cell>
          <cell r="E7288" t="str">
            <v>08010</v>
          </cell>
        </row>
        <row r="7289">
          <cell r="A7289" t="str">
            <v>SUNI</v>
          </cell>
          <cell r="B7289" t="str">
            <v>095087</v>
          </cell>
          <cell r="C7289" t="str">
            <v>OR</v>
          </cell>
          <cell r="D7289" t="str">
            <v>OR</v>
          </cell>
          <cell r="E7289" t="str">
            <v>08010</v>
          </cell>
        </row>
        <row r="7290">
          <cell r="A7290" t="str">
            <v>TINNURA</v>
          </cell>
          <cell r="B7290" t="str">
            <v>095088</v>
          </cell>
          <cell r="C7290" t="str">
            <v>OR</v>
          </cell>
          <cell r="D7290" t="str">
            <v>OR</v>
          </cell>
          <cell r="E7290" t="str">
            <v>08010</v>
          </cell>
        </row>
        <row r="7291">
          <cell r="A7291" t="str">
            <v>AILOCHE</v>
          </cell>
          <cell r="B7291" t="str">
            <v>096001</v>
          </cell>
          <cell r="C7291" t="str">
            <v>BI</v>
          </cell>
          <cell r="D7291" t="str">
            <v>BI</v>
          </cell>
          <cell r="E7291" t="str">
            <v>13861</v>
          </cell>
        </row>
        <row r="7292">
          <cell r="A7292" t="str">
            <v>ANDORNO MICCA</v>
          </cell>
          <cell r="B7292" t="str">
            <v>096002</v>
          </cell>
          <cell r="C7292" t="str">
            <v>BI</v>
          </cell>
          <cell r="D7292" t="str">
            <v>BI</v>
          </cell>
          <cell r="E7292" t="str">
            <v>13811</v>
          </cell>
        </row>
        <row r="7293">
          <cell r="A7293" t="str">
            <v>BENNA</v>
          </cell>
          <cell r="B7293" t="str">
            <v>096003</v>
          </cell>
          <cell r="C7293" t="str">
            <v>BI</v>
          </cell>
          <cell r="D7293" t="str">
            <v>BI</v>
          </cell>
          <cell r="E7293" t="str">
            <v>13871</v>
          </cell>
        </row>
        <row r="7294">
          <cell r="A7294" t="str">
            <v>BIELLA</v>
          </cell>
          <cell r="B7294" t="str">
            <v>096004</v>
          </cell>
          <cell r="C7294" t="str">
            <v>BI</v>
          </cell>
          <cell r="D7294" t="str">
            <v>BI</v>
          </cell>
          <cell r="E7294" t="str">
            <v>13900</v>
          </cell>
        </row>
        <row r="7295">
          <cell r="A7295" t="str">
            <v>BIOGLIO</v>
          </cell>
          <cell r="B7295" t="str">
            <v>096005</v>
          </cell>
          <cell r="C7295" t="str">
            <v>BI</v>
          </cell>
          <cell r="D7295" t="str">
            <v>BI</v>
          </cell>
          <cell r="E7295" t="str">
            <v>13841</v>
          </cell>
        </row>
        <row r="7296">
          <cell r="A7296" t="str">
            <v>BORRIANA</v>
          </cell>
          <cell r="B7296" t="str">
            <v>096006</v>
          </cell>
          <cell r="C7296" t="str">
            <v>BI</v>
          </cell>
          <cell r="D7296" t="str">
            <v>BI</v>
          </cell>
          <cell r="E7296" t="str">
            <v>13872</v>
          </cell>
        </row>
        <row r="7297">
          <cell r="A7297" t="str">
            <v>BRUSNENGO</v>
          </cell>
          <cell r="B7297" t="str">
            <v>096007</v>
          </cell>
          <cell r="C7297" t="str">
            <v>BI</v>
          </cell>
          <cell r="D7297" t="str">
            <v>BI</v>
          </cell>
          <cell r="E7297" t="str">
            <v>13862</v>
          </cell>
        </row>
        <row r="7298">
          <cell r="A7298" t="str">
            <v>CALLABIANA</v>
          </cell>
          <cell r="B7298" t="str">
            <v>096008</v>
          </cell>
          <cell r="C7298" t="str">
            <v>BI</v>
          </cell>
          <cell r="D7298" t="str">
            <v>BI</v>
          </cell>
          <cell r="E7298" t="str">
            <v>13821</v>
          </cell>
        </row>
        <row r="7299">
          <cell r="A7299" t="str">
            <v>CAMANDONA</v>
          </cell>
          <cell r="B7299" t="str">
            <v>096009</v>
          </cell>
          <cell r="C7299" t="str">
            <v>BI</v>
          </cell>
          <cell r="D7299" t="str">
            <v>BI</v>
          </cell>
          <cell r="E7299" t="str">
            <v>13821</v>
          </cell>
        </row>
        <row r="7300">
          <cell r="A7300" t="str">
            <v>CAMBURZANO</v>
          </cell>
          <cell r="B7300" t="str">
            <v>096010</v>
          </cell>
          <cell r="C7300" t="str">
            <v>BI</v>
          </cell>
          <cell r="D7300" t="str">
            <v>BI</v>
          </cell>
          <cell r="E7300" t="str">
            <v>13891</v>
          </cell>
        </row>
        <row r="7301">
          <cell r="A7301" t="str">
            <v>CANDELO</v>
          </cell>
          <cell r="B7301" t="str">
            <v>096012</v>
          </cell>
          <cell r="C7301" t="str">
            <v>BI</v>
          </cell>
          <cell r="D7301" t="str">
            <v>BI</v>
          </cell>
          <cell r="E7301" t="str">
            <v>13878</v>
          </cell>
        </row>
        <row r="7302">
          <cell r="A7302" t="str">
            <v>CAPRILE</v>
          </cell>
          <cell r="B7302" t="str">
            <v>096013</v>
          </cell>
          <cell r="C7302" t="str">
            <v>BI</v>
          </cell>
          <cell r="D7302" t="str">
            <v>BI</v>
          </cell>
          <cell r="E7302" t="str">
            <v>13864</v>
          </cell>
        </row>
        <row r="7303">
          <cell r="A7303" t="str">
            <v>CASAPINTA</v>
          </cell>
          <cell r="B7303" t="str">
            <v>096014</v>
          </cell>
          <cell r="C7303" t="str">
            <v>BI</v>
          </cell>
          <cell r="D7303" t="str">
            <v>BI</v>
          </cell>
          <cell r="E7303" t="str">
            <v>13866</v>
          </cell>
        </row>
        <row r="7304">
          <cell r="A7304" t="str">
            <v>CASTELLETTO CERVO</v>
          </cell>
          <cell r="B7304" t="str">
            <v>096015</v>
          </cell>
          <cell r="C7304" t="str">
            <v>BI</v>
          </cell>
          <cell r="D7304" t="str">
            <v>BI</v>
          </cell>
          <cell r="E7304" t="str">
            <v>13851</v>
          </cell>
        </row>
        <row r="7305">
          <cell r="A7305" t="str">
            <v>CAVAGLIÀ</v>
          </cell>
          <cell r="B7305" t="str">
            <v>096016</v>
          </cell>
          <cell r="C7305" t="str">
            <v>BI</v>
          </cell>
          <cell r="D7305" t="str">
            <v>BI</v>
          </cell>
          <cell r="E7305" t="str">
            <v>13881</v>
          </cell>
        </row>
        <row r="7306">
          <cell r="A7306" t="str">
            <v>CERRIONE</v>
          </cell>
          <cell r="B7306" t="str">
            <v>096018</v>
          </cell>
          <cell r="C7306" t="str">
            <v>BI</v>
          </cell>
          <cell r="D7306" t="str">
            <v>BI</v>
          </cell>
          <cell r="E7306" t="str">
            <v>13882</v>
          </cell>
        </row>
        <row r="7307">
          <cell r="A7307" t="str">
            <v>COGGIOLA</v>
          </cell>
          <cell r="B7307" t="str">
            <v>096019</v>
          </cell>
          <cell r="C7307" t="str">
            <v>BI</v>
          </cell>
          <cell r="D7307" t="str">
            <v>BI</v>
          </cell>
          <cell r="E7307" t="str">
            <v>13863</v>
          </cell>
        </row>
        <row r="7308">
          <cell r="A7308" t="str">
            <v>COSSATO</v>
          </cell>
          <cell r="B7308" t="str">
            <v>096020</v>
          </cell>
          <cell r="C7308" t="str">
            <v>BI</v>
          </cell>
          <cell r="D7308" t="str">
            <v>BI</v>
          </cell>
          <cell r="E7308" t="str">
            <v>13836</v>
          </cell>
        </row>
        <row r="7309">
          <cell r="A7309" t="str">
            <v>CREVACUORE</v>
          </cell>
          <cell r="B7309" t="str">
            <v>096021</v>
          </cell>
          <cell r="C7309" t="str">
            <v>BI</v>
          </cell>
          <cell r="D7309" t="str">
            <v>BI</v>
          </cell>
          <cell r="E7309" t="str">
            <v>13864</v>
          </cell>
        </row>
        <row r="7310">
          <cell r="A7310" t="str">
            <v>CURINO</v>
          </cell>
          <cell r="B7310" t="str">
            <v>096023</v>
          </cell>
          <cell r="C7310" t="str">
            <v>BI</v>
          </cell>
          <cell r="D7310" t="str">
            <v>BI</v>
          </cell>
          <cell r="E7310" t="str">
            <v>13865</v>
          </cell>
        </row>
        <row r="7311">
          <cell r="A7311" t="str">
            <v>DONATO</v>
          </cell>
          <cell r="B7311" t="str">
            <v>096024</v>
          </cell>
          <cell r="C7311" t="str">
            <v>BI</v>
          </cell>
          <cell r="D7311" t="str">
            <v>BI</v>
          </cell>
          <cell r="E7311" t="str">
            <v>13893</v>
          </cell>
        </row>
        <row r="7312">
          <cell r="A7312" t="str">
            <v>DORZANO</v>
          </cell>
          <cell r="B7312" t="str">
            <v>096025</v>
          </cell>
          <cell r="C7312" t="str">
            <v>BI</v>
          </cell>
          <cell r="D7312" t="str">
            <v>BI</v>
          </cell>
          <cell r="E7312" t="str">
            <v>13881</v>
          </cell>
        </row>
        <row r="7313">
          <cell r="A7313" t="str">
            <v>GAGLIANICO</v>
          </cell>
          <cell r="B7313" t="str">
            <v>096026</v>
          </cell>
          <cell r="C7313" t="str">
            <v>BI</v>
          </cell>
          <cell r="D7313" t="str">
            <v>BI</v>
          </cell>
          <cell r="E7313" t="str">
            <v>13894</v>
          </cell>
        </row>
        <row r="7314">
          <cell r="A7314" t="str">
            <v>GIFFLENGA</v>
          </cell>
          <cell r="B7314" t="str">
            <v>096027</v>
          </cell>
          <cell r="C7314" t="str">
            <v>BI</v>
          </cell>
          <cell r="D7314" t="str">
            <v>BI</v>
          </cell>
          <cell r="E7314" t="str">
            <v>13874</v>
          </cell>
        </row>
        <row r="7315">
          <cell r="A7315" t="str">
            <v>GRAGLIA</v>
          </cell>
          <cell r="B7315" t="str">
            <v>096028</v>
          </cell>
          <cell r="C7315" t="str">
            <v>BI</v>
          </cell>
          <cell r="D7315" t="str">
            <v>BI</v>
          </cell>
          <cell r="E7315" t="str">
            <v>13895</v>
          </cell>
        </row>
        <row r="7316">
          <cell r="A7316" t="str">
            <v>MAGNANO</v>
          </cell>
          <cell r="B7316" t="str">
            <v>096030</v>
          </cell>
          <cell r="C7316" t="str">
            <v>BI</v>
          </cell>
          <cell r="D7316" t="str">
            <v>BI</v>
          </cell>
          <cell r="E7316" t="str">
            <v>13887</v>
          </cell>
        </row>
        <row r="7317">
          <cell r="A7317" t="str">
            <v>MASSAZZA</v>
          </cell>
          <cell r="B7317" t="str">
            <v>096031</v>
          </cell>
          <cell r="C7317" t="str">
            <v>BI</v>
          </cell>
          <cell r="D7317" t="str">
            <v>BI</v>
          </cell>
          <cell r="E7317" t="str">
            <v>13873</v>
          </cell>
        </row>
        <row r="7318">
          <cell r="A7318" t="str">
            <v>MASSERANO</v>
          </cell>
          <cell r="B7318" t="str">
            <v>096032</v>
          </cell>
          <cell r="C7318" t="str">
            <v>BI</v>
          </cell>
          <cell r="D7318" t="str">
            <v>BI</v>
          </cell>
          <cell r="E7318" t="str">
            <v>13866</v>
          </cell>
        </row>
        <row r="7319">
          <cell r="A7319" t="str">
            <v>MEZZANA MORTIGLIENGO</v>
          </cell>
          <cell r="B7319" t="str">
            <v>096033</v>
          </cell>
          <cell r="C7319" t="str">
            <v>BI</v>
          </cell>
          <cell r="D7319" t="str">
            <v>BI</v>
          </cell>
          <cell r="E7319" t="str">
            <v>13831</v>
          </cell>
        </row>
        <row r="7320">
          <cell r="A7320" t="str">
            <v>MIAGLIANO</v>
          </cell>
          <cell r="B7320" t="str">
            <v>096034</v>
          </cell>
          <cell r="C7320" t="str">
            <v>BI</v>
          </cell>
          <cell r="D7320" t="str">
            <v>BI</v>
          </cell>
          <cell r="E7320" t="str">
            <v>13816</v>
          </cell>
        </row>
        <row r="7321">
          <cell r="A7321" t="str">
            <v>MONGRANDO</v>
          </cell>
          <cell r="B7321" t="str">
            <v>096035</v>
          </cell>
          <cell r="C7321" t="str">
            <v>BI</v>
          </cell>
          <cell r="D7321" t="str">
            <v>BI</v>
          </cell>
          <cell r="E7321" t="str">
            <v>13888</v>
          </cell>
        </row>
        <row r="7322">
          <cell r="A7322" t="str">
            <v>MOTTALCIATA</v>
          </cell>
          <cell r="B7322" t="str">
            <v>096037</v>
          </cell>
          <cell r="C7322" t="str">
            <v>BI</v>
          </cell>
          <cell r="D7322" t="str">
            <v>BI</v>
          </cell>
          <cell r="E7322" t="str">
            <v>13874</v>
          </cell>
        </row>
        <row r="7323">
          <cell r="A7323" t="str">
            <v>MUZZANO</v>
          </cell>
          <cell r="B7323" t="str">
            <v>096038</v>
          </cell>
          <cell r="C7323" t="str">
            <v>BI</v>
          </cell>
          <cell r="D7323" t="str">
            <v>BI</v>
          </cell>
          <cell r="E7323" t="str">
            <v>13895</v>
          </cell>
        </row>
        <row r="7324">
          <cell r="A7324" t="str">
            <v>NETRO</v>
          </cell>
          <cell r="B7324" t="str">
            <v>096039</v>
          </cell>
          <cell r="C7324" t="str">
            <v>BI</v>
          </cell>
          <cell r="D7324" t="str">
            <v>BI</v>
          </cell>
          <cell r="E7324" t="str">
            <v>13896</v>
          </cell>
        </row>
        <row r="7325">
          <cell r="A7325" t="str">
            <v>OCCHIEPPO INFERIORE</v>
          </cell>
          <cell r="B7325" t="str">
            <v>096040</v>
          </cell>
          <cell r="C7325" t="str">
            <v>BI</v>
          </cell>
          <cell r="D7325" t="str">
            <v>BI</v>
          </cell>
          <cell r="E7325" t="str">
            <v>13897</v>
          </cell>
        </row>
        <row r="7326">
          <cell r="A7326" t="str">
            <v>OCCHIEPPO SUPERIORE</v>
          </cell>
          <cell r="B7326" t="str">
            <v>096041</v>
          </cell>
          <cell r="C7326" t="str">
            <v>BI</v>
          </cell>
          <cell r="D7326" t="str">
            <v>BI</v>
          </cell>
          <cell r="E7326" t="str">
            <v>13898</v>
          </cell>
        </row>
        <row r="7327">
          <cell r="A7327" t="str">
            <v>PETTINENGO</v>
          </cell>
          <cell r="B7327" t="str">
            <v>096042</v>
          </cell>
          <cell r="C7327" t="str">
            <v>BI</v>
          </cell>
          <cell r="D7327" t="str">
            <v>BI</v>
          </cell>
          <cell r="E7327" t="str">
            <v>13843</v>
          </cell>
        </row>
        <row r="7328">
          <cell r="A7328" t="str">
            <v>PIATTO</v>
          </cell>
          <cell r="B7328" t="str">
            <v>096043</v>
          </cell>
          <cell r="C7328" t="str">
            <v>BI</v>
          </cell>
          <cell r="D7328" t="str">
            <v>BI</v>
          </cell>
          <cell r="E7328" t="str">
            <v>13844</v>
          </cell>
        </row>
        <row r="7329">
          <cell r="A7329" t="str">
            <v>PIEDICAVALLO</v>
          </cell>
          <cell r="B7329" t="str">
            <v>096044</v>
          </cell>
          <cell r="C7329" t="str">
            <v>BI</v>
          </cell>
          <cell r="D7329" t="str">
            <v>BI</v>
          </cell>
          <cell r="E7329" t="str">
            <v>13812</v>
          </cell>
        </row>
        <row r="7330">
          <cell r="A7330" t="str">
            <v>POLLONE</v>
          </cell>
          <cell r="B7330" t="str">
            <v>096046</v>
          </cell>
          <cell r="C7330" t="str">
            <v>BI</v>
          </cell>
          <cell r="D7330" t="str">
            <v>BI</v>
          </cell>
          <cell r="E7330" t="str">
            <v>13814</v>
          </cell>
        </row>
        <row r="7331">
          <cell r="A7331" t="str">
            <v>PONDERANO</v>
          </cell>
          <cell r="B7331" t="str">
            <v>096047</v>
          </cell>
          <cell r="C7331" t="str">
            <v>BI</v>
          </cell>
          <cell r="D7331" t="str">
            <v>BI</v>
          </cell>
          <cell r="E7331" t="str">
            <v>13875</v>
          </cell>
        </row>
        <row r="7332">
          <cell r="A7332" t="str">
            <v>PORTULA</v>
          </cell>
          <cell r="B7332" t="str">
            <v>096048</v>
          </cell>
          <cell r="C7332" t="str">
            <v>BI</v>
          </cell>
          <cell r="D7332" t="str">
            <v>BI</v>
          </cell>
          <cell r="E7332" t="str">
            <v>13833</v>
          </cell>
        </row>
        <row r="7333">
          <cell r="A7333" t="str">
            <v>PRALUNGO</v>
          </cell>
          <cell r="B7333" t="str">
            <v>096049</v>
          </cell>
          <cell r="C7333" t="str">
            <v>BI</v>
          </cell>
          <cell r="D7333" t="str">
            <v>BI</v>
          </cell>
          <cell r="E7333" t="str">
            <v>13899</v>
          </cell>
        </row>
        <row r="7334">
          <cell r="A7334" t="str">
            <v>PRAY</v>
          </cell>
          <cell r="B7334" t="str">
            <v>096050</v>
          </cell>
          <cell r="C7334" t="str">
            <v>BI</v>
          </cell>
          <cell r="D7334" t="str">
            <v>BI</v>
          </cell>
          <cell r="E7334" t="str">
            <v>13867</v>
          </cell>
        </row>
        <row r="7335">
          <cell r="A7335" t="str">
            <v>RONCO BIELLESE</v>
          </cell>
          <cell r="B7335" t="str">
            <v>096053</v>
          </cell>
          <cell r="C7335" t="str">
            <v>BI</v>
          </cell>
          <cell r="D7335" t="str">
            <v>BI</v>
          </cell>
          <cell r="E7335" t="str">
            <v>13845</v>
          </cell>
        </row>
        <row r="7336">
          <cell r="A7336" t="str">
            <v>ROPPOLO</v>
          </cell>
          <cell r="B7336" t="str">
            <v>096054</v>
          </cell>
          <cell r="C7336" t="str">
            <v>BI</v>
          </cell>
          <cell r="D7336" t="str">
            <v>BI</v>
          </cell>
          <cell r="E7336" t="str">
            <v>13883</v>
          </cell>
        </row>
        <row r="7337">
          <cell r="A7337" t="str">
            <v>ROSAZZA</v>
          </cell>
          <cell r="B7337" t="str">
            <v>096055</v>
          </cell>
          <cell r="C7337" t="str">
            <v>BI</v>
          </cell>
          <cell r="D7337" t="str">
            <v>BI</v>
          </cell>
          <cell r="E7337" t="str">
            <v>13815</v>
          </cell>
        </row>
        <row r="7338">
          <cell r="A7338" t="str">
            <v>SAGLIANO MICCA</v>
          </cell>
          <cell r="B7338" t="str">
            <v>096056</v>
          </cell>
          <cell r="C7338" t="str">
            <v>BI</v>
          </cell>
          <cell r="D7338" t="str">
            <v>BI</v>
          </cell>
          <cell r="E7338" t="str">
            <v>13816</v>
          </cell>
        </row>
        <row r="7339">
          <cell r="A7339" t="str">
            <v>SALA BIELLESE</v>
          </cell>
          <cell r="B7339" t="str">
            <v>096057</v>
          </cell>
          <cell r="C7339" t="str">
            <v>BI</v>
          </cell>
          <cell r="D7339" t="str">
            <v>BI</v>
          </cell>
          <cell r="E7339" t="str">
            <v>13884</v>
          </cell>
        </row>
        <row r="7340">
          <cell r="A7340" t="str">
            <v>SALUSSOLA</v>
          </cell>
          <cell r="B7340" t="str">
            <v>096058</v>
          </cell>
          <cell r="C7340" t="str">
            <v>BI</v>
          </cell>
          <cell r="D7340" t="str">
            <v>BI</v>
          </cell>
          <cell r="E7340" t="str">
            <v>13885</v>
          </cell>
        </row>
        <row r="7341">
          <cell r="A7341" t="str">
            <v>SANDIGLIANO</v>
          </cell>
          <cell r="B7341" t="str">
            <v>096059</v>
          </cell>
          <cell r="C7341" t="str">
            <v>BI</v>
          </cell>
          <cell r="D7341" t="str">
            <v>BI</v>
          </cell>
          <cell r="E7341" t="str">
            <v>13876</v>
          </cell>
        </row>
        <row r="7342">
          <cell r="A7342" t="str">
            <v>SORDEVOLO</v>
          </cell>
          <cell r="B7342" t="str">
            <v>096063</v>
          </cell>
          <cell r="C7342" t="str">
            <v>BI</v>
          </cell>
          <cell r="D7342" t="str">
            <v>BI</v>
          </cell>
          <cell r="E7342" t="str">
            <v>13817</v>
          </cell>
        </row>
        <row r="7343">
          <cell r="A7343" t="str">
            <v>SOSTEGNO</v>
          </cell>
          <cell r="B7343" t="str">
            <v>096064</v>
          </cell>
          <cell r="C7343" t="str">
            <v>BI</v>
          </cell>
          <cell r="D7343" t="str">
            <v>BI</v>
          </cell>
          <cell r="E7343" t="str">
            <v>13868</v>
          </cell>
        </row>
        <row r="7344">
          <cell r="A7344" t="str">
            <v>STRONA</v>
          </cell>
          <cell r="B7344" t="str">
            <v>096065</v>
          </cell>
          <cell r="C7344" t="str">
            <v>BI</v>
          </cell>
          <cell r="D7344" t="str">
            <v>BI</v>
          </cell>
          <cell r="E7344" t="str">
            <v>13823</v>
          </cell>
        </row>
        <row r="7345">
          <cell r="A7345" t="str">
            <v>TAVIGLIANO</v>
          </cell>
          <cell r="B7345" t="str">
            <v>096066</v>
          </cell>
          <cell r="C7345" t="str">
            <v>BI</v>
          </cell>
          <cell r="D7345" t="str">
            <v>BI</v>
          </cell>
          <cell r="E7345" t="str">
            <v>13811</v>
          </cell>
        </row>
        <row r="7346">
          <cell r="A7346" t="str">
            <v>TERNENGO</v>
          </cell>
          <cell r="B7346" t="str">
            <v>096067</v>
          </cell>
          <cell r="C7346" t="str">
            <v>BI</v>
          </cell>
          <cell r="D7346" t="str">
            <v>BI</v>
          </cell>
          <cell r="E7346" t="str">
            <v>13844</v>
          </cell>
        </row>
        <row r="7347">
          <cell r="A7347" t="str">
            <v>TOLLEGNO</v>
          </cell>
          <cell r="B7347" t="str">
            <v>096068</v>
          </cell>
          <cell r="C7347" t="str">
            <v>BI</v>
          </cell>
          <cell r="D7347" t="str">
            <v>BI</v>
          </cell>
          <cell r="E7347" t="str">
            <v>13818</v>
          </cell>
        </row>
        <row r="7348">
          <cell r="A7348" t="str">
            <v>TORRAZZO</v>
          </cell>
          <cell r="B7348" t="str">
            <v>096069</v>
          </cell>
          <cell r="C7348" t="str">
            <v>BI</v>
          </cell>
          <cell r="D7348" t="str">
            <v>BI</v>
          </cell>
          <cell r="E7348" t="str">
            <v>13884</v>
          </cell>
        </row>
        <row r="7349">
          <cell r="A7349" t="str">
            <v>VALDENGO</v>
          </cell>
          <cell r="B7349" t="str">
            <v>096071</v>
          </cell>
          <cell r="C7349" t="str">
            <v>BI</v>
          </cell>
          <cell r="D7349" t="str">
            <v>BI</v>
          </cell>
          <cell r="E7349" t="str">
            <v>13855</v>
          </cell>
        </row>
        <row r="7350">
          <cell r="A7350" t="str">
            <v>VALLANZENGO</v>
          </cell>
          <cell r="B7350" t="str">
            <v>096072</v>
          </cell>
          <cell r="C7350" t="str">
            <v>BI</v>
          </cell>
          <cell r="D7350" t="str">
            <v>BI</v>
          </cell>
          <cell r="E7350" t="str">
            <v>13847</v>
          </cell>
        </row>
        <row r="7351">
          <cell r="A7351" t="str">
            <v>VALLE SAN NICOLAO</v>
          </cell>
          <cell r="B7351" t="str">
            <v>096074</v>
          </cell>
          <cell r="C7351" t="str">
            <v>BI</v>
          </cell>
          <cell r="D7351" t="str">
            <v>BI</v>
          </cell>
          <cell r="E7351" t="str">
            <v>13847</v>
          </cell>
        </row>
        <row r="7352">
          <cell r="A7352" t="str">
            <v>VEGLIO</v>
          </cell>
          <cell r="B7352" t="str">
            <v>096075</v>
          </cell>
          <cell r="C7352" t="str">
            <v>BI</v>
          </cell>
          <cell r="D7352" t="str">
            <v>BI</v>
          </cell>
          <cell r="E7352" t="str">
            <v>13824</v>
          </cell>
        </row>
        <row r="7353">
          <cell r="A7353" t="str">
            <v>VERRONE</v>
          </cell>
          <cell r="B7353" t="str">
            <v>096076</v>
          </cell>
          <cell r="C7353" t="str">
            <v>BI</v>
          </cell>
          <cell r="D7353" t="str">
            <v>BI</v>
          </cell>
          <cell r="E7353" t="str">
            <v>13871</v>
          </cell>
        </row>
        <row r="7354">
          <cell r="A7354" t="str">
            <v>VIGLIANO BIELLESE</v>
          </cell>
          <cell r="B7354" t="str">
            <v>096077</v>
          </cell>
          <cell r="C7354" t="str">
            <v>BI</v>
          </cell>
          <cell r="D7354" t="str">
            <v>BI</v>
          </cell>
          <cell r="E7354" t="str">
            <v>13856</v>
          </cell>
        </row>
        <row r="7355">
          <cell r="A7355" t="str">
            <v>VILLA DEL BOSCO</v>
          </cell>
          <cell r="B7355" t="str">
            <v>096078</v>
          </cell>
          <cell r="C7355" t="str">
            <v>BI</v>
          </cell>
          <cell r="D7355" t="str">
            <v>BI</v>
          </cell>
          <cell r="E7355" t="str">
            <v>13868</v>
          </cell>
        </row>
        <row r="7356">
          <cell r="A7356" t="str">
            <v>VILLANOVA BIELLESE</v>
          </cell>
          <cell r="B7356" t="str">
            <v>096079</v>
          </cell>
          <cell r="C7356" t="str">
            <v>BI</v>
          </cell>
          <cell r="D7356" t="str">
            <v>BI</v>
          </cell>
          <cell r="E7356" t="str">
            <v>13877</v>
          </cell>
        </row>
        <row r="7357">
          <cell r="A7357" t="str">
            <v>VIVERONE</v>
          </cell>
          <cell r="B7357" t="str">
            <v>096080</v>
          </cell>
          <cell r="C7357" t="str">
            <v>BI</v>
          </cell>
          <cell r="D7357" t="str">
            <v>BI</v>
          </cell>
          <cell r="E7357" t="str">
            <v>13886</v>
          </cell>
        </row>
        <row r="7358">
          <cell r="A7358" t="str">
            <v>ZIMONE</v>
          </cell>
          <cell r="B7358" t="str">
            <v>096081</v>
          </cell>
          <cell r="C7358" t="str">
            <v>BI</v>
          </cell>
          <cell r="D7358" t="str">
            <v>BI</v>
          </cell>
          <cell r="E7358" t="str">
            <v>13887</v>
          </cell>
        </row>
        <row r="7359">
          <cell r="A7359" t="str">
            <v>ZUBIENA</v>
          </cell>
          <cell r="B7359" t="str">
            <v>096082</v>
          </cell>
          <cell r="C7359" t="str">
            <v>BI</v>
          </cell>
          <cell r="D7359" t="str">
            <v>BI</v>
          </cell>
          <cell r="E7359" t="str">
            <v>13888</v>
          </cell>
        </row>
        <row r="7360">
          <cell r="A7360" t="str">
            <v>ZUMAGLIA</v>
          </cell>
          <cell r="B7360" t="str">
            <v>096083</v>
          </cell>
          <cell r="C7360" t="str">
            <v>BI</v>
          </cell>
          <cell r="D7360" t="str">
            <v>BI</v>
          </cell>
          <cell r="E7360" t="str">
            <v>13848</v>
          </cell>
        </row>
        <row r="7361">
          <cell r="A7361" t="str">
            <v>LESSONA</v>
          </cell>
          <cell r="B7361" t="str">
            <v>096085</v>
          </cell>
          <cell r="C7361" t="str">
            <v>BI</v>
          </cell>
          <cell r="D7361" t="str">
            <v>BI</v>
          </cell>
          <cell r="E7361" t="str">
            <v>13853</v>
          </cell>
        </row>
        <row r="7362">
          <cell r="A7362" t="str">
            <v>CAMPIGLIA CERVO</v>
          </cell>
          <cell r="B7362" t="str">
            <v>096086</v>
          </cell>
          <cell r="C7362" t="str">
            <v>BI</v>
          </cell>
          <cell r="D7362" t="str">
            <v>BI</v>
          </cell>
          <cell r="E7362" t="str">
            <v>13812</v>
          </cell>
        </row>
        <row r="7363">
          <cell r="A7363" t="str">
            <v>QUAREGNA CERRETO</v>
          </cell>
          <cell r="B7363" t="str">
            <v>096087</v>
          </cell>
          <cell r="C7363" t="str">
            <v>BI</v>
          </cell>
          <cell r="D7363" t="e">
            <v>#N/A</v>
          </cell>
          <cell r="E7363" t="e">
            <v>#N/A</v>
          </cell>
        </row>
        <row r="7364">
          <cell r="A7364" t="str">
            <v>VALDILANA</v>
          </cell>
          <cell r="B7364" t="str">
            <v>096088</v>
          </cell>
          <cell r="C7364" t="str">
            <v>BI</v>
          </cell>
          <cell r="D7364" t="e">
            <v>#N/A</v>
          </cell>
          <cell r="E7364" t="e">
            <v>#N/A</v>
          </cell>
        </row>
        <row r="7365">
          <cell r="A7365" t="str">
            <v>ABBADIA LARIANA</v>
          </cell>
          <cell r="B7365" t="str">
            <v>097001</v>
          </cell>
          <cell r="C7365" t="str">
            <v>LC</v>
          </cell>
          <cell r="D7365" t="str">
            <v>LC</v>
          </cell>
          <cell r="E7365" t="str">
            <v>23821</v>
          </cell>
        </row>
        <row r="7366">
          <cell r="A7366" t="str">
            <v>AIRUNO</v>
          </cell>
          <cell r="B7366" t="str">
            <v>097002</v>
          </cell>
          <cell r="C7366" t="str">
            <v>LC</v>
          </cell>
          <cell r="D7366" t="str">
            <v>LC</v>
          </cell>
          <cell r="E7366" t="str">
            <v>23881</v>
          </cell>
        </row>
        <row r="7367">
          <cell r="A7367" t="str">
            <v>ANNONE DI BRIANZA</v>
          </cell>
          <cell r="B7367" t="str">
            <v>097003</v>
          </cell>
          <cell r="C7367" t="str">
            <v>LC</v>
          </cell>
          <cell r="D7367" t="str">
            <v>LC</v>
          </cell>
          <cell r="E7367" t="str">
            <v>23841</v>
          </cell>
        </row>
        <row r="7368">
          <cell r="A7368" t="str">
            <v>BALLABIO</v>
          </cell>
          <cell r="B7368" t="str">
            <v>097004</v>
          </cell>
          <cell r="C7368" t="str">
            <v>LC</v>
          </cell>
          <cell r="D7368" t="str">
            <v>LC</v>
          </cell>
          <cell r="E7368" t="str">
            <v>23811</v>
          </cell>
        </row>
        <row r="7369">
          <cell r="A7369" t="str">
            <v>BARZAGO</v>
          </cell>
          <cell r="B7369" t="str">
            <v>097005</v>
          </cell>
          <cell r="C7369" t="str">
            <v>LC</v>
          </cell>
          <cell r="D7369" t="str">
            <v>LC</v>
          </cell>
          <cell r="E7369" t="str">
            <v>23890</v>
          </cell>
        </row>
        <row r="7370">
          <cell r="A7370" t="str">
            <v>BARZANÒ</v>
          </cell>
          <cell r="B7370" t="str">
            <v>097006</v>
          </cell>
          <cell r="C7370" t="str">
            <v>LC</v>
          </cell>
          <cell r="D7370" t="str">
            <v>LC</v>
          </cell>
          <cell r="E7370" t="str">
            <v>23891</v>
          </cell>
        </row>
        <row r="7371">
          <cell r="A7371" t="str">
            <v>BARZIO</v>
          </cell>
          <cell r="B7371" t="str">
            <v>097007</v>
          </cell>
          <cell r="C7371" t="str">
            <v>LC</v>
          </cell>
          <cell r="D7371" t="str">
            <v>LC</v>
          </cell>
          <cell r="E7371" t="str">
            <v>23816</v>
          </cell>
        </row>
        <row r="7372">
          <cell r="A7372" t="str">
            <v>BELLANO</v>
          </cell>
          <cell r="B7372" t="str">
            <v>097008</v>
          </cell>
          <cell r="C7372" t="str">
            <v>LC</v>
          </cell>
          <cell r="D7372" t="str">
            <v>LC</v>
          </cell>
          <cell r="E7372" t="str">
            <v>23822</v>
          </cell>
        </row>
        <row r="7373">
          <cell r="A7373" t="str">
            <v>BOSISIO PARINI</v>
          </cell>
          <cell r="B7373" t="str">
            <v>097009</v>
          </cell>
          <cell r="C7373" t="str">
            <v>LC</v>
          </cell>
          <cell r="D7373" t="str">
            <v>LC</v>
          </cell>
          <cell r="E7373" t="str">
            <v>23842</v>
          </cell>
        </row>
        <row r="7374">
          <cell r="A7374" t="str">
            <v>BRIVIO</v>
          </cell>
          <cell r="B7374" t="str">
            <v>097010</v>
          </cell>
          <cell r="C7374" t="str">
            <v>LC</v>
          </cell>
          <cell r="D7374" t="str">
            <v>LC</v>
          </cell>
          <cell r="E7374" t="str">
            <v>23883</v>
          </cell>
        </row>
        <row r="7375">
          <cell r="A7375" t="str">
            <v>BULCIAGO</v>
          </cell>
          <cell r="B7375" t="str">
            <v>097011</v>
          </cell>
          <cell r="C7375" t="str">
            <v>LC</v>
          </cell>
          <cell r="D7375" t="str">
            <v>LC</v>
          </cell>
          <cell r="E7375" t="str">
            <v>23892</v>
          </cell>
        </row>
        <row r="7376">
          <cell r="A7376" t="str">
            <v>CALCO</v>
          </cell>
          <cell r="B7376" t="str">
            <v>097012</v>
          </cell>
          <cell r="C7376" t="str">
            <v>LC</v>
          </cell>
          <cell r="D7376" t="str">
            <v>LC</v>
          </cell>
          <cell r="E7376" t="str">
            <v>23885</v>
          </cell>
        </row>
        <row r="7377">
          <cell r="A7377" t="str">
            <v>CALOLZIOCORTE</v>
          </cell>
          <cell r="B7377" t="str">
            <v>097013</v>
          </cell>
          <cell r="C7377" t="str">
            <v>LC</v>
          </cell>
          <cell r="D7377" t="str">
            <v>LC</v>
          </cell>
          <cell r="E7377" t="str">
            <v>23801</v>
          </cell>
        </row>
        <row r="7378">
          <cell r="A7378" t="str">
            <v>CARENNO</v>
          </cell>
          <cell r="B7378" t="str">
            <v>097014</v>
          </cell>
          <cell r="C7378" t="str">
            <v>LC</v>
          </cell>
          <cell r="D7378" t="str">
            <v>LC</v>
          </cell>
          <cell r="E7378" t="str">
            <v>23802</v>
          </cell>
        </row>
        <row r="7379">
          <cell r="A7379" t="str">
            <v>CASARGO</v>
          </cell>
          <cell r="B7379" t="str">
            <v>097015</v>
          </cell>
          <cell r="C7379" t="str">
            <v>LC</v>
          </cell>
          <cell r="D7379" t="str">
            <v>LC</v>
          </cell>
          <cell r="E7379" t="str">
            <v>23831</v>
          </cell>
        </row>
        <row r="7380">
          <cell r="A7380" t="str">
            <v>CASATENOVO</v>
          </cell>
          <cell r="B7380" t="str">
            <v>097016</v>
          </cell>
          <cell r="C7380" t="str">
            <v>LC</v>
          </cell>
          <cell r="D7380" t="str">
            <v>LC</v>
          </cell>
          <cell r="E7380" t="str">
            <v>23880</v>
          </cell>
        </row>
        <row r="7381">
          <cell r="A7381" t="str">
            <v>CASSAGO BRIANZA</v>
          </cell>
          <cell r="B7381" t="str">
            <v>097017</v>
          </cell>
          <cell r="C7381" t="str">
            <v>LC</v>
          </cell>
          <cell r="D7381" t="str">
            <v>LC</v>
          </cell>
          <cell r="E7381" t="str">
            <v>23893</v>
          </cell>
        </row>
        <row r="7382">
          <cell r="A7382" t="str">
            <v>CASSINA VALSASSINA</v>
          </cell>
          <cell r="B7382" t="str">
            <v>097018</v>
          </cell>
          <cell r="C7382" t="str">
            <v>LC</v>
          </cell>
          <cell r="D7382" t="str">
            <v>LC</v>
          </cell>
          <cell r="E7382" t="str">
            <v>23817</v>
          </cell>
        </row>
        <row r="7383">
          <cell r="A7383" t="str">
            <v>CASTELLO DI BRIANZA</v>
          </cell>
          <cell r="B7383" t="str">
            <v>097019</v>
          </cell>
          <cell r="C7383" t="str">
            <v>LC</v>
          </cell>
          <cell r="D7383" t="str">
            <v>LC</v>
          </cell>
          <cell r="E7383" t="str">
            <v>23884</v>
          </cell>
        </row>
        <row r="7384">
          <cell r="A7384" t="str">
            <v>CERNUSCO LOMBARDONE</v>
          </cell>
          <cell r="B7384" t="str">
            <v>097020</v>
          </cell>
          <cell r="C7384" t="str">
            <v>LC</v>
          </cell>
          <cell r="D7384" t="str">
            <v>LC</v>
          </cell>
          <cell r="E7384" t="str">
            <v>23870</v>
          </cell>
        </row>
        <row r="7385">
          <cell r="A7385" t="str">
            <v>CESANA BRIANZA</v>
          </cell>
          <cell r="B7385" t="str">
            <v>097021</v>
          </cell>
          <cell r="C7385" t="str">
            <v>LC</v>
          </cell>
          <cell r="D7385" t="str">
            <v>LC</v>
          </cell>
          <cell r="E7385" t="str">
            <v>23861</v>
          </cell>
        </row>
        <row r="7386">
          <cell r="A7386" t="str">
            <v>CIVATE</v>
          </cell>
          <cell r="B7386" t="str">
            <v>097022</v>
          </cell>
          <cell r="C7386" t="str">
            <v>LC</v>
          </cell>
          <cell r="D7386" t="str">
            <v>LC</v>
          </cell>
          <cell r="E7386" t="str">
            <v>23862</v>
          </cell>
        </row>
        <row r="7387">
          <cell r="A7387" t="str">
            <v>COLICO</v>
          </cell>
          <cell r="B7387" t="str">
            <v>097023</v>
          </cell>
          <cell r="C7387" t="str">
            <v>LC</v>
          </cell>
          <cell r="D7387" t="str">
            <v>LC</v>
          </cell>
          <cell r="E7387" t="str">
            <v>23823</v>
          </cell>
        </row>
        <row r="7388">
          <cell r="A7388" t="str">
            <v>COLLE BRIANZA</v>
          </cell>
          <cell r="B7388" t="str">
            <v>097024</v>
          </cell>
          <cell r="C7388" t="str">
            <v>LC</v>
          </cell>
          <cell r="D7388" t="str">
            <v>LC</v>
          </cell>
          <cell r="E7388" t="str">
            <v>23886</v>
          </cell>
        </row>
        <row r="7389">
          <cell r="A7389" t="str">
            <v>CORTENOVA</v>
          </cell>
          <cell r="B7389" t="str">
            <v>097025</v>
          </cell>
          <cell r="C7389" t="str">
            <v>LC</v>
          </cell>
          <cell r="D7389" t="str">
            <v>LC</v>
          </cell>
          <cell r="E7389" t="str">
            <v>23813</v>
          </cell>
        </row>
        <row r="7390">
          <cell r="A7390" t="str">
            <v>COSTA MASNAGA</v>
          </cell>
          <cell r="B7390" t="str">
            <v>097026</v>
          </cell>
          <cell r="C7390" t="str">
            <v>LC</v>
          </cell>
          <cell r="D7390" t="str">
            <v>LC</v>
          </cell>
          <cell r="E7390" t="str">
            <v>23845</v>
          </cell>
        </row>
        <row r="7391">
          <cell r="A7391" t="str">
            <v>CRANDOLA VALSASSINA</v>
          </cell>
          <cell r="B7391" t="str">
            <v>097027</v>
          </cell>
          <cell r="C7391" t="str">
            <v>LC</v>
          </cell>
          <cell r="D7391" t="str">
            <v>LC</v>
          </cell>
          <cell r="E7391" t="str">
            <v>23832</v>
          </cell>
        </row>
        <row r="7392">
          <cell r="A7392" t="str">
            <v>CREMELLA</v>
          </cell>
          <cell r="B7392" t="str">
            <v>097028</v>
          </cell>
          <cell r="C7392" t="str">
            <v>LC</v>
          </cell>
          <cell r="D7392" t="str">
            <v>LC</v>
          </cell>
          <cell r="E7392" t="str">
            <v>23894</v>
          </cell>
        </row>
        <row r="7393">
          <cell r="A7393" t="str">
            <v>CREMENO</v>
          </cell>
          <cell r="B7393" t="str">
            <v>097029</v>
          </cell>
          <cell r="C7393" t="str">
            <v>LC</v>
          </cell>
          <cell r="D7393" t="str">
            <v>LC</v>
          </cell>
          <cell r="E7393" t="str">
            <v>23814</v>
          </cell>
        </row>
        <row r="7394">
          <cell r="A7394" t="str">
            <v>DERVIO</v>
          </cell>
          <cell r="B7394" t="str">
            <v>097030</v>
          </cell>
          <cell r="C7394" t="str">
            <v>LC</v>
          </cell>
          <cell r="D7394" t="str">
            <v>LC</v>
          </cell>
          <cell r="E7394" t="str">
            <v>23824</v>
          </cell>
        </row>
        <row r="7395">
          <cell r="A7395" t="str">
            <v>DOLZAGO</v>
          </cell>
          <cell r="B7395" t="str">
            <v>097031</v>
          </cell>
          <cell r="C7395" t="str">
            <v>LC</v>
          </cell>
          <cell r="D7395" t="str">
            <v>LC</v>
          </cell>
          <cell r="E7395" t="str">
            <v>23843</v>
          </cell>
        </row>
        <row r="7396">
          <cell r="A7396" t="str">
            <v>DORIO</v>
          </cell>
          <cell r="B7396" t="str">
            <v>097032</v>
          </cell>
          <cell r="C7396" t="str">
            <v>LC</v>
          </cell>
          <cell r="D7396" t="str">
            <v>LC</v>
          </cell>
          <cell r="E7396" t="str">
            <v>23824</v>
          </cell>
        </row>
        <row r="7397">
          <cell r="A7397" t="str">
            <v>ELLO</v>
          </cell>
          <cell r="B7397" t="str">
            <v>097033</v>
          </cell>
          <cell r="C7397" t="str">
            <v>LC</v>
          </cell>
          <cell r="D7397" t="str">
            <v>LC</v>
          </cell>
          <cell r="E7397" t="str">
            <v>23848</v>
          </cell>
        </row>
        <row r="7398">
          <cell r="A7398" t="str">
            <v>ERVE</v>
          </cell>
          <cell r="B7398" t="str">
            <v>097034</v>
          </cell>
          <cell r="C7398" t="str">
            <v>LC</v>
          </cell>
          <cell r="D7398" t="str">
            <v>LC</v>
          </cell>
          <cell r="E7398" t="str">
            <v>23805</v>
          </cell>
        </row>
        <row r="7399">
          <cell r="A7399" t="str">
            <v>ESINO LARIO</v>
          </cell>
          <cell r="B7399" t="str">
            <v>097035</v>
          </cell>
          <cell r="C7399" t="str">
            <v>LC</v>
          </cell>
          <cell r="D7399" t="str">
            <v>LC</v>
          </cell>
          <cell r="E7399" t="str">
            <v>23825</v>
          </cell>
        </row>
        <row r="7400">
          <cell r="A7400" t="str">
            <v>GALBIATE</v>
          </cell>
          <cell r="B7400" t="str">
            <v>097036</v>
          </cell>
          <cell r="C7400" t="str">
            <v>LC</v>
          </cell>
          <cell r="D7400" t="str">
            <v>LC</v>
          </cell>
          <cell r="E7400" t="str">
            <v>23851</v>
          </cell>
        </row>
        <row r="7401">
          <cell r="A7401" t="str">
            <v>GARBAGNATE MONASTERO</v>
          </cell>
          <cell r="B7401" t="str">
            <v>097037</v>
          </cell>
          <cell r="C7401" t="str">
            <v>LC</v>
          </cell>
          <cell r="D7401" t="str">
            <v>LC</v>
          </cell>
          <cell r="E7401" t="str">
            <v>23846</v>
          </cell>
        </row>
        <row r="7402">
          <cell r="A7402" t="str">
            <v>GARLATE</v>
          </cell>
          <cell r="B7402" t="str">
            <v>097038</v>
          </cell>
          <cell r="C7402" t="str">
            <v>LC</v>
          </cell>
          <cell r="D7402" t="str">
            <v>LC</v>
          </cell>
          <cell r="E7402" t="str">
            <v>23852</v>
          </cell>
        </row>
        <row r="7403">
          <cell r="A7403" t="str">
            <v>IMBERSAGO</v>
          </cell>
          <cell r="B7403" t="str">
            <v>097039</v>
          </cell>
          <cell r="C7403" t="str">
            <v>LC</v>
          </cell>
          <cell r="D7403" t="str">
            <v>LC</v>
          </cell>
          <cell r="E7403" t="str">
            <v>23898</v>
          </cell>
        </row>
        <row r="7404">
          <cell r="A7404" t="str">
            <v>INTROBIO</v>
          </cell>
          <cell r="B7404" t="str">
            <v>097040</v>
          </cell>
          <cell r="C7404" t="str">
            <v>LC</v>
          </cell>
          <cell r="D7404" t="str">
            <v>LC</v>
          </cell>
          <cell r="E7404" t="str">
            <v>23815</v>
          </cell>
        </row>
        <row r="7405">
          <cell r="A7405" t="str">
            <v>LECCO</v>
          </cell>
          <cell r="B7405" t="str">
            <v>097042</v>
          </cell>
          <cell r="C7405" t="str">
            <v>LC</v>
          </cell>
          <cell r="D7405" t="str">
            <v>LC</v>
          </cell>
          <cell r="E7405" t="str">
            <v>23900</v>
          </cell>
        </row>
        <row r="7406">
          <cell r="A7406" t="str">
            <v>LIERNA</v>
          </cell>
          <cell r="B7406" t="str">
            <v>097043</v>
          </cell>
          <cell r="C7406" t="str">
            <v>LC</v>
          </cell>
          <cell r="D7406" t="str">
            <v>LC</v>
          </cell>
          <cell r="E7406" t="str">
            <v>23827</v>
          </cell>
        </row>
        <row r="7407">
          <cell r="A7407" t="str">
            <v>LOMAGNA</v>
          </cell>
          <cell r="B7407" t="str">
            <v>097044</v>
          </cell>
          <cell r="C7407" t="str">
            <v>LC</v>
          </cell>
          <cell r="D7407" t="str">
            <v>LC</v>
          </cell>
          <cell r="E7407" t="str">
            <v>23871</v>
          </cell>
        </row>
        <row r="7408">
          <cell r="A7408" t="str">
            <v>MALGRATE</v>
          </cell>
          <cell r="B7408" t="str">
            <v>097045</v>
          </cell>
          <cell r="C7408" t="str">
            <v>LC</v>
          </cell>
          <cell r="D7408" t="str">
            <v>LC</v>
          </cell>
          <cell r="E7408" t="str">
            <v>23864</v>
          </cell>
        </row>
        <row r="7409">
          <cell r="A7409" t="str">
            <v>MANDELLO DEL LARIO</v>
          </cell>
          <cell r="B7409" t="str">
            <v>097046</v>
          </cell>
          <cell r="C7409" t="str">
            <v>LC</v>
          </cell>
          <cell r="D7409" t="str">
            <v>LC</v>
          </cell>
          <cell r="E7409" t="str">
            <v>23826</v>
          </cell>
        </row>
        <row r="7410">
          <cell r="A7410" t="str">
            <v>MARGNO</v>
          </cell>
          <cell r="B7410" t="str">
            <v>097047</v>
          </cell>
          <cell r="C7410" t="str">
            <v>LC</v>
          </cell>
          <cell r="D7410" t="str">
            <v>LC</v>
          </cell>
          <cell r="E7410" t="str">
            <v>23832</v>
          </cell>
        </row>
        <row r="7411">
          <cell r="A7411" t="str">
            <v>MERATE</v>
          </cell>
          <cell r="B7411" t="str">
            <v>097048</v>
          </cell>
          <cell r="C7411" t="str">
            <v>LC</v>
          </cell>
          <cell r="D7411" t="str">
            <v>LC</v>
          </cell>
          <cell r="E7411" t="str">
            <v>23807</v>
          </cell>
        </row>
        <row r="7412">
          <cell r="A7412" t="str">
            <v>MISSAGLIA</v>
          </cell>
          <cell r="B7412" t="str">
            <v>097049</v>
          </cell>
          <cell r="C7412" t="str">
            <v>LC</v>
          </cell>
          <cell r="D7412" t="str">
            <v>LC</v>
          </cell>
          <cell r="E7412" t="str">
            <v>23873</v>
          </cell>
        </row>
        <row r="7413">
          <cell r="A7413" t="str">
            <v>MOGGIO</v>
          </cell>
          <cell r="B7413" t="str">
            <v>097050</v>
          </cell>
          <cell r="C7413" t="str">
            <v>LC</v>
          </cell>
          <cell r="D7413" t="str">
            <v>LC</v>
          </cell>
          <cell r="E7413" t="str">
            <v>23817</v>
          </cell>
        </row>
        <row r="7414">
          <cell r="A7414" t="str">
            <v>MOLTENO</v>
          </cell>
          <cell r="B7414" t="str">
            <v>097051</v>
          </cell>
          <cell r="C7414" t="str">
            <v>LC</v>
          </cell>
          <cell r="D7414" t="str">
            <v>LC</v>
          </cell>
          <cell r="E7414" t="str">
            <v>23847</v>
          </cell>
        </row>
        <row r="7415">
          <cell r="A7415" t="str">
            <v>MONTE MARENZO</v>
          </cell>
          <cell r="B7415" t="str">
            <v>097052</v>
          </cell>
          <cell r="C7415" t="str">
            <v>LC</v>
          </cell>
          <cell r="D7415" t="str">
            <v>LC</v>
          </cell>
          <cell r="E7415" t="str">
            <v>23804</v>
          </cell>
        </row>
        <row r="7416">
          <cell r="A7416" t="str">
            <v>MONTEVECCHIA</v>
          </cell>
          <cell r="B7416" t="str">
            <v>097053</v>
          </cell>
          <cell r="C7416" t="str">
            <v>LC</v>
          </cell>
          <cell r="D7416" t="str">
            <v>LC</v>
          </cell>
          <cell r="E7416" t="str">
            <v>23874</v>
          </cell>
        </row>
        <row r="7417">
          <cell r="A7417" t="str">
            <v>MONTICELLO BRIANZA</v>
          </cell>
          <cell r="B7417" t="str">
            <v>097054</v>
          </cell>
          <cell r="C7417" t="str">
            <v>LC</v>
          </cell>
          <cell r="D7417" t="str">
            <v>LC</v>
          </cell>
          <cell r="E7417" t="str">
            <v>23876</v>
          </cell>
        </row>
        <row r="7418">
          <cell r="A7418" t="str">
            <v>MORTERONE</v>
          </cell>
          <cell r="B7418" t="str">
            <v>097055</v>
          </cell>
          <cell r="C7418" t="str">
            <v>LC</v>
          </cell>
          <cell r="D7418" t="str">
            <v>LC</v>
          </cell>
          <cell r="E7418" t="str">
            <v>23811</v>
          </cell>
        </row>
        <row r="7419">
          <cell r="A7419" t="str">
            <v>NIBIONNO</v>
          </cell>
          <cell r="B7419" t="str">
            <v>097056</v>
          </cell>
          <cell r="C7419" t="str">
            <v>LC</v>
          </cell>
          <cell r="D7419" t="str">
            <v>LC</v>
          </cell>
          <cell r="E7419" t="str">
            <v>23895</v>
          </cell>
        </row>
        <row r="7420">
          <cell r="A7420" t="str">
            <v>OGGIONO</v>
          </cell>
          <cell r="B7420" t="str">
            <v>097057</v>
          </cell>
          <cell r="C7420" t="str">
            <v>LC</v>
          </cell>
          <cell r="D7420" t="str">
            <v>LC</v>
          </cell>
          <cell r="E7420" t="str">
            <v>23848</v>
          </cell>
        </row>
        <row r="7421">
          <cell r="A7421" t="str">
            <v>OLGIATE MOLGORA</v>
          </cell>
          <cell r="B7421" t="str">
            <v>097058</v>
          </cell>
          <cell r="C7421" t="str">
            <v>LC</v>
          </cell>
          <cell r="D7421" t="str">
            <v>LC</v>
          </cell>
          <cell r="E7421" t="str">
            <v>23887</v>
          </cell>
        </row>
        <row r="7422">
          <cell r="A7422" t="str">
            <v>OLGINATE</v>
          </cell>
          <cell r="B7422" t="str">
            <v>097059</v>
          </cell>
          <cell r="C7422" t="str">
            <v>LC</v>
          </cell>
          <cell r="D7422" t="str">
            <v>LC</v>
          </cell>
          <cell r="E7422" t="str">
            <v>23854</v>
          </cell>
        </row>
        <row r="7423">
          <cell r="A7423" t="str">
            <v>OLIVETO LARIO</v>
          </cell>
          <cell r="B7423" t="str">
            <v>097060</v>
          </cell>
          <cell r="C7423" t="str">
            <v>LC</v>
          </cell>
          <cell r="D7423" t="str">
            <v>LC</v>
          </cell>
          <cell r="E7423" t="str">
            <v>23865</v>
          </cell>
        </row>
        <row r="7424">
          <cell r="A7424" t="str">
            <v>OSNAGO</v>
          </cell>
          <cell r="B7424" t="str">
            <v>097061</v>
          </cell>
          <cell r="C7424" t="str">
            <v>LC</v>
          </cell>
          <cell r="D7424" t="str">
            <v>LC</v>
          </cell>
          <cell r="E7424" t="str">
            <v>23875</v>
          </cell>
        </row>
        <row r="7425">
          <cell r="A7425" t="str">
            <v>PADERNO D'ADDA</v>
          </cell>
          <cell r="B7425" t="str">
            <v>097062</v>
          </cell>
          <cell r="C7425" t="str">
            <v>LC</v>
          </cell>
          <cell r="D7425" t="str">
            <v>LC</v>
          </cell>
          <cell r="E7425" t="str">
            <v>23877</v>
          </cell>
        </row>
        <row r="7426">
          <cell r="A7426" t="str">
            <v>PAGNONA</v>
          </cell>
          <cell r="B7426" t="str">
            <v>097063</v>
          </cell>
          <cell r="C7426" t="str">
            <v>LC</v>
          </cell>
          <cell r="D7426" t="str">
            <v>LC</v>
          </cell>
          <cell r="E7426" t="str">
            <v>23833</v>
          </cell>
        </row>
        <row r="7427">
          <cell r="A7427" t="str">
            <v>PARLASCO</v>
          </cell>
          <cell r="B7427" t="str">
            <v>097064</v>
          </cell>
          <cell r="C7427" t="str">
            <v>LC</v>
          </cell>
          <cell r="D7427" t="str">
            <v>LC</v>
          </cell>
          <cell r="E7427" t="str">
            <v>23837</v>
          </cell>
        </row>
        <row r="7428">
          <cell r="A7428" t="str">
            <v>PASTURO</v>
          </cell>
          <cell r="B7428" t="str">
            <v>097065</v>
          </cell>
          <cell r="C7428" t="str">
            <v>LC</v>
          </cell>
          <cell r="D7428" t="str">
            <v>LC</v>
          </cell>
          <cell r="E7428" t="str">
            <v>23818</v>
          </cell>
        </row>
        <row r="7429">
          <cell r="A7429" t="str">
            <v>PERLEDO</v>
          </cell>
          <cell r="B7429" t="str">
            <v>097067</v>
          </cell>
          <cell r="C7429" t="str">
            <v>LC</v>
          </cell>
          <cell r="D7429" t="str">
            <v>LC</v>
          </cell>
          <cell r="E7429" t="str">
            <v>23828</v>
          </cell>
        </row>
        <row r="7430">
          <cell r="A7430" t="str">
            <v>PESCATE</v>
          </cell>
          <cell r="B7430" t="str">
            <v>097068</v>
          </cell>
          <cell r="C7430" t="str">
            <v>LC</v>
          </cell>
          <cell r="D7430" t="str">
            <v>LC</v>
          </cell>
          <cell r="E7430" t="str">
            <v>23855</v>
          </cell>
        </row>
        <row r="7431">
          <cell r="A7431" t="str">
            <v>PREMANA</v>
          </cell>
          <cell r="B7431" t="str">
            <v>097069</v>
          </cell>
          <cell r="C7431" t="str">
            <v>LC</v>
          </cell>
          <cell r="D7431" t="str">
            <v>LC</v>
          </cell>
          <cell r="E7431" t="str">
            <v>23834</v>
          </cell>
        </row>
        <row r="7432">
          <cell r="A7432" t="str">
            <v>PRIMALUNA</v>
          </cell>
          <cell r="B7432" t="str">
            <v>097070</v>
          </cell>
          <cell r="C7432" t="str">
            <v>LC</v>
          </cell>
          <cell r="D7432" t="str">
            <v>LC</v>
          </cell>
          <cell r="E7432" t="str">
            <v>23819</v>
          </cell>
        </row>
        <row r="7433">
          <cell r="A7433" t="str">
            <v>ROBBIATE</v>
          </cell>
          <cell r="B7433" t="str">
            <v>097071</v>
          </cell>
          <cell r="C7433" t="str">
            <v>LC</v>
          </cell>
          <cell r="D7433" t="str">
            <v>LC</v>
          </cell>
          <cell r="E7433" t="str">
            <v>23899</v>
          </cell>
        </row>
        <row r="7434">
          <cell r="A7434" t="str">
            <v>ROGENO</v>
          </cell>
          <cell r="B7434" t="str">
            <v>097072</v>
          </cell>
          <cell r="C7434" t="str">
            <v>LC</v>
          </cell>
          <cell r="D7434" t="str">
            <v>LC</v>
          </cell>
          <cell r="E7434" t="str">
            <v>23849</v>
          </cell>
        </row>
        <row r="7435">
          <cell r="A7435" t="str">
            <v>SANTA MARIA HOÈ</v>
          </cell>
          <cell r="B7435" t="str">
            <v>097074</v>
          </cell>
          <cell r="C7435" t="str">
            <v>LC</v>
          </cell>
          <cell r="D7435" t="str">
            <v>LC</v>
          </cell>
          <cell r="E7435" t="str">
            <v>23889</v>
          </cell>
        </row>
        <row r="7436">
          <cell r="A7436" t="str">
            <v>SIRONE</v>
          </cell>
          <cell r="B7436" t="str">
            <v>097075</v>
          </cell>
          <cell r="C7436" t="str">
            <v>LC</v>
          </cell>
          <cell r="D7436" t="str">
            <v>LC</v>
          </cell>
          <cell r="E7436" t="str">
            <v>23844</v>
          </cell>
        </row>
        <row r="7437">
          <cell r="A7437" t="str">
            <v>SIRTORI</v>
          </cell>
          <cell r="B7437" t="str">
            <v>097076</v>
          </cell>
          <cell r="C7437" t="str">
            <v>LC</v>
          </cell>
          <cell r="D7437" t="str">
            <v>LC</v>
          </cell>
          <cell r="E7437" t="str">
            <v>23896</v>
          </cell>
        </row>
        <row r="7438">
          <cell r="A7438" t="str">
            <v>SUEGLIO</v>
          </cell>
          <cell r="B7438" t="str">
            <v>097077</v>
          </cell>
          <cell r="C7438" t="str">
            <v>LC</v>
          </cell>
          <cell r="D7438" t="str">
            <v>LC</v>
          </cell>
          <cell r="E7438" t="str">
            <v>23835</v>
          </cell>
        </row>
        <row r="7439">
          <cell r="A7439" t="str">
            <v>SUELLO</v>
          </cell>
          <cell r="B7439" t="str">
            <v>097078</v>
          </cell>
          <cell r="C7439" t="str">
            <v>LC</v>
          </cell>
          <cell r="D7439" t="str">
            <v>LC</v>
          </cell>
          <cell r="E7439" t="str">
            <v>23867</v>
          </cell>
        </row>
        <row r="7440">
          <cell r="A7440" t="str">
            <v>TACENO</v>
          </cell>
          <cell r="B7440" t="str">
            <v>097079</v>
          </cell>
          <cell r="C7440" t="str">
            <v>LC</v>
          </cell>
          <cell r="D7440" t="str">
            <v>LC</v>
          </cell>
          <cell r="E7440" t="str">
            <v>23837</v>
          </cell>
        </row>
        <row r="7441">
          <cell r="A7441" t="str">
            <v>VALGREGHENTINO</v>
          </cell>
          <cell r="B7441" t="str">
            <v>097082</v>
          </cell>
          <cell r="C7441" t="str">
            <v>LC</v>
          </cell>
          <cell r="D7441" t="str">
            <v>LC</v>
          </cell>
          <cell r="E7441" t="str">
            <v>23857</v>
          </cell>
        </row>
        <row r="7442">
          <cell r="A7442" t="str">
            <v>VALMADRERA</v>
          </cell>
          <cell r="B7442" t="str">
            <v>097083</v>
          </cell>
          <cell r="C7442" t="str">
            <v>LC</v>
          </cell>
          <cell r="D7442" t="str">
            <v>LC</v>
          </cell>
          <cell r="E7442" t="str">
            <v>23868</v>
          </cell>
        </row>
        <row r="7443">
          <cell r="A7443" t="str">
            <v>VARENNA</v>
          </cell>
          <cell r="B7443" t="str">
            <v>097084</v>
          </cell>
          <cell r="C7443" t="str">
            <v>LC</v>
          </cell>
          <cell r="D7443" t="str">
            <v>LC</v>
          </cell>
          <cell r="E7443" t="str">
            <v>23829</v>
          </cell>
        </row>
        <row r="7444">
          <cell r="A7444" t="str">
            <v>VERCURAGO</v>
          </cell>
          <cell r="B7444" t="str">
            <v>097086</v>
          </cell>
          <cell r="C7444" t="str">
            <v>LC</v>
          </cell>
          <cell r="D7444" t="str">
            <v>LC</v>
          </cell>
          <cell r="E7444" t="str">
            <v>23808</v>
          </cell>
        </row>
        <row r="7445">
          <cell r="A7445" t="str">
            <v>VIGANÒ</v>
          </cell>
          <cell r="B7445" t="str">
            <v>097090</v>
          </cell>
          <cell r="C7445" t="str">
            <v>LC</v>
          </cell>
          <cell r="D7445" t="str">
            <v>LC</v>
          </cell>
          <cell r="E7445" t="str">
            <v>23897</v>
          </cell>
        </row>
        <row r="7446">
          <cell r="A7446" t="str">
            <v>VERDERIO</v>
          </cell>
          <cell r="B7446" t="str">
            <v>097091</v>
          </cell>
          <cell r="C7446" t="str">
            <v>LC</v>
          </cell>
          <cell r="D7446" t="e">
            <v>#N/A</v>
          </cell>
          <cell r="E7446" t="e">
            <v>#N/A</v>
          </cell>
        </row>
        <row r="7447">
          <cell r="A7447" t="str">
            <v>LA VALLETTA BRIANZA</v>
          </cell>
          <cell r="B7447" t="str">
            <v>097092</v>
          </cell>
          <cell r="C7447" t="str">
            <v>LC</v>
          </cell>
          <cell r="D7447" t="e">
            <v>#N/A</v>
          </cell>
          <cell r="E7447" t="e">
            <v>#N/A</v>
          </cell>
        </row>
        <row r="7448">
          <cell r="A7448" t="str">
            <v>VALVARRONE</v>
          </cell>
          <cell r="B7448" t="str">
            <v>097093</v>
          </cell>
          <cell r="C7448" t="str">
            <v>LC</v>
          </cell>
          <cell r="D7448" t="e">
            <v>#N/A</v>
          </cell>
          <cell r="E7448" t="e">
            <v>#N/A</v>
          </cell>
        </row>
        <row r="7449">
          <cell r="A7449" t="str">
            <v>ABBADIA CERRETO</v>
          </cell>
          <cell r="B7449" t="str">
            <v>098001</v>
          </cell>
          <cell r="C7449" t="str">
            <v>LO</v>
          </cell>
          <cell r="D7449" t="str">
            <v>LO</v>
          </cell>
          <cell r="E7449" t="str">
            <v>26834</v>
          </cell>
        </row>
        <row r="7450">
          <cell r="A7450" t="str">
            <v>BERTONICO</v>
          </cell>
          <cell r="B7450" t="str">
            <v>098002</v>
          </cell>
          <cell r="C7450" t="str">
            <v>LO</v>
          </cell>
          <cell r="D7450" t="str">
            <v>LO</v>
          </cell>
          <cell r="E7450" t="str">
            <v>26821</v>
          </cell>
        </row>
        <row r="7451">
          <cell r="A7451" t="str">
            <v>BOFFALORA D'ADDA</v>
          </cell>
          <cell r="B7451" t="str">
            <v>098003</v>
          </cell>
          <cell r="C7451" t="str">
            <v>LO</v>
          </cell>
          <cell r="D7451" t="str">
            <v>LO</v>
          </cell>
          <cell r="E7451" t="str">
            <v>26811</v>
          </cell>
        </row>
        <row r="7452">
          <cell r="A7452" t="str">
            <v>BORGHETTO LODIGIANO</v>
          </cell>
          <cell r="B7452" t="str">
            <v>098004</v>
          </cell>
          <cell r="C7452" t="str">
            <v>LO</v>
          </cell>
          <cell r="D7452" t="str">
            <v>LO</v>
          </cell>
          <cell r="E7452" t="str">
            <v>26812</v>
          </cell>
        </row>
        <row r="7453">
          <cell r="A7453" t="str">
            <v>BORGO SAN GIOVANNI</v>
          </cell>
          <cell r="B7453" t="str">
            <v>098005</v>
          </cell>
          <cell r="C7453" t="str">
            <v>LO</v>
          </cell>
          <cell r="D7453" t="str">
            <v>LO</v>
          </cell>
          <cell r="E7453" t="str">
            <v>26851</v>
          </cell>
        </row>
        <row r="7454">
          <cell r="A7454" t="str">
            <v>BREMBIO</v>
          </cell>
          <cell r="B7454" t="str">
            <v>098006</v>
          </cell>
          <cell r="C7454" t="str">
            <v>LO</v>
          </cell>
          <cell r="D7454" t="str">
            <v>LO</v>
          </cell>
          <cell r="E7454" t="str">
            <v>26822</v>
          </cell>
        </row>
        <row r="7455">
          <cell r="A7455" t="str">
            <v>CASALETTO LODIGIANO</v>
          </cell>
          <cell r="B7455" t="str">
            <v>098008</v>
          </cell>
          <cell r="C7455" t="str">
            <v>LO</v>
          </cell>
          <cell r="D7455" t="str">
            <v>LO</v>
          </cell>
          <cell r="E7455" t="str">
            <v>26852</v>
          </cell>
        </row>
        <row r="7456">
          <cell r="A7456" t="str">
            <v>CASALMAIOCCO</v>
          </cell>
          <cell r="B7456" t="str">
            <v>098009</v>
          </cell>
          <cell r="C7456" t="str">
            <v>LO</v>
          </cell>
          <cell r="D7456" t="str">
            <v>LO</v>
          </cell>
          <cell r="E7456" t="str">
            <v>26831</v>
          </cell>
        </row>
        <row r="7457">
          <cell r="A7457" t="str">
            <v>CASALPUSTERLENGO</v>
          </cell>
          <cell r="B7457" t="str">
            <v>098010</v>
          </cell>
          <cell r="C7457" t="str">
            <v>LO</v>
          </cell>
          <cell r="D7457" t="str">
            <v>LO</v>
          </cell>
          <cell r="E7457" t="str">
            <v>26841</v>
          </cell>
        </row>
        <row r="7458">
          <cell r="A7458" t="str">
            <v>CASELLE LANDI</v>
          </cell>
          <cell r="B7458" t="str">
            <v>098011</v>
          </cell>
          <cell r="C7458" t="str">
            <v>LO</v>
          </cell>
          <cell r="D7458" t="str">
            <v>LO</v>
          </cell>
          <cell r="E7458" t="str">
            <v>26842</v>
          </cell>
        </row>
        <row r="7459">
          <cell r="A7459" t="str">
            <v>CASELLE LURANI</v>
          </cell>
          <cell r="B7459" t="str">
            <v>098012</v>
          </cell>
          <cell r="C7459" t="str">
            <v>LO</v>
          </cell>
          <cell r="D7459" t="str">
            <v>LO</v>
          </cell>
          <cell r="E7459" t="str">
            <v>26853</v>
          </cell>
        </row>
        <row r="7460">
          <cell r="A7460" t="str">
            <v>CASTELNUOVO BOCCA D'ADDA</v>
          </cell>
          <cell r="B7460" t="str">
            <v>098013</v>
          </cell>
          <cell r="C7460" t="str">
            <v>LO</v>
          </cell>
          <cell r="D7460" t="str">
            <v>LO</v>
          </cell>
          <cell r="E7460" t="str">
            <v>26843</v>
          </cell>
        </row>
        <row r="7461">
          <cell r="A7461" t="str">
            <v>CASTIGLIONE D'ADDA</v>
          </cell>
          <cell r="B7461" t="str">
            <v>098014</v>
          </cell>
          <cell r="C7461" t="str">
            <v>LO</v>
          </cell>
          <cell r="D7461" t="str">
            <v>LO</v>
          </cell>
          <cell r="E7461" t="str">
            <v>26823</v>
          </cell>
        </row>
        <row r="7462">
          <cell r="A7462" t="str">
            <v>CASTIRAGA VIDARDO</v>
          </cell>
          <cell r="B7462" t="str">
            <v>098015</v>
          </cell>
          <cell r="C7462" t="str">
            <v>LO</v>
          </cell>
          <cell r="D7462" t="str">
            <v>LO</v>
          </cell>
          <cell r="E7462" t="str">
            <v>26866</v>
          </cell>
        </row>
        <row r="7463">
          <cell r="A7463" t="str">
            <v>CAVENAGO D'ADDA</v>
          </cell>
          <cell r="B7463" t="str">
            <v>098017</v>
          </cell>
          <cell r="C7463" t="str">
            <v>LO</v>
          </cell>
          <cell r="D7463" t="str">
            <v>LO</v>
          </cell>
          <cell r="E7463" t="str">
            <v>26824</v>
          </cell>
        </row>
        <row r="7464">
          <cell r="A7464" t="str">
            <v>CERVIGNANO D'ADDA</v>
          </cell>
          <cell r="B7464" t="str">
            <v>098018</v>
          </cell>
          <cell r="C7464" t="str">
            <v>LO</v>
          </cell>
          <cell r="D7464" t="str">
            <v>LO</v>
          </cell>
          <cell r="E7464" t="str">
            <v>26832</v>
          </cell>
        </row>
        <row r="7465">
          <cell r="A7465" t="str">
            <v>CODOGNO</v>
          </cell>
          <cell r="B7465" t="str">
            <v>098019</v>
          </cell>
          <cell r="C7465" t="str">
            <v>LO</v>
          </cell>
          <cell r="D7465" t="str">
            <v>LO</v>
          </cell>
          <cell r="E7465" t="str">
            <v>26845</v>
          </cell>
        </row>
        <row r="7466">
          <cell r="A7466" t="str">
            <v>COMAZZO</v>
          </cell>
          <cell r="B7466" t="str">
            <v>098020</v>
          </cell>
          <cell r="C7466" t="str">
            <v>LO</v>
          </cell>
          <cell r="D7466" t="str">
            <v>LO</v>
          </cell>
          <cell r="E7466" t="str">
            <v>26833</v>
          </cell>
        </row>
        <row r="7467">
          <cell r="A7467" t="str">
            <v>CORNEGLIANO LAUDENSE</v>
          </cell>
          <cell r="B7467" t="str">
            <v>098021</v>
          </cell>
          <cell r="C7467" t="str">
            <v>LO</v>
          </cell>
          <cell r="D7467" t="str">
            <v>LO</v>
          </cell>
          <cell r="E7467" t="str">
            <v>26854</v>
          </cell>
        </row>
        <row r="7468">
          <cell r="A7468" t="str">
            <v>CORNO GIOVINE</v>
          </cell>
          <cell r="B7468" t="str">
            <v>098022</v>
          </cell>
          <cell r="C7468" t="str">
            <v>LO</v>
          </cell>
          <cell r="D7468" t="str">
            <v>LO</v>
          </cell>
          <cell r="E7468" t="str">
            <v>26846</v>
          </cell>
        </row>
        <row r="7469">
          <cell r="A7469" t="str">
            <v>CORNOVECCHIO</v>
          </cell>
          <cell r="B7469" t="str">
            <v>098023</v>
          </cell>
          <cell r="C7469" t="str">
            <v>LO</v>
          </cell>
          <cell r="D7469" t="str">
            <v>LO</v>
          </cell>
          <cell r="E7469" t="str">
            <v>26842</v>
          </cell>
        </row>
        <row r="7470">
          <cell r="A7470" t="str">
            <v>CORTE PALASIO</v>
          </cell>
          <cell r="B7470" t="str">
            <v>098024</v>
          </cell>
          <cell r="C7470" t="str">
            <v>LO</v>
          </cell>
          <cell r="D7470" t="str">
            <v>LO</v>
          </cell>
          <cell r="E7470" t="str">
            <v>26834</v>
          </cell>
        </row>
        <row r="7471">
          <cell r="A7471" t="str">
            <v>CRESPIATICA</v>
          </cell>
          <cell r="B7471" t="str">
            <v>098025</v>
          </cell>
          <cell r="C7471" t="str">
            <v>LO</v>
          </cell>
          <cell r="D7471" t="str">
            <v>LO</v>
          </cell>
          <cell r="E7471" t="str">
            <v>26835</v>
          </cell>
        </row>
        <row r="7472">
          <cell r="A7472" t="str">
            <v>FOMBIO</v>
          </cell>
          <cell r="B7472" t="str">
            <v>098026</v>
          </cell>
          <cell r="C7472" t="str">
            <v>LO</v>
          </cell>
          <cell r="D7472" t="str">
            <v>LO</v>
          </cell>
          <cell r="E7472" t="str">
            <v>26861</v>
          </cell>
        </row>
        <row r="7473">
          <cell r="A7473" t="str">
            <v>GALGAGNANO</v>
          </cell>
          <cell r="B7473" t="str">
            <v>098027</v>
          </cell>
          <cell r="C7473" t="str">
            <v>LO</v>
          </cell>
          <cell r="D7473" t="str">
            <v>LO</v>
          </cell>
          <cell r="E7473" t="str">
            <v>26832</v>
          </cell>
        </row>
        <row r="7474">
          <cell r="A7474" t="str">
            <v>GRAFFIGNANA</v>
          </cell>
          <cell r="B7474" t="str">
            <v>098028</v>
          </cell>
          <cell r="C7474" t="str">
            <v>LO</v>
          </cell>
          <cell r="D7474" t="str">
            <v>LO</v>
          </cell>
          <cell r="E7474" t="str">
            <v>26813</v>
          </cell>
        </row>
        <row r="7475">
          <cell r="A7475" t="str">
            <v>GUARDAMIGLIO</v>
          </cell>
          <cell r="B7475" t="str">
            <v>098029</v>
          </cell>
          <cell r="C7475" t="str">
            <v>LO</v>
          </cell>
          <cell r="D7475" t="str">
            <v>LO</v>
          </cell>
          <cell r="E7475" t="str">
            <v>26862</v>
          </cell>
        </row>
        <row r="7476">
          <cell r="A7476" t="str">
            <v>LIVRAGA</v>
          </cell>
          <cell r="B7476" t="str">
            <v>098030</v>
          </cell>
          <cell r="C7476" t="str">
            <v>LO</v>
          </cell>
          <cell r="D7476" t="str">
            <v>LO</v>
          </cell>
          <cell r="E7476" t="str">
            <v>26814</v>
          </cell>
        </row>
        <row r="7477">
          <cell r="A7477" t="str">
            <v>LODI</v>
          </cell>
          <cell r="B7477" t="str">
            <v>098031</v>
          </cell>
          <cell r="C7477" t="str">
            <v>LO</v>
          </cell>
          <cell r="D7477" t="str">
            <v>LO</v>
          </cell>
          <cell r="E7477" t="str">
            <v>26900</v>
          </cell>
        </row>
        <row r="7478">
          <cell r="A7478" t="str">
            <v>LODI VECCHIO</v>
          </cell>
          <cell r="B7478" t="str">
            <v>098032</v>
          </cell>
          <cell r="C7478" t="str">
            <v>LO</v>
          </cell>
          <cell r="D7478" t="str">
            <v>LO</v>
          </cell>
          <cell r="E7478" t="str">
            <v>26855</v>
          </cell>
        </row>
        <row r="7479">
          <cell r="A7479" t="str">
            <v>MACCASTORNA</v>
          </cell>
          <cell r="B7479" t="str">
            <v>098033</v>
          </cell>
          <cell r="C7479" t="str">
            <v>LO</v>
          </cell>
          <cell r="D7479" t="str">
            <v>LO</v>
          </cell>
          <cell r="E7479" t="str">
            <v>26843</v>
          </cell>
        </row>
        <row r="7480">
          <cell r="A7480" t="str">
            <v>MAIRAGO</v>
          </cell>
          <cell r="B7480" t="str">
            <v>098034</v>
          </cell>
          <cell r="C7480" t="str">
            <v>LO</v>
          </cell>
          <cell r="D7480" t="str">
            <v>LO</v>
          </cell>
          <cell r="E7480" t="str">
            <v>26825</v>
          </cell>
        </row>
        <row r="7481">
          <cell r="A7481" t="str">
            <v>MALEO</v>
          </cell>
          <cell r="B7481" t="str">
            <v>098035</v>
          </cell>
          <cell r="C7481" t="str">
            <v>LO</v>
          </cell>
          <cell r="D7481" t="str">
            <v>LO</v>
          </cell>
          <cell r="E7481" t="str">
            <v>26847</v>
          </cell>
        </row>
        <row r="7482">
          <cell r="A7482" t="str">
            <v>MARUDO</v>
          </cell>
          <cell r="B7482" t="str">
            <v>098036</v>
          </cell>
          <cell r="C7482" t="str">
            <v>LO</v>
          </cell>
          <cell r="D7482" t="str">
            <v>LO</v>
          </cell>
          <cell r="E7482" t="str">
            <v>26866</v>
          </cell>
        </row>
        <row r="7483">
          <cell r="A7483" t="str">
            <v>MASSALENGO</v>
          </cell>
          <cell r="B7483" t="str">
            <v>098037</v>
          </cell>
          <cell r="C7483" t="str">
            <v>LO</v>
          </cell>
          <cell r="D7483" t="str">
            <v>LO</v>
          </cell>
          <cell r="E7483" t="str">
            <v>26815</v>
          </cell>
        </row>
        <row r="7484">
          <cell r="A7484" t="str">
            <v>MELETI</v>
          </cell>
          <cell r="B7484" t="str">
            <v>098038</v>
          </cell>
          <cell r="C7484" t="str">
            <v>LO</v>
          </cell>
          <cell r="D7484" t="str">
            <v>LO</v>
          </cell>
          <cell r="E7484" t="str">
            <v>26843</v>
          </cell>
        </row>
        <row r="7485">
          <cell r="A7485" t="str">
            <v>MERLINO</v>
          </cell>
          <cell r="B7485" t="str">
            <v>098039</v>
          </cell>
          <cell r="C7485" t="str">
            <v>LO</v>
          </cell>
          <cell r="D7485" t="str">
            <v>LO</v>
          </cell>
          <cell r="E7485" t="str">
            <v>26833</v>
          </cell>
        </row>
        <row r="7486">
          <cell r="A7486" t="str">
            <v>MONTANASO LOMBARDO</v>
          </cell>
          <cell r="B7486" t="str">
            <v>098040</v>
          </cell>
          <cell r="C7486" t="str">
            <v>LO</v>
          </cell>
          <cell r="D7486" t="str">
            <v>LO</v>
          </cell>
          <cell r="E7486" t="str">
            <v>26836</v>
          </cell>
        </row>
        <row r="7487">
          <cell r="A7487" t="str">
            <v>MULAZZANO</v>
          </cell>
          <cell r="B7487" t="str">
            <v>098041</v>
          </cell>
          <cell r="C7487" t="str">
            <v>LO</v>
          </cell>
          <cell r="D7487" t="str">
            <v>LO</v>
          </cell>
          <cell r="E7487" t="str">
            <v>26837</v>
          </cell>
        </row>
        <row r="7488">
          <cell r="A7488" t="str">
            <v>ORIO LITTA</v>
          </cell>
          <cell r="B7488" t="str">
            <v>098042</v>
          </cell>
          <cell r="C7488" t="str">
            <v>LO</v>
          </cell>
          <cell r="D7488" t="str">
            <v>LO</v>
          </cell>
          <cell r="E7488" t="str">
            <v>26863</v>
          </cell>
        </row>
        <row r="7489">
          <cell r="A7489" t="str">
            <v>OSPEDALETTO LODIGIANO</v>
          </cell>
          <cell r="B7489" t="str">
            <v>098043</v>
          </cell>
          <cell r="C7489" t="str">
            <v>LO</v>
          </cell>
          <cell r="D7489" t="str">
            <v>LO</v>
          </cell>
          <cell r="E7489" t="str">
            <v>26864</v>
          </cell>
        </row>
        <row r="7490">
          <cell r="A7490" t="str">
            <v>OSSAGO LODIGIANO</v>
          </cell>
          <cell r="B7490" t="str">
            <v>098044</v>
          </cell>
          <cell r="C7490" t="str">
            <v>LO</v>
          </cell>
          <cell r="D7490" t="str">
            <v>LO</v>
          </cell>
          <cell r="E7490" t="str">
            <v>26816</v>
          </cell>
        </row>
        <row r="7491">
          <cell r="A7491" t="str">
            <v>PIEVE FISSIRAGA</v>
          </cell>
          <cell r="B7491" t="str">
            <v>098045</v>
          </cell>
          <cell r="C7491" t="str">
            <v>LO</v>
          </cell>
          <cell r="D7491" t="str">
            <v>LO</v>
          </cell>
          <cell r="E7491" t="str">
            <v>26854</v>
          </cell>
        </row>
        <row r="7492">
          <cell r="A7492" t="str">
            <v>SALERANO SUL LAMBRO</v>
          </cell>
          <cell r="B7492" t="str">
            <v>098046</v>
          </cell>
          <cell r="C7492" t="str">
            <v>LO</v>
          </cell>
          <cell r="D7492" t="str">
            <v>LO</v>
          </cell>
          <cell r="E7492" t="str">
            <v>26857</v>
          </cell>
        </row>
        <row r="7493">
          <cell r="A7493" t="str">
            <v>SAN FIORANO</v>
          </cell>
          <cell r="B7493" t="str">
            <v>098047</v>
          </cell>
          <cell r="C7493" t="str">
            <v>LO</v>
          </cell>
          <cell r="D7493" t="str">
            <v>LO</v>
          </cell>
          <cell r="E7493" t="str">
            <v>26848</v>
          </cell>
        </row>
        <row r="7494">
          <cell r="A7494" t="str">
            <v>SAN MARTINO IN STRADA</v>
          </cell>
          <cell r="B7494" t="str">
            <v>098048</v>
          </cell>
          <cell r="C7494" t="str">
            <v>LO</v>
          </cell>
          <cell r="D7494" t="str">
            <v>LO</v>
          </cell>
          <cell r="E7494" t="str">
            <v>26817</v>
          </cell>
        </row>
        <row r="7495">
          <cell r="A7495" t="str">
            <v>SAN ROCCO AL PORTO</v>
          </cell>
          <cell r="B7495" t="str">
            <v>098049</v>
          </cell>
          <cell r="C7495" t="str">
            <v>LO</v>
          </cell>
          <cell r="D7495" t="str">
            <v>LO</v>
          </cell>
          <cell r="E7495" t="str">
            <v>26865</v>
          </cell>
        </row>
        <row r="7496">
          <cell r="A7496" t="str">
            <v>SANT'ANGELO LODIGIANO</v>
          </cell>
          <cell r="B7496" t="str">
            <v>098050</v>
          </cell>
          <cell r="C7496" t="str">
            <v>LO</v>
          </cell>
          <cell r="D7496" t="str">
            <v>LO</v>
          </cell>
          <cell r="E7496" t="str">
            <v>26866</v>
          </cell>
        </row>
        <row r="7497">
          <cell r="A7497" t="str">
            <v>SANTO STEFANO LODIGIANO</v>
          </cell>
          <cell r="B7497" t="str">
            <v>098051</v>
          </cell>
          <cell r="C7497" t="str">
            <v>LO</v>
          </cell>
          <cell r="D7497" t="str">
            <v>LO</v>
          </cell>
          <cell r="E7497" t="str">
            <v>26849</v>
          </cell>
        </row>
        <row r="7498">
          <cell r="A7498" t="str">
            <v>SECUGNAGO</v>
          </cell>
          <cell r="B7498" t="str">
            <v>098052</v>
          </cell>
          <cell r="C7498" t="str">
            <v>LO</v>
          </cell>
          <cell r="D7498" t="str">
            <v>LO</v>
          </cell>
          <cell r="E7498" t="str">
            <v>26826</v>
          </cell>
        </row>
        <row r="7499">
          <cell r="A7499" t="str">
            <v>SENNA LODIGIANA</v>
          </cell>
          <cell r="B7499" t="str">
            <v>098053</v>
          </cell>
          <cell r="C7499" t="str">
            <v>LO</v>
          </cell>
          <cell r="D7499" t="str">
            <v>LO</v>
          </cell>
          <cell r="E7499" t="str">
            <v>26856</v>
          </cell>
        </row>
        <row r="7500">
          <cell r="A7500" t="str">
            <v>SOMAGLIA</v>
          </cell>
          <cell r="B7500" t="str">
            <v>098054</v>
          </cell>
          <cell r="C7500" t="str">
            <v>LO</v>
          </cell>
          <cell r="D7500" t="str">
            <v>LO</v>
          </cell>
          <cell r="E7500" t="str">
            <v>26867</v>
          </cell>
        </row>
        <row r="7501">
          <cell r="A7501" t="str">
            <v>SORDIO</v>
          </cell>
          <cell r="B7501" t="str">
            <v>098055</v>
          </cell>
          <cell r="C7501" t="str">
            <v>LO</v>
          </cell>
          <cell r="D7501" t="str">
            <v>LO</v>
          </cell>
          <cell r="E7501" t="str">
            <v>26858</v>
          </cell>
        </row>
        <row r="7502">
          <cell r="A7502" t="str">
            <v>TAVAZZANO CON VILLAVESCO</v>
          </cell>
          <cell r="B7502" t="str">
            <v>098056</v>
          </cell>
          <cell r="C7502" t="str">
            <v>LO</v>
          </cell>
          <cell r="D7502" t="str">
            <v>LO</v>
          </cell>
          <cell r="E7502" t="str">
            <v>26838</v>
          </cell>
        </row>
        <row r="7503">
          <cell r="A7503" t="str">
            <v>TERRANOVA DEI PASSERINI</v>
          </cell>
          <cell r="B7503" t="str">
            <v>098057</v>
          </cell>
          <cell r="C7503" t="str">
            <v>LO</v>
          </cell>
          <cell r="D7503" t="str">
            <v>LO</v>
          </cell>
          <cell r="E7503" t="str">
            <v>26827</v>
          </cell>
        </row>
        <row r="7504">
          <cell r="A7504" t="str">
            <v>TURANO LODIGIANO</v>
          </cell>
          <cell r="B7504" t="str">
            <v>098058</v>
          </cell>
          <cell r="C7504" t="str">
            <v>LO</v>
          </cell>
          <cell r="D7504" t="str">
            <v>LO</v>
          </cell>
          <cell r="E7504" t="str">
            <v>26828</v>
          </cell>
        </row>
        <row r="7505">
          <cell r="A7505" t="str">
            <v>VALERA FRATTA</v>
          </cell>
          <cell r="B7505" t="str">
            <v>098059</v>
          </cell>
          <cell r="C7505" t="str">
            <v>LO</v>
          </cell>
          <cell r="D7505" t="str">
            <v>LO</v>
          </cell>
          <cell r="E7505" t="str">
            <v>26859</v>
          </cell>
        </row>
        <row r="7506">
          <cell r="A7506" t="str">
            <v>VILLANOVA DEL SILLARO</v>
          </cell>
          <cell r="B7506" t="str">
            <v>098060</v>
          </cell>
          <cell r="C7506" t="str">
            <v>LO</v>
          </cell>
          <cell r="D7506" t="str">
            <v>LO</v>
          </cell>
          <cell r="E7506" t="str">
            <v>26818</v>
          </cell>
        </row>
        <row r="7507">
          <cell r="A7507" t="str">
            <v>ZELO BUON PERSICO</v>
          </cell>
          <cell r="B7507" t="str">
            <v>098061</v>
          </cell>
          <cell r="C7507" t="str">
            <v>LO</v>
          </cell>
          <cell r="D7507" t="str">
            <v>LO</v>
          </cell>
          <cell r="E7507" t="str">
            <v>26839</v>
          </cell>
        </row>
        <row r="7508">
          <cell r="A7508" t="str">
            <v>CASTELGERUNDO</v>
          </cell>
          <cell r="B7508" t="str">
            <v>098062</v>
          </cell>
          <cell r="C7508" t="str">
            <v>LO</v>
          </cell>
          <cell r="D7508" t="e">
            <v>#N/A</v>
          </cell>
          <cell r="E7508" t="e">
            <v>#N/A</v>
          </cell>
        </row>
        <row r="7509">
          <cell r="A7509" t="str">
            <v>BELLARIA-IGEA MARINA</v>
          </cell>
          <cell r="B7509" t="str">
            <v>099001</v>
          </cell>
          <cell r="C7509" t="str">
            <v>RN</v>
          </cell>
          <cell r="D7509" t="str">
            <v>RN</v>
          </cell>
          <cell r="E7509" t="str">
            <v>47814</v>
          </cell>
        </row>
        <row r="7510">
          <cell r="A7510" t="str">
            <v>CATTOLICA</v>
          </cell>
          <cell r="B7510" t="str">
            <v>099002</v>
          </cell>
          <cell r="C7510" t="str">
            <v>RN</v>
          </cell>
          <cell r="D7510" t="str">
            <v>RN</v>
          </cell>
          <cell r="E7510" t="str">
            <v>47841</v>
          </cell>
        </row>
        <row r="7511">
          <cell r="A7511" t="str">
            <v>CORIANO</v>
          </cell>
          <cell r="B7511" t="str">
            <v>099003</v>
          </cell>
          <cell r="C7511" t="str">
            <v>RN</v>
          </cell>
          <cell r="D7511" t="str">
            <v>RN</v>
          </cell>
          <cell r="E7511" t="str">
            <v>47853</v>
          </cell>
        </row>
        <row r="7512">
          <cell r="A7512" t="str">
            <v>GEMMANO</v>
          </cell>
          <cell r="B7512" t="str">
            <v>099004</v>
          </cell>
          <cell r="C7512" t="str">
            <v>RN</v>
          </cell>
          <cell r="D7512" t="str">
            <v>RN</v>
          </cell>
          <cell r="E7512" t="str">
            <v>47855</v>
          </cell>
        </row>
        <row r="7513">
          <cell r="A7513" t="str">
            <v>MISANO ADRIATICO</v>
          </cell>
          <cell r="B7513" t="str">
            <v>099005</v>
          </cell>
          <cell r="C7513" t="str">
            <v>RN</v>
          </cell>
          <cell r="D7513" t="str">
            <v>RN</v>
          </cell>
          <cell r="E7513" t="str">
            <v>47843</v>
          </cell>
        </row>
        <row r="7514">
          <cell r="A7514" t="str">
            <v>MONDAINO</v>
          </cell>
          <cell r="B7514" t="str">
            <v>099006</v>
          </cell>
          <cell r="C7514" t="str">
            <v>RN</v>
          </cell>
          <cell r="D7514" t="str">
            <v>RN</v>
          </cell>
          <cell r="E7514" t="str">
            <v>47836</v>
          </cell>
        </row>
        <row r="7515">
          <cell r="A7515" t="str">
            <v>MONTEFIORE CONCA</v>
          </cell>
          <cell r="B7515" t="str">
            <v>099008</v>
          </cell>
          <cell r="C7515" t="str">
            <v>RN</v>
          </cell>
          <cell r="D7515" t="str">
            <v>RN</v>
          </cell>
          <cell r="E7515" t="str">
            <v>47834</v>
          </cell>
        </row>
        <row r="7516">
          <cell r="A7516" t="str">
            <v>MONTEGRIDOLFO</v>
          </cell>
          <cell r="B7516" t="str">
            <v>099009</v>
          </cell>
          <cell r="C7516" t="str">
            <v>RN</v>
          </cell>
          <cell r="D7516" t="str">
            <v>RN</v>
          </cell>
          <cell r="E7516" t="str">
            <v>47837</v>
          </cell>
        </row>
        <row r="7517">
          <cell r="A7517" t="str">
            <v>MORCIANO DI ROMAGNA</v>
          </cell>
          <cell r="B7517" t="str">
            <v>099011</v>
          </cell>
          <cell r="C7517" t="str">
            <v>RN</v>
          </cell>
          <cell r="D7517" t="str">
            <v>RN</v>
          </cell>
          <cell r="E7517" t="str">
            <v>47833</v>
          </cell>
        </row>
        <row r="7518">
          <cell r="A7518" t="str">
            <v>RICCIONE</v>
          </cell>
          <cell r="B7518" t="str">
            <v>099013</v>
          </cell>
          <cell r="C7518" t="str">
            <v>RN</v>
          </cell>
          <cell r="D7518" t="str">
            <v>RN</v>
          </cell>
          <cell r="E7518" t="str">
            <v>47838</v>
          </cell>
        </row>
        <row r="7519">
          <cell r="A7519" t="str">
            <v>RIMINI</v>
          </cell>
          <cell r="B7519" t="str">
            <v>099014</v>
          </cell>
          <cell r="C7519" t="str">
            <v>RN</v>
          </cell>
          <cell r="D7519" t="str">
            <v>RN</v>
          </cell>
          <cell r="E7519" t="str">
            <v>4792x</v>
          </cell>
        </row>
        <row r="7520">
          <cell r="A7520" t="str">
            <v>SALUDECIO</v>
          </cell>
          <cell r="B7520" t="str">
            <v>099015</v>
          </cell>
          <cell r="C7520" t="str">
            <v>RN</v>
          </cell>
          <cell r="D7520" t="str">
            <v>RN</v>
          </cell>
          <cell r="E7520" t="str">
            <v>47835</v>
          </cell>
        </row>
        <row r="7521">
          <cell r="A7521" t="str">
            <v>SAN CLEMENTE</v>
          </cell>
          <cell r="B7521" t="str">
            <v>099016</v>
          </cell>
          <cell r="C7521" t="str">
            <v>RN</v>
          </cell>
          <cell r="D7521" t="str">
            <v>RN</v>
          </cell>
          <cell r="E7521" t="str">
            <v>47832</v>
          </cell>
        </row>
        <row r="7522">
          <cell r="A7522" t="str">
            <v>SAN GIOVANNI IN MARIGNANO</v>
          </cell>
          <cell r="B7522" t="str">
            <v>099017</v>
          </cell>
          <cell r="C7522" t="str">
            <v>RN</v>
          </cell>
          <cell r="D7522" t="str">
            <v>RN</v>
          </cell>
          <cell r="E7522" t="str">
            <v>47842</v>
          </cell>
        </row>
        <row r="7523">
          <cell r="A7523" t="str">
            <v>SANTARCANGELO DI ROMAGNA</v>
          </cell>
          <cell r="B7523" t="str">
            <v>099018</v>
          </cell>
          <cell r="C7523" t="str">
            <v>RN</v>
          </cell>
          <cell r="D7523" t="str">
            <v>RN</v>
          </cell>
          <cell r="E7523" t="str">
            <v>47822</v>
          </cell>
        </row>
        <row r="7524">
          <cell r="A7524" t="str">
            <v>VERUCCHIO</v>
          </cell>
          <cell r="B7524" t="str">
            <v>099020</v>
          </cell>
          <cell r="C7524" t="str">
            <v>RN</v>
          </cell>
          <cell r="D7524" t="str">
            <v>RN</v>
          </cell>
          <cell r="E7524" t="str">
            <v>47826</v>
          </cell>
        </row>
        <row r="7525">
          <cell r="A7525" t="str">
            <v>CASTELDELCI</v>
          </cell>
          <cell r="B7525" t="str">
            <v>099021</v>
          </cell>
          <cell r="C7525" t="str">
            <v>RN</v>
          </cell>
          <cell r="D7525" t="str">
            <v>RN</v>
          </cell>
          <cell r="E7525" t="str">
            <v>47861</v>
          </cell>
        </row>
        <row r="7526">
          <cell r="A7526" t="str">
            <v>MAIOLO</v>
          </cell>
          <cell r="B7526" t="str">
            <v>099022</v>
          </cell>
          <cell r="C7526" t="str">
            <v>RN</v>
          </cell>
          <cell r="D7526" t="str">
            <v>RN</v>
          </cell>
          <cell r="E7526" t="str">
            <v>47862</v>
          </cell>
        </row>
        <row r="7527">
          <cell r="A7527" t="str">
            <v>NOVAFELTRIA</v>
          </cell>
          <cell r="B7527" t="str">
            <v>099023</v>
          </cell>
          <cell r="C7527" t="str">
            <v>RN</v>
          </cell>
          <cell r="D7527" t="str">
            <v>RN</v>
          </cell>
          <cell r="E7527" t="str">
            <v>47863</v>
          </cell>
        </row>
        <row r="7528">
          <cell r="A7528" t="str">
            <v>PENNABILLI</v>
          </cell>
          <cell r="B7528" t="str">
            <v>099024</v>
          </cell>
          <cell r="C7528" t="str">
            <v>RN</v>
          </cell>
          <cell r="D7528" t="str">
            <v>RN</v>
          </cell>
          <cell r="E7528" t="str">
            <v>47864</v>
          </cell>
        </row>
        <row r="7529">
          <cell r="A7529" t="str">
            <v>SAN LEO</v>
          </cell>
          <cell r="B7529" t="str">
            <v>099025</v>
          </cell>
          <cell r="C7529" t="str">
            <v>RN</v>
          </cell>
          <cell r="D7529" t="str">
            <v>RN</v>
          </cell>
          <cell r="E7529" t="str">
            <v>47865</v>
          </cell>
        </row>
        <row r="7530">
          <cell r="A7530" t="str">
            <v>SANT'AGATA FELTRIA</v>
          </cell>
          <cell r="B7530" t="str">
            <v>099026</v>
          </cell>
          <cell r="C7530" t="str">
            <v>RN</v>
          </cell>
          <cell r="D7530" t="str">
            <v>RN</v>
          </cell>
          <cell r="E7530" t="str">
            <v>47866</v>
          </cell>
        </row>
        <row r="7531">
          <cell r="A7531" t="str">
            <v>TALAMELLO</v>
          </cell>
          <cell r="B7531" t="str">
            <v>099027</v>
          </cell>
          <cell r="C7531" t="str">
            <v>RN</v>
          </cell>
          <cell r="D7531" t="str">
            <v>RN</v>
          </cell>
          <cell r="E7531" t="str">
            <v>47867</v>
          </cell>
        </row>
        <row r="7532">
          <cell r="A7532" t="str">
            <v>POGGIO TORRIANA</v>
          </cell>
          <cell r="B7532" t="str">
            <v>099028</v>
          </cell>
          <cell r="C7532" t="str">
            <v>RN</v>
          </cell>
          <cell r="D7532" t="e">
            <v>#N/A</v>
          </cell>
          <cell r="E7532" t="e">
            <v>#N/A</v>
          </cell>
        </row>
        <row r="7533">
          <cell r="A7533" t="str">
            <v>MONTESCUDO-MONTE COLOMBO</v>
          </cell>
          <cell r="B7533" t="str">
            <v>099029</v>
          </cell>
          <cell r="C7533" t="str">
            <v>RN</v>
          </cell>
          <cell r="D7533" t="e">
            <v>#N/A</v>
          </cell>
          <cell r="E7533" t="e">
            <v>#N/A</v>
          </cell>
        </row>
        <row r="7534">
          <cell r="A7534" t="str">
            <v>MONTECOPIOLO</v>
          </cell>
          <cell r="B7534" t="str">
            <v>099030</v>
          </cell>
          <cell r="C7534" t="str">
            <v>RN</v>
          </cell>
          <cell r="D7534" t="str">
            <v>PU</v>
          </cell>
          <cell r="E7534" t="str">
            <v>61014</v>
          </cell>
        </row>
        <row r="7535">
          <cell r="A7535" t="str">
            <v>SASSOFELTRIO</v>
          </cell>
          <cell r="B7535" t="str">
            <v>099031</v>
          </cell>
          <cell r="C7535" t="str">
            <v>RN</v>
          </cell>
          <cell r="D7535" t="str">
            <v>PU</v>
          </cell>
          <cell r="E7535" t="str">
            <v>61013</v>
          </cell>
        </row>
        <row r="7536">
          <cell r="A7536" t="str">
            <v>CANTAGALLO</v>
          </cell>
          <cell r="B7536" t="str">
            <v>100001</v>
          </cell>
          <cell r="C7536" t="str">
            <v>PO</v>
          </cell>
          <cell r="D7536" t="str">
            <v>PO</v>
          </cell>
          <cell r="E7536" t="str">
            <v>59025</v>
          </cell>
        </row>
        <row r="7537">
          <cell r="A7537" t="str">
            <v>CARMIGNANO</v>
          </cell>
          <cell r="B7537" t="str">
            <v>100002</v>
          </cell>
          <cell r="C7537" t="str">
            <v>PO</v>
          </cell>
          <cell r="D7537" t="str">
            <v>PO</v>
          </cell>
          <cell r="E7537" t="str">
            <v>59015</v>
          </cell>
        </row>
        <row r="7538">
          <cell r="A7538" t="str">
            <v>MONTEMURLO</v>
          </cell>
          <cell r="B7538" t="str">
            <v>100003</v>
          </cell>
          <cell r="C7538" t="str">
            <v>PO</v>
          </cell>
          <cell r="D7538" t="str">
            <v>PO</v>
          </cell>
          <cell r="E7538" t="str">
            <v>59013</v>
          </cell>
        </row>
        <row r="7539">
          <cell r="A7539" t="str">
            <v>POGGIO A CAIANO</v>
          </cell>
          <cell r="B7539" t="str">
            <v>100004</v>
          </cell>
          <cell r="C7539" t="str">
            <v>PO</v>
          </cell>
          <cell r="D7539" t="str">
            <v>PO</v>
          </cell>
          <cell r="E7539" t="str">
            <v>59016</v>
          </cell>
        </row>
        <row r="7540">
          <cell r="A7540" t="str">
            <v>PRATO</v>
          </cell>
          <cell r="B7540" t="str">
            <v>100005</v>
          </cell>
          <cell r="C7540" t="str">
            <v>PO</v>
          </cell>
          <cell r="D7540" t="str">
            <v>PO</v>
          </cell>
          <cell r="E7540" t="str">
            <v>59100</v>
          </cell>
        </row>
        <row r="7541">
          <cell r="A7541" t="str">
            <v>VAIANO</v>
          </cell>
          <cell r="B7541" t="str">
            <v>100006</v>
          </cell>
          <cell r="C7541" t="str">
            <v>PO</v>
          </cell>
          <cell r="D7541" t="str">
            <v>PO</v>
          </cell>
          <cell r="E7541" t="str">
            <v>59021</v>
          </cell>
        </row>
        <row r="7542">
          <cell r="A7542" t="str">
            <v>VERNIO</v>
          </cell>
          <cell r="B7542" t="str">
            <v>100007</v>
          </cell>
          <cell r="C7542" t="str">
            <v>PO</v>
          </cell>
          <cell r="D7542" t="str">
            <v>PO</v>
          </cell>
          <cell r="E7542" t="str">
            <v>59024</v>
          </cell>
        </row>
        <row r="7543">
          <cell r="A7543" t="str">
            <v>BELVEDERE DI SPINELLO</v>
          </cell>
          <cell r="B7543" t="str">
            <v>101001</v>
          </cell>
          <cell r="C7543" t="str">
            <v>KR</v>
          </cell>
          <cell r="D7543" t="str">
            <v>KR</v>
          </cell>
          <cell r="E7543" t="str">
            <v>88824</v>
          </cell>
        </row>
        <row r="7544">
          <cell r="A7544" t="str">
            <v>CACCURI</v>
          </cell>
          <cell r="B7544" t="str">
            <v>101002</v>
          </cell>
          <cell r="C7544" t="str">
            <v>KR</v>
          </cell>
          <cell r="D7544" t="str">
            <v>KR</v>
          </cell>
          <cell r="E7544" t="str">
            <v>88833</v>
          </cell>
        </row>
        <row r="7545">
          <cell r="A7545" t="str">
            <v>CARFIZZI</v>
          </cell>
          <cell r="B7545" t="str">
            <v>101003</v>
          </cell>
          <cell r="C7545" t="str">
            <v>KR</v>
          </cell>
          <cell r="D7545" t="str">
            <v>KR</v>
          </cell>
          <cell r="E7545" t="str">
            <v>88817</v>
          </cell>
        </row>
        <row r="7546">
          <cell r="A7546" t="str">
            <v>CASABONA</v>
          </cell>
          <cell r="B7546" t="str">
            <v>101004</v>
          </cell>
          <cell r="C7546" t="str">
            <v>KR</v>
          </cell>
          <cell r="D7546" t="str">
            <v>KR</v>
          </cell>
          <cell r="E7546" t="str">
            <v>88822</v>
          </cell>
        </row>
        <row r="7547">
          <cell r="A7547" t="str">
            <v>CASTELSILANO</v>
          </cell>
          <cell r="B7547" t="str">
            <v>101005</v>
          </cell>
          <cell r="C7547" t="str">
            <v>KR</v>
          </cell>
          <cell r="D7547" t="str">
            <v>KR</v>
          </cell>
          <cell r="E7547" t="str">
            <v>88834</v>
          </cell>
        </row>
        <row r="7548">
          <cell r="A7548" t="str">
            <v>CERENZIA</v>
          </cell>
          <cell r="B7548" t="str">
            <v>101006</v>
          </cell>
          <cell r="C7548" t="str">
            <v>KR</v>
          </cell>
          <cell r="D7548" t="str">
            <v>KR</v>
          </cell>
          <cell r="E7548" t="str">
            <v>88833</v>
          </cell>
        </row>
        <row r="7549">
          <cell r="A7549" t="str">
            <v>CIRÒ</v>
          </cell>
          <cell r="B7549" t="str">
            <v>101007</v>
          </cell>
          <cell r="C7549" t="str">
            <v>KR</v>
          </cell>
          <cell r="D7549" t="str">
            <v>KR</v>
          </cell>
          <cell r="E7549" t="str">
            <v>88813</v>
          </cell>
        </row>
        <row r="7550">
          <cell r="A7550" t="str">
            <v>CIRÒ MARINA</v>
          </cell>
          <cell r="B7550" t="str">
            <v>101008</v>
          </cell>
          <cell r="C7550" t="str">
            <v>KR</v>
          </cell>
          <cell r="D7550" t="str">
            <v>KR</v>
          </cell>
          <cell r="E7550" t="str">
            <v>88811</v>
          </cell>
        </row>
        <row r="7551">
          <cell r="A7551" t="str">
            <v>COTRONEI</v>
          </cell>
          <cell r="B7551" t="str">
            <v>101009</v>
          </cell>
          <cell r="C7551" t="str">
            <v>KR</v>
          </cell>
          <cell r="D7551" t="str">
            <v>KR</v>
          </cell>
          <cell r="E7551" t="str">
            <v>88836</v>
          </cell>
        </row>
        <row r="7552">
          <cell r="A7552" t="str">
            <v>CROTONE</v>
          </cell>
          <cell r="B7552" t="str">
            <v>101010</v>
          </cell>
          <cell r="C7552" t="str">
            <v>KR</v>
          </cell>
          <cell r="D7552" t="str">
            <v>KR</v>
          </cell>
          <cell r="E7552" t="str">
            <v>88900</v>
          </cell>
        </row>
        <row r="7553">
          <cell r="A7553" t="str">
            <v>CRUCOLI</v>
          </cell>
          <cell r="B7553" t="str">
            <v>101011</v>
          </cell>
          <cell r="C7553" t="str">
            <v>KR</v>
          </cell>
          <cell r="D7553" t="str">
            <v>KR</v>
          </cell>
          <cell r="E7553" t="str">
            <v>88812</v>
          </cell>
        </row>
        <row r="7554">
          <cell r="A7554" t="str">
            <v>CUTRO</v>
          </cell>
          <cell r="B7554" t="str">
            <v>101012</v>
          </cell>
          <cell r="C7554" t="str">
            <v>KR</v>
          </cell>
          <cell r="D7554" t="str">
            <v>KR</v>
          </cell>
          <cell r="E7554" t="str">
            <v>88842</v>
          </cell>
        </row>
        <row r="7555">
          <cell r="A7555" t="str">
            <v>ISOLA DI CAPO RIZZUTO</v>
          </cell>
          <cell r="B7555" t="str">
            <v>101013</v>
          </cell>
          <cell r="C7555" t="str">
            <v>KR</v>
          </cell>
          <cell r="D7555" t="str">
            <v>KR</v>
          </cell>
          <cell r="E7555" t="str">
            <v>88841</v>
          </cell>
        </row>
        <row r="7556">
          <cell r="A7556" t="str">
            <v>MELISSA</v>
          </cell>
          <cell r="B7556" t="str">
            <v>101014</v>
          </cell>
          <cell r="C7556" t="str">
            <v>KR</v>
          </cell>
          <cell r="D7556" t="str">
            <v>KR</v>
          </cell>
          <cell r="E7556" t="str">
            <v>88814</v>
          </cell>
        </row>
        <row r="7557">
          <cell r="A7557" t="str">
            <v>MESORACA</v>
          </cell>
          <cell r="B7557" t="str">
            <v>101015</v>
          </cell>
          <cell r="C7557" t="str">
            <v>KR</v>
          </cell>
          <cell r="D7557" t="str">
            <v>KR</v>
          </cell>
          <cell r="E7557" t="str">
            <v>88838</v>
          </cell>
        </row>
        <row r="7558">
          <cell r="A7558" t="str">
            <v>PALLAGORIO</v>
          </cell>
          <cell r="B7558" t="str">
            <v>101016</v>
          </cell>
          <cell r="C7558" t="str">
            <v>KR</v>
          </cell>
          <cell r="D7558" t="str">
            <v>KR</v>
          </cell>
          <cell r="E7558" t="str">
            <v>88818</v>
          </cell>
        </row>
        <row r="7559">
          <cell r="A7559" t="str">
            <v>PETILIA POLICASTRO</v>
          </cell>
          <cell r="B7559" t="str">
            <v>101017</v>
          </cell>
          <cell r="C7559" t="str">
            <v>KR</v>
          </cell>
          <cell r="D7559" t="str">
            <v>KR</v>
          </cell>
          <cell r="E7559" t="str">
            <v>88837</v>
          </cell>
        </row>
        <row r="7560">
          <cell r="A7560" t="str">
            <v>ROCCABERNARDA</v>
          </cell>
          <cell r="B7560" t="str">
            <v>101018</v>
          </cell>
          <cell r="C7560" t="str">
            <v>KR</v>
          </cell>
          <cell r="D7560" t="str">
            <v>KR</v>
          </cell>
          <cell r="E7560" t="str">
            <v>88835</v>
          </cell>
        </row>
        <row r="7561">
          <cell r="A7561" t="str">
            <v>ROCCA DI NETO</v>
          </cell>
          <cell r="B7561" t="str">
            <v>101019</v>
          </cell>
          <cell r="C7561" t="str">
            <v>KR</v>
          </cell>
          <cell r="D7561" t="str">
            <v>KR</v>
          </cell>
          <cell r="E7561" t="str">
            <v>88821</v>
          </cell>
        </row>
        <row r="7562">
          <cell r="A7562" t="str">
            <v>SAN MAURO MARCHESATO</v>
          </cell>
          <cell r="B7562" t="str">
            <v>101020</v>
          </cell>
          <cell r="C7562" t="str">
            <v>KR</v>
          </cell>
          <cell r="D7562" t="str">
            <v>KR</v>
          </cell>
          <cell r="E7562" t="str">
            <v>88831</v>
          </cell>
        </row>
        <row r="7563">
          <cell r="A7563" t="str">
            <v>SAN NICOLA DELL'ALTO</v>
          </cell>
          <cell r="B7563" t="str">
            <v>101021</v>
          </cell>
          <cell r="C7563" t="str">
            <v>KR</v>
          </cell>
          <cell r="D7563" t="str">
            <v>KR</v>
          </cell>
          <cell r="E7563" t="str">
            <v>88817</v>
          </cell>
        </row>
        <row r="7564">
          <cell r="A7564" t="str">
            <v>SANTA SEVERINA</v>
          </cell>
          <cell r="B7564" t="str">
            <v>101022</v>
          </cell>
          <cell r="C7564" t="str">
            <v>KR</v>
          </cell>
          <cell r="D7564" t="str">
            <v>KR</v>
          </cell>
          <cell r="E7564" t="str">
            <v>88832</v>
          </cell>
        </row>
        <row r="7565">
          <cell r="A7565" t="str">
            <v>SAVELLI</v>
          </cell>
          <cell r="B7565" t="str">
            <v>101023</v>
          </cell>
          <cell r="C7565" t="str">
            <v>KR</v>
          </cell>
          <cell r="D7565" t="str">
            <v>KR</v>
          </cell>
          <cell r="E7565" t="str">
            <v>88825</v>
          </cell>
        </row>
        <row r="7566">
          <cell r="A7566" t="str">
            <v>SCANDALE</v>
          </cell>
          <cell r="B7566" t="str">
            <v>101024</v>
          </cell>
          <cell r="C7566" t="str">
            <v>KR</v>
          </cell>
          <cell r="D7566" t="str">
            <v>KR</v>
          </cell>
          <cell r="E7566" t="str">
            <v>88831</v>
          </cell>
        </row>
        <row r="7567">
          <cell r="A7567" t="str">
            <v>STRONGOLI</v>
          </cell>
          <cell r="B7567" t="str">
            <v>101025</v>
          </cell>
          <cell r="C7567" t="str">
            <v>KR</v>
          </cell>
          <cell r="D7567" t="str">
            <v>KR</v>
          </cell>
          <cell r="E7567" t="str">
            <v>88816</v>
          </cell>
        </row>
        <row r="7568">
          <cell r="A7568" t="str">
            <v>UMBRIATICO</v>
          </cell>
          <cell r="B7568" t="str">
            <v>101026</v>
          </cell>
          <cell r="C7568" t="str">
            <v>KR</v>
          </cell>
          <cell r="D7568" t="str">
            <v>KR</v>
          </cell>
          <cell r="E7568" t="str">
            <v>88823</v>
          </cell>
        </row>
        <row r="7569">
          <cell r="A7569" t="str">
            <v>VERZINO</v>
          </cell>
          <cell r="B7569" t="str">
            <v>101027</v>
          </cell>
          <cell r="C7569" t="str">
            <v>KR</v>
          </cell>
          <cell r="D7569" t="str">
            <v>KR</v>
          </cell>
          <cell r="E7569" t="str">
            <v>88819</v>
          </cell>
        </row>
        <row r="7570">
          <cell r="A7570" t="str">
            <v>ACQUARO</v>
          </cell>
          <cell r="B7570" t="str">
            <v>102001</v>
          </cell>
          <cell r="C7570" t="str">
            <v>VV</v>
          </cell>
          <cell r="D7570" t="str">
            <v>VV</v>
          </cell>
          <cell r="E7570" t="str">
            <v>89832</v>
          </cell>
        </row>
        <row r="7571">
          <cell r="A7571" t="str">
            <v>ARENA</v>
          </cell>
          <cell r="B7571" t="str">
            <v>102002</v>
          </cell>
          <cell r="C7571" t="str">
            <v>VV</v>
          </cell>
          <cell r="D7571" t="str">
            <v>VV</v>
          </cell>
          <cell r="E7571" t="str">
            <v>89832</v>
          </cell>
        </row>
        <row r="7572">
          <cell r="A7572" t="str">
            <v>BRIATICO</v>
          </cell>
          <cell r="B7572" t="str">
            <v>102003</v>
          </cell>
          <cell r="C7572" t="str">
            <v>VV</v>
          </cell>
          <cell r="D7572" t="str">
            <v>VV</v>
          </cell>
          <cell r="E7572" t="str">
            <v>89817</v>
          </cell>
        </row>
        <row r="7573">
          <cell r="A7573" t="str">
            <v>BROGNATURO</v>
          </cell>
          <cell r="B7573" t="str">
            <v>102004</v>
          </cell>
          <cell r="C7573" t="str">
            <v>VV</v>
          </cell>
          <cell r="D7573" t="str">
            <v>VV</v>
          </cell>
          <cell r="E7573" t="str">
            <v>89822</v>
          </cell>
        </row>
        <row r="7574">
          <cell r="A7574" t="str">
            <v>CAPISTRANO</v>
          </cell>
          <cell r="B7574" t="str">
            <v>102005</v>
          </cell>
          <cell r="C7574" t="str">
            <v>VV</v>
          </cell>
          <cell r="D7574" t="str">
            <v>VV</v>
          </cell>
          <cell r="E7574" t="str">
            <v>89818</v>
          </cell>
        </row>
        <row r="7575">
          <cell r="A7575" t="str">
            <v>CESSANITI</v>
          </cell>
          <cell r="B7575" t="str">
            <v>102006</v>
          </cell>
          <cell r="C7575" t="str">
            <v>VV</v>
          </cell>
          <cell r="D7575" t="str">
            <v>VV</v>
          </cell>
          <cell r="E7575" t="str">
            <v>89816</v>
          </cell>
        </row>
        <row r="7576">
          <cell r="A7576" t="str">
            <v>DASÀ</v>
          </cell>
          <cell r="B7576" t="str">
            <v>102007</v>
          </cell>
          <cell r="C7576" t="str">
            <v>VV</v>
          </cell>
          <cell r="D7576" t="str">
            <v>VV</v>
          </cell>
          <cell r="E7576" t="str">
            <v>89832</v>
          </cell>
        </row>
        <row r="7577">
          <cell r="A7577" t="str">
            <v>DINAMI</v>
          </cell>
          <cell r="B7577" t="str">
            <v>102008</v>
          </cell>
          <cell r="C7577" t="str">
            <v>VV</v>
          </cell>
          <cell r="D7577" t="str">
            <v>VV</v>
          </cell>
          <cell r="E7577" t="str">
            <v>89833</v>
          </cell>
        </row>
        <row r="7578">
          <cell r="A7578" t="str">
            <v>DRAPIA</v>
          </cell>
          <cell r="B7578" t="str">
            <v>102009</v>
          </cell>
          <cell r="C7578" t="str">
            <v>VV</v>
          </cell>
          <cell r="D7578" t="str">
            <v>VV</v>
          </cell>
          <cell r="E7578" t="str">
            <v>89862</v>
          </cell>
        </row>
        <row r="7579">
          <cell r="A7579" t="str">
            <v>FABRIZIA</v>
          </cell>
          <cell r="B7579" t="str">
            <v>102010</v>
          </cell>
          <cell r="C7579" t="str">
            <v>VV</v>
          </cell>
          <cell r="D7579" t="str">
            <v>VV</v>
          </cell>
          <cell r="E7579" t="str">
            <v>89823</v>
          </cell>
        </row>
        <row r="7580">
          <cell r="A7580" t="str">
            <v>FILADELFIA</v>
          </cell>
          <cell r="B7580" t="str">
            <v>102011</v>
          </cell>
          <cell r="C7580" t="str">
            <v>VV</v>
          </cell>
          <cell r="D7580" t="str">
            <v>VV</v>
          </cell>
          <cell r="E7580" t="str">
            <v>89814</v>
          </cell>
        </row>
        <row r="7581">
          <cell r="A7581" t="str">
            <v>FILANDARI</v>
          </cell>
          <cell r="B7581" t="str">
            <v>102012</v>
          </cell>
          <cell r="C7581" t="str">
            <v>VV</v>
          </cell>
          <cell r="D7581" t="str">
            <v>VV</v>
          </cell>
          <cell r="E7581" t="str">
            <v>89841</v>
          </cell>
        </row>
        <row r="7582">
          <cell r="A7582" t="str">
            <v>FILOGASO</v>
          </cell>
          <cell r="B7582" t="str">
            <v>102013</v>
          </cell>
          <cell r="C7582" t="str">
            <v>VV</v>
          </cell>
          <cell r="D7582" t="str">
            <v>VV</v>
          </cell>
          <cell r="E7582" t="str">
            <v>89843</v>
          </cell>
        </row>
        <row r="7583">
          <cell r="A7583" t="str">
            <v>FRANCAVILLA ANGITOLA</v>
          </cell>
          <cell r="B7583" t="str">
            <v>102014</v>
          </cell>
          <cell r="C7583" t="str">
            <v>VV</v>
          </cell>
          <cell r="D7583" t="str">
            <v>VV</v>
          </cell>
          <cell r="E7583" t="str">
            <v>89815</v>
          </cell>
        </row>
        <row r="7584">
          <cell r="A7584" t="str">
            <v>FRANCICA</v>
          </cell>
          <cell r="B7584" t="str">
            <v>102015</v>
          </cell>
          <cell r="C7584" t="str">
            <v>VV</v>
          </cell>
          <cell r="D7584" t="str">
            <v>VV</v>
          </cell>
          <cell r="E7584" t="str">
            <v>89851</v>
          </cell>
        </row>
        <row r="7585">
          <cell r="A7585" t="str">
            <v>GEROCARNE</v>
          </cell>
          <cell r="B7585" t="str">
            <v>102016</v>
          </cell>
          <cell r="C7585" t="str">
            <v>VV</v>
          </cell>
          <cell r="D7585" t="str">
            <v>VV</v>
          </cell>
          <cell r="E7585" t="str">
            <v>89831</v>
          </cell>
        </row>
        <row r="7586">
          <cell r="A7586" t="str">
            <v>IONADI</v>
          </cell>
          <cell r="B7586" t="str">
            <v>102017</v>
          </cell>
          <cell r="C7586" t="str">
            <v>VV</v>
          </cell>
          <cell r="D7586" t="str">
            <v>VV</v>
          </cell>
          <cell r="E7586" t="str">
            <v>89851</v>
          </cell>
        </row>
        <row r="7587">
          <cell r="A7587" t="str">
            <v>JOPPOLO</v>
          </cell>
          <cell r="B7587" t="str">
            <v>102018</v>
          </cell>
          <cell r="C7587" t="str">
            <v>VV</v>
          </cell>
          <cell r="D7587" t="str">
            <v>VV</v>
          </cell>
          <cell r="E7587" t="str">
            <v>89863</v>
          </cell>
        </row>
        <row r="7588">
          <cell r="A7588" t="str">
            <v>LIMBADI</v>
          </cell>
          <cell r="B7588" t="str">
            <v>102019</v>
          </cell>
          <cell r="C7588" t="str">
            <v>VV</v>
          </cell>
          <cell r="D7588" t="str">
            <v>VV</v>
          </cell>
          <cell r="E7588" t="str">
            <v>89844</v>
          </cell>
        </row>
        <row r="7589">
          <cell r="A7589" t="str">
            <v>MAIERATO</v>
          </cell>
          <cell r="B7589" t="str">
            <v>102020</v>
          </cell>
          <cell r="C7589" t="str">
            <v>VV</v>
          </cell>
          <cell r="D7589" t="str">
            <v>VV</v>
          </cell>
          <cell r="E7589" t="str">
            <v>89843</v>
          </cell>
        </row>
        <row r="7590">
          <cell r="A7590" t="str">
            <v>MILETO</v>
          </cell>
          <cell r="B7590" t="str">
            <v>102021</v>
          </cell>
          <cell r="C7590" t="str">
            <v>VV</v>
          </cell>
          <cell r="D7590" t="str">
            <v>VV</v>
          </cell>
          <cell r="E7590" t="str">
            <v>89852</v>
          </cell>
        </row>
        <row r="7591">
          <cell r="A7591" t="str">
            <v>MONGIANA</v>
          </cell>
          <cell r="B7591" t="str">
            <v>102022</v>
          </cell>
          <cell r="C7591" t="str">
            <v>VV</v>
          </cell>
          <cell r="D7591" t="str">
            <v>VV</v>
          </cell>
          <cell r="E7591" t="str">
            <v>89823</v>
          </cell>
        </row>
        <row r="7592">
          <cell r="A7592" t="str">
            <v>MONTEROSSO CALABRO</v>
          </cell>
          <cell r="B7592" t="str">
            <v>102023</v>
          </cell>
          <cell r="C7592" t="str">
            <v>VV</v>
          </cell>
          <cell r="D7592" t="str">
            <v>VV</v>
          </cell>
          <cell r="E7592" t="str">
            <v>89819</v>
          </cell>
        </row>
        <row r="7593">
          <cell r="A7593" t="str">
            <v>NARDODIPACE</v>
          </cell>
          <cell r="B7593" t="str">
            <v>102024</v>
          </cell>
          <cell r="C7593" t="str">
            <v>VV</v>
          </cell>
          <cell r="D7593" t="str">
            <v>VV</v>
          </cell>
          <cell r="E7593" t="str">
            <v>89824</v>
          </cell>
        </row>
        <row r="7594">
          <cell r="A7594" t="str">
            <v>NICOTERA</v>
          </cell>
          <cell r="B7594" t="str">
            <v>102025</v>
          </cell>
          <cell r="C7594" t="str">
            <v>VV</v>
          </cell>
          <cell r="D7594" t="str">
            <v>VV</v>
          </cell>
          <cell r="E7594" t="str">
            <v>89844</v>
          </cell>
        </row>
        <row r="7595">
          <cell r="A7595" t="str">
            <v>PARGHELIA</v>
          </cell>
          <cell r="B7595" t="str">
            <v>102026</v>
          </cell>
          <cell r="C7595" t="str">
            <v>VV</v>
          </cell>
          <cell r="D7595" t="str">
            <v>VV</v>
          </cell>
          <cell r="E7595" t="str">
            <v>89861</v>
          </cell>
        </row>
        <row r="7596">
          <cell r="A7596" t="str">
            <v>PIZZO</v>
          </cell>
          <cell r="B7596" t="str">
            <v>102027</v>
          </cell>
          <cell r="C7596" t="str">
            <v>VV</v>
          </cell>
          <cell r="D7596" t="str">
            <v>VV</v>
          </cell>
          <cell r="E7596" t="str">
            <v>89812</v>
          </cell>
        </row>
        <row r="7597">
          <cell r="A7597" t="str">
            <v>PIZZONI</v>
          </cell>
          <cell r="B7597" t="str">
            <v>102028</v>
          </cell>
          <cell r="C7597" t="str">
            <v>VV</v>
          </cell>
          <cell r="D7597" t="str">
            <v>VV</v>
          </cell>
          <cell r="E7597" t="str">
            <v>89834</v>
          </cell>
        </row>
        <row r="7598">
          <cell r="A7598" t="str">
            <v>POLIA</v>
          </cell>
          <cell r="B7598" t="str">
            <v>102029</v>
          </cell>
          <cell r="C7598" t="str">
            <v>VV</v>
          </cell>
          <cell r="D7598" t="str">
            <v>VV</v>
          </cell>
          <cell r="E7598" t="str">
            <v>89813</v>
          </cell>
        </row>
        <row r="7599">
          <cell r="A7599" t="str">
            <v>RICADI</v>
          </cell>
          <cell r="B7599" t="str">
            <v>102030</v>
          </cell>
          <cell r="C7599" t="str">
            <v>VV</v>
          </cell>
          <cell r="D7599" t="str">
            <v>VV</v>
          </cell>
          <cell r="E7599" t="str">
            <v>89866</v>
          </cell>
        </row>
        <row r="7600">
          <cell r="A7600" t="str">
            <v>ROMBIOLO</v>
          </cell>
          <cell r="B7600" t="str">
            <v>102031</v>
          </cell>
          <cell r="C7600" t="str">
            <v>VV</v>
          </cell>
          <cell r="D7600" t="str">
            <v>VV</v>
          </cell>
          <cell r="E7600" t="str">
            <v>89841</v>
          </cell>
        </row>
        <row r="7601">
          <cell r="A7601" t="str">
            <v>SAN CALOGERO</v>
          </cell>
          <cell r="B7601" t="str">
            <v>102032</v>
          </cell>
          <cell r="C7601" t="str">
            <v>VV</v>
          </cell>
          <cell r="D7601" t="str">
            <v>VV</v>
          </cell>
          <cell r="E7601" t="str">
            <v>89842</v>
          </cell>
        </row>
        <row r="7602">
          <cell r="A7602" t="str">
            <v>SAN COSTANTINO CALABRO</v>
          </cell>
          <cell r="B7602" t="str">
            <v>102033</v>
          </cell>
          <cell r="C7602" t="str">
            <v>VV</v>
          </cell>
          <cell r="D7602" t="str">
            <v>VV</v>
          </cell>
          <cell r="E7602" t="str">
            <v>89851</v>
          </cell>
        </row>
        <row r="7603">
          <cell r="A7603" t="str">
            <v>SAN GREGORIO D'IPPONA</v>
          </cell>
          <cell r="B7603" t="str">
            <v>102034</v>
          </cell>
          <cell r="C7603" t="str">
            <v>VV</v>
          </cell>
          <cell r="D7603" t="str">
            <v>VV</v>
          </cell>
          <cell r="E7603" t="str">
            <v>89853</v>
          </cell>
        </row>
        <row r="7604">
          <cell r="A7604" t="str">
            <v>SAN NICOLA DA CRISSA</v>
          </cell>
          <cell r="B7604" t="str">
            <v>102035</v>
          </cell>
          <cell r="C7604" t="str">
            <v>VV</v>
          </cell>
          <cell r="D7604" t="str">
            <v>VV</v>
          </cell>
          <cell r="E7604" t="str">
            <v>89821</v>
          </cell>
        </row>
        <row r="7605">
          <cell r="A7605" t="str">
            <v>SANT'ONOFRIO</v>
          </cell>
          <cell r="B7605" t="str">
            <v>102036</v>
          </cell>
          <cell r="C7605" t="str">
            <v>VV</v>
          </cell>
          <cell r="D7605" t="str">
            <v>VV</v>
          </cell>
          <cell r="E7605" t="str">
            <v>89843</v>
          </cell>
        </row>
        <row r="7606">
          <cell r="A7606" t="str">
            <v>SERRA SAN BRUNO</v>
          </cell>
          <cell r="B7606" t="str">
            <v>102037</v>
          </cell>
          <cell r="C7606" t="str">
            <v>VV</v>
          </cell>
          <cell r="D7606" t="str">
            <v>VV</v>
          </cell>
          <cell r="E7606" t="str">
            <v>89822</v>
          </cell>
        </row>
        <row r="7607">
          <cell r="A7607" t="str">
            <v>SIMBARIO</v>
          </cell>
          <cell r="B7607" t="str">
            <v>102038</v>
          </cell>
          <cell r="C7607" t="str">
            <v>VV</v>
          </cell>
          <cell r="D7607" t="str">
            <v>VV</v>
          </cell>
          <cell r="E7607" t="str">
            <v>89822</v>
          </cell>
        </row>
        <row r="7608">
          <cell r="A7608" t="str">
            <v>SORIANELLO</v>
          </cell>
          <cell r="B7608" t="str">
            <v>102039</v>
          </cell>
          <cell r="C7608" t="str">
            <v>VV</v>
          </cell>
          <cell r="D7608" t="str">
            <v>VV</v>
          </cell>
          <cell r="E7608" t="str">
            <v>89831</v>
          </cell>
        </row>
        <row r="7609">
          <cell r="A7609" t="str">
            <v>SORIANO CALABRO</v>
          </cell>
          <cell r="B7609" t="str">
            <v>102040</v>
          </cell>
          <cell r="C7609" t="str">
            <v>VV</v>
          </cell>
          <cell r="D7609" t="str">
            <v>VV</v>
          </cell>
          <cell r="E7609" t="str">
            <v>89831</v>
          </cell>
        </row>
        <row r="7610">
          <cell r="A7610" t="str">
            <v>SPADOLA</v>
          </cell>
          <cell r="B7610" t="str">
            <v>102041</v>
          </cell>
          <cell r="C7610" t="str">
            <v>VV</v>
          </cell>
          <cell r="D7610" t="str">
            <v>VV</v>
          </cell>
          <cell r="E7610" t="str">
            <v>89822</v>
          </cell>
        </row>
        <row r="7611">
          <cell r="A7611" t="str">
            <v>SPILINGA</v>
          </cell>
          <cell r="B7611" t="str">
            <v>102042</v>
          </cell>
          <cell r="C7611" t="str">
            <v>VV</v>
          </cell>
          <cell r="D7611" t="str">
            <v>VV</v>
          </cell>
          <cell r="E7611" t="str">
            <v>89864</v>
          </cell>
        </row>
        <row r="7612">
          <cell r="A7612" t="str">
            <v>STEFANACONI</v>
          </cell>
          <cell r="B7612" t="str">
            <v>102043</v>
          </cell>
          <cell r="C7612" t="str">
            <v>VV</v>
          </cell>
          <cell r="D7612" t="str">
            <v>VV</v>
          </cell>
          <cell r="E7612" t="str">
            <v>89843</v>
          </cell>
        </row>
        <row r="7613">
          <cell r="A7613" t="str">
            <v>TROPEA</v>
          </cell>
          <cell r="B7613" t="str">
            <v>102044</v>
          </cell>
          <cell r="C7613" t="str">
            <v>VV</v>
          </cell>
          <cell r="D7613" t="str">
            <v>VV</v>
          </cell>
          <cell r="E7613" t="str">
            <v>89861</v>
          </cell>
        </row>
        <row r="7614">
          <cell r="A7614" t="str">
            <v>VALLELONGA</v>
          </cell>
          <cell r="B7614" t="str">
            <v>102045</v>
          </cell>
          <cell r="C7614" t="str">
            <v>VV</v>
          </cell>
          <cell r="D7614" t="str">
            <v>VV</v>
          </cell>
          <cell r="E7614" t="str">
            <v>89821</v>
          </cell>
        </row>
        <row r="7615">
          <cell r="A7615" t="str">
            <v>VAZZANO</v>
          </cell>
          <cell r="B7615" t="str">
            <v>102046</v>
          </cell>
          <cell r="C7615" t="str">
            <v>VV</v>
          </cell>
          <cell r="D7615" t="str">
            <v>VV</v>
          </cell>
          <cell r="E7615" t="str">
            <v>89834</v>
          </cell>
        </row>
        <row r="7616">
          <cell r="A7616" t="str">
            <v>VIBO VALENTIA</v>
          </cell>
          <cell r="B7616" t="str">
            <v>102047</v>
          </cell>
          <cell r="C7616" t="str">
            <v>VV</v>
          </cell>
          <cell r="D7616" t="str">
            <v>VV</v>
          </cell>
          <cell r="E7616" t="str">
            <v>89900</v>
          </cell>
        </row>
        <row r="7617">
          <cell r="A7617" t="str">
            <v>ZACCANOPOLI</v>
          </cell>
          <cell r="B7617" t="str">
            <v>102048</v>
          </cell>
          <cell r="C7617" t="str">
            <v>VV</v>
          </cell>
          <cell r="D7617" t="str">
            <v>VV</v>
          </cell>
          <cell r="E7617" t="str">
            <v>89867</v>
          </cell>
        </row>
        <row r="7618">
          <cell r="A7618" t="str">
            <v>ZAMBRONE</v>
          </cell>
          <cell r="B7618" t="str">
            <v>102049</v>
          </cell>
          <cell r="C7618" t="str">
            <v>VV</v>
          </cell>
          <cell r="D7618" t="str">
            <v>VV</v>
          </cell>
          <cell r="E7618" t="str">
            <v>89868</v>
          </cell>
        </row>
        <row r="7619">
          <cell r="A7619" t="str">
            <v>ZUNGRI</v>
          </cell>
          <cell r="B7619" t="str">
            <v>102050</v>
          </cell>
          <cell r="C7619" t="str">
            <v>VV</v>
          </cell>
          <cell r="D7619" t="str">
            <v>VV</v>
          </cell>
          <cell r="E7619" t="str">
            <v>89867</v>
          </cell>
        </row>
        <row r="7620">
          <cell r="A7620" t="str">
            <v>ANTRONA SCHIERANCO</v>
          </cell>
          <cell r="B7620" t="str">
            <v>103001</v>
          </cell>
          <cell r="C7620" t="str">
            <v>VB</v>
          </cell>
          <cell r="D7620" t="str">
            <v>VB</v>
          </cell>
          <cell r="E7620" t="str">
            <v>28841</v>
          </cell>
        </row>
        <row r="7621">
          <cell r="A7621" t="str">
            <v>ANZOLA D'OSSOLA</v>
          </cell>
          <cell r="B7621" t="str">
            <v>103002</v>
          </cell>
          <cell r="C7621" t="str">
            <v>VB</v>
          </cell>
          <cell r="D7621" t="str">
            <v>VB</v>
          </cell>
          <cell r="E7621" t="str">
            <v>28877</v>
          </cell>
        </row>
        <row r="7622">
          <cell r="A7622" t="str">
            <v>ARIZZANO</v>
          </cell>
          <cell r="B7622" t="str">
            <v>103003</v>
          </cell>
          <cell r="C7622" t="str">
            <v>VB</v>
          </cell>
          <cell r="D7622" t="str">
            <v>VB</v>
          </cell>
          <cell r="E7622" t="str">
            <v>28811</v>
          </cell>
        </row>
        <row r="7623">
          <cell r="A7623" t="str">
            <v>AROLA</v>
          </cell>
          <cell r="B7623" t="str">
            <v>103004</v>
          </cell>
          <cell r="C7623" t="str">
            <v>VB</v>
          </cell>
          <cell r="D7623" t="str">
            <v>VB</v>
          </cell>
          <cell r="E7623" t="str">
            <v>28899</v>
          </cell>
        </row>
        <row r="7624">
          <cell r="A7624" t="str">
            <v>AURANO</v>
          </cell>
          <cell r="B7624" t="str">
            <v>103005</v>
          </cell>
          <cell r="C7624" t="str">
            <v>VB</v>
          </cell>
          <cell r="D7624" t="str">
            <v>VB</v>
          </cell>
          <cell r="E7624" t="str">
            <v>28812</v>
          </cell>
        </row>
        <row r="7625">
          <cell r="A7625" t="str">
            <v>BACENO</v>
          </cell>
          <cell r="B7625" t="str">
            <v>103006</v>
          </cell>
          <cell r="C7625" t="str">
            <v>VB</v>
          </cell>
          <cell r="D7625" t="str">
            <v>VB</v>
          </cell>
          <cell r="E7625" t="str">
            <v>28861</v>
          </cell>
        </row>
        <row r="7626">
          <cell r="A7626" t="str">
            <v>BANNIO ANZINO</v>
          </cell>
          <cell r="B7626" t="str">
            <v>103007</v>
          </cell>
          <cell r="C7626" t="str">
            <v>VB</v>
          </cell>
          <cell r="D7626" t="str">
            <v>VB</v>
          </cell>
          <cell r="E7626" t="str">
            <v>28871</v>
          </cell>
        </row>
        <row r="7627">
          <cell r="A7627" t="str">
            <v>BAVENO</v>
          </cell>
          <cell r="B7627" t="str">
            <v>103008</v>
          </cell>
          <cell r="C7627" t="str">
            <v>VB</v>
          </cell>
          <cell r="D7627" t="str">
            <v>VB</v>
          </cell>
          <cell r="E7627" t="str">
            <v>28831</v>
          </cell>
        </row>
        <row r="7628">
          <cell r="A7628" t="str">
            <v>BEE</v>
          </cell>
          <cell r="B7628" t="str">
            <v>103009</v>
          </cell>
          <cell r="C7628" t="str">
            <v>VB</v>
          </cell>
          <cell r="D7628" t="str">
            <v>VB</v>
          </cell>
          <cell r="E7628" t="str">
            <v>28813</v>
          </cell>
        </row>
        <row r="7629">
          <cell r="A7629" t="str">
            <v>BELGIRATE</v>
          </cell>
          <cell r="B7629" t="str">
            <v>103010</v>
          </cell>
          <cell r="C7629" t="str">
            <v>VB</v>
          </cell>
          <cell r="D7629" t="str">
            <v>VB</v>
          </cell>
          <cell r="E7629" t="str">
            <v>28832</v>
          </cell>
        </row>
        <row r="7630">
          <cell r="A7630" t="str">
            <v>BEURA-CARDEZZA</v>
          </cell>
          <cell r="B7630" t="str">
            <v>103011</v>
          </cell>
          <cell r="C7630" t="str">
            <v>VB</v>
          </cell>
          <cell r="D7630" t="str">
            <v>VB</v>
          </cell>
          <cell r="E7630" t="str">
            <v>28851</v>
          </cell>
        </row>
        <row r="7631">
          <cell r="A7631" t="str">
            <v>BOGNANCO</v>
          </cell>
          <cell r="B7631" t="str">
            <v>103012</v>
          </cell>
          <cell r="C7631" t="str">
            <v>VB</v>
          </cell>
          <cell r="D7631" t="str">
            <v>VB</v>
          </cell>
          <cell r="E7631" t="str">
            <v>28842</v>
          </cell>
        </row>
        <row r="7632">
          <cell r="A7632" t="str">
            <v>BROVELLO-CARPUGNINO</v>
          </cell>
          <cell r="B7632" t="str">
            <v>103013</v>
          </cell>
          <cell r="C7632" t="str">
            <v>VB</v>
          </cell>
          <cell r="D7632" t="str">
            <v>VB</v>
          </cell>
          <cell r="E7632" t="str">
            <v>28833</v>
          </cell>
        </row>
        <row r="7633">
          <cell r="A7633" t="str">
            <v>CALASCA-CASTIGLIONE</v>
          </cell>
          <cell r="B7633" t="str">
            <v>103014</v>
          </cell>
          <cell r="C7633" t="str">
            <v>VB</v>
          </cell>
          <cell r="D7633" t="str">
            <v>VB</v>
          </cell>
          <cell r="E7633" t="str">
            <v>28873</v>
          </cell>
        </row>
        <row r="7634">
          <cell r="A7634" t="str">
            <v>CAMBIASCA</v>
          </cell>
          <cell r="B7634" t="str">
            <v>103015</v>
          </cell>
          <cell r="C7634" t="str">
            <v>VB</v>
          </cell>
          <cell r="D7634" t="str">
            <v>VB</v>
          </cell>
          <cell r="E7634" t="str">
            <v>28814</v>
          </cell>
        </row>
        <row r="7635">
          <cell r="A7635" t="str">
            <v>CANNERO RIVIERA</v>
          </cell>
          <cell r="B7635" t="str">
            <v>103016</v>
          </cell>
          <cell r="C7635" t="str">
            <v>VB</v>
          </cell>
          <cell r="D7635" t="str">
            <v>VB</v>
          </cell>
          <cell r="E7635" t="str">
            <v>28821</v>
          </cell>
        </row>
        <row r="7636">
          <cell r="A7636" t="str">
            <v>CANNOBIO</v>
          </cell>
          <cell r="B7636" t="str">
            <v>103017</v>
          </cell>
          <cell r="C7636" t="str">
            <v>VB</v>
          </cell>
          <cell r="D7636" t="str">
            <v>VB</v>
          </cell>
          <cell r="E7636" t="str">
            <v>28822</v>
          </cell>
        </row>
        <row r="7637">
          <cell r="A7637" t="str">
            <v>CAPREZZO</v>
          </cell>
          <cell r="B7637" t="str">
            <v>103018</v>
          </cell>
          <cell r="C7637" t="str">
            <v>VB</v>
          </cell>
          <cell r="D7637" t="str">
            <v>VB</v>
          </cell>
          <cell r="E7637" t="str">
            <v>28815</v>
          </cell>
        </row>
        <row r="7638">
          <cell r="A7638" t="str">
            <v>CASALE CORTE CERRO</v>
          </cell>
          <cell r="B7638" t="str">
            <v>103019</v>
          </cell>
          <cell r="C7638" t="str">
            <v>VB</v>
          </cell>
          <cell r="D7638" t="str">
            <v>VB</v>
          </cell>
          <cell r="E7638" t="str">
            <v>28881</v>
          </cell>
        </row>
        <row r="7639">
          <cell r="A7639" t="str">
            <v>CEPPO MORELLI</v>
          </cell>
          <cell r="B7639" t="str">
            <v>103021</v>
          </cell>
          <cell r="C7639" t="str">
            <v>VB</v>
          </cell>
          <cell r="D7639" t="str">
            <v>VB</v>
          </cell>
          <cell r="E7639" t="str">
            <v>28875</v>
          </cell>
        </row>
        <row r="7640">
          <cell r="A7640" t="str">
            <v>CESARA</v>
          </cell>
          <cell r="B7640" t="str">
            <v>103022</v>
          </cell>
          <cell r="C7640" t="str">
            <v>VB</v>
          </cell>
          <cell r="D7640" t="str">
            <v>VB</v>
          </cell>
          <cell r="E7640" t="str">
            <v>28891</v>
          </cell>
        </row>
        <row r="7641">
          <cell r="A7641" t="str">
            <v>COSSOGNO</v>
          </cell>
          <cell r="B7641" t="str">
            <v>103023</v>
          </cell>
          <cell r="C7641" t="str">
            <v>VB</v>
          </cell>
          <cell r="D7641" t="str">
            <v>VB</v>
          </cell>
          <cell r="E7641" t="str">
            <v>28801</v>
          </cell>
        </row>
        <row r="7642">
          <cell r="A7642" t="str">
            <v>CRAVEGGIA</v>
          </cell>
          <cell r="B7642" t="str">
            <v>103024</v>
          </cell>
          <cell r="C7642" t="str">
            <v>VB</v>
          </cell>
          <cell r="D7642" t="str">
            <v>VB</v>
          </cell>
          <cell r="E7642" t="str">
            <v>28852</v>
          </cell>
        </row>
        <row r="7643">
          <cell r="A7643" t="str">
            <v>CREVOLADOSSOLA</v>
          </cell>
          <cell r="B7643" t="str">
            <v>103025</v>
          </cell>
          <cell r="C7643" t="str">
            <v>VB</v>
          </cell>
          <cell r="D7643" t="str">
            <v>VB</v>
          </cell>
          <cell r="E7643" t="str">
            <v>28865</v>
          </cell>
        </row>
        <row r="7644">
          <cell r="A7644" t="str">
            <v>CRODO</v>
          </cell>
          <cell r="B7644" t="str">
            <v>103026</v>
          </cell>
          <cell r="C7644" t="str">
            <v>VB</v>
          </cell>
          <cell r="D7644" t="str">
            <v>VB</v>
          </cell>
          <cell r="E7644" t="str">
            <v>28862</v>
          </cell>
        </row>
        <row r="7645">
          <cell r="A7645" t="str">
            <v>DOMODOSSOLA</v>
          </cell>
          <cell r="B7645" t="str">
            <v>103028</v>
          </cell>
          <cell r="C7645" t="str">
            <v>VB</v>
          </cell>
          <cell r="D7645" t="str">
            <v>VB</v>
          </cell>
          <cell r="E7645" t="str">
            <v>28845</v>
          </cell>
        </row>
        <row r="7646">
          <cell r="A7646" t="str">
            <v>DRUOGNO</v>
          </cell>
          <cell r="B7646" t="str">
            <v>103029</v>
          </cell>
          <cell r="C7646" t="str">
            <v>VB</v>
          </cell>
          <cell r="D7646" t="str">
            <v>VB</v>
          </cell>
          <cell r="E7646" t="str">
            <v>28853</v>
          </cell>
        </row>
        <row r="7647">
          <cell r="A7647" t="str">
            <v>FORMAZZA</v>
          </cell>
          <cell r="B7647" t="str">
            <v>103031</v>
          </cell>
          <cell r="C7647" t="str">
            <v>VB</v>
          </cell>
          <cell r="D7647" t="str">
            <v>VB</v>
          </cell>
          <cell r="E7647" t="str">
            <v>28863</v>
          </cell>
        </row>
        <row r="7648">
          <cell r="A7648" t="str">
            <v>GERMAGNO</v>
          </cell>
          <cell r="B7648" t="str">
            <v>103032</v>
          </cell>
          <cell r="C7648" t="str">
            <v>VB</v>
          </cell>
          <cell r="D7648" t="str">
            <v>VB</v>
          </cell>
          <cell r="E7648" t="str">
            <v>28887</v>
          </cell>
        </row>
        <row r="7649">
          <cell r="A7649" t="str">
            <v>GHIFFA</v>
          </cell>
          <cell r="B7649" t="str">
            <v>103033</v>
          </cell>
          <cell r="C7649" t="str">
            <v>VB</v>
          </cell>
          <cell r="D7649" t="str">
            <v>VB</v>
          </cell>
          <cell r="E7649" t="str">
            <v>28823</v>
          </cell>
        </row>
        <row r="7650">
          <cell r="A7650" t="str">
            <v>GIGNESE</v>
          </cell>
          <cell r="B7650" t="str">
            <v>103034</v>
          </cell>
          <cell r="C7650" t="str">
            <v>VB</v>
          </cell>
          <cell r="D7650" t="str">
            <v>VB</v>
          </cell>
          <cell r="E7650" t="str">
            <v>28836</v>
          </cell>
        </row>
        <row r="7651">
          <cell r="A7651" t="str">
            <v>GRAVELLONA TOCE</v>
          </cell>
          <cell r="B7651" t="str">
            <v>103035</v>
          </cell>
          <cell r="C7651" t="str">
            <v>VB</v>
          </cell>
          <cell r="D7651" t="str">
            <v>VB</v>
          </cell>
          <cell r="E7651" t="str">
            <v>28883</v>
          </cell>
        </row>
        <row r="7652">
          <cell r="A7652" t="str">
            <v>GURRO</v>
          </cell>
          <cell r="B7652" t="str">
            <v>103036</v>
          </cell>
          <cell r="C7652" t="str">
            <v>VB</v>
          </cell>
          <cell r="D7652" t="str">
            <v>VB</v>
          </cell>
          <cell r="E7652" t="str">
            <v>28828</v>
          </cell>
        </row>
        <row r="7653">
          <cell r="A7653" t="str">
            <v>INTRAGNA</v>
          </cell>
          <cell r="B7653" t="str">
            <v>103037</v>
          </cell>
          <cell r="C7653" t="str">
            <v>VB</v>
          </cell>
          <cell r="D7653" t="str">
            <v>VB</v>
          </cell>
          <cell r="E7653" t="str">
            <v>28816</v>
          </cell>
        </row>
        <row r="7654">
          <cell r="A7654" t="str">
            <v>LOREGLIA</v>
          </cell>
          <cell r="B7654" t="str">
            <v>103038</v>
          </cell>
          <cell r="C7654" t="str">
            <v>VB</v>
          </cell>
          <cell r="D7654" t="str">
            <v>VB</v>
          </cell>
          <cell r="E7654" t="str">
            <v>28893</v>
          </cell>
        </row>
        <row r="7655">
          <cell r="A7655" t="str">
            <v>MACUGNAGA</v>
          </cell>
          <cell r="B7655" t="str">
            <v>103039</v>
          </cell>
          <cell r="C7655" t="str">
            <v>VB</v>
          </cell>
          <cell r="D7655" t="str">
            <v>VB</v>
          </cell>
          <cell r="E7655" t="str">
            <v>28876</v>
          </cell>
        </row>
        <row r="7656">
          <cell r="A7656" t="str">
            <v>MADONNA DEL SASSO</v>
          </cell>
          <cell r="B7656" t="str">
            <v>103040</v>
          </cell>
          <cell r="C7656" t="str">
            <v>VB</v>
          </cell>
          <cell r="D7656" t="str">
            <v>VB</v>
          </cell>
          <cell r="E7656" t="str">
            <v>28894</v>
          </cell>
        </row>
        <row r="7657">
          <cell r="A7657" t="str">
            <v>MALESCO</v>
          </cell>
          <cell r="B7657" t="str">
            <v>103041</v>
          </cell>
          <cell r="C7657" t="str">
            <v>VB</v>
          </cell>
          <cell r="D7657" t="str">
            <v>VB</v>
          </cell>
          <cell r="E7657" t="str">
            <v>28854</v>
          </cell>
        </row>
        <row r="7658">
          <cell r="A7658" t="str">
            <v>MASERA</v>
          </cell>
          <cell r="B7658" t="str">
            <v>103042</v>
          </cell>
          <cell r="C7658" t="str">
            <v>VB</v>
          </cell>
          <cell r="D7658" t="str">
            <v>VB</v>
          </cell>
          <cell r="E7658" t="str">
            <v>28855</v>
          </cell>
        </row>
        <row r="7659">
          <cell r="A7659" t="str">
            <v>MASSIOLA</v>
          </cell>
          <cell r="B7659" t="str">
            <v>103043</v>
          </cell>
          <cell r="C7659" t="str">
            <v>VB</v>
          </cell>
          <cell r="D7659" t="str">
            <v>VB</v>
          </cell>
          <cell r="E7659" t="str">
            <v>28895</v>
          </cell>
        </row>
        <row r="7660">
          <cell r="A7660" t="str">
            <v>MERGOZZO</v>
          </cell>
          <cell r="B7660" t="str">
            <v>103044</v>
          </cell>
          <cell r="C7660" t="str">
            <v>VB</v>
          </cell>
          <cell r="D7660" t="str">
            <v>VB</v>
          </cell>
          <cell r="E7660" t="str">
            <v>28802</v>
          </cell>
        </row>
        <row r="7661">
          <cell r="A7661" t="str">
            <v>MIAZZINA</v>
          </cell>
          <cell r="B7661" t="str">
            <v>103045</v>
          </cell>
          <cell r="C7661" t="str">
            <v>VB</v>
          </cell>
          <cell r="D7661" t="str">
            <v>VB</v>
          </cell>
          <cell r="E7661" t="str">
            <v>28817</v>
          </cell>
        </row>
        <row r="7662">
          <cell r="A7662" t="str">
            <v>MONTECRESTESE</v>
          </cell>
          <cell r="B7662" t="str">
            <v>103046</v>
          </cell>
          <cell r="C7662" t="str">
            <v>VB</v>
          </cell>
          <cell r="D7662" t="str">
            <v>VB</v>
          </cell>
          <cell r="E7662" t="str">
            <v>28864</v>
          </cell>
        </row>
        <row r="7663">
          <cell r="A7663" t="str">
            <v>MONTESCHENO</v>
          </cell>
          <cell r="B7663" t="str">
            <v>103047</v>
          </cell>
          <cell r="C7663" t="str">
            <v>VB</v>
          </cell>
          <cell r="D7663" t="str">
            <v>VB</v>
          </cell>
          <cell r="E7663" t="str">
            <v>28843</v>
          </cell>
        </row>
        <row r="7664">
          <cell r="A7664" t="str">
            <v>NONIO</v>
          </cell>
          <cell r="B7664" t="str">
            <v>103048</v>
          </cell>
          <cell r="C7664" t="str">
            <v>VB</v>
          </cell>
          <cell r="D7664" t="str">
            <v>VB</v>
          </cell>
          <cell r="E7664" t="str">
            <v>28891</v>
          </cell>
        </row>
        <row r="7665">
          <cell r="A7665" t="str">
            <v>OGGEBBIO</v>
          </cell>
          <cell r="B7665" t="str">
            <v>103049</v>
          </cell>
          <cell r="C7665" t="str">
            <v>VB</v>
          </cell>
          <cell r="D7665" t="str">
            <v>VB</v>
          </cell>
          <cell r="E7665" t="str">
            <v>28824</v>
          </cell>
        </row>
        <row r="7666">
          <cell r="A7666" t="str">
            <v>OMEGNA</v>
          </cell>
          <cell r="B7666" t="str">
            <v>103050</v>
          </cell>
          <cell r="C7666" t="str">
            <v>VB</v>
          </cell>
          <cell r="D7666" t="str">
            <v>VB</v>
          </cell>
          <cell r="E7666" t="str">
            <v>28887</v>
          </cell>
        </row>
        <row r="7667">
          <cell r="A7667" t="str">
            <v>ORNAVASSO</v>
          </cell>
          <cell r="B7667" t="str">
            <v>103051</v>
          </cell>
          <cell r="C7667" t="str">
            <v>VB</v>
          </cell>
          <cell r="D7667" t="str">
            <v>VB</v>
          </cell>
          <cell r="E7667" t="str">
            <v>28877</v>
          </cell>
        </row>
        <row r="7668">
          <cell r="A7668" t="str">
            <v>PALLANZENO</v>
          </cell>
          <cell r="B7668" t="str">
            <v>103052</v>
          </cell>
          <cell r="C7668" t="str">
            <v>VB</v>
          </cell>
          <cell r="D7668" t="str">
            <v>VB</v>
          </cell>
          <cell r="E7668" t="str">
            <v>28884</v>
          </cell>
        </row>
        <row r="7669">
          <cell r="A7669" t="str">
            <v>PIEDIMULERA</v>
          </cell>
          <cell r="B7669" t="str">
            <v>103053</v>
          </cell>
          <cell r="C7669" t="str">
            <v>VB</v>
          </cell>
          <cell r="D7669" t="str">
            <v>VB</v>
          </cell>
          <cell r="E7669" t="str">
            <v>28885</v>
          </cell>
        </row>
        <row r="7670">
          <cell r="A7670" t="str">
            <v>PIEVE VERGONTE</v>
          </cell>
          <cell r="B7670" t="str">
            <v>103054</v>
          </cell>
          <cell r="C7670" t="str">
            <v>VB</v>
          </cell>
          <cell r="D7670" t="str">
            <v>VB</v>
          </cell>
          <cell r="E7670" t="str">
            <v>28886</v>
          </cell>
        </row>
        <row r="7671">
          <cell r="A7671" t="str">
            <v>PREMENO</v>
          </cell>
          <cell r="B7671" t="str">
            <v>103055</v>
          </cell>
          <cell r="C7671" t="str">
            <v>VB</v>
          </cell>
          <cell r="D7671" t="str">
            <v>VB</v>
          </cell>
          <cell r="E7671" t="str">
            <v>28818</v>
          </cell>
        </row>
        <row r="7672">
          <cell r="A7672" t="str">
            <v>PREMIA</v>
          </cell>
          <cell r="B7672" t="str">
            <v>103056</v>
          </cell>
          <cell r="C7672" t="str">
            <v>VB</v>
          </cell>
          <cell r="D7672" t="str">
            <v>VB</v>
          </cell>
          <cell r="E7672" t="str">
            <v>28866</v>
          </cell>
        </row>
        <row r="7673">
          <cell r="A7673" t="str">
            <v>PREMOSELLO-CHIOVENDA</v>
          </cell>
          <cell r="B7673" t="str">
            <v>103057</v>
          </cell>
          <cell r="C7673" t="str">
            <v>VB</v>
          </cell>
          <cell r="D7673" t="str">
            <v>VB</v>
          </cell>
          <cell r="E7673" t="str">
            <v>28803</v>
          </cell>
        </row>
        <row r="7674">
          <cell r="A7674" t="str">
            <v>QUARNA SOPRA</v>
          </cell>
          <cell r="B7674" t="str">
            <v>103058</v>
          </cell>
          <cell r="C7674" t="str">
            <v>VB</v>
          </cell>
          <cell r="D7674" t="str">
            <v>VB</v>
          </cell>
          <cell r="E7674" t="str">
            <v>28898</v>
          </cell>
        </row>
        <row r="7675">
          <cell r="A7675" t="str">
            <v>QUARNA SOTTO</v>
          </cell>
          <cell r="B7675" t="str">
            <v>103059</v>
          </cell>
          <cell r="C7675" t="str">
            <v>VB</v>
          </cell>
          <cell r="D7675" t="str">
            <v>VB</v>
          </cell>
          <cell r="E7675" t="str">
            <v>28896</v>
          </cell>
        </row>
        <row r="7676">
          <cell r="A7676" t="str">
            <v>RE</v>
          </cell>
          <cell r="B7676" t="str">
            <v>103060</v>
          </cell>
          <cell r="C7676" t="str">
            <v>VB</v>
          </cell>
          <cell r="D7676" t="str">
            <v>VB</v>
          </cell>
          <cell r="E7676" t="str">
            <v>28856</v>
          </cell>
        </row>
        <row r="7677">
          <cell r="A7677" t="str">
            <v>SAN BERNARDINO VERBANO</v>
          </cell>
          <cell r="B7677" t="str">
            <v>103061</v>
          </cell>
          <cell r="C7677" t="str">
            <v>VB</v>
          </cell>
          <cell r="D7677" t="str">
            <v>VB</v>
          </cell>
          <cell r="E7677" t="str">
            <v>28804</v>
          </cell>
        </row>
        <row r="7678">
          <cell r="A7678" t="str">
            <v>SANTA MARIA MAGGIORE</v>
          </cell>
          <cell r="B7678" t="str">
            <v>103062</v>
          </cell>
          <cell r="C7678" t="str">
            <v>VB</v>
          </cell>
          <cell r="D7678" t="str">
            <v>VB</v>
          </cell>
          <cell r="E7678" t="str">
            <v>28857</v>
          </cell>
        </row>
        <row r="7679">
          <cell r="A7679" t="str">
            <v>STRESA</v>
          </cell>
          <cell r="B7679" t="str">
            <v>103064</v>
          </cell>
          <cell r="C7679" t="str">
            <v>VB</v>
          </cell>
          <cell r="D7679" t="str">
            <v>VB</v>
          </cell>
          <cell r="E7679" t="str">
            <v>28838</v>
          </cell>
        </row>
        <row r="7680">
          <cell r="A7680" t="str">
            <v>TOCENO</v>
          </cell>
          <cell r="B7680" t="str">
            <v>103065</v>
          </cell>
          <cell r="C7680" t="str">
            <v>VB</v>
          </cell>
          <cell r="D7680" t="str">
            <v>VB</v>
          </cell>
          <cell r="E7680" t="str">
            <v>28858</v>
          </cell>
        </row>
        <row r="7681">
          <cell r="A7681" t="str">
            <v>TRAREGO VIGGIONA</v>
          </cell>
          <cell r="B7681" t="str">
            <v>103066</v>
          </cell>
          <cell r="C7681" t="str">
            <v>VB</v>
          </cell>
          <cell r="D7681" t="str">
            <v>VB</v>
          </cell>
          <cell r="E7681" t="str">
            <v>28826</v>
          </cell>
        </row>
        <row r="7682">
          <cell r="A7682" t="str">
            <v>TRASQUERA</v>
          </cell>
          <cell r="B7682" t="str">
            <v>103067</v>
          </cell>
          <cell r="C7682" t="str">
            <v>VB</v>
          </cell>
          <cell r="D7682" t="str">
            <v>VB</v>
          </cell>
          <cell r="E7682" t="str">
            <v>28868</v>
          </cell>
        </row>
        <row r="7683">
          <cell r="A7683" t="str">
            <v>TRONTANO</v>
          </cell>
          <cell r="B7683" t="str">
            <v>103068</v>
          </cell>
          <cell r="C7683" t="str">
            <v>VB</v>
          </cell>
          <cell r="D7683" t="str">
            <v>VB</v>
          </cell>
          <cell r="E7683" t="str">
            <v>28859</v>
          </cell>
        </row>
        <row r="7684">
          <cell r="A7684" t="str">
            <v>VALSTRONA</v>
          </cell>
          <cell r="B7684" t="str">
            <v>103069</v>
          </cell>
          <cell r="C7684" t="str">
            <v>VB</v>
          </cell>
          <cell r="D7684" t="str">
            <v>VB</v>
          </cell>
          <cell r="E7684" t="str">
            <v>28897</v>
          </cell>
        </row>
        <row r="7685">
          <cell r="A7685" t="str">
            <v>VANZONE CON SAN CARLO</v>
          </cell>
          <cell r="B7685" t="str">
            <v>103070</v>
          </cell>
          <cell r="C7685" t="str">
            <v>VB</v>
          </cell>
          <cell r="D7685" t="str">
            <v>VB</v>
          </cell>
          <cell r="E7685" t="str">
            <v>28879</v>
          </cell>
        </row>
        <row r="7686">
          <cell r="A7686" t="str">
            <v>VARZO</v>
          </cell>
          <cell r="B7686" t="str">
            <v>103071</v>
          </cell>
          <cell r="C7686" t="str">
            <v>VB</v>
          </cell>
          <cell r="D7686" t="str">
            <v>VB</v>
          </cell>
          <cell r="E7686" t="str">
            <v>28868</v>
          </cell>
        </row>
        <row r="7687">
          <cell r="A7687" t="str">
            <v>VERBANIA</v>
          </cell>
          <cell r="B7687" t="str">
            <v>103072</v>
          </cell>
          <cell r="C7687" t="str">
            <v>VB</v>
          </cell>
          <cell r="D7687" t="str">
            <v>VB</v>
          </cell>
          <cell r="E7687" t="str">
            <v>2892x</v>
          </cell>
        </row>
        <row r="7688">
          <cell r="A7688" t="str">
            <v>VIGNONE</v>
          </cell>
          <cell r="B7688" t="str">
            <v>103074</v>
          </cell>
          <cell r="C7688" t="str">
            <v>VB</v>
          </cell>
          <cell r="D7688" t="str">
            <v>VB</v>
          </cell>
          <cell r="E7688" t="str">
            <v>28819</v>
          </cell>
        </row>
        <row r="7689">
          <cell r="A7689" t="str">
            <v>VILLADOSSOLA</v>
          </cell>
          <cell r="B7689" t="str">
            <v>103075</v>
          </cell>
          <cell r="C7689" t="str">
            <v>VB</v>
          </cell>
          <cell r="D7689" t="str">
            <v>VB</v>
          </cell>
          <cell r="E7689" t="str">
            <v>28844</v>
          </cell>
        </row>
        <row r="7690">
          <cell r="A7690" t="str">
            <v>VILLETTE</v>
          </cell>
          <cell r="B7690" t="str">
            <v>103076</v>
          </cell>
          <cell r="C7690" t="str">
            <v>VB</v>
          </cell>
          <cell r="D7690" t="str">
            <v>VB</v>
          </cell>
          <cell r="E7690" t="str">
            <v>28856</v>
          </cell>
        </row>
        <row r="7691">
          <cell r="A7691" t="str">
            <v>VOGOGNA</v>
          </cell>
          <cell r="B7691" t="str">
            <v>103077</v>
          </cell>
          <cell r="C7691" t="str">
            <v>VB</v>
          </cell>
          <cell r="D7691" t="str">
            <v>VB</v>
          </cell>
          <cell r="E7691" t="str">
            <v>28805</v>
          </cell>
        </row>
        <row r="7692">
          <cell r="A7692" t="str">
            <v>BORGOMEZZAVALLE</v>
          </cell>
          <cell r="B7692" t="str">
            <v>103078</v>
          </cell>
          <cell r="C7692" t="str">
            <v>VB</v>
          </cell>
          <cell r="D7692" t="e">
            <v>#N/A</v>
          </cell>
          <cell r="E7692" t="e">
            <v>#N/A</v>
          </cell>
        </row>
        <row r="7693">
          <cell r="A7693" t="str">
            <v>VALLE CANNOBINA</v>
          </cell>
          <cell r="B7693" t="str">
            <v>103079</v>
          </cell>
          <cell r="C7693" t="str">
            <v>VB</v>
          </cell>
          <cell r="D7693" t="e">
            <v>#N/A</v>
          </cell>
          <cell r="E7693" t="e">
            <v>#N/A</v>
          </cell>
        </row>
        <row r="7694">
          <cell r="A7694" t="str">
            <v>AGRATE BRIANZA</v>
          </cell>
          <cell r="B7694" t="str">
            <v>108001</v>
          </cell>
          <cell r="C7694" t="str">
            <v>MB</v>
          </cell>
          <cell r="D7694" t="str">
            <v>MB</v>
          </cell>
          <cell r="E7694" t="str">
            <v>20864</v>
          </cell>
        </row>
        <row r="7695">
          <cell r="A7695" t="str">
            <v>AICURZIO</v>
          </cell>
          <cell r="B7695" t="str">
            <v>108002</v>
          </cell>
          <cell r="C7695" t="str">
            <v>MB</v>
          </cell>
          <cell r="D7695" t="str">
            <v>MB</v>
          </cell>
          <cell r="E7695" t="str">
            <v>20886</v>
          </cell>
        </row>
        <row r="7696">
          <cell r="A7696" t="str">
            <v>ALBIATE</v>
          </cell>
          <cell r="B7696" t="str">
            <v>108003</v>
          </cell>
          <cell r="C7696" t="str">
            <v>MB</v>
          </cell>
          <cell r="D7696" t="str">
            <v>MB</v>
          </cell>
          <cell r="E7696" t="str">
            <v>20847</v>
          </cell>
        </row>
        <row r="7697">
          <cell r="A7697" t="str">
            <v>ARCORE</v>
          </cell>
          <cell r="B7697" t="str">
            <v>108004</v>
          </cell>
          <cell r="C7697" t="str">
            <v>MB</v>
          </cell>
          <cell r="D7697" t="str">
            <v>MB</v>
          </cell>
          <cell r="E7697" t="str">
            <v>20862</v>
          </cell>
        </row>
        <row r="7698">
          <cell r="A7698" t="str">
            <v>BARLASSINA</v>
          </cell>
          <cell r="B7698" t="str">
            <v>108005</v>
          </cell>
          <cell r="C7698" t="str">
            <v>MB</v>
          </cell>
          <cell r="D7698" t="str">
            <v>MB</v>
          </cell>
          <cell r="E7698" t="str">
            <v>20825</v>
          </cell>
        </row>
        <row r="7699">
          <cell r="A7699" t="str">
            <v>BELLUSCO</v>
          </cell>
          <cell r="B7699" t="str">
            <v>108006</v>
          </cell>
          <cell r="C7699" t="str">
            <v>MB</v>
          </cell>
          <cell r="D7699" t="str">
            <v>MB</v>
          </cell>
          <cell r="E7699" t="str">
            <v>20882</v>
          </cell>
        </row>
        <row r="7700">
          <cell r="A7700" t="str">
            <v>BERNAREGGIO</v>
          </cell>
          <cell r="B7700" t="str">
            <v>108007</v>
          </cell>
          <cell r="C7700" t="str">
            <v>MB</v>
          </cell>
          <cell r="D7700" t="str">
            <v>MB</v>
          </cell>
          <cell r="E7700" t="str">
            <v>20881</v>
          </cell>
        </row>
        <row r="7701">
          <cell r="A7701" t="str">
            <v>BESANA IN BRIANZA</v>
          </cell>
          <cell r="B7701" t="str">
            <v>108008</v>
          </cell>
          <cell r="C7701" t="str">
            <v>MB</v>
          </cell>
          <cell r="D7701" t="str">
            <v>MB</v>
          </cell>
          <cell r="E7701" t="str">
            <v>20842</v>
          </cell>
        </row>
        <row r="7702">
          <cell r="A7702" t="str">
            <v>BIASSONO</v>
          </cell>
          <cell r="B7702" t="str">
            <v>108009</v>
          </cell>
          <cell r="C7702" t="str">
            <v>MB</v>
          </cell>
          <cell r="D7702" t="str">
            <v>MB</v>
          </cell>
          <cell r="E7702" t="str">
            <v>20853</v>
          </cell>
        </row>
        <row r="7703">
          <cell r="A7703" t="str">
            <v>BOVISIO-MASCIAGO</v>
          </cell>
          <cell r="B7703" t="str">
            <v>108010</v>
          </cell>
          <cell r="C7703" t="str">
            <v>MB</v>
          </cell>
          <cell r="D7703" t="str">
            <v>MB</v>
          </cell>
          <cell r="E7703" t="str">
            <v>20813</v>
          </cell>
        </row>
        <row r="7704">
          <cell r="A7704" t="str">
            <v>BRIOSCO</v>
          </cell>
          <cell r="B7704" t="str">
            <v>108011</v>
          </cell>
          <cell r="C7704" t="str">
            <v>MB</v>
          </cell>
          <cell r="D7704" t="str">
            <v>MB</v>
          </cell>
          <cell r="E7704" t="str">
            <v>20836</v>
          </cell>
        </row>
        <row r="7705">
          <cell r="A7705" t="str">
            <v>BRUGHERIO</v>
          </cell>
          <cell r="B7705" t="str">
            <v>108012</v>
          </cell>
          <cell r="C7705" t="str">
            <v>MB</v>
          </cell>
          <cell r="D7705" t="str">
            <v>MB</v>
          </cell>
          <cell r="E7705" t="str">
            <v>20861</v>
          </cell>
        </row>
        <row r="7706">
          <cell r="A7706" t="str">
            <v>BURAGO DI MOLGORA</v>
          </cell>
          <cell r="B7706" t="str">
            <v>108013</v>
          </cell>
          <cell r="C7706" t="str">
            <v>MB</v>
          </cell>
          <cell r="D7706" t="str">
            <v>MB</v>
          </cell>
          <cell r="E7706" t="str">
            <v>20875</v>
          </cell>
        </row>
        <row r="7707">
          <cell r="A7707" t="str">
            <v>CAMPARADA</v>
          </cell>
          <cell r="B7707" t="str">
            <v>108014</v>
          </cell>
          <cell r="C7707" t="str">
            <v>MB</v>
          </cell>
          <cell r="D7707" t="str">
            <v>MB</v>
          </cell>
          <cell r="E7707" t="str">
            <v>20857</v>
          </cell>
        </row>
        <row r="7708">
          <cell r="A7708" t="str">
            <v>CARATE BRIANZA</v>
          </cell>
          <cell r="B7708" t="str">
            <v>108015</v>
          </cell>
          <cell r="C7708" t="str">
            <v>MB</v>
          </cell>
          <cell r="D7708" t="str">
            <v>MB</v>
          </cell>
          <cell r="E7708" t="str">
            <v>20841</v>
          </cell>
        </row>
        <row r="7709">
          <cell r="A7709" t="str">
            <v>CARNATE</v>
          </cell>
          <cell r="B7709" t="str">
            <v>108016</v>
          </cell>
          <cell r="C7709" t="str">
            <v>MB</v>
          </cell>
          <cell r="D7709" t="str">
            <v>MB</v>
          </cell>
          <cell r="E7709" t="str">
            <v>20866</v>
          </cell>
        </row>
        <row r="7710">
          <cell r="A7710" t="str">
            <v>CAVENAGO DI BRIANZA</v>
          </cell>
          <cell r="B7710" t="str">
            <v>108017</v>
          </cell>
          <cell r="C7710" t="str">
            <v>MB</v>
          </cell>
          <cell r="D7710" t="str">
            <v>MB</v>
          </cell>
          <cell r="E7710" t="str">
            <v>20873</v>
          </cell>
        </row>
        <row r="7711">
          <cell r="A7711" t="str">
            <v>CERIANO LAGHETTO</v>
          </cell>
          <cell r="B7711" t="str">
            <v>108018</v>
          </cell>
          <cell r="C7711" t="str">
            <v>MB</v>
          </cell>
          <cell r="D7711" t="str">
            <v>MB</v>
          </cell>
          <cell r="E7711" t="str">
            <v>20816</v>
          </cell>
        </row>
        <row r="7712">
          <cell r="A7712" t="str">
            <v>CESANO MADERNO</v>
          </cell>
          <cell r="B7712" t="str">
            <v>108019</v>
          </cell>
          <cell r="C7712" t="str">
            <v>MB</v>
          </cell>
          <cell r="D7712" t="str">
            <v>MB</v>
          </cell>
          <cell r="E7712" t="str">
            <v>20811</v>
          </cell>
        </row>
        <row r="7713">
          <cell r="A7713" t="str">
            <v>COGLIATE</v>
          </cell>
          <cell r="B7713" t="str">
            <v>108020</v>
          </cell>
          <cell r="C7713" t="str">
            <v>MB</v>
          </cell>
          <cell r="D7713" t="str">
            <v>MB</v>
          </cell>
          <cell r="E7713" t="str">
            <v>20815</v>
          </cell>
        </row>
        <row r="7714">
          <cell r="A7714" t="str">
            <v>CONCOREZZO</v>
          </cell>
          <cell r="B7714" t="str">
            <v>108021</v>
          </cell>
          <cell r="C7714" t="str">
            <v>MB</v>
          </cell>
          <cell r="D7714" t="str">
            <v>MB</v>
          </cell>
          <cell r="E7714" t="str">
            <v>20863</v>
          </cell>
        </row>
        <row r="7715">
          <cell r="A7715" t="str">
            <v>CORREZZANA</v>
          </cell>
          <cell r="B7715" t="str">
            <v>108022</v>
          </cell>
          <cell r="C7715" t="str">
            <v>MB</v>
          </cell>
          <cell r="D7715" t="str">
            <v>MB</v>
          </cell>
          <cell r="E7715" t="str">
            <v>20856</v>
          </cell>
        </row>
        <row r="7716">
          <cell r="A7716" t="str">
            <v>DESIO</v>
          </cell>
          <cell r="B7716" t="str">
            <v>108023</v>
          </cell>
          <cell r="C7716" t="str">
            <v>MB</v>
          </cell>
          <cell r="D7716" t="str">
            <v>MB</v>
          </cell>
          <cell r="E7716" t="str">
            <v>20832</v>
          </cell>
        </row>
        <row r="7717">
          <cell r="A7717" t="str">
            <v>GIUSSANO</v>
          </cell>
          <cell r="B7717" t="str">
            <v>108024</v>
          </cell>
          <cell r="C7717" t="str">
            <v>MB</v>
          </cell>
          <cell r="D7717" t="str">
            <v>MB</v>
          </cell>
          <cell r="E7717" t="str">
            <v>20833</v>
          </cell>
        </row>
        <row r="7718">
          <cell r="A7718" t="str">
            <v>LAZZATE</v>
          </cell>
          <cell r="B7718" t="str">
            <v>108025</v>
          </cell>
          <cell r="C7718" t="str">
            <v>MB</v>
          </cell>
          <cell r="D7718" t="str">
            <v>MB</v>
          </cell>
          <cell r="E7718" t="str">
            <v>20824</v>
          </cell>
        </row>
        <row r="7719">
          <cell r="A7719" t="str">
            <v>LESMO</v>
          </cell>
          <cell r="B7719" t="str">
            <v>108026</v>
          </cell>
          <cell r="C7719" t="str">
            <v>MB</v>
          </cell>
          <cell r="D7719" t="str">
            <v>MB</v>
          </cell>
          <cell r="E7719" t="str">
            <v>20855</v>
          </cell>
        </row>
        <row r="7720">
          <cell r="A7720" t="str">
            <v>LIMBIATE</v>
          </cell>
          <cell r="B7720" t="str">
            <v>108027</v>
          </cell>
          <cell r="C7720" t="str">
            <v>MB</v>
          </cell>
          <cell r="D7720" t="str">
            <v>MB</v>
          </cell>
          <cell r="E7720" t="str">
            <v>20812</v>
          </cell>
        </row>
        <row r="7721">
          <cell r="A7721" t="str">
            <v>LISSONE</v>
          </cell>
          <cell r="B7721" t="str">
            <v>108028</v>
          </cell>
          <cell r="C7721" t="str">
            <v>MB</v>
          </cell>
          <cell r="D7721" t="str">
            <v>MB</v>
          </cell>
          <cell r="E7721" t="str">
            <v>20851</v>
          </cell>
        </row>
        <row r="7722">
          <cell r="A7722" t="str">
            <v>MACHERIO</v>
          </cell>
          <cell r="B7722" t="str">
            <v>108029</v>
          </cell>
          <cell r="C7722" t="str">
            <v>MB</v>
          </cell>
          <cell r="D7722" t="str">
            <v>MB</v>
          </cell>
          <cell r="E7722" t="str">
            <v>20846</v>
          </cell>
        </row>
        <row r="7723">
          <cell r="A7723" t="str">
            <v>MEDA</v>
          </cell>
          <cell r="B7723" t="str">
            <v>108030</v>
          </cell>
          <cell r="C7723" t="str">
            <v>MB</v>
          </cell>
          <cell r="D7723" t="str">
            <v>MB</v>
          </cell>
          <cell r="E7723" t="str">
            <v>20821</v>
          </cell>
        </row>
        <row r="7724">
          <cell r="A7724" t="str">
            <v>MEZZAGO</v>
          </cell>
          <cell r="B7724" t="str">
            <v>108031</v>
          </cell>
          <cell r="C7724" t="str">
            <v>MB</v>
          </cell>
          <cell r="D7724" t="str">
            <v>MB</v>
          </cell>
          <cell r="E7724" t="str">
            <v>20883</v>
          </cell>
        </row>
        <row r="7725">
          <cell r="A7725" t="str">
            <v>MISINTO</v>
          </cell>
          <cell r="B7725" t="str">
            <v>108032</v>
          </cell>
          <cell r="C7725" t="str">
            <v>MB</v>
          </cell>
          <cell r="D7725" t="str">
            <v>MB</v>
          </cell>
          <cell r="E7725" t="str">
            <v>20826</v>
          </cell>
        </row>
        <row r="7726">
          <cell r="A7726" t="str">
            <v>MONZA</v>
          </cell>
          <cell r="B7726" t="str">
            <v>108033</v>
          </cell>
          <cell r="C7726" t="str">
            <v>MB</v>
          </cell>
          <cell r="D7726" t="str">
            <v>MB</v>
          </cell>
          <cell r="E7726" t="str">
            <v>20900</v>
          </cell>
        </row>
        <row r="7727">
          <cell r="A7727" t="str">
            <v>MUGGIÒ</v>
          </cell>
          <cell r="B7727" t="str">
            <v>108034</v>
          </cell>
          <cell r="C7727" t="str">
            <v>MB</v>
          </cell>
          <cell r="D7727" t="str">
            <v>MB</v>
          </cell>
          <cell r="E7727" t="str">
            <v>20835</v>
          </cell>
        </row>
        <row r="7728">
          <cell r="A7728" t="str">
            <v>NOVA MILANESE</v>
          </cell>
          <cell r="B7728" t="str">
            <v>108035</v>
          </cell>
          <cell r="C7728" t="str">
            <v>MB</v>
          </cell>
          <cell r="D7728" t="str">
            <v>MB</v>
          </cell>
          <cell r="E7728" t="str">
            <v>20834</v>
          </cell>
        </row>
        <row r="7729">
          <cell r="A7729" t="str">
            <v>ORNAGO</v>
          </cell>
          <cell r="B7729" t="str">
            <v>108036</v>
          </cell>
          <cell r="C7729" t="str">
            <v>MB</v>
          </cell>
          <cell r="D7729" t="str">
            <v>MB</v>
          </cell>
          <cell r="E7729" t="str">
            <v>20876</v>
          </cell>
        </row>
        <row r="7730">
          <cell r="A7730" t="str">
            <v>RENATE</v>
          </cell>
          <cell r="B7730" t="str">
            <v>108037</v>
          </cell>
          <cell r="C7730" t="str">
            <v>MB</v>
          </cell>
          <cell r="D7730" t="str">
            <v>MB</v>
          </cell>
          <cell r="E7730" t="str">
            <v>20838</v>
          </cell>
        </row>
        <row r="7731">
          <cell r="A7731" t="str">
            <v>RONCO BRIANTINO</v>
          </cell>
          <cell r="B7731" t="str">
            <v>108038</v>
          </cell>
          <cell r="C7731" t="str">
            <v>MB</v>
          </cell>
          <cell r="D7731" t="str">
            <v>MB</v>
          </cell>
          <cell r="E7731" t="str">
            <v>20885</v>
          </cell>
        </row>
        <row r="7732">
          <cell r="A7732" t="str">
            <v>SEREGNO</v>
          </cell>
          <cell r="B7732" t="str">
            <v>108039</v>
          </cell>
          <cell r="C7732" t="str">
            <v>MB</v>
          </cell>
          <cell r="D7732" t="str">
            <v>MB</v>
          </cell>
          <cell r="E7732" t="str">
            <v>20831</v>
          </cell>
        </row>
        <row r="7733">
          <cell r="A7733" t="str">
            <v>SEVESO</v>
          </cell>
          <cell r="B7733" t="str">
            <v>108040</v>
          </cell>
          <cell r="C7733" t="str">
            <v>MB</v>
          </cell>
          <cell r="D7733" t="str">
            <v>MB</v>
          </cell>
          <cell r="E7733" t="str">
            <v>20822</v>
          </cell>
        </row>
        <row r="7734">
          <cell r="A7734" t="str">
            <v>SOVICO</v>
          </cell>
          <cell r="B7734" t="str">
            <v>108041</v>
          </cell>
          <cell r="C7734" t="str">
            <v>MB</v>
          </cell>
          <cell r="D7734" t="str">
            <v>MB</v>
          </cell>
          <cell r="E7734" t="str">
            <v>20845</v>
          </cell>
        </row>
        <row r="7735">
          <cell r="A7735" t="str">
            <v>SULBIATE</v>
          </cell>
          <cell r="B7735" t="str">
            <v>108042</v>
          </cell>
          <cell r="C7735" t="str">
            <v>MB</v>
          </cell>
          <cell r="D7735" t="str">
            <v>MB</v>
          </cell>
          <cell r="E7735" t="str">
            <v>20884</v>
          </cell>
        </row>
        <row r="7736">
          <cell r="A7736" t="str">
            <v>TRIUGGIO</v>
          </cell>
          <cell r="B7736" t="str">
            <v>108043</v>
          </cell>
          <cell r="C7736" t="str">
            <v>MB</v>
          </cell>
          <cell r="D7736" t="str">
            <v>MB</v>
          </cell>
          <cell r="E7736" t="str">
            <v>20844</v>
          </cell>
        </row>
        <row r="7737">
          <cell r="A7737" t="str">
            <v>USMATE VELATE</v>
          </cell>
          <cell r="B7737" t="str">
            <v>108044</v>
          </cell>
          <cell r="C7737" t="str">
            <v>MB</v>
          </cell>
          <cell r="D7737" t="str">
            <v>MB</v>
          </cell>
          <cell r="E7737" t="str">
            <v>20865</v>
          </cell>
        </row>
        <row r="7738">
          <cell r="A7738" t="str">
            <v>VAREDO</v>
          </cell>
          <cell r="B7738" t="str">
            <v>108045</v>
          </cell>
          <cell r="C7738" t="str">
            <v>MB</v>
          </cell>
          <cell r="D7738" t="str">
            <v>MB</v>
          </cell>
          <cell r="E7738" t="str">
            <v>20814</v>
          </cell>
        </row>
        <row r="7739">
          <cell r="A7739" t="str">
            <v>VEDANO AL LAMBRO</v>
          </cell>
          <cell r="B7739" t="str">
            <v>108046</v>
          </cell>
          <cell r="C7739" t="str">
            <v>MB</v>
          </cell>
          <cell r="D7739" t="str">
            <v>MB</v>
          </cell>
          <cell r="E7739" t="str">
            <v>20854</v>
          </cell>
        </row>
        <row r="7740">
          <cell r="A7740" t="str">
            <v>VEDUGGIO CON COLZANO</v>
          </cell>
          <cell r="B7740" t="str">
            <v>108047</v>
          </cell>
          <cell r="C7740" t="str">
            <v>MB</v>
          </cell>
          <cell r="D7740" t="str">
            <v>MB</v>
          </cell>
          <cell r="E7740" t="str">
            <v>20837</v>
          </cell>
        </row>
        <row r="7741">
          <cell r="A7741" t="str">
            <v>VERANO BRIANZA</v>
          </cell>
          <cell r="B7741" t="str">
            <v>108048</v>
          </cell>
          <cell r="C7741" t="str">
            <v>MB</v>
          </cell>
          <cell r="D7741" t="str">
            <v>MB</v>
          </cell>
          <cell r="E7741" t="str">
            <v>20843</v>
          </cell>
        </row>
        <row r="7742">
          <cell r="A7742" t="str">
            <v>VILLASANTA</v>
          </cell>
          <cell r="B7742" t="str">
            <v>108049</v>
          </cell>
          <cell r="C7742" t="str">
            <v>MB</v>
          </cell>
          <cell r="D7742" t="str">
            <v>MB</v>
          </cell>
          <cell r="E7742" t="str">
            <v>20852</v>
          </cell>
        </row>
        <row r="7743">
          <cell r="A7743" t="str">
            <v>VIMERCATE</v>
          </cell>
          <cell r="B7743" t="str">
            <v>108050</v>
          </cell>
          <cell r="C7743" t="str">
            <v>MB</v>
          </cell>
          <cell r="D7743" t="str">
            <v>MB</v>
          </cell>
          <cell r="E7743" t="str">
            <v>20871</v>
          </cell>
        </row>
        <row r="7744">
          <cell r="A7744" t="str">
            <v>BUSNAGO</v>
          </cell>
          <cell r="B7744" t="str">
            <v>108051</v>
          </cell>
          <cell r="C7744" t="str">
            <v>MB</v>
          </cell>
          <cell r="D7744" t="str">
            <v>MB</v>
          </cell>
          <cell r="E7744" t="str">
            <v>20874</v>
          </cell>
        </row>
        <row r="7745">
          <cell r="A7745" t="str">
            <v>CAPONAGO</v>
          </cell>
          <cell r="B7745" t="str">
            <v>108052</v>
          </cell>
          <cell r="C7745" t="str">
            <v>MB</v>
          </cell>
          <cell r="D7745" t="str">
            <v>MB</v>
          </cell>
          <cell r="E7745" t="str">
            <v>20867</v>
          </cell>
        </row>
        <row r="7746">
          <cell r="A7746" t="str">
            <v>CORNATE D'ADDA</v>
          </cell>
          <cell r="B7746" t="str">
            <v>108053</v>
          </cell>
          <cell r="C7746" t="str">
            <v>MB</v>
          </cell>
          <cell r="D7746" t="str">
            <v>MB</v>
          </cell>
          <cell r="E7746" t="str">
            <v>20872</v>
          </cell>
        </row>
        <row r="7747">
          <cell r="A7747" t="str">
            <v>LENTATE SUL SEVESO</v>
          </cell>
          <cell r="B7747" t="str">
            <v>108054</v>
          </cell>
          <cell r="C7747" t="str">
            <v>MB</v>
          </cell>
          <cell r="D7747" t="str">
            <v>MB</v>
          </cell>
          <cell r="E7747" t="str">
            <v>20823</v>
          </cell>
        </row>
        <row r="7748">
          <cell r="A7748" t="str">
            <v>RONCELLO</v>
          </cell>
          <cell r="B7748" t="str">
            <v>108055</v>
          </cell>
          <cell r="C7748" t="str">
            <v>MB</v>
          </cell>
          <cell r="D7748" t="str">
            <v>MB</v>
          </cell>
          <cell r="E7748" t="str">
            <v>20877</v>
          </cell>
        </row>
        <row r="7749">
          <cell r="A7749" t="str">
            <v>ALTIDONA</v>
          </cell>
          <cell r="B7749" t="str">
            <v>109001</v>
          </cell>
          <cell r="C7749" t="str">
            <v>FM</v>
          </cell>
          <cell r="D7749" t="str">
            <v>FM</v>
          </cell>
          <cell r="E7749" t="str">
            <v>63824</v>
          </cell>
        </row>
        <row r="7750">
          <cell r="A7750" t="str">
            <v>AMANDOLA</v>
          </cell>
          <cell r="B7750" t="str">
            <v>109002</v>
          </cell>
          <cell r="C7750" t="str">
            <v>FM</v>
          </cell>
          <cell r="D7750" t="str">
            <v>FM</v>
          </cell>
          <cell r="E7750" t="str">
            <v>63857</v>
          </cell>
        </row>
        <row r="7751">
          <cell r="A7751" t="str">
            <v>BELMONTE PICENO</v>
          </cell>
          <cell r="B7751" t="str">
            <v>109003</v>
          </cell>
          <cell r="C7751" t="str">
            <v>FM</v>
          </cell>
          <cell r="D7751" t="str">
            <v>FM</v>
          </cell>
          <cell r="E7751" t="str">
            <v>63838</v>
          </cell>
        </row>
        <row r="7752">
          <cell r="A7752" t="str">
            <v>CAMPOFILONE</v>
          </cell>
          <cell r="B7752" t="str">
            <v>109004</v>
          </cell>
          <cell r="C7752" t="str">
            <v>FM</v>
          </cell>
          <cell r="D7752" t="str">
            <v>FM</v>
          </cell>
          <cell r="E7752" t="str">
            <v>63828</v>
          </cell>
        </row>
        <row r="7753">
          <cell r="A7753" t="str">
            <v>FALERONE</v>
          </cell>
          <cell r="B7753" t="str">
            <v>109005</v>
          </cell>
          <cell r="C7753" t="str">
            <v>FM</v>
          </cell>
          <cell r="D7753" t="str">
            <v>FM</v>
          </cell>
          <cell r="E7753" t="str">
            <v>63837</v>
          </cell>
        </row>
        <row r="7754">
          <cell r="A7754" t="str">
            <v>FERMO</v>
          </cell>
          <cell r="B7754" t="str">
            <v>109006</v>
          </cell>
          <cell r="C7754" t="str">
            <v>FM</v>
          </cell>
          <cell r="D7754" t="str">
            <v>FM</v>
          </cell>
          <cell r="E7754" t="str">
            <v>63900</v>
          </cell>
        </row>
        <row r="7755">
          <cell r="A7755" t="str">
            <v>FRANCAVILLA D'ETE</v>
          </cell>
          <cell r="B7755" t="str">
            <v>109007</v>
          </cell>
          <cell r="C7755" t="str">
            <v>FM</v>
          </cell>
          <cell r="D7755" t="str">
            <v>FM</v>
          </cell>
          <cell r="E7755" t="str">
            <v>63816</v>
          </cell>
        </row>
        <row r="7756">
          <cell r="A7756" t="str">
            <v>GROTTAZZOLINA</v>
          </cell>
          <cell r="B7756" t="str">
            <v>109008</v>
          </cell>
          <cell r="C7756" t="str">
            <v>FM</v>
          </cell>
          <cell r="D7756" t="str">
            <v>FM</v>
          </cell>
          <cell r="E7756" t="str">
            <v>63844</v>
          </cell>
        </row>
        <row r="7757">
          <cell r="A7757" t="str">
            <v>LAPEDONA</v>
          </cell>
          <cell r="B7757" t="str">
            <v>109009</v>
          </cell>
          <cell r="C7757" t="str">
            <v>FM</v>
          </cell>
          <cell r="D7757" t="str">
            <v>FM</v>
          </cell>
          <cell r="E7757" t="str">
            <v>63823</v>
          </cell>
        </row>
        <row r="7758">
          <cell r="A7758" t="str">
            <v>MAGLIANO DI TENNA</v>
          </cell>
          <cell r="B7758" t="str">
            <v>109010</v>
          </cell>
          <cell r="C7758" t="str">
            <v>FM</v>
          </cell>
          <cell r="D7758" t="str">
            <v>FM</v>
          </cell>
          <cell r="E7758" t="str">
            <v>63832</v>
          </cell>
        </row>
        <row r="7759">
          <cell r="A7759" t="str">
            <v>MASSA FERMANA</v>
          </cell>
          <cell r="B7759" t="str">
            <v>109011</v>
          </cell>
          <cell r="C7759" t="str">
            <v>FM</v>
          </cell>
          <cell r="D7759" t="str">
            <v>FM</v>
          </cell>
          <cell r="E7759" t="str">
            <v>63834</v>
          </cell>
        </row>
        <row r="7760">
          <cell r="A7760" t="str">
            <v>MONSAMPIETRO MORICO</v>
          </cell>
          <cell r="B7760" t="str">
            <v>109012</v>
          </cell>
          <cell r="C7760" t="str">
            <v>FM</v>
          </cell>
          <cell r="D7760" t="str">
            <v>FM</v>
          </cell>
          <cell r="E7760" t="str">
            <v>63842</v>
          </cell>
        </row>
        <row r="7761">
          <cell r="A7761" t="str">
            <v>MONTAPPONE</v>
          </cell>
          <cell r="B7761" t="str">
            <v>109013</v>
          </cell>
          <cell r="C7761" t="str">
            <v>FM</v>
          </cell>
          <cell r="D7761" t="str">
            <v>FM</v>
          </cell>
          <cell r="E7761" t="str">
            <v>63835</v>
          </cell>
        </row>
        <row r="7762">
          <cell r="A7762" t="str">
            <v>MONTEFALCONE APPENNINO</v>
          </cell>
          <cell r="B7762" t="str">
            <v>109014</v>
          </cell>
          <cell r="C7762" t="str">
            <v>FM</v>
          </cell>
          <cell r="D7762" t="str">
            <v>FM</v>
          </cell>
          <cell r="E7762" t="str">
            <v>63855</v>
          </cell>
        </row>
        <row r="7763">
          <cell r="A7763" t="str">
            <v>MONTEFORTINO</v>
          </cell>
          <cell r="B7763" t="str">
            <v>109015</v>
          </cell>
          <cell r="C7763" t="str">
            <v>FM</v>
          </cell>
          <cell r="D7763" t="str">
            <v>FM</v>
          </cell>
          <cell r="E7763" t="str">
            <v>63858</v>
          </cell>
        </row>
        <row r="7764">
          <cell r="A7764" t="str">
            <v>MONTE GIBERTO</v>
          </cell>
          <cell r="B7764" t="str">
            <v>109016</v>
          </cell>
          <cell r="C7764" t="str">
            <v>FM</v>
          </cell>
          <cell r="D7764" t="str">
            <v>FM</v>
          </cell>
          <cell r="E7764" t="str">
            <v>63846</v>
          </cell>
        </row>
        <row r="7765">
          <cell r="A7765" t="str">
            <v>MONTEGIORGIO</v>
          </cell>
          <cell r="B7765" t="str">
            <v>109017</v>
          </cell>
          <cell r="C7765" t="str">
            <v>FM</v>
          </cell>
          <cell r="D7765" t="str">
            <v>FM</v>
          </cell>
          <cell r="E7765" t="str">
            <v>63833</v>
          </cell>
        </row>
        <row r="7766">
          <cell r="A7766" t="str">
            <v>MONTEGRANARO</v>
          </cell>
          <cell r="B7766" t="str">
            <v>109018</v>
          </cell>
          <cell r="C7766" t="str">
            <v>FM</v>
          </cell>
          <cell r="D7766" t="str">
            <v>FM</v>
          </cell>
          <cell r="E7766" t="str">
            <v>63812</v>
          </cell>
        </row>
        <row r="7767">
          <cell r="A7767" t="str">
            <v>MONTELEONE DI FERMO</v>
          </cell>
          <cell r="B7767" t="str">
            <v>109019</v>
          </cell>
          <cell r="C7767" t="str">
            <v>FM</v>
          </cell>
          <cell r="D7767" t="str">
            <v>FM</v>
          </cell>
          <cell r="E7767" t="str">
            <v>63841</v>
          </cell>
        </row>
        <row r="7768">
          <cell r="A7768" t="str">
            <v>MONTELPARO</v>
          </cell>
          <cell r="B7768" t="str">
            <v>109020</v>
          </cell>
          <cell r="C7768" t="str">
            <v>FM</v>
          </cell>
          <cell r="D7768" t="str">
            <v>FM</v>
          </cell>
          <cell r="E7768" t="str">
            <v>63853</v>
          </cell>
        </row>
        <row r="7769">
          <cell r="A7769" t="str">
            <v>MONTE RINALDO</v>
          </cell>
          <cell r="B7769" t="str">
            <v>109021</v>
          </cell>
          <cell r="C7769" t="str">
            <v>FM</v>
          </cell>
          <cell r="D7769" t="str">
            <v>FM</v>
          </cell>
          <cell r="E7769" t="str">
            <v>63852</v>
          </cell>
        </row>
        <row r="7770">
          <cell r="A7770" t="str">
            <v>MONTERUBBIANO</v>
          </cell>
          <cell r="B7770" t="str">
            <v>109022</v>
          </cell>
          <cell r="C7770" t="str">
            <v>FM</v>
          </cell>
          <cell r="D7770" t="str">
            <v>FM</v>
          </cell>
          <cell r="E7770" t="str">
            <v>63825</v>
          </cell>
        </row>
        <row r="7771">
          <cell r="A7771" t="str">
            <v>MONTE SAN PIETRANGELI</v>
          </cell>
          <cell r="B7771" t="str">
            <v>109023</v>
          </cell>
          <cell r="C7771" t="str">
            <v>FM</v>
          </cell>
          <cell r="D7771" t="str">
            <v>FM</v>
          </cell>
          <cell r="E7771" t="str">
            <v>63815</v>
          </cell>
        </row>
        <row r="7772">
          <cell r="A7772" t="str">
            <v>MONTE URANO</v>
          </cell>
          <cell r="B7772" t="str">
            <v>109024</v>
          </cell>
          <cell r="C7772" t="str">
            <v>FM</v>
          </cell>
          <cell r="D7772" t="str">
            <v>FM</v>
          </cell>
          <cell r="E7772" t="str">
            <v>63813</v>
          </cell>
        </row>
        <row r="7773">
          <cell r="A7773" t="str">
            <v>MONTE VIDON COMBATTE</v>
          </cell>
          <cell r="B7773" t="str">
            <v>109025</v>
          </cell>
          <cell r="C7773" t="str">
            <v>FM</v>
          </cell>
          <cell r="D7773" t="str">
            <v>FM</v>
          </cell>
          <cell r="E7773" t="str">
            <v>63847</v>
          </cell>
        </row>
        <row r="7774">
          <cell r="A7774" t="str">
            <v>MONTE VIDON CORRADO</v>
          </cell>
          <cell r="B7774" t="str">
            <v>109026</v>
          </cell>
          <cell r="C7774" t="str">
            <v>FM</v>
          </cell>
          <cell r="D7774" t="str">
            <v>FM</v>
          </cell>
          <cell r="E7774" t="str">
            <v>63836</v>
          </cell>
        </row>
        <row r="7775">
          <cell r="A7775" t="str">
            <v>MONTOTTONE</v>
          </cell>
          <cell r="B7775" t="str">
            <v>109027</v>
          </cell>
          <cell r="C7775" t="str">
            <v>FM</v>
          </cell>
          <cell r="D7775" t="str">
            <v>FM</v>
          </cell>
          <cell r="E7775" t="str">
            <v>63843</v>
          </cell>
        </row>
        <row r="7776">
          <cell r="A7776" t="str">
            <v>MORESCO</v>
          </cell>
          <cell r="B7776" t="str">
            <v>109028</v>
          </cell>
          <cell r="C7776" t="str">
            <v>FM</v>
          </cell>
          <cell r="D7776" t="str">
            <v>FM</v>
          </cell>
          <cell r="E7776" t="str">
            <v>63826</v>
          </cell>
        </row>
        <row r="7777">
          <cell r="A7777" t="str">
            <v>ORTEZZANO</v>
          </cell>
          <cell r="B7777" t="str">
            <v>109029</v>
          </cell>
          <cell r="C7777" t="str">
            <v>FM</v>
          </cell>
          <cell r="D7777" t="str">
            <v>FM</v>
          </cell>
          <cell r="E7777" t="str">
            <v>63851</v>
          </cell>
        </row>
        <row r="7778">
          <cell r="A7778" t="str">
            <v>PEDASO</v>
          </cell>
          <cell r="B7778" t="str">
            <v>109030</v>
          </cell>
          <cell r="C7778" t="str">
            <v>FM</v>
          </cell>
          <cell r="D7778" t="str">
            <v>FM</v>
          </cell>
          <cell r="E7778" t="str">
            <v>63827</v>
          </cell>
        </row>
        <row r="7779">
          <cell r="A7779" t="str">
            <v>PETRITOLI</v>
          </cell>
          <cell r="B7779" t="str">
            <v>109031</v>
          </cell>
          <cell r="C7779" t="str">
            <v>FM</v>
          </cell>
          <cell r="D7779" t="str">
            <v>FM</v>
          </cell>
          <cell r="E7779" t="str">
            <v>63848</v>
          </cell>
        </row>
        <row r="7780">
          <cell r="A7780" t="str">
            <v>PONZANO DI FERMO</v>
          </cell>
          <cell r="B7780" t="str">
            <v>109032</v>
          </cell>
          <cell r="C7780" t="str">
            <v>FM</v>
          </cell>
          <cell r="D7780" t="str">
            <v>FM</v>
          </cell>
          <cell r="E7780" t="str">
            <v>63845</v>
          </cell>
        </row>
        <row r="7781">
          <cell r="A7781" t="str">
            <v>PORTO SAN GIORGIO</v>
          </cell>
          <cell r="B7781" t="str">
            <v>109033</v>
          </cell>
          <cell r="C7781" t="str">
            <v>FM</v>
          </cell>
          <cell r="D7781" t="str">
            <v>FM</v>
          </cell>
          <cell r="E7781" t="str">
            <v>63822</v>
          </cell>
        </row>
        <row r="7782">
          <cell r="A7782" t="str">
            <v>PORTO SANT'ELPIDIO</v>
          </cell>
          <cell r="B7782" t="str">
            <v>109034</v>
          </cell>
          <cell r="C7782" t="str">
            <v>FM</v>
          </cell>
          <cell r="D7782" t="str">
            <v>FM</v>
          </cell>
          <cell r="E7782" t="str">
            <v>63821</v>
          </cell>
        </row>
        <row r="7783">
          <cell r="A7783" t="str">
            <v>RAPAGNANO</v>
          </cell>
          <cell r="B7783" t="str">
            <v>109035</v>
          </cell>
          <cell r="C7783" t="str">
            <v>FM</v>
          </cell>
          <cell r="D7783" t="str">
            <v>FM</v>
          </cell>
          <cell r="E7783" t="str">
            <v>63831</v>
          </cell>
        </row>
        <row r="7784">
          <cell r="A7784" t="str">
            <v>SANTA VITTORIA IN MATENANO</v>
          </cell>
          <cell r="B7784" t="str">
            <v>109036</v>
          </cell>
          <cell r="C7784" t="str">
            <v>FM</v>
          </cell>
          <cell r="D7784" t="str">
            <v>FM</v>
          </cell>
          <cell r="E7784" t="str">
            <v>63854</v>
          </cell>
        </row>
        <row r="7785">
          <cell r="A7785" t="str">
            <v>SANT'ELPIDIO A MARE</v>
          </cell>
          <cell r="B7785" t="str">
            <v>109037</v>
          </cell>
          <cell r="C7785" t="str">
            <v>FM</v>
          </cell>
          <cell r="D7785" t="str">
            <v>FM</v>
          </cell>
          <cell r="E7785" t="str">
            <v>63811</v>
          </cell>
        </row>
        <row r="7786">
          <cell r="A7786" t="str">
            <v>SERVIGLIANO</v>
          </cell>
          <cell r="B7786" t="str">
            <v>109038</v>
          </cell>
          <cell r="C7786" t="str">
            <v>FM</v>
          </cell>
          <cell r="D7786" t="str">
            <v>FM</v>
          </cell>
          <cell r="E7786" t="str">
            <v>63839</v>
          </cell>
        </row>
        <row r="7787">
          <cell r="A7787" t="str">
            <v>SMERILLO</v>
          </cell>
          <cell r="B7787" t="str">
            <v>109039</v>
          </cell>
          <cell r="C7787" t="str">
            <v>FM</v>
          </cell>
          <cell r="D7787" t="str">
            <v>FM</v>
          </cell>
          <cell r="E7787" t="str">
            <v>63856</v>
          </cell>
        </row>
        <row r="7788">
          <cell r="A7788" t="str">
            <v>TORRE SAN PATRIZIO</v>
          </cell>
          <cell r="B7788" t="str">
            <v>109040</v>
          </cell>
          <cell r="C7788" t="str">
            <v>FM</v>
          </cell>
          <cell r="D7788" t="str">
            <v>FM</v>
          </cell>
          <cell r="E7788" t="str">
            <v>63814</v>
          </cell>
        </row>
        <row r="7789">
          <cell r="A7789" t="str">
            <v>ANDRIA</v>
          </cell>
          <cell r="B7789" t="str">
            <v>110001</v>
          </cell>
          <cell r="C7789" t="str">
            <v>BT</v>
          </cell>
          <cell r="D7789" t="str">
            <v>BT</v>
          </cell>
          <cell r="E7789" t="str">
            <v>76123</v>
          </cell>
        </row>
        <row r="7790">
          <cell r="A7790" t="str">
            <v>BARLETTA</v>
          </cell>
          <cell r="B7790" t="str">
            <v>110002</v>
          </cell>
          <cell r="C7790" t="str">
            <v>BT</v>
          </cell>
          <cell r="D7790" t="str">
            <v>BT</v>
          </cell>
          <cell r="E7790" t="str">
            <v>76121</v>
          </cell>
        </row>
        <row r="7791">
          <cell r="A7791" t="str">
            <v>BISCEGLIE</v>
          </cell>
          <cell r="B7791" t="str">
            <v>110003</v>
          </cell>
          <cell r="C7791" t="str">
            <v>BT</v>
          </cell>
          <cell r="D7791" t="str">
            <v>BT</v>
          </cell>
          <cell r="E7791" t="str">
            <v>76011</v>
          </cell>
        </row>
        <row r="7792">
          <cell r="A7792" t="str">
            <v>CANOSA DI PUGLIA</v>
          </cell>
          <cell r="B7792" t="str">
            <v>110004</v>
          </cell>
          <cell r="C7792" t="str">
            <v>BT</v>
          </cell>
          <cell r="D7792" t="str">
            <v>BT</v>
          </cell>
          <cell r="E7792" t="str">
            <v>76012</v>
          </cell>
        </row>
        <row r="7793">
          <cell r="A7793" t="str">
            <v>MARGHERITA DI SAVOIA</v>
          </cell>
          <cell r="B7793" t="str">
            <v>110005</v>
          </cell>
          <cell r="C7793" t="str">
            <v>BT</v>
          </cell>
          <cell r="D7793" t="str">
            <v>BT</v>
          </cell>
          <cell r="E7793" t="str">
            <v>76016</v>
          </cell>
        </row>
        <row r="7794">
          <cell r="A7794" t="str">
            <v>MINERVINO MURGE</v>
          </cell>
          <cell r="B7794" t="str">
            <v>110006</v>
          </cell>
          <cell r="C7794" t="str">
            <v>BT</v>
          </cell>
          <cell r="D7794" t="str">
            <v>BT</v>
          </cell>
          <cell r="E7794" t="str">
            <v>76013</v>
          </cell>
        </row>
        <row r="7795">
          <cell r="A7795" t="str">
            <v>SAN FERDINANDO DI PUGLIA</v>
          </cell>
          <cell r="B7795" t="str">
            <v>110007</v>
          </cell>
          <cell r="C7795" t="str">
            <v>BT</v>
          </cell>
          <cell r="D7795" t="str">
            <v>BT</v>
          </cell>
          <cell r="E7795" t="str">
            <v>76017</v>
          </cell>
        </row>
        <row r="7796">
          <cell r="A7796" t="str">
            <v>SPINAZZOLA</v>
          </cell>
          <cell r="B7796" t="str">
            <v>110008</v>
          </cell>
          <cell r="C7796" t="str">
            <v>BT</v>
          </cell>
          <cell r="D7796" t="str">
            <v>BT</v>
          </cell>
          <cell r="E7796" t="str">
            <v>76014</v>
          </cell>
        </row>
        <row r="7797">
          <cell r="A7797" t="str">
            <v>TRANI</v>
          </cell>
          <cell r="B7797" t="str">
            <v>110009</v>
          </cell>
          <cell r="C7797" t="str">
            <v>BT</v>
          </cell>
          <cell r="D7797" t="str">
            <v>BT</v>
          </cell>
          <cell r="E7797" t="str">
            <v>76125</v>
          </cell>
        </row>
        <row r="7798">
          <cell r="A7798" t="str">
            <v>TRINITAPOLI</v>
          </cell>
          <cell r="B7798" t="str">
            <v>110010</v>
          </cell>
          <cell r="C7798" t="str">
            <v>BT</v>
          </cell>
          <cell r="D7798" t="str">
            <v>BT</v>
          </cell>
          <cell r="E7798" t="str">
            <v>76015</v>
          </cell>
        </row>
        <row r="7799">
          <cell r="A7799" t="str">
            <v>ARBUS</v>
          </cell>
          <cell r="B7799" t="str">
            <v>111001</v>
          </cell>
          <cell r="C7799" t="str">
            <v>SU</v>
          </cell>
          <cell r="D7799" t="str">
            <v>VS</v>
          </cell>
          <cell r="E7799" t="str">
            <v>09031</v>
          </cell>
        </row>
        <row r="7800">
          <cell r="A7800" t="str">
            <v>ARMUNGIA</v>
          </cell>
          <cell r="B7800" t="str">
            <v>111002</v>
          </cell>
          <cell r="C7800" t="str">
            <v>SU</v>
          </cell>
          <cell r="D7800" t="str">
            <v>CA</v>
          </cell>
          <cell r="E7800" t="str">
            <v>09040</v>
          </cell>
        </row>
        <row r="7801">
          <cell r="A7801" t="str">
            <v>BALLAO</v>
          </cell>
          <cell r="B7801" t="str">
            <v>111003</v>
          </cell>
          <cell r="C7801" t="str">
            <v>SU</v>
          </cell>
          <cell r="D7801" t="str">
            <v>CA</v>
          </cell>
          <cell r="E7801" t="str">
            <v>09040</v>
          </cell>
        </row>
        <row r="7802">
          <cell r="A7802" t="str">
            <v>BARRALI</v>
          </cell>
          <cell r="B7802" t="str">
            <v>111004</v>
          </cell>
          <cell r="C7802" t="str">
            <v>SU</v>
          </cell>
          <cell r="D7802" t="str">
            <v>CA</v>
          </cell>
          <cell r="E7802" t="str">
            <v>09040</v>
          </cell>
        </row>
        <row r="7803">
          <cell r="A7803" t="str">
            <v>BARUMINI</v>
          </cell>
          <cell r="B7803" t="str">
            <v>111005</v>
          </cell>
          <cell r="C7803" t="str">
            <v>SU</v>
          </cell>
          <cell r="D7803" t="str">
            <v>VS</v>
          </cell>
          <cell r="E7803" t="str">
            <v>09021</v>
          </cell>
        </row>
        <row r="7804">
          <cell r="A7804" t="str">
            <v>BUGGERRU</v>
          </cell>
          <cell r="B7804" t="str">
            <v>111006</v>
          </cell>
          <cell r="C7804" t="str">
            <v>SU</v>
          </cell>
          <cell r="D7804" t="str">
            <v>CI</v>
          </cell>
          <cell r="E7804" t="str">
            <v>09010</v>
          </cell>
        </row>
        <row r="7805">
          <cell r="A7805" t="str">
            <v>BURCEI</v>
          </cell>
          <cell r="B7805" t="str">
            <v>111007</v>
          </cell>
          <cell r="C7805" t="str">
            <v>SU</v>
          </cell>
          <cell r="D7805" t="str">
            <v>CA</v>
          </cell>
          <cell r="E7805" t="str">
            <v>09040</v>
          </cell>
        </row>
        <row r="7806">
          <cell r="A7806" t="str">
            <v>CALASETTA</v>
          </cell>
          <cell r="B7806" t="str">
            <v>111008</v>
          </cell>
          <cell r="C7806" t="str">
            <v>SU</v>
          </cell>
          <cell r="D7806" t="str">
            <v>CI</v>
          </cell>
          <cell r="E7806" t="str">
            <v>09011</v>
          </cell>
        </row>
        <row r="7807">
          <cell r="A7807" t="str">
            <v>CARBONIA</v>
          </cell>
          <cell r="B7807" t="str">
            <v>111009</v>
          </cell>
          <cell r="C7807" t="str">
            <v>SU</v>
          </cell>
          <cell r="D7807" t="str">
            <v>CI</v>
          </cell>
          <cell r="E7807" t="str">
            <v>09013</v>
          </cell>
        </row>
        <row r="7808">
          <cell r="A7808" t="str">
            <v>CARLOFORTE</v>
          </cell>
          <cell r="B7808" t="str">
            <v>111010</v>
          </cell>
          <cell r="C7808" t="str">
            <v>SU</v>
          </cell>
          <cell r="D7808" t="str">
            <v>CI</v>
          </cell>
          <cell r="E7808" t="str">
            <v>09014</v>
          </cell>
        </row>
        <row r="7809">
          <cell r="A7809" t="str">
            <v>CASTIADAS</v>
          </cell>
          <cell r="B7809" t="str">
            <v>111011</v>
          </cell>
          <cell r="C7809" t="str">
            <v>SU</v>
          </cell>
          <cell r="D7809" t="str">
            <v>CA</v>
          </cell>
          <cell r="E7809" t="str">
            <v>09040</v>
          </cell>
        </row>
        <row r="7810">
          <cell r="A7810" t="str">
            <v>COLLINAS</v>
          </cell>
          <cell r="B7810" t="str">
            <v>111012</v>
          </cell>
          <cell r="C7810" t="str">
            <v>SU</v>
          </cell>
          <cell r="D7810" t="str">
            <v>VS</v>
          </cell>
          <cell r="E7810" t="str">
            <v>09020</v>
          </cell>
        </row>
        <row r="7811">
          <cell r="A7811" t="str">
            <v>DECIMOPUTZU</v>
          </cell>
          <cell r="B7811" t="str">
            <v>111013</v>
          </cell>
          <cell r="C7811" t="str">
            <v>SU</v>
          </cell>
          <cell r="D7811" t="str">
            <v>CA</v>
          </cell>
          <cell r="E7811" t="str">
            <v>09010</v>
          </cell>
        </row>
        <row r="7812">
          <cell r="A7812" t="str">
            <v>DOLIANOVA</v>
          </cell>
          <cell r="B7812" t="str">
            <v>111014</v>
          </cell>
          <cell r="C7812" t="str">
            <v>SU</v>
          </cell>
          <cell r="D7812" t="str">
            <v>CA</v>
          </cell>
          <cell r="E7812" t="str">
            <v>09041</v>
          </cell>
        </row>
        <row r="7813">
          <cell r="A7813" t="str">
            <v>DOMUS DE MARIA</v>
          </cell>
          <cell r="B7813" t="str">
            <v>111015</v>
          </cell>
          <cell r="C7813" t="str">
            <v>SU</v>
          </cell>
          <cell r="D7813" t="str">
            <v>CA</v>
          </cell>
          <cell r="E7813" t="str">
            <v>09010</v>
          </cell>
        </row>
        <row r="7814">
          <cell r="A7814" t="str">
            <v>DOMUSNOVAS</v>
          </cell>
          <cell r="B7814" t="str">
            <v>111016</v>
          </cell>
          <cell r="C7814" t="str">
            <v>SU</v>
          </cell>
          <cell r="D7814" t="str">
            <v>CI</v>
          </cell>
          <cell r="E7814" t="str">
            <v>09015</v>
          </cell>
        </row>
        <row r="7815">
          <cell r="A7815" t="str">
            <v>DONORI</v>
          </cell>
          <cell r="B7815" t="str">
            <v>111017</v>
          </cell>
          <cell r="C7815" t="str">
            <v>SU</v>
          </cell>
          <cell r="D7815" t="str">
            <v>CA</v>
          </cell>
          <cell r="E7815" t="str">
            <v>09040</v>
          </cell>
        </row>
        <row r="7816">
          <cell r="A7816" t="str">
            <v>ESCALAPLANO</v>
          </cell>
          <cell r="B7816" t="str">
            <v>111018</v>
          </cell>
          <cell r="C7816" t="str">
            <v>SU</v>
          </cell>
          <cell r="D7816" t="str">
            <v>CA</v>
          </cell>
          <cell r="E7816" t="str">
            <v>08043</v>
          </cell>
        </row>
        <row r="7817">
          <cell r="A7817" t="str">
            <v>ESCOLCA</v>
          </cell>
          <cell r="B7817" t="str">
            <v>111019</v>
          </cell>
          <cell r="C7817" t="str">
            <v>SU</v>
          </cell>
          <cell r="D7817" t="str">
            <v>CA</v>
          </cell>
          <cell r="E7817" t="str">
            <v>08030</v>
          </cell>
        </row>
        <row r="7818">
          <cell r="A7818" t="str">
            <v>ESTERZILI</v>
          </cell>
          <cell r="B7818" t="str">
            <v>111020</v>
          </cell>
          <cell r="C7818" t="str">
            <v>SU</v>
          </cell>
          <cell r="D7818" t="str">
            <v>CA</v>
          </cell>
          <cell r="E7818" t="str">
            <v>08030</v>
          </cell>
        </row>
        <row r="7819">
          <cell r="A7819" t="str">
            <v>FLUMINIMAGGIORE</v>
          </cell>
          <cell r="B7819" t="str">
            <v>111021</v>
          </cell>
          <cell r="C7819" t="str">
            <v>SU</v>
          </cell>
          <cell r="D7819" t="str">
            <v>CI</v>
          </cell>
          <cell r="E7819" t="str">
            <v>09010</v>
          </cell>
        </row>
        <row r="7820">
          <cell r="A7820" t="str">
            <v>FURTEI</v>
          </cell>
          <cell r="B7820" t="str">
            <v>111022</v>
          </cell>
          <cell r="C7820" t="str">
            <v>SU</v>
          </cell>
          <cell r="D7820" t="str">
            <v>VS</v>
          </cell>
          <cell r="E7820" t="str">
            <v>09040</v>
          </cell>
        </row>
        <row r="7821">
          <cell r="A7821" t="str">
            <v>GENONI</v>
          </cell>
          <cell r="B7821" t="str">
            <v>111023</v>
          </cell>
          <cell r="C7821" t="str">
            <v>SU</v>
          </cell>
          <cell r="D7821" t="str">
            <v>OR</v>
          </cell>
          <cell r="E7821" t="str">
            <v>08030</v>
          </cell>
        </row>
        <row r="7822">
          <cell r="A7822" t="str">
            <v>GENURI</v>
          </cell>
          <cell r="B7822" t="str">
            <v>111024</v>
          </cell>
          <cell r="C7822" t="str">
            <v>SU</v>
          </cell>
          <cell r="D7822" t="str">
            <v>VS</v>
          </cell>
          <cell r="E7822" t="str">
            <v>09020</v>
          </cell>
        </row>
        <row r="7823">
          <cell r="A7823" t="str">
            <v>GERGEI</v>
          </cell>
          <cell r="B7823" t="str">
            <v>111025</v>
          </cell>
          <cell r="C7823" t="str">
            <v>SU</v>
          </cell>
          <cell r="D7823" t="str">
            <v>CA</v>
          </cell>
          <cell r="E7823" t="str">
            <v>08030</v>
          </cell>
        </row>
        <row r="7824">
          <cell r="A7824" t="str">
            <v>GESICO</v>
          </cell>
          <cell r="B7824" t="str">
            <v>111026</v>
          </cell>
          <cell r="C7824" t="str">
            <v>SU</v>
          </cell>
          <cell r="D7824" t="str">
            <v>CA</v>
          </cell>
          <cell r="E7824" t="str">
            <v>09040</v>
          </cell>
        </row>
        <row r="7825">
          <cell r="A7825" t="str">
            <v>GESTURI</v>
          </cell>
          <cell r="B7825" t="str">
            <v>111027</v>
          </cell>
          <cell r="C7825" t="str">
            <v>SU</v>
          </cell>
          <cell r="D7825" t="str">
            <v>VS</v>
          </cell>
          <cell r="E7825" t="str">
            <v>09020</v>
          </cell>
        </row>
        <row r="7826">
          <cell r="A7826" t="str">
            <v>GIBA</v>
          </cell>
          <cell r="B7826" t="str">
            <v>111028</v>
          </cell>
          <cell r="C7826" t="str">
            <v>SU</v>
          </cell>
          <cell r="D7826" t="str">
            <v>CI</v>
          </cell>
          <cell r="E7826" t="str">
            <v>09010</v>
          </cell>
        </row>
        <row r="7827">
          <cell r="A7827" t="str">
            <v>GONI</v>
          </cell>
          <cell r="B7827" t="str">
            <v>111029</v>
          </cell>
          <cell r="C7827" t="str">
            <v>SU</v>
          </cell>
          <cell r="D7827" t="str">
            <v>CA</v>
          </cell>
          <cell r="E7827" t="str">
            <v>09040</v>
          </cell>
        </row>
        <row r="7828">
          <cell r="A7828" t="str">
            <v>GONNESA</v>
          </cell>
          <cell r="B7828" t="str">
            <v>111030</v>
          </cell>
          <cell r="C7828" t="str">
            <v>SU</v>
          </cell>
          <cell r="D7828" t="str">
            <v>CI</v>
          </cell>
          <cell r="E7828" t="str">
            <v>09010</v>
          </cell>
        </row>
        <row r="7829">
          <cell r="A7829" t="str">
            <v>GONNOSFANADIGA</v>
          </cell>
          <cell r="B7829" t="str">
            <v>111031</v>
          </cell>
          <cell r="C7829" t="str">
            <v>SU</v>
          </cell>
          <cell r="D7829" t="str">
            <v>VS</v>
          </cell>
          <cell r="E7829" t="str">
            <v>09035</v>
          </cell>
        </row>
        <row r="7830">
          <cell r="A7830" t="str">
            <v>GUAMAGGIORE</v>
          </cell>
          <cell r="B7830" t="str">
            <v>111032</v>
          </cell>
          <cell r="C7830" t="str">
            <v>SU</v>
          </cell>
          <cell r="D7830" t="str">
            <v>CA</v>
          </cell>
          <cell r="E7830" t="str">
            <v>09040</v>
          </cell>
        </row>
        <row r="7831">
          <cell r="A7831" t="str">
            <v>GUASILA</v>
          </cell>
          <cell r="B7831" t="str">
            <v>111033</v>
          </cell>
          <cell r="C7831" t="str">
            <v>SU</v>
          </cell>
          <cell r="D7831" t="str">
            <v>CA</v>
          </cell>
          <cell r="E7831" t="str">
            <v>09040</v>
          </cell>
        </row>
        <row r="7832">
          <cell r="A7832" t="str">
            <v>GUSPINI</v>
          </cell>
          <cell r="B7832" t="str">
            <v>111034</v>
          </cell>
          <cell r="C7832" t="str">
            <v>SU</v>
          </cell>
          <cell r="D7832" t="str">
            <v>VS</v>
          </cell>
          <cell r="E7832" t="str">
            <v>09036</v>
          </cell>
        </row>
        <row r="7833">
          <cell r="A7833" t="str">
            <v>IGLESIAS</v>
          </cell>
          <cell r="B7833" t="str">
            <v>111035</v>
          </cell>
          <cell r="C7833" t="str">
            <v>SU</v>
          </cell>
          <cell r="D7833" t="str">
            <v>CI</v>
          </cell>
          <cell r="E7833" t="str">
            <v>09016</v>
          </cell>
        </row>
        <row r="7834">
          <cell r="A7834" t="str">
            <v>ISILI</v>
          </cell>
          <cell r="B7834" t="str">
            <v>111036</v>
          </cell>
          <cell r="C7834" t="str">
            <v>SU</v>
          </cell>
          <cell r="D7834" t="str">
            <v>CA</v>
          </cell>
          <cell r="E7834" t="str">
            <v>08033</v>
          </cell>
        </row>
        <row r="7835">
          <cell r="A7835" t="str">
            <v>LAS PLASSAS</v>
          </cell>
          <cell r="B7835" t="str">
            <v>111037</v>
          </cell>
          <cell r="C7835" t="str">
            <v>SU</v>
          </cell>
          <cell r="D7835" t="str">
            <v>VS</v>
          </cell>
          <cell r="E7835" t="str">
            <v>09020</v>
          </cell>
        </row>
        <row r="7836">
          <cell r="A7836" t="str">
            <v>LUNAMATRONA</v>
          </cell>
          <cell r="B7836" t="str">
            <v>111038</v>
          </cell>
          <cell r="C7836" t="str">
            <v>SU</v>
          </cell>
          <cell r="D7836" t="str">
            <v>VS</v>
          </cell>
          <cell r="E7836" t="str">
            <v>09022</v>
          </cell>
        </row>
        <row r="7837">
          <cell r="A7837" t="str">
            <v>MANDAS</v>
          </cell>
          <cell r="B7837" t="str">
            <v>111039</v>
          </cell>
          <cell r="C7837" t="str">
            <v>SU</v>
          </cell>
          <cell r="D7837" t="str">
            <v>CA</v>
          </cell>
          <cell r="E7837" t="str">
            <v>09040</v>
          </cell>
        </row>
        <row r="7838">
          <cell r="A7838" t="str">
            <v>MASAINAS</v>
          </cell>
          <cell r="B7838" t="str">
            <v>111040</v>
          </cell>
          <cell r="C7838" t="str">
            <v>SU</v>
          </cell>
          <cell r="D7838" t="str">
            <v>CI</v>
          </cell>
          <cell r="E7838" t="str">
            <v>09010</v>
          </cell>
        </row>
        <row r="7839">
          <cell r="A7839" t="str">
            <v>MONASTIR</v>
          </cell>
          <cell r="B7839" t="str">
            <v>111041</v>
          </cell>
          <cell r="C7839" t="str">
            <v>SU</v>
          </cell>
          <cell r="D7839" t="str">
            <v>CA</v>
          </cell>
          <cell r="E7839" t="str">
            <v>09023</v>
          </cell>
        </row>
        <row r="7840">
          <cell r="A7840" t="str">
            <v>MURAVERA</v>
          </cell>
          <cell r="B7840" t="str">
            <v>111042</v>
          </cell>
          <cell r="C7840" t="str">
            <v>SU</v>
          </cell>
          <cell r="D7840" t="str">
            <v>CA</v>
          </cell>
          <cell r="E7840" t="str">
            <v>09043</v>
          </cell>
        </row>
        <row r="7841">
          <cell r="A7841" t="str">
            <v>MUSEI</v>
          </cell>
          <cell r="B7841" t="str">
            <v>111043</v>
          </cell>
          <cell r="C7841" t="str">
            <v>SU</v>
          </cell>
          <cell r="D7841" t="str">
            <v>CI</v>
          </cell>
          <cell r="E7841" t="str">
            <v>09010</v>
          </cell>
        </row>
        <row r="7842">
          <cell r="A7842" t="str">
            <v>NARCAO</v>
          </cell>
          <cell r="B7842" t="str">
            <v>111044</v>
          </cell>
          <cell r="C7842" t="str">
            <v>SU</v>
          </cell>
          <cell r="D7842" t="str">
            <v>CI</v>
          </cell>
          <cell r="E7842" t="str">
            <v>09010</v>
          </cell>
        </row>
        <row r="7843">
          <cell r="A7843" t="str">
            <v>NURAGUS</v>
          </cell>
          <cell r="B7843" t="str">
            <v>111045</v>
          </cell>
          <cell r="C7843" t="str">
            <v>SU</v>
          </cell>
          <cell r="D7843" t="str">
            <v>CA</v>
          </cell>
          <cell r="E7843" t="str">
            <v>08030</v>
          </cell>
        </row>
        <row r="7844">
          <cell r="A7844" t="str">
            <v>NURALLAO</v>
          </cell>
          <cell r="B7844" t="str">
            <v>111046</v>
          </cell>
          <cell r="C7844" t="str">
            <v>SU</v>
          </cell>
          <cell r="D7844" t="str">
            <v>CA</v>
          </cell>
          <cell r="E7844" t="str">
            <v>08030</v>
          </cell>
        </row>
        <row r="7845">
          <cell r="A7845" t="str">
            <v>NURAMINIS</v>
          </cell>
          <cell r="B7845" t="str">
            <v>111047</v>
          </cell>
          <cell r="C7845" t="str">
            <v>SU</v>
          </cell>
          <cell r="D7845" t="str">
            <v>CA</v>
          </cell>
          <cell r="E7845" t="str">
            <v>09024</v>
          </cell>
        </row>
        <row r="7846">
          <cell r="A7846" t="str">
            <v>NURRI</v>
          </cell>
          <cell r="B7846" t="str">
            <v>111048</v>
          </cell>
          <cell r="C7846" t="str">
            <v>SU</v>
          </cell>
          <cell r="D7846" t="str">
            <v>CA</v>
          </cell>
          <cell r="E7846" t="str">
            <v>08035</v>
          </cell>
        </row>
        <row r="7847">
          <cell r="A7847" t="str">
            <v>NUXIS</v>
          </cell>
          <cell r="B7847" t="str">
            <v>111049</v>
          </cell>
          <cell r="C7847" t="str">
            <v>SU</v>
          </cell>
          <cell r="D7847" t="str">
            <v>CI</v>
          </cell>
          <cell r="E7847" t="str">
            <v>09010</v>
          </cell>
        </row>
        <row r="7848">
          <cell r="A7848" t="str">
            <v>ORROLI</v>
          </cell>
          <cell r="B7848" t="str">
            <v>111050</v>
          </cell>
          <cell r="C7848" t="str">
            <v>SU</v>
          </cell>
          <cell r="D7848" t="str">
            <v>CA</v>
          </cell>
          <cell r="E7848" t="str">
            <v>08030</v>
          </cell>
        </row>
        <row r="7849">
          <cell r="A7849" t="str">
            <v>ORTACESUS</v>
          </cell>
          <cell r="B7849" t="str">
            <v>111051</v>
          </cell>
          <cell r="C7849" t="str">
            <v>SU</v>
          </cell>
          <cell r="D7849" t="str">
            <v>CA</v>
          </cell>
          <cell r="E7849" t="str">
            <v>09040</v>
          </cell>
        </row>
        <row r="7850">
          <cell r="A7850" t="str">
            <v>PABILLONIS</v>
          </cell>
          <cell r="B7850" t="str">
            <v>111052</v>
          </cell>
          <cell r="C7850" t="str">
            <v>SU</v>
          </cell>
          <cell r="D7850" t="str">
            <v>VS</v>
          </cell>
          <cell r="E7850" t="str">
            <v>09030</v>
          </cell>
        </row>
        <row r="7851">
          <cell r="A7851" t="str">
            <v>PAULI ARBAREI</v>
          </cell>
          <cell r="B7851" t="str">
            <v>111053</v>
          </cell>
          <cell r="C7851" t="str">
            <v>SU</v>
          </cell>
          <cell r="D7851" t="str">
            <v>VS</v>
          </cell>
          <cell r="E7851" t="str">
            <v>09020</v>
          </cell>
        </row>
        <row r="7852">
          <cell r="A7852" t="str">
            <v>PERDAXIUS</v>
          </cell>
          <cell r="B7852" t="str">
            <v>111054</v>
          </cell>
          <cell r="C7852" t="str">
            <v>SU</v>
          </cell>
          <cell r="D7852" t="str">
            <v>CI</v>
          </cell>
          <cell r="E7852" t="str">
            <v>09010</v>
          </cell>
        </row>
        <row r="7853">
          <cell r="A7853" t="str">
            <v>PIMENTEL</v>
          </cell>
          <cell r="B7853" t="str">
            <v>111055</v>
          </cell>
          <cell r="C7853" t="str">
            <v>SU</v>
          </cell>
          <cell r="D7853" t="str">
            <v>CA</v>
          </cell>
          <cell r="E7853" t="str">
            <v>09020</v>
          </cell>
        </row>
        <row r="7854">
          <cell r="A7854" t="str">
            <v>PISCINAS</v>
          </cell>
          <cell r="B7854" t="str">
            <v>111056</v>
          </cell>
          <cell r="C7854" t="str">
            <v>SU</v>
          </cell>
          <cell r="D7854" t="str">
            <v>CI</v>
          </cell>
          <cell r="E7854" t="str">
            <v>09010</v>
          </cell>
        </row>
        <row r="7855">
          <cell r="A7855" t="str">
            <v>PORTOSCUSO</v>
          </cell>
          <cell r="B7855" t="str">
            <v>111057</v>
          </cell>
          <cell r="C7855" t="str">
            <v>SU</v>
          </cell>
          <cell r="D7855" t="str">
            <v>CI</v>
          </cell>
          <cell r="E7855" t="str">
            <v>09010</v>
          </cell>
        </row>
        <row r="7856">
          <cell r="A7856" t="str">
            <v>SADALI</v>
          </cell>
          <cell r="B7856" t="str">
            <v>111058</v>
          </cell>
          <cell r="C7856" t="str">
            <v>SU</v>
          </cell>
          <cell r="D7856" t="str">
            <v>CA</v>
          </cell>
          <cell r="E7856" t="str">
            <v>08030</v>
          </cell>
        </row>
        <row r="7857">
          <cell r="A7857" t="str">
            <v>SAMASSI</v>
          </cell>
          <cell r="B7857" t="str">
            <v>111059</v>
          </cell>
          <cell r="C7857" t="str">
            <v>SU</v>
          </cell>
          <cell r="D7857" t="str">
            <v>VS</v>
          </cell>
          <cell r="E7857" t="str">
            <v>09030</v>
          </cell>
        </row>
        <row r="7858">
          <cell r="A7858" t="str">
            <v>SAMATZAI</v>
          </cell>
          <cell r="B7858" t="str">
            <v>111060</v>
          </cell>
          <cell r="C7858" t="str">
            <v>SU</v>
          </cell>
          <cell r="D7858" t="str">
            <v>CA</v>
          </cell>
          <cell r="E7858" t="str">
            <v>09020</v>
          </cell>
        </row>
        <row r="7859">
          <cell r="A7859" t="str">
            <v>SAN BASILIO</v>
          </cell>
          <cell r="B7859" t="str">
            <v>111061</v>
          </cell>
          <cell r="C7859" t="str">
            <v>SU</v>
          </cell>
          <cell r="D7859" t="str">
            <v>CA</v>
          </cell>
          <cell r="E7859" t="str">
            <v>09040</v>
          </cell>
        </row>
        <row r="7860">
          <cell r="A7860" t="str">
            <v>SAN GAVINO MONREALE</v>
          </cell>
          <cell r="B7860" t="str">
            <v>111062</v>
          </cell>
          <cell r="C7860" t="str">
            <v>SU</v>
          </cell>
          <cell r="D7860" t="str">
            <v>VS</v>
          </cell>
          <cell r="E7860" t="str">
            <v>09037</v>
          </cell>
        </row>
        <row r="7861">
          <cell r="A7861" t="str">
            <v>SAN GIOVANNI SUERGIU</v>
          </cell>
          <cell r="B7861" t="str">
            <v>111063</v>
          </cell>
          <cell r="C7861" t="str">
            <v>SU</v>
          </cell>
          <cell r="D7861" t="str">
            <v>CI</v>
          </cell>
          <cell r="E7861" t="str">
            <v>09010</v>
          </cell>
        </row>
        <row r="7862">
          <cell r="A7862" t="str">
            <v>SAN NICOLÒ GERREI</v>
          </cell>
          <cell r="B7862" t="str">
            <v>111064</v>
          </cell>
          <cell r="C7862" t="str">
            <v>SU</v>
          </cell>
          <cell r="D7862" t="str">
            <v>CA</v>
          </cell>
          <cell r="E7862" t="str">
            <v>09040</v>
          </cell>
        </row>
        <row r="7863">
          <cell r="A7863" t="str">
            <v>SAN SPERATE</v>
          </cell>
          <cell r="B7863" t="str">
            <v>111065</v>
          </cell>
          <cell r="C7863" t="str">
            <v>SU</v>
          </cell>
          <cell r="D7863" t="str">
            <v>CA</v>
          </cell>
          <cell r="E7863" t="str">
            <v>09026</v>
          </cell>
        </row>
        <row r="7864">
          <cell r="A7864" t="str">
            <v>SAN VITO</v>
          </cell>
          <cell r="B7864" t="str">
            <v>111066</v>
          </cell>
          <cell r="C7864" t="str">
            <v>SU</v>
          </cell>
          <cell r="D7864" t="str">
            <v>CA</v>
          </cell>
          <cell r="E7864" t="str">
            <v>09040</v>
          </cell>
        </row>
        <row r="7865">
          <cell r="A7865" t="str">
            <v>SANLURI</v>
          </cell>
          <cell r="B7865" t="str">
            <v>111067</v>
          </cell>
          <cell r="C7865" t="str">
            <v>SU</v>
          </cell>
          <cell r="D7865" t="str">
            <v>VS</v>
          </cell>
          <cell r="E7865" t="str">
            <v>09025</v>
          </cell>
        </row>
        <row r="7866">
          <cell r="A7866" t="str">
            <v>SANTADI</v>
          </cell>
          <cell r="B7866" t="str">
            <v>111068</v>
          </cell>
          <cell r="C7866" t="str">
            <v>SU</v>
          </cell>
          <cell r="D7866" t="str">
            <v>CI</v>
          </cell>
          <cell r="E7866" t="str">
            <v>09010</v>
          </cell>
        </row>
        <row r="7867">
          <cell r="A7867" t="str">
            <v>SANT'ANDREA FRIUS</v>
          </cell>
          <cell r="B7867" t="str">
            <v>111069</v>
          </cell>
          <cell r="C7867" t="str">
            <v>SU</v>
          </cell>
          <cell r="D7867" t="str">
            <v>CA</v>
          </cell>
          <cell r="E7867" t="str">
            <v>09040</v>
          </cell>
        </row>
        <row r="7868">
          <cell r="A7868" t="str">
            <v>SANT'ANNA ARRESI</v>
          </cell>
          <cell r="B7868" t="str">
            <v>111070</v>
          </cell>
          <cell r="C7868" t="str">
            <v>SU</v>
          </cell>
          <cell r="D7868" t="str">
            <v>CI</v>
          </cell>
          <cell r="E7868" t="str">
            <v>09010</v>
          </cell>
        </row>
        <row r="7869">
          <cell r="A7869" t="str">
            <v>SANT'ANTIOCO</v>
          </cell>
          <cell r="B7869" t="str">
            <v>111071</v>
          </cell>
          <cell r="C7869" t="str">
            <v>SU</v>
          </cell>
          <cell r="D7869" t="str">
            <v>CI</v>
          </cell>
          <cell r="E7869" t="str">
            <v>09017</v>
          </cell>
        </row>
        <row r="7870">
          <cell r="A7870" t="str">
            <v>SARDARA</v>
          </cell>
          <cell r="B7870" t="str">
            <v>111072</v>
          </cell>
          <cell r="C7870" t="str">
            <v>SU</v>
          </cell>
          <cell r="D7870" t="str">
            <v>VS</v>
          </cell>
          <cell r="E7870" t="str">
            <v>09030</v>
          </cell>
        </row>
        <row r="7871">
          <cell r="A7871" t="str">
            <v>SEGARIU</v>
          </cell>
          <cell r="B7871" t="str">
            <v>111073</v>
          </cell>
          <cell r="C7871" t="str">
            <v>SU</v>
          </cell>
          <cell r="D7871" t="str">
            <v>VS</v>
          </cell>
          <cell r="E7871" t="str">
            <v>09040</v>
          </cell>
        </row>
        <row r="7872">
          <cell r="A7872" t="str">
            <v>SELEGAS</v>
          </cell>
          <cell r="B7872" t="str">
            <v>111074</v>
          </cell>
          <cell r="C7872" t="str">
            <v>SU</v>
          </cell>
          <cell r="D7872" t="str">
            <v>CA</v>
          </cell>
          <cell r="E7872" t="str">
            <v>09040</v>
          </cell>
        </row>
        <row r="7873">
          <cell r="A7873" t="str">
            <v>SENORBÌ</v>
          </cell>
          <cell r="B7873" t="str">
            <v>111075</v>
          </cell>
          <cell r="C7873" t="str">
            <v>SU</v>
          </cell>
          <cell r="D7873" t="str">
            <v>CA</v>
          </cell>
          <cell r="E7873" t="str">
            <v>09040</v>
          </cell>
        </row>
        <row r="7874">
          <cell r="A7874" t="str">
            <v>SERDIANA</v>
          </cell>
          <cell r="B7874" t="str">
            <v>111076</v>
          </cell>
          <cell r="C7874" t="str">
            <v>SU</v>
          </cell>
          <cell r="D7874" t="str">
            <v>CA</v>
          </cell>
          <cell r="E7874" t="str">
            <v>09040</v>
          </cell>
        </row>
        <row r="7875">
          <cell r="A7875" t="str">
            <v>SERRAMANNA</v>
          </cell>
          <cell r="B7875" t="str">
            <v>111077</v>
          </cell>
          <cell r="C7875" t="str">
            <v>SU</v>
          </cell>
          <cell r="D7875" t="str">
            <v>VS</v>
          </cell>
          <cell r="E7875" t="str">
            <v>09038</v>
          </cell>
        </row>
        <row r="7876">
          <cell r="A7876" t="str">
            <v>SERRENTI</v>
          </cell>
          <cell r="B7876" t="str">
            <v>111078</v>
          </cell>
          <cell r="C7876" t="str">
            <v>SU</v>
          </cell>
          <cell r="D7876" t="str">
            <v>VS</v>
          </cell>
          <cell r="E7876" t="str">
            <v>09027</v>
          </cell>
        </row>
        <row r="7877">
          <cell r="A7877" t="str">
            <v>SERRI</v>
          </cell>
          <cell r="B7877" t="str">
            <v>111079</v>
          </cell>
          <cell r="C7877" t="str">
            <v>SU</v>
          </cell>
          <cell r="D7877" t="str">
            <v>CA</v>
          </cell>
          <cell r="E7877" t="str">
            <v>08030</v>
          </cell>
        </row>
        <row r="7878">
          <cell r="A7878" t="str">
            <v>SETZU</v>
          </cell>
          <cell r="B7878" t="str">
            <v>111080</v>
          </cell>
          <cell r="C7878" t="str">
            <v>SU</v>
          </cell>
          <cell r="D7878" t="str">
            <v>VS</v>
          </cell>
          <cell r="E7878" t="str">
            <v>09029</v>
          </cell>
        </row>
        <row r="7879">
          <cell r="A7879" t="str">
            <v>SEUI</v>
          </cell>
          <cell r="B7879" t="str">
            <v>111081</v>
          </cell>
          <cell r="C7879" t="str">
            <v>SU</v>
          </cell>
          <cell r="D7879" t="str">
            <v>OG</v>
          </cell>
          <cell r="E7879" t="str">
            <v>08037</v>
          </cell>
        </row>
        <row r="7880">
          <cell r="A7880" t="str">
            <v>SEULO</v>
          </cell>
          <cell r="B7880" t="str">
            <v>111082</v>
          </cell>
          <cell r="C7880" t="str">
            <v>SU</v>
          </cell>
          <cell r="D7880" t="str">
            <v>CA</v>
          </cell>
          <cell r="E7880" t="str">
            <v>08030</v>
          </cell>
        </row>
        <row r="7881">
          <cell r="A7881" t="str">
            <v>SIDDI</v>
          </cell>
          <cell r="B7881" t="str">
            <v>111083</v>
          </cell>
          <cell r="C7881" t="str">
            <v>SU</v>
          </cell>
          <cell r="D7881" t="str">
            <v>VS</v>
          </cell>
          <cell r="E7881" t="str">
            <v>09020</v>
          </cell>
        </row>
        <row r="7882">
          <cell r="A7882" t="str">
            <v>SILIQUA</v>
          </cell>
          <cell r="B7882" t="str">
            <v>111084</v>
          </cell>
          <cell r="C7882" t="str">
            <v>SU</v>
          </cell>
          <cell r="D7882" t="str">
            <v>CA</v>
          </cell>
          <cell r="E7882" t="str">
            <v>09010</v>
          </cell>
        </row>
        <row r="7883">
          <cell r="A7883" t="str">
            <v>SILIUS</v>
          </cell>
          <cell r="B7883" t="str">
            <v>111085</v>
          </cell>
          <cell r="C7883" t="str">
            <v>SU</v>
          </cell>
          <cell r="D7883" t="str">
            <v>CA</v>
          </cell>
          <cell r="E7883" t="str">
            <v>09040</v>
          </cell>
        </row>
        <row r="7884">
          <cell r="A7884" t="str">
            <v>SIURGUS DONIGALA</v>
          </cell>
          <cell r="B7884" t="str">
            <v>111086</v>
          </cell>
          <cell r="C7884" t="str">
            <v>SU</v>
          </cell>
          <cell r="D7884" t="str">
            <v>CA</v>
          </cell>
          <cell r="E7884" t="str">
            <v>09040</v>
          </cell>
        </row>
        <row r="7885">
          <cell r="A7885" t="str">
            <v>SOLEMINIS</v>
          </cell>
          <cell r="B7885" t="str">
            <v>111087</v>
          </cell>
          <cell r="C7885" t="str">
            <v>SU</v>
          </cell>
          <cell r="D7885" t="str">
            <v>CA</v>
          </cell>
          <cell r="E7885" t="str">
            <v>09040</v>
          </cell>
        </row>
        <row r="7886">
          <cell r="A7886" t="str">
            <v>SUELLI</v>
          </cell>
          <cell r="B7886" t="str">
            <v>111088</v>
          </cell>
          <cell r="C7886" t="str">
            <v>SU</v>
          </cell>
          <cell r="D7886" t="str">
            <v>CA</v>
          </cell>
          <cell r="E7886" t="str">
            <v>09040</v>
          </cell>
        </row>
        <row r="7887">
          <cell r="A7887" t="str">
            <v>TEULADA</v>
          </cell>
          <cell r="B7887" t="str">
            <v>111089</v>
          </cell>
          <cell r="C7887" t="str">
            <v>SU</v>
          </cell>
          <cell r="D7887" t="str">
            <v>CA</v>
          </cell>
          <cell r="E7887" t="str">
            <v>09019</v>
          </cell>
        </row>
        <row r="7888">
          <cell r="A7888" t="str">
            <v>TRATALIAS</v>
          </cell>
          <cell r="B7888" t="str">
            <v>111090</v>
          </cell>
          <cell r="C7888" t="str">
            <v>SU</v>
          </cell>
          <cell r="D7888" t="str">
            <v>CI</v>
          </cell>
          <cell r="E7888" t="str">
            <v>09010</v>
          </cell>
        </row>
        <row r="7889">
          <cell r="A7889" t="str">
            <v>TUILI</v>
          </cell>
          <cell r="B7889" t="str">
            <v>111091</v>
          </cell>
          <cell r="C7889" t="str">
            <v>SU</v>
          </cell>
          <cell r="D7889" t="str">
            <v>VS</v>
          </cell>
          <cell r="E7889" t="str">
            <v>09029</v>
          </cell>
        </row>
        <row r="7890">
          <cell r="A7890" t="str">
            <v>TURRI</v>
          </cell>
          <cell r="B7890" t="str">
            <v>111092</v>
          </cell>
          <cell r="C7890" t="str">
            <v>SU</v>
          </cell>
          <cell r="D7890" t="str">
            <v>VS</v>
          </cell>
          <cell r="E7890" t="str">
            <v>09020</v>
          </cell>
        </row>
        <row r="7891">
          <cell r="A7891" t="str">
            <v>USSANA</v>
          </cell>
          <cell r="B7891" t="str">
            <v>111093</v>
          </cell>
          <cell r="C7891" t="str">
            <v>SU</v>
          </cell>
          <cell r="D7891" t="str">
            <v>CA</v>
          </cell>
          <cell r="E7891" t="str">
            <v>09020</v>
          </cell>
        </row>
        <row r="7892">
          <cell r="A7892" t="str">
            <v>USSARAMANNA</v>
          </cell>
          <cell r="B7892" t="str">
            <v>111094</v>
          </cell>
          <cell r="C7892" t="str">
            <v>SU</v>
          </cell>
          <cell r="D7892" t="str">
            <v>VS</v>
          </cell>
          <cell r="E7892" t="str">
            <v>09020</v>
          </cell>
        </row>
        <row r="7893">
          <cell r="A7893" t="str">
            <v>VALLERMOSA</v>
          </cell>
          <cell r="B7893" t="str">
            <v>111095</v>
          </cell>
          <cell r="C7893" t="str">
            <v>SU</v>
          </cell>
          <cell r="D7893" t="str">
            <v>CA</v>
          </cell>
          <cell r="E7893" t="str">
            <v>09010</v>
          </cell>
        </row>
        <row r="7894">
          <cell r="A7894" t="str">
            <v>VILLACIDRO</v>
          </cell>
          <cell r="B7894" t="str">
            <v>111096</v>
          </cell>
          <cell r="C7894" t="str">
            <v>SU</v>
          </cell>
          <cell r="D7894" t="str">
            <v>VS</v>
          </cell>
          <cell r="E7894" t="str">
            <v>09039</v>
          </cell>
        </row>
        <row r="7895">
          <cell r="A7895" t="str">
            <v>VILLAMAR</v>
          </cell>
          <cell r="B7895" t="str">
            <v>111097</v>
          </cell>
          <cell r="C7895" t="str">
            <v>SU</v>
          </cell>
          <cell r="D7895" t="str">
            <v>VS</v>
          </cell>
          <cell r="E7895" t="str">
            <v>09020</v>
          </cell>
        </row>
        <row r="7896">
          <cell r="A7896" t="str">
            <v>VILLAMASSARGIA</v>
          </cell>
          <cell r="B7896" t="str">
            <v>111098</v>
          </cell>
          <cell r="C7896" t="str">
            <v>SU</v>
          </cell>
          <cell r="D7896" t="str">
            <v>CI</v>
          </cell>
          <cell r="E7896" t="str">
            <v>09010</v>
          </cell>
        </row>
        <row r="7897">
          <cell r="A7897" t="str">
            <v>VILLANOVA TULO</v>
          </cell>
          <cell r="B7897" t="str">
            <v>111099</v>
          </cell>
          <cell r="C7897" t="str">
            <v>SU</v>
          </cell>
          <cell r="D7897" t="str">
            <v>CA</v>
          </cell>
          <cell r="E7897" t="str">
            <v>08030</v>
          </cell>
        </row>
        <row r="7898">
          <cell r="A7898" t="str">
            <v>VILLANOVAFORRU</v>
          </cell>
          <cell r="B7898" t="str">
            <v>111100</v>
          </cell>
          <cell r="C7898" t="str">
            <v>SU</v>
          </cell>
          <cell r="D7898" t="str">
            <v>VS</v>
          </cell>
          <cell r="E7898" t="str">
            <v>09020</v>
          </cell>
        </row>
        <row r="7899">
          <cell r="A7899" t="str">
            <v>VILLANOVAFRANCA</v>
          </cell>
          <cell r="B7899" t="str">
            <v>111101</v>
          </cell>
          <cell r="C7899" t="str">
            <v>SU</v>
          </cell>
          <cell r="D7899" t="str">
            <v>VS</v>
          </cell>
          <cell r="E7899" t="str">
            <v>09020</v>
          </cell>
        </row>
        <row r="7900">
          <cell r="A7900" t="str">
            <v>VILLAPERUCCIO</v>
          </cell>
          <cell r="B7900" t="str">
            <v>111102</v>
          </cell>
          <cell r="C7900" t="str">
            <v>SU</v>
          </cell>
          <cell r="D7900" t="str">
            <v>CI</v>
          </cell>
          <cell r="E7900" t="str">
            <v>09010</v>
          </cell>
        </row>
        <row r="7901">
          <cell r="A7901" t="str">
            <v>VILLAPUTZU</v>
          </cell>
          <cell r="B7901" t="str">
            <v>111103</v>
          </cell>
          <cell r="C7901" t="str">
            <v>SU</v>
          </cell>
          <cell r="D7901" t="str">
            <v>CA</v>
          </cell>
          <cell r="E7901" t="str">
            <v>09040</v>
          </cell>
        </row>
        <row r="7902">
          <cell r="A7902" t="str">
            <v>VILLASALTO</v>
          </cell>
          <cell r="B7902" t="str">
            <v>111104</v>
          </cell>
          <cell r="C7902" t="str">
            <v>SU</v>
          </cell>
          <cell r="D7902" t="str">
            <v>CA</v>
          </cell>
          <cell r="E7902" t="str">
            <v>09040</v>
          </cell>
        </row>
        <row r="7903">
          <cell r="A7903" t="str">
            <v>VILLASIMIUS</v>
          </cell>
          <cell r="B7903" t="str">
            <v>111105</v>
          </cell>
          <cell r="C7903" t="str">
            <v>SU</v>
          </cell>
          <cell r="D7903" t="str">
            <v>CA</v>
          </cell>
          <cell r="E7903" t="str">
            <v>09049</v>
          </cell>
        </row>
        <row r="7904">
          <cell r="A7904" t="str">
            <v>VILLASOR</v>
          </cell>
          <cell r="B7904" t="str">
            <v>111106</v>
          </cell>
          <cell r="C7904" t="str">
            <v>SU</v>
          </cell>
          <cell r="D7904" t="str">
            <v>CA</v>
          </cell>
          <cell r="E7904" t="str">
            <v>09034</v>
          </cell>
        </row>
        <row r="7905">
          <cell r="A7905" t="str">
            <v>VILLASPECIOSA</v>
          </cell>
          <cell r="B7905" t="str">
            <v>111107</v>
          </cell>
          <cell r="C7905" t="str">
            <v>SU</v>
          </cell>
          <cell r="D7905" t="str">
            <v>CA</v>
          </cell>
          <cell r="E7905" t="str">
            <v>09010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rena_antonia@fastwebnet.it" TargetMode="External"/><Relationship Id="rId1" Type="http://schemas.openxmlformats.org/officeDocument/2006/relationships/hyperlink" Target="mailto:arena_antonia@fastwebnet.i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1"/>
  <sheetViews>
    <sheetView tabSelected="1" view="pageBreakPreview" topLeftCell="A23" zoomScale="40" zoomScaleNormal="40" zoomScaleSheetLayoutView="40" workbookViewId="0">
      <selection activeCell="Q17" sqref="Q17"/>
    </sheetView>
  </sheetViews>
  <sheetFormatPr defaultRowHeight="12.75" x14ac:dyDescent="0.2"/>
  <cols>
    <col min="1" max="1" width="4.85546875" style="1" customWidth="1"/>
    <col min="2" max="2" width="11" style="1" customWidth="1"/>
    <col min="3" max="3" width="36.42578125" style="1" customWidth="1"/>
    <col min="4" max="4" width="30.7109375" style="1" customWidth="1"/>
    <col min="5" max="5" width="12.28515625" style="1" customWidth="1"/>
    <col min="6" max="6" width="66.85546875" style="1" customWidth="1"/>
    <col min="7" max="7" width="8.7109375" style="1" customWidth="1"/>
    <col min="8" max="8" width="11.7109375" style="1" customWidth="1"/>
    <col min="9" max="9" width="28.140625" style="1" customWidth="1"/>
    <col min="10" max="10" width="11" style="1" customWidth="1"/>
    <col min="11" max="11" width="49.140625" style="1" customWidth="1"/>
    <col min="12" max="12" width="27.140625" style="1" customWidth="1"/>
    <col min="13" max="14" width="30.7109375" style="1" customWidth="1"/>
    <col min="15" max="15" width="16.85546875" style="1" customWidth="1"/>
    <col min="16" max="16" width="16.28515625" style="1" customWidth="1"/>
    <col min="17" max="19" width="16.7109375" style="1" customWidth="1"/>
    <col min="20" max="16384" width="9.140625" style="1"/>
  </cols>
  <sheetData>
    <row r="1" spans="1:21" x14ac:dyDescent="0.2">
      <c r="N1" s="129" t="s">
        <v>20795</v>
      </c>
      <c r="O1" s="130"/>
      <c r="P1" s="131"/>
    </row>
    <row r="2" spans="1:21" x14ac:dyDescent="0.2">
      <c r="N2" s="132"/>
      <c r="O2" s="133"/>
      <c r="P2" s="134"/>
    </row>
    <row r="3" spans="1:21" x14ac:dyDescent="0.2">
      <c r="N3" s="132"/>
      <c r="O3" s="133"/>
      <c r="P3" s="134"/>
    </row>
    <row r="4" spans="1:21" x14ac:dyDescent="0.2">
      <c r="N4" s="132"/>
      <c r="O4" s="133"/>
      <c r="P4" s="134"/>
    </row>
    <row r="5" spans="1:21" x14ac:dyDescent="0.2">
      <c r="N5" s="135"/>
      <c r="O5" s="136"/>
      <c r="P5" s="137"/>
    </row>
    <row r="6" spans="1:21" ht="100.5" customHeight="1" x14ac:dyDescent="0.2">
      <c r="A6" s="141" t="s">
        <v>311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</row>
    <row r="7" spans="1:21" x14ac:dyDescent="0.2">
      <c r="R7" s="2"/>
      <c r="S7" s="2"/>
      <c r="T7" s="2"/>
      <c r="U7" s="2"/>
    </row>
    <row r="8" spans="1:21" x14ac:dyDescent="0.2">
      <c r="R8" s="2"/>
      <c r="S8" s="2"/>
      <c r="T8" s="2"/>
      <c r="U8" s="2"/>
    </row>
    <row r="10" spans="1:21" s="2" customFormat="1" x14ac:dyDescent="0.2">
      <c r="O10" s="1"/>
      <c r="P10" s="1"/>
      <c r="Q10" s="1"/>
    </row>
    <row r="11" spans="1:21" s="9" customFormat="1" ht="15.75" x14ac:dyDescent="0.2">
      <c r="A11" s="2"/>
      <c r="B11" s="2"/>
      <c r="C11" s="6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1"/>
      <c r="P11" s="1"/>
      <c r="Q11" s="1"/>
      <c r="R11" s="2"/>
      <c r="S11" s="2"/>
      <c r="T11" s="2"/>
    </row>
    <row r="14" spans="1:21" s="2" customFormat="1" ht="17.25" customHeight="1" x14ac:dyDescent="0.2">
      <c r="K14" s="7"/>
    </row>
    <row r="15" spans="1:21" s="2" customFormat="1" ht="17.25" customHeight="1" thickBot="1" x14ac:dyDescent="0.25">
      <c r="E15" s="143" t="s">
        <v>16</v>
      </c>
      <c r="F15" s="143"/>
      <c r="G15" s="143"/>
      <c r="H15" s="143"/>
      <c r="I15" s="143"/>
      <c r="J15" s="144"/>
    </row>
    <row r="16" spans="1:21" s="5" customFormat="1" ht="28.5" customHeight="1" thickBot="1" x14ac:dyDescent="0.25">
      <c r="A16" s="3" t="s">
        <v>5</v>
      </c>
      <c r="B16" s="139" t="s">
        <v>17</v>
      </c>
      <c r="C16" s="140"/>
      <c r="D16" s="4" t="s">
        <v>7</v>
      </c>
      <c r="E16" s="139" t="s">
        <v>20785</v>
      </c>
      <c r="F16" s="142"/>
      <c r="G16" s="140"/>
      <c r="H16" s="4" t="s">
        <v>9</v>
      </c>
      <c r="I16" s="4" t="s">
        <v>10</v>
      </c>
      <c r="J16" s="4" t="s">
        <v>11</v>
      </c>
      <c r="K16" s="4" t="s">
        <v>15</v>
      </c>
      <c r="L16" s="4" t="s">
        <v>12</v>
      </c>
      <c r="M16" s="4" t="s">
        <v>0</v>
      </c>
      <c r="N16" s="4" t="s">
        <v>13</v>
      </c>
      <c r="O16" s="4" t="s">
        <v>14</v>
      </c>
      <c r="P16" s="10" t="s">
        <v>106</v>
      </c>
      <c r="Q16" s="1"/>
      <c r="R16" s="1"/>
      <c r="S16" s="1"/>
      <c r="T16" s="1"/>
      <c r="U16" s="1"/>
    </row>
    <row r="17" spans="1:16" s="16" customFormat="1" ht="34.5" customHeight="1" thickBot="1" x14ac:dyDescent="0.25">
      <c r="A17" s="12">
        <v>1</v>
      </c>
      <c r="B17" s="29" t="s">
        <v>105</v>
      </c>
      <c r="C17" s="14"/>
      <c r="D17" s="27"/>
      <c r="E17" s="71"/>
      <c r="F17" s="72"/>
      <c r="G17" s="73"/>
      <c r="H17" s="27" t="e">
        <f>VLOOKUP(I17,'Zone Istat'!A:E,5,FALSE)</f>
        <v>#N/A</v>
      </c>
      <c r="I17" s="15"/>
      <c r="J17" s="28" t="e">
        <f>VLOOKUP(I17,'Zone Istat'!A:D,4,FALSE)</f>
        <v>#N/A</v>
      </c>
      <c r="K17" s="28"/>
      <c r="L17" s="88"/>
      <c r="M17" s="22"/>
      <c r="N17" s="28"/>
      <c r="O17" s="28"/>
      <c r="P17" s="24"/>
    </row>
    <row r="18" spans="1:16" s="16" customFormat="1" ht="34.5" customHeight="1" thickBot="1" x14ac:dyDescent="0.25">
      <c r="A18" s="17">
        <v>2</v>
      </c>
      <c r="B18" s="30" t="s">
        <v>105</v>
      </c>
      <c r="C18" s="19"/>
      <c r="D18" s="21"/>
      <c r="E18" s="74"/>
      <c r="F18" s="75"/>
      <c r="G18" s="76"/>
      <c r="H18" s="27" t="e">
        <f>VLOOKUP(I18,'Zone Istat'!A:E,5,FALSE)</f>
        <v>#N/A</v>
      </c>
      <c r="I18" s="15"/>
      <c r="J18" s="28" t="e">
        <f>VLOOKUP(I18,'Zone Istat'!A:D,4,FALSE)</f>
        <v>#N/A</v>
      </c>
      <c r="K18" s="23"/>
      <c r="L18" s="23"/>
      <c r="M18" s="22"/>
      <c r="N18" s="23"/>
      <c r="O18" s="23"/>
      <c r="P18" s="26"/>
    </row>
    <row r="19" spans="1:16" s="16" customFormat="1" ht="34.5" customHeight="1" thickBot="1" x14ac:dyDescent="0.25">
      <c r="A19" s="17">
        <v>3</v>
      </c>
      <c r="B19" s="30" t="s">
        <v>105</v>
      </c>
      <c r="C19" s="19"/>
      <c r="D19" s="21"/>
      <c r="E19" s="74"/>
      <c r="F19" s="75"/>
      <c r="G19" s="76"/>
      <c r="H19" s="27" t="e">
        <f>VLOOKUP(I19,'Zone Istat'!A:E,5,FALSE)</f>
        <v>#N/A</v>
      </c>
      <c r="I19" s="15"/>
      <c r="J19" s="28" t="e">
        <f>VLOOKUP(I19,'Zone Istat'!A:D,4,FALSE)</f>
        <v>#N/A</v>
      </c>
      <c r="K19" s="23"/>
      <c r="L19" s="23"/>
      <c r="M19" s="22"/>
      <c r="N19" s="23"/>
      <c r="O19" s="23"/>
      <c r="P19" s="26"/>
    </row>
    <row r="20" spans="1:16" s="16" customFormat="1" ht="34.5" customHeight="1" thickBot="1" x14ac:dyDescent="0.25">
      <c r="A20" s="17">
        <v>4</v>
      </c>
      <c r="B20" s="30" t="s">
        <v>105</v>
      </c>
      <c r="C20" s="19"/>
      <c r="D20" s="21"/>
      <c r="E20" s="74"/>
      <c r="F20" s="75"/>
      <c r="G20" s="76"/>
      <c r="H20" s="27" t="e">
        <f>VLOOKUP(I20,'Zone Istat'!A:E,5,FALSE)</f>
        <v>#N/A</v>
      </c>
      <c r="I20" s="15"/>
      <c r="J20" s="28" t="e">
        <f>VLOOKUP(I20,'Zone Istat'!A:D,4,FALSE)</f>
        <v>#N/A</v>
      </c>
      <c r="K20" s="23"/>
      <c r="L20" s="23"/>
      <c r="M20" s="22"/>
      <c r="N20" s="23"/>
      <c r="O20" s="23"/>
      <c r="P20" s="26"/>
    </row>
    <row r="21" spans="1:16" s="16" customFormat="1" ht="34.5" customHeight="1" thickBot="1" x14ac:dyDescent="0.25">
      <c r="A21" s="17">
        <v>5</v>
      </c>
      <c r="B21" s="30" t="s">
        <v>105</v>
      </c>
      <c r="C21" s="19"/>
      <c r="D21" s="21"/>
      <c r="E21" s="74"/>
      <c r="F21" s="75"/>
      <c r="G21" s="76"/>
      <c r="H21" s="27" t="e">
        <f>VLOOKUP(I21,'Zone Istat'!A:E,5,FALSE)</f>
        <v>#N/A</v>
      </c>
      <c r="I21" s="15"/>
      <c r="J21" s="28" t="e">
        <f>VLOOKUP(I21,'Zone Istat'!A:D,4,FALSE)</f>
        <v>#N/A</v>
      </c>
      <c r="K21" s="23"/>
      <c r="L21" s="23"/>
      <c r="M21" s="22"/>
      <c r="N21" s="23"/>
      <c r="O21" s="23"/>
      <c r="P21" s="26"/>
    </row>
    <row r="22" spans="1:16" s="16" customFormat="1" ht="34.5" customHeight="1" thickBot="1" x14ac:dyDescent="0.25">
      <c r="A22" s="17">
        <v>6</v>
      </c>
      <c r="B22" s="30" t="s">
        <v>105</v>
      </c>
      <c r="C22" s="19"/>
      <c r="D22" s="21"/>
      <c r="E22" s="74"/>
      <c r="F22" s="75"/>
      <c r="G22" s="76"/>
      <c r="H22" s="27" t="e">
        <f>VLOOKUP(I22,'Zone Istat'!A:E,5,FALSE)</f>
        <v>#N/A</v>
      </c>
      <c r="I22" s="15"/>
      <c r="J22" s="28" t="e">
        <f>VLOOKUP(I22,'Zone Istat'!A:D,4,FALSE)</f>
        <v>#N/A</v>
      </c>
      <c r="K22" s="23"/>
      <c r="L22" s="23"/>
      <c r="M22" s="22"/>
      <c r="N22" s="23"/>
      <c r="O22" s="23"/>
      <c r="P22" s="26"/>
    </row>
    <row r="23" spans="1:16" s="16" customFormat="1" ht="34.5" customHeight="1" thickBot="1" x14ac:dyDescent="0.25">
      <c r="A23" s="17">
        <v>7</v>
      </c>
      <c r="B23" s="30" t="s">
        <v>105</v>
      </c>
      <c r="C23" s="19"/>
      <c r="D23" s="21"/>
      <c r="E23" s="74"/>
      <c r="F23" s="75"/>
      <c r="G23" s="76"/>
      <c r="H23" s="27" t="e">
        <f>VLOOKUP(I23,'Zone Istat'!A:E,5,FALSE)</f>
        <v>#N/A</v>
      </c>
      <c r="I23" s="15"/>
      <c r="J23" s="28" t="e">
        <f>VLOOKUP(I23,'Zone Istat'!A:D,4,FALSE)</f>
        <v>#N/A</v>
      </c>
      <c r="K23" s="23"/>
      <c r="L23" s="23"/>
      <c r="M23" s="22"/>
      <c r="N23" s="23"/>
      <c r="O23" s="23"/>
      <c r="P23" s="26"/>
    </row>
    <row r="24" spans="1:16" s="16" customFormat="1" ht="34.5" customHeight="1" thickBot="1" x14ac:dyDescent="0.25">
      <c r="A24" s="17">
        <v>8</v>
      </c>
      <c r="B24" s="30" t="s">
        <v>105</v>
      </c>
      <c r="C24" s="19"/>
      <c r="D24" s="21"/>
      <c r="E24" s="77"/>
      <c r="F24" s="78"/>
      <c r="G24" s="79"/>
      <c r="H24" s="27" t="e">
        <f>VLOOKUP(I24,'Zone Istat'!A:E,5,FALSE)</f>
        <v>#N/A</v>
      </c>
      <c r="I24" s="15"/>
      <c r="J24" s="28" t="e">
        <f>VLOOKUP(I24,'Zone Istat'!A:D,4,FALSE)</f>
        <v>#N/A</v>
      </c>
      <c r="K24" s="23"/>
      <c r="L24" s="23"/>
      <c r="M24" s="22"/>
      <c r="N24" s="23"/>
      <c r="O24" s="23"/>
      <c r="P24" s="26"/>
    </row>
    <row r="25" spans="1:16" s="16" customFormat="1" ht="34.5" customHeight="1" thickBot="1" x14ac:dyDescent="0.25">
      <c r="A25" s="17">
        <v>9</v>
      </c>
      <c r="B25" s="30" t="s">
        <v>105</v>
      </c>
      <c r="C25" s="19"/>
      <c r="D25" s="21"/>
      <c r="E25" s="77"/>
      <c r="F25" s="78"/>
      <c r="G25" s="79"/>
      <c r="H25" s="27" t="e">
        <f>VLOOKUP(I25,'Zone Istat'!A:E,5,FALSE)</f>
        <v>#N/A</v>
      </c>
      <c r="I25" s="15"/>
      <c r="J25" s="28" t="e">
        <f>VLOOKUP(I25,'Zone Istat'!A:D,4,FALSE)</f>
        <v>#N/A</v>
      </c>
      <c r="K25" s="23"/>
      <c r="L25" s="23"/>
      <c r="M25" s="22"/>
      <c r="N25" s="23"/>
      <c r="O25" s="23"/>
      <c r="P25" s="26"/>
    </row>
    <row r="26" spans="1:16" s="16" customFormat="1" ht="34.5" customHeight="1" thickBot="1" x14ac:dyDescent="0.25">
      <c r="A26" s="17">
        <v>10</v>
      </c>
      <c r="B26" s="30" t="s">
        <v>105</v>
      </c>
      <c r="C26" s="19"/>
      <c r="D26" s="21"/>
      <c r="E26" s="77"/>
      <c r="F26" s="78"/>
      <c r="G26" s="79"/>
      <c r="H26" s="27" t="e">
        <f>VLOOKUP(I26,'Zone Istat'!A:E,5,FALSE)</f>
        <v>#N/A</v>
      </c>
      <c r="I26" s="15"/>
      <c r="J26" s="28" t="e">
        <f>VLOOKUP(I26,'Zone Istat'!A:D,4,FALSE)</f>
        <v>#N/A</v>
      </c>
      <c r="K26" s="23"/>
      <c r="L26" s="23"/>
      <c r="M26" s="22"/>
      <c r="N26" s="23"/>
      <c r="O26" s="23"/>
      <c r="P26" s="26"/>
    </row>
    <row r="27" spans="1:16" s="16" customFormat="1" ht="34.5" customHeight="1" thickBot="1" x14ac:dyDescent="0.25">
      <c r="A27" s="17">
        <v>11</v>
      </c>
      <c r="B27" s="30" t="s">
        <v>105</v>
      </c>
      <c r="C27" s="19"/>
      <c r="D27" s="21"/>
      <c r="E27" s="77"/>
      <c r="F27" s="78"/>
      <c r="G27" s="79"/>
      <c r="H27" s="27" t="e">
        <f>VLOOKUP(I27,'Zone Istat'!A:E,5,FALSE)</f>
        <v>#N/A</v>
      </c>
      <c r="I27" s="15"/>
      <c r="J27" s="28" t="e">
        <f>VLOOKUP(I27,'Zone Istat'!A:D,4,FALSE)</f>
        <v>#N/A</v>
      </c>
      <c r="K27" s="23"/>
      <c r="L27" s="23"/>
      <c r="M27" s="22"/>
      <c r="N27" s="23"/>
      <c r="O27" s="23"/>
      <c r="P27" s="26"/>
    </row>
    <row r="28" spans="1:16" s="16" customFormat="1" ht="34.5" customHeight="1" thickBot="1" x14ac:dyDescent="0.25">
      <c r="A28" s="17">
        <v>12</v>
      </c>
      <c r="B28" s="30" t="s">
        <v>105</v>
      </c>
      <c r="C28" s="19"/>
      <c r="D28" s="21"/>
      <c r="E28" s="77"/>
      <c r="F28" s="78"/>
      <c r="G28" s="79"/>
      <c r="H28" s="27" t="e">
        <f>VLOOKUP(I28,'Zone Istat'!A:E,5,FALSE)</f>
        <v>#N/A</v>
      </c>
      <c r="I28" s="15"/>
      <c r="J28" s="28" t="e">
        <f>VLOOKUP(I28,'Zone Istat'!A:D,4,FALSE)</f>
        <v>#N/A</v>
      </c>
      <c r="K28" s="23"/>
      <c r="L28" s="23"/>
      <c r="M28" s="22"/>
      <c r="N28" s="23"/>
      <c r="O28" s="23"/>
      <c r="P28" s="26"/>
    </row>
    <row r="29" spans="1:16" s="16" customFormat="1" ht="34.5" customHeight="1" thickBot="1" x14ac:dyDescent="0.25">
      <c r="A29" s="17">
        <v>13</v>
      </c>
      <c r="B29" s="30" t="s">
        <v>105</v>
      </c>
      <c r="C29" s="19"/>
      <c r="D29" s="21"/>
      <c r="E29" s="77"/>
      <c r="F29" s="78"/>
      <c r="G29" s="79"/>
      <c r="H29" s="27" t="e">
        <f>VLOOKUP(I29,'Zone Istat'!A:E,5,FALSE)</f>
        <v>#N/A</v>
      </c>
      <c r="I29" s="15"/>
      <c r="J29" s="28" t="e">
        <f>VLOOKUP(I29,'Zone Istat'!A:D,4,FALSE)</f>
        <v>#N/A</v>
      </c>
      <c r="K29" s="23"/>
      <c r="L29" s="23"/>
      <c r="M29" s="22"/>
      <c r="N29" s="23"/>
      <c r="O29" s="23"/>
      <c r="P29" s="26"/>
    </row>
    <row r="30" spans="1:16" s="16" customFormat="1" ht="34.5" customHeight="1" thickBot="1" x14ac:dyDescent="0.25">
      <c r="A30" s="17">
        <v>14</v>
      </c>
      <c r="B30" s="30" t="s">
        <v>105</v>
      </c>
      <c r="C30" s="19"/>
      <c r="D30" s="21"/>
      <c r="E30" s="77"/>
      <c r="F30" s="78"/>
      <c r="G30" s="79"/>
      <c r="H30" s="27" t="e">
        <f>VLOOKUP(I30,'Zone Istat'!A:E,5,FALSE)</f>
        <v>#N/A</v>
      </c>
      <c r="I30" s="15"/>
      <c r="J30" s="28" t="e">
        <f>VLOOKUP(I30,'Zone Istat'!A:D,4,FALSE)</f>
        <v>#N/A</v>
      </c>
      <c r="K30" s="23"/>
      <c r="L30" s="23"/>
      <c r="M30" s="22"/>
      <c r="N30" s="23"/>
      <c r="O30" s="23"/>
      <c r="P30" s="26"/>
    </row>
    <row r="31" spans="1:16" s="16" customFormat="1" ht="34.5" customHeight="1" thickBot="1" x14ac:dyDescent="0.25">
      <c r="A31" s="17">
        <v>15</v>
      </c>
      <c r="B31" s="30" t="s">
        <v>105</v>
      </c>
      <c r="C31" s="19"/>
      <c r="D31" s="21"/>
      <c r="E31" s="77"/>
      <c r="F31" s="78"/>
      <c r="G31" s="79"/>
      <c r="H31" s="27" t="e">
        <f>VLOOKUP(I31,'Zone Istat'!A:E,5,FALSE)</f>
        <v>#N/A</v>
      </c>
      <c r="I31" s="15"/>
      <c r="J31" s="28" t="e">
        <f>VLOOKUP(I31,'Zone Istat'!A:D,4,FALSE)</f>
        <v>#N/A</v>
      </c>
      <c r="K31" s="23"/>
      <c r="L31" s="23"/>
      <c r="M31" s="22"/>
      <c r="N31" s="23"/>
      <c r="O31" s="23"/>
      <c r="P31" s="26"/>
    </row>
    <row r="32" spans="1:16" s="16" customFormat="1" ht="34.5" customHeight="1" thickBot="1" x14ac:dyDescent="0.25">
      <c r="A32" s="17">
        <v>16</v>
      </c>
      <c r="B32" s="30" t="s">
        <v>105</v>
      </c>
      <c r="C32" s="19"/>
      <c r="D32" s="21"/>
      <c r="E32" s="77"/>
      <c r="F32" s="78"/>
      <c r="G32" s="79"/>
      <c r="H32" s="27" t="e">
        <f>VLOOKUP(I32,'Zone Istat'!A:E,5,FALSE)</f>
        <v>#N/A</v>
      </c>
      <c r="I32" s="15"/>
      <c r="J32" s="28" t="e">
        <f>VLOOKUP(I32,'Zone Istat'!A:D,4,FALSE)</f>
        <v>#N/A</v>
      </c>
      <c r="K32" s="23"/>
      <c r="L32" s="23"/>
      <c r="M32" s="22"/>
      <c r="N32" s="23"/>
      <c r="O32" s="23"/>
      <c r="P32" s="26"/>
    </row>
    <row r="33" spans="1:21" s="16" customFormat="1" ht="34.5" customHeight="1" thickBot="1" x14ac:dyDescent="0.25">
      <c r="A33" s="17">
        <v>17</v>
      </c>
      <c r="B33" s="30" t="s">
        <v>105</v>
      </c>
      <c r="C33" s="19"/>
      <c r="D33" s="21"/>
      <c r="E33" s="77"/>
      <c r="F33" s="78"/>
      <c r="G33" s="79"/>
      <c r="H33" s="27" t="e">
        <f>VLOOKUP(I33,'Zone Istat'!A:E,5,FALSE)</f>
        <v>#N/A</v>
      </c>
      <c r="I33" s="15"/>
      <c r="J33" s="28" t="e">
        <f>VLOOKUP(I33,'Zone Istat'!A:D,4,FALSE)</f>
        <v>#N/A</v>
      </c>
      <c r="K33" s="23"/>
      <c r="L33" s="23"/>
      <c r="M33" s="22"/>
      <c r="N33" s="23"/>
      <c r="O33" s="23"/>
      <c r="P33" s="26"/>
    </row>
    <row r="34" spans="1:21" s="16" customFormat="1" ht="34.5" customHeight="1" thickBot="1" x14ac:dyDescent="0.25">
      <c r="A34" s="17">
        <v>18</v>
      </c>
      <c r="B34" s="30" t="s">
        <v>105</v>
      </c>
      <c r="C34" s="19"/>
      <c r="D34" s="21"/>
      <c r="E34" s="77"/>
      <c r="F34" s="78"/>
      <c r="G34" s="79"/>
      <c r="H34" s="27" t="e">
        <f>VLOOKUP(I34,'Zone Istat'!A:E,5,FALSE)</f>
        <v>#N/A</v>
      </c>
      <c r="I34" s="15"/>
      <c r="J34" s="28" t="e">
        <f>VLOOKUP(I34,'Zone Istat'!A:D,4,FALSE)</f>
        <v>#N/A</v>
      </c>
      <c r="K34" s="23"/>
      <c r="L34" s="23"/>
      <c r="M34" s="22"/>
      <c r="N34" s="23"/>
      <c r="O34" s="23"/>
      <c r="P34" s="26"/>
    </row>
    <row r="35" spans="1:21" s="16" customFormat="1" ht="34.5" customHeight="1" thickBot="1" x14ac:dyDescent="0.25">
      <c r="A35" s="17">
        <v>19</v>
      </c>
      <c r="B35" s="30" t="s">
        <v>105</v>
      </c>
      <c r="C35" s="19"/>
      <c r="D35" s="21"/>
      <c r="E35" s="77"/>
      <c r="F35" s="78"/>
      <c r="G35" s="79"/>
      <c r="H35" s="27" t="e">
        <f>VLOOKUP(I35,'Zone Istat'!A:E,5,FALSE)</f>
        <v>#N/A</v>
      </c>
      <c r="I35" s="15"/>
      <c r="J35" s="28" t="e">
        <f>VLOOKUP(I35,'Zone Istat'!A:D,4,FALSE)</f>
        <v>#N/A</v>
      </c>
      <c r="K35" s="23"/>
      <c r="L35" s="23"/>
      <c r="M35" s="22"/>
      <c r="N35" s="23"/>
      <c r="O35" s="23"/>
      <c r="P35" s="26"/>
    </row>
    <row r="36" spans="1:21" s="16" customFormat="1" ht="34.5" customHeight="1" x14ac:dyDescent="0.2">
      <c r="A36" s="17">
        <v>20</v>
      </c>
      <c r="B36" s="30" t="s">
        <v>105</v>
      </c>
      <c r="C36" s="19"/>
      <c r="D36" s="21"/>
      <c r="E36" s="77"/>
      <c r="F36" s="78"/>
      <c r="G36" s="79"/>
      <c r="H36" s="27" t="e">
        <f>VLOOKUP(I36,'Zone Istat'!A:E,5,FALSE)</f>
        <v>#N/A</v>
      </c>
      <c r="I36" s="15"/>
      <c r="J36" s="28" t="e">
        <f>VLOOKUP(I36,'Zone Istat'!A:D,4,FALSE)</f>
        <v>#N/A</v>
      </c>
      <c r="K36" s="23"/>
      <c r="L36" s="23"/>
      <c r="M36" s="22"/>
      <c r="N36" s="23"/>
      <c r="O36" s="23"/>
      <c r="P36" s="26"/>
    </row>
    <row r="37" spans="1:21" s="2" customFormat="1" x14ac:dyDescent="0.2"/>
    <row r="38" spans="1:21" s="2" customForma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21" s="2" customForma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21" s="2" customFormat="1" x14ac:dyDescent="0.2">
      <c r="A40" s="1" t="s">
        <v>20786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110</v>
      </c>
      <c r="N40" s="1"/>
      <c r="O40" s="1"/>
      <c r="Q40" s="1"/>
      <c r="R40" s="1"/>
      <c r="S40" s="1"/>
      <c r="T40" s="1"/>
      <c r="U40" s="1"/>
    </row>
    <row r="41" spans="1:21" s="2" customForma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21" s="2" customForma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21" s="2" customFormat="1" x14ac:dyDescent="0.2"/>
    <row r="44" spans="1:21" s="2" customFormat="1" x14ac:dyDescent="0.2"/>
    <row r="45" spans="1:21" s="2" customFormat="1" x14ac:dyDescent="0.2"/>
    <row r="46" spans="1:21" ht="30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38" t="s">
        <v>20794</v>
      </c>
      <c r="R46" s="130"/>
      <c r="S46" s="131"/>
    </row>
    <row r="47" spans="1:21" s="2" customFormat="1" ht="17.25" customHeight="1" x14ac:dyDescent="0.2">
      <c r="Q47" s="135"/>
      <c r="R47" s="136"/>
      <c r="S47" s="137"/>
    </row>
    <row r="48" spans="1:21" s="9" customFormat="1" ht="111.75" customHeight="1" x14ac:dyDescent="0.2">
      <c r="A48" s="141" t="s">
        <v>312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</row>
    <row r="49" spans="1:20" s="2" customFormat="1" x14ac:dyDescent="0.2"/>
    <row r="50" spans="1:20" s="2" customFormat="1" x14ac:dyDescent="0.2">
      <c r="O50" s="1"/>
      <c r="P50" s="1"/>
      <c r="Q50" s="1"/>
    </row>
    <row r="51" spans="1:20" s="9" customFormat="1" ht="15.75" x14ac:dyDescent="0.2">
      <c r="A51" s="2"/>
      <c r="B51" s="2"/>
      <c r="C51" s="6"/>
      <c r="D51" s="6"/>
      <c r="E51" s="6"/>
      <c r="F51" s="6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2"/>
      <c r="S51" s="2"/>
      <c r="T51" s="2"/>
    </row>
    <row r="53" spans="1:20" s="2" customFormat="1" ht="27.75" customHeight="1" x14ac:dyDescent="0.2"/>
    <row r="54" spans="1:20" s="2" customFormat="1" ht="27.75" customHeight="1" thickBot="1" x14ac:dyDescent="0.25">
      <c r="E54" s="143" t="s">
        <v>16</v>
      </c>
      <c r="F54" s="143"/>
      <c r="G54" s="143"/>
      <c r="H54" s="143"/>
      <c r="I54" s="143"/>
      <c r="J54" s="144"/>
    </row>
    <row r="55" spans="1:20" s="2" customFormat="1" ht="32.25" customHeight="1" thickBot="1" x14ac:dyDescent="0.25">
      <c r="A55" s="3" t="s">
        <v>5</v>
      </c>
      <c r="B55" s="139" t="s">
        <v>6</v>
      </c>
      <c r="C55" s="140"/>
      <c r="D55" s="4" t="s">
        <v>7</v>
      </c>
      <c r="E55" s="139" t="s">
        <v>20785</v>
      </c>
      <c r="F55" s="142"/>
      <c r="G55" s="140"/>
      <c r="H55" s="4" t="s">
        <v>9</v>
      </c>
      <c r="I55" s="4" t="s">
        <v>10</v>
      </c>
      <c r="J55" s="4" t="s">
        <v>11</v>
      </c>
      <c r="K55" s="4" t="s">
        <v>15</v>
      </c>
      <c r="L55" s="4" t="s">
        <v>1</v>
      </c>
      <c r="M55" s="4" t="s">
        <v>109</v>
      </c>
      <c r="N55" s="4" t="s">
        <v>0</v>
      </c>
      <c r="O55" s="11" t="s">
        <v>107</v>
      </c>
      <c r="P55" s="4" t="s">
        <v>309</v>
      </c>
      <c r="Q55" s="4" t="s">
        <v>2</v>
      </c>
      <c r="R55" s="4" t="s">
        <v>3</v>
      </c>
      <c r="S55" s="8" t="s">
        <v>4</v>
      </c>
    </row>
    <row r="56" spans="1:20" s="16" customFormat="1" ht="34.5" customHeight="1" x14ac:dyDescent="0.2">
      <c r="A56" s="12">
        <v>1</v>
      </c>
      <c r="B56" s="13" t="s">
        <v>105</v>
      </c>
      <c r="C56" s="14"/>
      <c r="D56" s="15"/>
      <c r="E56" s="71"/>
      <c r="F56" s="72"/>
      <c r="G56" s="73"/>
      <c r="H56" s="15" t="e">
        <f>VLOOKUP(I56,'Zone Istat'!A:E,5,FALSE)</f>
        <v>#N/A</v>
      </c>
      <c r="I56" s="15"/>
      <c r="J56" s="22" t="e">
        <f>VLOOKUP(I56,'Zone Istat'!A:D,4,FALSE)</f>
        <v>#N/A</v>
      </c>
      <c r="K56" s="22"/>
      <c r="L56" s="46"/>
      <c r="M56" s="15"/>
      <c r="N56" s="22"/>
      <c r="O56" s="24"/>
      <c r="P56" s="25"/>
      <c r="Q56" s="25"/>
      <c r="R56" s="25"/>
      <c r="S56" s="25"/>
    </row>
    <row r="57" spans="1:20" s="16" customFormat="1" ht="34.5" customHeight="1" x14ac:dyDescent="0.2">
      <c r="A57" s="17">
        <v>2</v>
      </c>
      <c r="B57" s="18" t="s">
        <v>105</v>
      </c>
      <c r="C57" s="19"/>
      <c r="D57" s="21"/>
      <c r="E57" s="74"/>
      <c r="F57" s="75"/>
      <c r="G57" s="76"/>
      <c r="H57" s="15" t="e">
        <f>VLOOKUP(I57,'Zone Istat'!A:E,5,FALSE)</f>
        <v>#N/A</v>
      </c>
      <c r="I57" s="15"/>
      <c r="J57" s="22" t="e">
        <f>VLOOKUP(I57,'Zone Istat'!A:D,4,FALSE)</f>
        <v>#N/A</v>
      </c>
      <c r="K57" s="22"/>
      <c r="L57" s="46"/>
      <c r="M57" s="15"/>
      <c r="N57" s="22"/>
      <c r="O57" s="26"/>
      <c r="P57" s="25"/>
      <c r="Q57" s="23"/>
      <c r="R57" s="23"/>
      <c r="S57" s="23"/>
    </row>
    <row r="58" spans="1:20" s="16" customFormat="1" ht="34.5" customHeight="1" x14ac:dyDescent="0.2">
      <c r="A58" s="17">
        <v>3</v>
      </c>
      <c r="B58" s="18" t="s">
        <v>105</v>
      </c>
      <c r="C58" s="19"/>
      <c r="D58" s="21"/>
      <c r="E58" s="74"/>
      <c r="F58" s="75"/>
      <c r="G58" s="76"/>
      <c r="H58" s="15" t="e">
        <f>VLOOKUP(I58,'Zone Istat'!A:E,5,FALSE)</f>
        <v>#N/A</v>
      </c>
      <c r="I58" s="15"/>
      <c r="J58" s="22" t="e">
        <f>VLOOKUP(I58,'Zone Istat'!A:D,4,FALSE)</f>
        <v>#N/A</v>
      </c>
      <c r="K58" s="22"/>
      <c r="L58" s="46"/>
      <c r="M58" s="15"/>
      <c r="N58" s="22"/>
      <c r="O58" s="26"/>
      <c r="P58" s="25"/>
      <c r="Q58" s="23"/>
      <c r="R58" s="23"/>
      <c r="S58" s="23"/>
    </row>
    <row r="59" spans="1:20" s="16" customFormat="1" ht="34.5" customHeight="1" x14ac:dyDescent="0.2">
      <c r="A59" s="17">
        <v>4</v>
      </c>
      <c r="B59" s="18" t="s">
        <v>105</v>
      </c>
      <c r="C59" s="19"/>
      <c r="D59" s="21"/>
      <c r="E59" s="74"/>
      <c r="F59" s="75"/>
      <c r="G59" s="76"/>
      <c r="H59" s="15" t="e">
        <f>VLOOKUP(I59,'Zone Istat'!A:E,5,FALSE)</f>
        <v>#N/A</v>
      </c>
      <c r="I59" s="15"/>
      <c r="J59" s="22" t="e">
        <f>VLOOKUP(I59,'Zone Istat'!A:D,4,FALSE)</f>
        <v>#N/A</v>
      </c>
      <c r="K59" s="22"/>
      <c r="L59" s="46"/>
      <c r="M59" s="15"/>
      <c r="N59" s="22"/>
      <c r="O59" s="26"/>
      <c r="P59" s="25"/>
      <c r="Q59" s="23"/>
      <c r="R59" s="23"/>
      <c r="S59" s="23"/>
    </row>
    <row r="60" spans="1:20" s="16" customFormat="1" ht="34.5" customHeight="1" x14ac:dyDescent="0.2">
      <c r="A60" s="17">
        <v>5</v>
      </c>
      <c r="B60" s="18" t="s">
        <v>105</v>
      </c>
      <c r="C60" s="19"/>
      <c r="D60" s="21"/>
      <c r="E60" s="74"/>
      <c r="F60" s="75"/>
      <c r="G60" s="76"/>
      <c r="H60" s="15" t="e">
        <f>VLOOKUP(I60,'Zone Istat'!A:E,5,FALSE)</f>
        <v>#N/A</v>
      </c>
      <c r="I60" s="15"/>
      <c r="J60" s="22" t="e">
        <f>VLOOKUP(I60,'Zone Istat'!A:D,4,FALSE)</f>
        <v>#N/A</v>
      </c>
      <c r="K60" s="22"/>
      <c r="L60" s="46"/>
      <c r="M60" s="15"/>
      <c r="N60" s="22"/>
      <c r="O60" s="26"/>
      <c r="P60" s="25"/>
      <c r="Q60" s="23"/>
      <c r="R60" s="23"/>
      <c r="S60" s="23"/>
    </row>
    <row r="61" spans="1:20" s="16" customFormat="1" ht="34.5" customHeight="1" x14ac:dyDescent="0.2">
      <c r="A61" s="17">
        <v>6</v>
      </c>
      <c r="B61" s="18" t="s">
        <v>105</v>
      </c>
      <c r="C61" s="19"/>
      <c r="D61" s="21"/>
      <c r="E61" s="74"/>
      <c r="F61" s="75"/>
      <c r="G61" s="76"/>
      <c r="H61" s="15" t="e">
        <f>VLOOKUP(I61,'Zone Istat'!A:E,5,FALSE)</f>
        <v>#N/A</v>
      </c>
      <c r="I61" s="15"/>
      <c r="J61" s="22" t="e">
        <f>VLOOKUP(I61,'Zone Istat'!A:D,4,FALSE)</f>
        <v>#N/A</v>
      </c>
      <c r="K61" s="22"/>
      <c r="L61" s="46"/>
      <c r="M61" s="15"/>
      <c r="N61" s="22"/>
      <c r="O61" s="26"/>
      <c r="P61" s="25"/>
      <c r="Q61" s="23"/>
      <c r="R61" s="23"/>
      <c r="S61" s="23"/>
    </row>
    <row r="62" spans="1:20" s="16" customFormat="1" ht="34.5" customHeight="1" x14ac:dyDescent="0.2">
      <c r="A62" s="17">
        <v>7</v>
      </c>
      <c r="B62" s="18" t="s">
        <v>105</v>
      </c>
      <c r="C62" s="19"/>
      <c r="D62" s="21"/>
      <c r="E62" s="74"/>
      <c r="F62" s="75"/>
      <c r="G62" s="76"/>
      <c r="H62" s="15" t="e">
        <f>VLOOKUP(I62,'Zone Istat'!A:E,5,FALSE)</f>
        <v>#N/A</v>
      </c>
      <c r="I62" s="15"/>
      <c r="J62" s="22" t="e">
        <f>VLOOKUP(I62,'Zone Istat'!A:D,4,FALSE)</f>
        <v>#N/A</v>
      </c>
      <c r="K62" s="22"/>
      <c r="L62" s="46"/>
      <c r="M62" s="15"/>
      <c r="N62" s="22"/>
      <c r="O62" s="26"/>
      <c r="P62" s="25"/>
      <c r="Q62" s="23"/>
      <c r="R62" s="23"/>
      <c r="S62" s="23"/>
    </row>
    <row r="63" spans="1:20" s="16" customFormat="1" ht="34.5" customHeight="1" x14ac:dyDescent="0.2">
      <c r="A63" s="17">
        <v>8</v>
      </c>
      <c r="B63" s="18" t="s">
        <v>105</v>
      </c>
      <c r="C63" s="19"/>
      <c r="D63" s="21"/>
      <c r="E63" s="77"/>
      <c r="F63" s="78"/>
      <c r="G63" s="79"/>
      <c r="H63" s="15" t="e">
        <f>VLOOKUP(I63,'Zone Istat'!A:E,5,FALSE)</f>
        <v>#N/A</v>
      </c>
      <c r="I63" s="15"/>
      <c r="J63" s="22" t="e">
        <f>VLOOKUP(I63,'Zone Istat'!A:D,4,FALSE)</f>
        <v>#N/A</v>
      </c>
      <c r="K63" s="22"/>
      <c r="L63" s="46"/>
      <c r="M63" s="15"/>
      <c r="N63" s="22"/>
      <c r="O63" s="26"/>
      <c r="P63" s="25"/>
      <c r="Q63" s="23"/>
      <c r="R63" s="23"/>
      <c r="S63" s="23"/>
    </row>
    <row r="64" spans="1:20" s="16" customFormat="1" ht="34.5" customHeight="1" x14ac:dyDescent="0.2">
      <c r="A64" s="17">
        <v>9</v>
      </c>
      <c r="B64" s="18" t="s">
        <v>105</v>
      </c>
      <c r="C64" s="19"/>
      <c r="D64" s="21"/>
      <c r="E64" s="77"/>
      <c r="F64" s="78"/>
      <c r="G64" s="79"/>
      <c r="H64" s="15" t="e">
        <f>VLOOKUP(I64,'Zone Istat'!A:E,5,FALSE)</f>
        <v>#N/A</v>
      </c>
      <c r="I64" s="15"/>
      <c r="J64" s="22" t="e">
        <f>VLOOKUP(I64,'Zone Istat'!A:D,4,FALSE)</f>
        <v>#N/A</v>
      </c>
      <c r="K64" s="23"/>
      <c r="L64" s="23"/>
      <c r="M64" s="15"/>
      <c r="N64" s="22"/>
      <c r="O64" s="26"/>
      <c r="P64" s="25"/>
      <c r="Q64" s="23"/>
      <c r="R64" s="23"/>
      <c r="S64" s="23"/>
    </row>
    <row r="65" spans="1:19" s="16" customFormat="1" ht="34.5" customHeight="1" x14ac:dyDescent="0.2">
      <c r="A65" s="17">
        <v>10</v>
      </c>
      <c r="B65" s="18" t="s">
        <v>105</v>
      </c>
      <c r="C65" s="19"/>
      <c r="D65" s="21"/>
      <c r="E65" s="77"/>
      <c r="F65" s="78"/>
      <c r="G65" s="79"/>
      <c r="H65" s="15" t="e">
        <f>VLOOKUP(I65,'Zone Istat'!A:E,5,FALSE)</f>
        <v>#N/A</v>
      </c>
      <c r="I65" s="15"/>
      <c r="J65" s="22" t="e">
        <f>VLOOKUP(I65,'Zone Istat'!A:D,4,FALSE)</f>
        <v>#N/A</v>
      </c>
      <c r="K65" s="23"/>
      <c r="L65" s="23"/>
      <c r="M65" s="15"/>
      <c r="N65" s="22"/>
      <c r="O65" s="26"/>
      <c r="P65" s="25"/>
      <c r="Q65" s="23"/>
      <c r="R65" s="23"/>
      <c r="S65" s="23"/>
    </row>
    <row r="66" spans="1:19" s="16" customFormat="1" ht="34.5" customHeight="1" x14ac:dyDescent="0.2">
      <c r="A66" s="17">
        <v>11</v>
      </c>
      <c r="B66" s="18" t="s">
        <v>105</v>
      </c>
      <c r="C66" s="19"/>
      <c r="D66" s="21"/>
      <c r="E66" s="77"/>
      <c r="F66" s="78"/>
      <c r="G66" s="79"/>
      <c r="H66" s="15" t="e">
        <f>VLOOKUP(I66,'Zone Istat'!A:E,5,FALSE)</f>
        <v>#N/A</v>
      </c>
      <c r="I66" s="15"/>
      <c r="J66" s="22" t="e">
        <f>VLOOKUP(I66,'Zone Istat'!A:D,4,FALSE)</f>
        <v>#N/A</v>
      </c>
      <c r="K66" s="23"/>
      <c r="L66" s="23"/>
      <c r="M66" s="15"/>
      <c r="N66" s="22"/>
      <c r="O66" s="26"/>
      <c r="P66" s="25"/>
      <c r="Q66" s="23"/>
      <c r="R66" s="23"/>
      <c r="S66" s="23"/>
    </row>
    <row r="67" spans="1:19" s="16" customFormat="1" ht="34.5" customHeight="1" x14ac:dyDescent="0.2">
      <c r="A67" s="17">
        <v>12</v>
      </c>
      <c r="B67" s="18" t="s">
        <v>105</v>
      </c>
      <c r="C67" s="19"/>
      <c r="D67" s="21"/>
      <c r="E67" s="77"/>
      <c r="F67" s="78"/>
      <c r="G67" s="79"/>
      <c r="H67" s="15" t="e">
        <f>VLOOKUP(I67,'Zone Istat'!A:E,5,FALSE)</f>
        <v>#N/A</v>
      </c>
      <c r="I67" s="15"/>
      <c r="J67" s="22" t="e">
        <f>VLOOKUP(I67,'Zone Istat'!A:D,4,FALSE)</f>
        <v>#N/A</v>
      </c>
      <c r="K67" s="23"/>
      <c r="L67" s="23"/>
      <c r="M67" s="15"/>
      <c r="N67" s="22"/>
      <c r="O67" s="26"/>
      <c r="P67" s="25"/>
      <c r="Q67" s="23"/>
      <c r="R67" s="23"/>
      <c r="S67" s="23"/>
    </row>
    <row r="68" spans="1:19" s="20" customFormat="1" ht="34.5" customHeight="1" x14ac:dyDescent="0.25">
      <c r="A68" s="17">
        <v>13</v>
      </c>
      <c r="B68" s="18" t="s">
        <v>105</v>
      </c>
      <c r="C68" s="19"/>
      <c r="D68" s="21"/>
      <c r="E68" s="77"/>
      <c r="F68" s="78"/>
      <c r="G68" s="79"/>
      <c r="H68" s="15" t="e">
        <f>VLOOKUP(I68,'Zone Istat'!A:E,5,FALSE)</f>
        <v>#N/A</v>
      </c>
      <c r="I68" s="15"/>
      <c r="J68" s="22" t="e">
        <f>VLOOKUP(I68,'Zone Istat'!A:D,4,FALSE)</f>
        <v>#N/A</v>
      </c>
      <c r="K68" s="23"/>
      <c r="L68" s="23"/>
      <c r="M68" s="15"/>
      <c r="N68" s="22"/>
      <c r="O68" s="26"/>
      <c r="P68" s="25"/>
      <c r="Q68" s="23"/>
      <c r="R68" s="23"/>
      <c r="S68" s="23"/>
    </row>
    <row r="69" spans="1:19" s="20" customFormat="1" ht="34.5" customHeight="1" x14ac:dyDescent="0.25">
      <c r="A69" s="17">
        <v>14</v>
      </c>
      <c r="B69" s="18" t="s">
        <v>105</v>
      </c>
      <c r="C69" s="19"/>
      <c r="D69" s="21"/>
      <c r="E69" s="77"/>
      <c r="F69" s="78"/>
      <c r="G69" s="79"/>
      <c r="H69" s="15" t="e">
        <f>VLOOKUP(I69,'Zone Istat'!A:E,5,FALSE)</f>
        <v>#N/A</v>
      </c>
      <c r="I69" s="15"/>
      <c r="J69" s="22" t="e">
        <f>VLOOKUP(I69,'Zone Istat'!A:D,4,FALSE)</f>
        <v>#N/A</v>
      </c>
      <c r="K69" s="23"/>
      <c r="L69" s="23"/>
      <c r="M69" s="15"/>
      <c r="N69" s="22"/>
      <c r="O69" s="26"/>
      <c r="P69" s="25"/>
      <c r="Q69" s="23"/>
      <c r="R69" s="23"/>
      <c r="S69" s="23"/>
    </row>
    <row r="70" spans="1:19" s="20" customFormat="1" ht="34.5" customHeight="1" x14ac:dyDescent="0.25">
      <c r="A70" s="17">
        <v>15</v>
      </c>
      <c r="B70" s="18" t="s">
        <v>105</v>
      </c>
      <c r="C70" s="19"/>
      <c r="D70" s="21"/>
      <c r="E70" s="77"/>
      <c r="F70" s="78"/>
      <c r="G70" s="79"/>
      <c r="H70" s="15" t="e">
        <f>VLOOKUP(I70,'Zone Istat'!A:E,5,FALSE)</f>
        <v>#N/A</v>
      </c>
      <c r="I70" s="15"/>
      <c r="J70" s="22" t="e">
        <f>VLOOKUP(I70,'Zone Istat'!A:D,4,FALSE)</f>
        <v>#N/A</v>
      </c>
      <c r="K70" s="23"/>
      <c r="L70" s="23"/>
      <c r="M70" s="15"/>
      <c r="N70" s="22"/>
      <c r="O70" s="26"/>
      <c r="P70" s="25"/>
      <c r="Q70" s="23"/>
      <c r="R70" s="23"/>
      <c r="S70" s="23"/>
    </row>
    <row r="71" spans="1:19" s="20" customFormat="1" ht="34.5" customHeight="1" x14ac:dyDescent="0.25">
      <c r="A71" s="17">
        <v>16</v>
      </c>
      <c r="B71" s="18" t="s">
        <v>105</v>
      </c>
      <c r="C71" s="19"/>
      <c r="D71" s="21"/>
      <c r="E71" s="77"/>
      <c r="F71" s="78"/>
      <c r="G71" s="79"/>
      <c r="H71" s="15" t="e">
        <f>VLOOKUP(I71,'Zone Istat'!A:E,5,FALSE)</f>
        <v>#N/A</v>
      </c>
      <c r="I71" s="15"/>
      <c r="J71" s="22" t="e">
        <f>VLOOKUP(I71,'Zone Istat'!A:D,4,FALSE)</f>
        <v>#N/A</v>
      </c>
      <c r="K71" s="23"/>
      <c r="L71" s="23"/>
      <c r="M71" s="15"/>
      <c r="N71" s="22"/>
      <c r="O71" s="26"/>
      <c r="P71" s="25"/>
      <c r="Q71" s="23"/>
      <c r="R71" s="23"/>
      <c r="S71" s="23"/>
    </row>
    <row r="72" spans="1:19" s="20" customFormat="1" ht="34.5" customHeight="1" x14ac:dyDescent="0.25">
      <c r="A72" s="17">
        <v>17</v>
      </c>
      <c r="B72" s="18" t="s">
        <v>105</v>
      </c>
      <c r="C72" s="19"/>
      <c r="D72" s="21"/>
      <c r="E72" s="77"/>
      <c r="F72" s="78"/>
      <c r="G72" s="79"/>
      <c r="H72" s="15" t="e">
        <f>VLOOKUP(I72,'Zone Istat'!A:E,5,FALSE)</f>
        <v>#N/A</v>
      </c>
      <c r="I72" s="15"/>
      <c r="J72" s="22" t="e">
        <f>VLOOKUP(I72,'Zone Istat'!A:D,4,FALSE)</f>
        <v>#N/A</v>
      </c>
      <c r="K72" s="23"/>
      <c r="L72" s="23"/>
      <c r="M72" s="15"/>
      <c r="N72" s="22"/>
      <c r="O72" s="26"/>
      <c r="P72" s="25"/>
      <c r="Q72" s="23"/>
      <c r="R72" s="23"/>
      <c r="S72" s="23"/>
    </row>
    <row r="73" spans="1:19" s="20" customFormat="1" ht="34.5" customHeight="1" x14ac:dyDescent="0.25">
      <c r="A73" s="17">
        <v>18</v>
      </c>
      <c r="B73" s="18" t="s">
        <v>105</v>
      </c>
      <c r="C73" s="19"/>
      <c r="D73" s="21"/>
      <c r="E73" s="77"/>
      <c r="F73" s="78"/>
      <c r="G73" s="79"/>
      <c r="H73" s="15" t="e">
        <f>VLOOKUP(I73,'Zone Istat'!A:E,5,FALSE)</f>
        <v>#N/A</v>
      </c>
      <c r="I73" s="15"/>
      <c r="J73" s="22" t="e">
        <f>VLOOKUP(I73,'Zone Istat'!A:D,4,FALSE)</f>
        <v>#N/A</v>
      </c>
      <c r="K73" s="23"/>
      <c r="L73" s="23"/>
      <c r="M73" s="15"/>
      <c r="N73" s="22"/>
      <c r="O73" s="26"/>
      <c r="P73" s="25"/>
      <c r="Q73" s="23"/>
      <c r="R73" s="23"/>
      <c r="S73" s="23"/>
    </row>
    <row r="74" spans="1:19" s="20" customFormat="1" ht="34.5" customHeight="1" x14ac:dyDescent="0.25">
      <c r="A74" s="17">
        <v>19</v>
      </c>
      <c r="B74" s="18" t="s">
        <v>105</v>
      </c>
      <c r="C74" s="19"/>
      <c r="D74" s="21"/>
      <c r="E74" s="77"/>
      <c r="F74" s="78"/>
      <c r="G74" s="79"/>
      <c r="H74" s="15" t="e">
        <f>VLOOKUP(I74,'Zone Istat'!A:E,5,FALSE)</f>
        <v>#N/A</v>
      </c>
      <c r="I74" s="15"/>
      <c r="J74" s="22" t="e">
        <f>VLOOKUP(I74,'Zone Istat'!A:D,4,FALSE)</f>
        <v>#N/A</v>
      </c>
      <c r="K74" s="23"/>
      <c r="L74" s="23"/>
      <c r="M74" s="15"/>
      <c r="N74" s="22"/>
      <c r="O74" s="26"/>
      <c r="P74" s="25"/>
      <c r="Q74" s="23"/>
      <c r="R74" s="23"/>
      <c r="S74" s="23"/>
    </row>
    <row r="75" spans="1:19" s="20" customFormat="1" ht="34.5" customHeight="1" x14ac:dyDescent="0.25">
      <c r="A75" s="17">
        <v>20</v>
      </c>
      <c r="B75" s="18" t="s">
        <v>105</v>
      </c>
      <c r="C75" s="19"/>
      <c r="D75" s="21"/>
      <c r="E75" s="77"/>
      <c r="F75" s="78"/>
      <c r="G75" s="79"/>
      <c r="H75" s="15" t="e">
        <f>VLOOKUP(I75,'Zone Istat'!A:E,5,FALSE)</f>
        <v>#N/A</v>
      </c>
      <c r="I75" s="15"/>
      <c r="J75" s="22" t="e">
        <f>VLOOKUP(I75,'Zone Istat'!A:D,4,FALSE)</f>
        <v>#N/A</v>
      </c>
      <c r="K75" s="23"/>
      <c r="L75" s="23"/>
      <c r="M75" s="15"/>
      <c r="N75" s="22"/>
      <c r="O75" s="26"/>
      <c r="P75" s="25"/>
      <c r="Q75" s="23"/>
      <c r="R75" s="23"/>
      <c r="S75" s="23"/>
    </row>
    <row r="77" spans="1:19" x14ac:dyDescent="0.2">
      <c r="A77" s="1" t="s">
        <v>310</v>
      </c>
    </row>
    <row r="78" spans="1:19" x14ac:dyDescent="0.2">
      <c r="A78" s="1" t="s">
        <v>20784</v>
      </c>
    </row>
    <row r="81" spans="1:14" x14ac:dyDescent="0.2">
      <c r="A81" s="1" t="s">
        <v>108</v>
      </c>
      <c r="N81" s="1" t="s">
        <v>110</v>
      </c>
    </row>
  </sheetData>
  <dataConsolidate/>
  <mergeCells count="10">
    <mergeCell ref="N1:P5"/>
    <mergeCell ref="Q46:S47"/>
    <mergeCell ref="B55:C55"/>
    <mergeCell ref="B16:C16"/>
    <mergeCell ref="A6:P6"/>
    <mergeCell ref="A48:S48"/>
    <mergeCell ref="E16:G16"/>
    <mergeCell ref="E55:G55"/>
    <mergeCell ref="E54:J54"/>
    <mergeCell ref="E15:J15"/>
  </mergeCells>
  <phoneticPr fontId="4" type="noConversion"/>
  <dataValidations count="5">
    <dataValidation type="textLength" allowBlank="1" showInputMessage="1" showErrorMessage="1" sqref="D79:F65536 D77:F77 D37:F47 D1:F5 D7:F8 D11:D16 D51:D75 E51:F53 E11:F14" xr:uid="{00000000-0002-0000-0000-000000000000}">
      <formula1>11</formula1>
      <formula2>11</formula2>
    </dataValidation>
    <dataValidation type="textLength" allowBlank="1" showInputMessage="1" showErrorMessage="1" error="Partita Iva e Codice Fiscale max 11 cifre" sqref="D17:D36" xr:uid="{00000000-0002-0000-0000-000001000000}">
      <formula1>11</formula1>
      <formula2>11</formula2>
    </dataValidation>
    <dataValidation type="textLength" allowBlank="1" showInputMessage="1" showErrorMessage="1" error="CAP: 5 cifre" sqref="H79:H65536 H77 H1:H5 H7:H8 H55:H75 H51:H53 H11:H14 H16:H47" xr:uid="{00000000-0002-0000-0000-000002000000}">
      <formula1>5</formula1>
      <formula2>5</formula2>
    </dataValidation>
    <dataValidation type="whole" allowBlank="1" showInputMessage="1" showErrorMessage="1" sqref="O56:O75 P17:P36" xr:uid="{00000000-0002-0000-0000-000003000000}">
      <formula1>1</formula1>
      <formula2>9999999999</formula2>
    </dataValidation>
    <dataValidation allowBlank="1" showInputMessage="1" showErrorMessage="1" error="Partita Iva e Codice Fiscale max 11 cifre" sqref="E17:G36 E56:G75" xr:uid="{8547A9D7-4564-498C-B70D-758BD8029F3A}"/>
  </dataValidations>
  <pageMargins left="0.25" right="0.25" top="0.75" bottom="0.75" header="0.3" footer="0.3"/>
  <pageSetup paperSize="9" scale="32" fitToHeight="0" orientation="landscape" r:id="rId1"/>
  <headerFooter alignWithMargins="0"/>
  <rowBreaks count="1" manualBreakCount="1">
    <brk id="41" max="2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24707D56-89D5-41B0-AEB2-C0A5EB1C5EB2}">
          <x14:formula1>
            <xm:f>OFFSET('Zone Istat'!$A$2,MATCH($I17&amp;"*",'Zone Istat'!$A$2:$A$7905,0)-1,,COUNTIF('Zone Istat'!$A$2:$A$78642,$I17&amp;"*"))</xm:f>
          </x14:formula1>
          <xm:sqref>I56:I75 I17:I36</xm:sqref>
        </x14:dataValidation>
        <x14:dataValidation type="list" allowBlank="1" showInputMessage="1" xr:uid="{9E9C65E8-969B-4E7B-8162-B46E18CCC792}">
          <x14:formula1>
            <xm:f>OFFSET(Venditori!$B$2,MATCH($N56&amp;"*",Venditori!$B$2:$B$326,0)-1,,COUNTIF(Venditori!$B$2:$B$326,$N56&amp;"*"))</xm:f>
          </x14:formula1>
          <xm:sqref>N56:N75</xm:sqref>
        </x14:dataValidation>
        <x14:dataValidation type="list" allowBlank="1" showInputMessage="1" showErrorMessage="1" xr:uid="{1EC08DAA-47D4-47B4-B230-DAF6EF3B47FE}">
          <x14:formula1>
            <xm:f>'Menù a tendina'!$B$2:$B$9</xm:f>
          </x14:formula1>
          <xm:sqref>P56:P75</xm:sqref>
        </x14:dataValidation>
        <x14:dataValidation type="list" allowBlank="1" showInputMessage="1" xr:uid="{DA7AC31C-00CD-4313-B5FD-79594D8542AB}">
          <x14:formula1>
            <xm:f>OFFSET(Venditori!$B$2,MATCH($M17&amp;"*",Venditori!$B$2:$B$326,0)-1,,COUNTIF(Venditori!$B$2:$B$326,$M17&amp;"*"))</xm:f>
          </x14:formula1>
          <xm:sqref>M17:M36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5D21-02FC-43B4-926C-ECFBE022AB0E}">
  <dimension ref="A1:GW36"/>
  <sheetViews>
    <sheetView topLeftCell="GP1" workbookViewId="0">
      <selection activeCell="S13" sqref="S13"/>
    </sheetView>
  </sheetViews>
  <sheetFormatPr defaultColWidth="40.85546875" defaultRowHeight="12.75" x14ac:dyDescent="0.2"/>
  <cols>
    <col min="1" max="1" width="13.42578125" bestFit="1" customWidth="1"/>
    <col min="2" max="2" width="14.5703125" bestFit="1" customWidth="1"/>
    <col min="3" max="3" width="17.7109375" bestFit="1" customWidth="1"/>
    <col min="4" max="4" width="30" bestFit="1" customWidth="1"/>
    <col min="5" max="5" width="18.7109375" bestFit="1" customWidth="1"/>
    <col min="6" max="6" width="21.85546875" bestFit="1" customWidth="1"/>
    <col min="7" max="7" width="22" bestFit="1" customWidth="1"/>
    <col min="8" max="8" width="12" bestFit="1" customWidth="1"/>
    <col min="9" max="9" width="25.28515625" bestFit="1" customWidth="1"/>
    <col min="10" max="10" width="18.5703125" bestFit="1" customWidth="1"/>
    <col min="11" max="11" width="25.28515625" bestFit="1" customWidth="1"/>
    <col min="12" max="12" width="29" bestFit="1" customWidth="1"/>
    <col min="13" max="13" width="24" bestFit="1" customWidth="1"/>
    <col min="14" max="14" width="22.28515625" bestFit="1" customWidth="1"/>
    <col min="15" max="15" width="21.7109375" bestFit="1" customWidth="1"/>
    <col min="16" max="16" width="35.28515625" bestFit="1" customWidth="1"/>
    <col min="17" max="17" width="36" bestFit="1" customWidth="1"/>
    <col min="18" max="18" width="20.85546875" bestFit="1" customWidth="1"/>
    <col min="19" max="19" width="25.7109375" bestFit="1" customWidth="1"/>
    <col min="20" max="20" width="24.5703125" bestFit="1" customWidth="1"/>
    <col min="21" max="21" width="26.28515625" bestFit="1" customWidth="1"/>
    <col min="22" max="22" width="30.7109375" bestFit="1" customWidth="1"/>
    <col min="23" max="23" width="33.140625" bestFit="1" customWidth="1"/>
    <col min="24" max="24" width="21.85546875" bestFit="1" customWidth="1"/>
    <col min="25" max="25" width="22.42578125" bestFit="1" customWidth="1"/>
    <col min="26" max="26" width="24" bestFit="1" customWidth="1"/>
    <col min="27" max="27" width="39.140625" bestFit="1" customWidth="1"/>
    <col min="28" max="28" width="41.5703125" bestFit="1" customWidth="1"/>
    <col min="29" max="29" width="32.5703125" bestFit="1" customWidth="1"/>
    <col min="30" max="30" width="23.42578125" bestFit="1" customWidth="1"/>
    <col min="31" max="31" width="35.5703125" bestFit="1" customWidth="1"/>
    <col min="32" max="32" width="28.85546875" bestFit="1" customWidth="1"/>
    <col min="33" max="33" width="36.140625" bestFit="1" customWidth="1"/>
    <col min="34" max="34" width="14.28515625" bestFit="1" customWidth="1"/>
    <col min="35" max="35" width="17.42578125" bestFit="1" customWidth="1"/>
    <col min="36" max="36" width="25.140625" bestFit="1" customWidth="1"/>
    <col min="37" max="37" width="31" bestFit="1" customWidth="1"/>
    <col min="38" max="38" width="15.85546875" bestFit="1" customWidth="1"/>
    <col min="39" max="39" width="18.28515625" bestFit="1" customWidth="1"/>
    <col min="40" max="40" width="19.42578125" bestFit="1" customWidth="1"/>
    <col min="41" max="41" width="21.140625" bestFit="1" customWidth="1"/>
    <col min="42" max="42" width="24.140625" bestFit="1" customWidth="1"/>
    <col min="43" max="43" width="13.42578125" bestFit="1" customWidth="1"/>
    <col min="44" max="44" width="12.7109375" bestFit="1" customWidth="1"/>
    <col min="45" max="45" width="22.42578125" bestFit="1" customWidth="1"/>
    <col min="46" max="46" width="34.85546875" bestFit="1" customWidth="1"/>
    <col min="47" max="47" width="32.7109375" bestFit="1" customWidth="1"/>
    <col min="48" max="48" width="21.140625" bestFit="1" customWidth="1"/>
    <col min="49" max="49" width="22.5703125" bestFit="1" customWidth="1"/>
    <col min="50" max="50" width="16" bestFit="1" customWidth="1"/>
    <col min="51" max="51" width="26.42578125" bestFit="1" customWidth="1"/>
    <col min="52" max="52" width="23.85546875" customWidth="1"/>
    <col min="53" max="53" width="21.42578125" customWidth="1"/>
    <col min="54" max="54" width="30.28515625" customWidth="1"/>
    <col min="55" max="55" width="25.140625" customWidth="1"/>
    <col min="56" max="56" width="32.42578125" customWidth="1"/>
    <col min="57" max="57" width="31.28515625" customWidth="1"/>
    <col min="58" max="58" width="24.140625" customWidth="1"/>
    <col min="59" max="59" width="22" customWidth="1"/>
    <col min="60" max="60" width="25.28515625" customWidth="1"/>
    <col min="61" max="61" width="24.28515625" style="69" customWidth="1"/>
    <col min="62" max="62" width="24.7109375" customWidth="1"/>
    <col min="63" max="63" width="28.5703125" customWidth="1"/>
    <col min="64" max="64" width="27.140625" customWidth="1"/>
    <col min="65" max="65" width="23.85546875" customWidth="1"/>
    <col min="66" max="66" width="15.140625" bestFit="1" customWidth="1"/>
    <col min="67" max="67" width="17.42578125" bestFit="1" customWidth="1"/>
    <col min="68" max="68" width="19" bestFit="1" customWidth="1"/>
    <col min="69" max="69" width="32.28515625" bestFit="1" customWidth="1"/>
    <col min="70" max="70" width="33" bestFit="1" customWidth="1"/>
    <col min="71" max="71" width="18" bestFit="1" customWidth="1"/>
    <col min="72" max="72" width="22.7109375" bestFit="1" customWidth="1"/>
    <col min="73" max="73" width="21.7109375" bestFit="1" customWidth="1"/>
    <col min="74" max="74" width="23.28515625" bestFit="1" customWidth="1"/>
    <col min="75" max="75" width="27.7109375" bestFit="1" customWidth="1"/>
    <col min="76" max="76" width="30.28515625" bestFit="1" customWidth="1"/>
    <col min="77" max="77" width="18.85546875" bestFit="1" customWidth="1"/>
    <col min="78" max="78" width="19.42578125" bestFit="1" customWidth="1"/>
    <col min="79" max="79" width="21" bestFit="1" customWidth="1"/>
    <col min="80" max="80" width="20.85546875" bestFit="1" customWidth="1"/>
    <col min="81" max="81" width="16.28515625" bestFit="1" customWidth="1"/>
    <col min="82" max="82" width="20.7109375" bestFit="1" customWidth="1"/>
    <col min="83" max="83" width="25" bestFit="1" customWidth="1"/>
    <col min="84" max="84" width="27" bestFit="1" customWidth="1"/>
    <col min="85" max="85" width="20" bestFit="1" customWidth="1"/>
    <col min="86" max="86" width="13.85546875" bestFit="1" customWidth="1"/>
    <col min="87" max="87" width="23.7109375" bestFit="1" customWidth="1"/>
    <col min="88" max="88" width="24" bestFit="1" customWidth="1"/>
    <col min="89" max="89" width="27.85546875" bestFit="1" customWidth="1"/>
    <col min="90" max="90" width="20.85546875" bestFit="1" customWidth="1"/>
    <col min="91" max="91" width="26.85546875" bestFit="1" customWidth="1"/>
    <col min="92" max="92" width="24" bestFit="1" customWidth="1"/>
    <col min="93" max="93" width="24.7109375" bestFit="1" customWidth="1"/>
    <col min="94" max="94" width="30.140625" bestFit="1" customWidth="1"/>
    <col min="95" max="95" width="24.7109375" bestFit="1" customWidth="1"/>
    <col min="96" max="96" width="26.42578125" bestFit="1" customWidth="1"/>
    <col min="97" max="97" width="26.5703125" bestFit="1" customWidth="1"/>
    <col min="98" max="98" width="38.85546875" bestFit="1" customWidth="1"/>
    <col min="99" max="99" width="39.5703125" bestFit="1" customWidth="1"/>
    <col min="100" max="100" width="24.42578125" bestFit="1" customWidth="1"/>
    <col min="101" max="101" width="29.140625" bestFit="1" customWidth="1"/>
    <col min="102" max="102" width="28.140625" bestFit="1" customWidth="1"/>
    <col min="103" max="103" width="29.85546875" bestFit="1" customWidth="1"/>
    <col min="104" max="104" width="34.28515625" bestFit="1" customWidth="1"/>
    <col min="105" max="105" width="36.7109375" bestFit="1" customWidth="1"/>
    <col min="106" max="106" width="25.28515625" bestFit="1" customWidth="1"/>
    <col min="107" max="107" width="26" bestFit="1" customWidth="1"/>
    <col min="108" max="108" width="27.5703125" bestFit="1" customWidth="1"/>
    <col min="109" max="109" width="10.140625" bestFit="1" customWidth="1"/>
    <col min="110" max="110" width="25.7109375" bestFit="1" customWidth="1"/>
    <col min="111" max="111" width="22.140625" bestFit="1" customWidth="1"/>
    <col min="112" max="112" width="18.7109375" bestFit="1" customWidth="1"/>
    <col min="113" max="113" width="28.5703125" bestFit="1" customWidth="1"/>
    <col min="114" max="114" width="15" bestFit="1" customWidth="1"/>
    <col min="115" max="115" width="29" bestFit="1" customWidth="1"/>
    <col min="116" max="116" width="23.42578125" bestFit="1" customWidth="1"/>
    <col min="117" max="117" width="18.85546875" bestFit="1" customWidth="1"/>
    <col min="118" max="118" width="29.140625" bestFit="1" customWidth="1"/>
    <col min="119" max="119" width="28.140625" bestFit="1" customWidth="1"/>
    <col min="120" max="120" width="37.42578125" bestFit="1" customWidth="1"/>
    <col min="121" max="121" width="19.85546875" bestFit="1" customWidth="1"/>
    <col min="122" max="122" width="20.140625" bestFit="1" customWidth="1"/>
    <col min="123" max="123" width="22.85546875" bestFit="1" customWidth="1"/>
    <col min="124" max="124" width="24.28515625" bestFit="1" customWidth="1"/>
    <col min="125" max="125" width="12" bestFit="1" customWidth="1"/>
    <col min="126" max="126" width="14.7109375" bestFit="1" customWidth="1"/>
    <col min="127" max="127" width="15.85546875" bestFit="1" customWidth="1"/>
    <col min="128" max="128" width="24.5703125" bestFit="1" customWidth="1"/>
    <col min="129" max="129" width="26.5703125" bestFit="1" customWidth="1"/>
    <col min="130" max="130" width="19.5703125" bestFit="1" customWidth="1"/>
    <col min="131" max="131" width="25.85546875" bestFit="1" customWidth="1"/>
    <col min="132" max="132" width="30" bestFit="1" customWidth="1"/>
    <col min="133" max="133" width="31" bestFit="1" customWidth="1"/>
    <col min="134" max="134" width="28.85546875" bestFit="1" customWidth="1"/>
    <col min="135" max="135" width="30" bestFit="1" customWidth="1"/>
    <col min="136" max="136" width="27" bestFit="1" customWidth="1"/>
    <col min="174" max="174" width="40.85546875" style="69"/>
  </cols>
  <sheetData>
    <row r="1" spans="1:205" s="40" customFormat="1" ht="15" x14ac:dyDescent="0.25">
      <c r="A1" s="59" t="s">
        <v>20665</v>
      </c>
      <c r="B1" s="59" t="s">
        <v>314</v>
      </c>
      <c r="C1" s="59" t="s">
        <v>315</v>
      </c>
      <c r="D1" s="59" t="s">
        <v>316</v>
      </c>
      <c r="E1" s="59" t="s">
        <v>317</v>
      </c>
      <c r="F1" s="59" t="s">
        <v>318</v>
      </c>
      <c r="G1" s="59" t="s">
        <v>319</v>
      </c>
      <c r="H1" s="59" t="s">
        <v>320</v>
      </c>
      <c r="I1" s="59" t="s">
        <v>321</v>
      </c>
      <c r="J1" s="59" t="s">
        <v>322</v>
      </c>
      <c r="K1" s="59" t="s">
        <v>323</v>
      </c>
      <c r="L1" s="59" t="s">
        <v>324</v>
      </c>
      <c r="M1" s="59" t="s">
        <v>325</v>
      </c>
      <c r="N1" s="59" t="s">
        <v>20666</v>
      </c>
      <c r="O1" s="59" t="s">
        <v>327</v>
      </c>
      <c r="P1" s="59" t="s">
        <v>20667</v>
      </c>
      <c r="Q1" s="59" t="s">
        <v>20668</v>
      </c>
      <c r="R1" s="59" t="s">
        <v>330</v>
      </c>
      <c r="S1" s="59" t="s">
        <v>20669</v>
      </c>
      <c r="T1" s="59" t="s">
        <v>332</v>
      </c>
      <c r="U1" s="59" t="s">
        <v>333</v>
      </c>
      <c r="V1" s="59" t="s">
        <v>20670</v>
      </c>
      <c r="W1" s="59" t="s">
        <v>20671</v>
      </c>
      <c r="X1" s="59" t="s">
        <v>336</v>
      </c>
      <c r="Y1" s="59" t="s">
        <v>337</v>
      </c>
      <c r="Z1" s="59" t="s">
        <v>338</v>
      </c>
      <c r="AA1" s="59" t="s">
        <v>20672</v>
      </c>
      <c r="AB1" s="59" t="s">
        <v>20673</v>
      </c>
      <c r="AC1" s="59" t="s">
        <v>20674</v>
      </c>
      <c r="AD1" s="59" t="s">
        <v>20675</v>
      </c>
      <c r="AE1" s="59" t="s">
        <v>20676</v>
      </c>
      <c r="AF1" s="59" t="s">
        <v>343</v>
      </c>
      <c r="AG1" s="59" t="s">
        <v>20677</v>
      </c>
      <c r="AH1" s="59" t="s">
        <v>345</v>
      </c>
      <c r="AI1" s="59" t="s">
        <v>346</v>
      </c>
      <c r="AJ1" s="59" t="s">
        <v>347</v>
      </c>
      <c r="AK1" s="59" t="s">
        <v>20678</v>
      </c>
      <c r="AL1" s="59" t="s">
        <v>20679</v>
      </c>
      <c r="AM1" s="59" t="s">
        <v>20680</v>
      </c>
      <c r="AN1" s="59" t="s">
        <v>351</v>
      </c>
      <c r="AO1" s="59" t="s">
        <v>352</v>
      </c>
      <c r="AP1" s="59" t="s">
        <v>353</v>
      </c>
      <c r="AQ1" s="59" t="s">
        <v>20681</v>
      </c>
      <c r="AR1" s="59" t="s">
        <v>20682</v>
      </c>
      <c r="AS1" s="59" t="s">
        <v>356</v>
      </c>
      <c r="AT1" s="59" t="s">
        <v>357</v>
      </c>
      <c r="AU1" s="59" t="s">
        <v>358</v>
      </c>
      <c r="AV1" s="59" t="s">
        <v>20683</v>
      </c>
      <c r="AW1" s="59" t="s">
        <v>20684</v>
      </c>
      <c r="AX1" s="59" t="s">
        <v>20685</v>
      </c>
      <c r="AY1" s="59" t="s">
        <v>20686</v>
      </c>
      <c r="AZ1" s="59" t="s">
        <v>20687</v>
      </c>
      <c r="BA1" s="59" t="s">
        <v>362</v>
      </c>
      <c r="BB1" s="59" t="s">
        <v>363</v>
      </c>
      <c r="BC1" s="59" t="s">
        <v>20688</v>
      </c>
      <c r="BD1" s="59" t="s">
        <v>20689</v>
      </c>
      <c r="BE1" s="59" t="s">
        <v>20690</v>
      </c>
      <c r="BF1" s="59" t="s">
        <v>365</v>
      </c>
      <c r="BG1" s="59" t="s">
        <v>20691</v>
      </c>
      <c r="BH1" s="59" t="s">
        <v>367</v>
      </c>
      <c r="BI1" s="59" t="s">
        <v>368</v>
      </c>
      <c r="BJ1" s="59" t="s">
        <v>369</v>
      </c>
      <c r="BK1" s="59" t="s">
        <v>20692</v>
      </c>
      <c r="BL1" s="59" t="s">
        <v>20693</v>
      </c>
      <c r="BM1" s="59" t="s">
        <v>372</v>
      </c>
      <c r="BN1" s="59" t="s">
        <v>20694</v>
      </c>
      <c r="BO1" s="59" t="s">
        <v>20695</v>
      </c>
      <c r="BP1" s="59" t="s">
        <v>20696</v>
      </c>
      <c r="BQ1" s="59" t="s">
        <v>20697</v>
      </c>
      <c r="BR1" s="59" t="s">
        <v>20698</v>
      </c>
      <c r="BS1" s="59" t="s">
        <v>20699</v>
      </c>
      <c r="BT1" s="59" t="s">
        <v>20700</v>
      </c>
      <c r="BU1" s="59" t="s">
        <v>20701</v>
      </c>
      <c r="BV1" s="59" t="s">
        <v>20702</v>
      </c>
      <c r="BW1" s="59" t="s">
        <v>20703</v>
      </c>
      <c r="BX1" s="59" t="s">
        <v>20704</v>
      </c>
      <c r="BY1" s="59" t="s">
        <v>20705</v>
      </c>
      <c r="BZ1" s="59" t="s">
        <v>20706</v>
      </c>
      <c r="CA1" s="59" t="s">
        <v>20707</v>
      </c>
      <c r="CB1" s="59" t="s">
        <v>20708</v>
      </c>
      <c r="CC1" s="59" t="s">
        <v>20709</v>
      </c>
      <c r="CD1" s="59" t="s">
        <v>20710</v>
      </c>
      <c r="CE1" s="59" t="s">
        <v>20711</v>
      </c>
      <c r="CF1" s="59" t="s">
        <v>20712</v>
      </c>
      <c r="CG1" s="59" t="s">
        <v>20713</v>
      </c>
      <c r="CH1" s="59" t="s">
        <v>20714</v>
      </c>
      <c r="CI1" s="59" t="s">
        <v>391</v>
      </c>
      <c r="CJ1" s="59" t="s">
        <v>392</v>
      </c>
      <c r="CK1" s="59" t="s">
        <v>20715</v>
      </c>
      <c r="CL1" s="59" t="s">
        <v>20716</v>
      </c>
      <c r="CM1" s="59" t="s">
        <v>20717</v>
      </c>
      <c r="CN1" s="59" t="s">
        <v>20718</v>
      </c>
      <c r="CO1" s="59" t="s">
        <v>20719</v>
      </c>
      <c r="CP1" s="59" t="s">
        <v>20720</v>
      </c>
      <c r="CQ1" s="59" t="s">
        <v>20721</v>
      </c>
      <c r="CR1" s="59" t="s">
        <v>20722</v>
      </c>
      <c r="CS1" s="59" t="s">
        <v>20723</v>
      </c>
      <c r="CT1" s="59" t="s">
        <v>20724</v>
      </c>
      <c r="CU1" s="59" t="s">
        <v>20725</v>
      </c>
      <c r="CV1" s="59" t="s">
        <v>20726</v>
      </c>
      <c r="CW1" s="59" t="s">
        <v>20727</v>
      </c>
      <c r="CX1" s="59" t="s">
        <v>20728</v>
      </c>
      <c r="CY1" s="59" t="s">
        <v>20729</v>
      </c>
      <c r="CZ1" s="59" t="s">
        <v>20730</v>
      </c>
      <c r="DA1" s="59" t="s">
        <v>20731</v>
      </c>
      <c r="DB1" s="59" t="s">
        <v>20732</v>
      </c>
      <c r="DC1" s="59" t="s">
        <v>20733</v>
      </c>
      <c r="DD1" s="59" t="s">
        <v>20734</v>
      </c>
      <c r="DE1" s="59" t="s">
        <v>20735</v>
      </c>
      <c r="DF1" s="59" t="s">
        <v>20736</v>
      </c>
      <c r="DG1" s="59" t="s">
        <v>20737</v>
      </c>
      <c r="DH1" s="59" t="s">
        <v>20738</v>
      </c>
      <c r="DI1" s="59" t="s">
        <v>20739</v>
      </c>
      <c r="DJ1" s="59" t="s">
        <v>20740</v>
      </c>
      <c r="DK1" s="59" t="s">
        <v>20741</v>
      </c>
      <c r="DL1" s="59" t="s">
        <v>20742</v>
      </c>
      <c r="DM1" s="59" t="s">
        <v>20743</v>
      </c>
      <c r="DN1" s="59" t="s">
        <v>417</v>
      </c>
      <c r="DO1" s="59" t="s">
        <v>418</v>
      </c>
      <c r="DP1" s="59" t="s">
        <v>20744</v>
      </c>
      <c r="DQ1" s="59" t="s">
        <v>420</v>
      </c>
      <c r="DR1" s="59" t="s">
        <v>421</v>
      </c>
      <c r="DS1" s="59" t="s">
        <v>422</v>
      </c>
      <c r="DT1" s="59" t="s">
        <v>423</v>
      </c>
      <c r="DU1" s="59" t="s">
        <v>424</v>
      </c>
      <c r="DV1" s="59" t="s">
        <v>20745</v>
      </c>
      <c r="DW1" s="59" t="s">
        <v>20746</v>
      </c>
      <c r="DX1" s="59" t="s">
        <v>20747</v>
      </c>
      <c r="DY1" s="59" t="s">
        <v>20748</v>
      </c>
      <c r="DZ1" s="59" t="s">
        <v>20749</v>
      </c>
      <c r="EA1" s="59" t="s">
        <v>20750</v>
      </c>
      <c r="EB1" s="59" t="s">
        <v>20751</v>
      </c>
      <c r="EC1" s="59" t="s">
        <v>20752</v>
      </c>
      <c r="ED1" s="59" t="s">
        <v>20753</v>
      </c>
      <c r="EE1" s="60" t="s">
        <v>447</v>
      </c>
      <c r="EF1" s="60" t="s">
        <v>469</v>
      </c>
      <c r="EG1" s="60" t="s">
        <v>20754</v>
      </c>
      <c r="EH1" s="60" t="s">
        <v>20755</v>
      </c>
      <c r="EI1" s="60" t="s">
        <v>20756</v>
      </c>
      <c r="EJ1" s="60" t="s">
        <v>20757</v>
      </c>
      <c r="EK1" s="60" t="s">
        <v>20758</v>
      </c>
      <c r="EL1" s="60" t="s">
        <v>20759</v>
      </c>
      <c r="EM1" s="60" t="s">
        <v>20760</v>
      </c>
      <c r="EN1" s="60" t="s">
        <v>20761</v>
      </c>
      <c r="EO1" s="60" t="s">
        <v>452</v>
      </c>
      <c r="EP1" s="60" t="s">
        <v>20762</v>
      </c>
      <c r="EQ1" s="60" t="s">
        <v>20763</v>
      </c>
      <c r="ER1" s="60" t="s">
        <v>20764</v>
      </c>
      <c r="ES1" s="60" t="s">
        <v>20765</v>
      </c>
      <c r="ET1" s="60" t="s">
        <v>20766</v>
      </c>
      <c r="EU1" s="60" t="s">
        <v>20767</v>
      </c>
      <c r="EV1" s="60" t="s">
        <v>415</v>
      </c>
      <c r="EW1" s="60" t="s">
        <v>20768</v>
      </c>
      <c r="EX1" s="60" t="s">
        <v>429</v>
      </c>
      <c r="EY1" s="60" t="s">
        <v>430</v>
      </c>
      <c r="EZ1" s="60" t="s">
        <v>431</v>
      </c>
      <c r="FA1" s="60" t="s">
        <v>432</v>
      </c>
      <c r="FB1" s="60" t="s">
        <v>20769</v>
      </c>
      <c r="FC1" s="60" t="s">
        <v>434</v>
      </c>
      <c r="FD1" s="60" t="s">
        <v>435</v>
      </c>
      <c r="FE1" s="60" t="s">
        <v>436</v>
      </c>
      <c r="FF1" s="60" t="s">
        <v>437</v>
      </c>
      <c r="FG1" s="60" t="s">
        <v>438</v>
      </c>
      <c r="FH1" s="60" t="s">
        <v>439</v>
      </c>
      <c r="FI1" s="60" t="s">
        <v>440</v>
      </c>
      <c r="FJ1" s="60" t="s">
        <v>441</v>
      </c>
      <c r="FK1" s="60" t="s">
        <v>442</v>
      </c>
      <c r="FL1" s="60" t="s">
        <v>443</v>
      </c>
      <c r="FM1" s="60" t="s">
        <v>444</v>
      </c>
      <c r="FN1" s="60" t="s">
        <v>445</v>
      </c>
      <c r="FO1" s="60" t="s">
        <v>446</v>
      </c>
      <c r="FP1" s="60" t="s">
        <v>427</v>
      </c>
      <c r="FQ1" s="60" t="s">
        <v>20770</v>
      </c>
      <c r="FR1" s="61" t="s">
        <v>449</v>
      </c>
      <c r="FS1" s="61" t="s">
        <v>20771</v>
      </c>
      <c r="FT1" s="61" t="s">
        <v>451</v>
      </c>
      <c r="FU1" s="61" t="s">
        <v>453</v>
      </c>
      <c r="FV1" s="61" t="s">
        <v>454</v>
      </c>
      <c r="FW1" s="61" t="s">
        <v>455</v>
      </c>
      <c r="FX1" s="61" t="s">
        <v>456</v>
      </c>
      <c r="FY1" s="61" t="s">
        <v>20772</v>
      </c>
      <c r="FZ1" s="61" t="s">
        <v>20773</v>
      </c>
      <c r="GA1" s="61" t="s">
        <v>20774</v>
      </c>
      <c r="GB1" s="61" t="s">
        <v>20775</v>
      </c>
      <c r="GC1" s="61" t="s">
        <v>457</v>
      </c>
      <c r="GD1" s="61" t="s">
        <v>458</v>
      </c>
      <c r="GE1" s="61" t="s">
        <v>459</v>
      </c>
      <c r="GF1" s="61" t="s">
        <v>460</v>
      </c>
      <c r="GG1" s="61" t="s">
        <v>461</v>
      </c>
      <c r="GH1" s="61" t="s">
        <v>462</v>
      </c>
      <c r="GI1" s="61" t="s">
        <v>463</v>
      </c>
      <c r="GJ1" s="61" t="s">
        <v>464</v>
      </c>
      <c r="GK1" s="61" t="s">
        <v>465</v>
      </c>
      <c r="GL1" s="61" t="s">
        <v>466</v>
      </c>
      <c r="GM1" s="62" t="s">
        <v>467</v>
      </c>
      <c r="GN1" s="62" t="s">
        <v>20776</v>
      </c>
      <c r="GO1" s="62" t="s">
        <v>468</v>
      </c>
      <c r="GP1" s="62" t="s">
        <v>470</v>
      </c>
      <c r="GQ1" s="62" t="s">
        <v>471</v>
      </c>
      <c r="GR1" s="62" t="s">
        <v>472</v>
      </c>
      <c r="GS1" s="62" t="s">
        <v>473</v>
      </c>
      <c r="GT1" s="62" t="s">
        <v>477</v>
      </c>
      <c r="GU1" s="62" t="s">
        <v>478</v>
      </c>
      <c r="GV1" s="62" t="s">
        <v>479</v>
      </c>
      <c r="GW1" s="62" t="s">
        <v>480</v>
      </c>
    </row>
    <row r="2" spans="1:205" x14ac:dyDescent="0.2">
      <c r="A2" s="34"/>
      <c r="B2" s="34"/>
      <c r="C2" s="34"/>
      <c r="D2" t="str">
        <f>_xlfn.CONCAT('ALLEGATO 1 CONDOMINI'!B17,'ALLEGATO 1 CONDOMINI'!C17)</f>
        <v>COND.</v>
      </c>
      <c r="E2" s="34"/>
      <c r="F2">
        <f>'ALLEGATO 1 CONDOMINI'!D17</f>
        <v>0</v>
      </c>
      <c r="G2" s="36"/>
      <c r="H2" s="34"/>
      <c r="I2" s="36"/>
      <c r="J2" s="36"/>
      <c r="K2" s="37" t="s">
        <v>481</v>
      </c>
      <c r="L2" s="38">
        <v>22</v>
      </c>
      <c r="M2" s="37" t="s">
        <v>482</v>
      </c>
      <c r="N2" s="36"/>
      <c r="O2" s="34"/>
      <c r="P2" t="e">
        <f>VLOOKUP(Q2,'Zone Istat'!A:E,2,FALSE)</f>
        <v>#N/A</v>
      </c>
      <c r="Q2">
        <f>'ALLEGATO 1 CONDOMINI'!I17</f>
        <v>0</v>
      </c>
      <c r="R2" t="e">
        <f>VLOOKUP(Q2,'Zone Istat'!A:E,5,FALSE)</f>
        <v>#N/A</v>
      </c>
      <c r="S2" t="e">
        <f>VLOOKUP(Q2,'Zone Istat'!A:E,4,FALSE)</f>
        <v>#N/A</v>
      </c>
      <c r="T2">
        <f>'ALLEGATO 1 CONDOMINI'!E17</f>
        <v>0</v>
      </c>
      <c r="U2">
        <f>'ALLEGATO 1 CONDOMINI'!F17</f>
        <v>0</v>
      </c>
      <c r="V2">
        <f>'ALLEGATO 1 CONDOMINI'!G17</f>
        <v>0</v>
      </c>
      <c r="X2" s="34"/>
      <c r="Y2" s="34"/>
      <c r="Z2" s="34"/>
      <c r="AA2" s="37" t="s">
        <v>483</v>
      </c>
      <c r="AB2" s="37" t="s">
        <v>484</v>
      </c>
      <c r="AC2" s="37" t="s">
        <v>485</v>
      </c>
      <c r="AD2" s="37" t="s">
        <v>486</v>
      </c>
      <c r="AE2" s="37" t="s">
        <v>491</v>
      </c>
      <c r="AF2" s="36"/>
      <c r="AG2" s="36"/>
      <c r="AH2" s="34"/>
      <c r="AI2" s="34"/>
      <c r="AJ2" t="str">
        <f>D2</f>
        <v>COND.</v>
      </c>
      <c r="AK2" s="34"/>
      <c r="AL2" s="37" t="s">
        <v>481</v>
      </c>
      <c r="AM2" s="38">
        <v>22</v>
      </c>
      <c r="AN2" s="37">
        <v>5</v>
      </c>
      <c r="AO2" s="37">
        <v>2</v>
      </c>
      <c r="AP2" s="38">
        <v>9904</v>
      </c>
      <c r="AQ2" s="36"/>
      <c r="AR2" s="34"/>
      <c r="AS2" s="38" t="s">
        <v>20777</v>
      </c>
      <c r="AT2" s="36"/>
      <c r="AU2" s="38" t="s">
        <v>489</v>
      </c>
      <c r="AV2" s="70" t="s">
        <v>20778</v>
      </c>
      <c r="AW2" s="38">
        <v>1</v>
      </c>
      <c r="AX2" s="63" t="s">
        <v>490</v>
      </c>
      <c r="AY2" t="str">
        <f>MID(BN2,1,4)</f>
        <v>0</v>
      </c>
      <c r="AZ2" s="34"/>
      <c r="BA2" s="36"/>
      <c r="BB2" s="38">
        <v>12</v>
      </c>
      <c r="BC2" s="64" t="str">
        <f>IF(BD2&lt;=4999,"04","12")</f>
        <v>04</v>
      </c>
      <c r="BD2">
        <f>'ALLEGATO 1 CONDOMINI'!P17</f>
        <v>0</v>
      </c>
      <c r="BE2" s="34"/>
      <c r="BF2" s="36"/>
      <c r="BG2" s="36"/>
      <c r="BH2" s="36"/>
      <c r="BI2" s="65"/>
      <c r="BJ2" s="36"/>
      <c r="BK2" s="37" t="s">
        <v>483</v>
      </c>
      <c r="BL2" s="37" t="s">
        <v>484</v>
      </c>
      <c r="BM2" s="37" t="s">
        <v>491</v>
      </c>
      <c r="BN2" s="40">
        <f>'ALLEGATO 1 CONDOMINI'!L17</f>
        <v>0</v>
      </c>
      <c r="BO2">
        <f>'ALLEGATO 1 CONDOMINI'!O17</f>
        <v>0</v>
      </c>
      <c r="BQ2" t="e">
        <f>P2</f>
        <v>#N/A</v>
      </c>
      <c r="BR2">
        <f>Q2</f>
        <v>0</v>
      </c>
      <c r="BS2" t="e">
        <f>R2</f>
        <v>#N/A</v>
      </c>
      <c r="BT2" t="e">
        <f>S2</f>
        <v>#N/A</v>
      </c>
      <c r="BU2">
        <f>T2</f>
        <v>0</v>
      </c>
      <c r="BV2">
        <f t="shared" ref="BV2:BW2" si="0">U2</f>
        <v>0</v>
      </c>
      <c r="BW2">
        <f t="shared" si="0"/>
        <v>0</v>
      </c>
      <c r="BY2" s="34"/>
      <c r="BZ2" s="34"/>
      <c r="CA2" s="34"/>
      <c r="CB2">
        <f>'ALLEGATO 1 CONDOMINI'!N17</f>
        <v>0</v>
      </c>
      <c r="CC2" s="36"/>
      <c r="CD2" s="34"/>
      <c r="CE2" s="36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7" t="s">
        <v>20779</v>
      </c>
      <c r="CR2" s="34"/>
      <c r="CS2" s="36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7" t="s">
        <v>494</v>
      </c>
      <c r="DF2" s="34"/>
      <c r="DG2">
        <f>AF2</f>
        <v>0</v>
      </c>
      <c r="DH2">
        <f>AG2</f>
        <v>0</v>
      </c>
      <c r="DI2">
        <f>'ALLEGATO 1 CONDOMINI'!K17</f>
        <v>0</v>
      </c>
      <c r="DJ2" s="37" t="s">
        <v>495</v>
      </c>
      <c r="DK2" s="36"/>
      <c r="DL2" s="34"/>
      <c r="DM2" s="34"/>
      <c r="DN2" s="34"/>
      <c r="DO2" s="34"/>
      <c r="DP2" s="34"/>
      <c r="DQ2" s="34"/>
      <c r="DR2" s="34"/>
      <c r="DS2" s="34"/>
      <c r="DT2" s="34"/>
      <c r="DU2" s="36"/>
      <c r="DV2" s="34"/>
      <c r="DW2" s="34"/>
      <c r="DX2" s="34"/>
      <c r="DY2" s="34"/>
      <c r="DZ2" s="34"/>
      <c r="EA2" s="34"/>
      <c r="EB2" s="34"/>
      <c r="EC2" s="34"/>
      <c r="ED2" t="e">
        <f>VLOOKUP('ALLEGATO 1 CONDOMINI'!M17,Venditori!B:E,4,FALSE)</f>
        <v>#N/A</v>
      </c>
      <c r="EE2" s="36"/>
      <c r="EF2" s="36"/>
      <c r="EG2" s="34"/>
      <c r="EH2" s="34"/>
      <c r="EI2" s="37" t="s">
        <v>20780</v>
      </c>
      <c r="EJ2" s="37"/>
      <c r="EK2" s="37" t="s">
        <v>20781</v>
      </c>
      <c r="EL2" s="37" t="s">
        <v>485</v>
      </c>
      <c r="EM2" s="34"/>
      <c r="EN2" s="34"/>
      <c r="EO2" t="str">
        <f>MID(D2,1,20)</f>
        <v>COND.</v>
      </c>
      <c r="EP2" s="34"/>
      <c r="EQ2" s="34"/>
      <c r="ER2" s="38" t="s">
        <v>20782</v>
      </c>
      <c r="ES2" s="34"/>
      <c r="ET2" s="34"/>
      <c r="EU2" s="34"/>
      <c r="EV2" s="38" t="s">
        <v>20783</v>
      </c>
      <c r="EW2" s="36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9"/>
      <c r="FS2" s="34"/>
      <c r="FT2" s="38" t="s">
        <v>496</v>
      </c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8" t="s">
        <v>486</v>
      </c>
      <c r="GK2" s="38" t="s">
        <v>486</v>
      </c>
      <c r="GL2" s="38" t="s">
        <v>486</v>
      </c>
      <c r="GM2" s="66"/>
      <c r="GN2" s="38">
        <v>28</v>
      </c>
      <c r="GO2" s="38" t="s">
        <v>486</v>
      </c>
      <c r="GP2" s="38" t="s">
        <v>497</v>
      </c>
      <c r="GQ2" s="41"/>
      <c r="GR2" s="41"/>
      <c r="GS2" s="41"/>
      <c r="GT2" s="41"/>
      <c r="GU2" s="41"/>
      <c r="GV2" s="41"/>
      <c r="GW2" s="41"/>
    </row>
    <row r="3" spans="1:205" x14ac:dyDescent="0.2">
      <c r="A3" s="34"/>
      <c r="B3" s="34"/>
      <c r="C3" s="34"/>
      <c r="D3" t="str">
        <f>_xlfn.CONCAT('ALLEGATO 1 CONDOMINI'!B18,'ALLEGATO 1 CONDOMINI'!C18)</f>
        <v>COND.</v>
      </c>
      <c r="E3" s="34"/>
      <c r="F3">
        <f>'ALLEGATO 1 CONDOMINI'!D18</f>
        <v>0</v>
      </c>
      <c r="G3" s="36"/>
      <c r="H3" s="34"/>
      <c r="I3" s="36"/>
      <c r="J3" s="36"/>
      <c r="K3" s="37" t="s">
        <v>481</v>
      </c>
      <c r="L3" s="38">
        <v>22</v>
      </c>
      <c r="M3" s="37" t="s">
        <v>482</v>
      </c>
      <c r="N3" s="36"/>
      <c r="O3" s="34"/>
      <c r="P3" t="e">
        <f>VLOOKUP(Q3,'Zone Istat'!A:E,2,FALSE)</f>
        <v>#N/A</v>
      </c>
      <c r="Q3">
        <f>'ALLEGATO 1 CONDOMINI'!I18</f>
        <v>0</v>
      </c>
      <c r="R3" t="e">
        <f>VLOOKUP(Q3,'Zone Istat'!A:E,5,FALSE)</f>
        <v>#N/A</v>
      </c>
      <c r="S3" t="e">
        <f>VLOOKUP(Q3,'Zone Istat'!A:E,4,FALSE)</f>
        <v>#N/A</v>
      </c>
      <c r="T3">
        <f>'ALLEGATO 1 CONDOMINI'!E18</f>
        <v>0</v>
      </c>
      <c r="U3">
        <f>'ALLEGATO 1 CONDOMINI'!F18</f>
        <v>0</v>
      </c>
      <c r="V3">
        <f>'ALLEGATO 1 CONDOMINI'!G18</f>
        <v>0</v>
      </c>
      <c r="X3" s="34"/>
      <c r="Y3" s="34"/>
      <c r="Z3" s="34"/>
      <c r="AA3" s="37" t="s">
        <v>483</v>
      </c>
      <c r="AB3" s="37" t="s">
        <v>484</v>
      </c>
      <c r="AC3" s="37" t="s">
        <v>485</v>
      </c>
      <c r="AD3" s="37" t="s">
        <v>486</v>
      </c>
      <c r="AE3" s="37" t="s">
        <v>491</v>
      </c>
      <c r="AF3" s="36"/>
      <c r="AG3" s="36"/>
      <c r="AH3" s="34"/>
      <c r="AI3" s="34"/>
      <c r="AJ3" t="str">
        <f t="shared" ref="AJ3:AJ13" si="1">D3</f>
        <v>COND.</v>
      </c>
      <c r="AK3" s="34"/>
      <c r="AL3" s="37" t="s">
        <v>481</v>
      </c>
      <c r="AM3" s="38">
        <v>22</v>
      </c>
      <c r="AN3" s="37">
        <v>5</v>
      </c>
      <c r="AO3" s="37">
        <v>2</v>
      </c>
      <c r="AP3" s="38">
        <v>9904</v>
      </c>
      <c r="AQ3" s="36"/>
      <c r="AR3" s="34"/>
      <c r="AS3" s="38" t="s">
        <v>20777</v>
      </c>
      <c r="AT3" s="36"/>
      <c r="AU3" s="38" t="s">
        <v>489</v>
      </c>
      <c r="AV3" s="70" t="s">
        <v>20778</v>
      </c>
      <c r="AW3" s="38">
        <v>1</v>
      </c>
      <c r="AX3" s="63" t="s">
        <v>490</v>
      </c>
      <c r="AY3" t="str">
        <f t="shared" ref="AY3:AY13" si="2">MID(BN3,1,4)</f>
        <v>0</v>
      </c>
      <c r="AZ3" s="34"/>
      <c r="BA3" s="36"/>
      <c r="BB3" s="38">
        <v>12</v>
      </c>
      <c r="BC3" s="64" t="str">
        <f t="shared" ref="BC3:BC13" si="3">IF(BD3&lt;=4999,"04","12")</f>
        <v>04</v>
      </c>
      <c r="BD3">
        <f>'ALLEGATO 1 CONDOMINI'!P18</f>
        <v>0</v>
      </c>
      <c r="BE3" s="34"/>
      <c r="BF3" s="36"/>
      <c r="BG3" s="36"/>
      <c r="BH3" s="36"/>
      <c r="BI3" s="65"/>
      <c r="BJ3" s="36"/>
      <c r="BK3" s="37" t="s">
        <v>483</v>
      </c>
      <c r="BL3" s="37" t="s">
        <v>484</v>
      </c>
      <c r="BM3" s="37" t="s">
        <v>491</v>
      </c>
      <c r="BN3" s="40">
        <f>'ALLEGATO 1 CONDOMINI'!L18</f>
        <v>0</v>
      </c>
      <c r="BO3">
        <f>'ALLEGATO 1 CONDOMINI'!O18</f>
        <v>0</v>
      </c>
      <c r="BQ3" t="e">
        <f t="shared" ref="BQ3:BT8" si="4">P3</f>
        <v>#N/A</v>
      </c>
      <c r="BR3">
        <f t="shared" si="4"/>
        <v>0</v>
      </c>
      <c r="BS3" t="e">
        <f t="shared" si="4"/>
        <v>#N/A</v>
      </c>
      <c r="BT3" t="e">
        <f t="shared" si="4"/>
        <v>#N/A</v>
      </c>
      <c r="BU3">
        <f t="shared" ref="BU3:BU13" si="5">T3</f>
        <v>0</v>
      </c>
      <c r="BV3">
        <f t="shared" ref="BV3:BV13" si="6">U3</f>
        <v>0</v>
      </c>
      <c r="BW3">
        <f t="shared" ref="BW3:BW13" si="7">V3</f>
        <v>0</v>
      </c>
      <c r="BY3" s="34"/>
      <c r="BZ3" s="34"/>
      <c r="CA3" s="34"/>
      <c r="CB3">
        <f>'ALLEGATO 1 CONDOMINI'!N18</f>
        <v>0</v>
      </c>
      <c r="CC3" s="36"/>
      <c r="CD3" s="34"/>
      <c r="CE3" s="36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7" t="s">
        <v>20779</v>
      </c>
      <c r="CR3" s="34"/>
      <c r="CS3" s="36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7" t="s">
        <v>494</v>
      </c>
      <c r="DF3" s="34"/>
      <c r="DG3">
        <f t="shared" ref="DG3:DH13" si="8">AF3</f>
        <v>0</v>
      </c>
      <c r="DH3">
        <f t="shared" si="8"/>
        <v>0</v>
      </c>
      <c r="DI3">
        <f>'ALLEGATO 1 CONDOMINI'!K18</f>
        <v>0</v>
      </c>
      <c r="DJ3" s="37" t="s">
        <v>495</v>
      </c>
      <c r="DK3" s="36"/>
      <c r="DL3" s="34"/>
      <c r="DM3" s="34"/>
      <c r="DN3" s="34"/>
      <c r="DO3" s="34"/>
      <c r="DP3" s="34"/>
      <c r="DQ3" s="34"/>
      <c r="DR3" s="34"/>
      <c r="DS3" s="34"/>
      <c r="DT3" s="34"/>
      <c r="DU3" s="36"/>
      <c r="DV3" s="34"/>
      <c r="DW3" s="34"/>
      <c r="DX3" s="34"/>
      <c r="DY3" s="34"/>
      <c r="DZ3" s="34"/>
      <c r="EA3" s="34"/>
      <c r="EB3" s="34"/>
      <c r="EC3" s="34"/>
      <c r="ED3" t="e">
        <f>VLOOKUP('ALLEGATO 1 CONDOMINI'!M18,Venditori!B:E,4,FALSE)</f>
        <v>#N/A</v>
      </c>
      <c r="EE3" s="36"/>
      <c r="EF3" s="36"/>
      <c r="EG3" s="34"/>
      <c r="EH3" s="34"/>
      <c r="EI3" s="37" t="s">
        <v>20780</v>
      </c>
      <c r="EJ3" s="37"/>
      <c r="EK3" s="37" t="s">
        <v>20781</v>
      </c>
      <c r="EL3" s="37" t="s">
        <v>485</v>
      </c>
      <c r="EM3" s="34"/>
      <c r="EN3" s="34"/>
      <c r="EO3" t="str">
        <f t="shared" ref="EO3:EO13" si="9">MID(D3,1,20)</f>
        <v>COND.</v>
      </c>
      <c r="EP3" s="34"/>
      <c r="EQ3" s="34"/>
      <c r="ER3" s="38" t="s">
        <v>20782</v>
      </c>
      <c r="ES3" s="34"/>
      <c r="ET3" s="34"/>
      <c r="EU3" s="34"/>
      <c r="EV3" s="38" t="s">
        <v>20783</v>
      </c>
      <c r="EW3" s="36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9"/>
      <c r="FS3" s="34"/>
      <c r="FT3" s="38" t="s">
        <v>496</v>
      </c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8" t="s">
        <v>486</v>
      </c>
      <c r="GK3" s="38" t="s">
        <v>486</v>
      </c>
      <c r="GL3" s="38" t="s">
        <v>486</v>
      </c>
      <c r="GM3" s="66"/>
      <c r="GN3" s="38">
        <v>28</v>
      </c>
      <c r="GO3" s="38" t="s">
        <v>486</v>
      </c>
      <c r="GP3" s="38" t="s">
        <v>497</v>
      </c>
      <c r="GQ3" s="41"/>
      <c r="GR3" s="41"/>
      <c r="GS3" s="41"/>
      <c r="GT3" s="41"/>
      <c r="GU3" s="41"/>
      <c r="GV3" s="41"/>
      <c r="GW3" s="41"/>
    </row>
    <row r="4" spans="1:205" x14ac:dyDescent="0.2">
      <c r="A4" s="34"/>
      <c r="B4" s="34"/>
      <c r="C4" s="34"/>
      <c r="D4" t="str">
        <f>_xlfn.CONCAT('ALLEGATO 1 CONDOMINI'!B19,'ALLEGATO 1 CONDOMINI'!C19)</f>
        <v>COND.</v>
      </c>
      <c r="E4" s="34"/>
      <c r="F4">
        <f>'ALLEGATO 1 CONDOMINI'!D19</f>
        <v>0</v>
      </c>
      <c r="G4" s="36"/>
      <c r="H4" s="34"/>
      <c r="I4" s="36"/>
      <c r="J4" s="36"/>
      <c r="K4" s="37" t="s">
        <v>481</v>
      </c>
      <c r="L4" s="38">
        <v>22</v>
      </c>
      <c r="M4" s="37" t="s">
        <v>482</v>
      </c>
      <c r="N4" s="36"/>
      <c r="O4" s="34"/>
      <c r="P4" t="e">
        <f>VLOOKUP(Q4,'Zone Istat'!A:E,2,FALSE)</f>
        <v>#N/A</v>
      </c>
      <c r="Q4">
        <f>'ALLEGATO 1 CONDOMINI'!I19</f>
        <v>0</v>
      </c>
      <c r="R4" t="e">
        <f>VLOOKUP(Q4,'Zone Istat'!A:E,5,FALSE)</f>
        <v>#N/A</v>
      </c>
      <c r="S4" t="e">
        <f>VLOOKUP(Q4,'Zone Istat'!A:E,4,FALSE)</f>
        <v>#N/A</v>
      </c>
      <c r="T4">
        <f>'ALLEGATO 1 CONDOMINI'!E19</f>
        <v>0</v>
      </c>
      <c r="U4">
        <f>'ALLEGATO 1 CONDOMINI'!F19</f>
        <v>0</v>
      </c>
      <c r="V4">
        <f>'ALLEGATO 1 CONDOMINI'!G19</f>
        <v>0</v>
      </c>
      <c r="X4" s="34"/>
      <c r="Y4" s="34"/>
      <c r="Z4" s="34"/>
      <c r="AA4" s="37" t="s">
        <v>483</v>
      </c>
      <c r="AB4" s="37" t="s">
        <v>484</v>
      </c>
      <c r="AC4" s="37" t="s">
        <v>485</v>
      </c>
      <c r="AD4" s="37" t="s">
        <v>486</v>
      </c>
      <c r="AE4" s="37" t="s">
        <v>491</v>
      </c>
      <c r="AF4" s="36"/>
      <c r="AG4" s="36"/>
      <c r="AH4" s="34"/>
      <c r="AI4" s="34"/>
      <c r="AJ4" t="str">
        <f t="shared" si="1"/>
        <v>COND.</v>
      </c>
      <c r="AK4" s="34"/>
      <c r="AL4" s="37" t="s">
        <v>481</v>
      </c>
      <c r="AM4" s="38">
        <v>22</v>
      </c>
      <c r="AN4" s="37">
        <v>5</v>
      </c>
      <c r="AO4" s="37">
        <v>2</v>
      </c>
      <c r="AP4" s="38">
        <v>9904</v>
      </c>
      <c r="AQ4" s="36"/>
      <c r="AR4" s="34"/>
      <c r="AS4" s="38" t="s">
        <v>20777</v>
      </c>
      <c r="AT4" s="36"/>
      <c r="AU4" s="38" t="s">
        <v>489</v>
      </c>
      <c r="AV4" s="70" t="s">
        <v>20778</v>
      </c>
      <c r="AW4" s="38">
        <v>1</v>
      </c>
      <c r="AX4" s="63" t="s">
        <v>490</v>
      </c>
      <c r="AY4" t="str">
        <f t="shared" si="2"/>
        <v>0</v>
      </c>
      <c r="AZ4" s="34"/>
      <c r="BA4" s="36"/>
      <c r="BB4" s="38">
        <v>12</v>
      </c>
      <c r="BC4" s="64" t="str">
        <f t="shared" si="3"/>
        <v>04</v>
      </c>
      <c r="BD4">
        <f>'ALLEGATO 1 CONDOMINI'!P19</f>
        <v>0</v>
      </c>
      <c r="BE4" s="34"/>
      <c r="BF4" s="36"/>
      <c r="BG4" s="36"/>
      <c r="BH4" s="36"/>
      <c r="BI4" s="65"/>
      <c r="BJ4" s="36"/>
      <c r="BK4" s="37" t="s">
        <v>483</v>
      </c>
      <c r="BL4" s="37" t="s">
        <v>484</v>
      </c>
      <c r="BM4" s="37" t="s">
        <v>491</v>
      </c>
      <c r="BN4" s="40">
        <f>'ALLEGATO 1 CONDOMINI'!L19</f>
        <v>0</v>
      </c>
      <c r="BO4">
        <f>'ALLEGATO 1 CONDOMINI'!O19</f>
        <v>0</v>
      </c>
      <c r="BQ4" t="e">
        <f t="shared" si="4"/>
        <v>#N/A</v>
      </c>
      <c r="BR4">
        <f t="shared" si="4"/>
        <v>0</v>
      </c>
      <c r="BS4" t="e">
        <f t="shared" si="4"/>
        <v>#N/A</v>
      </c>
      <c r="BT4" t="e">
        <f t="shared" si="4"/>
        <v>#N/A</v>
      </c>
      <c r="BU4">
        <f t="shared" si="5"/>
        <v>0</v>
      </c>
      <c r="BV4">
        <f t="shared" si="6"/>
        <v>0</v>
      </c>
      <c r="BW4">
        <f t="shared" si="7"/>
        <v>0</v>
      </c>
      <c r="BY4" s="34"/>
      <c r="BZ4" s="34"/>
      <c r="CA4" s="34"/>
      <c r="CB4">
        <f>'ALLEGATO 1 CONDOMINI'!N19</f>
        <v>0</v>
      </c>
      <c r="CC4" s="36"/>
      <c r="CD4" s="34"/>
      <c r="CE4" s="36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7" t="s">
        <v>20779</v>
      </c>
      <c r="CR4" s="34"/>
      <c r="CS4" s="36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7" t="s">
        <v>494</v>
      </c>
      <c r="DF4" s="34"/>
      <c r="DG4">
        <f t="shared" si="8"/>
        <v>0</v>
      </c>
      <c r="DH4">
        <f t="shared" si="8"/>
        <v>0</v>
      </c>
      <c r="DI4">
        <f>'ALLEGATO 1 CONDOMINI'!K19</f>
        <v>0</v>
      </c>
      <c r="DJ4" s="37" t="s">
        <v>495</v>
      </c>
      <c r="DK4" s="36"/>
      <c r="DL4" s="34"/>
      <c r="DM4" s="34"/>
      <c r="DN4" s="34"/>
      <c r="DO4" s="34"/>
      <c r="DP4" s="34"/>
      <c r="DQ4" s="34"/>
      <c r="DR4" s="34"/>
      <c r="DS4" s="34"/>
      <c r="DT4" s="34"/>
      <c r="DU4" s="36"/>
      <c r="DV4" s="34"/>
      <c r="DW4" s="34"/>
      <c r="DX4" s="34"/>
      <c r="DY4" s="34"/>
      <c r="DZ4" s="34"/>
      <c r="EA4" s="34"/>
      <c r="EB4" s="34"/>
      <c r="EC4" s="34"/>
      <c r="ED4" t="e">
        <f>VLOOKUP('ALLEGATO 1 CONDOMINI'!M19,Venditori!B:E,4,FALSE)</f>
        <v>#N/A</v>
      </c>
      <c r="EE4" s="36"/>
      <c r="EF4" s="36"/>
      <c r="EG4" s="34"/>
      <c r="EH4" s="34"/>
      <c r="EI4" s="37" t="s">
        <v>20780</v>
      </c>
      <c r="EJ4" s="37"/>
      <c r="EK4" s="37" t="s">
        <v>20781</v>
      </c>
      <c r="EL4" s="37" t="s">
        <v>485</v>
      </c>
      <c r="EM4" s="34"/>
      <c r="EN4" s="34"/>
      <c r="EO4" t="str">
        <f t="shared" si="9"/>
        <v>COND.</v>
      </c>
      <c r="EP4" s="34"/>
      <c r="EQ4" s="34"/>
      <c r="ER4" s="38" t="s">
        <v>20782</v>
      </c>
      <c r="ES4" s="34"/>
      <c r="ET4" s="34"/>
      <c r="EU4" s="34"/>
      <c r="EV4" s="38" t="s">
        <v>20783</v>
      </c>
      <c r="EW4" s="36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9"/>
      <c r="FS4" s="34"/>
      <c r="FT4" s="38" t="s">
        <v>496</v>
      </c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8" t="s">
        <v>486</v>
      </c>
      <c r="GK4" s="38" t="s">
        <v>486</v>
      </c>
      <c r="GL4" s="38" t="s">
        <v>486</v>
      </c>
      <c r="GM4" s="66"/>
      <c r="GN4" s="38">
        <v>28</v>
      </c>
      <c r="GO4" s="38" t="s">
        <v>486</v>
      </c>
      <c r="GP4" s="38" t="s">
        <v>497</v>
      </c>
      <c r="GQ4" s="41"/>
      <c r="GR4" s="41"/>
      <c r="GS4" s="41"/>
      <c r="GT4" s="41"/>
      <c r="GU4" s="41"/>
      <c r="GV4" s="41"/>
      <c r="GW4" s="41"/>
    </row>
    <row r="5" spans="1:205" x14ac:dyDescent="0.2">
      <c r="A5" s="34"/>
      <c r="B5" s="34"/>
      <c r="C5" s="34"/>
      <c r="D5" t="str">
        <f>_xlfn.CONCAT('ALLEGATO 1 CONDOMINI'!B20,'ALLEGATO 1 CONDOMINI'!C20)</f>
        <v>COND.</v>
      </c>
      <c r="E5" s="34"/>
      <c r="F5">
        <f>'ALLEGATO 1 CONDOMINI'!D20</f>
        <v>0</v>
      </c>
      <c r="G5" s="36"/>
      <c r="H5" s="34"/>
      <c r="I5" s="36"/>
      <c r="J5" s="36"/>
      <c r="K5" s="37" t="s">
        <v>481</v>
      </c>
      <c r="L5" s="38">
        <v>22</v>
      </c>
      <c r="M5" s="37" t="s">
        <v>482</v>
      </c>
      <c r="N5" s="36"/>
      <c r="O5" s="34"/>
      <c r="P5" t="e">
        <f>VLOOKUP(Q5,'Zone Istat'!A:E,2,FALSE)</f>
        <v>#N/A</v>
      </c>
      <c r="Q5">
        <f>'ALLEGATO 1 CONDOMINI'!I20</f>
        <v>0</v>
      </c>
      <c r="R5" t="e">
        <f>VLOOKUP(Q5,'Zone Istat'!A:E,5,FALSE)</f>
        <v>#N/A</v>
      </c>
      <c r="S5" t="e">
        <f>VLOOKUP(Q5,'Zone Istat'!A:E,4,FALSE)</f>
        <v>#N/A</v>
      </c>
      <c r="T5">
        <f>'ALLEGATO 1 CONDOMINI'!E20</f>
        <v>0</v>
      </c>
      <c r="U5">
        <f>'ALLEGATO 1 CONDOMINI'!F20</f>
        <v>0</v>
      </c>
      <c r="V5">
        <f>'ALLEGATO 1 CONDOMINI'!G20</f>
        <v>0</v>
      </c>
      <c r="X5" s="34"/>
      <c r="Y5" s="34"/>
      <c r="Z5" s="34"/>
      <c r="AA5" s="37" t="s">
        <v>483</v>
      </c>
      <c r="AB5" s="37" t="s">
        <v>484</v>
      </c>
      <c r="AC5" s="37" t="s">
        <v>485</v>
      </c>
      <c r="AD5" s="37" t="s">
        <v>486</v>
      </c>
      <c r="AE5" s="37" t="s">
        <v>491</v>
      </c>
      <c r="AF5" s="36"/>
      <c r="AG5" s="36"/>
      <c r="AH5" s="34"/>
      <c r="AI5" s="34"/>
      <c r="AJ5" t="str">
        <f t="shared" si="1"/>
        <v>COND.</v>
      </c>
      <c r="AK5" s="34"/>
      <c r="AL5" s="37" t="s">
        <v>481</v>
      </c>
      <c r="AM5" s="38">
        <v>22</v>
      </c>
      <c r="AN5" s="37">
        <v>5</v>
      </c>
      <c r="AO5" s="37">
        <v>2</v>
      </c>
      <c r="AP5" s="38">
        <v>9904</v>
      </c>
      <c r="AQ5" s="36"/>
      <c r="AR5" s="34"/>
      <c r="AS5" s="38" t="s">
        <v>20777</v>
      </c>
      <c r="AT5" s="36"/>
      <c r="AU5" s="38" t="s">
        <v>489</v>
      </c>
      <c r="AV5" s="70" t="s">
        <v>20778</v>
      </c>
      <c r="AW5" s="38">
        <v>1</v>
      </c>
      <c r="AX5" s="63" t="s">
        <v>490</v>
      </c>
      <c r="AY5" t="str">
        <f t="shared" si="2"/>
        <v>0</v>
      </c>
      <c r="AZ5" s="34"/>
      <c r="BA5" s="36"/>
      <c r="BB5" s="38">
        <v>12</v>
      </c>
      <c r="BC5" s="64" t="str">
        <f t="shared" si="3"/>
        <v>04</v>
      </c>
      <c r="BD5">
        <f>'ALLEGATO 1 CONDOMINI'!P20</f>
        <v>0</v>
      </c>
      <c r="BE5" s="34"/>
      <c r="BF5" s="36"/>
      <c r="BG5" s="36"/>
      <c r="BH5" s="36"/>
      <c r="BI5" s="65"/>
      <c r="BJ5" s="36"/>
      <c r="BK5" s="37" t="s">
        <v>483</v>
      </c>
      <c r="BL5" s="37" t="s">
        <v>484</v>
      </c>
      <c r="BM5" s="37" t="s">
        <v>491</v>
      </c>
      <c r="BN5" s="40">
        <f>'ALLEGATO 1 CONDOMINI'!L20</f>
        <v>0</v>
      </c>
      <c r="BO5">
        <f>'ALLEGATO 1 CONDOMINI'!O20</f>
        <v>0</v>
      </c>
      <c r="BQ5" t="e">
        <f t="shared" si="4"/>
        <v>#N/A</v>
      </c>
      <c r="BR5">
        <f t="shared" si="4"/>
        <v>0</v>
      </c>
      <c r="BS5" t="e">
        <f t="shared" si="4"/>
        <v>#N/A</v>
      </c>
      <c r="BT5" t="e">
        <f t="shared" si="4"/>
        <v>#N/A</v>
      </c>
      <c r="BU5">
        <f t="shared" si="5"/>
        <v>0</v>
      </c>
      <c r="BV5">
        <f t="shared" si="6"/>
        <v>0</v>
      </c>
      <c r="BW5">
        <f t="shared" si="7"/>
        <v>0</v>
      </c>
      <c r="BY5" s="34"/>
      <c r="BZ5" s="34"/>
      <c r="CA5" s="34"/>
      <c r="CB5">
        <f>'ALLEGATO 1 CONDOMINI'!N20</f>
        <v>0</v>
      </c>
      <c r="CC5" s="36"/>
      <c r="CD5" s="34"/>
      <c r="CE5" s="36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7" t="s">
        <v>20779</v>
      </c>
      <c r="CR5" s="34"/>
      <c r="CS5" s="36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7" t="s">
        <v>494</v>
      </c>
      <c r="DF5" s="34"/>
      <c r="DG5">
        <f t="shared" si="8"/>
        <v>0</v>
      </c>
      <c r="DH5">
        <f t="shared" si="8"/>
        <v>0</v>
      </c>
      <c r="DI5">
        <f>'ALLEGATO 1 CONDOMINI'!K20</f>
        <v>0</v>
      </c>
      <c r="DJ5" s="37" t="s">
        <v>495</v>
      </c>
      <c r="DK5" s="36"/>
      <c r="DL5" s="34"/>
      <c r="DM5" s="34"/>
      <c r="DN5" s="34"/>
      <c r="DO5" s="34"/>
      <c r="DP5" s="34"/>
      <c r="DQ5" s="34"/>
      <c r="DR5" s="34"/>
      <c r="DS5" s="34"/>
      <c r="DT5" s="34"/>
      <c r="DU5" s="36"/>
      <c r="DV5" s="34"/>
      <c r="DW5" s="34"/>
      <c r="DX5" s="34"/>
      <c r="DY5" s="34"/>
      <c r="DZ5" s="34"/>
      <c r="EA5" s="34"/>
      <c r="EB5" s="34"/>
      <c r="EC5" s="34"/>
      <c r="ED5" t="e">
        <f>VLOOKUP('ALLEGATO 1 CONDOMINI'!M20,Venditori!B:E,4,FALSE)</f>
        <v>#N/A</v>
      </c>
      <c r="EE5" s="36"/>
      <c r="EF5" s="36"/>
      <c r="EG5" s="34"/>
      <c r="EH5" s="34"/>
      <c r="EI5" s="37" t="s">
        <v>20780</v>
      </c>
      <c r="EJ5" s="37"/>
      <c r="EK5" s="37" t="s">
        <v>20781</v>
      </c>
      <c r="EL5" s="37" t="s">
        <v>485</v>
      </c>
      <c r="EM5" s="34"/>
      <c r="EN5" s="34"/>
      <c r="EO5" t="str">
        <f t="shared" si="9"/>
        <v>COND.</v>
      </c>
      <c r="EP5" s="34"/>
      <c r="EQ5" s="34"/>
      <c r="ER5" s="38" t="s">
        <v>20782</v>
      </c>
      <c r="ES5" s="34"/>
      <c r="ET5" s="34"/>
      <c r="EU5" s="34"/>
      <c r="EV5" s="38" t="s">
        <v>20783</v>
      </c>
      <c r="EW5" s="36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9"/>
      <c r="FS5" s="34"/>
      <c r="FT5" s="38" t="s">
        <v>496</v>
      </c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8" t="s">
        <v>486</v>
      </c>
      <c r="GK5" s="38" t="s">
        <v>486</v>
      </c>
      <c r="GL5" s="38" t="s">
        <v>486</v>
      </c>
      <c r="GM5" s="66"/>
      <c r="GN5" s="38">
        <v>28</v>
      </c>
      <c r="GO5" s="38" t="s">
        <v>486</v>
      </c>
      <c r="GP5" s="38" t="s">
        <v>497</v>
      </c>
      <c r="GQ5" s="41"/>
      <c r="GR5" s="41"/>
      <c r="GS5" s="41"/>
      <c r="GT5" s="41"/>
      <c r="GU5" s="41"/>
      <c r="GV5" s="41"/>
      <c r="GW5" s="41"/>
    </row>
    <row r="6" spans="1:205" x14ac:dyDescent="0.2">
      <c r="A6" s="34"/>
      <c r="B6" s="34"/>
      <c r="C6" s="34"/>
      <c r="D6" t="str">
        <f>_xlfn.CONCAT('ALLEGATO 1 CONDOMINI'!B21,'ALLEGATO 1 CONDOMINI'!C21)</f>
        <v>COND.</v>
      </c>
      <c r="E6" s="34"/>
      <c r="F6">
        <f>'ALLEGATO 1 CONDOMINI'!D21</f>
        <v>0</v>
      </c>
      <c r="G6" s="36"/>
      <c r="H6" s="34"/>
      <c r="I6" s="36"/>
      <c r="J6" s="36"/>
      <c r="K6" s="37" t="s">
        <v>481</v>
      </c>
      <c r="L6" s="38">
        <v>22</v>
      </c>
      <c r="M6" s="37" t="s">
        <v>482</v>
      </c>
      <c r="N6" s="36"/>
      <c r="O6" s="34"/>
      <c r="P6" t="e">
        <f>VLOOKUP(Q6,'Zone Istat'!A:E,2,FALSE)</f>
        <v>#N/A</v>
      </c>
      <c r="Q6">
        <f>'ALLEGATO 1 CONDOMINI'!I21</f>
        <v>0</v>
      </c>
      <c r="R6" t="e">
        <f>VLOOKUP(Q6,'[1]Zone Istat'!A:E,5,FALSE)</f>
        <v>#N/A</v>
      </c>
      <c r="S6" t="e">
        <f>VLOOKUP(Q6,'Zone Istat'!A:E,4,FALSE)</f>
        <v>#N/A</v>
      </c>
      <c r="T6">
        <f>'ALLEGATO 1 CONDOMINI'!E21</f>
        <v>0</v>
      </c>
      <c r="U6">
        <f>'ALLEGATO 1 CONDOMINI'!F21</f>
        <v>0</v>
      </c>
      <c r="V6">
        <f>'ALLEGATO 1 CONDOMINI'!G21</f>
        <v>0</v>
      </c>
      <c r="X6" s="34"/>
      <c r="Y6" s="34"/>
      <c r="Z6" s="34"/>
      <c r="AA6" s="37" t="s">
        <v>483</v>
      </c>
      <c r="AB6" s="37" t="s">
        <v>484</v>
      </c>
      <c r="AC6" s="37" t="s">
        <v>485</v>
      </c>
      <c r="AD6" s="37" t="s">
        <v>486</v>
      </c>
      <c r="AE6" s="37" t="s">
        <v>491</v>
      </c>
      <c r="AF6" s="36"/>
      <c r="AG6" s="36"/>
      <c r="AH6" s="34"/>
      <c r="AI6" s="34"/>
      <c r="AJ6" t="str">
        <f t="shared" si="1"/>
        <v>COND.</v>
      </c>
      <c r="AK6" s="34"/>
      <c r="AL6" s="37" t="s">
        <v>481</v>
      </c>
      <c r="AM6" s="38">
        <v>22</v>
      </c>
      <c r="AN6" s="37">
        <v>5</v>
      </c>
      <c r="AO6" s="37">
        <v>2</v>
      </c>
      <c r="AP6" s="38">
        <v>9904</v>
      </c>
      <c r="AQ6" s="36"/>
      <c r="AR6" s="34"/>
      <c r="AS6" s="38" t="s">
        <v>20777</v>
      </c>
      <c r="AT6" s="36"/>
      <c r="AU6" s="38" t="s">
        <v>489</v>
      </c>
      <c r="AV6" s="70" t="s">
        <v>20778</v>
      </c>
      <c r="AW6" s="38">
        <v>1</v>
      </c>
      <c r="AX6" s="63" t="s">
        <v>490</v>
      </c>
      <c r="AY6" t="str">
        <f t="shared" si="2"/>
        <v>0</v>
      </c>
      <c r="AZ6" s="34"/>
      <c r="BA6" s="36"/>
      <c r="BB6" s="38">
        <v>12</v>
      </c>
      <c r="BC6" s="64" t="str">
        <f t="shared" si="3"/>
        <v>04</v>
      </c>
      <c r="BD6">
        <f>'ALLEGATO 1 CONDOMINI'!P21</f>
        <v>0</v>
      </c>
      <c r="BE6" s="34"/>
      <c r="BF6" s="36"/>
      <c r="BG6" s="36"/>
      <c r="BH6" s="36"/>
      <c r="BI6" s="65"/>
      <c r="BJ6" s="36"/>
      <c r="BK6" s="37" t="s">
        <v>483</v>
      </c>
      <c r="BL6" s="37" t="s">
        <v>484</v>
      </c>
      <c r="BM6" s="37" t="s">
        <v>491</v>
      </c>
      <c r="BN6" s="40">
        <f>'ALLEGATO 1 CONDOMINI'!L21</f>
        <v>0</v>
      </c>
      <c r="BO6">
        <f>'ALLEGATO 1 CONDOMINI'!O21</f>
        <v>0</v>
      </c>
      <c r="BQ6" t="e">
        <f t="shared" si="4"/>
        <v>#N/A</v>
      </c>
      <c r="BR6">
        <f t="shared" si="4"/>
        <v>0</v>
      </c>
      <c r="BS6" t="e">
        <f t="shared" si="4"/>
        <v>#N/A</v>
      </c>
      <c r="BT6" t="e">
        <f t="shared" si="4"/>
        <v>#N/A</v>
      </c>
      <c r="BU6">
        <f t="shared" si="5"/>
        <v>0</v>
      </c>
      <c r="BV6">
        <f t="shared" si="6"/>
        <v>0</v>
      </c>
      <c r="BW6">
        <f t="shared" si="7"/>
        <v>0</v>
      </c>
      <c r="BY6" s="34"/>
      <c r="BZ6" s="34"/>
      <c r="CA6" s="34"/>
      <c r="CB6">
        <f>'ALLEGATO 1 CONDOMINI'!N21</f>
        <v>0</v>
      </c>
      <c r="CC6" s="36"/>
      <c r="CD6" s="34"/>
      <c r="CE6" s="36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7" t="s">
        <v>20779</v>
      </c>
      <c r="CR6" s="34"/>
      <c r="CS6" s="36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7" t="s">
        <v>494</v>
      </c>
      <c r="DF6" s="34"/>
      <c r="DG6">
        <f t="shared" si="8"/>
        <v>0</v>
      </c>
      <c r="DH6">
        <f t="shared" si="8"/>
        <v>0</v>
      </c>
      <c r="DI6">
        <f>'ALLEGATO 1 CONDOMINI'!K21</f>
        <v>0</v>
      </c>
      <c r="DJ6" s="37" t="s">
        <v>495</v>
      </c>
      <c r="DK6" s="36"/>
      <c r="DL6" s="34"/>
      <c r="DM6" s="34"/>
      <c r="DN6" s="34"/>
      <c r="DO6" s="34"/>
      <c r="DP6" s="34"/>
      <c r="DQ6" s="34"/>
      <c r="DR6" s="34"/>
      <c r="DS6" s="34"/>
      <c r="DT6" s="34"/>
      <c r="DU6" s="36"/>
      <c r="DV6" s="34"/>
      <c r="DW6" s="34"/>
      <c r="DX6" s="34"/>
      <c r="DY6" s="34"/>
      <c r="DZ6" s="34"/>
      <c r="EA6" s="34"/>
      <c r="EB6" s="34"/>
      <c r="EC6" s="34"/>
      <c r="ED6" t="e">
        <f>VLOOKUP('ALLEGATO 1 CONDOMINI'!M21,Venditori!B:E,4,FALSE)</f>
        <v>#N/A</v>
      </c>
      <c r="EE6" s="36"/>
      <c r="EF6" s="36"/>
      <c r="EG6" s="34"/>
      <c r="EH6" s="34"/>
      <c r="EI6" s="37" t="s">
        <v>20780</v>
      </c>
      <c r="EJ6" s="37"/>
      <c r="EK6" s="37" t="s">
        <v>20781</v>
      </c>
      <c r="EL6" s="37" t="s">
        <v>485</v>
      </c>
      <c r="EM6" s="34"/>
      <c r="EN6" s="34"/>
      <c r="EO6" t="str">
        <f t="shared" si="9"/>
        <v>COND.</v>
      </c>
      <c r="EP6" s="34"/>
      <c r="EQ6" s="34"/>
      <c r="ER6" s="38" t="s">
        <v>20782</v>
      </c>
      <c r="ES6" s="34"/>
      <c r="ET6" s="34"/>
      <c r="EU6" s="34"/>
      <c r="EV6" s="38" t="s">
        <v>20783</v>
      </c>
      <c r="EW6" s="36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9"/>
      <c r="FS6" s="34"/>
      <c r="FT6" s="38" t="s">
        <v>496</v>
      </c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8" t="s">
        <v>486</v>
      </c>
      <c r="GK6" s="38" t="s">
        <v>486</v>
      </c>
      <c r="GL6" s="38" t="s">
        <v>486</v>
      </c>
      <c r="GM6" s="66"/>
      <c r="GN6" s="38">
        <v>28</v>
      </c>
      <c r="GO6" s="38" t="s">
        <v>486</v>
      </c>
      <c r="GP6" s="38" t="s">
        <v>497</v>
      </c>
      <c r="GQ6" s="41"/>
      <c r="GR6" s="41"/>
      <c r="GS6" s="41"/>
      <c r="GT6" s="41"/>
      <c r="GU6" s="41"/>
      <c r="GV6" s="41"/>
      <c r="GW6" s="41"/>
    </row>
    <row r="7" spans="1:205" x14ac:dyDescent="0.2">
      <c r="A7" s="34"/>
      <c r="B7" s="34"/>
      <c r="C7" s="34"/>
      <c r="D7" t="str">
        <f>_xlfn.CONCAT('ALLEGATO 1 CONDOMINI'!B22,'ALLEGATO 1 CONDOMINI'!C22)</f>
        <v>COND.</v>
      </c>
      <c r="E7" s="34"/>
      <c r="F7">
        <f>'ALLEGATO 1 CONDOMINI'!D22</f>
        <v>0</v>
      </c>
      <c r="G7" s="36"/>
      <c r="H7" s="34"/>
      <c r="I7" s="36"/>
      <c r="J7" s="36"/>
      <c r="K7" s="37" t="s">
        <v>481</v>
      </c>
      <c r="L7" s="38">
        <v>22</v>
      </c>
      <c r="M7" s="37" t="s">
        <v>482</v>
      </c>
      <c r="N7" s="36"/>
      <c r="O7" s="34"/>
      <c r="P7" t="e">
        <f>VLOOKUP(Q7,'Zone Istat'!A:E,2,FALSE)</f>
        <v>#N/A</v>
      </c>
      <c r="Q7">
        <f>'ALLEGATO 1 CONDOMINI'!I22</f>
        <v>0</v>
      </c>
      <c r="R7" t="e">
        <f>VLOOKUP(Q7,'[1]Zone Istat'!A:E,5,FALSE)</f>
        <v>#N/A</v>
      </c>
      <c r="S7" t="e">
        <f>VLOOKUP(Q7,'Zone Istat'!A:E,4,FALSE)</f>
        <v>#N/A</v>
      </c>
      <c r="T7">
        <f>'ALLEGATO 1 CONDOMINI'!E22</f>
        <v>0</v>
      </c>
      <c r="U7">
        <f>'ALLEGATO 1 CONDOMINI'!F22</f>
        <v>0</v>
      </c>
      <c r="V7">
        <f>'ALLEGATO 1 CONDOMINI'!G22</f>
        <v>0</v>
      </c>
      <c r="X7" s="34"/>
      <c r="Y7" s="34"/>
      <c r="Z7" s="34"/>
      <c r="AA7" s="37" t="s">
        <v>483</v>
      </c>
      <c r="AB7" s="37" t="s">
        <v>484</v>
      </c>
      <c r="AC7" s="37" t="s">
        <v>485</v>
      </c>
      <c r="AD7" s="37" t="s">
        <v>486</v>
      </c>
      <c r="AE7" s="37" t="s">
        <v>491</v>
      </c>
      <c r="AF7" s="36"/>
      <c r="AG7" s="36"/>
      <c r="AH7" s="34"/>
      <c r="AI7" s="34"/>
      <c r="AJ7" t="str">
        <f t="shared" si="1"/>
        <v>COND.</v>
      </c>
      <c r="AK7" s="34"/>
      <c r="AL7" s="37" t="s">
        <v>481</v>
      </c>
      <c r="AM7" s="38">
        <v>22</v>
      </c>
      <c r="AN7" s="37">
        <v>5</v>
      </c>
      <c r="AO7" s="37">
        <v>2</v>
      </c>
      <c r="AP7" s="38">
        <v>9904</v>
      </c>
      <c r="AQ7" s="36"/>
      <c r="AR7" s="34"/>
      <c r="AS7" s="38" t="s">
        <v>20777</v>
      </c>
      <c r="AT7" s="36"/>
      <c r="AU7" s="38" t="s">
        <v>489</v>
      </c>
      <c r="AV7" s="70" t="s">
        <v>20778</v>
      </c>
      <c r="AW7" s="38">
        <v>1</v>
      </c>
      <c r="AX7" s="63" t="s">
        <v>490</v>
      </c>
      <c r="AY7" t="str">
        <f t="shared" si="2"/>
        <v>0</v>
      </c>
      <c r="AZ7" s="34"/>
      <c r="BA7" s="36"/>
      <c r="BB7" s="38">
        <v>12</v>
      </c>
      <c r="BC7" s="64" t="str">
        <f t="shared" si="3"/>
        <v>04</v>
      </c>
      <c r="BD7">
        <f>'ALLEGATO 1 CONDOMINI'!P22</f>
        <v>0</v>
      </c>
      <c r="BE7" s="34"/>
      <c r="BF7" s="36"/>
      <c r="BG7" s="36"/>
      <c r="BH7" s="36"/>
      <c r="BI7" s="65"/>
      <c r="BJ7" s="36"/>
      <c r="BK7" s="37" t="s">
        <v>483</v>
      </c>
      <c r="BL7" s="37" t="s">
        <v>484</v>
      </c>
      <c r="BM7" s="37" t="s">
        <v>491</v>
      </c>
      <c r="BN7" s="40">
        <f>'ALLEGATO 1 CONDOMINI'!L22</f>
        <v>0</v>
      </c>
      <c r="BO7">
        <f>'ALLEGATO 1 CONDOMINI'!O22</f>
        <v>0</v>
      </c>
      <c r="BQ7" t="e">
        <f t="shared" si="4"/>
        <v>#N/A</v>
      </c>
      <c r="BR7">
        <f t="shared" si="4"/>
        <v>0</v>
      </c>
      <c r="BS7" t="e">
        <f t="shared" si="4"/>
        <v>#N/A</v>
      </c>
      <c r="BT7" t="e">
        <f t="shared" si="4"/>
        <v>#N/A</v>
      </c>
      <c r="BU7">
        <f t="shared" si="5"/>
        <v>0</v>
      </c>
      <c r="BV7">
        <f t="shared" si="6"/>
        <v>0</v>
      </c>
      <c r="BW7">
        <f t="shared" si="7"/>
        <v>0</v>
      </c>
      <c r="BY7" s="34"/>
      <c r="BZ7" s="34"/>
      <c r="CA7" s="34"/>
      <c r="CB7">
        <f>'ALLEGATO 1 CONDOMINI'!N22</f>
        <v>0</v>
      </c>
      <c r="CC7" s="36"/>
      <c r="CD7" s="34"/>
      <c r="CE7" s="36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7" t="s">
        <v>20779</v>
      </c>
      <c r="CR7" s="34"/>
      <c r="CS7" s="36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7" t="s">
        <v>494</v>
      </c>
      <c r="DF7" s="34"/>
      <c r="DG7">
        <f t="shared" si="8"/>
        <v>0</v>
      </c>
      <c r="DH7">
        <f t="shared" si="8"/>
        <v>0</v>
      </c>
      <c r="DI7">
        <f>'ALLEGATO 1 CONDOMINI'!K22</f>
        <v>0</v>
      </c>
      <c r="DJ7" s="37" t="s">
        <v>495</v>
      </c>
      <c r="DK7" s="36"/>
      <c r="DL7" s="34"/>
      <c r="DM7" s="34"/>
      <c r="DN7" s="34"/>
      <c r="DO7" s="34"/>
      <c r="DP7" s="34"/>
      <c r="DQ7" s="34"/>
      <c r="DR7" s="34"/>
      <c r="DS7" s="34"/>
      <c r="DT7" s="34"/>
      <c r="DU7" s="36"/>
      <c r="DV7" s="34"/>
      <c r="DW7" s="34"/>
      <c r="DX7" s="34"/>
      <c r="DY7" s="34"/>
      <c r="DZ7" s="34"/>
      <c r="EA7" s="34"/>
      <c r="EB7" s="34"/>
      <c r="EC7" s="34"/>
      <c r="ED7" t="e">
        <f>VLOOKUP('ALLEGATO 1 CONDOMINI'!M22,Venditori!B:E,4,FALSE)</f>
        <v>#N/A</v>
      </c>
      <c r="EE7" s="36"/>
      <c r="EF7" s="36"/>
      <c r="EG7" s="34"/>
      <c r="EH7" s="34"/>
      <c r="EI7" s="37" t="s">
        <v>20780</v>
      </c>
      <c r="EJ7" s="37"/>
      <c r="EK7" s="37" t="s">
        <v>20781</v>
      </c>
      <c r="EL7" s="37" t="s">
        <v>485</v>
      </c>
      <c r="EM7" s="34"/>
      <c r="EN7" s="34"/>
      <c r="EO7" t="str">
        <f t="shared" si="9"/>
        <v>COND.</v>
      </c>
      <c r="EP7" s="34"/>
      <c r="EQ7" s="34"/>
      <c r="ER7" s="38" t="s">
        <v>20782</v>
      </c>
      <c r="ES7" s="34"/>
      <c r="ET7" s="34"/>
      <c r="EU7" s="34"/>
      <c r="EV7" s="38" t="s">
        <v>20783</v>
      </c>
      <c r="EW7" s="36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9"/>
      <c r="FS7" s="34"/>
      <c r="FT7" s="38" t="s">
        <v>496</v>
      </c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8" t="s">
        <v>486</v>
      </c>
      <c r="GK7" s="38" t="s">
        <v>486</v>
      </c>
      <c r="GL7" s="38" t="s">
        <v>486</v>
      </c>
      <c r="GM7" s="66"/>
      <c r="GN7" s="38">
        <v>28</v>
      </c>
      <c r="GO7" s="38" t="s">
        <v>486</v>
      </c>
      <c r="GP7" s="38" t="s">
        <v>497</v>
      </c>
      <c r="GQ7" s="41"/>
      <c r="GR7" s="41"/>
      <c r="GS7" s="41"/>
      <c r="GT7" s="41"/>
      <c r="GU7" s="41"/>
      <c r="GV7" s="41"/>
      <c r="GW7" s="41"/>
    </row>
    <row r="8" spans="1:205" x14ac:dyDescent="0.2">
      <c r="A8" s="34"/>
      <c r="B8" s="34"/>
      <c r="C8" s="34"/>
      <c r="D8" t="str">
        <f>_xlfn.CONCAT('ALLEGATO 1 CONDOMINI'!B23,'ALLEGATO 1 CONDOMINI'!C23)</f>
        <v>COND.</v>
      </c>
      <c r="E8" s="34"/>
      <c r="F8">
        <f>'ALLEGATO 1 CONDOMINI'!D23</f>
        <v>0</v>
      </c>
      <c r="G8" s="36"/>
      <c r="H8" s="34"/>
      <c r="I8" s="36"/>
      <c r="J8" s="36"/>
      <c r="K8" s="37" t="s">
        <v>481</v>
      </c>
      <c r="L8" s="38">
        <v>22</v>
      </c>
      <c r="M8" s="37" t="s">
        <v>482</v>
      </c>
      <c r="N8" s="36"/>
      <c r="O8" s="34"/>
      <c r="P8" t="e">
        <f>VLOOKUP(Q8,'Zone Istat'!A:E,2,FALSE)</f>
        <v>#N/A</v>
      </c>
      <c r="Q8">
        <f>'ALLEGATO 1 CONDOMINI'!I23</f>
        <v>0</v>
      </c>
      <c r="R8" t="e">
        <f>VLOOKUP(Q8,'[1]Zone Istat'!A:E,5,FALSE)</f>
        <v>#N/A</v>
      </c>
      <c r="S8" t="e">
        <f>VLOOKUP(Q8,'Zone Istat'!A:E,4,FALSE)</f>
        <v>#N/A</v>
      </c>
      <c r="T8">
        <f>'ALLEGATO 1 CONDOMINI'!E23</f>
        <v>0</v>
      </c>
      <c r="U8">
        <f>'ALLEGATO 1 CONDOMINI'!F23</f>
        <v>0</v>
      </c>
      <c r="V8">
        <f>'ALLEGATO 1 CONDOMINI'!G23</f>
        <v>0</v>
      </c>
      <c r="X8" s="34"/>
      <c r="Y8" s="34"/>
      <c r="Z8" s="34"/>
      <c r="AA8" s="37" t="s">
        <v>483</v>
      </c>
      <c r="AB8" s="37" t="s">
        <v>484</v>
      </c>
      <c r="AC8" s="37" t="s">
        <v>485</v>
      </c>
      <c r="AD8" s="37" t="s">
        <v>486</v>
      </c>
      <c r="AE8" s="37" t="s">
        <v>491</v>
      </c>
      <c r="AF8" s="36"/>
      <c r="AG8" s="36"/>
      <c r="AH8" s="34"/>
      <c r="AI8" s="34"/>
      <c r="AJ8" t="str">
        <f t="shared" si="1"/>
        <v>COND.</v>
      </c>
      <c r="AK8" s="34"/>
      <c r="AL8" s="37" t="s">
        <v>481</v>
      </c>
      <c r="AM8" s="38">
        <v>22</v>
      </c>
      <c r="AN8" s="37">
        <v>5</v>
      </c>
      <c r="AO8" s="37">
        <v>2</v>
      </c>
      <c r="AP8" s="38">
        <v>9904</v>
      </c>
      <c r="AQ8" s="36"/>
      <c r="AR8" s="34"/>
      <c r="AS8" s="38" t="s">
        <v>20777</v>
      </c>
      <c r="AT8" s="36"/>
      <c r="AU8" s="38" t="s">
        <v>489</v>
      </c>
      <c r="AV8" s="70" t="s">
        <v>20778</v>
      </c>
      <c r="AW8" s="38">
        <v>1</v>
      </c>
      <c r="AX8" s="63" t="s">
        <v>490</v>
      </c>
      <c r="AY8" t="str">
        <f t="shared" si="2"/>
        <v>0</v>
      </c>
      <c r="AZ8" s="34"/>
      <c r="BA8" s="36"/>
      <c r="BB8" s="38">
        <v>12</v>
      </c>
      <c r="BC8" s="64" t="str">
        <f t="shared" si="3"/>
        <v>04</v>
      </c>
      <c r="BD8">
        <f>'ALLEGATO 1 CONDOMINI'!P23</f>
        <v>0</v>
      </c>
      <c r="BE8" s="34"/>
      <c r="BF8" s="36"/>
      <c r="BG8" s="36"/>
      <c r="BH8" s="36"/>
      <c r="BI8" s="65"/>
      <c r="BJ8" s="36"/>
      <c r="BK8" s="37" t="s">
        <v>483</v>
      </c>
      <c r="BL8" s="37" t="s">
        <v>484</v>
      </c>
      <c r="BM8" s="37" t="s">
        <v>491</v>
      </c>
      <c r="BN8" s="40">
        <f>'ALLEGATO 1 CONDOMINI'!L23</f>
        <v>0</v>
      </c>
      <c r="BO8">
        <f>'ALLEGATO 1 CONDOMINI'!O23</f>
        <v>0</v>
      </c>
      <c r="BQ8" t="e">
        <f t="shared" si="4"/>
        <v>#N/A</v>
      </c>
      <c r="BR8">
        <f t="shared" si="4"/>
        <v>0</v>
      </c>
      <c r="BS8" t="e">
        <f t="shared" si="4"/>
        <v>#N/A</v>
      </c>
      <c r="BT8" t="e">
        <f t="shared" si="4"/>
        <v>#N/A</v>
      </c>
      <c r="BU8">
        <f t="shared" si="5"/>
        <v>0</v>
      </c>
      <c r="BV8">
        <f t="shared" si="6"/>
        <v>0</v>
      </c>
      <c r="BW8">
        <f t="shared" si="7"/>
        <v>0</v>
      </c>
      <c r="BY8" s="34"/>
      <c r="BZ8" s="34"/>
      <c r="CA8" s="34"/>
      <c r="CB8">
        <f>'ALLEGATO 1 CONDOMINI'!N23</f>
        <v>0</v>
      </c>
      <c r="CC8" s="36"/>
      <c r="CD8" s="34"/>
      <c r="CE8" s="36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7" t="s">
        <v>20779</v>
      </c>
      <c r="CR8" s="34"/>
      <c r="CS8" s="36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7" t="s">
        <v>494</v>
      </c>
      <c r="DF8" s="34"/>
      <c r="DG8">
        <f t="shared" si="8"/>
        <v>0</v>
      </c>
      <c r="DH8">
        <f t="shared" si="8"/>
        <v>0</v>
      </c>
      <c r="DI8">
        <f>'ALLEGATO 1 CONDOMINI'!K23</f>
        <v>0</v>
      </c>
      <c r="DJ8" s="37" t="s">
        <v>495</v>
      </c>
      <c r="DK8" s="36"/>
      <c r="DL8" s="34"/>
      <c r="DM8" s="34"/>
      <c r="DN8" s="34"/>
      <c r="DO8" s="34"/>
      <c r="DP8" s="34"/>
      <c r="DQ8" s="34"/>
      <c r="DR8" s="34"/>
      <c r="DS8" s="34"/>
      <c r="DT8" s="34"/>
      <c r="DU8" s="36"/>
      <c r="DV8" s="34"/>
      <c r="DW8" s="34"/>
      <c r="DX8" s="34"/>
      <c r="DY8" s="34"/>
      <c r="DZ8" s="34"/>
      <c r="EA8" s="34"/>
      <c r="EB8" s="34"/>
      <c r="EC8" s="34"/>
      <c r="ED8" t="e">
        <f>VLOOKUP('ALLEGATO 1 CONDOMINI'!M23,Venditori!B:E,4,FALSE)</f>
        <v>#N/A</v>
      </c>
      <c r="EE8" s="36"/>
      <c r="EF8" s="36"/>
      <c r="EG8" s="34"/>
      <c r="EH8" s="34"/>
      <c r="EI8" s="37" t="s">
        <v>20780</v>
      </c>
      <c r="EJ8" s="37"/>
      <c r="EK8" s="37" t="s">
        <v>20781</v>
      </c>
      <c r="EL8" s="37" t="s">
        <v>485</v>
      </c>
      <c r="EM8" s="34"/>
      <c r="EN8" s="34"/>
      <c r="EO8" t="str">
        <f t="shared" si="9"/>
        <v>COND.</v>
      </c>
      <c r="EP8" s="34"/>
      <c r="EQ8" s="34"/>
      <c r="ER8" s="38" t="s">
        <v>20782</v>
      </c>
      <c r="ES8" s="34"/>
      <c r="ET8" s="34"/>
      <c r="EU8" s="34"/>
      <c r="EV8" s="38" t="s">
        <v>20783</v>
      </c>
      <c r="EW8" s="36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9"/>
      <c r="FS8" s="34"/>
      <c r="FT8" s="38" t="s">
        <v>496</v>
      </c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8" t="s">
        <v>486</v>
      </c>
      <c r="GK8" s="38" t="s">
        <v>486</v>
      </c>
      <c r="GL8" s="38" t="s">
        <v>486</v>
      </c>
      <c r="GM8" s="66"/>
      <c r="GN8" s="38">
        <v>28</v>
      </c>
      <c r="GO8" s="38" t="s">
        <v>486</v>
      </c>
      <c r="GP8" s="38" t="s">
        <v>497</v>
      </c>
      <c r="GQ8" s="41"/>
      <c r="GR8" s="41"/>
      <c r="GS8" s="41"/>
      <c r="GT8" s="41"/>
      <c r="GU8" s="41"/>
      <c r="GV8" s="41"/>
      <c r="GW8" s="41"/>
    </row>
    <row r="9" spans="1:205" x14ac:dyDescent="0.2">
      <c r="A9" s="34"/>
      <c r="B9" s="34"/>
      <c r="C9" s="34"/>
      <c r="D9" t="str">
        <f>_xlfn.CONCAT('ALLEGATO 1 CONDOMINI'!B24,'ALLEGATO 1 CONDOMINI'!C24)</f>
        <v>COND.</v>
      </c>
      <c r="E9" s="34"/>
      <c r="F9">
        <f>'ALLEGATO 1 CONDOMINI'!D24</f>
        <v>0</v>
      </c>
      <c r="G9" s="36"/>
      <c r="H9" s="34"/>
      <c r="I9" s="36"/>
      <c r="J9" s="36"/>
      <c r="K9" s="37" t="s">
        <v>481</v>
      </c>
      <c r="L9" s="38">
        <v>22</v>
      </c>
      <c r="M9" s="37" t="s">
        <v>482</v>
      </c>
      <c r="N9" s="36"/>
      <c r="O9" s="34"/>
      <c r="P9" t="e">
        <f>VLOOKUP(Q9,'Zone Istat'!A:E,2,FALSE)</f>
        <v>#N/A</v>
      </c>
      <c r="Q9">
        <f>'ALLEGATO 1 CONDOMINI'!I24</f>
        <v>0</v>
      </c>
      <c r="R9" t="e">
        <f>VLOOKUP(Q9,'[1]Zone Istat'!A:E,5,FALSE)</f>
        <v>#N/A</v>
      </c>
      <c r="S9" t="e">
        <f>VLOOKUP(Q9,'Zone Istat'!A:E,4,FALSE)</f>
        <v>#N/A</v>
      </c>
      <c r="T9">
        <f>'ALLEGATO 1 CONDOMINI'!E24</f>
        <v>0</v>
      </c>
      <c r="U9">
        <f>'ALLEGATO 1 CONDOMINI'!F24</f>
        <v>0</v>
      </c>
      <c r="V9">
        <f>'ALLEGATO 1 CONDOMINI'!G24</f>
        <v>0</v>
      </c>
      <c r="X9" s="34"/>
      <c r="Y9" s="34"/>
      <c r="Z9" s="34"/>
      <c r="AA9" s="37" t="s">
        <v>483</v>
      </c>
      <c r="AB9" s="37" t="s">
        <v>484</v>
      </c>
      <c r="AC9" s="37" t="s">
        <v>485</v>
      </c>
      <c r="AD9" s="37" t="s">
        <v>486</v>
      </c>
      <c r="AE9" s="37" t="s">
        <v>491</v>
      </c>
      <c r="AF9" s="36"/>
      <c r="AG9" s="36"/>
      <c r="AH9" s="34"/>
      <c r="AI9" s="34"/>
      <c r="AJ9" t="str">
        <f t="shared" si="1"/>
        <v>COND.</v>
      </c>
      <c r="AK9" s="34"/>
      <c r="AL9" s="37" t="s">
        <v>481</v>
      </c>
      <c r="AM9" s="38">
        <v>22</v>
      </c>
      <c r="AN9" s="37">
        <v>5</v>
      </c>
      <c r="AO9" s="37">
        <v>2</v>
      </c>
      <c r="AP9" s="38">
        <v>9904</v>
      </c>
      <c r="AQ9" s="36"/>
      <c r="AR9" s="34"/>
      <c r="AS9" s="38" t="s">
        <v>20777</v>
      </c>
      <c r="AT9" s="36"/>
      <c r="AU9" s="38" t="s">
        <v>489</v>
      </c>
      <c r="AV9" s="70" t="s">
        <v>20778</v>
      </c>
      <c r="AW9" s="38">
        <v>1</v>
      </c>
      <c r="AX9" s="63" t="s">
        <v>490</v>
      </c>
      <c r="AY9" t="str">
        <f t="shared" si="2"/>
        <v>0</v>
      </c>
      <c r="AZ9" s="34"/>
      <c r="BA9" s="36"/>
      <c r="BB9" s="38">
        <v>12</v>
      </c>
      <c r="BC9" s="64" t="str">
        <f t="shared" si="3"/>
        <v>04</v>
      </c>
      <c r="BD9">
        <f>'ALLEGATO 1 CONDOMINI'!P24</f>
        <v>0</v>
      </c>
      <c r="BE9" s="34"/>
      <c r="BF9" s="36"/>
      <c r="BG9" s="36"/>
      <c r="BH9" s="36"/>
      <c r="BI9" s="65"/>
      <c r="BJ9" s="36"/>
      <c r="BK9" s="37" t="s">
        <v>483</v>
      </c>
      <c r="BL9" s="37" t="s">
        <v>484</v>
      </c>
      <c r="BM9" s="37" t="s">
        <v>491</v>
      </c>
      <c r="BN9" s="40">
        <f>'ALLEGATO 1 CONDOMINI'!L24</f>
        <v>0</v>
      </c>
      <c r="BO9">
        <f>'ALLEGATO 1 CONDOMINI'!O24</f>
        <v>0</v>
      </c>
      <c r="BP9" t="e">
        <f t="shared" ref="BP9:BS10" si="10">P9</f>
        <v>#N/A</v>
      </c>
      <c r="BQ9">
        <f t="shared" si="10"/>
        <v>0</v>
      </c>
      <c r="BR9" t="e">
        <f t="shared" si="10"/>
        <v>#N/A</v>
      </c>
      <c r="BS9" t="e">
        <f t="shared" si="10"/>
        <v>#N/A</v>
      </c>
      <c r="BU9">
        <f t="shared" si="5"/>
        <v>0</v>
      </c>
      <c r="BV9">
        <f t="shared" si="6"/>
        <v>0</v>
      </c>
      <c r="BW9">
        <f t="shared" si="7"/>
        <v>0</v>
      </c>
      <c r="BY9" s="34"/>
      <c r="BZ9" s="34"/>
      <c r="CA9" s="34"/>
      <c r="CB9">
        <f>'ALLEGATO 1 CONDOMINI'!N24</f>
        <v>0</v>
      </c>
      <c r="CC9" s="36"/>
      <c r="CD9" s="34"/>
      <c r="CE9" s="36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7" t="s">
        <v>20779</v>
      </c>
      <c r="CR9" s="34"/>
      <c r="CS9" s="36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7" t="s">
        <v>494</v>
      </c>
      <c r="DF9" s="34"/>
      <c r="DG9">
        <f t="shared" si="8"/>
        <v>0</v>
      </c>
      <c r="DH9">
        <f t="shared" si="8"/>
        <v>0</v>
      </c>
      <c r="DI9">
        <f>'ALLEGATO 1 CONDOMINI'!K24</f>
        <v>0</v>
      </c>
      <c r="DJ9" s="37" t="s">
        <v>495</v>
      </c>
      <c r="DK9" s="36"/>
      <c r="DL9" s="34"/>
      <c r="DM9" s="34"/>
      <c r="DN9" s="34"/>
      <c r="DO9" s="34"/>
      <c r="DP9" s="34"/>
      <c r="DQ9" s="34"/>
      <c r="DR9" s="34"/>
      <c r="DS9" s="34"/>
      <c r="DT9" s="34"/>
      <c r="DU9" s="36"/>
      <c r="DV9" s="34"/>
      <c r="DW9" s="34"/>
      <c r="DX9" s="34"/>
      <c r="DY9" s="34"/>
      <c r="DZ9" s="34"/>
      <c r="EA9" s="34"/>
      <c r="EB9" s="34"/>
      <c r="EC9" s="34"/>
      <c r="ED9" t="e">
        <f>VLOOKUP('ALLEGATO 1 CONDOMINI'!M24,Venditori!B:E,4,FALSE)</f>
        <v>#N/A</v>
      </c>
      <c r="EE9" s="36"/>
      <c r="EF9" s="36"/>
      <c r="EG9" s="34"/>
      <c r="EH9" s="34"/>
      <c r="EI9" s="37" t="s">
        <v>20780</v>
      </c>
      <c r="EJ9" s="37"/>
      <c r="EK9" s="37" t="s">
        <v>20781</v>
      </c>
      <c r="EL9" s="37" t="s">
        <v>485</v>
      </c>
      <c r="EM9" s="34"/>
      <c r="EN9" s="34"/>
      <c r="EO9" t="str">
        <f t="shared" si="9"/>
        <v>COND.</v>
      </c>
      <c r="EP9" s="34"/>
      <c r="EQ9" s="34"/>
      <c r="ER9" s="38" t="s">
        <v>20782</v>
      </c>
      <c r="ES9" s="34"/>
      <c r="ET9" s="34"/>
      <c r="EU9" s="34"/>
      <c r="EV9" s="38" t="s">
        <v>20783</v>
      </c>
      <c r="EW9" s="36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9"/>
      <c r="FS9" s="34"/>
      <c r="FT9" s="38" t="s">
        <v>496</v>
      </c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8" t="s">
        <v>486</v>
      </c>
      <c r="GK9" s="38" t="s">
        <v>486</v>
      </c>
      <c r="GL9" s="38" t="s">
        <v>486</v>
      </c>
      <c r="GM9" s="66"/>
      <c r="GN9" s="38">
        <v>28</v>
      </c>
      <c r="GO9" s="38" t="s">
        <v>486</v>
      </c>
      <c r="GP9" s="38" t="s">
        <v>497</v>
      </c>
      <c r="GQ9" s="41"/>
      <c r="GR9" s="41"/>
      <c r="GS9" s="41"/>
      <c r="GT9" s="41"/>
      <c r="GU9" s="41"/>
      <c r="GV9" s="41"/>
      <c r="GW9" s="41"/>
    </row>
    <row r="10" spans="1:205" x14ac:dyDescent="0.2">
      <c r="A10" s="34"/>
      <c r="B10" s="34"/>
      <c r="C10" s="34"/>
      <c r="D10" t="str">
        <f>_xlfn.CONCAT('ALLEGATO 1 CONDOMINI'!B25,'ALLEGATO 1 CONDOMINI'!C25)</f>
        <v>COND.</v>
      </c>
      <c r="E10" s="34"/>
      <c r="F10">
        <f>'ALLEGATO 1 CONDOMINI'!D25</f>
        <v>0</v>
      </c>
      <c r="G10" s="36"/>
      <c r="H10" s="34"/>
      <c r="I10" s="36"/>
      <c r="J10" s="36"/>
      <c r="K10" s="37" t="s">
        <v>481</v>
      </c>
      <c r="L10" s="38">
        <v>22</v>
      </c>
      <c r="M10" s="37" t="s">
        <v>482</v>
      </c>
      <c r="N10" s="36"/>
      <c r="O10" s="34"/>
      <c r="P10" t="e">
        <f>VLOOKUP(Q10,'Zone Istat'!A:E,2,FALSE)</f>
        <v>#N/A</v>
      </c>
      <c r="Q10">
        <f>'ALLEGATO 1 CONDOMINI'!I25</f>
        <v>0</v>
      </c>
      <c r="R10" t="e">
        <f>VLOOKUP(Q10,'[1]Zone Istat'!A:E,5,FALSE)</f>
        <v>#N/A</v>
      </c>
      <c r="S10" t="e">
        <f>VLOOKUP(Q10,'Zone Istat'!A:E,4,FALSE)</f>
        <v>#N/A</v>
      </c>
      <c r="T10">
        <f>'ALLEGATO 1 CONDOMINI'!E25</f>
        <v>0</v>
      </c>
      <c r="U10">
        <f>'ALLEGATO 1 CONDOMINI'!F25</f>
        <v>0</v>
      </c>
      <c r="V10">
        <f>'ALLEGATO 1 CONDOMINI'!G25</f>
        <v>0</v>
      </c>
      <c r="X10" s="34"/>
      <c r="Y10" s="34"/>
      <c r="Z10" s="34"/>
      <c r="AA10" s="37" t="s">
        <v>483</v>
      </c>
      <c r="AB10" s="37" t="s">
        <v>484</v>
      </c>
      <c r="AC10" s="37" t="s">
        <v>485</v>
      </c>
      <c r="AD10" s="37" t="s">
        <v>486</v>
      </c>
      <c r="AE10" s="37" t="s">
        <v>491</v>
      </c>
      <c r="AF10" s="36"/>
      <c r="AG10" s="36"/>
      <c r="AH10" s="34"/>
      <c r="AI10" s="34"/>
      <c r="AJ10" t="str">
        <f t="shared" si="1"/>
        <v>COND.</v>
      </c>
      <c r="AK10" s="34"/>
      <c r="AL10" s="37" t="s">
        <v>481</v>
      </c>
      <c r="AM10" s="38">
        <v>22</v>
      </c>
      <c r="AN10" s="37">
        <v>5</v>
      </c>
      <c r="AO10" s="37">
        <v>2</v>
      </c>
      <c r="AP10" s="38">
        <v>9904</v>
      </c>
      <c r="AQ10" s="36"/>
      <c r="AR10" s="34"/>
      <c r="AS10" s="38" t="s">
        <v>20777</v>
      </c>
      <c r="AT10" s="36"/>
      <c r="AU10" s="38" t="s">
        <v>489</v>
      </c>
      <c r="AV10" s="70" t="s">
        <v>20778</v>
      </c>
      <c r="AW10" s="38">
        <v>1</v>
      </c>
      <c r="AX10" s="63" t="s">
        <v>490</v>
      </c>
      <c r="AY10" t="str">
        <f t="shared" si="2"/>
        <v>0</v>
      </c>
      <c r="AZ10" s="34"/>
      <c r="BA10" s="36"/>
      <c r="BB10" s="38">
        <v>12</v>
      </c>
      <c r="BC10" s="64" t="str">
        <f t="shared" si="3"/>
        <v>04</v>
      </c>
      <c r="BD10">
        <f>'ALLEGATO 1 CONDOMINI'!P25</f>
        <v>0</v>
      </c>
      <c r="BE10" s="34"/>
      <c r="BF10" s="36"/>
      <c r="BG10" s="36"/>
      <c r="BH10" s="36"/>
      <c r="BI10" s="65"/>
      <c r="BJ10" s="36"/>
      <c r="BK10" s="37" t="s">
        <v>483</v>
      </c>
      <c r="BL10" s="37" t="s">
        <v>484</v>
      </c>
      <c r="BM10" s="37" t="s">
        <v>491</v>
      </c>
      <c r="BN10" s="40">
        <f>'ALLEGATO 1 CONDOMINI'!L25</f>
        <v>0</v>
      </c>
      <c r="BO10">
        <f>'ALLEGATO 1 CONDOMINI'!O25</f>
        <v>0</v>
      </c>
      <c r="BP10" t="e">
        <f t="shared" si="10"/>
        <v>#N/A</v>
      </c>
      <c r="BQ10">
        <f t="shared" si="10"/>
        <v>0</v>
      </c>
      <c r="BR10" t="e">
        <f t="shared" si="10"/>
        <v>#N/A</v>
      </c>
      <c r="BS10" t="e">
        <f t="shared" si="10"/>
        <v>#N/A</v>
      </c>
      <c r="BU10">
        <f t="shared" si="5"/>
        <v>0</v>
      </c>
      <c r="BV10">
        <f t="shared" si="6"/>
        <v>0</v>
      </c>
      <c r="BW10">
        <f t="shared" si="7"/>
        <v>0</v>
      </c>
      <c r="BY10" s="34"/>
      <c r="BZ10" s="34"/>
      <c r="CA10" s="34"/>
      <c r="CB10">
        <f>'ALLEGATO 1 CONDOMINI'!N25</f>
        <v>0</v>
      </c>
      <c r="CC10" s="36"/>
      <c r="CD10" s="34"/>
      <c r="CE10" s="36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7" t="s">
        <v>20779</v>
      </c>
      <c r="CR10" s="34"/>
      <c r="CS10" s="36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7" t="s">
        <v>494</v>
      </c>
      <c r="DF10" s="34"/>
      <c r="DG10">
        <f t="shared" si="8"/>
        <v>0</v>
      </c>
      <c r="DH10">
        <f t="shared" si="8"/>
        <v>0</v>
      </c>
      <c r="DI10">
        <f>'ALLEGATO 1 CONDOMINI'!K25</f>
        <v>0</v>
      </c>
      <c r="DJ10" s="37" t="s">
        <v>495</v>
      </c>
      <c r="DK10" s="36"/>
      <c r="DL10" s="34"/>
      <c r="DM10" s="34"/>
      <c r="DN10" s="34"/>
      <c r="DO10" s="34"/>
      <c r="DP10" s="34"/>
      <c r="DQ10" s="34"/>
      <c r="DR10" s="34"/>
      <c r="DS10" s="34"/>
      <c r="DT10" s="34"/>
      <c r="DU10" s="36"/>
      <c r="DV10" s="34"/>
      <c r="DW10" s="34"/>
      <c r="DX10" s="34"/>
      <c r="DY10" s="34"/>
      <c r="DZ10" s="34"/>
      <c r="EA10" s="34"/>
      <c r="EB10" s="34"/>
      <c r="EC10" s="34"/>
      <c r="ED10" t="e">
        <f>VLOOKUP('ALLEGATO 1 CONDOMINI'!M25,Venditori!B:E,4,FALSE)</f>
        <v>#N/A</v>
      </c>
      <c r="EE10" s="36"/>
      <c r="EF10" s="36"/>
      <c r="EG10" s="34"/>
      <c r="EH10" s="34"/>
      <c r="EI10" s="37" t="s">
        <v>20780</v>
      </c>
      <c r="EJ10" s="37"/>
      <c r="EK10" s="37" t="s">
        <v>20781</v>
      </c>
      <c r="EL10" s="37" t="s">
        <v>485</v>
      </c>
      <c r="EM10" s="34"/>
      <c r="EN10" s="34"/>
      <c r="EO10" t="str">
        <f t="shared" si="9"/>
        <v>COND.</v>
      </c>
      <c r="EP10" s="34"/>
      <c r="EQ10" s="34"/>
      <c r="ER10" s="38" t="s">
        <v>20782</v>
      </c>
      <c r="ES10" s="34"/>
      <c r="ET10" s="34"/>
      <c r="EU10" s="34"/>
      <c r="EV10" s="38" t="s">
        <v>20783</v>
      </c>
      <c r="EW10" s="36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9"/>
      <c r="FS10" s="34"/>
      <c r="FT10" s="38" t="s">
        <v>496</v>
      </c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8" t="s">
        <v>486</v>
      </c>
      <c r="GK10" s="38" t="s">
        <v>486</v>
      </c>
      <c r="GL10" s="38" t="s">
        <v>486</v>
      </c>
      <c r="GM10" s="66"/>
      <c r="GN10" s="38">
        <v>28</v>
      </c>
      <c r="GO10" s="38" t="s">
        <v>486</v>
      </c>
      <c r="GP10" s="38" t="s">
        <v>497</v>
      </c>
      <c r="GQ10" s="41"/>
      <c r="GR10" s="41"/>
      <c r="GS10" s="41"/>
      <c r="GT10" s="41"/>
      <c r="GU10" s="41"/>
      <c r="GV10" s="41"/>
      <c r="GW10" s="41"/>
    </row>
    <row r="11" spans="1:205" x14ac:dyDescent="0.2">
      <c r="A11" s="34"/>
      <c r="B11" s="34"/>
      <c r="C11" s="34"/>
      <c r="D11" t="str">
        <f>_xlfn.CONCAT('ALLEGATO 1 CONDOMINI'!B26,'ALLEGATO 1 CONDOMINI'!C26)</f>
        <v>COND.</v>
      </c>
      <c r="E11" s="34"/>
      <c r="F11">
        <f>'ALLEGATO 1 CONDOMINI'!D26</f>
        <v>0</v>
      </c>
      <c r="G11" s="36"/>
      <c r="H11" s="34"/>
      <c r="I11" s="36"/>
      <c r="J11" s="36"/>
      <c r="K11" s="37" t="s">
        <v>481</v>
      </c>
      <c r="L11" s="38">
        <v>22</v>
      </c>
      <c r="M11" s="37" t="s">
        <v>482</v>
      </c>
      <c r="N11" s="36"/>
      <c r="O11" s="34"/>
      <c r="P11" t="e">
        <f>VLOOKUP(Q11,'Zone Istat'!A:E,2,FALSE)</f>
        <v>#N/A</v>
      </c>
      <c r="Q11">
        <f>'ALLEGATO 1 CONDOMINI'!I26</f>
        <v>0</v>
      </c>
      <c r="R11" t="e">
        <f>VLOOKUP(Q11,'[1]Zone Istat'!A:E,5,FALSE)</f>
        <v>#N/A</v>
      </c>
      <c r="S11" t="e">
        <f>VLOOKUP(Q11,'Zone Istat'!A:E,4,FALSE)</f>
        <v>#N/A</v>
      </c>
      <c r="T11">
        <f>'ALLEGATO 1 CONDOMINI'!E26</f>
        <v>0</v>
      </c>
      <c r="U11">
        <f>'ALLEGATO 1 CONDOMINI'!F26</f>
        <v>0</v>
      </c>
      <c r="V11">
        <f>'ALLEGATO 1 CONDOMINI'!G26</f>
        <v>0</v>
      </c>
      <c r="X11" s="34"/>
      <c r="Y11" s="34"/>
      <c r="Z11" s="34"/>
      <c r="AA11" s="37" t="s">
        <v>483</v>
      </c>
      <c r="AB11" s="37" t="s">
        <v>484</v>
      </c>
      <c r="AC11" s="37" t="s">
        <v>485</v>
      </c>
      <c r="AD11" s="37" t="s">
        <v>486</v>
      </c>
      <c r="AE11" s="37" t="s">
        <v>491</v>
      </c>
      <c r="AF11" s="36"/>
      <c r="AG11" s="36"/>
      <c r="AH11" s="34"/>
      <c r="AI11" s="34"/>
      <c r="AJ11" t="str">
        <f t="shared" si="1"/>
        <v>COND.</v>
      </c>
      <c r="AK11" s="34"/>
      <c r="AL11" s="37" t="s">
        <v>481</v>
      </c>
      <c r="AM11" s="38">
        <v>22</v>
      </c>
      <c r="AN11" s="37">
        <v>5</v>
      </c>
      <c r="AO11" s="37">
        <v>2</v>
      </c>
      <c r="AP11" s="38">
        <v>9904</v>
      </c>
      <c r="AQ11" s="36"/>
      <c r="AR11" s="34"/>
      <c r="AS11" s="38" t="s">
        <v>20777</v>
      </c>
      <c r="AT11" s="36"/>
      <c r="AU11" s="38" t="s">
        <v>489</v>
      </c>
      <c r="AV11" s="70" t="s">
        <v>20778</v>
      </c>
      <c r="AW11" s="38">
        <v>1</v>
      </c>
      <c r="AX11" s="63" t="s">
        <v>490</v>
      </c>
      <c r="AY11" t="str">
        <f t="shared" si="2"/>
        <v>0</v>
      </c>
      <c r="AZ11" s="34"/>
      <c r="BA11" s="36"/>
      <c r="BB11" s="38">
        <v>12</v>
      </c>
      <c r="BC11" s="64" t="str">
        <f t="shared" si="3"/>
        <v>04</v>
      </c>
      <c r="BD11">
        <f>'ALLEGATO 1 CONDOMINI'!P26</f>
        <v>0</v>
      </c>
      <c r="BE11" s="34"/>
      <c r="BF11" s="36"/>
      <c r="BG11" s="36"/>
      <c r="BH11" s="36"/>
      <c r="BI11" s="65"/>
      <c r="BJ11" s="36"/>
      <c r="BK11" s="37" t="s">
        <v>483</v>
      </c>
      <c r="BL11" s="37" t="s">
        <v>484</v>
      </c>
      <c r="BM11" s="37" t="s">
        <v>491</v>
      </c>
      <c r="BN11" s="40">
        <f>'ALLEGATO 1 CONDOMINI'!L26</f>
        <v>0</v>
      </c>
      <c r="BO11">
        <f>'ALLEGATO 1 CONDOMINI'!O26</f>
        <v>0</v>
      </c>
      <c r="BU11">
        <f t="shared" si="5"/>
        <v>0</v>
      </c>
      <c r="BV11">
        <f t="shared" si="6"/>
        <v>0</v>
      </c>
      <c r="BW11">
        <f t="shared" si="7"/>
        <v>0</v>
      </c>
      <c r="BY11" s="34"/>
      <c r="BZ11" s="34"/>
      <c r="CA11" s="34"/>
      <c r="CB11">
        <f>'ALLEGATO 1 CONDOMINI'!N26</f>
        <v>0</v>
      </c>
      <c r="CC11" s="36"/>
      <c r="CD11" s="34"/>
      <c r="CE11" s="36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7" t="s">
        <v>20779</v>
      </c>
      <c r="CR11" s="34"/>
      <c r="CS11" s="36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7" t="s">
        <v>494</v>
      </c>
      <c r="DF11" s="34"/>
      <c r="DG11">
        <f t="shared" si="8"/>
        <v>0</v>
      </c>
      <c r="DH11">
        <f t="shared" si="8"/>
        <v>0</v>
      </c>
      <c r="DI11">
        <f>'ALLEGATO 1 CONDOMINI'!K26</f>
        <v>0</v>
      </c>
      <c r="DJ11" s="37" t="s">
        <v>495</v>
      </c>
      <c r="DK11" s="36"/>
      <c r="DL11" s="34"/>
      <c r="DM11" s="34"/>
      <c r="DN11" s="34"/>
      <c r="DO11" s="34"/>
      <c r="DP11" s="34"/>
      <c r="DQ11" s="34"/>
      <c r="DR11" s="34"/>
      <c r="DS11" s="34"/>
      <c r="DT11" s="34"/>
      <c r="DU11" s="36"/>
      <c r="DV11" s="34"/>
      <c r="DW11" s="34"/>
      <c r="DX11" s="34"/>
      <c r="DY11" s="34"/>
      <c r="DZ11" s="34"/>
      <c r="EA11" s="34"/>
      <c r="EB11" s="34"/>
      <c r="EC11" s="34"/>
      <c r="ED11" t="e">
        <f>VLOOKUP('ALLEGATO 1 CONDOMINI'!M26,Venditori!B:E,4,FALSE)</f>
        <v>#N/A</v>
      </c>
      <c r="EE11" s="36"/>
      <c r="EF11" s="36"/>
      <c r="EG11" s="34"/>
      <c r="EH11" s="34"/>
      <c r="EI11" s="37" t="s">
        <v>20780</v>
      </c>
      <c r="EJ11" s="37"/>
      <c r="EK11" s="37" t="s">
        <v>20781</v>
      </c>
      <c r="EL11" s="37" t="s">
        <v>485</v>
      </c>
      <c r="EM11" s="34"/>
      <c r="EN11" s="34"/>
      <c r="EO11" t="str">
        <f t="shared" si="9"/>
        <v>COND.</v>
      </c>
      <c r="EP11" s="34"/>
      <c r="EQ11" s="34"/>
      <c r="ER11" s="38" t="s">
        <v>20782</v>
      </c>
      <c r="ES11" s="34"/>
      <c r="ET11" s="34"/>
      <c r="EU11" s="34"/>
      <c r="EV11" s="38" t="s">
        <v>20783</v>
      </c>
      <c r="EW11" s="36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9"/>
      <c r="FS11" s="34"/>
      <c r="FT11" s="38" t="s">
        <v>496</v>
      </c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8" t="s">
        <v>486</v>
      </c>
      <c r="GK11" s="38" t="s">
        <v>486</v>
      </c>
      <c r="GL11" s="38" t="s">
        <v>486</v>
      </c>
      <c r="GM11" s="66"/>
      <c r="GN11" s="38">
        <v>28</v>
      </c>
      <c r="GO11" s="38" t="s">
        <v>486</v>
      </c>
      <c r="GP11" s="38" t="s">
        <v>497</v>
      </c>
      <c r="GQ11" s="41"/>
      <c r="GR11" s="41"/>
      <c r="GS11" s="41"/>
      <c r="GT11" s="41"/>
      <c r="GU11" s="41"/>
      <c r="GV11" s="41"/>
      <c r="GW11" s="41"/>
    </row>
    <row r="12" spans="1:205" x14ac:dyDescent="0.2">
      <c r="A12" s="34"/>
      <c r="B12" s="34"/>
      <c r="C12" s="34"/>
      <c r="D12" t="str">
        <f>_xlfn.CONCAT('ALLEGATO 1 CONDOMINI'!B27,'ALLEGATO 1 CONDOMINI'!C27)</f>
        <v>COND.</v>
      </c>
      <c r="E12" s="34"/>
      <c r="F12">
        <f>'ALLEGATO 1 CONDOMINI'!D27</f>
        <v>0</v>
      </c>
      <c r="G12" s="36"/>
      <c r="H12" s="34"/>
      <c r="I12" s="36"/>
      <c r="J12" s="36"/>
      <c r="K12" s="37" t="s">
        <v>481</v>
      </c>
      <c r="L12" s="38">
        <v>22</v>
      </c>
      <c r="M12" s="37" t="s">
        <v>482</v>
      </c>
      <c r="N12" s="36"/>
      <c r="O12" s="34"/>
      <c r="P12" t="e">
        <f>VLOOKUP(Q12,'Zone Istat'!A:E,2,FALSE)</f>
        <v>#N/A</v>
      </c>
      <c r="Q12">
        <f>'ALLEGATO 1 CONDOMINI'!I27</f>
        <v>0</v>
      </c>
      <c r="R12" t="e">
        <f>VLOOKUP(Q12,'[1]Zone Istat'!A:E,5,FALSE)</f>
        <v>#N/A</v>
      </c>
      <c r="S12" t="e">
        <f>VLOOKUP(Q12,'Zone Istat'!A:E,4,FALSE)</f>
        <v>#N/A</v>
      </c>
      <c r="T12">
        <f>'ALLEGATO 1 CONDOMINI'!E27</f>
        <v>0</v>
      </c>
      <c r="U12">
        <f>'ALLEGATO 1 CONDOMINI'!F27</f>
        <v>0</v>
      </c>
      <c r="V12">
        <f>'ALLEGATO 1 CONDOMINI'!G27</f>
        <v>0</v>
      </c>
      <c r="X12" s="34"/>
      <c r="Y12" s="34"/>
      <c r="Z12" s="34"/>
      <c r="AA12" s="37" t="s">
        <v>483</v>
      </c>
      <c r="AB12" s="37" t="s">
        <v>484</v>
      </c>
      <c r="AC12" s="37" t="s">
        <v>485</v>
      </c>
      <c r="AD12" s="37" t="s">
        <v>486</v>
      </c>
      <c r="AE12" s="37" t="s">
        <v>491</v>
      </c>
      <c r="AF12" s="36"/>
      <c r="AG12" s="36"/>
      <c r="AH12" s="34"/>
      <c r="AI12" s="34"/>
      <c r="AJ12" t="str">
        <f t="shared" si="1"/>
        <v>COND.</v>
      </c>
      <c r="AK12" s="34"/>
      <c r="AL12" s="37" t="s">
        <v>481</v>
      </c>
      <c r="AM12" s="38">
        <v>22</v>
      </c>
      <c r="AN12" s="37">
        <v>5</v>
      </c>
      <c r="AO12" s="37">
        <v>2</v>
      </c>
      <c r="AP12" s="38">
        <v>9904</v>
      </c>
      <c r="AQ12" s="36"/>
      <c r="AR12" s="34"/>
      <c r="AS12" s="38" t="s">
        <v>20777</v>
      </c>
      <c r="AT12" s="36"/>
      <c r="AU12" s="38" t="s">
        <v>489</v>
      </c>
      <c r="AV12" s="70" t="s">
        <v>20778</v>
      </c>
      <c r="AW12" s="38">
        <v>1</v>
      </c>
      <c r="AX12" s="63" t="s">
        <v>490</v>
      </c>
      <c r="AY12" t="str">
        <f t="shared" si="2"/>
        <v>0</v>
      </c>
      <c r="AZ12" s="34"/>
      <c r="BA12" s="36"/>
      <c r="BB12" s="38">
        <v>12</v>
      </c>
      <c r="BC12" s="64" t="str">
        <f t="shared" si="3"/>
        <v>04</v>
      </c>
      <c r="BD12">
        <f>'ALLEGATO 1 CONDOMINI'!P27</f>
        <v>0</v>
      </c>
      <c r="BE12" s="34"/>
      <c r="BF12" s="36"/>
      <c r="BG12" s="36"/>
      <c r="BH12" s="36"/>
      <c r="BI12" s="65"/>
      <c r="BJ12" s="36"/>
      <c r="BK12" s="37" t="s">
        <v>483</v>
      </c>
      <c r="BL12" s="37" t="s">
        <v>484</v>
      </c>
      <c r="BM12" s="37" t="s">
        <v>491</v>
      </c>
      <c r="BN12" s="40">
        <f>'ALLEGATO 1 CONDOMINI'!L27</f>
        <v>0</v>
      </c>
      <c r="BO12">
        <f>'ALLEGATO 1 CONDOMINI'!O27</f>
        <v>0</v>
      </c>
      <c r="BU12">
        <f t="shared" si="5"/>
        <v>0</v>
      </c>
      <c r="BV12">
        <f t="shared" si="6"/>
        <v>0</v>
      </c>
      <c r="BW12">
        <f t="shared" si="7"/>
        <v>0</v>
      </c>
      <c r="BY12" s="34"/>
      <c r="BZ12" s="34"/>
      <c r="CA12" s="34"/>
      <c r="CB12">
        <f>'ALLEGATO 1 CONDOMINI'!N27</f>
        <v>0</v>
      </c>
      <c r="CC12" s="36"/>
      <c r="CD12" s="34"/>
      <c r="CE12" s="36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7" t="s">
        <v>20779</v>
      </c>
      <c r="CR12" s="34"/>
      <c r="CS12" s="36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7" t="s">
        <v>494</v>
      </c>
      <c r="DF12" s="34"/>
      <c r="DG12">
        <f t="shared" si="8"/>
        <v>0</v>
      </c>
      <c r="DH12">
        <f t="shared" si="8"/>
        <v>0</v>
      </c>
      <c r="DI12">
        <f>'ALLEGATO 1 CONDOMINI'!K27</f>
        <v>0</v>
      </c>
      <c r="DJ12" s="37" t="s">
        <v>495</v>
      </c>
      <c r="DK12" s="36"/>
      <c r="DL12" s="34"/>
      <c r="DM12" s="34"/>
      <c r="DN12" s="34"/>
      <c r="DO12" s="34"/>
      <c r="DP12" s="34"/>
      <c r="DQ12" s="34"/>
      <c r="DR12" s="34"/>
      <c r="DS12" s="34"/>
      <c r="DT12" s="34"/>
      <c r="DU12" s="36"/>
      <c r="DV12" s="34"/>
      <c r="DW12" s="34"/>
      <c r="DX12" s="34"/>
      <c r="DY12" s="34"/>
      <c r="DZ12" s="34"/>
      <c r="EA12" s="34"/>
      <c r="EB12" s="34"/>
      <c r="EC12" s="34"/>
      <c r="ED12" t="e">
        <f>VLOOKUP('ALLEGATO 1 CONDOMINI'!M27,Venditori!B:E,4,FALSE)</f>
        <v>#N/A</v>
      </c>
      <c r="EE12" s="36"/>
      <c r="EF12" s="36"/>
      <c r="EG12" s="34"/>
      <c r="EH12" s="34"/>
      <c r="EI12" s="37" t="s">
        <v>20780</v>
      </c>
      <c r="EJ12" s="37"/>
      <c r="EK12" s="37" t="s">
        <v>20781</v>
      </c>
      <c r="EL12" s="37" t="s">
        <v>485</v>
      </c>
      <c r="EM12" s="34"/>
      <c r="EN12" s="34"/>
      <c r="EO12" t="str">
        <f t="shared" si="9"/>
        <v>COND.</v>
      </c>
      <c r="EP12" s="34"/>
      <c r="EQ12" s="34"/>
      <c r="ER12" s="38" t="s">
        <v>20782</v>
      </c>
      <c r="ES12" s="34"/>
      <c r="ET12" s="34"/>
      <c r="EU12" s="34"/>
      <c r="EV12" s="38" t="s">
        <v>20783</v>
      </c>
      <c r="EW12" s="36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9"/>
      <c r="FS12" s="34"/>
      <c r="FT12" s="38" t="s">
        <v>496</v>
      </c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8" t="s">
        <v>486</v>
      </c>
      <c r="GK12" s="38" t="s">
        <v>486</v>
      </c>
      <c r="GL12" s="38" t="s">
        <v>486</v>
      </c>
      <c r="GM12" s="66"/>
      <c r="GN12" s="38">
        <v>28</v>
      </c>
      <c r="GO12" s="38" t="s">
        <v>486</v>
      </c>
      <c r="GP12" s="38" t="s">
        <v>497</v>
      </c>
      <c r="GQ12" s="41"/>
      <c r="GR12" s="41"/>
      <c r="GS12" s="41"/>
      <c r="GT12" s="41"/>
      <c r="GU12" s="41"/>
      <c r="GV12" s="41"/>
      <c r="GW12" s="41"/>
    </row>
    <row r="13" spans="1:205" x14ac:dyDescent="0.2">
      <c r="A13" s="34"/>
      <c r="B13" s="34"/>
      <c r="C13" s="34"/>
      <c r="D13" t="str">
        <f>_xlfn.CONCAT('[1]ALLEGATO 1 CONDOMINI'!B28,'[1]ALLEGATO 1 CONDOMINI'!C28)</f>
        <v>COND.</v>
      </c>
      <c r="E13" s="34"/>
      <c r="F13">
        <f>'ALLEGATO 1 CONDOMINI'!D28</f>
        <v>0</v>
      </c>
      <c r="G13" s="36"/>
      <c r="H13" s="34"/>
      <c r="I13" s="36"/>
      <c r="J13" s="36"/>
      <c r="K13" s="37" t="s">
        <v>481</v>
      </c>
      <c r="L13" s="38">
        <v>22</v>
      </c>
      <c r="M13" s="37" t="s">
        <v>482</v>
      </c>
      <c r="N13" s="36"/>
      <c r="O13" s="34"/>
      <c r="P13" t="e">
        <f>VLOOKUP(Q13,'[1]Zone Istat'!A:E,2,FALSE)</f>
        <v>#N/A</v>
      </c>
      <c r="Q13">
        <f>'[1]ALLEGATO 1 CONDOMINI'!G28</f>
        <v>0</v>
      </c>
      <c r="R13" t="e">
        <f>VLOOKUP(Q13,'[1]Zone Istat'!A:E,5,FALSE)</f>
        <v>#N/A</v>
      </c>
      <c r="S13" t="e">
        <f>VLOOKUP(Q13,'Zone Istat'!A:E,4,FALSE)</f>
        <v>#N/A</v>
      </c>
      <c r="T13">
        <f>'ALLEGATO 1 CONDOMINI'!E28</f>
        <v>0</v>
      </c>
      <c r="U13">
        <f>'ALLEGATO 1 CONDOMINI'!F28</f>
        <v>0</v>
      </c>
      <c r="V13">
        <f>'ALLEGATO 1 CONDOMINI'!G28</f>
        <v>0</v>
      </c>
      <c r="X13" s="34"/>
      <c r="Y13" s="34"/>
      <c r="Z13" s="34"/>
      <c r="AA13" s="37" t="s">
        <v>483</v>
      </c>
      <c r="AB13" s="37" t="s">
        <v>484</v>
      </c>
      <c r="AC13" s="37" t="s">
        <v>485</v>
      </c>
      <c r="AD13" s="37" t="s">
        <v>486</v>
      </c>
      <c r="AE13" s="37" t="s">
        <v>491</v>
      </c>
      <c r="AF13" s="36"/>
      <c r="AG13" s="36"/>
      <c r="AH13" s="34"/>
      <c r="AI13" s="34"/>
      <c r="AJ13" t="str">
        <f t="shared" si="1"/>
        <v>COND.</v>
      </c>
      <c r="AK13" s="34"/>
      <c r="AL13" s="37" t="s">
        <v>481</v>
      </c>
      <c r="AM13" s="38">
        <v>22</v>
      </c>
      <c r="AN13" s="37">
        <v>5</v>
      </c>
      <c r="AO13" s="37">
        <v>2</v>
      </c>
      <c r="AP13" s="38">
        <v>9904</v>
      </c>
      <c r="AQ13" s="36"/>
      <c r="AR13" s="34"/>
      <c r="AS13" s="38" t="s">
        <v>20777</v>
      </c>
      <c r="AT13" s="36"/>
      <c r="AU13" s="38" t="s">
        <v>489</v>
      </c>
      <c r="AV13" s="70" t="s">
        <v>20778</v>
      </c>
      <c r="AW13" s="38">
        <v>1</v>
      </c>
      <c r="AX13" s="63" t="s">
        <v>490</v>
      </c>
      <c r="AY13" t="str">
        <f t="shared" si="2"/>
        <v>0</v>
      </c>
      <c r="AZ13" s="34"/>
      <c r="BA13" s="36"/>
      <c r="BB13" s="38">
        <v>12</v>
      </c>
      <c r="BC13" s="64" t="str">
        <f t="shared" si="3"/>
        <v>04</v>
      </c>
      <c r="BD13">
        <f>'ALLEGATO 1 CONDOMINI'!P28</f>
        <v>0</v>
      </c>
      <c r="BE13" s="34"/>
      <c r="BF13" s="36"/>
      <c r="BG13" s="36"/>
      <c r="BH13" s="36"/>
      <c r="BI13" s="65"/>
      <c r="BJ13" s="36"/>
      <c r="BK13" s="37" t="s">
        <v>483</v>
      </c>
      <c r="BL13" s="37" t="s">
        <v>484</v>
      </c>
      <c r="BM13" s="37" t="s">
        <v>491</v>
      </c>
      <c r="BN13" s="40">
        <f>'ALLEGATO 1 CONDOMINI'!L28</f>
        <v>0</v>
      </c>
      <c r="BO13">
        <f>'ALLEGATO 1 CONDOMINI'!O28</f>
        <v>0</v>
      </c>
      <c r="BU13">
        <f t="shared" si="5"/>
        <v>0</v>
      </c>
      <c r="BV13">
        <f t="shared" si="6"/>
        <v>0</v>
      </c>
      <c r="BW13">
        <f t="shared" si="7"/>
        <v>0</v>
      </c>
      <c r="BY13" s="34"/>
      <c r="BZ13" s="34"/>
      <c r="CA13" s="34"/>
      <c r="CB13">
        <f>'ALLEGATO 1 CONDOMINI'!N28</f>
        <v>0</v>
      </c>
      <c r="CC13" s="36"/>
      <c r="CD13" s="34"/>
      <c r="CE13" s="36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7" t="s">
        <v>20779</v>
      </c>
      <c r="CR13" s="34"/>
      <c r="CS13" s="36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7" t="s">
        <v>494</v>
      </c>
      <c r="DF13" s="34"/>
      <c r="DG13">
        <f t="shared" si="8"/>
        <v>0</v>
      </c>
      <c r="DH13">
        <f t="shared" si="8"/>
        <v>0</v>
      </c>
      <c r="DI13">
        <f>'ALLEGATO 1 CONDOMINI'!K28</f>
        <v>0</v>
      </c>
      <c r="DJ13" s="37" t="s">
        <v>495</v>
      </c>
      <c r="DK13" s="36"/>
      <c r="DL13" s="34"/>
      <c r="DM13" s="34"/>
      <c r="DN13" s="34"/>
      <c r="DO13" s="34"/>
      <c r="DP13" s="34"/>
      <c r="DQ13" s="34"/>
      <c r="DR13" s="34"/>
      <c r="DS13" s="34"/>
      <c r="DT13" s="34"/>
      <c r="DU13" s="36"/>
      <c r="DV13" s="34"/>
      <c r="DW13" s="34"/>
      <c r="DX13" s="34"/>
      <c r="DY13" s="34"/>
      <c r="DZ13" s="34"/>
      <c r="EA13" s="34"/>
      <c r="EB13" s="34"/>
      <c r="EC13" s="34"/>
      <c r="ED13" t="e">
        <f>VLOOKUP('[1]ALLEGATO 1 CONDOMINI'!K28,[1]Venditori!B:E,4,FALSE)</f>
        <v>#N/A</v>
      </c>
      <c r="EE13" s="36"/>
      <c r="EF13" s="36"/>
      <c r="EG13" s="34"/>
      <c r="EH13" s="34"/>
      <c r="EI13" s="37" t="s">
        <v>20780</v>
      </c>
      <c r="EJ13" s="37"/>
      <c r="EK13" s="37" t="s">
        <v>20781</v>
      </c>
      <c r="EL13" s="37" t="s">
        <v>485</v>
      </c>
      <c r="EM13" s="34"/>
      <c r="EN13" s="34"/>
      <c r="EO13" t="str">
        <f t="shared" si="9"/>
        <v>COND.</v>
      </c>
      <c r="EP13" s="34"/>
      <c r="EQ13" s="34"/>
      <c r="ER13" s="38" t="s">
        <v>20782</v>
      </c>
      <c r="ES13" s="34"/>
      <c r="ET13" s="34"/>
      <c r="EU13" s="34"/>
      <c r="EV13" s="38" t="s">
        <v>20783</v>
      </c>
      <c r="EW13" s="36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9"/>
      <c r="FS13" s="34"/>
      <c r="FT13" s="38" t="s">
        <v>496</v>
      </c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8" t="s">
        <v>486</v>
      </c>
      <c r="GK13" s="38" t="s">
        <v>486</v>
      </c>
      <c r="GL13" s="38" t="s">
        <v>486</v>
      </c>
      <c r="GM13" s="66"/>
      <c r="GN13" s="38">
        <v>28</v>
      </c>
      <c r="GO13" s="38" t="s">
        <v>486</v>
      </c>
      <c r="GP13" s="38" t="s">
        <v>497</v>
      </c>
      <c r="GQ13" s="41"/>
      <c r="GR13" s="41"/>
      <c r="GS13" s="41"/>
      <c r="GT13" s="41"/>
      <c r="GU13" s="41"/>
      <c r="GV13" s="41"/>
      <c r="GW13" s="41"/>
    </row>
    <row r="14" spans="1:205" x14ac:dyDescent="0.2">
      <c r="D14" t="e">
        <f>_xlfn.CONCAT('[1]ALLEGATO 1 CONDOMINI'!B29,'[1]ALLEGATO 1 CONDOMINI'!C29)</f>
        <v>#REF!</v>
      </c>
      <c r="F14">
        <f>'ALLEGATO 1 CONDOMINI'!D29</f>
        <v>0</v>
      </c>
      <c r="K14" t="s">
        <v>481</v>
      </c>
      <c r="L14">
        <v>22</v>
      </c>
      <c r="M14" t="s">
        <v>482</v>
      </c>
      <c r="P14" t="e">
        <f>VLOOKUP(Q14,'[1]Zone Istat'!A:E,2,FALSE)</f>
        <v>#REF!</v>
      </c>
      <c r="Q14" t="e">
        <f>'[1]ALLEGATO 1 CONDOMINI'!G29</f>
        <v>#REF!</v>
      </c>
      <c r="R14" t="e">
        <f>VLOOKUP(Q14,'[1]Zone Istat'!A:E,5,FALSE)</f>
        <v>#REF!</v>
      </c>
      <c r="S14" t="e">
        <f>VLOOKUP(Q14,'Zone Istat'!A:E,4,FALSE)</f>
        <v>#REF!</v>
      </c>
      <c r="T14">
        <f>'ALLEGATO 1 CONDOMINI'!E29</f>
        <v>0</v>
      </c>
      <c r="U14">
        <f>'ALLEGATO 1 CONDOMINI'!F29</f>
        <v>0</v>
      </c>
      <c r="V14">
        <f>'ALLEGATO 1 CONDOMINI'!G29</f>
        <v>0</v>
      </c>
      <c r="AA14" t="s">
        <v>483</v>
      </c>
      <c r="AB14" t="s">
        <v>484</v>
      </c>
      <c r="AC14" t="s">
        <v>485</v>
      </c>
      <c r="AD14" t="s">
        <v>486</v>
      </c>
      <c r="AE14" t="s">
        <v>491</v>
      </c>
      <c r="AJ14" t="e">
        <f t="shared" ref="AJ14:AJ24" si="11">D14</f>
        <v>#REF!</v>
      </c>
      <c r="AL14" t="s">
        <v>481</v>
      </c>
      <c r="AM14">
        <v>22</v>
      </c>
      <c r="AN14">
        <v>5</v>
      </c>
      <c r="AO14">
        <v>2</v>
      </c>
      <c r="AP14">
        <v>9904</v>
      </c>
      <c r="AS14" t="s">
        <v>20777</v>
      </c>
      <c r="AU14" t="s">
        <v>489</v>
      </c>
      <c r="AV14" t="s">
        <v>20778</v>
      </c>
      <c r="AW14">
        <v>1</v>
      </c>
      <c r="AX14" t="s">
        <v>490</v>
      </c>
      <c r="AY14" t="str">
        <f t="shared" ref="AY14:AY24" si="12">MID(BN14,1,4)</f>
        <v>0</v>
      </c>
      <c r="BB14">
        <v>12</v>
      </c>
      <c r="BC14" t="str">
        <f t="shared" ref="BC14:BC24" si="13">IF(BD14&lt;=4999,"04","12")</f>
        <v>04</v>
      </c>
      <c r="BD14">
        <f>'ALLEGATO 1 CONDOMINI'!P29</f>
        <v>0</v>
      </c>
      <c r="BK14" t="s">
        <v>483</v>
      </c>
      <c r="BL14" t="s">
        <v>484</v>
      </c>
      <c r="BM14" t="s">
        <v>491</v>
      </c>
      <c r="BN14">
        <f>'ALLEGATO 1 CONDOMINI'!L29</f>
        <v>0</v>
      </c>
      <c r="BO14">
        <f>'ALLEGATO 1 CONDOMINI'!O29</f>
        <v>0</v>
      </c>
      <c r="BU14">
        <f t="shared" ref="BU14:BU24" si="14">T14</f>
        <v>0</v>
      </c>
      <c r="BV14">
        <f t="shared" ref="BV14:BV24" si="15">U14</f>
        <v>0</v>
      </c>
      <c r="BW14">
        <f t="shared" ref="BW14:BW24" si="16">V14</f>
        <v>0</v>
      </c>
      <c r="CB14">
        <f>'ALLEGATO 1 CONDOMINI'!N29</f>
        <v>0</v>
      </c>
      <c r="CQ14" t="s">
        <v>20779</v>
      </c>
      <c r="DE14" t="s">
        <v>494</v>
      </c>
      <c r="DG14">
        <f t="shared" ref="DG14:DG24" si="17">AF14</f>
        <v>0</v>
      </c>
      <c r="DH14">
        <f t="shared" ref="DH14:DH24" si="18">AG14</f>
        <v>0</v>
      </c>
      <c r="DI14">
        <f>'ALLEGATO 1 CONDOMINI'!K29</f>
        <v>0</v>
      </c>
      <c r="DJ14" t="s">
        <v>495</v>
      </c>
      <c r="ED14" t="e">
        <f>VLOOKUP('[1]ALLEGATO 1 CONDOMINI'!K29,[1]Venditori!B:E,4,FALSE)</f>
        <v>#REF!</v>
      </c>
      <c r="EI14" t="s">
        <v>20780</v>
      </c>
      <c r="EK14" t="s">
        <v>20781</v>
      </c>
      <c r="EL14" t="s">
        <v>485</v>
      </c>
      <c r="EO14" t="e">
        <f t="shared" ref="EO14:EO24" si="19">MID(D14,1,20)</f>
        <v>#REF!</v>
      </c>
      <c r="ER14" t="s">
        <v>20782</v>
      </c>
      <c r="EV14" t="s">
        <v>20783</v>
      </c>
      <c r="FT14" t="s">
        <v>496</v>
      </c>
      <c r="GJ14" t="s">
        <v>486</v>
      </c>
      <c r="GK14" t="s">
        <v>486</v>
      </c>
      <c r="GL14" t="s">
        <v>486</v>
      </c>
      <c r="GN14">
        <v>28</v>
      </c>
      <c r="GO14" t="s">
        <v>486</v>
      </c>
      <c r="GP14" t="s">
        <v>497</v>
      </c>
    </row>
    <row r="15" spans="1:205" x14ac:dyDescent="0.2">
      <c r="D15" t="e">
        <f>_xlfn.CONCAT('[1]ALLEGATO 1 CONDOMINI'!B30,'[1]ALLEGATO 1 CONDOMINI'!C30)</f>
        <v>#REF!</v>
      </c>
      <c r="F15">
        <f>'ALLEGATO 1 CONDOMINI'!D30</f>
        <v>0</v>
      </c>
      <c r="K15" t="s">
        <v>481</v>
      </c>
      <c r="L15">
        <v>22</v>
      </c>
      <c r="M15" t="s">
        <v>482</v>
      </c>
      <c r="P15" t="e">
        <f>VLOOKUP(Q15,'[1]Zone Istat'!A:E,2,FALSE)</f>
        <v>#REF!</v>
      </c>
      <c r="Q15" t="e">
        <f>'[1]ALLEGATO 1 CONDOMINI'!G30</f>
        <v>#REF!</v>
      </c>
      <c r="R15" t="e">
        <f>VLOOKUP(Q15,'[1]Zone Istat'!A:E,5,FALSE)</f>
        <v>#REF!</v>
      </c>
      <c r="S15" t="e">
        <f>VLOOKUP(Q15,'Zone Istat'!A:E,4,FALSE)</f>
        <v>#REF!</v>
      </c>
      <c r="T15">
        <f>'ALLEGATO 1 CONDOMINI'!E30</f>
        <v>0</v>
      </c>
      <c r="U15">
        <f>'ALLEGATO 1 CONDOMINI'!F30</f>
        <v>0</v>
      </c>
      <c r="V15">
        <f>'ALLEGATO 1 CONDOMINI'!G30</f>
        <v>0</v>
      </c>
      <c r="AA15" t="s">
        <v>483</v>
      </c>
      <c r="AB15" t="s">
        <v>484</v>
      </c>
      <c r="AC15" t="s">
        <v>485</v>
      </c>
      <c r="AD15" t="s">
        <v>486</v>
      </c>
      <c r="AE15" t="s">
        <v>491</v>
      </c>
      <c r="AJ15" t="e">
        <f t="shared" si="11"/>
        <v>#REF!</v>
      </c>
      <c r="AL15" t="s">
        <v>481</v>
      </c>
      <c r="AM15">
        <v>22</v>
      </c>
      <c r="AN15">
        <v>5</v>
      </c>
      <c r="AO15">
        <v>2</v>
      </c>
      <c r="AP15">
        <v>9904</v>
      </c>
      <c r="AS15" t="s">
        <v>20777</v>
      </c>
      <c r="AU15" t="s">
        <v>489</v>
      </c>
      <c r="AV15" t="s">
        <v>20778</v>
      </c>
      <c r="AW15">
        <v>1</v>
      </c>
      <c r="AX15" t="s">
        <v>490</v>
      </c>
      <c r="AY15" t="str">
        <f t="shared" si="12"/>
        <v>0</v>
      </c>
      <c r="BB15">
        <v>12</v>
      </c>
      <c r="BC15" t="str">
        <f t="shared" si="13"/>
        <v>04</v>
      </c>
      <c r="BD15">
        <f>'ALLEGATO 1 CONDOMINI'!P30</f>
        <v>0</v>
      </c>
      <c r="BK15" t="s">
        <v>483</v>
      </c>
      <c r="BL15" t="s">
        <v>484</v>
      </c>
      <c r="BM15" t="s">
        <v>491</v>
      </c>
      <c r="BN15">
        <f>'ALLEGATO 1 CONDOMINI'!L30</f>
        <v>0</v>
      </c>
      <c r="BO15">
        <f>'ALLEGATO 1 CONDOMINI'!O30</f>
        <v>0</v>
      </c>
      <c r="BU15">
        <f t="shared" si="14"/>
        <v>0</v>
      </c>
      <c r="BV15">
        <f t="shared" si="15"/>
        <v>0</v>
      </c>
      <c r="BW15">
        <f t="shared" si="16"/>
        <v>0</v>
      </c>
      <c r="CB15">
        <f>'ALLEGATO 1 CONDOMINI'!N30</f>
        <v>0</v>
      </c>
      <c r="CQ15" t="s">
        <v>20779</v>
      </c>
      <c r="DE15" t="s">
        <v>494</v>
      </c>
      <c r="DG15">
        <f t="shared" si="17"/>
        <v>0</v>
      </c>
      <c r="DH15">
        <f t="shared" si="18"/>
        <v>0</v>
      </c>
      <c r="DI15">
        <f>'ALLEGATO 1 CONDOMINI'!K30</f>
        <v>0</v>
      </c>
      <c r="DJ15" t="s">
        <v>495</v>
      </c>
      <c r="ED15" t="e">
        <f>VLOOKUP('[1]ALLEGATO 1 CONDOMINI'!K30,[1]Venditori!B:E,4,FALSE)</f>
        <v>#REF!</v>
      </c>
      <c r="EI15" t="s">
        <v>20780</v>
      </c>
      <c r="EK15" t="s">
        <v>20781</v>
      </c>
      <c r="EL15" t="s">
        <v>485</v>
      </c>
      <c r="EO15" t="e">
        <f t="shared" si="19"/>
        <v>#REF!</v>
      </c>
      <c r="ER15" t="s">
        <v>20782</v>
      </c>
      <c r="EV15" t="s">
        <v>20783</v>
      </c>
      <c r="FT15" t="s">
        <v>496</v>
      </c>
      <c r="GJ15" t="s">
        <v>486</v>
      </c>
      <c r="GK15" t="s">
        <v>486</v>
      </c>
      <c r="GL15" t="s">
        <v>486</v>
      </c>
      <c r="GN15">
        <v>28</v>
      </c>
      <c r="GO15" t="s">
        <v>486</v>
      </c>
      <c r="GP15" t="s">
        <v>497</v>
      </c>
    </row>
    <row r="16" spans="1:205" x14ac:dyDescent="0.2">
      <c r="D16" t="e">
        <f>_xlfn.CONCAT('[1]ALLEGATO 1 CONDOMINI'!B31,'[1]ALLEGATO 1 CONDOMINI'!C31)</f>
        <v>#REF!</v>
      </c>
      <c r="F16">
        <f>'ALLEGATO 1 CONDOMINI'!D31</f>
        <v>0</v>
      </c>
      <c r="K16" t="s">
        <v>481</v>
      </c>
      <c r="L16">
        <v>22</v>
      </c>
      <c r="M16" t="s">
        <v>482</v>
      </c>
      <c r="P16" t="e">
        <f>VLOOKUP(Q16,'[1]Zone Istat'!A:E,2,FALSE)</f>
        <v>#REF!</v>
      </c>
      <c r="Q16" t="e">
        <f>'[1]ALLEGATO 1 CONDOMINI'!G31</f>
        <v>#REF!</v>
      </c>
      <c r="R16" t="e">
        <f>VLOOKUP(Q16,'[1]Zone Istat'!A:E,5,FALSE)</f>
        <v>#REF!</v>
      </c>
      <c r="S16" t="e">
        <f>VLOOKUP(Q16,'Zone Istat'!A:E,4,FALSE)</f>
        <v>#REF!</v>
      </c>
      <c r="T16">
        <f>'ALLEGATO 1 CONDOMINI'!E31</f>
        <v>0</v>
      </c>
      <c r="U16">
        <f>'ALLEGATO 1 CONDOMINI'!F31</f>
        <v>0</v>
      </c>
      <c r="V16">
        <f>'ALLEGATO 1 CONDOMINI'!G31</f>
        <v>0</v>
      </c>
      <c r="AA16" t="s">
        <v>483</v>
      </c>
      <c r="AB16" t="s">
        <v>484</v>
      </c>
      <c r="AC16" t="s">
        <v>485</v>
      </c>
      <c r="AD16" t="s">
        <v>486</v>
      </c>
      <c r="AE16" t="s">
        <v>491</v>
      </c>
      <c r="AJ16" t="e">
        <f t="shared" si="11"/>
        <v>#REF!</v>
      </c>
      <c r="AL16" t="s">
        <v>481</v>
      </c>
      <c r="AM16">
        <v>22</v>
      </c>
      <c r="AN16">
        <v>5</v>
      </c>
      <c r="AO16">
        <v>2</v>
      </c>
      <c r="AP16">
        <v>9904</v>
      </c>
      <c r="AS16" t="s">
        <v>20777</v>
      </c>
      <c r="AU16" t="s">
        <v>489</v>
      </c>
      <c r="AV16" t="s">
        <v>20778</v>
      </c>
      <c r="AW16">
        <v>1</v>
      </c>
      <c r="AX16" t="s">
        <v>490</v>
      </c>
      <c r="AY16" t="str">
        <f t="shared" si="12"/>
        <v>0</v>
      </c>
      <c r="BB16">
        <v>12</v>
      </c>
      <c r="BC16" t="str">
        <f t="shared" si="13"/>
        <v>04</v>
      </c>
      <c r="BD16">
        <f>'ALLEGATO 1 CONDOMINI'!P31</f>
        <v>0</v>
      </c>
      <c r="BK16" t="s">
        <v>483</v>
      </c>
      <c r="BL16" t="s">
        <v>484</v>
      </c>
      <c r="BM16" t="s">
        <v>491</v>
      </c>
      <c r="BN16">
        <f>'ALLEGATO 1 CONDOMINI'!L31</f>
        <v>0</v>
      </c>
      <c r="BO16">
        <f>'ALLEGATO 1 CONDOMINI'!O31</f>
        <v>0</v>
      </c>
      <c r="BU16">
        <f t="shared" si="14"/>
        <v>0</v>
      </c>
      <c r="BV16">
        <f t="shared" si="15"/>
        <v>0</v>
      </c>
      <c r="BW16">
        <f t="shared" si="16"/>
        <v>0</v>
      </c>
      <c r="CB16">
        <f>'ALLEGATO 1 CONDOMINI'!N31</f>
        <v>0</v>
      </c>
      <c r="CQ16" t="s">
        <v>20779</v>
      </c>
      <c r="DE16" t="s">
        <v>494</v>
      </c>
      <c r="DG16">
        <f t="shared" si="17"/>
        <v>0</v>
      </c>
      <c r="DH16">
        <f t="shared" si="18"/>
        <v>0</v>
      </c>
      <c r="DI16">
        <f>'ALLEGATO 1 CONDOMINI'!K31</f>
        <v>0</v>
      </c>
      <c r="DJ16" t="s">
        <v>495</v>
      </c>
      <c r="ED16" t="e">
        <f>VLOOKUP('[1]ALLEGATO 1 CONDOMINI'!K31,[1]Venditori!B:E,4,FALSE)</f>
        <v>#REF!</v>
      </c>
      <c r="EI16" t="s">
        <v>20780</v>
      </c>
      <c r="EK16" t="s">
        <v>20781</v>
      </c>
      <c r="EL16" t="s">
        <v>485</v>
      </c>
      <c r="EO16" t="e">
        <f t="shared" si="19"/>
        <v>#REF!</v>
      </c>
      <c r="ER16" t="s">
        <v>20782</v>
      </c>
      <c r="EV16" t="s">
        <v>20783</v>
      </c>
      <c r="FT16" t="s">
        <v>496</v>
      </c>
      <c r="GJ16" t="s">
        <v>486</v>
      </c>
      <c r="GK16" t="s">
        <v>486</v>
      </c>
      <c r="GL16" t="s">
        <v>486</v>
      </c>
      <c r="GN16">
        <v>28</v>
      </c>
      <c r="GO16" t="s">
        <v>486</v>
      </c>
      <c r="GP16" t="s">
        <v>497</v>
      </c>
    </row>
    <row r="17" spans="1:198" x14ac:dyDescent="0.2">
      <c r="D17" t="e">
        <f>_xlfn.CONCAT('[1]ALLEGATO 1 CONDOMINI'!B32,'[1]ALLEGATO 1 CONDOMINI'!C32)</f>
        <v>#REF!</v>
      </c>
      <c r="F17">
        <f>'ALLEGATO 1 CONDOMINI'!D32</f>
        <v>0</v>
      </c>
      <c r="K17" t="s">
        <v>481</v>
      </c>
      <c r="L17">
        <v>22</v>
      </c>
      <c r="M17" t="s">
        <v>482</v>
      </c>
      <c r="P17" t="e">
        <f>VLOOKUP(Q17,'[1]Zone Istat'!A:E,2,FALSE)</f>
        <v>#REF!</v>
      </c>
      <c r="Q17" t="e">
        <f>'[1]ALLEGATO 1 CONDOMINI'!G32</f>
        <v>#REF!</v>
      </c>
      <c r="R17" t="e">
        <f>VLOOKUP(Q17,'[1]Zone Istat'!A:E,5,FALSE)</f>
        <v>#REF!</v>
      </c>
      <c r="S17" t="e">
        <f>VLOOKUP(Q17,'Zone Istat'!A:E,4,FALSE)</f>
        <v>#REF!</v>
      </c>
      <c r="T17">
        <f>'ALLEGATO 1 CONDOMINI'!E32</f>
        <v>0</v>
      </c>
      <c r="U17">
        <f>'ALLEGATO 1 CONDOMINI'!F32</f>
        <v>0</v>
      </c>
      <c r="V17">
        <f>'ALLEGATO 1 CONDOMINI'!G32</f>
        <v>0</v>
      </c>
      <c r="AA17" t="s">
        <v>483</v>
      </c>
      <c r="AB17" t="s">
        <v>484</v>
      </c>
      <c r="AC17" t="s">
        <v>485</v>
      </c>
      <c r="AD17" t="s">
        <v>486</v>
      </c>
      <c r="AE17" t="s">
        <v>491</v>
      </c>
      <c r="AJ17" t="e">
        <f t="shared" si="11"/>
        <v>#REF!</v>
      </c>
      <c r="AL17" t="s">
        <v>481</v>
      </c>
      <c r="AM17">
        <v>22</v>
      </c>
      <c r="AN17">
        <v>5</v>
      </c>
      <c r="AO17">
        <v>2</v>
      </c>
      <c r="AP17">
        <v>9904</v>
      </c>
      <c r="AS17" t="s">
        <v>20777</v>
      </c>
      <c r="AU17" t="s">
        <v>489</v>
      </c>
      <c r="AV17" t="s">
        <v>20778</v>
      </c>
      <c r="AW17">
        <v>1</v>
      </c>
      <c r="AX17" t="s">
        <v>490</v>
      </c>
      <c r="AY17" t="str">
        <f t="shared" si="12"/>
        <v>0</v>
      </c>
      <c r="BB17">
        <v>12</v>
      </c>
      <c r="BC17" t="str">
        <f t="shared" si="13"/>
        <v>04</v>
      </c>
      <c r="BD17">
        <f>'ALLEGATO 1 CONDOMINI'!P32</f>
        <v>0</v>
      </c>
      <c r="BK17" t="s">
        <v>483</v>
      </c>
      <c r="BL17" t="s">
        <v>484</v>
      </c>
      <c r="BM17" t="s">
        <v>491</v>
      </c>
      <c r="BN17">
        <f>'ALLEGATO 1 CONDOMINI'!L32</f>
        <v>0</v>
      </c>
      <c r="BO17">
        <f>'ALLEGATO 1 CONDOMINI'!O32</f>
        <v>0</v>
      </c>
      <c r="BU17">
        <f t="shared" si="14"/>
        <v>0</v>
      </c>
      <c r="BV17">
        <f t="shared" si="15"/>
        <v>0</v>
      </c>
      <c r="BW17">
        <f t="shared" si="16"/>
        <v>0</v>
      </c>
      <c r="CB17">
        <f>'ALLEGATO 1 CONDOMINI'!N32</f>
        <v>0</v>
      </c>
      <c r="CQ17" t="s">
        <v>20779</v>
      </c>
      <c r="DE17" t="s">
        <v>494</v>
      </c>
      <c r="DG17">
        <f t="shared" si="17"/>
        <v>0</v>
      </c>
      <c r="DH17">
        <f t="shared" si="18"/>
        <v>0</v>
      </c>
      <c r="DI17">
        <f>'ALLEGATO 1 CONDOMINI'!K32</f>
        <v>0</v>
      </c>
      <c r="DJ17" t="s">
        <v>495</v>
      </c>
      <c r="ED17" t="e">
        <f>VLOOKUP('[1]ALLEGATO 1 CONDOMINI'!K32,[1]Venditori!B:E,4,FALSE)</f>
        <v>#REF!</v>
      </c>
      <c r="EI17" t="s">
        <v>20780</v>
      </c>
      <c r="EK17" t="s">
        <v>20781</v>
      </c>
      <c r="EL17" t="s">
        <v>485</v>
      </c>
      <c r="EO17" t="e">
        <f t="shared" si="19"/>
        <v>#REF!</v>
      </c>
      <c r="ER17" t="s">
        <v>20782</v>
      </c>
      <c r="EV17" t="s">
        <v>20783</v>
      </c>
      <c r="FT17" t="s">
        <v>496</v>
      </c>
      <c r="GJ17" t="s">
        <v>486</v>
      </c>
      <c r="GK17" t="s">
        <v>486</v>
      </c>
      <c r="GL17" t="s">
        <v>486</v>
      </c>
      <c r="GN17">
        <v>28</v>
      </c>
      <c r="GO17" t="s">
        <v>486</v>
      </c>
      <c r="GP17" t="s">
        <v>497</v>
      </c>
    </row>
    <row r="18" spans="1:198" ht="15" x14ac:dyDescent="0.25">
      <c r="A18" s="33"/>
      <c r="B18" s="33"/>
      <c r="D18" t="e">
        <f>_xlfn.CONCAT('[1]ALLEGATO 1 CONDOMINI'!B33,'[1]ALLEGATO 1 CONDOMINI'!C33)</f>
        <v>#REF!</v>
      </c>
      <c r="F18">
        <f>'ALLEGATO 1 CONDOMINI'!D33</f>
        <v>0</v>
      </c>
      <c r="K18" t="s">
        <v>481</v>
      </c>
      <c r="L18">
        <v>22</v>
      </c>
      <c r="M18" t="s">
        <v>482</v>
      </c>
      <c r="P18" t="e">
        <f>VLOOKUP(Q18,'[1]Zone Istat'!A:E,2,FALSE)</f>
        <v>#REF!</v>
      </c>
      <c r="Q18" t="e">
        <f>'[1]ALLEGATO 1 CONDOMINI'!G33</f>
        <v>#REF!</v>
      </c>
      <c r="R18" t="e">
        <f>VLOOKUP(Q18,'[1]Zone Istat'!A:E,5,FALSE)</f>
        <v>#REF!</v>
      </c>
      <c r="S18" t="e">
        <f>VLOOKUP(Q18,'Zone Istat'!A:E,4,FALSE)</f>
        <v>#REF!</v>
      </c>
      <c r="T18">
        <f>'ALLEGATO 1 CONDOMINI'!E33</f>
        <v>0</v>
      </c>
      <c r="U18">
        <f>'ALLEGATO 1 CONDOMINI'!F33</f>
        <v>0</v>
      </c>
      <c r="V18">
        <f>'ALLEGATO 1 CONDOMINI'!G33</f>
        <v>0</v>
      </c>
      <c r="AA18" t="s">
        <v>483</v>
      </c>
      <c r="AB18" t="s">
        <v>484</v>
      </c>
      <c r="AC18" t="s">
        <v>485</v>
      </c>
      <c r="AD18" t="s">
        <v>486</v>
      </c>
      <c r="AE18" t="s">
        <v>491</v>
      </c>
      <c r="AJ18" t="e">
        <f t="shared" si="11"/>
        <v>#REF!</v>
      </c>
      <c r="AL18" t="s">
        <v>481</v>
      </c>
      <c r="AM18">
        <v>22</v>
      </c>
      <c r="AN18">
        <v>5</v>
      </c>
      <c r="AO18">
        <v>2</v>
      </c>
      <c r="AP18">
        <v>9904</v>
      </c>
      <c r="AS18" t="s">
        <v>20777</v>
      </c>
      <c r="AU18" t="s">
        <v>489</v>
      </c>
      <c r="AV18" t="s">
        <v>20778</v>
      </c>
      <c r="AW18">
        <v>1</v>
      </c>
      <c r="AX18" t="s">
        <v>490</v>
      </c>
      <c r="AY18" t="str">
        <f t="shared" si="12"/>
        <v>0</v>
      </c>
      <c r="BB18">
        <v>12</v>
      </c>
      <c r="BC18" t="str">
        <f t="shared" si="13"/>
        <v>04</v>
      </c>
      <c r="BD18">
        <f>'ALLEGATO 1 CONDOMINI'!P33</f>
        <v>0</v>
      </c>
      <c r="BK18" t="s">
        <v>483</v>
      </c>
      <c r="BL18" t="s">
        <v>484</v>
      </c>
      <c r="BM18" t="s">
        <v>491</v>
      </c>
      <c r="BN18">
        <f>'ALLEGATO 1 CONDOMINI'!L33</f>
        <v>0</v>
      </c>
      <c r="BO18">
        <f>'ALLEGATO 1 CONDOMINI'!O33</f>
        <v>0</v>
      </c>
      <c r="BU18">
        <f t="shared" si="14"/>
        <v>0</v>
      </c>
      <c r="BV18">
        <f t="shared" si="15"/>
        <v>0</v>
      </c>
      <c r="BW18">
        <f t="shared" si="16"/>
        <v>0</v>
      </c>
      <c r="CB18">
        <f>'ALLEGATO 1 CONDOMINI'!N33</f>
        <v>0</v>
      </c>
      <c r="CQ18" t="s">
        <v>20779</v>
      </c>
      <c r="DE18" t="s">
        <v>494</v>
      </c>
      <c r="DG18">
        <f t="shared" si="17"/>
        <v>0</v>
      </c>
      <c r="DH18">
        <f t="shared" si="18"/>
        <v>0</v>
      </c>
      <c r="DI18">
        <f>'ALLEGATO 1 CONDOMINI'!K33</f>
        <v>0</v>
      </c>
      <c r="DJ18" t="s">
        <v>495</v>
      </c>
      <c r="ED18" t="e">
        <f>VLOOKUP('[1]ALLEGATO 1 CONDOMINI'!K33,[1]Venditori!B:E,4,FALSE)</f>
        <v>#REF!</v>
      </c>
      <c r="EI18" t="s">
        <v>20780</v>
      </c>
      <c r="EK18" t="s">
        <v>20781</v>
      </c>
      <c r="EL18" t="s">
        <v>485</v>
      </c>
      <c r="EO18" t="e">
        <f t="shared" si="19"/>
        <v>#REF!</v>
      </c>
      <c r="ER18" t="s">
        <v>20782</v>
      </c>
      <c r="EV18" t="s">
        <v>20783</v>
      </c>
      <c r="FT18" t="s">
        <v>496</v>
      </c>
      <c r="GJ18" t="s">
        <v>486</v>
      </c>
      <c r="GK18" t="s">
        <v>486</v>
      </c>
      <c r="GL18" t="s">
        <v>486</v>
      </c>
      <c r="GN18">
        <v>28</v>
      </c>
      <c r="GO18" t="s">
        <v>486</v>
      </c>
      <c r="GP18" t="s">
        <v>497</v>
      </c>
    </row>
    <row r="19" spans="1:198" x14ac:dyDescent="0.2">
      <c r="D19" t="e">
        <f>_xlfn.CONCAT('[1]ALLEGATO 1 CONDOMINI'!B34,'[1]ALLEGATO 1 CONDOMINI'!C34)</f>
        <v>#REF!</v>
      </c>
      <c r="F19">
        <f>'ALLEGATO 1 CONDOMINI'!D34</f>
        <v>0</v>
      </c>
      <c r="K19" t="s">
        <v>481</v>
      </c>
      <c r="L19">
        <v>22</v>
      </c>
      <c r="M19" t="s">
        <v>482</v>
      </c>
      <c r="P19" t="e">
        <f>VLOOKUP(Q19,'[1]Zone Istat'!A:E,2,FALSE)</f>
        <v>#REF!</v>
      </c>
      <c r="Q19" t="e">
        <f>'[1]ALLEGATO 1 CONDOMINI'!G34</f>
        <v>#REF!</v>
      </c>
      <c r="R19" t="e">
        <f>VLOOKUP(Q19,'[1]Zone Istat'!A:E,5,FALSE)</f>
        <v>#REF!</v>
      </c>
      <c r="S19" t="e">
        <f>VLOOKUP(Q19,'Zone Istat'!A:E,4,FALSE)</f>
        <v>#REF!</v>
      </c>
      <c r="T19">
        <f>'ALLEGATO 1 CONDOMINI'!E34</f>
        <v>0</v>
      </c>
      <c r="U19">
        <f>'ALLEGATO 1 CONDOMINI'!F34</f>
        <v>0</v>
      </c>
      <c r="V19">
        <f>'ALLEGATO 1 CONDOMINI'!G34</f>
        <v>0</v>
      </c>
      <c r="AA19" t="s">
        <v>483</v>
      </c>
      <c r="AB19" t="s">
        <v>484</v>
      </c>
      <c r="AC19" t="s">
        <v>485</v>
      </c>
      <c r="AD19" t="s">
        <v>486</v>
      </c>
      <c r="AE19" t="s">
        <v>491</v>
      </c>
      <c r="AJ19" t="e">
        <f t="shared" si="11"/>
        <v>#REF!</v>
      </c>
      <c r="AL19" t="s">
        <v>481</v>
      </c>
      <c r="AM19">
        <v>22</v>
      </c>
      <c r="AN19">
        <v>5</v>
      </c>
      <c r="AO19">
        <v>2</v>
      </c>
      <c r="AP19">
        <v>9904</v>
      </c>
      <c r="AS19" t="s">
        <v>20777</v>
      </c>
      <c r="AU19" t="s">
        <v>489</v>
      </c>
      <c r="AV19" t="s">
        <v>20778</v>
      </c>
      <c r="AW19">
        <v>1</v>
      </c>
      <c r="AX19" t="s">
        <v>490</v>
      </c>
      <c r="AY19" t="str">
        <f t="shared" si="12"/>
        <v>0</v>
      </c>
      <c r="BB19">
        <v>12</v>
      </c>
      <c r="BC19" t="str">
        <f t="shared" si="13"/>
        <v>04</v>
      </c>
      <c r="BD19">
        <f>'ALLEGATO 1 CONDOMINI'!P34</f>
        <v>0</v>
      </c>
      <c r="BK19" t="s">
        <v>483</v>
      </c>
      <c r="BL19" t="s">
        <v>484</v>
      </c>
      <c r="BM19" t="s">
        <v>491</v>
      </c>
      <c r="BN19">
        <f>'ALLEGATO 1 CONDOMINI'!L34</f>
        <v>0</v>
      </c>
      <c r="BO19">
        <f>'ALLEGATO 1 CONDOMINI'!O34</f>
        <v>0</v>
      </c>
      <c r="BU19">
        <f t="shared" si="14"/>
        <v>0</v>
      </c>
      <c r="BV19">
        <f t="shared" si="15"/>
        <v>0</v>
      </c>
      <c r="BW19">
        <f t="shared" si="16"/>
        <v>0</v>
      </c>
      <c r="CB19">
        <f>'ALLEGATO 1 CONDOMINI'!N34</f>
        <v>0</v>
      </c>
      <c r="CQ19" t="s">
        <v>20779</v>
      </c>
      <c r="DE19" t="s">
        <v>494</v>
      </c>
      <c r="DG19">
        <f t="shared" si="17"/>
        <v>0</v>
      </c>
      <c r="DH19">
        <f t="shared" si="18"/>
        <v>0</v>
      </c>
      <c r="DI19">
        <f>'ALLEGATO 1 CONDOMINI'!K34</f>
        <v>0</v>
      </c>
      <c r="DJ19" t="s">
        <v>495</v>
      </c>
      <c r="ED19" t="e">
        <f>VLOOKUP('[1]ALLEGATO 1 CONDOMINI'!K34,[1]Venditori!B:E,4,FALSE)</f>
        <v>#REF!</v>
      </c>
      <c r="EI19" t="s">
        <v>20780</v>
      </c>
      <c r="EK19" t="s">
        <v>20781</v>
      </c>
      <c r="EL19" t="s">
        <v>485</v>
      </c>
      <c r="EO19" t="e">
        <f t="shared" si="19"/>
        <v>#REF!</v>
      </c>
      <c r="ER19" t="s">
        <v>20782</v>
      </c>
      <c r="EV19" t="s">
        <v>20783</v>
      </c>
      <c r="FT19" t="s">
        <v>496</v>
      </c>
      <c r="GJ19" t="s">
        <v>486</v>
      </c>
      <c r="GK19" t="s">
        <v>486</v>
      </c>
      <c r="GL19" t="s">
        <v>486</v>
      </c>
      <c r="GN19">
        <v>28</v>
      </c>
      <c r="GO19" t="s">
        <v>486</v>
      </c>
      <c r="GP19" t="s">
        <v>497</v>
      </c>
    </row>
    <row r="20" spans="1:198" x14ac:dyDescent="0.2">
      <c r="D20" t="e">
        <f>_xlfn.CONCAT('[1]ALLEGATO 1 CONDOMINI'!B35,'[1]ALLEGATO 1 CONDOMINI'!C35)</f>
        <v>#REF!</v>
      </c>
      <c r="F20">
        <f>'ALLEGATO 1 CONDOMINI'!D35</f>
        <v>0</v>
      </c>
      <c r="K20" t="s">
        <v>481</v>
      </c>
      <c r="L20">
        <v>22</v>
      </c>
      <c r="M20" t="s">
        <v>482</v>
      </c>
      <c r="P20" t="e">
        <f>VLOOKUP(Q20,'[1]Zone Istat'!A:E,2,FALSE)</f>
        <v>#REF!</v>
      </c>
      <c r="Q20" t="e">
        <f>'[1]ALLEGATO 1 CONDOMINI'!G35</f>
        <v>#REF!</v>
      </c>
      <c r="R20" t="e">
        <f>VLOOKUP(Q20,'[1]Zone Istat'!A:E,5,FALSE)</f>
        <v>#REF!</v>
      </c>
      <c r="S20" t="e">
        <f>VLOOKUP(Q20,'Zone Istat'!A:E,4,FALSE)</f>
        <v>#REF!</v>
      </c>
      <c r="T20">
        <f>'ALLEGATO 1 CONDOMINI'!E35</f>
        <v>0</v>
      </c>
      <c r="U20">
        <f>'ALLEGATO 1 CONDOMINI'!F35</f>
        <v>0</v>
      </c>
      <c r="V20">
        <f>'ALLEGATO 1 CONDOMINI'!G35</f>
        <v>0</v>
      </c>
      <c r="AA20" t="s">
        <v>483</v>
      </c>
      <c r="AB20" t="s">
        <v>484</v>
      </c>
      <c r="AC20" t="s">
        <v>485</v>
      </c>
      <c r="AD20" t="s">
        <v>486</v>
      </c>
      <c r="AE20" t="s">
        <v>491</v>
      </c>
      <c r="AJ20" t="e">
        <f t="shared" si="11"/>
        <v>#REF!</v>
      </c>
      <c r="AL20" t="s">
        <v>481</v>
      </c>
      <c r="AM20">
        <v>22</v>
      </c>
      <c r="AN20">
        <v>5</v>
      </c>
      <c r="AO20">
        <v>2</v>
      </c>
      <c r="AP20">
        <v>9904</v>
      </c>
      <c r="AS20" t="s">
        <v>20777</v>
      </c>
      <c r="AU20" t="s">
        <v>489</v>
      </c>
      <c r="AV20" t="s">
        <v>20778</v>
      </c>
      <c r="AW20">
        <v>1</v>
      </c>
      <c r="AX20" t="s">
        <v>490</v>
      </c>
      <c r="AY20" t="str">
        <f t="shared" si="12"/>
        <v>0</v>
      </c>
      <c r="BB20">
        <v>12</v>
      </c>
      <c r="BC20" t="str">
        <f t="shared" si="13"/>
        <v>04</v>
      </c>
      <c r="BD20">
        <f>'ALLEGATO 1 CONDOMINI'!P35</f>
        <v>0</v>
      </c>
      <c r="BK20" t="s">
        <v>483</v>
      </c>
      <c r="BL20" t="s">
        <v>484</v>
      </c>
      <c r="BM20" t="s">
        <v>491</v>
      </c>
      <c r="BN20">
        <f>'ALLEGATO 1 CONDOMINI'!L35</f>
        <v>0</v>
      </c>
      <c r="BO20">
        <f>'ALLEGATO 1 CONDOMINI'!O35</f>
        <v>0</v>
      </c>
      <c r="BU20">
        <f t="shared" si="14"/>
        <v>0</v>
      </c>
      <c r="BV20">
        <f t="shared" si="15"/>
        <v>0</v>
      </c>
      <c r="BW20">
        <f t="shared" si="16"/>
        <v>0</v>
      </c>
      <c r="CB20">
        <f>'ALLEGATO 1 CONDOMINI'!N35</f>
        <v>0</v>
      </c>
      <c r="CQ20" t="s">
        <v>20779</v>
      </c>
      <c r="DE20" t="s">
        <v>494</v>
      </c>
      <c r="DG20">
        <f t="shared" si="17"/>
        <v>0</v>
      </c>
      <c r="DH20">
        <f t="shared" si="18"/>
        <v>0</v>
      </c>
      <c r="DI20">
        <f>'ALLEGATO 1 CONDOMINI'!K35</f>
        <v>0</v>
      </c>
      <c r="DJ20" t="s">
        <v>495</v>
      </c>
      <c r="ED20" t="e">
        <f>VLOOKUP('[1]ALLEGATO 1 CONDOMINI'!K35,[1]Venditori!B:E,4,FALSE)</f>
        <v>#REF!</v>
      </c>
      <c r="EI20" t="s">
        <v>20780</v>
      </c>
      <c r="EK20" t="s">
        <v>20781</v>
      </c>
      <c r="EL20" t="s">
        <v>485</v>
      </c>
      <c r="EO20" t="e">
        <f t="shared" si="19"/>
        <v>#REF!</v>
      </c>
      <c r="ER20" t="s">
        <v>20782</v>
      </c>
      <c r="EV20" t="s">
        <v>20783</v>
      </c>
      <c r="FT20" t="s">
        <v>496</v>
      </c>
      <c r="GJ20" t="s">
        <v>486</v>
      </c>
      <c r="GK20" t="s">
        <v>486</v>
      </c>
      <c r="GL20" t="s">
        <v>486</v>
      </c>
      <c r="GN20">
        <v>28</v>
      </c>
      <c r="GO20" t="s">
        <v>486</v>
      </c>
      <c r="GP20" t="s">
        <v>497</v>
      </c>
    </row>
    <row r="21" spans="1:198" x14ac:dyDescent="0.2">
      <c r="D21" t="e">
        <f>_xlfn.CONCAT('[1]ALLEGATO 1 CONDOMINI'!B36,'[1]ALLEGATO 1 CONDOMINI'!C36)</f>
        <v>#REF!</v>
      </c>
      <c r="F21">
        <f>'ALLEGATO 1 CONDOMINI'!D36</f>
        <v>0</v>
      </c>
      <c r="K21" t="s">
        <v>481</v>
      </c>
      <c r="L21">
        <v>22</v>
      </c>
      <c r="M21" t="s">
        <v>482</v>
      </c>
      <c r="P21" t="e">
        <f>VLOOKUP(Q21,'[1]Zone Istat'!A:E,2,FALSE)</f>
        <v>#REF!</v>
      </c>
      <c r="Q21" t="e">
        <f>'[1]ALLEGATO 1 CONDOMINI'!G36</f>
        <v>#REF!</v>
      </c>
      <c r="R21" t="e">
        <f>VLOOKUP(Q21,'[1]Zone Istat'!A:E,5,FALSE)</f>
        <v>#REF!</v>
      </c>
      <c r="S21" t="e">
        <f>VLOOKUP(Q21,'Zone Istat'!A:E,4,FALSE)</f>
        <v>#REF!</v>
      </c>
      <c r="T21">
        <f>'ALLEGATO 1 CONDOMINI'!E36</f>
        <v>0</v>
      </c>
      <c r="U21">
        <f>'ALLEGATO 1 CONDOMINI'!F36</f>
        <v>0</v>
      </c>
      <c r="V21">
        <f>'ALLEGATO 1 CONDOMINI'!G36</f>
        <v>0</v>
      </c>
      <c r="AA21" t="s">
        <v>483</v>
      </c>
      <c r="AB21" t="s">
        <v>484</v>
      </c>
      <c r="AC21" t="s">
        <v>485</v>
      </c>
      <c r="AD21" t="s">
        <v>486</v>
      </c>
      <c r="AE21" t="s">
        <v>491</v>
      </c>
      <c r="AJ21" t="e">
        <f t="shared" si="11"/>
        <v>#REF!</v>
      </c>
      <c r="AL21" t="s">
        <v>481</v>
      </c>
      <c r="AM21">
        <v>22</v>
      </c>
      <c r="AN21">
        <v>5</v>
      </c>
      <c r="AO21">
        <v>2</v>
      </c>
      <c r="AP21">
        <v>9904</v>
      </c>
      <c r="AS21" t="s">
        <v>20777</v>
      </c>
      <c r="AU21" t="s">
        <v>489</v>
      </c>
      <c r="AV21" t="s">
        <v>20778</v>
      </c>
      <c r="AW21">
        <v>1</v>
      </c>
      <c r="AX21" t="s">
        <v>490</v>
      </c>
      <c r="AY21" t="str">
        <f t="shared" si="12"/>
        <v>0</v>
      </c>
      <c r="BB21">
        <v>12</v>
      </c>
      <c r="BC21" t="str">
        <f t="shared" si="13"/>
        <v>04</v>
      </c>
      <c r="BD21">
        <f>'ALLEGATO 1 CONDOMINI'!P36</f>
        <v>0</v>
      </c>
      <c r="BK21" t="s">
        <v>483</v>
      </c>
      <c r="BL21" t="s">
        <v>484</v>
      </c>
      <c r="BM21" t="s">
        <v>491</v>
      </c>
      <c r="BN21">
        <f>'ALLEGATO 1 CONDOMINI'!L36</f>
        <v>0</v>
      </c>
      <c r="BO21">
        <f>'ALLEGATO 1 CONDOMINI'!O36</f>
        <v>0</v>
      </c>
      <c r="BU21">
        <f t="shared" si="14"/>
        <v>0</v>
      </c>
      <c r="BV21">
        <f t="shared" si="15"/>
        <v>0</v>
      </c>
      <c r="BW21">
        <f t="shared" si="16"/>
        <v>0</v>
      </c>
      <c r="CB21">
        <f>'ALLEGATO 1 CONDOMINI'!N36</f>
        <v>0</v>
      </c>
      <c r="CQ21" t="s">
        <v>20779</v>
      </c>
      <c r="DE21" t="s">
        <v>494</v>
      </c>
      <c r="DG21">
        <f t="shared" si="17"/>
        <v>0</v>
      </c>
      <c r="DH21">
        <f t="shared" si="18"/>
        <v>0</v>
      </c>
      <c r="DI21">
        <f>'ALLEGATO 1 CONDOMINI'!K36</f>
        <v>0</v>
      </c>
      <c r="DJ21" t="s">
        <v>495</v>
      </c>
      <c r="ED21" t="e">
        <f>VLOOKUP('[1]ALLEGATO 1 CONDOMINI'!K36,[1]Venditori!B:E,4,FALSE)</f>
        <v>#REF!</v>
      </c>
      <c r="EI21" t="s">
        <v>20780</v>
      </c>
      <c r="EK21" t="s">
        <v>20781</v>
      </c>
      <c r="EL21" t="s">
        <v>485</v>
      </c>
      <c r="EO21" t="e">
        <f t="shared" si="19"/>
        <v>#REF!</v>
      </c>
      <c r="ER21" t="s">
        <v>20782</v>
      </c>
      <c r="EV21" t="s">
        <v>20783</v>
      </c>
      <c r="FT21" t="s">
        <v>496</v>
      </c>
      <c r="GJ21" t="s">
        <v>486</v>
      </c>
      <c r="GK21" t="s">
        <v>486</v>
      </c>
      <c r="GL21" t="s">
        <v>486</v>
      </c>
      <c r="GN21">
        <v>28</v>
      </c>
      <c r="GO21" t="s">
        <v>486</v>
      </c>
      <c r="GP21" t="s">
        <v>497</v>
      </c>
    </row>
    <row r="22" spans="1:198" x14ac:dyDescent="0.2">
      <c r="D22" t="e">
        <f>_xlfn.CONCAT('[1]ALLEGATO 1 CONDOMINI'!B37,'[1]ALLEGATO 1 CONDOMINI'!C37)</f>
        <v>#REF!</v>
      </c>
      <c r="F22">
        <f>'ALLEGATO 1 CONDOMINI'!D37</f>
        <v>0</v>
      </c>
      <c r="K22" t="s">
        <v>481</v>
      </c>
      <c r="L22">
        <v>22</v>
      </c>
      <c r="M22" t="s">
        <v>482</v>
      </c>
      <c r="P22" t="e">
        <f>VLOOKUP(Q22,'[1]Zone Istat'!A:E,2,FALSE)</f>
        <v>#REF!</v>
      </c>
      <c r="Q22" t="e">
        <f>'[1]ALLEGATO 1 CONDOMINI'!G37</f>
        <v>#REF!</v>
      </c>
      <c r="R22" t="e">
        <f>VLOOKUP(Q22,'[1]Zone Istat'!A:E,5,FALSE)</f>
        <v>#REF!</v>
      </c>
      <c r="S22" t="e">
        <f>VLOOKUP(Q22,'Zone Istat'!A:E,4,FALSE)</f>
        <v>#REF!</v>
      </c>
      <c r="T22">
        <f>'ALLEGATO 1 CONDOMINI'!E37</f>
        <v>0</v>
      </c>
      <c r="U22">
        <f>'ALLEGATO 1 CONDOMINI'!F37</f>
        <v>0</v>
      </c>
      <c r="V22">
        <f>'ALLEGATO 1 CONDOMINI'!G37</f>
        <v>0</v>
      </c>
      <c r="AA22" t="s">
        <v>483</v>
      </c>
      <c r="AB22" t="s">
        <v>484</v>
      </c>
      <c r="AC22" t="s">
        <v>485</v>
      </c>
      <c r="AD22" t="s">
        <v>486</v>
      </c>
      <c r="AE22" t="s">
        <v>491</v>
      </c>
      <c r="AJ22" t="e">
        <f t="shared" si="11"/>
        <v>#REF!</v>
      </c>
      <c r="AL22" t="s">
        <v>481</v>
      </c>
      <c r="AM22">
        <v>22</v>
      </c>
      <c r="AN22">
        <v>5</v>
      </c>
      <c r="AO22">
        <v>2</v>
      </c>
      <c r="AP22">
        <v>9904</v>
      </c>
      <c r="AS22" t="s">
        <v>20777</v>
      </c>
      <c r="AU22" t="s">
        <v>489</v>
      </c>
      <c r="AV22" t="s">
        <v>20778</v>
      </c>
      <c r="AW22">
        <v>1</v>
      </c>
      <c r="AX22" t="s">
        <v>490</v>
      </c>
      <c r="AY22" t="str">
        <f t="shared" si="12"/>
        <v>0</v>
      </c>
      <c r="BB22">
        <v>12</v>
      </c>
      <c r="BC22" t="str">
        <f t="shared" si="13"/>
        <v>04</v>
      </c>
      <c r="BD22">
        <f>'ALLEGATO 1 CONDOMINI'!P37</f>
        <v>0</v>
      </c>
      <c r="BK22" t="s">
        <v>483</v>
      </c>
      <c r="BL22" t="s">
        <v>484</v>
      </c>
      <c r="BM22" t="s">
        <v>491</v>
      </c>
      <c r="BN22">
        <f>'ALLEGATO 1 CONDOMINI'!L37</f>
        <v>0</v>
      </c>
      <c r="BO22">
        <f>'ALLEGATO 1 CONDOMINI'!O37</f>
        <v>0</v>
      </c>
      <c r="BU22">
        <f t="shared" si="14"/>
        <v>0</v>
      </c>
      <c r="BV22">
        <f t="shared" si="15"/>
        <v>0</v>
      </c>
      <c r="BW22">
        <f t="shared" si="16"/>
        <v>0</v>
      </c>
      <c r="CB22">
        <f>'ALLEGATO 1 CONDOMINI'!N37</f>
        <v>0</v>
      </c>
      <c r="CQ22" t="s">
        <v>20779</v>
      </c>
      <c r="DE22" t="s">
        <v>494</v>
      </c>
      <c r="DG22">
        <f t="shared" si="17"/>
        <v>0</v>
      </c>
      <c r="DH22">
        <f t="shared" si="18"/>
        <v>0</v>
      </c>
      <c r="DI22">
        <f>'ALLEGATO 1 CONDOMINI'!K37</f>
        <v>0</v>
      </c>
      <c r="DJ22" t="s">
        <v>495</v>
      </c>
      <c r="ED22" t="e">
        <f>VLOOKUP('[1]ALLEGATO 1 CONDOMINI'!K37,[1]Venditori!B:E,4,FALSE)</f>
        <v>#REF!</v>
      </c>
      <c r="EI22" t="s">
        <v>20780</v>
      </c>
      <c r="EK22" t="s">
        <v>20781</v>
      </c>
      <c r="EL22" t="s">
        <v>485</v>
      </c>
      <c r="EO22" t="e">
        <f t="shared" si="19"/>
        <v>#REF!</v>
      </c>
      <c r="ER22" t="s">
        <v>20782</v>
      </c>
      <c r="EV22" t="s">
        <v>20783</v>
      </c>
      <c r="FT22" t="s">
        <v>496</v>
      </c>
      <c r="GJ22" t="s">
        <v>486</v>
      </c>
      <c r="GK22" t="s">
        <v>486</v>
      </c>
      <c r="GL22" t="s">
        <v>486</v>
      </c>
      <c r="GN22">
        <v>28</v>
      </c>
      <c r="GO22" t="s">
        <v>486</v>
      </c>
      <c r="GP22" t="s">
        <v>497</v>
      </c>
    </row>
    <row r="23" spans="1:198" ht="15" x14ac:dyDescent="0.25">
      <c r="A23" s="33"/>
      <c r="B23" s="33"/>
      <c r="D23" t="e">
        <f>_xlfn.CONCAT('[1]ALLEGATO 1 CONDOMINI'!B38,'[1]ALLEGATO 1 CONDOMINI'!C38)</f>
        <v>#REF!</v>
      </c>
      <c r="F23">
        <f>'ALLEGATO 1 CONDOMINI'!D38</f>
        <v>0</v>
      </c>
      <c r="K23" t="s">
        <v>481</v>
      </c>
      <c r="L23">
        <v>22</v>
      </c>
      <c r="M23" t="s">
        <v>482</v>
      </c>
      <c r="P23" t="e">
        <f>VLOOKUP(Q23,'[1]Zone Istat'!A:E,2,FALSE)</f>
        <v>#REF!</v>
      </c>
      <c r="Q23" t="e">
        <f>'[1]ALLEGATO 1 CONDOMINI'!G38</f>
        <v>#REF!</v>
      </c>
      <c r="R23" t="e">
        <f>VLOOKUP(Q23,'[1]Zone Istat'!A:E,5,FALSE)</f>
        <v>#REF!</v>
      </c>
      <c r="S23" t="e">
        <f>VLOOKUP(Q23,'Zone Istat'!A:E,4,FALSE)</f>
        <v>#REF!</v>
      </c>
      <c r="T23">
        <f>'ALLEGATO 1 CONDOMINI'!E38</f>
        <v>0</v>
      </c>
      <c r="U23">
        <f>'ALLEGATO 1 CONDOMINI'!F38</f>
        <v>0</v>
      </c>
      <c r="V23">
        <f>'ALLEGATO 1 CONDOMINI'!G38</f>
        <v>0</v>
      </c>
      <c r="AA23" t="s">
        <v>483</v>
      </c>
      <c r="AB23" t="s">
        <v>484</v>
      </c>
      <c r="AC23" t="s">
        <v>485</v>
      </c>
      <c r="AD23" t="s">
        <v>486</v>
      </c>
      <c r="AE23" t="s">
        <v>491</v>
      </c>
      <c r="AJ23" t="e">
        <f t="shared" si="11"/>
        <v>#REF!</v>
      </c>
      <c r="AL23" t="s">
        <v>481</v>
      </c>
      <c r="AM23">
        <v>22</v>
      </c>
      <c r="AN23">
        <v>5</v>
      </c>
      <c r="AO23">
        <v>2</v>
      </c>
      <c r="AP23">
        <v>9904</v>
      </c>
      <c r="AS23" t="s">
        <v>20777</v>
      </c>
      <c r="AU23" t="s">
        <v>489</v>
      </c>
      <c r="AV23" t="s">
        <v>20778</v>
      </c>
      <c r="AW23">
        <v>1</v>
      </c>
      <c r="AX23" t="s">
        <v>490</v>
      </c>
      <c r="AY23" t="str">
        <f t="shared" si="12"/>
        <v>0</v>
      </c>
      <c r="BB23">
        <v>12</v>
      </c>
      <c r="BC23" t="str">
        <f t="shared" si="13"/>
        <v>04</v>
      </c>
      <c r="BD23">
        <f>'ALLEGATO 1 CONDOMINI'!P38</f>
        <v>0</v>
      </c>
      <c r="BK23" t="s">
        <v>483</v>
      </c>
      <c r="BL23" t="s">
        <v>484</v>
      </c>
      <c r="BM23" t="s">
        <v>491</v>
      </c>
      <c r="BN23">
        <f>'ALLEGATO 1 CONDOMINI'!L38</f>
        <v>0</v>
      </c>
      <c r="BO23">
        <f>'ALLEGATO 1 CONDOMINI'!O38</f>
        <v>0</v>
      </c>
      <c r="BU23">
        <f t="shared" si="14"/>
        <v>0</v>
      </c>
      <c r="BV23">
        <f t="shared" si="15"/>
        <v>0</v>
      </c>
      <c r="BW23">
        <f t="shared" si="16"/>
        <v>0</v>
      </c>
      <c r="CB23">
        <f>'ALLEGATO 1 CONDOMINI'!N38</f>
        <v>0</v>
      </c>
      <c r="CQ23" t="s">
        <v>20779</v>
      </c>
      <c r="DE23" t="s">
        <v>494</v>
      </c>
      <c r="DG23">
        <f t="shared" si="17"/>
        <v>0</v>
      </c>
      <c r="DH23">
        <f t="shared" si="18"/>
        <v>0</v>
      </c>
      <c r="DI23">
        <f>'ALLEGATO 1 CONDOMINI'!K38</f>
        <v>0</v>
      </c>
      <c r="DJ23" t="s">
        <v>495</v>
      </c>
      <c r="ED23" t="e">
        <f>VLOOKUP('[1]ALLEGATO 1 CONDOMINI'!K38,[1]Venditori!B:E,4,FALSE)</f>
        <v>#REF!</v>
      </c>
      <c r="EI23" t="s">
        <v>20780</v>
      </c>
      <c r="EK23" t="s">
        <v>20781</v>
      </c>
      <c r="EL23" t="s">
        <v>485</v>
      </c>
      <c r="EO23" t="e">
        <f t="shared" si="19"/>
        <v>#REF!</v>
      </c>
      <c r="ER23" t="s">
        <v>20782</v>
      </c>
      <c r="EV23" t="s">
        <v>20783</v>
      </c>
      <c r="FT23" t="s">
        <v>496</v>
      </c>
      <c r="GJ23" t="s">
        <v>486</v>
      </c>
      <c r="GK23" t="s">
        <v>486</v>
      </c>
      <c r="GL23" t="s">
        <v>486</v>
      </c>
      <c r="GN23">
        <v>28</v>
      </c>
      <c r="GO23" t="s">
        <v>486</v>
      </c>
      <c r="GP23" t="s">
        <v>497</v>
      </c>
    </row>
    <row r="24" spans="1:198" x14ac:dyDescent="0.2">
      <c r="D24" t="e">
        <f>_xlfn.CONCAT('[1]ALLEGATO 1 CONDOMINI'!B39,'[1]ALLEGATO 1 CONDOMINI'!C39)</f>
        <v>#REF!</v>
      </c>
      <c r="F24">
        <f>'ALLEGATO 1 CONDOMINI'!D39</f>
        <v>0</v>
      </c>
      <c r="K24" t="s">
        <v>481</v>
      </c>
      <c r="L24">
        <v>22</v>
      </c>
      <c r="M24" t="s">
        <v>482</v>
      </c>
      <c r="P24" t="e">
        <f>VLOOKUP(Q24,'[1]Zone Istat'!A:E,2,FALSE)</f>
        <v>#REF!</v>
      </c>
      <c r="Q24" t="e">
        <f>'[1]ALLEGATO 1 CONDOMINI'!G39</f>
        <v>#REF!</v>
      </c>
      <c r="R24" t="e">
        <f>VLOOKUP(Q24,'[1]Zone Istat'!A:E,5,FALSE)</f>
        <v>#REF!</v>
      </c>
      <c r="S24" t="e">
        <f>VLOOKUP(Q24,'Zone Istat'!A:E,4,FALSE)</f>
        <v>#REF!</v>
      </c>
      <c r="T24">
        <f>'ALLEGATO 1 CONDOMINI'!E39</f>
        <v>0</v>
      </c>
      <c r="U24">
        <f>'ALLEGATO 1 CONDOMINI'!F39</f>
        <v>0</v>
      </c>
      <c r="V24">
        <f>'ALLEGATO 1 CONDOMINI'!G39</f>
        <v>0</v>
      </c>
      <c r="AA24" t="s">
        <v>483</v>
      </c>
      <c r="AB24" t="s">
        <v>484</v>
      </c>
      <c r="AC24" t="s">
        <v>485</v>
      </c>
      <c r="AD24" t="s">
        <v>486</v>
      </c>
      <c r="AE24" t="s">
        <v>491</v>
      </c>
      <c r="AJ24" t="e">
        <f t="shared" si="11"/>
        <v>#REF!</v>
      </c>
      <c r="AL24" t="s">
        <v>481</v>
      </c>
      <c r="AM24">
        <v>22</v>
      </c>
      <c r="AN24">
        <v>5</v>
      </c>
      <c r="AO24">
        <v>2</v>
      </c>
      <c r="AP24">
        <v>9904</v>
      </c>
      <c r="AS24" t="s">
        <v>20777</v>
      </c>
      <c r="AU24" t="s">
        <v>489</v>
      </c>
      <c r="AV24" t="s">
        <v>20778</v>
      </c>
      <c r="AW24">
        <v>1</v>
      </c>
      <c r="AX24" t="s">
        <v>490</v>
      </c>
      <c r="AY24" t="str">
        <f t="shared" si="12"/>
        <v>0</v>
      </c>
      <c r="BB24">
        <v>12</v>
      </c>
      <c r="BC24" t="str">
        <f t="shared" si="13"/>
        <v>04</v>
      </c>
      <c r="BD24">
        <f>'ALLEGATO 1 CONDOMINI'!P39</f>
        <v>0</v>
      </c>
      <c r="BK24" t="s">
        <v>483</v>
      </c>
      <c r="BL24" t="s">
        <v>484</v>
      </c>
      <c r="BM24" t="s">
        <v>491</v>
      </c>
      <c r="BN24">
        <f>'ALLEGATO 1 CONDOMINI'!L39</f>
        <v>0</v>
      </c>
      <c r="BO24">
        <f>'ALLEGATO 1 CONDOMINI'!O39</f>
        <v>0</v>
      </c>
      <c r="BU24">
        <f t="shared" si="14"/>
        <v>0</v>
      </c>
      <c r="BV24">
        <f t="shared" si="15"/>
        <v>0</v>
      </c>
      <c r="BW24">
        <f t="shared" si="16"/>
        <v>0</v>
      </c>
      <c r="CB24">
        <f>'ALLEGATO 1 CONDOMINI'!N39</f>
        <v>0</v>
      </c>
      <c r="CQ24" t="s">
        <v>20779</v>
      </c>
      <c r="DE24" t="s">
        <v>494</v>
      </c>
      <c r="DG24">
        <f t="shared" si="17"/>
        <v>0</v>
      </c>
      <c r="DH24">
        <f t="shared" si="18"/>
        <v>0</v>
      </c>
      <c r="DI24">
        <f>'ALLEGATO 1 CONDOMINI'!K39</f>
        <v>0</v>
      </c>
      <c r="DJ24" t="s">
        <v>495</v>
      </c>
      <c r="ED24" t="e">
        <f>VLOOKUP('[1]ALLEGATO 1 CONDOMINI'!K39,[1]Venditori!B:E,4,FALSE)</f>
        <v>#REF!</v>
      </c>
      <c r="EI24" t="s">
        <v>20780</v>
      </c>
      <c r="EK24" t="s">
        <v>20781</v>
      </c>
      <c r="EL24" t="s">
        <v>485</v>
      </c>
      <c r="EO24" t="e">
        <f t="shared" si="19"/>
        <v>#REF!</v>
      </c>
      <c r="ER24" t="s">
        <v>20782</v>
      </c>
      <c r="EV24" t="s">
        <v>20783</v>
      </c>
      <c r="FT24" t="s">
        <v>496</v>
      </c>
      <c r="GJ24" t="s">
        <v>486</v>
      </c>
      <c r="GK24" t="s">
        <v>486</v>
      </c>
      <c r="GL24" t="s">
        <v>486</v>
      </c>
      <c r="GN24">
        <v>28</v>
      </c>
      <c r="GO24" t="s">
        <v>486</v>
      </c>
      <c r="GP24" t="s">
        <v>497</v>
      </c>
    </row>
    <row r="25" spans="1:198" x14ac:dyDescent="0.2">
      <c r="D25" t="e">
        <f>_xlfn.CONCAT('[1]ALLEGATO 1 CONDOMINI'!B40,'[1]ALLEGATO 1 CONDOMINI'!C40)</f>
        <v>#REF!</v>
      </c>
      <c r="F25">
        <f>'ALLEGATO 1 CONDOMINI'!D40</f>
        <v>0</v>
      </c>
      <c r="K25" t="s">
        <v>481</v>
      </c>
      <c r="L25">
        <v>22</v>
      </c>
      <c r="M25" t="s">
        <v>482</v>
      </c>
      <c r="P25" t="e">
        <f>VLOOKUP(Q25,'[1]Zone Istat'!A:E,2,FALSE)</f>
        <v>#REF!</v>
      </c>
      <c r="Q25" t="e">
        <f>'[1]ALLEGATO 1 CONDOMINI'!G40</f>
        <v>#REF!</v>
      </c>
      <c r="R25" t="e">
        <f>VLOOKUP(Q25,'[1]Zone Istat'!A:E,5,FALSE)</f>
        <v>#REF!</v>
      </c>
      <c r="S25" t="e">
        <f>VLOOKUP(Q25,'Zone Istat'!A:E,4,FALSE)</f>
        <v>#REF!</v>
      </c>
      <c r="T25">
        <f>'ALLEGATO 1 CONDOMINI'!E40</f>
        <v>0</v>
      </c>
      <c r="U25">
        <f>'ALLEGATO 1 CONDOMINI'!F40</f>
        <v>0</v>
      </c>
      <c r="V25">
        <f>'ALLEGATO 1 CONDOMINI'!G40</f>
        <v>0</v>
      </c>
      <c r="AA25" t="s">
        <v>483</v>
      </c>
      <c r="AB25" t="s">
        <v>484</v>
      </c>
      <c r="AC25" t="s">
        <v>485</v>
      </c>
      <c r="AD25" t="s">
        <v>486</v>
      </c>
      <c r="AE25" t="s">
        <v>491</v>
      </c>
      <c r="AJ25" t="e">
        <f t="shared" ref="AJ25" si="20">D25</f>
        <v>#REF!</v>
      </c>
      <c r="AL25" t="s">
        <v>481</v>
      </c>
      <c r="AM25">
        <v>22</v>
      </c>
      <c r="AN25">
        <v>5</v>
      </c>
      <c r="AO25">
        <v>2</v>
      </c>
      <c r="AP25">
        <v>9904</v>
      </c>
      <c r="AS25" t="s">
        <v>20777</v>
      </c>
      <c r="AU25" t="s">
        <v>489</v>
      </c>
      <c r="AV25" t="s">
        <v>20778</v>
      </c>
      <c r="AW25">
        <v>1</v>
      </c>
      <c r="AX25" t="s">
        <v>490</v>
      </c>
      <c r="AY25" t="str">
        <f t="shared" ref="AY25" si="21">MID(BN25,1,4)</f>
        <v>0</v>
      </c>
      <c r="BB25">
        <v>12</v>
      </c>
      <c r="BC25" t="str">
        <f t="shared" ref="BC25" si="22">IF(BD25&lt;=4999,"04","12")</f>
        <v>04</v>
      </c>
      <c r="BD25">
        <f>'ALLEGATO 1 CONDOMINI'!P40</f>
        <v>0</v>
      </c>
      <c r="BK25" t="s">
        <v>483</v>
      </c>
      <c r="BL25" t="s">
        <v>484</v>
      </c>
      <c r="BM25" t="s">
        <v>491</v>
      </c>
      <c r="BN25">
        <f>'ALLEGATO 1 CONDOMINI'!L40</f>
        <v>0</v>
      </c>
      <c r="BO25">
        <f>'ALLEGATO 1 CONDOMINI'!O40</f>
        <v>0</v>
      </c>
      <c r="BU25">
        <f t="shared" ref="BU25" si="23">T25</f>
        <v>0</v>
      </c>
      <c r="BV25">
        <f t="shared" ref="BV25" si="24">U25</f>
        <v>0</v>
      </c>
      <c r="BW25">
        <f t="shared" ref="BW25" si="25">V25</f>
        <v>0</v>
      </c>
      <c r="CB25">
        <f>'ALLEGATO 1 CONDOMINI'!N40</f>
        <v>0</v>
      </c>
      <c r="CQ25" t="s">
        <v>20779</v>
      </c>
      <c r="DE25" t="s">
        <v>494</v>
      </c>
      <c r="DG25">
        <f t="shared" ref="DG25" si="26">AF25</f>
        <v>0</v>
      </c>
      <c r="DH25">
        <f t="shared" ref="DH25" si="27">AG25</f>
        <v>0</v>
      </c>
      <c r="DI25">
        <f>'ALLEGATO 1 CONDOMINI'!K40</f>
        <v>0</v>
      </c>
      <c r="DJ25" t="s">
        <v>495</v>
      </c>
      <c r="ED25" t="e">
        <f>VLOOKUP('[1]ALLEGATO 1 CONDOMINI'!K40,[1]Venditori!B:E,4,FALSE)</f>
        <v>#REF!</v>
      </c>
      <c r="EI25" t="s">
        <v>20780</v>
      </c>
      <c r="EK25" t="s">
        <v>20781</v>
      </c>
      <c r="EL25" t="s">
        <v>485</v>
      </c>
      <c r="EO25" t="e">
        <f t="shared" ref="EO25" si="28">MID(D25,1,20)</f>
        <v>#REF!</v>
      </c>
      <c r="ER25" t="s">
        <v>20782</v>
      </c>
      <c r="EV25" t="s">
        <v>20783</v>
      </c>
      <c r="FT25" t="s">
        <v>496</v>
      </c>
      <c r="GJ25" t="s">
        <v>486</v>
      </c>
      <c r="GK25" t="s">
        <v>486</v>
      </c>
      <c r="GL25" t="s">
        <v>486</v>
      </c>
      <c r="GN25">
        <v>28</v>
      </c>
      <c r="GO25" t="s">
        <v>486</v>
      </c>
      <c r="GP25" t="s">
        <v>497</v>
      </c>
    </row>
    <row r="26" spans="1:198" s="67" customFormat="1" x14ac:dyDescent="0.2">
      <c r="BI26" s="68"/>
      <c r="FR26" s="68"/>
    </row>
    <row r="33" spans="1:2" ht="15" x14ac:dyDescent="0.25">
      <c r="A33" s="42" t="s">
        <v>498</v>
      </c>
      <c r="B33" s="33" t="s">
        <v>499</v>
      </c>
    </row>
    <row r="34" spans="1:2" ht="15" x14ac:dyDescent="0.25">
      <c r="A34" s="43" t="s">
        <v>500</v>
      </c>
      <c r="B34" s="33" t="s">
        <v>501</v>
      </c>
    </row>
    <row r="35" spans="1:2" ht="15" x14ac:dyDescent="0.25">
      <c r="A35" s="44" t="s">
        <v>502</v>
      </c>
      <c r="B35" s="33" t="s">
        <v>503</v>
      </c>
    </row>
    <row r="36" spans="1:2" ht="15" x14ac:dyDescent="0.25">
      <c r="A36" s="45" t="s">
        <v>504</v>
      </c>
      <c r="B36" s="33" t="s">
        <v>505</v>
      </c>
    </row>
  </sheetData>
  <conditionalFormatting sqref="AS2:AS13">
    <cfRule type="containsErrors" dxfId="3" priority="4">
      <formula>ISERROR(AS2)</formula>
    </cfRule>
  </conditionalFormatting>
  <conditionalFormatting sqref="AU2:AX13">
    <cfRule type="containsErrors" dxfId="2" priority="2">
      <formula>ISERROR(AU2)</formula>
    </cfRule>
  </conditionalFormatting>
  <conditionalFormatting sqref="EV2:EV9 FT2:FT9 BB2:BC13 ER2:ER13 BT10 A10:C13 E10:E13 G10:J13 N10:O13 X10:AI13 AK10:AK13 AQ10:AR13 AT10:AT13 AZ10:BA13 BE10:BM13 BX10:CA13 CC10:DD13 DF10:DF13 DJ10:EC13 EE10:EH13 EM10:EN13 EP10:EQ13 ES10:GI13 GQ10:XFD13 BP11:BT13 A15:C18 E15:Q18 S15:XFD18 A23:C25 E23:Q25 S23:XFD25 A26:XFD1048576">
    <cfRule type="containsErrors" dxfId="1" priority="5">
      <formula>ISERROR(A2)</formula>
    </cfRule>
  </conditionalFormatting>
  <conditionalFormatting sqref="GJ2:GP13">
    <cfRule type="containsErrors" dxfId="0" priority="1">
      <formula>ISERROR(GJ2)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462C-F9C4-4F32-BD65-74FED2081F14}">
  <dimension ref="A1:FL29"/>
  <sheetViews>
    <sheetView topLeftCell="DH1" workbookViewId="0">
      <selection activeCell="DM18" sqref="DM18"/>
    </sheetView>
  </sheetViews>
  <sheetFormatPr defaultColWidth="17.85546875" defaultRowHeight="15" x14ac:dyDescent="0.25"/>
  <cols>
    <col min="1" max="1" width="17.5703125" style="93" customWidth="1"/>
    <col min="2" max="2" width="16.85546875" style="93" customWidth="1"/>
    <col min="3" max="3" width="20" style="93" customWidth="1"/>
    <col min="4" max="4" width="29.140625" style="93" customWidth="1"/>
    <col min="5" max="5" width="21" style="93" customWidth="1"/>
    <col min="6" max="6" width="24.140625" style="93" customWidth="1"/>
    <col min="7" max="7" width="28.140625" style="93" customWidth="1"/>
    <col min="8" max="8" width="14.28515625" style="93" customWidth="1"/>
    <col min="9" max="9" width="43" style="93" customWidth="1"/>
    <col min="10" max="10" width="36.42578125" style="93" customWidth="1"/>
    <col min="11" max="11" width="27.5703125" style="93" customWidth="1"/>
    <col min="12" max="12" width="31.28515625" style="93" customWidth="1"/>
    <col min="13" max="13" width="26.28515625" style="93" customWidth="1"/>
    <col min="14" max="14" width="22.42578125" style="93" customWidth="1"/>
    <col min="15" max="15" width="24" style="93" customWidth="1"/>
    <col min="16" max="16" width="28.5703125" style="93" customWidth="1"/>
    <col min="17" max="17" width="32.5703125" style="93" customWidth="1"/>
    <col min="18" max="18" width="23.140625" style="93" customWidth="1"/>
    <col min="19" max="19" width="32.5703125" style="93" customWidth="1"/>
    <col min="20" max="21" width="26.85546875" style="93" customWidth="1"/>
    <col min="22" max="22" width="28.5703125" style="93" customWidth="1"/>
    <col min="23" max="23" width="25" style="93" customWidth="1"/>
    <col min="24" max="24" width="29.5703125" style="93" customWidth="1"/>
    <col min="25" max="25" width="24.140625" style="93" customWidth="1"/>
    <col min="26" max="26" width="24.7109375" style="93" customWidth="1"/>
    <col min="27" max="27" width="26.28515625" style="93" customWidth="1"/>
    <col min="28" max="28" width="38.42578125" style="93" customWidth="1"/>
    <col min="29" max="29" width="40.85546875" style="93" customWidth="1"/>
    <col min="30" max="30" width="35.5703125" style="93" customWidth="1"/>
    <col min="31" max="31" width="22.7109375" style="93" customWidth="1"/>
    <col min="32" max="32" width="31.140625" style="93" customWidth="1"/>
    <col min="33" max="33" width="36.42578125" style="93" customWidth="1"/>
    <col min="34" max="34" width="16.7109375" style="93" customWidth="1"/>
    <col min="35" max="35" width="19.85546875" style="93" customWidth="1"/>
    <col min="36" max="36" width="47.85546875" style="93" customWidth="1"/>
    <col min="37" max="37" width="31.28515625" style="93" customWidth="1"/>
    <col min="38" max="38" width="27.42578125" style="93" customWidth="1"/>
    <col min="39" max="39" width="31.140625" style="93" customWidth="1"/>
    <col min="40" max="40" width="22" style="93" customWidth="1"/>
    <col min="41" max="41" width="23.85546875" style="93" customWidth="1"/>
    <col min="42" max="42" width="26.7109375" style="93" customWidth="1"/>
    <col min="43" max="43" width="22.28515625" style="93" customWidth="1"/>
    <col min="44" max="44" width="23.85546875" style="93" customWidth="1"/>
    <col min="45" max="45" width="23.140625" style="93" customWidth="1"/>
    <col min="46" max="46" width="37.42578125" style="93" customWidth="1"/>
    <col min="47" max="47" width="35.140625" style="93" customWidth="1"/>
    <col min="48" max="48" width="25" style="93" customWidth="1"/>
    <col min="49" max="49" width="26.7109375" style="93" customWidth="1"/>
    <col min="50" max="50" width="24.28515625" style="93" customWidth="1"/>
    <col min="51" max="51" width="23.85546875" style="93" customWidth="1"/>
    <col min="52" max="52" width="32.7109375" style="93" customWidth="1"/>
    <col min="53" max="53" width="39.85546875" style="93" customWidth="1"/>
    <col min="54" max="54" width="26.5703125" style="93" customWidth="1"/>
    <col min="55" max="55" width="22.28515625" style="93" customWidth="1"/>
    <col min="56" max="56" width="27.85546875" style="93" customWidth="1"/>
    <col min="57" max="57" width="26.7109375" style="93" customWidth="1"/>
    <col min="58" max="58" width="27.140625" style="93" customWidth="1"/>
    <col min="59" max="59" width="38.28515625" style="93" customWidth="1"/>
    <col min="60" max="60" width="40.7109375" style="93" customWidth="1"/>
    <col min="61" max="61" width="34.7109375" style="93" customWidth="1"/>
    <col min="62" max="62" width="34.42578125" style="93" customWidth="1"/>
    <col min="63" max="63" width="33.7109375" style="93" customWidth="1"/>
    <col min="64" max="64" width="32.28515625" style="93" customWidth="1"/>
    <col min="65" max="65" width="28.28515625" style="93" customWidth="1"/>
    <col min="66" max="66" width="36.5703125" style="93" customWidth="1"/>
    <col min="67" max="67" width="16.85546875" style="93" customWidth="1"/>
    <col min="68" max="68" width="24.5703125" style="93" customWidth="1"/>
    <col min="69" max="69" width="24.28515625" style="93" customWidth="1"/>
    <col min="70" max="70" width="12.28515625" style="93" customWidth="1"/>
    <col min="71" max="71" width="21.5703125" style="93" customWidth="1"/>
    <col min="72" max="72" width="16" style="93" customWidth="1"/>
    <col min="73" max="73" width="32.140625" style="93" customWidth="1"/>
    <col min="74" max="74" width="14" style="93" customWidth="1"/>
    <col min="75" max="75" width="18.5703125" style="93" customWidth="1"/>
    <col min="76" max="76" width="27.5703125" style="93" customWidth="1"/>
    <col min="77" max="77" width="28.28515625" style="93" customWidth="1"/>
    <col min="78" max="78" width="15.42578125" style="93" customWidth="1"/>
    <col min="79" max="79" width="16.140625" style="93" customWidth="1"/>
    <col min="80" max="80" width="26" style="93" customWidth="1"/>
    <col min="81" max="81" width="26.28515625" style="93" customWidth="1"/>
    <col min="82" max="82" width="22.85546875" style="93" customWidth="1"/>
    <col min="83" max="83" width="24.5703125" style="93" customWidth="1"/>
    <col min="84" max="84" width="43" style="93" customWidth="1"/>
    <col min="85" max="85" width="28" style="93" customWidth="1"/>
    <col min="86" max="86" width="23.140625" style="93" customWidth="1"/>
    <col min="87" max="87" width="22.5703125" style="93" customWidth="1"/>
    <col min="88" max="88" width="27.28515625" style="93" customWidth="1"/>
    <col min="89" max="89" width="26.28515625" style="93" customWidth="1"/>
    <col min="90" max="90" width="28" style="93" customWidth="1"/>
    <col min="91" max="91" width="32.42578125" style="93" customWidth="1"/>
    <col min="92" max="92" width="34.85546875" style="93" customWidth="1"/>
    <col min="93" max="93" width="23.42578125" style="93" customWidth="1"/>
    <col min="94" max="94" width="24.140625" style="93" customWidth="1"/>
    <col min="95" max="95" width="25.7109375" style="93" customWidth="1"/>
    <col min="96" max="96" width="22.85546875" style="93" customWidth="1"/>
    <col min="97" max="97" width="36.42578125" style="93" customWidth="1"/>
    <col min="98" max="98" width="34.85546875" style="93" customWidth="1"/>
    <col min="99" max="99" width="42.5703125" style="93" customWidth="1"/>
    <col min="100" max="100" width="29" style="93" customWidth="1"/>
    <col min="101" max="101" width="25.7109375" style="93" customWidth="1"/>
    <col min="102" max="102" width="41.85546875" style="93" customWidth="1"/>
    <col min="103" max="103" width="36.42578125" style="93" customWidth="1"/>
    <col min="104" max="104" width="29.42578125" style="93" customWidth="1"/>
    <col min="105" max="105" width="21.140625" style="93" customWidth="1"/>
    <col min="106" max="106" width="31.42578125" style="93" customWidth="1"/>
    <col min="107" max="107" width="30.42578125" style="93" customWidth="1"/>
    <col min="108" max="108" width="28.85546875" style="93" customWidth="1"/>
    <col min="109" max="109" width="22.140625" style="93" customWidth="1"/>
    <col min="110" max="110" width="22.42578125" style="93" customWidth="1"/>
    <col min="111" max="111" width="25.140625" style="93" customWidth="1"/>
    <col min="112" max="112" width="26.5703125" style="93" customWidth="1"/>
    <col min="113" max="113" width="14.28515625" style="93" customWidth="1"/>
    <col min="114" max="114" width="11.5703125" style="93" customWidth="1"/>
    <col min="115" max="115" width="28" style="93" customWidth="1"/>
    <col min="116" max="116" width="13.85546875" style="93" customWidth="1"/>
    <col min="117" max="117" width="29.28515625" style="93" customWidth="1"/>
    <col min="118" max="118" width="24.7109375" style="93" customWidth="1"/>
    <col min="119" max="119" width="27.85546875" style="93" customWidth="1"/>
    <col min="120" max="120" width="33.42578125" style="93" customWidth="1"/>
    <col min="121" max="121" width="32" style="93" customWidth="1"/>
    <col min="122" max="122" width="29.42578125" style="93" customWidth="1"/>
    <col min="123" max="123" width="35" style="93" customWidth="1"/>
    <col min="124" max="124" width="23.28515625" style="93" customWidth="1"/>
    <col min="125" max="125" width="22.7109375" style="93" customWidth="1"/>
    <col min="126" max="126" width="32.140625" style="93" customWidth="1"/>
    <col min="127" max="127" width="26.42578125" style="93" customWidth="1"/>
    <col min="128" max="128" width="28.140625" style="93" customWidth="1"/>
    <col min="129" max="129" width="24.5703125" style="93" customWidth="1"/>
    <col min="130" max="130" width="29.140625" style="93" customWidth="1"/>
    <col min="131" max="131" width="23.7109375" style="93" customWidth="1"/>
    <col min="132" max="132" width="24.28515625" style="93" customWidth="1"/>
    <col min="133" max="133" width="25.85546875" style="93" customWidth="1"/>
    <col min="134" max="134" width="27.28515625" style="93" customWidth="1"/>
    <col min="135" max="135" width="25" style="93" customWidth="1"/>
    <col min="136" max="136" width="31.5703125" style="93" customWidth="1"/>
    <col min="137" max="137" width="16.140625" style="93" customWidth="1"/>
    <col min="138" max="138" width="29.42578125" style="93" customWidth="1"/>
    <col min="139" max="139" width="33.42578125" style="93" customWidth="1"/>
    <col min="140" max="140" width="35.42578125" style="93" customWidth="1"/>
    <col min="141" max="141" width="32.7109375" style="93" bestFit="1" customWidth="1"/>
    <col min="142" max="143" width="32.7109375" style="93" customWidth="1"/>
    <col min="144" max="144" width="39.85546875" style="93" customWidth="1"/>
    <col min="145" max="145" width="30.85546875" style="93" customWidth="1"/>
    <col min="146" max="146" width="42" style="93" customWidth="1"/>
    <col min="147" max="147" width="38.42578125" style="93" customWidth="1"/>
    <col min="148" max="148" width="54.85546875" style="93" customWidth="1"/>
    <col min="149" max="149" width="50.7109375" style="93" customWidth="1"/>
    <col min="150" max="150" width="52.85546875" style="93" customWidth="1"/>
    <col min="151" max="151" width="48.85546875" style="93" customWidth="1"/>
    <col min="152" max="152" width="50.85546875" style="93" customWidth="1"/>
    <col min="153" max="153" width="67.42578125" style="93" customWidth="1"/>
    <col min="154" max="154" width="87.28515625" style="93" customWidth="1"/>
    <col min="155" max="155" width="91.140625" style="93" customWidth="1"/>
    <col min="156" max="156" width="12.5703125" style="93" customWidth="1"/>
    <col min="157" max="157" width="34.28515625" style="93" customWidth="1"/>
    <col min="158" max="158" width="24" style="93" customWidth="1"/>
    <col min="159" max="159" width="23.85546875" style="93" customWidth="1"/>
    <col min="160" max="160" width="24.42578125" style="125" customWidth="1"/>
    <col min="161" max="161" width="28" style="93" customWidth="1"/>
    <col min="162" max="162" width="31" style="93" customWidth="1"/>
    <col min="163" max="163" width="37.140625" style="93" customWidth="1"/>
    <col min="164" max="164" width="31.42578125" style="93" customWidth="1"/>
    <col min="165" max="165" width="35.140625" style="93" customWidth="1"/>
    <col min="166" max="166" width="17.5703125" style="93" customWidth="1"/>
    <col min="167" max="167" width="12.85546875" style="125" customWidth="1"/>
    <col min="168" max="168" width="31.28515625" style="93" bestFit="1" customWidth="1"/>
    <col min="169" max="169" width="33.5703125" style="93" customWidth="1"/>
    <col min="170" max="16384" width="17.85546875" style="93"/>
  </cols>
  <sheetData>
    <row r="1" spans="1:168" x14ac:dyDescent="0.25">
      <c r="A1" s="89" t="s">
        <v>313</v>
      </c>
      <c r="B1" s="89" t="s">
        <v>314</v>
      </c>
      <c r="C1" s="89" t="s">
        <v>315</v>
      </c>
      <c r="D1" s="89" t="s">
        <v>316</v>
      </c>
      <c r="E1" s="89" t="s">
        <v>317</v>
      </c>
      <c r="F1" s="89" t="s">
        <v>318</v>
      </c>
      <c r="G1" s="89" t="s">
        <v>319</v>
      </c>
      <c r="H1" s="89" t="s">
        <v>320</v>
      </c>
      <c r="I1" s="89" t="s">
        <v>321</v>
      </c>
      <c r="J1" s="89" t="s">
        <v>322</v>
      </c>
      <c r="K1" s="89" t="s">
        <v>323</v>
      </c>
      <c r="L1" s="89" t="s">
        <v>324</v>
      </c>
      <c r="M1" s="89" t="s">
        <v>325</v>
      </c>
      <c r="N1" s="89" t="s">
        <v>326</v>
      </c>
      <c r="O1" s="89" t="s">
        <v>327</v>
      </c>
      <c r="P1" s="89" t="s">
        <v>328</v>
      </c>
      <c r="Q1" s="89" t="s">
        <v>329</v>
      </c>
      <c r="R1" s="89" t="s">
        <v>330</v>
      </c>
      <c r="S1" s="89" t="s">
        <v>331</v>
      </c>
      <c r="T1" s="89" t="s">
        <v>332</v>
      </c>
      <c r="U1" s="89" t="s">
        <v>333</v>
      </c>
      <c r="V1" s="89" t="s">
        <v>334</v>
      </c>
      <c r="W1" s="89" t="s">
        <v>335</v>
      </c>
      <c r="X1" s="89" t="s">
        <v>336</v>
      </c>
      <c r="Y1" s="89" t="s">
        <v>337</v>
      </c>
      <c r="Z1" s="89" t="s">
        <v>338</v>
      </c>
      <c r="AA1" s="89" t="s">
        <v>339</v>
      </c>
      <c r="AB1" s="89" t="s">
        <v>340</v>
      </c>
      <c r="AC1" s="89" t="s">
        <v>341</v>
      </c>
      <c r="AD1" s="89" t="s">
        <v>342</v>
      </c>
      <c r="AE1" s="89" t="s">
        <v>343</v>
      </c>
      <c r="AF1" s="89" t="s">
        <v>344</v>
      </c>
      <c r="AG1" s="89" t="s">
        <v>345</v>
      </c>
      <c r="AH1" s="89" t="s">
        <v>346</v>
      </c>
      <c r="AI1" s="89" t="s">
        <v>347</v>
      </c>
      <c r="AJ1" s="89" t="s">
        <v>348</v>
      </c>
      <c r="AK1" s="89" t="s">
        <v>349</v>
      </c>
      <c r="AL1" s="89" t="s">
        <v>350</v>
      </c>
      <c r="AM1" s="89" t="s">
        <v>351</v>
      </c>
      <c r="AN1" s="89" t="s">
        <v>352</v>
      </c>
      <c r="AO1" s="89" t="s">
        <v>353</v>
      </c>
      <c r="AP1" s="89" t="s">
        <v>354</v>
      </c>
      <c r="AQ1" s="89" t="s">
        <v>355</v>
      </c>
      <c r="AR1" s="89" t="s">
        <v>356</v>
      </c>
      <c r="AS1" s="89" t="s">
        <v>357</v>
      </c>
      <c r="AT1" s="89" t="s">
        <v>358</v>
      </c>
      <c r="AU1" s="89" t="s">
        <v>359</v>
      </c>
      <c r="AV1" s="89" t="s">
        <v>360</v>
      </c>
      <c r="AW1" s="89" t="s">
        <v>361</v>
      </c>
      <c r="AX1" s="89" t="s">
        <v>362</v>
      </c>
      <c r="AY1" s="89" t="s">
        <v>363</v>
      </c>
      <c r="AZ1" s="89" t="s">
        <v>364</v>
      </c>
      <c r="BA1" s="89" t="s">
        <v>365</v>
      </c>
      <c r="BB1" s="89" t="s">
        <v>366</v>
      </c>
      <c r="BC1" s="89" t="s">
        <v>367</v>
      </c>
      <c r="BD1" s="89" t="s">
        <v>368</v>
      </c>
      <c r="BE1" s="89" t="s">
        <v>369</v>
      </c>
      <c r="BF1" s="89" t="s">
        <v>370</v>
      </c>
      <c r="BG1" s="89" t="s">
        <v>371</v>
      </c>
      <c r="BH1" s="89" t="s">
        <v>372</v>
      </c>
      <c r="BI1" s="89" t="s">
        <v>373</v>
      </c>
      <c r="BJ1" s="89" t="s">
        <v>374</v>
      </c>
      <c r="BK1" s="89" t="s">
        <v>375</v>
      </c>
      <c r="BL1" s="89" t="s">
        <v>376</v>
      </c>
      <c r="BM1" s="89" t="s">
        <v>377</v>
      </c>
      <c r="BN1" s="89" t="s">
        <v>378</v>
      </c>
      <c r="BO1" s="89" t="s">
        <v>379</v>
      </c>
      <c r="BP1" s="89" t="s">
        <v>380</v>
      </c>
      <c r="BQ1" s="89" t="s">
        <v>381</v>
      </c>
      <c r="BR1" s="89" t="s">
        <v>382</v>
      </c>
      <c r="BS1" s="89" t="s">
        <v>383</v>
      </c>
      <c r="BT1" s="89" t="s">
        <v>384</v>
      </c>
      <c r="BU1" s="89" t="s">
        <v>385</v>
      </c>
      <c r="BV1" s="89" t="s">
        <v>386</v>
      </c>
      <c r="BW1" s="89" t="s">
        <v>387</v>
      </c>
      <c r="BX1" s="89" t="s">
        <v>388</v>
      </c>
      <c r="BY1" s="89" t="s">
        <v>389</v>
      </c>
      <c r="BZ1" s="89" t="s">
        <v>390</v>
      </c>
      <c r="CA1" s="89" t="s">
        <v>391</v>
      </c>
      <c r="CB1" s="89" t="s">
        <v>392</v>
      </c>
      <c r="CC1" s="89" t="s">
        <v>393</v>
      </c>
      <c r="CD1" s="89" t="s">
        <v>394</v>
      </c>
      <c r="CE1" s="89" t="s">
        <v>395</v>
      </c>
      <c r="CF1" s="89" t="s">
        <v>396</v>
      </c>
      <c r="CG1" s="89" t="s">
        <v>397</v>
      </c>
      <c r="CH1" s="89" t="s">
        <v>398</v>
      </c>
      <c r="CI1" s="89" t="s">
        <v>399</v>
      </c>
      <c r="CJ1" s="89" t="s">
        <v>400</v>
      </c>
      <c r="CK1" s="89" t="s">
        <v>401</v>
      </c>
      <c r="CL1" s="89" t="s">
        <v>402</v>
      </c>
      <c r="CM1" s="89" t="s">
        <v>403</v>
      </c>
      <c r="CN1" s="89" t="s">
        <v>404</v>
      </c>
      <c r="CO1" s="89" t="s">
        <v>405</v>
      </c>
      <c r="CP1" s="89" t="s">
        <v>406</v>
      </c>
      <c r="CQ1" s="89" t="s">
        <v>407</v>
      </c>
      <c r="CR1" s="89" t="s">
        <v>408</v>
      </c>
      <c r="CS1" s="89" t="s">
        <v>409</v>
      </c>
      <c r="CT1" s="89" t="s">
        <v>410</v>
      </c>
      <c r="CU1" s="89" t="s">
        <v>411</v>
      </c>
      <c r="CV1" s="89" t="s">
        <v>412</v>
      </c>
      <c r="CW1" s="89" t="s">
        <v>413</v>
      </c>
      <c r="CX1" s="89" t="s">
        <v>414</v>
      </c>
      <c r="CY1" s="89" t="s">
        <v>415</v>
      </c>
      <c r="CZ1" s="89" t="s">
        <v>416</v>
      </c>
      <c r="DA1" s="89" t="s">
        <v>417</v>
      </c>
      <c r="DB1" s="89" t="s">
        <v>418</v>
      </c>
      <c r="DC1" s="89" t="s">
        <v>419</v>
      </c>
      <c r="DD1" s="89" t="s">
        <v>420</v>
      </c>
      <c r="DE1" s="89" t="s">
        <v>421</v>
      </c>
      <c r="DF1" s="89" t="s">
        <v>422</v>
      </c>
      <c r="DG1" s="89" t="s">
        <v>423</v>
      </c>
      <c r="DH1" s="89" t="s">
        <v>424</v>
      </c>
      <c r="DI1" s="89" t="s">
        <v>425</v>
      </c>
      <c r="DJ1" s="89" t="s">
        <v>426</v>
      </c>
      <c r="DK1" s="90" t="s">
        <v>427</v>
      </c>
      <c r="DL1" s="90" t="s">
        <v>428</v>
      </c>
      <c r="DM1" s="90" t="s">
        <v>429</v>
      </c>
      <c r="DN1" s="90" t="s">
        <v>430</v>
      </c>
      <c r="DO1" s="90" t="s">
        <v>431</v>
      </c>
      <c r="DP1" s="90" t="s">
        <v>432</v>
      </c>
      <c r="DQ1" s="90" t="s">
        <v>433</v>
      </c>
      <c r="DR1" s="90" t="s">
        <v>434</v>
      </c>
      <c r="DS1" s="90" t="s">
        <v>435</v>
      </c>
      <c r="DT1" s="90" t="s">
        <v>436</v>
      </c>
      <c r="DU1" s="90" t="s">
        <v>437</v>
      </c>
      <c r="DV1" s="90" t="s">
        <v>438</v>
      </c>
      <c r="DW1" s="90" t="s">
        <v>439</v>
      </c>
      <c r="DX1" s="90" t="s">
        <v>440</v>
      </c>
      <c r="DY1" s="90" t="s">
        <v>441</v>
      </c>
      <c r="DZ1" s="90" t="s">
        <v>442</v>
      </c>
      <c r="EA1" s="90" t="s">
        <v>443</v>
      </c>
      <c r="EB1" s="90" t="s">
        <v>444</v>
      </c>
      <c r="EC1" s="90" t="s">
        <v>445</v>
      </c>
      <c r="ED1" s="90" t="s">
        <v>446</v>
      </c>
      <c r="EE1" s="90" t="s">
        <v>447</v>
      </c>
      <c r="EF1" s="31" t="s">
        <v>448</v>
      </c>
      <c r="EG1" s="91" t="s">
        <v>449</v>
      </c>
      <c r="EH1" s="91" t="s">
        <v>450</v>
      </c>
      <c r="EI1" s="91" t="s">
        <v>451</v>
      </c>
      <c r="EJ1" s="91" t="s">
        <v>452</v>
      </c>
      <c r="EK1" s="91" t="s">
        <v>453</v>
      </c>
      <c r="EL1" s="91" t="s">
        <v>454</v>
      </c>
      <c r="EM1" s="91" t="s">
        <v>455</v>
      </c>
      <c r="EN1" s="91" t="s">
        <v>456</v>
      </c>
      <c r="EO1" s="91" t="s">
        <v>457</v>
      </c>
      <c r="EP1" s="91" t="s">
        <v>458</v>
      </c>
      <c r="EQ1" s="91" t="s">
        <v>459</v>
      </c>
      <c r="ER1" s="91" t="s">
        <v>460</v>
      </c>
      <c r="ES1" s="91" t="s">
        <v>461</v>
      </c>
      <c r="ET1" s="91" t="s">
        <v>462</v>
      </c>
      <c r="EU1" s="91" t="s">
        <v>463</v>
      </c>
      <c r="EV1" s="91" t="s">
        <v>464</v>
      </c>
      <c r="EW1" s="91" t="s">
        <v>465</v>
      </c>
      <c r="EX1" s="91" t="s">
        <v>466</v>
      </c>
      <c r="EY1" s="92" t="s">
        <v>467</v>
      </c>
      <c r="EZ1" s="32" t="s">
        <v>468</v>
      </c>
      <c r="FA1" s="32" t="s">
        <v>469</v>
      </c>
      <c r="FB1" s="32" t="s">
        <v>470</v>
      </c>
      <c r="FC1" s="32" t="s">
        <v>471</v>
      </c>
      <c r="FD1" s="32" t="s">
        <v>472</v>
      </c>
      <c r="FE1" s="32" t="s">
        <v>473</v>
      </c>
      <c r="FF1" s="32" t="s">
        <v>474</v>
      </c>
      <c r="FG1" s="32" t="s">
        <v>475</v>
      </c>
      <c r="FH1" s="32" t="s">
        <v>476</v>
      </c>
      <c r="FI1" s="32" t="s">
        <v>477</v>
      </c>
      <c r="FJ1" s="32" t="s">
        <v>478</v>
      </c>
      <c r="FK1" s="32" t="s">
        <v>479</v>
      </c>
      <c r="FL1" s="32" t="s">
        <v>480</v>
      </c>
    </row>
    <row r="2" spans="1:168" s="84" customFormat="1" x14ac:dyDescent="0.25">
      <c r="A2" s="94"/>
      <c r="B2" s="94"/>
      <c r="C2" s="94"/>
      <c r="D2" s="84" t="str">
        <f>_xlfn.CONCAT('ALLEGATO 1 CONDOMINI'!B56,'ALLEGATO 1 CONDOMINI'!C56)</f>
        <v>COND.</v>
      </c>
      <c r="E2" s="94"/>
      <c r="F2" s="84">
        <f>'ALLEGATO 1 CONDOMINI'!D56</f>
        <v>0</v>
      </c>
      <c r="G2" s="95"/>
      <c r="H2" s="94"/>
      <c r="I2" s="96"/>
      <c r="J2" s="97"/>
      <c r="K2" s="85" t="s">
        <v>481</v>
      </c>
      <c r="L2" s="84">
        <f>'ALLEGATO 1 CONDOMINI'!P56</f>
        <v>0</v>
      </c>
      <c r="M2" s="85" t="s">
        <v>482</v>
      </c>
      <c r="N2" s="98"/>
      <c r="O2" s="94"/>
      <c r="P2" s="84" t="e">
        <f>VLOOKUP(Q2,'Zone Istat'!A:B,2,FALSE)</f>
        <v>#N/A</v>
      </c>
      <c r="Q2" s="84">
        <f>'ALLEGATO 1 CONDOMINI'!I56</f>
        <v>0</v>
      </c>
      <c r="R2" s="84" t="e">
        <f>VLOOKUP(Q2,'Zone Istat'!A:E,5,FALSE)</f>
        <v>#N/A</v>
      </c>
      <c r="S2" s="84" t="e">
        <f>VLOOKUP(Q2,'Zone Istat'!A:D,4,FALSE)</f>
        <v>#N/A</v>
      </c>
      <c r="T2" s="99">
        <f>'ALLEGATO 1 CONDOMINI'!E56</f>
        <v>0</v>
      </c>
      <c r="U2" s="99">
        <f>'ALLEGATO 1 CONDOMINI'!F56</f>
        <v>0</v>
      </c>
      <c r="V2" s="99">
        <f>'ALLEGATO 1 CONDOMINI'!G56</f>
        <v>0</v>
      </c>
      <c r="W2" s="99"/>
      <c r="X2" s="100"/>
      <c r="Y2" s="94"/>
      <c r="Z2" s="94"/>
      <c r="AA2" s="85" t="s">
        <v>483</v>
      </c>
      <c r="AB2" s="85" t="s">
        <v>484</v>
      </c>
      <c r="AC2" s="85" t="s">
        <v>485</v>
      </c>
      <c r="AD2" s="85" t="s">
        <v>486</v>
      </c>
      <c r="AE2" s="98"/>
      <c r="AF2" s="98"/>
      <c r="AG2" s="94"/>
      <c r="AH2" s="94"/>
      <c r="AI2" s="84" t="str">
        <f t="shared" ref="AI2:AI5" si="0">D2</f>
        <v>COND.</v>
      </c>
      <c r="AJ2" s="94"/>
      <c r="AK2" s="85" t="s">
        <v>481</v>
      </c>
      <c r="AL2" s="84">
        <f>'ALLEGATO 1 CONDOMINI'!P56</f>
        <v>0</v>
      </c>
      <c r="AM2" s="85" t="s">
        <v>487</v>
      </c>
      <c r="AO2" s="85">
        <v>9904</v>
      </c>
      <c r="AP2" s="98"/>
      <c r="AQ2" s="94"/>
      <c r="AR2" s="85" t="s">
        <v>488</v>
      </c>
      <c r="AS2" s="98" t="s">
        <v>153</v>
      </c>
      <c r="AT2" s="85" t="s">
        <v>489</v>
      </c>
      <c r="AU2" s="101" t="s">
        <v>490</v>
      </c>
      <c r="AV2" s="84" t="str">
        <f>MID(BN2,3,4)</f>
        <v/>
      </c>
      <c r="AW2" s="94"/>
      <c r="AX2" s="102"/>
      <c r="AY2" s="85">
        <v>12</v>
      </c>
      <c r="AZ2" s="84">
        <f>'ALLEGATO 1 CONDOMINI'!O56</f>
        <v>0</v>
      </c>
      <c r="BA2" s="98"/>
      <c r="BB2" s="98"/>
      <c r="BC2" s="102"/>
      <c r="BD2" s="94"/>
      <c r="BE2" s="98"/>
      <c r="BF2" s="85" t="s">
        <v>483</v>
      </c>
      <c r="BG2" s="85" t="s">
        <v>484</v>
      </c>
      <c r="BH2" s="85" t="s">
        <v>491</v>
      </c>
      <c r="BI2" s="84">
        <f>'ALLEGATO 1 CONDOMINI'!Q56</f>
        <v>0</v>
      </c>
      <c r="BJ2" s="84">
        <f>'ALLEGATO 1 CONDOMINI'!R56</f>
        <v>0</v>
      </c>
      <c r="BK2" s="84">
        <f>'ALLEGATO 1 CONDOMINI'!S56</f>
        <v>0</v>
      </c>
      <c r="BL2" s="85" t="s">
        <v>492</v>
      </c>
      <c r="BM2" s="85" t="s">
        <v>493</v>
      </c>
      <c r="BN2" s="103">
        <f>'ALLEGATO 1 CONDOMINI'!L56</f>
        <v>0</v>
      </c>
      <c r="BO2" s="84" t="e">
        <f t="shared" ref="BO2:BR5" si="1">P2</f>
        <v>#N/A</v>
      </c>
      <c r="BP2" s="84">
        <f t="shared" si="1"/>
        <v>0</v>
      </c>
      <c r="BQ2" s="84" t="e">
        <f t="shared" si="1"/>
        <v>#N/A</v>
      </c>
      <c r="BR2" s="84" t="e">
        <f t="shared" si="1"/>
        <v>#N/A</v>
      </c>
      <c r="BS2" s="84">
        <f>'ALLEGATO 1 CONDOMINI'!E56</f>
        <v>0</v>
      </c>
      <c r="BT2" s="84">
        <f>'ALLEGATO 1 CONDOMINI'!F56</f>
        <v>0</v>
      </c>
      <c r="BU2" s="84">
        <f>'ALLEGATO 1 CONDOMINI'!G56</f>
        <v>0</v>
      </c>
      <c r="BW2" s="94"/>
      <c r="BX2" s="94"/>
      <c r="BY2" s="94"/>
      <c r="BZ2" s="94"/>
      <c r="CA2" s="102"/>
      <c r="CB2" s="94"/>
      <c r="CC2" s="98" t="s">
        <v>20779</v>
      </c>
      <c r="CD2" s="94"/>
      <c r="CE2" s="98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85" t="s">
        <v>494</v>
      </c>
      <c r="CR2" s="94"/>
      <c r="CS2" s="84">
        <f>AE2</f>
        <v>0</v>
      </c>
      <c r="CT2" s="84">
        <f>AF2</f>
        <v>0</v>
      </c>
      <c r="CU2" s="84">
        <f>'ALLEGATO 1 CONDOMINI'!K56</f>
        <v>0</v>
      </c>
      <c r="CV2" s="85" t="s">
        <v>495</v>
      </c>
      <c r="CW2" s="102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98"/>
      <c r="DI2" s="104" t="s">
        <v>20796</v>
      </c>
      <c r="DJ2" s="105" t="e">
        <f>VLOOKUP('ALLEGATO 1 CONDOMINI'!N56,Venditori!B:E,4,FALSE)</f>
        <v>#N/A</v>
      </c>
      <c r="DK2" s="94"/>
      <c r="DL2" s="106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2"/>
      <c r="EF2" s="104"/>
      <c r="EG2" s="102"/>
      <c r="EH2" s="85" t="s">
        <v>485</v>
      </c>
      <c r="EI2" s="85" t="s">
        <v>496</v>
      </c>
      <c r="EJ2" s="105" t="str">
        <f t="shared" ref="EJ2:EJ5" si="2">MID(D2,1,20)</f>
        <v>COND.</v>
      </c>
      <c r="EK2" s="94"/>
      <c r="EL2" s="94"/>
      <c r="EM2" s="94"/>
      <c r="EN2" s="94"/>
      <c r="EO2" s="94"/>
      <c r="EP2" s="94"/>
      <c r="EQ2" s="94"/>
      <c r="ER2" s="94"/>
      <c r="ES2" s="94"/>
      <c r="ET2" s="94"/>
      <c r="EU2" s="94"/>
      <c r="EV2" s="85">
        <v>1</v>
      </c>
      <c r="EW2" s="85">
        <v>1</v>
      </c>
      <c r="EX2" s="85">
        <v>1</v>
      </c>
      <c r="EY2" s="98"/>
      <c r="EZ2" s="94"/>
      <c r="FA2" s="98"/>
      <c r="FB2" s="85" t="s">
        <v>497</v>
      </c>
      <c r="FC2" s="94"/>
      <c r="FD2" s="94"/>
      <c r="FE2" s="94"/>
      <c r="FF2" s="94"/>
      <c r="FG2" s="94"/>
      <c r="FH2" s="94"/>
      <c r="FI2" s="94"/>
      <c r="FJ2" s="94"/>
      <c r="FK2" s="94"/>
      <c r="FL2" s="94"/>
    </row>
    <row r="3" spans="1:168" s="109" customFormat="1" x14ac:dyDescent="0.25">
      <c r="A3" s="107"/>
      <c r="B3" s="107"/>
      <c r="C3" s="107"/>
      <c r="D3" s="84" t="str">
        <f>_xlfn.CONCAT('ALLEGATO 1 CONDOMINI'!B57,'ALLEGATO 1 CONDOMINI'!C57)</f>
        <v>COND.</v>
      </c>
      <c r="E3" s="107"/>
      <c r="F3" s="84">
        <f>'ALLEGATO 1 CONDOMINI'!D57</f>
        <v>0</v>
      </c>
      <c r="G3" s="95"/>
      <c r="H3" s="107"/>
      <c r="I3" s="96"/>
      <c r="J3" s="97"/>
      <c r="K3" s="83" t="s">
        <v>481</v>
      </c>
      <c r="L3" s="84">
        <f>'ALLEGATO 1 CONDOMINI'!P57</f>
        <v>0</v>
      </c>
      <c r="M3" s="83" t="s">
        <v>482</v>
      </c>
      <c r="N3" s="98"/>
      <c r="O3" s="107"/>
      <c r="P3" s="84" t="e">
        <f>VLOOKUP(Q3,'Zone Istat'!A:B,2,FALSE)</f>
        <v>#N/A</v>
      </c>
      <c r="Q3" s="84">
        <f>'ALLEGATO 1 CONDOMINI'!I57</f>
        <v>0</v>
      </c>
      <c r="R3" s="84" t="e">
        <f>VLOOKUP(Q3,'Zone Istat'!A:E,5,FALSE)</f>
        <v>#N/A</v>
      </c>
      <c r="S3" s="84" t="e">
        <f>VLOOKUP(Q3,'Zone Istat'!A:D,4,FALSE)</f>
        <v>#N/A</v>
      </c>
      <c r="T3" s="99">
        <f>'ALLEGATO 1 CONDOMINI'!E57</f>
        <v>0</v>
      </c>
      <c r="U3" s="99">
        <f>'ALLEGATO 1 CONDOMINI'!F57</f>
        <v>0</v>
      </c>
      <c r="V3" s="99">
        <f>'ALLEGATO 1 CONDOMINI'!G57</f>
        <v>0</v>
      </c>
      <c r="W3" s="99"/>
      <c r="X3" s="100"/>
      <c r="Y3" s="107"/>
      <c r="Z3" s="107"/>
      <c r="AA3" s="83" t="s">
        <v>483</v>
      </c>
      <c r="AB3" s="83" t="s">
        <v>484</v>
      </c>
      <c r="AC3" s="83" t="s">
        <v>485</v>
      </c>
      <c r="AD3" s="83" t="s">
        <v>486</v>
      </c>
      <c r="AE3" s="98"/>
      <c r="AF3" s="98"/>
      <c r="AG3" s="107"/>
      <c r="AH3" s="107"/>
      <c r="AI3" s="108" t="str">
        <f t="shared" si="0"/>
        <v>COND.</v>
      </c>
      <c r="AJ3" s="107"/>
      <c r="AK3" s="83" t="s">
        <v>481</v>
      </c>
      <c r="AL3" s="84">
        <f>'ALLEGATO 1 CONDOMINI'!P57</f>
        <v>0</v>
      </c>
      <c r="AM3" s="83" t="s">
        <v>487</v>
      </c>
      <c r="AN3" s="108"/>
      <c r="AO3" s="83">
        <v>9904</v>
      </c>
      <c r="AQ3" s="107"/>
      <c r="AR3" s="83" t="s">
        <v>488</v>
      </c>
      <c r="AS3" s="98" t="s">
        <v>153</v>
      </c>
      <c r="AT3" s="83" t="s">
        <v>489</v>
      </c>
      <c r="AU3" s="83" t="s">
        <v>490</v>
      </c>
      <c r="AV3" s="84" t="str">
        <f t="shared" ref="AV3:AV5" si="3">MID(BN3,3,4)</f>
        <v/>
      </c>
      <c r="AW3" s="107"/>
      <c r="AY3" s="83">
        <v>12</v>
      </c>
      <c r="AZ3" s="84">
        <f>'ALLEGATO 1 CONDOMINI'!O57</f>
        <v>0</v>
      </c>
      <c r="BA3" s="98"/>
      <c r="BB3" s="98"/>
      <c r="BC3" s="102"/>
      <c r="BD3" s="107"/>
      <c r="BF3" s="83" t="s">
        <v>483</v>
      </c>
      <c r="BG3" s="83" t="s">
        <v>484</v>
      </c>
      <c r="BH3" s="83" t="s">
        <v>491</v>
      </c>
      <c r="BI3" s="84">
        <f>'ALLEGATO 1 CONDOMINI'!Q57</f>
        <v>0</v>
      </c>
      <c r="BJ3" s="84">
        <f>'ALLEGATO 1 CONDOMINI'!R57</f>
        <v>0</v>
      </c>
      <c r="BK3" s="84">
        <f>'ALLEGATO 1 CONDOMINI'!S57</f>
        <v>0</v>
      </c>
      <c r="BL3" s="83" t="s">
        <v>492</v>
      </c>
      <c r="BM3" s="83" t="s">
        <v>493</v>
      </c>
      <c r="BN3" s="103">
        <f>'ALLEGATO 1 CONDOMINI'!L57</f>
        <v>0</v>
      </c>
      <c r="BO3" s="108" t="e">
        <f t="shared" si="1"/>
        <v>#N/A</v>
      </c>
      <c r="BP3" s="108">
        <f t="shared" si="1"/>
        <v>0</v>
      </c>
      <c r="BQ3" s="108" t="e">
        <f t="shared" si="1"/>
        <v>#N/A</v>
      </c>
      <c r="BR3" s="108" t="e">
        <f t="shared" si="1"/>
        <v>#N/A</v>
      </c>
      <c r="BS3" s="84">
        <f>'ALLEGATO 1 CONDOMINI'!E57</f>
        <v>0</v>
      </c>
      <c r="BT3" s="84">
        <f>'ALLEGATO 1 CONDOMINI'!F57</f>
        <v>0</v>
      </c>
      <c r="BU3" s="84">
        <f>'ALLEGATO 1 CONDOMINI'!G57</f>
        <v>0</v>
      </c>
      <c r="BV3" s="108"/>
      <c r="BW3" s="107"/>
      <c r="BX3" s="107"/>
      <c r="BY3" s="107"/>
      <c r="BZ3" s="107"/>
      <c r="CA3" s="102"/>
      <c r="CB3" s="107"/>
      <c r="CC3" s="98" t="s">
        <v>20779</v>
      </c>
      <c r="CD3" s="107"/>
      <c r="CE3" s="110"/>
      <c r="CF3" s="107"/>
      <c r="CG3" s="107"/>
      <c r="CH3" s="107"/>
      <c r="CI3" s="107"/>
      <c r="CJ3" s="107"/>
      <c r="CK3" s="107"/>
      <c r="CL3" s="107"/>
      <c r="CM3" s="107"/>
      <c r="CN3" s="107"/>
      <c r="CO3" s="107"/>
      <c r="CP3" s="107"/>
      <c r="CQ3" s="83" t="s">
        <v>494</v>
      </c>
      <c r="CR3" s="107"/>
      <c r="CS3" s="84">
        <f t="shared" ref="CS3:CS5" si="4">AE3</f>
        <v>0</v>
      </c>
      <c r="CT3" s="84">
        <f t="shared" ref="CT3:CT5" si="5">AF3</f>
        <v>0</v>
      </c>
      <c r="CU3" s="84">
        <f>'ALLEGATO 1 CONDOMINI'!K57</f>
        <v>0</v>
      </c>
      <c r="CV3" s="83" t="s">
        <v>495</v>
      </c>
      <c r="CW3" s="102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I3" s="104" t="s">
        <v>20796</v>
      </c>
      <c r="DJ3" s="105" t="e">
        <f>VLOOKUP('ALLEGATO 1 CONDOMINI'!N57,Venditori!B:E,4,FALSE)</f>
        <v>#N/A</v>
      </c>
      <c r="DK3" s="107"/>
      <c r="DL3" s="106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02"/>
      <c r="EF3" s="111"/>
      <c r="EG3" s="102"/>
      <c r="EH3" s="83" t="s">
        <v>485</v>
      </c>
      <c r="EI3" s="83" t="s">
        <v>496</v>
      </c>
      <c r="EJ3" s="112" t="str">
        <f t="shared" si="2"/>
        <v>COND.</v>
      </c>
      <c r="EK3" s="94"/>
      <c r="EL3" s="107"/>
      <c r="EM3" s="107"/>
      <c r="EN3" s="107"/>
      <c r="EO3" s="107"/>
      <c r="EP3" s="107"/>
      <c r="EQ3" s="107"/>
      <c r="ER3" s="107"/>
      <c r="ES3" s="107"/>
      <c r="ET3" s="107"/>
      <c r="EU3" s="107"/>
      <c r="EV3" s="83">
        <v>1</v>
      </c>
      <c r="EW3" s="83">
        <v>1</v>
      </c>
      <c r="EX3" s="83">
        <v>1</v>
      </c>
      <c r="EZ3" s="107"/>
      <c r="FA3" s="98"/>
      <c r="FB3" s="83" t="s">
        <v>497</v>
      </c>
      <c r="FC3" s="113"/>
      <c r="FD3" s="107"/>
      <c r="FE3" s="107"/>
      <c r="FF3" s="107"/>
      <c r="FG3" s="107"/>
      <c r="FH3" s="107"/>
      <c r="FI3" s="107"/>
      <c r="FJ3" s="113"/>
      <c r="FK3" s="107"/>
      <c r="FL3" s="107"/>
    </row>
    <row r="4" spans="1:168" s="109" customFormat="1" x14ac:dyDescent="0.25">
      <c r="A4" s="107"/>
      <c r="B4" s="107"/>
      <c r="C4" s="107"/>
      <c r="D4" s="84" t="str">
        <f>_xlfn.CONCAT('ALLEGATO 1 CONDOMINI'!B58,'ALLEGATO 1 CONDOMINI'!C58)</f>
        <v>COND.</v>
      </c>
      <c r="E4" s="107"/>
      <c r="F4" s="84">
        <f>'ALLEGATO 1 CONDOMINI'!D58</f>
        <v>0</v>
      </c>
      <c r="G4" s="95"/>
      <c r="H4" s="107"/>
      <c r="I4" s="96"/>
      <c r="J4" s="97"/>
      <c r="K4" s="83" t="s">
        <v>481</v>
      </c>
      <c r="L4" s="84">
        <f>'ALLEGATO 1 CONDOMINI'!P58</f>
        <v>0</v>
      </c>
      <c r="M4" s="83" t="s">
        <v>482</v>
      </c>
      <c r="N4" s="98"/>
      <c r="O4" s="107"/>
      <c r="P4" s="84" t="e">
        <f>VLOOKUP(Q4,'Zone Istat'!A:B,2,FALSE)</f>
        <v>#N/A</v>
      </c>
      <c r="Q4" s="84">
        <f>'ALLEGATO 1 CONDOMINI'!I58</f>
        <v>0</v>
      </c>
      <c r="R4" s="84" t="e">
        <f>VLOOKUP(Q4,'Zone Istat'!A:E,5,FALSE)</f>
        <v>#N/A</v>
      </c>
      <c r="S4" s="84" t="e">
        <f>VLOOKUP(Q4,'Zone Istat'!A:D,4,FALSE)</f>
        <v>#N/A</v>
      </c>
      <c r="T4" s="99">
        <f>'ALLEGATO 1 CONDOMINI'!E58</f>
        <v>0</v>
      </c>
      <c r="U4" s="99">
        <f>'ALLEGATO 1 CONDOMINI'!F58</f>
        <v>0</v>
      </c>
      <c r="V4" s="99">
        <f>'ALLEGATO 1 CONDOMINI'!G58</f>
        <v>0</v>
      </c>
      <c r="W4" s="99"/>
      <c r="X4" s="100"/>
      <c r="Y4" s="107"/>
      <c r="Z4" s="107"/>
      <c r="AA4" s="83" t="s">
        <v>483</v>
      </c>
      <c r="AB4" s="83" t="s">
        <v>484</v>
      </c>
      <c r="AC4" s="83" t="s">
        <v>485</v>
      </c>
      <c r="AD4" s="83" t="s">
        <v>486</v>
      </c>
      <c r="AE4" s="98"/>
      <c r="AF4" s="98"/>
      <c r="AG4" s="107"/>
      <c r="AH4" s="107"/>
      <c r="AI4" s="108" t="str">
        <f t="shared" si="0"/>
        <v>COND.</v>
      </c>
      <c r="AJ4" s="107"/>
      <c r="AK4" s="83" t="s">
        <v>481</v>
      </c>
      <c r="AL4" s="84">
        <f>'ALLEGATO 1 CONDOMINI'!P58</f>
        <v>0</v>
      </c>
      <c r="AM4" s="83" t="s">
        <v>487</v>
      </c>
      <c r="AN4" s="108"/>
      <c r="AO4" s="83">
        <v>9904</v>
      </c>
      <c r="AQ4" s="107"/>
      <c r="AR4" s="83" t="s">
        <v>488</v>
      </c>
      <c r="AS4" s="98" t="s">
        <v>153</v>
      </c>
      <c r="AT4" s="83" t="s">
        <v>489</v>
      </c>
      <c r="AU4" s="83" t="s">
        <v>490</v>
      </c>
      <c r="AV4" s="84" t="str">
        <f t="shared" si="3"/>
        <v/>
      </c>
      <c r="AW4" s="107"/>
      <c r="AY4" s="83">
        <v>12</v>
      </c>
      <c r="AZ4" s="84">
        <f>'ALLEGATO 1 CONDOMINI'!O58</f>
        <v>0</v>
      </c>
      <c r="BA4" s="98"/>
      <c r="BB4" s="98"/>
      <c r="BC4" s="102"/>
      <c r="BD4" s="107"/>
      <c r="BF4" s="83" t="s">
        <v>483</v>
      </c>
      <c r="BG4" s="83" t="s">
        <v>484</v>
      </c>
      <c r="BH4" s="83" t="s">
        <v>491</v>
      </c>
      <c r="BI4" s="84">
        <f>'ALLEGATO 1 CONDOMINI'!Q58</f>
        <v>0</v>
      </c>
      <c r="BJ4" s="84">
        <f>'ALLEGATO 1 CONDOMINI'!R58</f>
        <v>0</v>
      </c>
      <c r="BK4" s="84">
        <f>'ALLEGATO 1 CONDOMINI'!S58</f>
        <v>0</v>
      </c>
      <c r="BL4" s="83" t="s">
        <v>492</v>
      </c>
      <c r="BM4" s="83" t="s">
        <v>493</v>
      </c>
      <c r="BN4" s="103">
        <f>'ALLEGATO 1 CONDOMINI'!L58</f>
        <v>0</v>
      </c>
      <c r="BO4" s="108" t="e">
        <f t="shared" si="1"/>
        <v>#N/A</v>
      </c>
      <c r="BP4" s="108">
        <f t="shared" si="1"/>
        <v>0</v>
      </c>
      <c r="BQ4" s="108" t="e">
        <f t="shared" si="1"/>
        <v>#N/A</v>
      </c>
      <c r="BR4" s="108" t="e">
        <f t="shared" si="1"/>
        <v>#N/A</v>
      </c>
      <c r="BS4" s="84">
        <f>'ALLEGATO 1 CONDOMINI'!E58</f>
        <v>0</v>
      </c>
      <c r="BT4" s="84">
        <f>'ALLEGATO 1 CONDOMINI'!F58</f>
        <v>0</v>
      </c>
      <c r="BU4" s="84">
        <f>'ALLEGATO 1 CONDOMINI'!G58</f>
        <v>0</v>
      </c>
      <c r="BV4" s="108"/>
      <c r="BW4" s="107"/>
      <c r="BX4" s="107"/>
      <c r="BY4" s="107"/>
      <c r="BZ4" s="107"/>
      <c r="CA4" s="102"/>
      <c r="CB4" s="107"/>
      <c r="CC4" s="98" t="s">
        <v>20779</v>
      </c>
      <c r="CD4" s="107"/>
      <c r="CE4" s="110"/>
      <c r="CF4" s="107"/>
      <c r="CG4" s="107"/>
      <c r="CH4" s="107"/>
      <c r="CI4" s="107"/>
      <c r="CJ4" s="107"/>
      <c r="CK4" s="107"/>
      <c r="CL4" s="107"/>
      <c r="CM4" s="107"/>
      <c r="CN4" s="107"/>
      <c r="CO4" s="107"/>
      <c r="CP4" s="107"/>
      <c r="CQ4" s="83" t="s">
        <v>494</v>
      </c>
      <c r="CR4" s="107"/>
      <c r="CS4" s="84">
        <f t="shared" si="4"/>
        <v>0</v>
      </c>
      <c r="CT4" s="84">
        <f t="shared" si="5"/>
        <v>0</v>
      </c>
      <c r="CU4" s="84">
        <f>'ALLEGATO 1 CONDOMINI'!K58</f>
        <v>0</v>
      </c>
      <c r="CV4" s="83" t="s">
        <v>495</v>
      </c>
      <c r="CW4" s="102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I4" s="104" t="s">
        <v>20796</v>
      </c>
      <c r="DJ4" s="105" t="e">
        <f>VLOOKUP('ALLEGATO 1 CONDOMINI'!N58,Venditori!B:E,4,FALSE)</f>
        <v>#N/A</v>
      </c>
      <c r="DK4" s="107"/>
      <c r="DL4" s="106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02"/>
      <c r="EF4" s="111"/>
      <c r="EG4" s="102"/>
      <c r="EH4" s="83" t="s">
        <v>485</v>
      </c>
      <c r="EI4" s="83" t="s">
        <v>496</v>
      </c>
      <c r="EJ4" s="112" t="str">
        <f t="shared" si="2"/>
        <v>COND.</v>
      </c>
      <c r="EK4" s="94"/>
      <c r="EL4" s="107"/>
      <c r="EM4" s="107"/>
      <c r="EN4" s="107"/>
      <c r="EO4" s="107"/>
      <c r="EP4" s="107"/>
      <c r="EQ4" s="107"/>
      <c r="ER4" s="107"/>
      <c r="ES4" s="107"/>
      <c r="ET4" s="107"/>
      <c r="EU4" s="107"/>
      <c r="EV4" s="83">
        <v>1</v>
      </c>
      <c r="EW4" s="83">
        <v>1</v>
      </c>
      <c r="EX4" s="83">
        <v>1</v>
      </c>
      <c r="EZ4" s="107"/>
      <c r="FA4" s="98"/>
      <c r="FB4" s="83" t="s">
        <v>497</v>
      </c>
      <c r="FC4" s="113"/>
      <c r="FD4" s="107"/>
      <c r="FE4" s="107"/>
      <c r="FF4" s="107"/>
      <c r="FG4" s="107"/>
      <c r="FH4" s="107"/>
      <c r="FI4" s="107"/>
      <c r="FJ4" s="113"/>
      <c r="FK4" s="107"/>
      <c r="FL4" s="107"/>
    </row>
    <row r="5" spans="1:168" s="109" customFormat="1" x14ac:dyDescent="0.25">
      <c r="A5" s="107"/>
      <c r="B5" s="107"/>
      <c r="C5" s="107"/>
      <c r="D5" s="84" t="str">
        <f>_xlfn.CONCAT('ALLEGATO 1 CONDOMINI'!B59,'ALLEGATO 1 CONDOMINI'!C59)</f>
        <v>COND.</v>
      </c>
      <c r="E5" s="107"/>
      <c r="F5" s="84">
        <f>'ALLEGATO 1 CONDOMINI'!D59</f>
        <v>0</v>
      </c>
      <c r="G5" s="95"/>
      <c r="H5" s="107"/>
      <c r="I5" s="96"/>
      <c r="J5" s="97"/>
      <c r="K5" s="83" t="s">
        <v>481</v>
      </c>
      <c r="L5" s="84">
        <f>'ALLEGATO 1 CONDOMINI'!P59</f>
        <v>0</v>
      </c>
      <c r="M5" s="83" t="s">
        <v>482</v>
      </c>
      <c r="N5" s="98"/>
      <c r="O5" s="107"/>
      <c r="P5" s="84" t="e">
        <f>VLOOKUP(Q5,'Zone Istat'!A:B,2,FALSE)</f>
        <v>#N/A</v>
      </c>
      <c r="Q5" s="84">
        <f>'ALLEGATO 1 CONDOMINI'!I59</f>
        <v>0</v>
      </c>
      <c r="R5" s="84" t="e">
        <f>VLOOKUP(Q5,'Zone Istat'!A:E,5,FALSE)</f>
        <v>#N/A</v>
      </c>
      <c r="S5" s="84" t="e">
        <f>VLOOKUP(Q5,'Zone Istat'!A:D,4,FALSE)</f>
        <v>#N/A</v>
      </c>
      <c r="T5" s="99">
        <f>'ALLEGATO 1 CONDOMINI'!E59</f>
        <v>0</v>
      </c>
      <c r="U5" s="99">
        <f>'ALLEGATO 1 CONDOMINI'!F59</f>
        <v>0</v>
      </c>
      <c r="V5" s="99">
        <f>'ALLEGATO 1 CONDOMINI'!G59</f>
        <v>0</v>
      </c>
      <c r="W5" s="99" t="s">
        <v>20787</v>
      </c>
      <c r="X5" s="100"/>
      <c r="Y5" s="107"/>
      <c r="Z5" s="107"/>
      <c r="AA5" s="83" t="s">
        <v>483</v>
      </c>
      <c r="AB5" s="83" t="s">
        <v>484</v>
      </c>
      <c r="AC5" s="83" t="s">
        <v>485</v>
      </c>
      <c r="AD5" s="83" t="s">
        <v>486</v>
      </c>
      <c r="AE5" s="98"/>
      <c r="AF5" s="98"/>
      <c r="AG5" s="107"/>
      <c r="AH5" s="107"/>
      <c r="AI5" s="108" t="str">
        <f t="shared" si="0"/>
        <v>COND.</v>
      </c>
      <c r="AJ5" s="107"/>
      <c r="AK5" s="83" t="s">
        <v>481</v>
      </c>
      <c r="AL5" s="84">
        <f>'ALLEGATO 1 CONDOMINI'!P59</f>
        <v>0</v>
      </c>
      <c r="AM5" s="83" t="s">
        <v>487</v>
      </c>
      <c r="AN5" s="108"/>
      <c r="AO5" s="83">
        <v>9904</v>
      </c>
      <c r="AQ5" s="107"/>
      <c r="AR5" s="83" t="s">
        <v>488</v>
      </c>
      <c r="AS5" s="98" t="s">
        <v>153</v>
      </c>
      <c r="AT5" s="83" t="s">
        <v>489</v>
      </c>
      <c r="AU5" s="83" t="s">
        <v>490</v>
      </c>
      <c r="AV5" s="84" t="str">
        <f t="shared" si="3"/>
        <v/>
      </c>
      <c r="AW5" s="107"/>
      <c r="AY5" s="83">
        <v>12</v>
      </c>
      <c r="AZ5" s="84">
        <f>'ALLEGATO 1 CONDOMINI'!O59</f>
        <v>0</v>
      </c>
      <c r="BA5" s="98"/>
      <c r="BB5" s="98"/>
      <c r="BC5" s="102"/>
      <c r="BD5" s="107"/>
      <c r="BF5" s="83" t="s">
        <v>483</v>
      </c>
      <c r="BG5" s="83" t="s">
        <v>484</v>
      </c>
      <c r="BH5" s="83" t="s">
        <v>491</v>
      </c>
      <c r="BI5" s="84">
        <f>'ALLEGATO 1 CONDOMINI'!Q59</f>
        <v>0</v>
      </c>
      <c r="BJ5" s="84">
        <f>'ALLEGATO 1 CONDOMINI'!R59</f>
        <v>0</v>
      </c>
      <c r="BK5" s="84">
        <f>'ALLEGATO 1 CONDOMINI'!S59</f>
        <v>0</v>
      </c>
      <c r="BL5" s="83" t="s">
        <v>492</v>
      </c>
      <c r="BM5" s="83" t="s">
        <v>493</v>
      </c>
      <c r="BN5" s="103">
        <f>'ALLEGATO 1 CONDOMINI'!L59</f>
        <v>0</v>
      </c>
      <c r="BO5" s="108" t="e">
        <f t="shared" si="1"/>
        <v>#N/A</v>
      </c>
      <c r="BP5" s="108">
        <f t="shared" si="1"/>
        <v>0</v>
      </c>
      <c r="BQ5" s="108" t="e">
        <f t="shared" si="1"/>
        <v>#N/A</v>
      </c>
      <c r="BR5" s="108" t="e">
        <f t="shared" si="1"/>
        <v>#N/A</v>
      </c>
      <c r="BS5" s="84">
        <f>'ALLEGATO 1 CONDOMINI'!E59</f>
        <v>0</v>
      </c>
      <c r="BT5" s="84">
        <f>'ALLEGATO 1 CONDOMINI'!F59</f>
        <v>0</v>
      </c>
      <c r="BU5" s="84"/>
      <c r="BV5" s="108" t="s">
        <v>20787</v>
      </c>
      <c r="BW5" s="107"/>
      <c r="BX5" s="107"/>
      <c r="BY5" s="107"/>
      <c r="BZ5" s="107"/>
      <c r="CA5" s="102"/>
      <c r="CB5" s="107"/>
      <c r="CC5" s="98" t="s">
        <v>20779</v>
      </c>
      <c r="CD5" s="107"/>
      <c r="CE5" s="110"/>
      <c r="CF5" s="107"/>
      <c r="CG5" s="107"/>
      <c r="CH5" s="107"/>
      <c r="CI5" s="107"/>
      <c r="CJ5" s="107"/>
      <c r="CK5" s="107"/>
      <c r="CL5" s="107"/>
      <c r="CM5" s="107"/>
      <c r="CN5" s="107"/>
      <c r="CO5" s="107"/>
      <c r="CP5" s="107"/>
      <c r="CQ5" s="83" t="s">
        <v>494</v>
      </c>
      <c r="CR5" s="107"/>
      <c r="CS5" s="84">
        <f t="shared" si="4"/>
        <v>0</v>
      </c>
      <c r="CT5" s="84">
        <f t="shared" si="5"/>
        <v>0</v>
      </c>
      <c r="CU5" s="84">
        <f>'ALLEGATO 1 CONDOMINI'!K59</f>
        <v>0</v>
      </c>
      <c r="CV5" s="83" t="s">
        <v>495</v>
      </c>
      <c r="CW5" s="102"/>
      <c r="CX5" s="111"/>
      <c r="CY5" s="111"/>
      <c r="CZ5" s="111"/>
      <c r="DA5" s="111"/>
      <c r="DB5" s="111"/>
      <c r="DC5" s="111"/>
      <c r="DD5" s="111"/>
      <c r="DE5" s="111"/>
      <c r="DF5" s="111"/>
      <c r="DG5" s="111"/>
      <c r="DI5" s="104" t="s">
        <v>20796</v>
      </c>
      <c r="DJ5" s="105" t="e">
        <f>VLOOKUP('ALLEGATO 1 CONDOMINI'!N59,Venditori!B:E,4,FALSE)</f>
        <v>#N/A</v>
      </c>
      <c r="DK5" s="107"/>
      <c r="DL5" s="106"/>
      <c r="DM5" s="111"/>
      <c r="DN5" s="111"/>
      <c r="DO5" s="111"/>
      <c r="DP5" s="111"/>
      <c r="DQ5" s="111"/>
      <c r="DR5" s="111"/>
      <c r="DS5" s="111"/>
      <c r="DT5" s="111"/>
      <c r="DU5" s="111"/>
      <c r="DV5" s="111"/>
      <c r="DW5" s="111"/>
      <c r="DX5" s="111"/>
      <c r="DY5" s="111"/>
      <c r="DZ5" s="111"/>
      <c r="EA5" s="111"/>
      <c r="EB5" s="111"/>
      <c r="EC5" s="111"/>
      <c r="ED5" s="111"/>
      <c r="EE5" s="102"/>
      <c r="EF5" s="111"/>
      <c r="EG5" s="102"/>
      <c r="EH5" s="83" t="s">
        <v>485</v>
      </c>
      <c r="EI5" s="83" t="s">
        <v>496</v>
      </c>
      <c r="EJ5" s="112" t="str">
        <f t="shared" si="2"/>
        <v>COND.</v>
      </c>
      <c r="EK5" s="94"/>
      <c r="EL5" s="107"/>
      <c r="EM5" s="107"/>
      <c r="EN5" s="107"/>
      <c r="EO5" s="107"/>
      <c r="EP5" s="107"/>
      <c r="EQ5" s="107"/>
      <c r="ER5" s="107"/>
      <c r="ES5" s="107"/>
      <c r="ET5" s="107"/>
      <c r="EU5" s="107"/>
      <c r="EV5" s="83">
        <v>1</v>
      </c>
      <c r="EW5" s="83">
        <v>1</v>
      </c>
      <c r="EX5" s="83">
        <v>1</v>
      </c>
      <c r="EZ5" s="107"/>
      <c r="FA5" s="98"/>
      <c r="FB5" s="83" t="s">
        <v>497</v>
      </c>
      <c r="FC5" s="113"/>
      <c r="FD5" s="107"/>
      <c r="FE5" s="107"/>
      <c r="FF5" s="107"/>
      <c r="FG5" s="107"/>
      <c r="FH5" s="107"/>
      <c r="FI5" s="107"/>
      <c r="FJ5" s="113"/>
      <c r="FK5" s="107"/>
      <c r="FL5" s="107"/>
    </row>
    <row r="6" spans="1:168" s="108" customFormat="1" x14ac:dyDescent="0.25">
      <c r="D6" s="108" t="str">
        <f>_xlfn.CONCAT('ALLEGATO 1 CONDOMINI'!B60,'ALLEGATO 1 CONDOMINI'!C60)</f>
        <v>COND.</v>
      </c>
      <c r="F6" s="108">
        <f>'ALLEGATO 1 CONDOMINI'!D60</f>
        <v>0</v>
      </c>
      <c r="G6" s="95"/>
      <c r="I6" s="96"/>
      <c r="K6" s="108" t="s">
        <v>481</v>
      </c>
      <c r="L6" s="108">
        <f>'ALLEGATO 1 CONDOMINI'!P60</f>
        <v>0</v>
      </c>
      <c r="M6" s="108" t="s">
        <v>482</v>
      </c>
      <c r="N6" s="98"/>
      <c r="P6" s="108" t="e">
        <f>VLOOKUP(Q6,'Zone Istat'!A:B,2,FALSE)</f>
        <v>#N/A</v>
      </c>
      <c r="Q6" s="108">
        <f>'ALLEGATO 1 CONDOMINI'!I60</f>
        <v>0</v>
      </c>
      <c r="R6" s="108" t="e">
        <f>VLOOKUP(Q6,'Zone Istat'!A:E,5,FALSE)</f>
        <v>#N/A</v>
      </c>
      <c r="S6" s="108" t="e">
        <f>VLOOKUP(Q6,'Zone Istat'!A:D,4,FALSE)</f>
        <v>#N/A</v>
      </c>
      <c r="T6" s="99">
        <f>'ALLEGATO 1 CONDOMINI'!E60</f>
        <v>0</v>
      </c>
      <c r="U6" s="99">
        <f>'ALLEGATO 1 CONDOMINI'!F60</f>
        <v>0</v>
      </c>
      <c r="V6" s="99">
        <f>'ALLEGATO 1 CONDOMINI'!G60</f>
        <v>0</v>
      </c>
      <c r="W6" s="108" t="s">
        <v>20787</v>
      </c>
      <c r="AA6" s="108" t="s">
        <v>483</v>
      </c>
      <c r="AB6" s="108" t="s">
        <v>484</v>
      </c>
      <c r="AC6" s="108" t="s">
        <v>485</v>
      </c>
      <c r="AD6" s="108" t="s">
        <v>486</v>
      </c>
      <c r="AE6" s="98"/>
      <c r="AF6" s="98"/>
      <c r="AI6" s="108" t="str">
        <f t="shared" ref="AI6:AI23" si="6">D6</f>
        <v>COND.</v>
      </c>
      <c r="AK6" s="108" t="s">
        <v>481</v>
      </c>
      <c r="AL6" s="108">
        <f>'ALLEGATO 1 CONDOMINI'!P60</f>
        <v>0</v>
      </c>
      <c r="AM6" s="108" t="s">
        <v>487</v>
      </c>
      <c r="AO6" s="108">
        <v>9904</v>
      </c>
      <c r="AR6" s="108" t="s">
        <v>488</v>
      </c>
      <c r="AS6" s="98" t="s">
        <v>153</v>
      </c>
      <c r="AT6" s="108" t="s">
        <v>489</v>
      </c>
      <c r="AU6" s="108" t="s">
        <v>490</v>
      </c>
      <c r="AV6" s="108" t="str">
        <f t="shared" ref="AV6:AV23" si="7">MID(BN6,3,4)</f>
        <v/>
      </c>
      <c r="AY6" s="108">
        <v>12</v>
      </c>
      <c r="AZ6" s="108">
        <f>'ALLEGATO 1 CONDOMINI'!O60</f>
        <v>0</v>
      </c>
      <c r="BA6" s="98"/>
      <c r="BB6" s="98"/>
      <c r="BC6" s="102"/>
      <c r="BF6" s="108" t="s">
        <v>483</v>
      </c>
      <c r="BG6" s="108" t="s">
        <v>484</v>
      </c>
      <c r="BH6" s="108" t="s">
        <v>491</v>
      </c>
      <c r="BI6" s="108">
        <f>'ALLEGATO 1 CONDOMINI'!Q60</f>
        <v>0</v>
      </c>
      <c r="BJ6" s="108">
        <f>'ALLEGATO 1 CONDOMINI'!R60</f>
        <v>0</v>
      </c>
      <c r="BK6" s="108">
        <f>'ALLEGATO 1 CONDOMINI'!S60</f>
        <v>0</v>
      </c>
      <c r="BL6" s="108" t="s">
        <v>492</v>
      </c>
      <c r="BM6" s="108" t="s">
        <v>493</v>
      </c>
      <c r="BN6" s="108">
        <f>'ALLEGATO 1 CONDOMINI'!L60</f>
        <v>0</v>
      </c>
      <c r="BO6" s="108" t="e">
        <f t="shared" ref="BO6:BO23" si="8">P6</f>
        <v>#N/A</v>
      </c>
      <c r="BP6" s="108">
        <f t="shared" ref="BP6:BP23" si="9">Q6</f>
        <v>0</v>
      </c>
      <c r="BQ6" s="108" t="e">
        <f t="shared" ref="BQ6:BQ23" si="10">R6</f>
        <v>#N/A</v>
      </c>
      <c r="BR6" s="108" t="e">
        <f t="shared" ref="BR6:BR23" si="11">S6</f>
        <v>#N/A</v>
      </c>
      <c r="BS6" s="84">
        <f>'ALLEGATO 1 CONDOMINI'!E60</f>
        <v>0</v>
      </c>
      <c r="BT6" s="84">
        <f>'ALLEGATO 1 CONDOMINI'!F60</f>
        <v>0</v>
      </c>
      <c r="BU6" s="84"/>
      <c r="BV6" s="108" t="s">
        <v>20787</v>
      </c>
      <c r="CA6" s="102"/>
      <c r="CC6" s="98" t="s">
        <v>20779</v>
      </c>
      <c r="CQ6" s="108" t="s">
        <v>494</v>
      </c>
      <c r="CS6" s="108">
        <f t="shared" ref="CS6:CS23" si="12">AE6</f>
        <v>0</v>
      </c>
      <c r="CT6" s="108">
        <f t="shared" ref="CT6:CT23" si="13">AF6</f>
        <v>0</v>
      </c>
      <c r="CU6" s="108">
        <f>'ALLEGATO 1 CONDOMINI'!K60</f>
        <v>0</v>
      </c>
      <c r="CV6" s="108" t="s">
        <v>495</v>
      </c>
      <c r="CW6" s="102"/>
      <c r="DI6" s="104" t="s">
        <v>20796</v>
      </c>
      <c r="DJ6" s="108" t="e">
        <f>VLOOKUP('ALLEGATO 1 CONDOMINI'!N60,Venditori!B:E,4,FALSE)</f>
        <v>#N/A</v>
      </c>
      <c r="DL6" s="106"/>
      <c r="EE6" s="102"/>
      <c r="EG6" s="102"/>
      <c r="EH6" s="108" t="s">
        <v>485</v>
      </c>
      <c r="EI6" s="108" t="s">
        <v>496</v>
      </c>
      <c r="EJ6" s="108" t="str">
        <f t="shared" ref="EJ6:EJ23" si="14">MID(D6,1,20)</f>
        <v>COND.</v>
      </c>
      <c r="EV6" s="108">
        <v>1</v>
      </c>
      <c r="EW6" s="108">
        <v>1</v>
      </c>
      <c r="EX6" s="108">
        <v>1</v>
      </c>
      <c r="FA6" s="98"/>
      <c r="FB6" s="108" t="s">
        <v>497</v>
      </c>
      <c r="FC6" s="114"/>
      <c r="FJ6" s="114"/>
    </row>
    <row r="7" spans="1:168" s="108" customFormat="1" x14ac:dyDescent="0.25">
      <c r="D7" s="108" t="str">
        <f>_xlfn.CONCAT('ALLEGATO 1 CONDOMINI'!B61,'ALLEGATO 1 CONDOMINI'!C61)</f>
        <v>COND.</v>
      </c>
      <c r="F7" s="108">
        <f>'ALLEGATO 1 CONDOMINI'!D61</f>
        <v>0</v>
      </c>
      <c r="G7" s="95"/>
      <c r="I7" s="96"/>
      <c r="K7" s="108" t="s">
        <v>481</v>
      </c>
      <c r="L7" s="108">
        <f>'ALLEGATO 1 CONDOMINI'!P61</f>
        <v>0</v>
      </c>
      <c r="M7" s="108" t="s">
        <v>482</v>
      </c>
      <c r="N7" s="98"/>
      <c r="P7" s="108" t="e">
        <f>VLOOKUP(Q7,'Zone Istat'!A:B,2,FALSE)</f>
        <v>#N/A</v>
      </c>
      <c r="Q7" s="108">
        <f>'ALLEGATO 1 CONDOMINI'!I61</f>
        <v>0</v>
      </c>
      <c r="R7" s="108" t="e">
        <f>VLOOKUP(Q7,'Zone Istat'!A:E,5,FALSE)</f>
        <v>#N/A</v>
      </c>
      <c r="S7" s="108" t="e">
        <f>VLOOKUP(Q7,'Zone Istat'!A:D,4,FALSE)</f>
        <v>#N/A</v>
      </c>
      <c r="T7" s="99">
        <f>'ALLEGATO 1 CONDOMINI'!E61</f>
        <v>0</v>
      </c>
      <c r="U7" s="99">
        <f>'ALLEGATO 1 CONDOMINI'!F61</f>
        <v>0</v>
      </c>
      <c r="V7" s="99">
        <f>'ALLEGATO 1 CONDOMINI'!G61</f>
        <v>0</v>
      </c>
      <c r="W7" s="108" t="s">
        <v>20787</v>
      </c>
      <c r="AA7" s="108" t="s">
        <v>483</v>
      </c>
      <c r="AB7" s="108" t="s">
        <v>484</v>
      </c>
      <c r="AC7" s="108" t="s">
        <v>485</v>
      </c>
      <c r="AD7" s="108" t="s">
        <v>486</v>
      </c>
      <c r="AE7" s="98"/>
      <c r="AF7" s="98"/>
      <c r="AI7" s="108" t="str">
        <f t="shared" si="6"/>
        <v>COND.</v>
      </c>
      <c r="AK7" s="108" t="s">
        <v>481</v>
      </c>
      <c r="AL7" s="108">
        <f>'ALLEGATO 1 CONDOMINI'!P61</f>
        <v>0</v>
      </c>
      <c r="AM7" s="108" t="s">
        <v>487</v>
      </c>
      <c r="AO7" s="108">
        <v>9904</v>
      </c>
      <c r="AR7" s="108" t="s">
        <v>488</v>
      </c>
      <c r="AS7" s="98" t="s">
        <v>153</v>
      </c>
      <c r="AT7" s="108" t="s">
        <v>489</v>
      </c>
      <c r="AU7" s="108" t="s">
        <v>490</v>
      </c>
      <c r="AV7" s="108" t="str">
        <f t="shared" si="7"/>
        <v/>
      </c>
      <c r="AY7" s="108">
        <v>12</v>
      </c>
      <c r="AZ7" s="108">
        <f>'ALLEGATO 1 CONDOMINI'!O61</f>
        <v>0</v>
      </c>
      <c r="BA7" s="98"/>
      <c r="BB7" s="98"/>
      <c r="BC7" s="102"/>
      <c r="BF7" s="108" t="s">
        <v>483</v>
      </c>
      <c r="BG7" s="108" t="s">
        <v>484</v>
      </c>
      <c r="BH7" s="108" t="s">
        <v>491</v>
      </c>
      <c r="BI7" s="108">
        <f>'ALLEGATO 1 CONDOMINI'!Q61</f>
        <v>0</v>
      </c>
      <c r="BJ7" s="108">
        <f>'ALLEGATO 1 CONDOMINI'!R61</f>
        <v>0</v>
      </c>
      <c r="BK7" s="108">
        <f>'ALLEGATO 1 CONDOMINI'!S61</f>
        <v>0</v>
      </c>
      <c r="BL7" s="108" t="s">
        <v>492</v>
      </c>
      <c r="BM7" s="108" t="s">
        <v>493</v>
      </c>
      <c r="BN7" s="108">
        <f>'ALLEGATO 1 CONDOMINI'!L61</f>
        <v>0</v>
      </c>
      <c r="BO7" s="108" t="e">
        <f t="shared" si="8"/>
        <v>#N/A</v>
      </c>
      <c r="BP7" s="108">
        <f t="shared" si="9"/>
        <v>0</v>
      </c>
      <c r="BQ7" s="108" t="e">
        <f t="shared" si="10"/>
        <v>#N/A</v>
      </c>
      <c r="BR7" s="108" t="e">
        <f t="shared" si="11"/>
        <v>#N/A</v>
      </c>
      <c r="BS7" s="84">
        <f>'ALLEGATO 1 CONDOMINI'!E61</f>
        <v>0</v>
      </c>
      <c r="BT7" s="84">
        <f>'ALLEGATO 1 CONDOMINI'!F61</f>
        <v>0</v>
      </c>
      <c r="BU7" s="84"/>
      <c r="BV7" s="108" t="s">
        <v>20787</v>
      </c>
      <c r="CA7" s="102"/>
      <c r="CC7" s="98" t="s">
        <v>20779</v>
      </c>
      <c r="CQ7" s="108" t="s">
        <v>494</v>
      </c>
      <c r="CS7" s="108">
        <f t="shared" si="12"/>
        <v>0</v>
      </c>
      <c r="CT7" s="108">
        <f t="shared" si="13"/>
        <v>0</v>
      </c>
      <c r="CU7" s="108">
        <f>'ALLEGATO 1 CONDOMINI'!K61</f>
        <v>0</v>
      </c>
      <c r="CV7" s="108" t="s">
        <v>495</v>
      </c>
      <c r="CW7" s="102"/>
      <c r="DI7" s="104" t="s">
        <v>20796</v>
      </c>
      <c r="DJ7" s="108" t="e">
        <f>VLOOKUP('ALLEGATO 1 CONDOMINI'!N61,Venditori!B:E,4,FALSE)</f>
        <v>#N/A</v>
      </c>
      <c r="DL7" s="106"/>
      <c r="EE7" s="102"/>
      <c r="EG7" s="102"/>
      <c r="EH7" s="108" t="s">
        <v>485</v>
      </c>
      <c r="EI7" s="108" t="s">
        <v>496</v>
      </c>
      <c r="EJ7" s="108" t="str">
        <f t="shared" si="14"/>
        <v>COND.</v>
      </c>
      <c r="EV7" s="108">
        <v>1</v>
      </c>
      <c r="EW7" s="108">
        <v>1</v>
      </c>
      <c r="EX7" s="108">
        <v>1</v>
      </c>
      <c r="FA7" s="98"/>
      <c r="FB7" s="108" t="s">
        <v>497</v>
      </c>
      <c r="FC7" s="114"/>
      <c r="FJ7" s="114"/>
    </row>
    <row r="8" spans="1:168" s="109" customFormat="1" x14ac:dyDescent="0.25">
      <c r="A8" s="107"/>
      <c r="B8" s="107"/>
      <c r="C8" s="107"/>
      <c r="D8" s="84" t="str">
        <f>_xlfn.CONCAT('ALLEGATO 1 CONDOMINI'!B62,'ALLEGATO 1 CONDOMINI'!C62)</f>
        <v>COND.</v>
      </c>
      <c r="E8" s="107"/>
      <c r="F8" s="84">
        <f>'ALLEGATO 1 CONDOMINI'!D62</f>
        <v>0</v>
      </c>
      <c r="G8" s="95"/>
      <c r="H8" s="107"/>
      <c r="I8" s="96"/>
      <c r="K8" s="83" t="s">
        <v>481</v>
      </c>
      <c r="L8" s="84">
        <f>'ALLEGATO 1 CONDOMINI'!P62</f>
        <v>0</v>
      </c>
      <c r="M8" s="83" t="s">
        <v>482</v>
      </c>
      <c r="N8" s="98"/>
      <c r="O8" s="107"/>
      <c r="P8" s="84" t="e">
        <f>VLOOKUP(Q8,'Zone Istat'!A:B,2,FALSE)</f>
        <v>#N/A</v>
      </c>
      <c r="Q8" s="84">
        <f>'ALLEGATO 1 CONDOMINI'!I62</f>
        <v>0</v>
      </c>
      <c r="R8" s="84" t="e">
        <f>VLOOKUP(Q8,'Zone Istat'!A:E,5,FALSE)</f>
        <v>#N/A</v>
      </c>
      <c r="S8" s="84" t="e">
        <f>VLOOKUP(Q8,'Zone Istat'!A:D,4,FALSE)</f>
        <v>#N/A</v>
      </c>
      <c r="T8" s="99">
        <f>'ALLEGATO 1 CONDOMINI'!E62</f>
        <v>0</v>
      </c>
      <c r="U8" s="99">
        <f>'ALLEGATO 1 CONDOMINI'!F62</f>
        <v>0</v>
      </c>
      <c r="V8" s="99">
        <f>'ALLEGATO 1 CONDOMINI'!G62</f>
        <v>0</v>
      </c>
      <c r="W8" s="99" t="s">
        <v>20787</v>
      </c>
      <c r="X8" s="100"/>
      <c r="Y8" s="107"/>
      <c r="Z8" s="107"/>
      <c r="AA8" s="83" t="s">
        <v>483</v>
      </c>
      <c r="AB8" s="83" t="s">
        <v>484</v>
      </c>
      <c r="AC8" s="83" t="s">
        <v>485</v>
      </c>
      <c r="AD8" s="83" t="s">
        <v>486</v>
      </c>
      <c r="AE8" s="98"/>
      <c r="AF8" s="98"/>
      <c r="AG8" s="107"/>
      <c r="AH8" s="107"/>
      <c r="AI8" s="108" t="str">
        <f t="shared" si="6"/>
        <v>COND.</v>
      </c>
      <c r="AJ8" s="107"/>
      <c r="AK8" s="83" t="s">
        <v>481</v>
      </c>
      <c r="AL8" s="84">
        <f>'ALLEGATO 1 CONDOMINI'!P62</f>
        <v>0</v>
      </c>
      <c r="AM8" s="83" t="s">
        <v>487</v>
      </c>
      <c r="AN8" s="108"/>
      <c r="AO8" s="83">
        <v>9904</v>
      </c>
      <c r="AQ8" s="107"/>
      <c r="AR8" s="83" t="s">
        <v>488</v>
      </c>
      <c r="AS8" s="98" t="s">
        <v>153</v>
      </c>
      <c r="AT8" s="83" t="s">
        <v>489</v>
      </c>
      <c r="AU8" s="83" t="s">
        <v>490</v>
      </c>
      <c r="AV8" s="84" t="str">
        <f t="shared" si="7"/>
        <v/>
      </c>
      <c r="AW8" s="107"/>
      <c r="AY8" s="83">
        <v>12</v>
      </c>
      <c r="AZ8" s="84">
        <f>'ALLEGATO 1 CONDOMINI'!O62</f>
        <v>0</v>
      </c>
      <c r="BA8" s="98"/>
      <c r="BB8" s="98"/>
      <c r="BC8" s="102"/>
      <c r="BD8" s="107"/>
      <c r="BF8" s="83" t="s">
        <v>483</v>
      </c>
      <c r="BG8" s="83" t="s">
        <v>484</v>
      </c>
      <c r="BH8" s="83" t="s">
        <v>491</v>
      </c>
      <c r="BI8" s="84">
        <f>'ALLEGATO 1 CONDOMINI'!Q62</f>
        <v>0</v>
      </c>
      <c r="BJ8" s="84">
        <f>'ALLEGATO 1 CONDOMINI'!R62</f>
        <v>0</v>
      </c>
      <c r="BK8" s="84">
        <f>'ALLEGATO 1 CONDOMINI'!S62</f>
        <v>0</v>
      </c>
      <c r="BL8" s="83" t="s">
        <v>492</v>
      </c>
      <c r="BM8" s="83" t="s">
        <v>493</v>
      </c>
      <c r="BN8" s="103">
        <f>'ALLEGATO 1 CONDOMINI'!L62</f>
        <v>0</v>
      </c>
      <c r="BO8" s="108" t="e">
        <f t="shared" si="8"/>
        <v>#N/A</v>
      </c>
      <c r="BP8" s="108">
        <f t="shared" si="9"/>
        <v>0</v>
      </c>
      <c r="BQ8" s="108" t="e">
        <f t="shared" si="10"/>
        <v>#N/A</v>
      </c>
      <c r="BR8" s="108" t="e">
        <f t="shared" si="11"/>
        <v>#N/A</v>
      </c>
      <c r="BS8" s="84">
        <f>'ALLEGATO 1 CONDOMINI'!E62</f>
        <v>0</v>
      </c>
      <c r="BT8" s="84">
        <f>'ALLEGATO 1 CONDOMINI'!F62</f>
        <v>0</v>
      </c>
      <c r="BU8" s="84"/>
      <c r="BV8" s="108" t="s">
        <v>20787</v>
      </c>
      <c r="BW8" s="107"/>
      <c r="BX8" s="107"/>
      <c r="BY8" s="107"/>
      <c r="BZ8" s="107"/>
      <c r="CA8" s="102"/>
      <c r="CB8" s="107"/>
      <c r="CC8" s="98" t="s">
        <v>20779</v>
      </c>
      <c r="CD8" s="107"/>
      <c r="CE8" s="110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83" t="s">
        <v>494</v>
      </c>
      <c r="CR8" s="107"/>
      <c r="CS8" s="84">
        <f t="shared" si="12"/>
        <v>0</v>
      </c>
      <c r="CT8" s="84">
        <f t="shared" si="13"/>
        <v>0</v>
      </c>
      <c r="CU8" s="84">
        <f>'ALLEGATO 1 CONDOMINI'!K62</f>
        <v>0</v>
      </c>
      <c r="CV8" s="83" t="s">
        <v>495</v>
      </c>
      <c r="CW8" s="102"/>
      <c r="CX8" s="111"/>
      <c r="CY8" s="111"/>
      <c r="CZ8" s="111"/>
      <c r="DA8" s="111"/>
      <c r="DB8" s="111"/>
      <c r="DC8" s="111"/>
      <c r="DD8" s="111"/>
      <c r="DE8" s="111"/>
      <c r="DF8" s="111"/>
      <c r="DG8" s="111"/>
      <c r="DI8" s="104" t="s">
        <v>20796</v>
      </c>
      <c r="DJ8" s="105" t="e">
        <f>VLOOKUP('ALLEGATO 1 CONDOMINI'!N62,Venditori!B:E,4,FALSE)</f>
        <v>#N/A</v>
      </c>
      <c r="DK8" s="107"/>
      <c r="DL8" s="106"/>
      <c r="DM8" s="111"/>
      <c r="DN8" s="111"/>
      <c r="DO8" s="111"/>
      <c r="DP8" s="111"/>
      <c r="DQ8" s="111"/>
      <c r="DR8" s="111"/>
      <c r="DS8" s="111"/>
      <c r="DT8" s="111"/>
      <c r="DU8" s="111"/>
      <c r="DV8" s="111"/>
      <c r="DW8" s="111"/>
      <c r="DX8" s="111"/>
      <c r="DY8" s="111"/>
      <c r="DZ8" s="111"/>
      <c r="EA8" s="111"/>
      <c r="EB8" s="111"/>
      <c r="EC8" s="111"/>
      <c r="ED8" s="111"/>
      <c r="EE8" s="102"/>
      <c r="EF8" s="111"/>
      <c r="EG8" s="102"/>
      <c r="EH8" s="83" t="s">
        <v>485</v>
      </c>
      <c r="EI8" s="83" t="s">
        <v>496</v>
      </c>
      <c r="EJ8" s="112" t="str">
        <f t="shared" si="14"/>
        <v>COND.</v>
      </c>
      <c r="EK8" s="94"/>
      <c r="EL8" s="107"/>
      <c r="EM8" s="107"/>
      <c r="EN8" s="107"/>
      <c r="EO8" s="107"/>
      <c r="EP8" s="107"/>
      <c r="EQ8" s="107"/>
      <c r="ER8" s="107"/>
      <c r="ES8" s="107"/>
      <c r="ET8" s="107"/>
      <c r="EU8" s="107"/>
      <c r="EV8" s="83">
        <v>1</v>
      </c>
      <c r="EW8" s="83">
        <v>1</v>
      </c>
      <c r="EX8" s="83">
        <v>1</v>
      </c>
      <c r="EZ8" s="107"/>
      <c r="FA8" s="98"/>
      <c r="FB8" s="83" t="s">
        <v>497</v>
      </c>
      <c r="FC8" s="113"/>
      <c r="FD8" s="107"/>
      <c r="FE8" s="107"/>
      <c r="FF8" s="107"/>
      <c r="FG8" s="107"/>
      <c r="FH8" s="107"/>
      <c r="FI8" s="107"/>
      <c r="FJ8" s="113"/>
      <c r="FK8" s="107"/>
      <c r="FL8" s="107"/>
    </row>
    <row r="9" spans="1:168" s="87" customFormat="1" x14ac:dyDescent="0.25">
      <c r="D9" s="86" t="str">
        <f>_xlfn.CONCAT('ALLEGATO 1 CONDOMINI'!B63,'ALLEGATO 1 CONDOMINI'!C63)</f>
        <v>COND.</v>
      </c>
      <c r="F9" s="86">
        <f>'ALLEGATO 1 CONDOMINI'!D63</f>
        <v>0</v>
      </c>
      <c r="I9" s="115"/>
      <c r="K9" s="87" t="s">
        <v>481</v>
      </c>
      <c r="L9" s="86">
        <f>'ALLEGATO 1 CONDOMINI'!P63</f>
        <v>0</v>
      </c>
      <c r="M9" s="87" t="s">
        <v>482</v>
      </c>
      <c r="P9" s="86" t="e">
        <f>VLOOKUP(Q9,'Zone Istat'!A:B,2,FALSE)</f>
        <v>#N/A</v>
      </c>
      <c r="Q9" s="86">
        <f>'ALLEGATO 1 CONDOMINI'!I63</f>
        <v>0</v>
      </c>
      <c r="R9" s="86" t="e">
        <f>VLOOKUP(Q9,'Zone Istat'!A:E,5,FALSE)</f>
        <v>#N/A</v>
      </c>
      <c r="S9" s="86" t="e">
        <f>VLOOKUP(Q9,'Zone Istat'!A:D,4,FALSE)</f>
        <v>#N/A</v>
      </c>
      <c r="T9" s="116">
        <f>'ALLEGATO 1 CONDOMINI'!E63</f>
        <v>0</v>
      </c>
      <c r="U9" s="86">
        <f>'ALLEGATO 1 CONDOMINI'!F63</f>
        <v>0</v>
      </c>
      <c r="V9" s="116">
        <f>'ALLEGATO 1 CONDOMINI'!G63</f>
        <v>0</v>
      </c>
      <c r="W9" s="116" t="s">
        <v>20787</v>
      </c>
      <c r="X9" s="86"/>
      <c r="AA9" s="87" t="s">
        <v>483</v>
      </c>
      <c r="AB9" s="87" t="s">
        <v>484</v>
      </c>
      <c r="AC9" s="87" t="s">
        <v>485</v>
      </c>
      <c r="AD9" s="87" t="s">
        <v>486</v>
      </c>
      <c r="AI9" s="87" t="str">
        <f t="shared" si="6"/>
        <v>COND.</v>
      </c>
      <c r="AK9" s="87" t="s">
        <v>481</v>
      </c>
      <c r="AL9" s="86">
        <f>'ALLEGATO 1 CONDOMINI'!P63</f>
        <v>0</v>
      </c>
      <c r="AM9" s="87" t="s">
        <v>487</v>
      </c>
      <c r="AO9" s="87">
        <v>9904</v>
      </c>
      <c r="AR9" s="87" t="s">
        <v>488</v>
      </c>
      <c r="AS9" s="87" t="s">
        <v>153</v>
      </c>
      <c r="AT9" s="87" t="s">
        <v>489</v>
      </c>
      <c r="AU9" s="87" t="s">
        <v>490</v>
      </c>
      <c r="AV9" s="86" t="str">
        <f t="shared" si="7"/>
        <v/>
      </c>
      <c r="AY9" s="87">
        <v>12</v>
      </c>
      <c r="AZ9" s="86">
        <f>'ALLEGATO 1 CONDOMINI'!O63</f>
        <v>0</v>
      </c>
      <c r="BF9" s="87" t="s">
        <v>483</v>
      </c>
      <c r="BG9" s="87" t="s">
        <v>484</v>
      </c>
      <c r="BH9" s="87" t="s">
        <v>491</v>
      </c>
      <c r="BI9" s="86">
        <f>'ALLEGATO 1 CONDOMINI'!Q63</f>
        <v>0</v>
      </c>
      <c r="BJ9" s="86">
        <f>'ALLEGATO 1 CONDOMINI'!R63</f>
        <v>0</v>
      </c>
      <c r="BK9" s="86">
        <f>'ALLEGATO 1 CONDOMINI'!S63</f>
        <v>0</v>
      </c>
      <c r="BL9" s="87" t="s">
        <v>492</v>
      </c>
      <c r="BM9" s="87" t="s">
        <v>493</v>
      </c>
      <c r="BN9" s="117">
        <f>'ALLEGATO 1 CONDOMINI'!L63</f>
        <v>0</v>
      </c>
      <c r="BO9" s="87" t="e">
        <f t="shared" si="8"/>
        <v>#N/A</v>
      </c>
      <c r="BP9" s="87">
        <f t="shared" si="9"/>
        <v>0</v>
      </c>
      <c r="BQ9" s="87" t="e">
        <f t="shared" si="10"/>
        <v>#N/A</v>
      </c>
      <c r="BR9" s="87" t="e">
        <f t="shared" si="11"/>
        <v>#N/A</v>
      </c>
      <c r="BS9" s="87">
        <f>'ALLEGATO 1 CONDOMINI'!E63</f>
        <v>0</v>
      </c>
      <c r="BT9" s="87">
        <f>'ALLEGATO 1 CONDOMINI'!F63</f>
        <v>0</v>
      </c>
      <c r="BV9" s="87" t="s">
        <v>20787</v>
      </c>
      <c r="CC9" s="87" t="s">
        <v>20779</v>
      </c>
      <c r="CE9" s="115"/>
      <c r="CQ9" s="87" t="s">
        <v>494</v>
      </c>
      <c r="CS9" s="86">
        <f t="shared" si="12"/>
        <v>0</v>
      </c>
      <c r="CT9" s="86">
        <f t="shared" si="13"/>
        <v>0</v>
      </c>
      <c r="CU9" s="86">
        <f>'ALLEGATO 1 CONDOMINI'!K63</f>
        <v>0</v>
      </c>
      <c r="CV9" s="87" t="s">
        <v>495</v>
      </c>
      <c r="DI9" s="104" t="s">
        <v>20796</v>
      </c>
      <c r="DJ9" s="86" t="e">
        <f>VLOOKUP('ALLEGATO 1 CONDOMINI'!N63,Venditori!B:E,4,FALSE)</f>
        <v>#N/A</v>
      </c>
      <c r="EH9" s="87" t="s">
        <v>485</v>
      </c>
      <c r="EI9" s="87" t="s">
        <v>496</v>
      </c>
      <c r="EJ9" s="87" t="str">
        <f t="shared" si="14"/>
        <v>COND.</v>
      </c>
      <c r="EK9" s="86"/>
      <c r="EV9" s="87">
        <v>1</v>
      </c>
      <c r="EW9" s="87">
        <v>1</v>
      </c>
      <c r="EX9" s="87">
        <v>1</v>
      </c>
      <c r="FB9" s="87" t="s">
        <v>497</v>
      </c>
      <c r="FC9" s="118"/>
      <c r="FJ9" s="118"/>
    </row>
    <row r="10" spans="1:168" s="109" customFormat="1" x14ac:dyDescent="0.25">
      <c r="A10" s="107"/>
      <c r="B10" s="107"/>
      <c r="C10" s="107"/>
      <c r="D10" s="84" t="str">
        <f>_xlfn.CONCAT('ALLEGATO 1 CONDOMINI'!B64,'ALLEGATO 1 CONDOMINI'!C64)</f>
        <v>COND.</v>
      </c>
      <c r="E10" s="107"/>
      <c r="F10" s="84">
        <f>'ALLEGATO 1 CONDOMINI'!D64</f>
        <v>0</v>
      </c>
      <c r="H10" s="107"/>
      <c r="I10" s="110"/>
      <c r="K10" s="83" t="s">
        <v>481</v>
      </c>
      <c r="L10" s="84">
        <f>'ALLEGATO 1 CONDOMINI'!P64</f>
        <v>0</v>
      </c>
      <c r="M10" s="83" t="s">
        <v>482</v>
      </c>
      <c r="O10" s="107"/>
      <c r="P10" s="84" t="e">
        <f>VLOOKUP(Q10,'Zone Istat'!A:B,2,FALSE)</f>
        <v>#N/A</v>
      </c>
      <c r="Q10" s="84">
        <f>'ALLEGATO 1 CONDOMINI'!I64</f>
        <v>0</v>
      </c>
      <c r="R10" s="84" t="e">
        <f>VLOOKUP(Q10,'Zone Istat'!A:E,5,FALSE)</f>
        <v>#N/A</v>
      </c>
      <c r="S10" s="108" t="e">
        <f>VLOOKUP(Q10,'Zone Istat'!A:D,4,FALSE)</f>
        <v>#N/A</v>
      </c>
      <c r="T10" s="99">
        <f>'ALLEGATO 1 CONDOMINI'!E64</f>
        <v>0</v>
      </c>
      <c r="U10" s="100">
        <f>'ALLEGATO 1 CONDOMINI'!F64</f>
        <v>0</v>
      </c>
      <c r="V10" s="99">
        <f>'ALLEGATO 1 CONDOMINI'!G64</f>
        <v>0</v>
      </c>
      <c r="W10" s="99" t="s">
        <v>20787</v>
      </c>
      <c r="X10" s="100"/>
      <c r="Y10" s="107"/>
      <c r="Z10" s="107"/>
      <c r="AA10" s="83" t="s">
        <v>483</v>
      </c>
      <c r="AB10" s="83" t="s">
        <v>484</v>
      </c>
      <c r="AC10" s="83" t="s">
        <v>485</v>
      </c>
      <c r="AD10" s="83" t="s">
        <v>486</v>
      </c>
      <c r="AG10" s="107"/>
      <c r="AH10" s="107"/>
      <c r="AI10" s="108" t="str">
        <f t="shared" si="6"/>
        <v>COND.</v>
      </c>
      <c r="AJ10" s="107"/>
      <c r="AK10" s="83" t="s">
        <v>481</v>
      </c>
      <c r="AL10" s="84">
        <f>'ALLEGATO 1 CONDOMINI'!P64</f>
        <v>0</v>
      </c>
      <c r="AM10" s="83" t="s">
        <v>487</v>
      </c>
      <c r="AN10" s="108"/>
      <c r="AO10" s="83">
        <v>9904</v>
      </c>
      <c r="AQ10" s="107"/>
      <c r="AR10" s="83" t="s">
        <v>488</v>
      </c>
      <c r="AS10" s="109" t="s">
        <v>153</v>
      </c>
      <c r="AT10" s="83" t="s">
        <v>489</v>
      </c>
      <c r="AU10" s="83" t="s">
        <v>490</v>
      </c>
      <c r="AV10" s="84" t="str">
        <f t="shared" si="7"/>
        <v/>
      </c>
      <c r="AW10" s="107"/>
      <c r="AY10" s="83">
        <v>12</v>
      </c>
      <c r="AZ10" s="84">
        <f>'ALLEGATO 1 CONDOMINI'!O64</f>
        <v>0</v>
      </c>
      <c r="BD10" s="107"/>
      <c r="BF10" s="83" t="s">
        <v>483</v>
      </c>
      <c r="BG10" s="83" t="s">
        <v>484</v>
      </c>
      <c r="BH10" s="83" t="s">
        <v>491</v>
      </c>
      <c r="BI10" s="84">
        <f>'ALLEGATO 1 CONDOMINI'!Q64</f>
        <v>0</v>
      </c>
      <c r="BJ10" s="84">
        <f>'ALLEGATO 1 CONDOMINI'!R64</f>
        <v>0</v>
      </c>
      <c r="BK10" s="84">
        <f>'ALLEGATO 1 CONDOMINI'!S64</f>
        <v>0</v>
      </c>
      <c r="BL10" s="83" t="s">
        <v>492</v>
      </c>
      <c r="BM10" s="83" t="s">
        <v>493</v>
      </c>
      <c r="BN10" s="103">
        <f>'ALLEGATO 1 CONDOMINI'!L64</f>
        <v>0</v>
      </c>
      <c r="BO10" s="108" t="e">
        <f t="shared" si="8"/>
        <v>#N/A</v>
      </c>
      <c r="BP10" s="108">
        <f t="shared" si="9"/>
        <v>0</v>
      </c>
      <c r="BQ10" s="108" t="e">
        <f t="shared" si="10"/>
        <v>#N/A</v>
      </c>
      <c r="BR10" s="108" t="e">
        <f t="shared" si="11"/>
        <v>#N/A</v>
      </c>
      <c r="BS10" s="108">
        <f>'ALLEGATO 1 CONDOMINI'!E64</f>
        <v>0</v>
      </c>
      <c r="BT10" s="108">
        <f>'ALLEGATO 1 CONDOMINI'!F64</f>
        <v>0</v>
      </c>
      <c r="BU10" s="108"/>
      <c r="BV10" s="108" t="s">
        <v>20787</v>
      </c>
      <c r="BW10" s="107"/>
      <c r="BX10" s="107"/>
      <c r="BY10" s="107"/>
      <c r="BZ10" s="107"/>
      <c r="CB10" s="107"/>
      <c r="CC10" s="109" t="s">
        <v>20779</v>
      </c>
      <c r="CD10" s="107"/>
      <c r="CE10" s="110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83" t="s">
        <v>494</v>
      </c>
      <c r="CR10" s="107"/>
      <c r="CS10" s="84">
        <f t="shared" si="12"/>
        <v>0</v>
      </c>
      <c r="CT10" s="84">
        <f t="shared" si="13"/>
        <v>0</v>
      </c>
      <c r="CU10" s="84">
        <f>'ALLEGATO 1 CONDOMINI'!K64</f>
        <v>0</v>
      </c>
      <c r="CV10" s="83" t="s">
        <v>495</v>
      </c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I10" s="104" t="s">
        <v>20796</v>
      </c>
      <c r="DJ10" s="105" t="e">
        <f>VLOOKUP('ALLEGATO 1 CONDOMINI'!N64,Venditori!B:E,4,FALSE)</f>
        <v>#N/A</v>
      </c>
      <c r="DK10" s="107"/>
      <c r="DM10" s="111"/>
      <c r="DN10" s="111"/>
      <c r="DO10" s="111"/>
      <c r="DP10" s="111"/>
      <c r="DQ10" s="111"/>
      <c r="DR10" s="111"/>
      <c r="DS10" s="111"/>
      <c r="DT10" s="111"/>
      <c r="DU10" s="111"/>
      <c r="DV10" s="111"/>
      <c r="DW10" s="111"/>
      <c r="DX10" s="111"/>
      <c r="DY10" s="111"/>
      <c r="DZ10" s="111"/>
      <c r="EA10" s="111"/>
      <c r="EB10" s="111"/>
      <c r="EC10" s="111"/>
      <c r="ED10" s="111"/>
      <c r="EF10" s="111"/>
      <c r="EH10" s="83" t="s">
        <v>485</v>
      </c>
      <c r="EI10" s="83" t="s">
        <v>496</v>
      </c>
      <c r="EJ10" s="112" t="str">
        <f t="shared" si="14"/>
        <v>COND.</v>
      </c>
      <c r="EK10" s="94"/>
      <c r="EL10" s="107"/>
      <c r="EM10" s="107"/>
      <c r="EN10" s="107"/>
      <c r="EO10" s="107"/>
      <c r="EP10" s="107"/>
      <c r="EQ10" s="107"/>
      <c r="ER10" s="107"/>
      <c r="ES10" s="107"/>
      <c r="ET10" s="107"/>
      <c r="EU10" s="107"/>
      <c r="EV10" s="83">
        <v>1</v>
      </c>
      <c r="EW10" s="83">
        <v>1</v>
      </c>
      <c r="EX10" s="83">
        <v>1</v>
      </c>
      <c r="EZ10" s="107"/>
      <c r="FB10" s="83" t="s">
        <v>497</v>
      </c>
      <c r="FC10" s="113"/>
      <c r="FD10" s="107"/>
      <c r="FE10" s="107"/>
      <c r="FF10" s="107"/>
      <c r="FG10" s="107"/>
      <c r="FH10" s="107"/>
      <c r="FI10" s="107"/>
      <c r="FJ10" s="113"/>
      <c r="FK10" s="107"/>
      <c r="FL10" s="107"/>
    </row>
    <row r="11" spans="1:168" s="109" customFormat="1" x14ac:dyDescent="0.25">
      <c r="A11" s="107"/>
      <c r="B11" s="107"/>
      <c r="C11" s="107"/>
      <c r="D11" s="84" t="str">
        <f>_xlfn.CONCAT('ALLEGATO 1 CONDOMINI'!B65,'ALLEGATO 1 CONDOMINI'!C65)</f>
        <v>COND.</v>
      </c>
      <c r="E11" s="107"/>
      <c r="F11" s="84">
        <f>'ALLEGATO 1 CONDOMINI'!D65</f>
        <v>0</v>
      </c>
      <c r="H11" s="107"/>
      <c r="I11" s="110"/>
      <c r="K11" s="83" t="s">
        <v>481</v>
      </c>
      <c r="L11" s="84">
        <f>'ALLEGATO 1 CONDOMINI'!P65</f>
        <v>0</v>
      </c>
      <c r="M11" s="83" t="s">
        <v>482</v>
      </c>
      <c r="O11" s="107"/>
      <c r="P11" s="84" t="e">
        <f>VLOOKUP(Q11,'Zone Istat'!A:B,2,FALSE)</f>
        <v>#N/A</v>
      </c>
      <c r="Q11" s="84">
        <f>'ALLEGATO 1 CONDOMINI'!I65</f>
        <v>0</v>
      </c>
      <c r="R11" s="108" t="e">
        <f>VLOOKUP(Q11,'Zone Istat'!A:E,5,FALSE)</f>
        <v>#N/A</v>
      </c>
      <c r="S11" s="108" t="e">
        <f>VLOOKUP(Q11,'Zone Istat'!A:D,4,FALSE)</f>
        <v>#N/A</v>
      </c>
      <c r="T11" s="99">
        <f>'ALLEGATO 1 CONDOMINI'!E65</f>
        <v>0</v>
      </c>
      <c r="U11" s="100">
        <f>'ALLEGATO 1 CONDOMINI'!F65</f>
        <v>0</v>
      </c>
      <c r="V11" s="99">
        <f>'ALLEGATO 1 CONDOMINI'!G65</f>
        <v>0</v>
      </c>
      <c r="W11" s="99" t="s">
        <v>20787</v>
      </c>
      <c r="X11" s="100"/>
      <c r="Y11" s="107"/>
      <c r="Z11" s="107"/>
      <c r="AA11" s="83" t="s">
        <v>483</v>
      </c>
      <c r="AB11" s="83" t="s">
        <v>484</v>
      </c>
      <c r="AC11" s="83" t="s">
        <v>485</v>
      </c>
      <c r="AD11" s="83" t="s">
        <v>486</v>
      </c>
      <c r="AG11" s="107"/>
      <c r="AH11" s="107"/>
      <c r="AI11" s="108" t="str">
        <f t="shared" si="6"/>
        <v>COND.</v>
      </c>
      <c r="AJ11" s="107"/>
      <c r="AK11" s="83" t="s">
        <v>481</v>
      </c>
      <c r="AL11" s="84">
        <f>'ALLEGATO 1 CONDOMINI'!P65</f>
        <v>0</v>
      </c>
      <c r="AM11" s="83" t="s">
        <v>487</v>
      </c>
      <c r="AN11" s="108"/>
      <c r="AO11" s="83">
        <v>9904</v>
      </c>
      <c r="AQ11" s="107"/>
      <c r="AR11" s="83" t="s">
        <v>488</v>
      </c>
      <c r="AS11" s="109" t="s">
        <v>153</v>
      </c>
      <c r="AT11" s="83" t="s">
        <v>489</v>
      </c>
      <c r="AU11" s="83" t="s">
        <v>490</v>
      </c>
      <c r="AV11" s="84" t="str">
        <f t="shared" si="7"/>
        <v/>
      </c>
      <c r="AW11" s="107"/>
      <c r="AY11" s="83">
        <v>12</v>
      </c>
      <c r="AZ11" s="84">
        <f>'ALLEGATO 1 CONDOMINI'!O65</f>
        <v>0</v>
      </c>
      <c r="BD11" s="107"/>
      <c r="BF11" s="83" t="s">
        <v>483</v>
      </c>
      <c r="BG11" s="83" t="s">
        <v>484</v>
      </c>
      <c r="BH11" s="83" t="s">
        <v>491</v>
      </c>
      <c r="BI11" s="84">
        <f>'ALLEGATO 1 CONDOMINI'!Q65</f>
        <v>0</v>
      </c>
      <c r="BJ11" s="84">
        <f>'ALLEGATO 1 CONDOMINI'!R65</f>
        <v>0</v>
      </c>
      <c r="BK11" s="84">
        <f>'ALLEGATO 1 CONDOMINI'!S65</f>
        <v>0</v>
      </c>
      <c r="BL11" s="83" t="s">
        <v>492</v>
      </c>
      <c r="BM11" s="83" t="s">
        <v>493</v>
      </c>
      <c r="BN11" s="103">
        <f>'ALLEGATO 1 CONDOMINI'!L65</f>
        <v>0</v>
      </c>
      <c r="BO11" s="108" t="e">
        <f t="shared" si="8"/>
        <v>#N/A</v>
      </c>
      <c r="BP11" s="108">
        <f t="shared" si="9"/>
        <v>0</v>
      </c>
      <c r="BQ11" s="108" t="e">
        <f t="shared" si="10"/>
        <v>#N/A</v>
      </c>
      <c r="BR11" s="108" t="e">
        <f t="shared" si="11"/>
        <v>#N/A</v>
      </c>
      <c r="BS11" s="108">
        <f>'ALLEGATO 1 CONDOMINI'!E65</f>
        <v>0</v>
      </c>
      <c r="BT11" s="108">
        <f>'ALLEGATO 1 CONDOMINI'!F65</f>
        <v>0</v>
      </c>
      <c r="BU11" s="108"/>
      <c r="BV11" s="108" t="s">
        <v>20787</v>
      </c>
      <c r="BW11" s="107"/>
      <c r="BX11" s="107"/>
      <c r="BY11" s="107"/>
      <c r="BZ11" s="107"/>
      <c r="CB11" s="107"/>
      <c r="CC11" s="109" t="s">
        <v>20779</v>
      </c>
      <c r="CD11" s="107"/>
      <c r="CE11" s="110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83" t="s">
        <v>494</v>
      </c>
      <c r="CR11" s="107"/>
      <c r="CS11" s="84">
        <f t="shared" si="12"/>
        <v>0</v>
      </c>
      <c r="CT11" s="84">
        <f t="shared" si="13"/>
        <v>0</v>
      </c>
      <c r="CU11" s="84">
        <f>'ALLEGATO 1 CONDOMINI'!K65</f>
        <v>0</v>
      </c>
      <c r="CV11" s="83" t="s">
        <v>495</v>
      </c>
      <c r="CX11" s="111"/>
      <c r="CY11" s="111"/>
      <c r="CZ11" s="111"/>
      <c r="DA11" s="111"/>
      <c r="DB11" s="111"/>
      <c r="DC11" s="111"/>
      <c r="DD11" s="111"/>
      <c r="DE11" s="111"/>
      <c r="DF11" s="111"/>
      <c r="DG11" s="111"/>
      <c r="DI11" s="104" t="s">
        <v>20796</v>
      </c>
      <c r="DJ11" s="112" t="e">
        <f>VLOOKUP('ALLEGATO 1 CONDOMINI'!N65,Venditori!B:E,4,FALSE)</f>
        <v>#N/A</v>
      </c>
      <c r="DK11" s="107"/>
      <c r="DM11" s="111"/>
      <c r="DN11" s="111"/>
      <c r="DO11" s="111"/>
      <c r="DP11" s="111"/>
      <c r="DQ11" s="111"/>
      <c r="DR11" s="111"/>
      <c r="DS11" s="111"/>
      <c r="DT11" s="111"/>
      <c r="DU11" s="111"/>
      <c r="DV11" s="111"/>
      <c r="DW11" s="111"/>
      <c r="DX11" s="111"/>
      <c r="DY11" s="111"/>
      <c r="DZ11" s="111"/>
      <c r="EA11" s="111"/>
      <c r="EB11" s="111"/>
      <c r="EC11" s="111"/>
      <c r="ED11" s="111"/>
      <c r="EF11" s="111"/>
      <c r="EH11" s="83" t="s">
        <v>485</v>
      </c>
      <c r="EI11" s="83" t="s">
        <v>496</v>
      </c>
      <c r="EJ11" s="112" t="str">
        <f t="shared" si="14"/>
        <v>COND.</v>
      </c>
      <c r="EK11" s="94"/>
      <c r="EL11" s="107"/>
      <c r="EM11" s="107"/>
      <c r="EN11" s="107"/>
      <c r="EO11" s="107"/>
      <c r="EP11" s="107"/>
      <c r="EQ11" s="107"/>
      <c r="ER11" s="107"/>
      <c r="ES11" s="107"/>
      <c r="ET11" s="107"/>
      <c r="EU11" s="107"/>
      <c r="EV11" s="83">
        <v>1</v>
      </c>
      <c r="EW11" s="83">
        <v>1</v>
      </c>
      <c r="EX11" s="83">
        <v>1</v>
      </c>
      <c r="EZ11" s="107"/>
      <c r="FB11" s="83" t="s">
        <v>497</v>
      </c>
      <c r="FC11" s="113"/>
      <c r="FD11" s="107"/>
      <c r="FE11" s="107"/>
      <c r="FF11" s="107"/>
      <c r="FG11" s="107"/>
      <c r="FH11" s="107"/>
      <c r="FI11" s="107"/>
      <c r="FJ11" s="113"/>
      <c r="FK11" s="107"/>
      <c r="FL11" s="107"/>
    </row>
    <row r="12" spans="1:168" s="109" customFormat="1" x14ac:dyDescent="0.25">
      <c r="A12" s="107"/>
      <c r="B12" s="107"/>
      <c r="C12" s="107"/>
      <c r="D12" s="84" t="str">
        <f>_xlfn.CONCAT('ALLEGATO 1 CONDOMINI'!B66,'ALLEGATO 1 CONDOMINI'!C66)</f>
        <v>COND.</v>
      </c>
      <c r="E12" s="107"/>
      <c r="F12" s="108">
        <f>'ALLEGATO 1 CONDOMINI'!D66</f>
        <v>0</v>
      </c>
      <c r="H12" s="107"/>
      <c r="I12" s="110"/>
      <c r="K12" s="83" t="s">
        <v>481</v>
      </c>
      <c r="L12" s="84">
        <f>'ALLEGATO 1 CONDOMINI'!P66</f>
        <v>0</v>
      </c>
      <c r="M12" s="83" t="s">
        <v>482</v>
      </c>
      <c r="O12" s="107"/>
      <c r="P12" s="84" t="e">
        <f>VLOOKUP(Q12,'Zone Istat'!A:B,2,FALSE)</f>
        <v>#N/A</v>
      </c>
      <c r="Q12" s="84">
        <f>'ALLEGATO 1 CONDOMINI'!I66</f>
        <v>0</v>
      </c>
      <c r="R12" s="108" t="e">
        <f>VLOOKUP(Q12,'Zone Istat'!A:E,5,FALSE)</f>
        <v>#N/A</v>
      </c>
      <c r="S12" s="108" t="e">
        <f>VLOOKUP(Q12,'Zone Istat'!A:D,4,FALSE)</f>
        <v>#N/A</v>
      </c>
      <c r="T12" s="99">
        <f>'ALLEGATO 1 CONDOMINI'!E66</f>
        <v>0</v>
      </c>
      <c r="U12" s="100">
        <f>'ALLEGATO 1 CONDOMINI'!F66</f>
        <v>0</v>
      </c>
      <c r="V12" s="99">
        <f>'ALLEGATO 1 CONDOMINI'!G66</f>
        <v>0</v>
      </c>
      <c r="W12" s="99" t="s">
        <v>20787</v>
      </c>
      <c r="X12" s="100"/>
      <c r="Y12" s="107"/>
      <c r="Z12" s="107"/>
      <c r="AA12" s="83" t="s">
        <v>483</v>
      </c>
      <c r="AB12" s="83" t="s">
        <v>484</v>
      </c>
      <c r="AC12" s="83" t="s">
        <v>485</v>
      </c>
      <c r="AD12" s="83" t="s">
        <v>486</v>
      </c>
      <c r="AG12" s="107"/>
      <c r="AH12" s="107"/>
      <c r="AI12" s="108" t="str">
        <f t="shared" si="6"/>
        <v>COND.</v>
      </c>
      <c r="AJ12" s="107"/>
      <c r="AK12" s="83" t="s">
        <v>481</v>
      </c>
      <c r="AL12" s="84">
        <f>'ALLEGATO 1 CONDOMINI'!P66</f>
        <v>0</v>
      </c>
      <c r="AM12" s="83" t="s">
        <v>487</v>
      </c>
      <c r="AN12" s="108"/>
      <c r="AO12" s="83">
        <v>9904</v>
      </c>
      <c r="AQ12" s="107"/>
      <c r="AR12" s="83" t="s">
        <v>488</v>
      </c>
      <c r="AS12" s="109" t="s">
        <v>153</v>
      </c>
      <c r="AT12" s="83" t="s">
        <v>489</v>
      </c>
      <c r="AU12" s="83" t="s">
        <v>490</v>
      </c>
      <c r="AV12" s="84" t="str">
        <f t="shared" si="7"/>
        <v/>
      </c>
      <c r="AW12" s="107"/>
      <c r="AY12" s="83">
        <v>12</v>
      </c>
      <c r="AZ12" s="84">
        <f>'ALLEGATO 1 CONDOMINI'!O66</f>
        <v>0</v>
      </c>
      <c r="BD12" s="107"/>
      <c r="BF12" s="83" t="s">
        <v>483</v>
      </c>
      <c r="BG12" s="83" t="s">
        <v>484</v>
      </c>
      <c r="BH12" s="83" t="s">
        <v>491</v>
      </c>
      <c r="BI12" s="108">
        <f>'ALLEGATO 1 CONDOMINI'!Q66</f>
        <v>0</v>
      </c>
      <c r="BJ12" s="108">
        <f>'ALLEGATO 1 CONDOMINI'!R66</f>
        <v>0</v>
      </c>
      <c r="BK12" s="108">
        <f>'ALLEGATO 1 CONDOMINI'!S66</f>
        <v>0</v>
      </c>
      <c r="BL12" s="83" t="s">
        <v>492</v>
      </c>
      <c r="BM12" s="83" t="s">
        <v>493</v>
      </c>
      <c r="BN12" s="103">
        <f>'ALLEGATO 1 CONDOMINI'!L66</f>
        <v>0</v>
      </c>
      <c r="BO12" s="108" t="e">
        <f t="shared" si="8"/>
        <v>#N/A</v>
      </c>
      <c r="BP12" s="108">
        <f t="shared" si="9"/>
        <v>0</v>
      </c>
      <c r="BQ12" s="108" t="e">
        <f t="shared" si="10"/>
        <v>#N/A</v>
      </c>
      <c r="BR12" s="108" t="e">
        <f t="shared" si="11"/>
        <v>#N/A</v>
      </c>
      <c r="BS12" s="108">
        <f>'ALLEGATO 1 CONDOMINI'!E66</f>
        <v>0</v>
      </c>
      <c r="BT12" s="108">
        <f>'ALLEGATO 1 CONDOMINI'!F66</f>
        <v>0</v>
      </c>
      <c r="BU12" s="108"/>
      <c r="BV12" s="108" t="s">
        <v>20787</v>
      </c>
      <c r="BW12" s="107"/>
      <c r="BX12" s="107"/>
      <c r="BY12" s="107"/>
      <c r="BZ12" s="107"/>
      <c r="CB12" s="107"/>
      <c r="CC12" s="109" t="s">
        <v>20779</v>
      </c>
      <c r="CD12" s="107"/>
      <c r="CE12" s="110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83" t="s">
        <v>494</v>
      </c>
      <c r="CR12" s="107"/>
      <c r="CS12" s="84">
        <f t="shared" si="12"/>
        <v>0</v>
      </c>
      <c r="CT12" s="84">
        <f t="shared" si="13"/>
        <v>0</v>
      </c>
      <c r="CU12" s="108">
        <f>'ALLEGATO 1 CONDOMINI'!K66</f>
        <v>0</v>
      </c>
      <c r="CV12" s="83" t="s">
        <v>495</v>
      </c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I12" s="104" t="s">
        <v>20796</v>
      </c>
      <c r="DJ12" s="112" t="e">
        <f>VLOOKUP('ALLEGATO 1 CONDOMINI'!N66,Venditori!B:E,4,FALSE)</f>
        <v>#N/A</v>
      </c>
      <c r="DK12" s="107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F12" s="111"/>
      <c r="EH12" s="83" t="s">
        <v>485</v>
      </c>
      <c r="EI12" s="83" t="s">
        <v>496</v>
      </c>
      <c r="EJ12" s="112" t="str">
        <f t="shared" si="14"/>
        <v>COND.</v>
      </c>
      <c r="EK12" s="94"/>
      <c r="EL12" s="107"/>
      <c r="EM12" s="107"/>
      <c r="EN12" s="107"/>
      <c r="EO12" s="107"/>
      <c r="EP12" s="107"/>
      <c r="EQ12" s="107"/>
      <c r="ER12" s="107"/>
      <c r="ES12" s="107"/>
      <c r="ET12" s="107"/>
      <c r="EU12" s="107"/>
      <c r="EV12" s="83">
        <v>1</v>
      </c>
      <c r="EW12" s="83">
        <v>1</v>
      </c>
      <c r="EX12" s="83">
        <v>1</v>
      </c>
      <c r="EZ12" s="107"/>
      <c r="FB12" s="83" t="s">
        <v>497</v>
      </c>
      <c r="FC12" s="113"/>
      <c r="FD12" s="107"/>
      <c r="FE12" s="107"/>
      <c r="FF12" s="107"/>
      <c r="FG12" s="107"/>
      <c r="FH12" s="107"/>
      <c r="FI12" s="107"/>
      <c r="FJ12" s="113"/>
      <c r="FK12" s="107"/>
      <c r="FL12" s="107"/>
    </row>
    <row r="13" spans="1:168" s="87" customFormat="1" x14ac:dyDescent="0.25">
      <c r="D13" s="119" t="str">
        <f>_xlfn.CONCAT('ALLEGATO 1 CONDOMINI'!B67,'ALLEGATO 1 CONDOMINI'!C67)</f>
        <v>COND.</v>
      </c>
      <c r="F13" s="87">
        <f>'ALLEGATO 1 CONDOMINI'!D67</f>
        <v>0</v>
      </c>
      <c r="J13" s="120"/>
      <c r="K13" s="87" t="s">
        <v>481</v>
      </c>
      <c r="L13" s="87">
        <f>'ALLEGATO 1 CONDOMINI'!P67</f>
        <v>0</v>
      </c>
      <c r="M13" s="87" t="s">
        <v>482</v>
      </c>
      <c r="P13" s="87" t="e">
        <f>VLOOKUP(Q13,'Zone Istat'!A:B,2,FALSE)</f>
        <v>#N/A</v>
      </c>
      <c r="Q13" s="87">
        <f>'ALLEGATO 1 CONDOMINI'!I67</f>
        <v>0</v>
      </c>
      <c r="R13" s="87" t="e">
        <f>VLOOKUP(Q13,'Zone Istat'!A:E,5,FALSE)</f>
        <v>#N/A</v>
      </c>
      <c r="S13" s="87" t="e">
        <f>VLOOKUP(Q13,'Zone Istat'!A:D,4,FALSE)</f>
        <v>#N/A</v>
      </c>
      <c r="T13" s="87">
        <f>'ALLEGATO 1 CONDOMINI'!E67</f>
        <v>0</v>
      </c>
      <c r="U13" s="87">
        <f>'ALLEGATO 1 CONDOMINI'!F67</f>
        <v>0</v>
      </c>
      <c r="V13" s="87">
        <f>'ALLEGATO 1 CONDOMINI'!G67</f>
        <v>0</v>
      </c>
      <c r="W13" s="87" t="s">
        <v>20787</v>
      </c>
      <c r="AA13" s="87" t="s">
        <v>483</v>
      </c>
      <c r="AB13" s="87" t="s">
        <v>484</v>
      </c>
      <c r="AC13" s="87" t="s">
        <v>485</v>
      </c>
      <c r="AD13" s="87" t="s">
        <v>486</v>
      </c>
      <c r="AI13" s="119" t="str">
        <f t="shared" si="6"/>
        <v>COND.</v>
      </c>
      <c r="AK13" s="87" t="s">
        <v>481</v>
      </c>
      <c r="AL13" s="87">
        <f>'ALLEGATO 1 CONDOMINI'!P67</f>
        <v>0</v>
      </c>
      <c r="AM13" s="87" t="s">
        <v>487</v>
      </c>
      <c r="AO13" s="87">
        <v>9904</v>
      </c>
      <c r="AR13" s="87" t="s">
        <v>488</v>
      </c>
      <c r="AS13" s="87" t="s">
        <v>153</v>
      </c>
      <c r="AT13" s="87" t="s">
        <v>489</v>
      </c>
      <c r="AU13" s="87" t="s">
        <v>490</v>
      </c>
      <c r="AV13" s="87" t="str">
        <f t="shared" si="7"/>
        <v/>
      </c>
      <c r="AY13" s="87">
        <v>12</v>
      </c>
      <c r="AZ13" s="87">
        <f>'ALLEGATO 1 CONDOMINI'!O67</f>
        <v>0</v>
      </c>
      <c r="BF13" s="87" t="s">
        <v>483</v>
      </c>
      <c r="BG13" s="87" t="s">
        <v>484</v>
      </c>
      <c r="BH13" s="87" t="s">
        <v>491</v>
      </c>
      <c r="BI13" s="87">
        <f>'ALLEGATO 1 CONDOMINI'!Q67</f>
        <v>0</v>
      </c>
      <c r="BJ13" s="87">
        <f>'ALLEGATO 1 CONDOMINI'!R67</f>
        <v>0</v>
      </c>
      <c r="BK13" s="87">
        <f>'ALLEGATO 1 CONDOMINI'!S67</f>
        <v>0</v>
      </c>
      <c r="BL13" s="87" t="s">
        <v>492</v>
      </c>
      <c r="BM13" s="87" t="s">
        <v>493</v>
      </c>
      <c r="BN13" s="87">
        <f>'ALLEGATO 1 CONDOMINI'!L67</f>
        <v>0</v>
      </c>
      <c r="BO13" s="87" t="e">
        <f t="shared" si="8"/>
        <v>#N/A</v>
      </c>
      <c r="BP13" s="87">
        <f t="shared" si="9"/>
        <v>0</v>
      </c>
      <c r="BQ13" s="87" t="e">
        <f t="shared" si="10"/>
        <v>#N/A</v>
      </c>
      <c r="BR13" s="87" t="e">
        <f t="shared" si="11"/>
        <v>#N/A</v>
      </c>
      <c r="BS13" s="87">
        <f>'ALLEGATO 1 CONDOMINI'!E67</f>
        <v>0</v>
      </c>
      <c r="BT13" s="87">
        <f>'ALLEGATO 1 CONDOMINI'!F67</f>
        <v>0</v>
      </c>
      <c r="BV13" s="87" t="s">
        <v>20787</v>
      </c>
      <c r="CC13" s="87" t="s">
        <v>20779</v>
      </c>
      <c r="CQ13" s="87" t="s">
        <v>494</v>
      </c>
      <c r="CS13" s="87">
        <f t="shared" si="12"/>
        <v>0</v>
      </c>
      <c r="CT13" s="87">
        <f t="shared" si="13"/>
        <v>0</v>
      </c>
      <c r="CU13" s="87">
        <f>'ALLEGATO 1 CONDOMINI'!K67</f>
        <v>0</v>
      </c>
      <c r="CV13" s="87" t="s">
        <v>495</v>
      </c>
      <c r="DI13" s="104" t="s">
        <v>20796</v>
      </c>
      <c r="DJ13" s="87" t="e">
        <f>VLOOKUP('ALLEGATO 1 CONDOMINI'!N67,Venditori!B:E,4,FALSE)</f>
        <v>#N/A</v>
      </c>
      <c r="EH13" s="87" t="s">
        <v>485</v>
      </c>
      <c r="EI13" s="87" t="s">
        <v>496</v>
      </c>
      <c r="EJ13" s="87" t="str">
        <f t="shared" si="14"/>
        <v>COND.</v>
      </c>
      <c r="EV13" s="87">
        <v>1</v>
      </c>
      <c r="EW13" s="87">
        <v>1</v>
      </c>
      <c r="EX13" s="87">
        <v>1</v>
      </c>
      <c r="FB13" s="87" t="s">
        <v>497</v>
      </c>
      <c r="FC13" s="118"/>
      <c r="FJ13" s="118"/>
    </row>
    <row r="14" spans="1:168" s="87" customFormat="1" x14ac:dyDescent="0.25">
      <c r="D14" s="119" t="str">
        <f>_xlfn.CONCAT('ALLEGATO 1 CONDOMINI'!B68,'ALLEGATO 1 CONDOMINI'!C68)</f>
        <v>COND.</v>
      </c>
      <c r="F14" s="87">
        <f>'ALLEGATO 1 CONDOMINI'!D68</f>
        <v>0</v>
      </c>
      <c r="J14" s="120"/>
      <c r="K14" s="87" t="s">
        <v>481</v>
      </c>
      <c r="L14" s="87">
        <f>'ALLEGATO 1 CONDOMINI'!P68</f>
        <v>0</v>
      </c>
      <c r="M14" s="87" t="s">
        <v>482</v>
      </c>
      <c r="P14" s="87" t="e">
        <f>VLOOKUP(Q14,'Zone Istat'!A:B,2,FALSE)</f>
        <v>#N/A</v>
      </c>
      <c r="Q14" s="87">
        <f>'ALLEGATO 1 CONDOMINI'!I68</f>
        <v>0</v>
      </c>
      <c r="R14" s="87" t="e">
        <f>VLOOKUP(Q14,'Zone Istat'!A:E,5,FALSE)</f>
        <v>#N/A</v>
      </c>
      <c r="S14" s="87" t="e">
        <f>VLOOKUP(Q14,'Zone Istat'!A:D,4,FALSE)</f>
        <v>#N/A</v>
      </c>
      <c r="T14" s="87">
        <f>'ALLEGATO 1 CONDOMINI'!E68</f>
        <v>0</v>
      </c>
      <c r="U14" s="87">
        <f>'ALLEGATO 1 CONDOMINI'!F68</f>
        <v>0</v>
      </c>
      <c r="V14" s="87">
        <f>'ALLEGATO 1 CONDOMINI'!G68</f>
        <v>0</v>
      </c>
      <c r="W14" s="87" t="s">
        <v>20787</v>
      </c>
      <c r="AA14" s="87" t="s">
        <v>483</v>
      </c>
      <c r="AB14" s="87" t="s">
        <v>484</v>
      </c>
      <c r="AC14" s="87" t="s">
        <v>485</v>
      </c>
      <c r="AD14" s="87" t="s">
        <v>486</v>
      </c>
      <c r="AI14" s="119" t="str">
        <f t="shared" si="6"/>
        <v>COND.</v>
      </c>
      <c r="AK14" s="87" t="s">
        <v>481</v>
      </c>
      <c r="AL14" s="87">
        <f>'ALLEGATO 1 CONDOMINI'!P68</f>
        <v>0</v>
      </c>
      <c r="AM14" s="87" t="s">
        <v>487</v>
      </c>
      <c r="AO14" s="87">
        <v>9904</v>
      </c>
      <c r="AR14" s="87" t="s">
        <v>488</v>
      </c>
      <c r="AS14" s="87" t="s">
        <v>153</v>
      </c>
      <c r="AT14" s="87" t="s">
        <v>489</v>
      </c>
      <c r="AU14" s="87" t="s">
        <v>490</v>
      </c>
      <c r="AV14" s="87" t="str">
        <f t="shared" si="7"/>
        <v/>
      </c>
      <c r="AY14" s="87">
        <v>12</v>
      </c>
      <c r="AZ14" s="87">
        <f>'ALLEGATO 1 CONDOMINI'!O68</f>
        <v>0</v>
      </c>
      <c r="BF14" s="87" t="s">
        <v>483</v>
      </c>
      <c r="BG14" s="87" t="s">
        <v>484</v>
      </c>
      <c r="BH14" s="87" t="s">
        <v>491</v>
      </c>
      <c r="BI14" s="87">
        <f>'ALLEGATO 1 CONDOMINI'!Q68</f>
        <v>0</v>
      </c>
      <c r="BJ14" s="87">
        <f>'ALLEGATO 1 CONDOMINI'!R68</f>
        <v>0</v>
      </c>
      <c r="BK14" s="87">
        <f>'ALLEGATO 1 CONDOMINI'!S68</f>
        <v>0</v>
      </c>
      <c r="BL14" s="87" t="s">
        <v>492</v>
      </c>
      <c r="BM14" s="87" t="s">
        <v>493</v>
      </c>
      <c r="BN14" s="87">
        <f>'ALLEGATO 1 CONDOMINI'!L68</f>
        <v>0</v>
      </c>
      <c r="BO14" s="87" t="e">
        <f t="shared" si="8"/>
        <v>#N/A</v>
      </c>
      <c r="BP14" s="87">
        <f t="shared" si="9"/>
        <v>0</v>
      </c>
      <c r="BQ14" s="87" t="e">
        <f t="shared" si="10"/>
        <v>#N/A</v>
      </c>
      <c r="BR14" s="87" t="e">
        <f t="shared" si="11"/>
        <v>#N/A</v>
      </c>
      <c r="BS14" s="87">
        <f>'ALLEGATO 1 CONDOMINI'!E68</f>
        <v>0</v>
      </c>
      <c r="BT14" s="87">
        <f>'ALLEGATO 1 CONDOMINI'!F68</f>
        <v>0</v>
      </c>
      <c r="BV14" s="87" t="s">
        <v>20787</v>
      </c>
      <c r="CC14" s="87" t="s">
        <v>20779</v>
      </c>
      <c r="CQ14" s="87" t="s">
        <v>494</v>
      </c>
      <c r="CS14" s="87">
        <f t="shared" si="12"/>
        <v>0</v>
      </c>
      <c r="CT14" s="87">
        <f t="shared" si="13"/>
        <v>0</v>
      </c>
      <c r="CU14" s="87">
        <f>'ALLEGATO 1 CONDOMINI'!K68</f>
        <v>0</v>
      </c>
      <c r="CV14" s="87" t="s">
        <v>495</v>
      </c>
      <c r="DI14" s="104" t="s">
        <v>20796</v>
      </c>
      <c r="DJ14" s="87" t="e">
        <f>VLOOKUP('ALLEGATO 1 CONDOMINI'!N68,Venditori!B:E,4,FALSE)</f>
        <v>#N/A</v>
      </c>
      <c r="EH14" s="87" t="s">
        <v>485</v>
      </c>
      <c r="EI14" s="87" t="s">
        <v>496</v>
      </c>
      <c r="EJ14" s="87" t="str">
        <f t="shared" si="14"/>
        <v>COND.</v>
      </c>
      <c r="EV14" s="87">
        <v>1</v>
      </c>
      <c r="EW14" s="87">
        <v>1</v>
      </c>
      <c r="EX14" s="87">
        <v>1</v>
      </c>
      <c r="FB14" s="87" t="s">
        <v>497</v>
      </c>
      <c r="FC14" s="118"/>
      <c r="FJ14" s="118"/>
    </row>
    <row r="15" spans="1:168" s="35" customFormat="1" x14ac:dyDescent="0.25">
      <c r="D15" s="35" t="str">
        <f>_xlfn.CONCAT('ALLEGATO 1 CONDOMINI'!B69,'ALLEGATO 1 CONDOMINI'!C69)</f>
        <v>COND.</v>
      </c>
      <c r="F15" s="35">
        <f>'ALLEGATO 1 CONDOMINI'!D69</f>
        <v>0</v>
      </c>
      <c r="K15" s="35" t="s">
        <v>481</v>
      </c>
      <c r="L15" s="35">
        <f>'ALLEGATO 1 CONDOMINI'!P69</f>
        <v>0</v>
      </c>
      <c r="M15" s="35" t="s">
        <v>482</v>
      </c>
      <c r="P15" s="35" t="e">
        <f>VLOOKUP(Q15,'Zone Istat'!A:B,2,FALSE)</f>
        <v>#N/A</v>
      </c>
      <c r="Q15" s="35">
        <f>'ALLEGATO 1 CONDOMINI'!I69</f>
        <v>0</v>
      </c>
      <c r="R15" s="35" t="e">
        <f>VLOOKUP(Q15,'Zone Istat'!A:E,5,FALSE)</f>
        <v>#N/A</v>
      </c>
      <c r="S15" s="35" t="e">
        <f>VLOOKUP(Q15,'Zone Istat'!A:D,4,FALSE)</f>
        <v>#N/A</v>
      </c>
      <c r="T15" s="35">
        <f>'ALLEGATO 1 CONDOMINI'!E69</f>
        <v>0</v>
      </c>
      <c r="U15" s="35">
        <f>'ALLEGATO 1 CONDOMINI'!F69</f>
        <v>0</v>
      </c>
      <c r="V15" s="35">
        <f>'ALLEGATO 1 CONDOMINI'!G69</f>
        <v>0</v>
      </c>
      <c r="W15" s="121" t="s">
        <v>20787</v>
      </c>
      <c r="X15" s="122"/>
      <c r="AA15" s="35" t="s">
        <v>483</v>
      </c>
      <c r="AB15" s="35" t="s">
        <v>484</v>
      </c>
      <c r="AC15" s="35" t="s">
        <v>485</v>
      </c>
      <c r="AD15" s="35" t="s">
        <v>486</v>
      </c>
      <c r="AI15" s="35" t="str">
        <f t="shared" si="6"/>
        <v>COND.</v>
      </c>
      <c r="AK15" s="35" t="s">
        <v>481</v>
      </c>
      <c r="AL15" s="35">
        <f>'ALLEGATO 1 CONDOMINI'!P69</f>
        <v>0</v>
      </c>
      <c r="AM15" s="35" t="s">
        <v>487</v>
      </c>
      <c r="AO15" s="35">
        <v>9904</v>
      </c>
      <c r="AR15" s="35" t="s">
        <v>488</v>
      </c>
      <c r="AS15" s="35" t="s">
        <v>153</v>
      </c>
      <c r="AT15" s="35" t="s">
        <v>489</v>
      </c>
      <c r="AU15" s="35" t="s">
        <v>490</v>
      </c>
      <c r="AV15" s="35" t="str">
        <f t="shared" si="7"/>
        <v/>
      </c>
      <c r="AY15" s="35">
        <v>12</v>
      </c>
      <c r="AZ15" s="35">
        <f>'ALLEGATO 1 CONDOMINI'!O69</f>
        <v>0</v>
      </c>
      <c r="BF15" s="35" t="s">
        <v>483</v>
      </c>
      <c r="BG15" s="35" t="s">
        <v>484</v>
      </c>
      <c r="BH15" s="35" t="s">
        <v>491</v>
      </c>
      <c r="BI15" s="35">
        <f>'ALLEGATO 1 CONDOMINI'!Q69</f>
        <v>0</v>
      </c>
      <c r="BJ15" s="35">
        <f>'ALLEGATO 1 CONDOMINI'!R69</f>
        <v>0</v>
      </c>
      <c r="BK15" s="35">
        <f>'ALLEGATO 1 CONDOMINI'!S69</f>
        <v>0</v>
      </c>
      <c r="BL15" s="35" t="s">
        <v>492</v>
      </c>
      <c r="BM15" s="35" t="s">
        <v>493</v>
      </c>
      <c r="BN15" s="35">
        <f>'ALLEGATO 1 CONDOMINI'!L69</f>
        <v>0</v>
      </c>
      <c r="BO15" s="123" t="e">
        <f t="shared" si="8"/>
        <v>#N/A</v>
      </c>
      <c r="BP15" s="35">
        <f t="shared" si="9"/>
        <v>0</v>
      </c>
      <c r="BQ15" s="35" t="e">
        <f t="shared" si="10"/>
        <v>#N/A</v>
      </c>
      <c r="BR15" s="35" t="e">
        <f t="shared" si="11"/>
        <v>#N/A</v>
      </c>
      <c r="BS15" s="35">
        <f>'ALLEGATO 1 CONDOMINI'!E69</f>
        <v>0</v>
      </c>
      <c r="BT15" s="35">
        <f>'ALLEGATO 1 CONDOMINI'!F69</f>
        <v>0</v>
      </c>
      <c r="BV15" s="35" t="s">
        <v>20787</v>
      </c>
      <c r="CC15" s="35" t="s">
        <v>20779</v>
      </c>
      <c r="CQ15" s="35" t="s">
        <v>494</v>
      </c>
      <c r="CS15" s="35">
        <f t="shared" si="12"/>
        <v>0</v>
      </c>
      <c r="CT15" s="35">
        <f t="shared" si="13"/>
        <v>0</v>
      </c>
      <c r="CU15" s="35">
        <f>'ALLEGATO 1 CONDOMINI'!K69</f>
        <v>0</v>
      </c>
      <c r="CV15" s="35" t="s">
        <v>495</v>
      </c>
      <c r="DI15" s="104" t="s">
        <v>20796</v>
      </c>
      <c r="DJ15" s="35" t="e">
        <f>VLOOKUP('ALLEGATO 1 CONDOMINI'!N69,Venditori!B:E,4,FALSE)</f>
        <v>#N/A</v>
      </c>
      <c r="EH15" s="35" t="s">
        <v>485</v>
      </c>
      <c r="EI15" s="35" t="s">
        <v>496</v>
      </c>
      <c r="EJ15" s="35" t="str">
        <f t="shared" si="14"/>
        <v>COND.</v>
      </c>
      <c r="EV15" s="35">
        <v>1</v>
      </c>
      <c r="EW15" s="35">
        <v>1</v>
      </c>
      <c r="EX15" s="35">
        <v>1</v>
      </c>
      <c r="FB15" s="35" t="s">
        <v>497</v>
      </c>
    </row>
    <row r="16" spans="1:168" s="35" customFormat="1" x14ac:dyDescent="0.25">
      <c r="D16" s="35" t="str">
        <f>_xlfn.CONCAT('ALLEGATO 1 CONDOMINI'!B70,'ALLEGATO 1 CONDOMINI'!C70)</f>
        <v>COND.</v>
      </c>
      <c r="F16" s="35">
        <f>'ALLEGATO 1 CONDOMINI'!D70</f>
        <v>0</v>
      </c>
      <c r="K16" s="35" t="s">
        <v>481</v>
      </c>
      <c r="L16" s="35">
        <f>'ALLEGATO 1 CONDOMINI'!P70</f>
        <v>0</v>
      </c>
      <c r="M16" s="35" t="s">
        <v>482</v>
      </c>
      <c r="P16" s="35" t="e">
        <f>VLOOKUP(Q16,'Zone Istat'!A:B,2,FALSE)</f>
        <v>#N/A</v>
      </c>
      <c r="Q16" s="35">
        <f>'ALLEGATO 1 CONDOMINI'!I70</f>
        <v>0</v>
      </c>
      <c r="R16" s="35" t="e">
        <f>VLOOKUP(Q16,'Zone Istat'!A:E,5,FALSE)</f>
        <v>#N/A</v>
      </c>
      <c r="S16" s="35" t="e">
        <f>VLOOKUP(Q16,'Zone Istat'!A:D,4,FALSE)</f>
        <v>#N/A</v>
      </c>
      <c r="T16" s="35">
        <f>'ALLEGATO 1 CONDOMINI'!E70</f>
        <v>0</v>
      </c>
      <c r="U16" s="35">
        <f>'ALLEGATO 1 CONDOMINI'!F70</f>
        <v>0</v>
      </c>
      <c r="V16" s="35">
        <f>'ALLEGATO 1 CONDOMINI'!G70</f>
        <v>0</v>
      </c>
      <c r="W16" s="121" t="s">
        <v>20787</v>
      </c>
      <c r="X16" s="122"/>
      <c r="AA16" s="35" t="s">
        <v>483</v>
      </c>
      <c r="AB16" s="35" t="s">
        <v>484</v>
      </c>
      <c r="AC16" s="35" t="s">
        <v>485</v>
      </c>
      <c r="AD16" s="35" t="s">
        <v>486</v>
      </c>
      <c r="AI16" s="35" t="str">
        <f t="shared" si="6"/>
        <v>COND.</v>
      </c>
      <c r="AK16" s="35" t="s">
        <v>481</v>
      </c>
      <c r="AL16" s="35">
        <f>'ALLEGATO 1 CONDOMINI'!P70</f>
        <v>0</v>
      </c>
      <c r="AM16" s="35" t="s">
        <v>487</v>
      </c>
      <c r="AO16" s="35">
        <v>9904</v>
      </c>
      <c r="AR16" s="35" t="s">
        <v>488</v>
      </c>
      <c r="AS16" s="35" t="s">
        <v>153</v>
      </c>
      <c r="AT16" s="35" t="s">
        <v>489</v>
      </c>
      <c r="AU16" s="35" t="s">
        <v>490</v>
      </c>
      <c r="AV16" s="35" t="str">
        <f t="shared" si="7"/>
        <v/>
      </c>
      <c r="AY16" s="35">
        <v>12</v>
      </c>
      <c r="AZ16" s="35">
        <f>'ALLEGATO 1 CONDOMINI'!O70</f>
        <v>0</v>
      </c>
      <c r="BF16" s="35" t="s">
        <v>483</v>
      </c>
      <c r="BG16" s="35" t="s">
        <v>484</v>
      </c>
      <c r="BH16" s="35" t="s">
        <v>491</v>
      </c>
      <c r="BI16" s="35">
        <f>'ALLEGATO 1 CONDOMINI'!Q70</f>
        <v>0</v>
      </c>
      <c r="BJ16" s="35">
        <f>'ALLEGATO 1 CONDOMINI'!R70</f>
        <v>0</v>
      </c>
      <c r="BK16" s="35">
        <f>'ALLEGATO 1 CONDOMINI'!S70</f>
        <v>0</v>
      </c>
      <c r="BL16" s="35" t="s">
        <v>492</v>
      </c>
      <c r="BM16" s="35" t="s">
        <v>493</v>
      </c>
      <c r="BN16" s="35">
        <f>'ALLEGATO 1 CONDOMINI'!L70</f>
        <v>0</v>
      </c>
      <c r="BO16" s="35" t="e">
        <f t="shared" si="8"/>
        <v>#N/A</v>
      </c>
      <c r="BP16" s="35">
        <f t="shared" si="9"/>
        <v>0</v>
      </c>
      <c r="BQ16" s="35" t="e">
        <f t="shared" si="10"/>
        <v>#N/A</v>
      </c>
      <c r="BR16" s="35" t="e">
        <f t="shared" si="11"/>
        <v>#N/A</v>
      </c>
      <c r="BS16" s="35">
        <f>'ALLEGATO 1 CONDOMINI'!E70</f>
        <v>0</v>
      </c>
      <c r="BT16" s="35">
        <f>'ALLEGATO 1 CONDOMINI'!F70</f>
        <v>0</v>
      </c>
      <c r="BV16" s="35" t="s">
        <v>20787</v>
      </c>
      <c r="CC16" s="35" t="s">
        <v>20779</v>
      </c>
      <c r="CQ16" s="35" t="s">
        <v>494</v>
      </c>
      <c r="CS16" s="35">
        <f t="shared" si="12"/>
        <v>0</v>
      </c>
      <c r="CT16" s="35">
        <f t="shared" si="13"/>
        <v>0</v>
      </c>
      <c r="CU16" s="35">
        <f>'ALLEGATO 1 CONDOMINI'!K70</f>
        <v>0</v>
      </c>
      <c r="CV16" s="35" t="s">
        <v>495</v>
      </c>
      <c r="DI16" s="104" t="s">
        <v>20796</v>
      </c>
      <c r="DJ16" s="35" t="e">
        <f>VLOOKUP('ALLEGATO 1 CONDOMINI'!N70,Venditori!B:E,4,FALSE)</f>
        <v>#N/A</v>
      </c>
      <c r="EH16" s="35" t="s">
        <v>485</v>
      </c>
      <c r="EI16" s="35" t="s">
        <v>496</v>
      </c>
      <c r="EJ16" s="35" t="str">
        <f t="shared" si="14"/>
        <v>COND.</v>
      </c>
      <c r="EV16" s="35">
        <v>1</v>
      </c>
      <c r="EW16" s="35">
        <v>1</v>
      </c>
      <c r="EX16" s="35">
        <v>1</v>
      </c>
      <c r="FB16" s="35" t="s">
        <v>497</v>
      </c>
    </row>
    <row r="17" spans="1:158" s="35" customFormat="1" x14ac:dyDescent="0.25">
      <c r="D17" s="35" t="str">
        <f>_xlfn.CONCAT('ALLEGATO 1 CONDOMINI'!B71,'ALLEGATO 1 CONDOMINI'!C71)</f>
        <v>COND.</v>
      </c>
      <c r="F17" s="35">
        <f>'ALLEGATO 1 CONDOMINI'!D71</f>
        <v>0</v>
      </c>
      <c r="K17" s="35" t="s">
        <v>481</v>
      </c>
      <c r="L17" s="35">
        <f>'ALLEGATO 1 CONDOMINI'!P71</f>
        <v>0</v>
      </c>
      <c r="M17" s="35" t="s">
        <v>482</v>
      </c>
      <c r="P17" s="35" t="e">
        <f>VLOOKUP(Q17,'Zone Istat'!A:B,2,FALSE)</f>
        <v>#N/A</v>
      </c>
      <c r="Q17" s="35">
        <f>'ALLEGATO 1 CONDOMINI'!I71</f>
        <v>0</v>
      </c>
      <c r="R17" s="35" t="e">
        <f>VLOOKUP(Q17,'Zone Istat'!A:E,5,FALSE)</f>
        <v>#N/A</v>
      </c>
      <c r="S17" s="35" t="e">
        <f>VLOOKUP(Q17,'Zone Istat'!A:D,4,FALSE)</f>
        <v>#N/A</v>
      </c>
      <c r="T17" s="35">
        <f>'ALLEGATO 1 CONDOMINI'!E71</f>
        <v>0</v>
      </c>
      <c r="U17" s="35">
        <f>'ALLEGATO 1 CONDOMINI'!F71</f>
        <v>0</v>
      </c>
      <c r="V17" s="35">
        <f>'ALLEGATO 1 CONDOMINI'!G71</f>
        <v>0</v>
      </c>
      <c r="W17" s="35" t="s">
        <v>20787</v>
      </c>
      <c r="AA17" s="35" t="s">
        <v>483</v>
      </c>
      <c r="AB17" s="35" t="s">
        <v>484</v>
      </c>
      <c r="AC17" s="35" t="s">
        <v>485</v>
      </c>
      <c r="AD17" s="35" t="s">
        <v>486</v>
      </c>
      <c r="AI17" s="35" t="str">
        <f t="shared" si="6"/>
        <v>COND.</v>
      </c>
      <c r="AK17" s="35" t="s">
        <v>481</v>
      </c>
      <c r="AL17" s="35">
        <f>'ALLEGATO 1 CONDOMINI'!P71</f>
        <v>0</v>
      </c>
      <c r="AM17" s="35" t="s">
        <v>487</v>
      </c>
      <c r="AO17" s="35">
        <v>9904</v>
      </c>
      <c r="AR17" s="35" t="s">
        <v>488</v>
      </c>
      <c r="AS17" s="35" t="s">
        <v>153</v>
      </c>
      <c r="AT17" s="35" t="s">
        <v>489</v>
      </c>
      <c r="AU17" s="35" t="s">
        <v>490</v>
      </c>
      <c r="AV17" s="35" t="str">
        <f t="shared" si="7"/>
        <v/>
      </c>
      <c r="AY17" s="35">
        <v>12</v>
      </c>
      <c r="AZ17" s="35">
        <f>'ALLEGATO 1 CONDOMINI'!O71</f>
        <v>0</v>
      </c>
      <c r="BF17" s="35" t="s">
        <v>483</v>
      </c>
      <c r="BG17" s="35" t="s">
        <v>484</v>
      </c>
      <c r="BH17" s="35" t="s">
        <v>491</v>
      </c>
      <c r="BI17" s="35">
        <f>'ALLEGATO 1 CONDOMINI'!Q71</f>
        <v>0</v>
      </c>
      <c r="BJ17" s="35">
        <f>'ALLEGATO 1 CONDOMINI'!R71</f>
        <v>0</v>
      </c>
      <c r="BK17" s="35">
        <f>'ALLEGATO 1 CONDOMINI'!S71</f>
        <v>0</v>
      </c>
      <c r="BL17" s="35" t="s">
        <v>492</v>
      </c>
      <c r="BM17" s="35" t="s">
        <v>493</v>
      </c>
      <c r="BN17" s="35">
        <f>'ALLEGATO 1 CONDOMINI'!L71</f>
        <v>0</v>
      </c>
      <c r="BO17" s="35" t="e">
        <f t="shared" si="8"/>
        <v>#N/A</v>
      </c>
      <c r="BP17" s="35">
        <f t="shared" si="9"/>
        <v>0</v>
      </c>
      <c r="BQ17" s="35" t="e">
        <f t="shared" si="10"/>
        <v>#N/A</v>
      </c>
      <c r="BR17" s="35" t="e">
        <f t="shared" si="11"/>
        <v>#N/A</v>
      </c>
      <c r="BS17" s="35">
        <f>'ALLEGATO 1 CONDOMINI'!E71</f>
        <v>0</v>
      </c>
      <c r="BT17" s="35">
        <f>'ALLEGATO 1 CONDOMINI'!F71</f>
        <v>0</v>
      </c>
      <c r="BV17" s="35" t="s">
        <v>20787</v>
      </c>
      <c r="CC17" s="35" t="s">
        <v>20779</v>
      </c>
      <c r="CQ17" s="35" t="s">
        <v>494</v>
      </c>
      <c r="CS17" s="35">
        <f t="shared" si="12"/>
        <v>0</v>
      </c>
      <c r="CT17" s="35">
        <f t="shared" si="13"/>
        <v>0</v>
      </c>
      <c r="CU17" s="35">
        <f>'ALLEGATO 1 CONDOMINI'!K71</f>
        <v>0</v>
      </c>
      <c r="CV17" s="35" t="s">
        <v>495</v>
      </c>
      <c r="DI17" s="104" t="s">
        <v>20796</v>
      </c>
      <c r="DJ17" s="35" t="e">
        <f>VLOOKUP('ALLEGATO 1 CONDOMINI'!N71,Venditori!B:E,4,FALSE)</f>
        <v>#N/A</v>
      </c>
      <c r="EH17" s="35" t="s">
        <v>485</v>
      </c>
      <c r="EI17" s="35" t="s">
        <v>496</v>
      </c>
      <c r="EJ17" s="35" t="str">
        <f t="shared" si="14"/>
        <v>COND.</v>
      </c>
      <c r="EV17" s="35">
        <v>1</v>
      </c>
      <c r="EW17" s="35">
        <v>1</v>
      </c>
      <c r="EX17" s="35">
        <v>1</v>
      </c>
      <c r="FB17" s="35" t="s">
        <v>497</v>
      </c>
    </row>
    <row r="18" spans="1:158" s="35" customFormat="1" x14ac:dyDescent="0.25">
      <c r="D18" s="35" t="str">
        <f>_xlfn.CONCAT('ALLEGATO 1 CONDOMINI'!B72,'ALLEGATO 1 CONDOMINI'!C72)</f>
        <v>COND.</v>
      </c>
      <c r="F18" s="35">
        <f>'ALLEGATO 1 CONDOMINI'!D72</f>
        <v>0</v>
      </c>
      <c r="K18" s="35" t="s">
        <v>481</v>
      </c>
      <c r="L18" s="35">
        <f>'ALLEGATO 1 CONDOMINI'!P72</f>
        <v>0</v>
      </c>
      <c r="M18" s="35" t="s">
        <v>482</v>
      </c>
      <c r="P18" s="35" t="e">
        <f>VLOOKUP(Q18,'Zone Istat'!A:B,2,FALSE)</f>
        <v>#N/A</v>
      </c>
      <c r="Q18" s="35">
        <f>'ALLEGATO 1 CONDOMINI'!I72</f>
        <v>0</v>
      </c>
      <c r="R18" s="35" t="e">
        <f>VLOOKUP(Q18,'Zone Istat'!A:E,5,FALSE)</f>
        <v>#N/A</v>
      </c>
      <c r="S18" s="35" t="e">
        <f>VLOOKUP(Q18,'Zone Istat'!A:D,4,FALSE)</f>
        <v>#N/A</v>
      </c>
      <c r="T18" s="35">
        <f>'ALLEGATO 1 CONDOMINI'!E72</f>
        <v>0</v>
      </c>
      <c r="U18" s="35">
        <f>'ALLEGATO 1 CONDOMINI'!F72</f>
        <v>0</v>
      </c>
      <c r="V18" s="35">
        <f>'ALLEGATO 1 CONDOMINI'!G72</f>
        <v>0</v>
      </c>
      <c r="W18" s="35" t="s">
        <v>20787</v>
      </c>
      <c r="AA18" s="35" t="s">
        <v>483</v>
      </c>
      <c r="AB18" s="35" t="s">
        <v>484</v>
      </c>
      <c r="AC18" s="35" t="s">
        <v>485</v>
      </c>
      <c r="AD18" s="35" t="s">
        <v>486</v>
      </c>
      <c r="AI18" s="35" t="str">
        <f t="shared" si="6"/>
        <v>COND.</v>
      </c>
      <c r="AK18" s="35" t="s">
        <v>481</v>
      </c>
      <c r="AL18" s="35">
        <f>'ALLEGATO 1 CONDOMINI'!P72</f>
        <v>0</v>
      </c>
      <c r="AM18" s="35" t="s">
        <v>487</v>
      </c>
      <c r="AO18" s="35">
        <v>9904</v>
      </c>
      <c r="AR18" s="35" t="s">
        <v>488</v>
      </c>
      <c r="AS18" s="35" t="s">
        <v>153</v>
      </c>
      <c r="AT18" s="35" t="s">
        <v>489</v>
      </c>
      <c r="AU18" s="35" t="s">
        <v>490</v>
      </c>
      <c r="AV18" s="35" t="str">
        <f t="shared" si="7"/>
        <v/>
      </c>
      <c r="AY18" s="35">
        <v>12</v>
      </c>
      <c r="AZ18" s="35">
        <f>'ALLEGATO 1 CONDOMINI'!O72</f>
        <v>0</v>
      </c>
      <c r="BF18" s="35" t="s">
        <v>483</v>
      </c>
      <c r="BG18" s="35" t="s">
        <v>484</v>
      </c>
      <c r="BH18" s="35" t="s">
        <v>491</v>
      </c>
      <c r="BI18" s="35">
        <f>'ALLEGATO 1 CONDOMINI'!Q72</f>
        <v>0</v>
      </c>
      <c r="BJ18" s="35">
        <f>'ALLEGATO 1 CONDOMINI'!R72</f>
        <v>0</v>
      </c>
      <c r="BK18" s="35">
        <f>'ALLEGATO 1 CONDOMINI'!S72</f>
        <v>0</v>
      </c>
      <c r="BL18" s="35" t="s">
        <v>492</v>
      </c>
      <c r="BM18" s="35" t="s">
        <v>493</v>
      </c>
      <c r="BN18" s="35">
        <f>'ALLEGATO 1 CONDOMINI'!L72</f>
        <v>0</v>
      </c>
      <c r="BO18" s="35" t="e">
        <f t="shared" si="8"/>
        <v>#N/A</v>
      </c>
      <c r="BP18" s="35">
        <f t="shared" si="9"/>
        <v>0</v>
      </c>
      <c r="BQ18" s="35" t="e">
        <f t="shared" si="10"/>
        <v>#N/A</v>
      </c>
      <c r="BR18" s="35" t="e">
        <f t="shared" si="11"/>
        <v>#N/A</v>
      </c>
      <c r="BS18" s="35">
        <f>'ALLEGATO 1 CONDOMINI'!E72</f>
        <v>0</v>
      </c>
      <c r="BT18" s="35">
        <f>'ALLEGATO 1 CONDOMINI'!F72</f>
        <v>0</v>
      </c>
      <c r="BV18" s="35" t="s">
        <v>20787</v>
      </c>
      <c r="CC18" s="35" t="s">
        <v>20779</v>
      </c>
      <c r="CQ18" s="35" t="s">
        <v>494</v>
      </c>
      <c r="CS18" s="35">
        <f t="shared" si="12"/>
        <v>0</v>
      </c>
      <c r="CT18" s="35">
        <f t="shared" si="13"/>
        <v>0</v>
      </c>
      <c r="CU18" s="35">
        <f>'ALLEGATO 1 CONDOMINI'!K72</f>
        <v>0</v>
      </c>
      <c r="CV18" s="35" t="s">
        <v>495</v>
      </c>
      <c r="DI18" s="104" t="s">
        <v>20796</v>
      </c>
      <c r="DJ18" s="35" t="e">
        <f>VLOOKUP('ALLEGATO 1 CONDOMINI'!N72,Venditori!B:E,4,FALSE)</f>
        <v>#N/A</v>
      </c>
      <c r="EH18" s="35" t="s">
        <v>485</v>
      </c>
      <c r="EI18" s="35" t="s">
        <v>496</v>
      </c>
      <c r="EJ18" s="35" t="str">
        <f t="shared" si="14"/>
        <v>COND.</v>
      </c>
      <c r="EV18" s="35">
        <v>1</v>
      </c>
      <c r="EW18" s="35">
        <v>1</v>
      </c>
      <c r="EX18" s="35">
        <v>1</v>
      </c>
      <c r="FB18" s="35" t="s">
        <v>497</v>
      </c>
    </row>
    <row r="19" spans="1:158" s="35" customFormat="1" x14ac:dyDescent="0.25">
      <c r="D19" s="35" t="str">
        <f>_xlfn.CONCAT('ALLEGATO 1 CONDOMINI'!B73,'ALLEGATO 1 CONDOMINI'!C73)</f>
        <v>COND.</v>
      </c>
      <c r="F19" s="35">
        <f>'ALLEGATO 1 CONDOMINI'!D73</f>
        <v>0</v>
      </c>
      <c r="K19" s="35" t="s">
        <v>481</v>
      </c>
      <c r="L19" s="35">
        <f>'ALLEGATO 1 CONDOMINI'!P73</f>
        <v>0</v>
      </c>
      <c r="M19" s="35" t="s">
        <v>482</v>
      </c>
      <c r="P19" s="35" t="e">
        <f>VLOOKUP(Q19,'Zone Istat'!A:B,2,FALSE)</f>
        <v>#N/A</v>
      </c>
      <c r="Q19" s="35">
        <f>'ALLEGATO 1 CONDOMINI'!I73</f>
        <v>0</v>
      </c>
      <c r="R19" s="35" t="e">
        <f>VLOOKUP(Q19,'Zone Istat'!A:E,5,FALSE)</f>
        <v>#N/A</v>
      </c>
      <c r="S19" s="35" t="e">
        <f>VLOOKUP(Q19,'Zone Istat'!A:D,4,FALSE)</f>
        <v>#N/A</v>
      </c>
      <c r="T19" s="35">
        <f>'ALLEGATO 1 CONDOMINI'!E73</f>
        <v>0</v>
      </c>
      <c r="U19" s="35">
        <f>'ALLEGATO 1 CONDOMINI'!F73</f>
        <v>0</v>
      </c>
      <c r="V19" s="35">
        <f>'ALLEGATO 1 CONDOMINI'!G73</f>
        <v>0</v>
      </c>
      <c r="W19" s="35" t="s">
        <v>20787</v>
      </c>
      <c r="AA19" s="35" t="s">
        <v>483</v>
      </c>
      <c r="AB19" s="35" t="s">
        <v>484</v>
      </c>
      <c r="AC19" s="35" t="s">
        <v>485</v>
      </c>
      <c r="AD19" s="35" t="s">
        <v>486</v>
      </c>
      <c r="AI19" s="35" t="str">
        <f t="shared" si="6"/>
        <v>COND.</v>
      </c>
      <c r="AK19" s="35" t="s">
        <v>481</v>
      </c>
      <c r="AL19" s="35">
        <f>'ALLEGATO 1 CONDOMINI'!P73</f>
        <v>0</v>
      </c>
      <c r="AM19" s="35" t="s">
        <v>487</v>
      </c>
      <c r="AO19" s="35">
        <v>9904</v>
      </c>
      <c r="AR19" s="35" t="s">
        <v>488</v>
      </c>
      <c r="AS19" s="35" t="s">
        <v>153</v>
      </c>
      <c r="AT19" s="35" t="s">
        <v>489</v>
      </c>
      <c r="AU19" s="35" t="s">
        <v>490</v>
      </c>
      <c r="AV19" s="35" t="str">
        <f t="shared" si="7"/>
        <v/>
      </c>
      <c r="AY19" s="35">
        <v>12</v>
      </c>
      <c r="AZ19" s="35">
        <f>'ALLEGATO 1 CONDOMINI'!O73</f>
        <v>0</v>
      </c>
      <c r="BF19" s="35" t="s">
        <v>483</v>
      </c>
      <c r="BG19" s="35" t="s">
        <v>484</v>
      </c>
      <c r="BH19" s="35" t="s">
        <v>491</v>
      </c>
      <c r="BI19" s="35">
        <f>'ALLEGATO 1 CONDOMINI'!Q73</f>
        <v>0</v>
      </c>
      <c r="BJ19" s="35">
        <f>'ALLEGATO 1 CONDOMINI'!R73</f>
        <v>0</v>
      </c>
      <c r="BK19" s="35">
        <f>'ALLEGATO 1 CONDOMINI'!S73</f>
        <v>0</v>
      </c>
      <c r="BL19" s="35" t="s">
        <v>492</v>
      </c>
      <c r="BM19" s="35" t="s">
        <v>493</v>
      </c>
      <c r="BN19" s="35">
        <f>'ALLEGATO 1 CONDOMINI'!L73</f>
        <v>0</v>
      </c>
      <c r="BO19" s="35" t="e">
        <f t="shared" si="8"/>
        <v>#N/A</v>
      </c>
      <c r="BP19" s="35">
        <f t="shared" si="9"/>
        <v>0</v>
      </c>
      <c r="BQ19" s="35" t="e">
        <f t="shared" si="10"/>
        <v>#N/A</v>
      </c>
      <c r="BR19" s="35" t="e">
        <f t="shared" si="11"/>
        <v>#N/A</v>
      </c>
      <c r="BS19" s="35">
        <f>'ALLEGATO 1 CONDOMINI'!E73</f>
        <v>0</v>
      </c>
      <c r="BT19" s="35">
        <f>'ALLEGATO 1 CONDOMINI'!F73</f>
        <v>0</v>
      </c>
      <c r="BV19" s="35" t="s">
        <v>20787</v>
      </c>
      <c r="CC19" s="35" t="s">
        <v>20779</v>
      </c>
      <c r="CQ19" s="35" t="s">
        <v>494</v>
      </c>
      <c r="CS19" s="35">
        <f t="shared" si="12"/>
        <v>0</v>
      </c>
      <c r="CT19" s="35">
        <f t="shared" si="13"/>
        <v>0</v>
      </c>
      <c r="CU19" s="35">
        <f>'ALLEGATO 1 CONDOMINI'!K73</f>
        <v>0</v>
      </c>
      <c r="CV19" s="35" t="s">
        <v>495</v>
      </c>
      <c r="DI19" s="104" t="s">
        <v>20796</v>
      </c>
      <c r="DJ19" s="35" t="e">
        <f>VLOOKUP('ALLEGATO 1 CONDOMINI'!N73,Venditori!B:E,4,FALSE)</f>
        <v>#N/A</v>
      </c>
      <c r="EH19" s="35" t="s">
        <v>485</v>
      </c>
      <c r="EI19" s="35" t="s">
        <v>496</v>
      </c>
      <c r="EJ19" s="35" t="str">
        <f t="shared" si="14"/>
        <v>COND.</v>
      </c>
      <c r="EV19" s="35">
        <v>1</v>
      </c>
      <c r="EW19" s="35">
        <v>1</v>
      </c>
      <c r="EX19" s="35">
        <v>1</v>
      </c>
      <c r="FB19" s="35" t="s">
        <v>497</v>
      </c>
    </row>
    <row r="20" spans="1:158" s="35" customFormat="1" x14ac:dyDescent="0.25">
      <c r="D20" s="35" t="str">
        <f>_xlfn.CONCAT('ALLEGATO 1 CONDOMINI'!B74,'ALLEGATO 1 CONDOMINI'!C74)</f>
        <v>COND.</v>
      </c>
      <c r="F20" s="35">
        <f>'ALLEGATO 1 CONDOMINI'!D74</f>
        <v>0</v>
      </c>
      <c r="K20" s="35" t="s">
        <v>481</v>
      </c>
      <c r="L20" s="35">
        <f>'ALLEGATO 1 CONDOMINI'!P74</f>
        <v>0</v>
      </c>
      <c r="M20" s="35" t="s">
        <v>482</v>
      </c>
      <c r="P20" s="35" t="e">
        <f>VLOOKUP(Q20,'Zone Istat'!A:B,2,FALSE)</f>
        <v>#N/A</v>
      </c>
      <c r="Q20" s="35">
        <f>'ALLEGATO 1 CONDOMINI'!I74</f>
        <v>0</v>
      </c>
      <c r="R20" s="35" t="e">
        <f>VLOOKUP(Q20,'Zone Istat'!A:E,5,FALSE)</f>
        <v>#N/A</v>
      </c>
      <c r="S20" s="35" t="e">
        <f>VLOOKUP(Q20,'Zone Istat'!A:D,4,FALSE)</f>
        <v>#N/A</v>
      </c>
      <c r="T20" s="35">
        <f>'ALLEGATO 1 CONDOMINI'!E74</f>
        <v>0</v>
      </c>
      <c r="U20" s="35">
        <f>'ALLEGATO 1 CONDOMINI'!F74</f>
        <v>0</v>
      </c>
      <c r="V20" s="35">
        <f>'ALLEGATO 1 CONDOMINI'!G74</f>
        <v>0</v>
      </c>
      <c r="W20" s="35" t="s">
        <v>20787</v>
      </c>
      <c r="AA20" s="35" t="s">
        <v>483</v>
      </c>
      <c r="AB20" s="35" t="s">
        <v>484</v>
      </c>
      <c r="AC20" s="35" t="s">
        <v>485</v>
      </c>
      <c r="AD20" s="35" t="s">
        <v>486</v>
      </c>
      <c r="AI20" s="35" t="str">
        <f t="shared" si="6"/>
        <v>COND.</v>
      </c>
      <c r="AK20" s="35" t="s">
        <v>481</v>
      </c>
      <c r="AL20" s="35">
        <f>'ALLEGATO 1 CONDOMINI'!P74</f>
        <v>0</v>
      </c>
      <c r="AM20" s="35" t="s">
        <v>487</v>
      </c>
      <c r="AO20" s="35">
        <v>9904</v>
      </c>
      <c r="AR20" s="35" t="s">
        <v>488</v>
      </c>
      <c r="AS20" s="35" t="s">
        <v>153</v>
      </c>
      <c r="AT20" s="35" t="s">
        <v>489</v>
      </c>
      <c r="AU20" s="35" t="s">
        <v>490</v>
      </c>
      <c r="AV20" s="35" t="str">
        <f t="shared" si="7"/>
        <v/>
      </c>
      <c r="AY20" s="35">
        <v>12</v>
      </c>
      <c r="AZ20" s="35">
        <f>'ALLEGATO 1 CONDOMINI'!O74</f>
        <v>0</v>
      </c>
      <c r="BF20" s="35" t="s">
        <v>483</v>
      </c>
      <c r="BG20" s="35" t="s">
        <v>484</v>
      </c>
      <c r="BH20" s="35" t="s">
        <v>491</v>
      </c>
      <c r="BI20" s="35">
        <f>'ALLEGATO 1 CONDOMINI'!Q74</f>
        <v>0</v>
      </c>
      <c r="BJ20" s="35">
        <f>'ALLEGATO 1 CONDOMINI'!R74</f>
        <v>0</v>
      </c>
      <c r="BK20" s="35">
        <f>'ALLEGATO 1 CONDOMINI'!S74</f>
        <v>0</v>
      </c>
      <c r="BL20" s="35" t="s">
        <v>492</v>
      </c>
      <c r="BM20" s="35" t="s">
        <v>493</v>
      </c>
      <c r="BN20" s="35">
        <f>'ALLEGATO 1 CONDOMINI'!L74</f>
        <v>0</v>
      </c>
      <c r="BO20" s="35" t="e">
        <f t="shared" si="8"/>
        <v>#N/A</v>
      </c>
      <c r="BP20" s="35">
        <f t="shared" si="9"/>
        <v>0</v>
      </c>
      <c r="BQ20" s="35" t="e">
        <f t="shared" si="10"/>
        <v>#N/A</v>
      </c>
      <c r="BR20" s="35" t="e">
        <f t="shared" si="11"/>
        <v>#N/A</v>
      </c>
      <c r="BS20" s="35">
        <f>'ALLEGATO 1 CONDOMINI'!E74</f>
        <v>0</v>
      </c>
      <c r="BT20" s="35">
        <f>'ALLEGATO 1 CONDOMINI'!F74</f>
        <v>0</v>
      </c>
      <c r="BV20" s="35" t="s">
        <v>20787</v>
      </c>
      <c r="CC20" s="35" t="s">
        <v>20779</v>
      </c>
      <c r="CQ20" s="35" t="s">
        <v>494</v>
      </c>
      <c r="CS20" s="35">
        <f t="shared" si="12"/>
        <v>0</v>
      </c>
      <c r="CT20" s="35">
        <f t="shared" si="13"/>
        <v>0</v>
      </c>
      <c r="CU20" s="35">
        <f>'ALLEGATO 1 CONDOMINI'!K74</f>
        <v>0</v>
      </c>
      <c r="CV20" s="35" t="s">
        <v>495</v>
      </c>
      <c r="DI20" s="104" t="s">
        <v>20796</v>
      </c>
      <c r="DJ20" s="35" t="e">
        <f>VLOOKUP('ALLEGATO 1 CONDOMINI'!N74,Venditori!B:E,4,FALSE)</f>
        <v>#N/A</v>
      </c>
      <c r="EH20" s="35" t="s">
        <v>485</v>
      </c>
      <c r="EI20" s="35" t="s">
        <v>496</v>
      </c>
      <c r="EJ20" s="35" t="str">
        <f t="shared" si="14"/>
        <v>COND.</v>
      </c>
      <c r="EV20" s="35">
        <v>1</v>
      </c>
      <c r="EW20" s="35">
        <v>1</v>
      </c>
      <c r="EX20" s="35">
        <v>1</v>
      </c>
      <c r="FB20" s="35" t="s">
        <v>497</v>
      </c>
    </row>
    <row r="21" spans="1:158" s="35" customFormat="1" x14ac:dyDescent="0.25">
      <c r="D21" s="35" t="str">
        <f>_xlfn.CONCAT('ALLEGATO 1 CONDOMINI'!B75,'ALLEGATO 1 CONDOMINI'!C75)</f>
        <v>COND.</v>
      </c>
      <c r="F21" s="35">
        <f>'ALLEGATO 1 CONDOMINI'!D75</f>
        <v>0</v>
      </c>
      <c r="K21" s="35" t="s">
        <v>481</v>
      </c>
      <c r="L21" s="35">
        <f>'ALLEGATO 1 CONDOMINI'!P75</f>
        <v>0</v>
      </c>
      <c r="M21" s="35" t="s">
        <v>482</v>
      </c>
      <c r="P21" s="35" t="e">
        <f>VLOOKUP(Q21,'Zone Istat'!A:B,2,FALSE)</f>
        <v>#N/A</v>
      </c>
      <c r="Q21" s="35">
        <f>'ALLEGATO 1 CONDOMINI'!I75</f>
        <v>0</v>
      </c>
      <c r="R21" s="35" t="e">
        <f>VLOOKUP(Q21,'Zone Istat'!A:E,5,FALSE)</f>
        <v>#N/A</v>
      </c>
      <c r="S21" s="35" t="e">
        <f>VLOOKUP(Q21,'Zone Istat'!A:D,4,FALSE)</f>
        <v>#N/A</v>
      </c>
      <c r="T21" s="35">
        <f>'ALLEGATO 1 CONDOMINI'!E75</f>
        <v>0</v>
      </c>
      <c r="U21" s="35">
        <f>'ALLEGATO 1 CONDOMINI'!F75</f>
        <v>0</v>
      </c>
      <c r="V21" s="35">
        <f>'ALLEGATO 1 CONDOMINI'!G75</f>
        <v>0</v>
      </c>
      <c r="W21" s="35" t="s">
        <v>20787</v>
      </c>
      <c r="AA21" s="35" t="s">
        <v>483</v>
      </c>
      <c r="AB21" s="35" t="s">
        <v>484</v>
      </c>
      <c r="AC21" s="35" t="s">
        <v>485</v>
      </c>
      <c r="AD21" s="35" t="s">
        <v>486</v>
      </c>
      <c r="AI21" s="35" t="str">
        <f t="shared" si="6"/>
        <v>COND.</v>
      </c>
      <c r="AK21" s="35" t="s">
        <v>481</v>
      </c>
      <c r="AL21" s="35">
        <f>'ALLEGATO 1 CONDOMINI'!P75</f>
        <v>0</v>
      </c>
      <c r="AM21" s="35" t="s">
        <v>487</v>
      </c>
      <c r="AO21" s="35">
        <v>9904</v>
      </c>
      <c r="AR21" s="35" t="s">
        <v>488</v>
      </c>
      <c r="AS21" s="35" t="s">
        <v>153</v>
      </c>
      <c r="AT21" s="35" t="s">
        <v>489</v>
      </c>
      <c r="AU21" s="35" t="s">
        <v>490</v>
      </c>
      <c r="AV21" s="35" t="str">
        <f t="shared" si="7"/>
        <v/>
      </c>
      <c r="AY21" s="35">
        <v>12</v>
      </c>
      <c r="AZ21" s="35">
        <f>'ALLEGATO 1 CONDOMINI'!O75</f>
        <v>0</v>
      </c>
      <c r="BF21" s="35" t="s">
        <v>483</v>
      </c>
      <c r="BG21" s="35" t="s">
        <v>484</v>
      </c>
      <c r="BH21" s="35" t="s">
        <v>491</v>
      </c>
      <c r="BI21" s="35">
        <f>'ALLEGATO 1 CONDOMINI'!Q75</f>
        <v>0</v>
      </c>
      <c r="BJ21" s="35">
        <f>'ALLEGATO 1 CONDOMINI'!R75</f>
        <v>0</v>
      </c>
      <c r="BK21" s="35">
        <f>'ALLEGATO 1 CONDOMINI'!S75</f>
        <v>0</v>
      </c>
      <c r="BL21" s="35" t="s">
        <v>492</v>
      </c>
      <c r="BM21" s="35" t="s">
        <v>493</v>
      </c>
      <c r="BN21" s="35">
        <f>'ALLEGATO 1 CONDOMINI'!L75</f>
        <v>0</v>
      </c>
      <c r="BO21" s="35" t="e">
        <f t="shared" si="8"/>
        <v>#N/A</v>
      </c>
      <c r="BP21" s="35">
        <f t="shared" si="9"/>
        <v>0</v>
      </c>
      <c r="BQ21" s="35" t="e">
        <f t="shared" si="10"/>
        <v>#N/A</v>
      </c>
      <c r="BR21" s="35" t="e">
        <f t="shared" si="11"/>
        <v>#N/A</v>
      </c>
      <c r="BS21" s="35">
        <f>'ALLEGATO 1 CONDOMINI'!E75</f>
        <v>0</v>
      </c>
      <c r="BT21" s="35">
        <f>'ALLEGATO 1 CONDOMINI'!F75</f>
        <v>0</v>
      </c>
      <c r="BV21" s="35" t="s">
        <v>20787</v>
      </c>
      <c r="CC21" s="35" t="s">
        <v>20779</v>
      </c>
      <c r="CQ21" s="35" t="s">
        <v>494</v>
      </c>
      <c r="CS21" s="35">
        <f t="shared" si="12"/>
        <v>0</v>
      </c>
      <c r="CT21" s="35">
        <f t="shared" si="13"/>
        <v>0</v>
      </c>
      <c r="CU21" s="35">
        <f>'ALLEGATO 1 CONDOMINI'!K75</f>
        <v>0</v>
      </c>
      <c r="CV21" s="35" t="s">
        <v>495</v>
      </c>
      <c r="DI21" s="104" t="s">
        <v>20796</v>
      </c>
      <c r="DJ21" s="35" t="e">
        <f>VLOOKUP('ALLEGATO 1 CONDOMINI'!N75,Venditori!B:E,4,FALSE)</f>
        <v>#N/A</v>
      </c>
      <c r="EH21" s="35" t="s">
        <v>485</v>
      </c>
      <c r="EI21" s="35" t="s">
        <v>496</v>
      </c>
      <c r="EJ21" s="35" t="str">
        <f t="shared" si="14"/>
        <v>COND.</v>
      </c>
      <c r="EV21" s="35">
        <v>1</v>
      </c>
      <c r="EW21" s="35">
        <v>1</v>
      </c>
      <c r="EX21" s="35">
        <v>1</v>
      </c>
      <c r="FB21" s="35" t="s">
        <v>497</v>
      </c>
    </row>
    <row r="22" spans="1:158" s="35" customFormat="1" x14ac:dyDescent="0.25">
      <c r="D22" s="35" t="str">
        <f>_xlfn.CONCAT('ALLEGATO 1 CONDOMINI'!B76,'ALLEGATO 1 CONDOMINI'!C76)</f>
        <v/>
      </c>
      <c r="F22" s="35">
        <f>'ALLEGATO 1 CONDOMINI'!D76</f>
        <v>0</v>
      </c>
      <c r="K22" s="35" t="s">
        <v>481</v>
      </c>
      <c r="L22" s="35">
        <f>'ALLEGATO 1 CONDOMINI'!P76</f>
        <v>0</v>
      </c>
      <c r="M22" s="35" t="s">
        <v>482</v>
      </c>
      <c r="P22" s="35" t="e">
        <f>VLOOKUP(Q22,'Zone Istat'!A:B,2,FALSE)</f>
        <v>#N/A</v>
      </c>
      <c r="Q22" s="35">
        <f>'ALLEGATO 1 CONDOMINI'!I76</f>
        <v>0</v>
      </c>
      <c r="R22" s="35" t="e">
        <f>VLOOKUP(Q22,'Zone Istat'!A:E,5,FALSE)</f>
        <v>#N/A</v>
      </c>
      <c r="S22" s="35" t="e">
        <f>VLOOKUP(Q22,'Zone Istat'!A:D,4,FALSE)</f>
        <v>#N/A</v>
      </c>
      <c r="T22" s="35">
        <f>'ALLEGATO 1 CONDOMINI'!E76</f>
        <v>0</v>
      </c>
      <c r="U22" s="35">
        <f>'ALLEGATO 1 CONDOMINI'!F76</f>
        <v>0</v>
      </c>
      <c r="V22" s="35">
        <f>'ALLEGATO 1 CONDOMINI'!G76</f>
        <v>0</v>
      </c>
      <c r="W22" s="35" t="s">
        <v>20787</v>
      </c>
      <c r="AA22" s="35" t="s">
        <v>483</v>
      </c>
      <c r="AB22" s="35" t="s">
        <v>484</v>
      </c>
      <c r="AC22" s="35" t="s">
        <v>485</v>
      </c>
      <c r="AD22" s="35" t="s">
        <v>486</v>
      </c>
      <c r="AI22" s="35" t="str">
        <f t="shared" si="6"/>
        <v/>
      </c>
      <c r="AK22" s="35" t="s">
        <v>481</v>
      </c>
      <c r="AL22" s="35">
        <f>'ALLEGATO 1 CONDOMINI'!P76</f>
        <v>0</v>
      </c>
      <c r="AM22" s="35" t="s">
        <v>487</v>
      </c>
      <c r="AO22" s="35">
        <v>9904</v>
      </c>
      <c r="AR22" s="35" t="s">
        <v>488</v>
      </c>
      <c r="AS22" s="35" t="s">
        <v>153</v>
      </c>
      <c r="AT22" s="35" t="s">
        <v>489</v>
      </c>
      <c r="AU22" s="35" t="s">
        <v>490</v>
      </c>
      <c r="AV22" s="35" t="str">
        <f t="shared" si="7"/>
        <v/>
      </c>
      <c r="AY22" s="35">
        <v>12</v>
      </c>
      <c r="AZ22" s="35">
        <f>'ALLEGATO 1 CONDOMINI'!O76</f>
        <v>0</v>
      </c>
      <c r="BF22" s="35" t="s">
        <v>483</v>
      </c>
      <c r="BG22" s="35" t="s">
        <v>484</v>
      </c>
      <c r="BH22" s="35" t="s">
        <v>491</v>
      </c>
      <c r="BI22" s="35">
        <f>'ALLEGATO 1 CONDOMINI'!Q76</f>
        <v>0</v>
      </c>
      <c r="BJ22" s="35">
        <f>'ALLEGATO 1 CONDOMINI'!R76</f>
        <v>0</v>
      </c>
      <c r="BK22" s="35">
        <f>'ALLEGATO 1 CONDOMINI'!S76</f>
        <v>0</v>
      </c>
      <c r="BL22" s="35" t="s">
        <v>492</v>
      </c>
      <c r="BM22" s="35" t="s">
        <v>493</v>
      </c>
      <c r="BN22" s="35">
        <f>'ALLEGATO 1 CONDOMINI'!L76</f>
        <v>0</v>
      </c>
      <c r="BO22" s="35" t="e">
        <f t="shared" si="8"/>
        <v>#N/A</v>
      </c>
      <c r="BP22" s="35">
        <f t="shared" si="9"/>
        <v>0</v>
      </c>
      <c r="BQ22" s="35" t="e">
        <f t="shared" si="10"/>
        <v>#N/A</v>
      </c>
      <c r="BR22" s="35" t="e">
        <f t="shared" si="11"/>
        <v>#N/A</v>
      </c>
      <c r="BS22" s="35">
        <f>'ALLEGATO 1 CONDOMINI'!E76</f>
        <v>0</v>
      </c>
      <c r="BT22" s="35">
        <f>'ALLEGATO 1 CONDOMINI'!F76</f>
        <v>0</v>
      </c>
      <c r="BV22" s="35" t="s">
        <v>20787</v>
      </c>
      <c r="CC22" s="35" t="s">
        <v>20779</v>
      </c>
      <c r="CQ22" s="35" t="s">
        <v>494</v>
      </c>
      <c r="CS22" s="35">
        <f t="shared" si="12"/>
        <v>0</v>
      </c>
      <c r="CT22" s="35">
        <f t="shared" si="13"/>
        <v>0</v>
      </c>
      <c r="CU22" s="35">
        <f>'ALLEGATO 1 CONDOMINI'!K76</f>
        <v>0</v>
      </c>
      <c r="CV22" s="35" t="s">
        <v>495</v>
      </c>
      <c r="CW22" s="35">
        <v>45139</v>
      </c>
      <c r="DI22" s="104" t="s">
        <v>20796</v>
      </c>
      <c r="DJ22" s="35" t="e">
        <f>VLOOKUP('ALLEGATO 1 CONDOMINI'!N76,Venditori!B:E,4,FALSE)</f>
        <v>#N/A</v>
      </c>
      <c r="EH22" s="35" t="s">
        <v>485</v>
      </c>
      <c r="EI22" s="35" t="s">
        <v>496</v>
      </c>
      <c r="EJ22" s="35" t="str">
        <f t="shared" si="14"/>
        <v/>
      </c>
      <c r="EV22" s="35">
        <v>1</v>
      </c>
      <c r="EW22" s="35">
        <v>1</v>
      </c>
      <c r="EX22" s="35">
        <v>1</v>
      </c>
      <c r="FB22" s="35" t="s">
        <v>497</v>
      </c>
    </row>
    <row r="23" spans="1:158" s="35" customFormat="1" x14ac:dyDescent="0.25">
      <c r="D23" s="35" t="str">
        <f>_xlfn.CONCAT('ALLEGATO 1 CONDOMINI'!B77,'ALLEGATO 1 CONDOMINI'!C77)</f>
        <v/>
      </c>
      <c r="F23" s="35">
        <f>'ALLEGATO 1 CONDOMINI'!D77</f>
        <v>0</v>
      </c>
      <c r="K23" s="35" t="s">
        <v>481</v>
      </c>
      <c r="L23" s="35">
        <f>'ALLEGATO 1 CONDOMINI'!P77</f>
        <v>0</v>
      </c>
      <c r="M23" s="35" t="s">
        <v>482</v>
      </c>
      <c r="P23" s="35" t="e">
        <f>VLOOKUP(Q23,'Zone Istat'!A:B,2,FALSE)</f>
        <v>#N/A</v>
      </c>
      <c r="Q23" s="35">
        <f>'ALLEGATO 1 CONDOMINI'!I77</f>
        <v>0</v>
      </c>
      <c r="R23" s="35" t="e">
        <f>VLOOKUP(Q23,'Zone Istat'!A:E,5,FALSE)</f>
        <v>#N/A</v>
      </c>
      <c r="S23" s="35" t="e">
        <f>VLOOKUP(Q23,'Zone Istat'!A:D,4,FALSE)</f>
        <v>#N/A</v>
      </c>
      <c r="T23" s="35">
        <f>'ALLEGATO 1 CONDOMINI'!E77</f>
        <v>0</v>
      </c>
      <c r="U23" s="35">
        <f>'ALLEGATO 1 CONDOMINI'!F77</f>
        <v>0</v>
      </c>
      <c r="V23" s="35">
        <f>'ALLEGATO 1 CONDOMINI'!G77</f>
        <v>0</v>
      </c>
      <c r="W23" s="35" t="s">
        <v>20787</v>
      </c>
      <c r="AA23" s="35" t="s">
        <v>483</v>
      </c>
      <c r="AB23" s="35" t="s">
        <v>484</v>
      </c>
      <c r="AC23" s="35" t="s">
        <v>485</v>
      </c>
      <c r="AD23" s="35" t="s">
        <v>486</v>
      </c>
      <c r="AI23" s="35" t="str">
        <f t="shared" si="6"/>
        <v/>
      </c>
      <c r="AK23" s="35" t="s">
        <v>481</v>
      </c>
      <c r="AL23" s="35">
        <f>'ALLEGATO 1 CONDOMINI'!P77</f>
        <v>0</v>
      </c>
      <c r="AM23" s="35" t="s">
        <v>487</v>
      </c>
      <c r="AN23" s="35" t="s">
        <v>20788</v>
      </c>
      <c r="AO23" s="35">
        <v>9904</v>
      </c>
      <c r="AR23" s="35" t="s">
        <v>488</v>
      </c>
      <c r="AS23" s="35" t="s">
        <v>153</v>
      </c>
      <c r="AT23" s="35" t="s">
        <v>489</v>
      </c>
      <c r="AU23" s="35" t="s">
        <v>490</v>
      </c>
      <c r="AV23" s="35" t="str">
        <f t="shared" si="7"/>
        <v/>
      </c>
      <c r="AY23" s="35">
        <v>12</v>
      </c>
      <c r="AZ23" s="35">
        <f>'ALLEGATO 1 CONDOMINI'!O77</f>
        <v>0</v>
      </c>
      <c r="BF23" s="35" t="s">
        <v>483</v>
      </c>
      <c r="BG23" s="35" t="s">
        <v>484</v>
      </c>
      <c r="BH23" s="35" t="s">
        <v>491</v>
      </c>
      <c r="BI23" s="35">
        <f>'ALLEGATO 1 CONDOMINI'!Q77</f>
        <v>0</v>
      </c>
      <c r="BJ23" s="35">
        <f>'ALLEGATO 1 CONDOMINI'!R77</f>
        <v>0</v>
      </c>
      <c r="BK23" s="35">
        <f>'ALLEGATO 1 CONDOMINI'!S77</f>
        <v>0</v>
      </c>
      <c r="BL23" s="35" t="s">
        <v>492</v>
      </c>
      <c r="BM23" s="35" t="s">
        <v>493</v>
      </c>
      <c r="BN23" s="35">
        <f>'ALLEGATO 1 CONDOMINI'!L77</f>
        <v>0</v>
      </c>
      <c r="BO23" s="35" t="e">
        <f t="shared" si="8"/>
        <v>#N/A</v>
      </c>
      <c r="BP23" s="35">
        <f t="shared" si="9"/>
        <v>0</v>
      </c>
      <c r="BQ23" s="35" t="e">
        <f t="shared" si="10"/>
        <v>#N/A</v>
      </c>
      <c r="BR23" s="35" t="e">
        <f t="shared" si="11"/>
        <v>#N/A</v>
      </c>
      <c r="BS23" s="35">
        <f>'ALLEGATO 1 CONDOMINI'!E77</f>
        <v>0</v>
      </c>
      <c r="BT23" s="35">
        <f>'ALLEGATO 1 CONDOMINI'!F77</f>
        <v>0</v>
      </c>
      <c r="BV23" s="35" t="s">
        <v>20787</v>
      </c>
      <c r="CC23" s="35" t="s">
        <v>20779</v>
      </c>
      <c r="CQ23" s="35" t="s">
        <v>494</v>
      </c>
      <c r="CS23" s="35">
        <f t="shared" si="12"/>
        <v>0</v>
      </c>
      <c r="CT23" s="35">
        <f t="shared" si="13"/>
        <v>0</v>
      </c>
      <c r="CU23" s="35">
        <f>'ALLEGATO 1 CONDOMINI'!K77</f>
        <v>0</v>
      </c>
      <c r="CV23" s="35" t="s">
        <v>495</v>
      </c>
      <c r="CW23" s="35">
        <v>45139</v>
      </c>
      <c r="DI23" s="104" t="s">
        <v>20796</v>
      </c>
      <c r="DJ23" s="35" t="e">
        <f>VLOOKUP('ALLEGATO 1 CONDOMINI'!N77,Venditori!B:E,4,FALSE)</f>
        <v>#N/A</v>
      </c>
      <c r="EH23" s="35" t="s">
        <v>485</v>
      </c>
      <c r="EI23" s="35" t="s">
        <v>496</v>
      </c>
      <c r="EJ23" s="35" t="str">
        <f t="shared" si="14"/>
        <v/>
      </c>
      <c r="EV23" s="35">
        <v>1</v>
      </c>
      <c r="EW23" s="35">
        <v>1</v>
      </c>
      <c r="EX23" s="35">
        <v>1</v>
      </c>
      <c r="FB23" s="35" t="s">
        <v>497</v>
      </c>
    </row>
    <row r="26" spans="1:158" x14ac:dyDescent="0.25">
      <c r="A26" s="124" t="s">
        <v>498</v>
      </c>
      <c r="B26" s="93" t="s">
        <v>499</v>
      </c>
    </row>
    <row r="27" spans="1:158" x14ac:dyDescent="0.25">
      <c r="A27" s="126" t="s">
        <v>500</v>
      </c>
      <c r="B27" s="93" t="s">
        <v>501</v>
      </c>
    </row>
    <row r="28" spans="1:158" x14ac:dyDescent="0.25">
      <c r="A28" s="127" t="s">
        <v>502</v>
      </c>
      <c r="B28" s="93" t="s">
        <v>503</v>
      </c>
    </row>
    <row r="29" spans="1:158" x14ac:dyDescent="0.25">
      <c r="A29" s="128" t="s">
        <v>504</v>
      </c>
      <c r="B29" s="93" t="s">
        <v>505</v>
      </c>
    </row>
  </sheetData>
  <hyperlinks>
    <hyperlink ref="CF4:CF22" r:id="rId1" display="arena_antonia@fastwebnet.it" xr:uid="{387CC4E8-8182-4D66-A3C8-614343C479F9}"/>
    <hyperlink ref="I4:I22" r:id="rId2" display="arena_antonia@fastwebnet.it" xr:uid="{BBEB2AD7-B460-4880-B2E1-4863AAEC4FE3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D74B-A397-4F05-97DE-1AB4693D6502}">
  <dimension ref="A1:E7905"/>
  <sheetViews>
    <sheetView topLeftCell="A52" workbookViewId="0">
      <selection activeCell="FS42" sqref="FS42"/>
    </sheetView>
  </sheetViews>
  <sheetFormatPr defaultRowHeight="12.75" x14ac:dyDescent="0.2"/>
  <sheetData>
    <row r="1" spans="1:5" x14ac:dyDescent="0.2">
      <c r="A1" t="s">
        <v>10</v>
      </c>
      <c r="B1" t="s">
        <v>113</v>
      </c>
      <c r="C1" t="s">
        <v>508</v>
      </c>
      <c r="D1" t="s">
        <v>509</v>
      </c>
      <c r="E1" t="s">
        <v>510</v>
      </c>
    </row>
    <row r="2" spans="1:5" x14ac:dyDescent="0.2">
      <c r="A2" t="s">
        <v>511</v>
      </c>
      <c r="B2" t="s">
        <v>512</v>
      </c>
      <c r="C2" t="s">
        <v>513</v>
      </c>
      <c r="D2" t="s">
        <v>513</v>
      </c>
      <c r="E2" t="s">
        <v>514</v>
      </c>
    </row>
    <row r="3" spans="1:5" x14ac:dyDescent="0.2">
      <c r="A3" t="s">
        <v>515</v>
      </c>
      <c r="B3" t="s">
        <v>516</v>
      </c>
      <c r="C3" t="s">
        <v>513</v>
      </c>
      <c r="D3" t="s">
        <v>513</v>
      </c>
      <c r="E3" t="s">
        <v>517</v>
      </c>
    </row>
    <row r="4" spans="1:5" x14ac:dyDescent="0.2">
      <c r="A4" t="s">
        <v>518</v>
      </c>
      <c r="B4" t="s">
        <v>519</v>
      </c>
      <c r="C4" t="s">
        <v>513</v>
      </c>
      <c r="D4" t="s">
        <v>513</v>
      </c>
      <c r="E4" t="s">
        <v>520</v>
      </c>
    </row>
    <row r="5" spans="1:5" x14ac:dyDescent="0.2">
      <c r="A5" t="s">
        <v>521</v>
      </c>
      <c r="B5" t="s">
        <v>522</v>
      </c>
      <c r="C5" t="s">
        <v>513</v>
      </c>
      <c r="D5" t="s">
        <v>513</v>
      </c>
      <c r="E5" t="s">
        <v>523</v>
      </c>
    </row>
    <row r="6" spans="1:5" x14ac:dyDescent="0.2">
      <c r="A6" t="s">
        <v>524</v>
      </c>
      <c r="B6" t="s">
        <v>525</v>
      </c>
      <c r="C6" t="s">
        <v>513</v>
      </c>
      <c r="D6" t="s">
        <v>513</v>
      </c>
      <c r="E6" t="s">
        <v>526</v>
      </c>
    </row>
    <row r="7" spans="1:5" x14ac:dyDescent="0.2">
      <c r="A7" t="s">
        <v>527</v>
      </c>
      <c r="B7" t="s">
        <v>528</v>
      </c>
      <c r="C7" t="s">
        <v>513</v>
      </c>
      <c r="D7" t="s">
        <v>513</v>
      </c>
      <c r="E7" t="s">
        <v>529</v>
      </c>
    </row>
    <row r="8" spans="1:5" x14ac:dyDescent="0.2">
      <c r="A8" t="s">
        <v>530</v>
      </c>
      <c r="B8" t="s">
        <v>531</v>
      </c>
      <c r="C8" t="s">
        <v>513</v>
      </c>
      <c r="D8" t="s">
        <v>513</v>
      </c>
      <c r="E8" t="s">
        <v>532</v>
      </c>
    </row>
    <row r="9" spans="1:5" x14ac:dyDescent="0.2">
      <c r="A9" t="s">
        <v>533</v>
      </c>
      <c r="B9" t="s">
        <v>534</v>
      </c>
      <c r="C9" t="s">
        <v>513</v>
      </c>
      <c r="D9" t="s">
        <v>513</v>
      </c>
      <c r="E9" t="s">
        <v>535</v>
      </c>
    </row>
    <row r="10" spans="1:5" x14ac:dyDescent="0.2">
      <c r="A10" t="s">
        <v>536</v>
      </c>
      <c r="B10" t="s">
        <v>537</v>
      </c>
      <c r="C10" t="s">
        <v>513</v>
      </c>
      <c r="D10" t="s">
        <v>513</v>
      </c>
      <c r="E10" t="s">
        <v>523</v>
      </c>
    </row>
    <row r="11" spans="1:5" x14ac:dyDescent="0.2">
      <c r="A11" t="s">
        <v>538</v>
      </c>
      <c r="B11" t="s">
        <v>539</v>
      </c>
      <c r="C11" t="s">
        <v>513</v>
      </c>
      <c r="D11" t="s">
        <v>513</v>
      </c>
      <c r="E11" t="s">
        <v>517</v>
      </c>
    </row>
    <row r="12" spans="1:5" x14ac:dyDescent="0.2">
      <c r="A12" t="s">
        <v>540</v>
      </c>
      <c r="B12" t="s">
        <v>541</v>
      </c>
      <c r="C12" t="s">
        <v>513</v>
      </c>
      <c r="D12" t="s">
        <v>513</v>
      </c>
      <c r="E12" t="s">
        <v>535</v>
      </c>
    </row>
    <row r="13" spans="1:5" x14ac:dyDescent="0.2">
      <c r="A13" t="s">
        <v>542</v>
      </c>
      <c r="B13" t="s">
        <v>543</v>
      </c>
      <c r="C13" t="s">
        <v>513</v>
      </c>
      <c r="D13" t="s">
        <v>513</v>
      </c>
      <c r="E13" t="s">
        <v>544</v>
      </c>
    </row>
    <row r="14" spans="1:5" x14ac:dyDescent="0.2">
      <c r="A14" t="s">
        <v>545</v>
      </c>
      <c r="B14" t="s">
        <v>546</v>
      </c>
      <c r="C14" t="s">
        <v>513</v>
      </c>
      <c r="D14" t="s">
        <v>513</v>
      </c>
      <c r="E14" t="s">
        <v>523</v>
      </c>
    </row>
    <row r="15" spans="1:5" x14ac:dyDescent="0.2">
      <c r="A15" t="s">
        <v>547</v>
      </c>
      <c r="B15" t="s">
        <v>548</v>
      </c>
      <c r="C15" t="s">
        <v>513</v>
      </c>
      <c r="D15" t="s">
        <v>513</v>
      </c>
      <c r="E15" t="s">
        <v>523</v>
      </c>
    </row>
    <row r="16" spans="1:5" x14ac:dyDescent="0.2">
      <c r="A16" t="s">
        <v>549</v>
      </c>
      <c r="B16" t="s">
        <v>550</v>
      </c>
      <c r="C16" t="s">
        <v>513</v>
      </c>
      <c r="D16" t="s">
        <v>513</v>
      </c>
      <c r="E16" t="s">
        <v>520</v>
      </c>
    </row>
    <row r="17" spans="1:5" x14ac:dyDescent="0.2">
      <c r="A17" t="s">
        <v>551</v>
      </c>
      <c r="B17" t="s">
        <v>552</v>
      </c>
      <c r="C17" t="s">
        <v>513</v>
      </c>
      <c r="D17" t="s">
        <v>513</v>
      </c>
      <c r="E17" t="s">
        <v>529</v>
      </c>
    </row>
    <row r="18" spans="1:5" x14ac:dyDescent="0.2">
      <c r="A18" t="s">
        <v>553</v>
      </c>
      <c r="B18" t="s">
        <v>554</v>
      </c>
      <c r="C18" t="s">
        <v>513</v>
      </c>
      <c r="D18" t="s">
        <v>513</v>
      </c>
      <c r="E18" t="s">
        <v>535</v>
      </c>
    </row>
    <row r="19" spans="1:5" x14ac:dyDescent="0.2">
      <c r="A19" t="s">
        <v>555</v>
      </c>
      <c r="B19" t="s">
        <v>556</v>
      </c>
      <c r="C19" t="s">
        <v>513</v>
      </c>
      <c r="D19" t="s">
        <v>513</v>
      </c>
      <c r="E19" t="s">
        <v>520</v>
      </c>
    </row>
    <row r="20" spans="1:5" x14ac:dyDescent="0.2">
      <c r="A20" t="s">
        <v>557</v>
      </c>
      <c r="B20" t="s">
        <v>558</v>
      </c>
      <c r="C20" t="s">
        <v>513</v>
      </c>
      <c r="D20" t="s">
        <v>513</v>
      </c>
      <c r="E20" t="s">
        <v>523</v>
      </c>
    </row>
    <row r="21" spans="1:5" x14ac:dyDescent="0.2">
      <c r="A21" t="s">
        <v>559</v>
      </c>
      <c r="B21" t="s">
        <v>560</v>
      </c>
      <c r="C21" t="s">
        <v>513</v>
      </c>
      <c r="D21" t="s">
        <v>513</v>
      </c>
      <c r="E21" t="s">
        <v>520</v>
      </c>
    </row>
    <row r="22" spans="1:5" x14ac:dyDescent="0.2">
      <c r="A22" t="s">
        <v>561</v>
      </c>
      <c r="B22" t="s">
        <v>562</v>
      </c>
      <c r="C22" t="s">
        <v>513</v>
      </c>
      <c r="D22" t="s">
        <v>513</v>
      </c>
      <c r="E22" t="s">
        <v>563</v>
      </c>
    </row>
    <row r="23" spans="1:5" x14ac:dyDescent="0.2">
      <c r="A23" t="s">
        <v>564</v>
      </c>
      <c r="B23" t="s">
        <v>565</v>
      </c>
      <c r="C23" t="s">
        <v>513</v>
      </c>
      <c r="D23" t="s">
        <v>513</v>
      </c>
      <c r="E23" t="s">
        <v>523</v>
      </c>
    </row>
    <row r="24" spans="1:5" x14ac:dyDescent="0.2">
      <c r="A24" t="s">
        <v>566</v>
      </c>
      <c r="B24" t="s">
        <v>567</v>
      </c>
      <c r="C24" t="s">
        <v>513</v>
      </c>
      <c r="D24" t="s">
        <v>513</v>
      </c>
      <c r="E24" t="s">
        <v>568</v>
      </c>
    </row>
    <row r="25" spans="1:5" x14ac:dyDescent="0.2">
      <c r="A25" t="s">
        <v>569</v>
      </c>
      <c r="B25" t="s">
        <v>570</v>
      </c>
      <c r="C25" t="s">
        <v>513</v>
      </c>
      <c r="D25" t="s">
        <v>513</v>
      </c>
      <c r="E25" t="s">
        <v>517</v>
      </c>
    </row>
    <row r="26" spans="1:5" x14ac:dyDescent="0.2">
      <c r="A26" t="s">
        <v>571</v>
      </c>
      <c r="B26" t="s">
        <v>572</v>
      </c>
      <c r="C26" t="s">
        <v>513</v>
      </c>
      <c r="D26" t="s">
        <v>513</v>
      </c>
      <c r="E26" t="s">
        <v>517</v>
      </c>
    </row>
    <row r="27" spans="1:5" x14ac:dyDescent="0.2">
      <c r="A27" t="s">
        <v>573</v>
      </c>
      <c r="B27" t="s">
        <v>574</v>
      </c>
      <c r="C27" t="s">
        <v>513</v>
      </c>
      <c r="D27" t="s">
        <v>513</v>
      </c>
      <c r="E27" t="s">
        <v>575</v>
      </c>
    </row>
    <row r="28" spans="1:5" x14ac:dyDescent="0.2">
      <c r="A28" t="s">
        <v>576</v>
      </c>
      <c r="B28" t="s">
        <v>577</v>
      </c>
      <c r="C28" t="s">
        <v>513</v>
      </c>
      <c r="D28" t="s">
        <v>513</v>
      </c>
      <c r="E28" t="s">
        <v>578</v>
      </c>
    </row>
    <row r="29" spans="1:5" x14ac:dyDescent="0.2">
      <c r="A29" t="s">
        <v>579</v>
      </c>
      <c r="B29" t="s">
        <v>580</v>
      </c>
      <c r="C29" t="s">
        <v>513</v>
      </c>
      <c r="D29" t="s">
        <v>513</v>
      </c>
      <c r="E29" t="s">
        <v>529</v>
      </c>
    </row>
    <row r="30" spans="1:5" x14ac:dyDescent="0.2">
      <c r="A30" t="s">
        <v>581</v>
      </c>
      <c r="B30" t="s">
        <v>582</v>
      </c>
      <c r="C30" t="s">
        <v>513</v>
      </c>
      <c r="D30" t="s">
        <v>513</v>
      </c>
      <c r="E30" t="s">
        <v>583</v>
      </c>
    </row>
    <row r="31" spans="1:5" x14ac:dyDescent="0.2">
      <c r="A31" t="s">
        <v>584</v>
      </c>
      <c r="B31" t="s">
        <v>585</v>
      </c>
      <c r="C31" t="s">
        <v>513</v>
      </c>
      <c r="D31" t="s">
        <v>513</v>
      </c>
      <c r="E31" t="s">
        <v>586</v>
      </c>
    </row>
    <row r="32" spans="1:5" x14ac:dyDescent="0.2">
      <c r="A32" t="s">
        <v>587</v>
      </c>
      <c r="B32" t="s">
        <v>588</v>
      </c>
      <c r="C32" t="s">
        <v>513</v>
      </c>
      <c r="D32" t="s">
        <v>513</v>
      </c>
      <c r="E32" t="s">
        <v>589</v>
      </c>
    </row>
    <row r="33" spans="1:5" x14ac:dyDescent="0.2">
      <c r="A33" t="s">
        <v>590</v>
      </c>
      <c r="B33" t="s">
        <v>591</v>
      </c>
      <c r="C33" t="s">
        <v>513</v>
      </c>
      <c r="D33" t="s">
        <v>513</v>
      </c>
      <c r="E33" t="s">
        <v>529</v>
      </c>
    </row>
    <row r="34" spans="1:5" x14ac:dyDescent="0.2">
      <c r="A34" t="s">
        <v>592</v>
      </c>
      <c r="B34" t="s">
        <v>593</v>
      </c>
      <c r="C34" t="s">
        <v>513</v>
      </c>
      <c r="D34" t="s">
        <v>513</v>
      </c>
      <c r="E34" t="s">
        <v>594</v>
      </c>
    </row>
    <row r="35" spans="1:5" x14ac:dyDescent="0.2">
      <c r="A35" t="s">
        <v>595</v>
      </c>
      <c r="B35" t="s">
        <v>596</v>
      </c>
      <c r="C35" t="s">
        <v>513</v>
      </c>
      <c r="D35" t="s">
        <v>513</v>
      </c>
      <c r="E35" t="s">
        <v>517</v>
      </c>
    </row>
    <row r="36" spans="1:5" x14ac:dyDescent="0.2">
      <c r="A36" t="s">
        <v>597</v>
      </c>
      <c r="B36" t="s">
        <v>598</v>
      </c>
      <c r="C36" t="s">
        <v>513</v>
      </c>
      <c r="D36" t="s">
        <v>513</v>
      </c>
      <c r="E36" t="s">
        <v>529</v>
      </c>
    </row>
    <row r="37" spans="1:5" x14ac:dyDescent="0.2">
      <c r="A37" t="s">
        <v>599</v>
      </c>
      <c r="B37" t="s">
        <v>600</v>
      </c>
      <c r="C37" t="s">
        <v>513</v>
      </c>
      <c r="D37" t="s">
        <v>513</v>
      </c>
      <c r="E37" t="s">
        <v>535</v>
      </c>
    </row>
    <row r="38" spans="1:5" x14ac:dyDescent="0.2">
      <c r="A38" t="s">
        <v>601</v>
      </c>
      <c r="B38" t="s">
        <v>602</v>
      </c>
      <c r="C38" t="s">
        <v>513</v>
      </c>
      <c r="D38" t="s">
        <v>513</v>
      </c>
      <c r="E38" t="s">
        <v>603</v>
      </c>
    </row>
    <row r="39" spans="1:5" x14ac:dyDescent="0.2">
      <c r="A39" t="s">
        <v>604</v>
      </c>
      <c r="B39" t="s">
        <v>605</v>
      </c>
      <c r="C39" t="s">
        <v>513</v>
      </c>
      <c r="D39" t="s">
        <v>513</v>
      </c>
      <c r="E39" t="s">
        <v>535</v>
      </c>
    </row>
    <row r="40" spans="1:5" x14ac:dyDescent="0.2">
      <c r="A40" t="s">
        <v>606</v>
      </c>
      <c r="B40" t="s">
        <v>607</v>
      </c>
      <c r="C40" t="s">
        <v>513</v>
      </c>
      <c r="D40" t="s">
        <v>513</v>
      </c>
      <c r="E40" t="s">
        <v>589</v>
      </c>
    </row>
    <row r="41" spans="1:5" x14ac:dyDescent="0.2">
      <c r="A41" t="s">
        <v>608</v>
      </c>
      <c r="B41" t="s">
        <v>609</v>
      </c>
      <c r="C41" t="s">
        <v>513</v>
      </c>
      <c r="D41" t="s">
        <v>513</v>
      </c>
      <c r="E41" t="s">
        <v>517</v>
      </c>
    </row>
    <row r="42" spans="1:5" x14ac:dyDescent="0.2">
      <c r="A42" t="s">
        <v>610</v>
      </c>
      <c r="B42" t="s">
        <v>611</v>
      </c>
      <c r="C42" t="s">
        <v>513</v>
      </c>
      <c r="D42" t="s">
        <v>513</v>
      </c>
      <c r="E42" t="s">
        <v>523</v>
      </c>
    </row>
    <row r="43" spans="1:5" x14ac:dyDescent="0.2">
      <c r="A43" t="s">
        <v>612</v>
      </c>
      <c r="B43" t="s">
        <v>613</v>
      </c>
      <c r="C43" t="s">
        <v>513</v>
      </c>
      <c r="D43" t="s">
        <v>513</v>
      </c>
      <c r="E43" t="s">
        <v>529</v>
      </c>
    </row>
    <row r="44" spans="1:5" x14ac:dyDescent="0.2">
      <c r="A44" t="s">
        <v>614</v>
      </c>
      <c r="B44" t="s">
        <v>615</v>
      </c>
      <c r="C44" t="s">
        <v>513</v>
      </c>
      <c r="D44" t="s">
        <v>513</v>
      </c>
      <c r="E44" t="s">
        <v>616</v>
      </c>
    </row>
    <row r="45" spans="1:5" x14ac:dyDescent="0.2">
      <c r="A45" t="s">
        <v>617</v>
      </c>
      <c r="B45" t="s">
        <v>618</v>
      </c>
      <c r="C45" t="s">
        <v>513</v>
      </c>
      <c r="D45" t="s">
        <v>513</v>
      </c>
      <c r="E45" t="s">
        <v>603</v>
      </c>
    </row>
    <row r="46" spans="1:5" x14ac:dyDescent="0.2">
      <c r="A46" t="s">
        <v>619</v>
      </c>
      <c r="B46" t="s">
        <v>620</v>
      </c>
      <c r="C46" t="s">
        <v>513</v>
      </c>
      <c r="D46" t="s">
        <v>513</v>
      </c>
      <c r="E46" t="s">
        <v>520</v>
      </c>
    </row>
    <row r="47" spans="1:5" x14ac:dyDescent="0.2">
      <c r="A47" t="s">
        <v>621</v>
      </c>
      <c r="B47" t="s">
        <v>622</v>
      </c>
      <c r="C47" t="s">
        <v>513</v>
      </c>
      <c r="D47" t="s">
        <v>513</v>
      </c>
      <c r="E47" t="s">
        <v>623</v>
      </c>
    </row>
    <row r="48" spans="1:5" x14ac:dyDescent="0.2">
      <c r="A48" t="s">
        <v>624</v>
      </c>
      <c r="B48" t="s">
        <v>625</v>
      </c>
      <c r="C48" t="s">
        <v>513</v>
      </c>
      <c r="D48" t="s">
        <v>513</v>
      </c>
      <c r="E48" t="s">
        <v>535</v>
      </c>
    </row>
    <row r="49" spans="1:5" x14ac:dyDescent="0.2">
      <c r="A49" t="s">
        <v>626</v>
      </c>
      <c r="B49" t="s">
        <v>627</v>
      </c>
      <c r="C49" t="s">
        <v>513</v>
      </c>
      <c r="D49" t="e">
        <v>#N/A</v>
      </c>
      <c r="E49" t="e">
        <v>#N/A</v>
      </c>
    </row>
    <row r="50" spans="1:5" x14ac:dyDescent="0.2">
      <c r="A50" t="s">
        <v>628</v>
      </c>
      <c r="B50" t="s">
        <v>629</v>
      </c>
      <c r="C50" t="s">
        <v>513</v>
      </c>
      <c r="D50" t="s">
        <v>513</v>
      </c>
      <c r="E50" t="s">
        <v>523</v>
      </c>
    </row>
    <row r="51" spans="1:5" x14ac:dyDescent="0.2">
      <c r="A51" t="s">
        <v>630</v>
      </c>
      <c r="B51" t="s">
        <v>631</v>
      </c>
      <c r="C51" t="s">
        <v>513</v>
      </c>
      <c r="D51" t="s">
        <v>513</v>
      </c>
      <c r="E51" t="s">
        <v>517</v>
      </c>
    </row>
    <row r="52" spans="1:5" x14ac:dyDescent="0.2">
      <c r="A52" t="s">
        <v>632</v>
      </c>
      <c r="B52" t="s">
        <v>633</v>
      </c>
      <c r="C52" t="s">
        <v>513</v>
      </c>
      <c r="D52" t="s">
        <v>513</v>
      </c>
      <c r="E52" t="s">
        <v>529</v>
      </c>
    </row>
    <row r="53" spans="1:5" x14ac:dyDescent="0.2">
      <c r="A53" t="s">
        <v>634</v>
      </c>
      <c r="B53" t="s">
        <v>635</v>
      </c>
      <c r="C53" t="s">
        <v>513</v>
      </c>
      <c r="D53" t="s">
        <v>513</v>
      </c>
      <c r="E53" t="s">
        <v>517</v>
      </c>
    </row>
    <row r="54" spans="1:5" x14ac:dyDescent="0.2">
      <c r="A54" t="s">
        <v>636</v>
      </c>
      <c r="B54" t="s">
        <v>637</v>
      </c>
      <c r="C54" t="s">
        <v>513</v>
      </c>
      <c r="D54" t="s">
        <v>513</v>
      </c>
      <c r="E54" t="s">
        <v>520</v>
      </c>
    </row>
    <row r="55" spans="1:5" x14ac:dyDescent="0.2">
      <c r="A55" t="s">
        <v>638</v>
      </c>
      <c r="B55" t="s">
        <v>639</v>
      </c>
      <c r="C55" t="s">
        <v>513</v>
      </c>
      <c r="D55" t="s">
        <v>513</v>
      </c>
      <c r="E55" t="s">
        <v>526</v>
      </c>
    </row>
    <row r="56" spans="1:5" x14ac:dyDescent="0.2">
      <c r="A56" t="s">
        <v>640</v>
      </c>
      <c r="B56" t="s">
        <v>641</v>
      </c>
      <c r="C56" t="s">
        <v>513</v>
      </c>
      <c r="D56" t="s">
        <v>513</v>
      </c>
      <c r="E56" t="s">
        <v>523</v>
      </c>
    </row>
    <row r="57" spans="1:5" x14ac:dyDescent="0.2">
      <c r="A57" t="s">
        <v>642</v>
      </c>
      <c r="B57" t="s">
        <v>643</v>
      </c>
      <c r="C57" t="s">
        <v>513</v>
      </c>
      <c r="D57" t="s">
        <v>513</v>
      </c>
      <c r="E57" t="s">
        <v>523</v>
      </c>
    </row>
    <row r="58" spans="1:5" x14ac:dyDescent="0.2">
      <c r="A58" t="s">
        <v>644</v>
      </c>
      <c r="B58" t="s">
        <v>645</v>
      </c>
      <c r="C58" t="s">
        <v>513</v>
      </c>
      <c r="D58" t="s">
        <v>513</v>
      </c>
      <c r="E58" t="s">
        <v>646</v>
      </c>
    </row>
    <row r="59" spans="1:5" x14ac:dyDescent="0.2">
      <c r="A59" t="s">
        <v>647</v>
      </c>
      <c r="B59" t="s">
        <v>648</v>
      </c>
      <c r="C59" t="s">
        <v>513</v>
      </c>
      <c r="D59" t="s">
        <v>513</v>
      </c>
      <c r="E59" t="s">
        <v>649</v>
      </c>
    </row>
    <row r="60" spans="1:5" x14ac:dyDescent="0.2">
      <c r="A60" t="s">
        <v>650</v>
      </c>
      <c r="B60" t="s">
        <v>651</v>
      </c>
      <c r="C60" t="s">
        <v>513</v>
      </c>
      <c r="D60" t="s">
        <v>513</v>
      </c>
      <c r="E60" t="s">
        <v>535</v>
      </c>
    </row>
    <row r="61" spans="1:5" x14ac:dyDescent="0.2">
      <c r="A61" t="s">
        <v>652</v>
      </c>
      <c r="B61" t="s">
        <v>653</v>
      </c>
      <c r="C61" t="s">
        <v>513</v>
      </c>
      <c r="D61" t="s">
        <v>513</v>
      </c>
      <c r="E61" t="s">
        <v>523</v>
      </c>
    </row>
    <row r="62" spans="1:5" x14ac:dyDescent="0.2">
      <c r="A62" t="s">
        <v>654</v>
      </c>
      <c r="B62" t="s">
        <v>655</v>
      </c>
      <c r="C62" t="s">
        <v>513</v>
      </c>
      <c r="D62" t="s">
        <v>513</v>
      </c>
      <c r="E62" t="s">
        <v>526</v>
      </c>
    </row>
    <row r="63" spans="1:5" x14ac:dyDescent="0.2">
      <c r="A63" t="s">
        <v>656</v>
      </c>
      <c r="B63" t="s">
        <v>657</v>
      </c>
      <c r="C63" t="s">
        <v>513</v>
      </c>
      <c r="D63" t="s">
        <v>513</v>
      </c>
      <c r="E63" t="s">
        <v>658</v>
      </c>
    </row>
    <row r="64" spans="1:5" x14ac:dyDescent="0.2">
      <c r="A64" t="s">
        <v>659</v>
      </c>
      <c r="B64" t="s">
        <v>660</v>
      </c>
      <c r="C64" t="s">
        <v>513</v>
      </c>
      <c r="D64" t="s">
        <v>513</v>
      </c>
      <c r="E64" t="s">
        <v>603</v>
      </c>
    </row>
    <row r="65" spans="1:5" x14ac:dyDescent="0.2">
      <c r="A65" t="s">
        <v>661</v>
      </c>
      <c r="B65" t="s">
        <v>662</v>
      </c>
      <c r="C65" t="s">
        <v>513</v>
      </c>
      <c r="D65" t="s">
        <v>513</v>
      </c>
      <c r="E65" t="s">
        <v>517</v>
      </c>
    </row>
    <row r="66" spans="1:5" x14ac:dyDescent="0.2">
      <c r="A66" t="s">
        <v>663</v>
      </c>
      <c r="B66" t="s">
        <v>664</v>
      </c>
      <c r="C66" t="s">
        <v>513</v>
      </c>
      <c r="D66" t="s">
        <v>513</v>
      </c>
      <c r="E66" t="s">
        <v>665</v>
      </c>
    </row>
    <row r="67" spans="1:5" x14ac:dyDescent="0.2">
      <c r="A67" t="s">
        <v>666</v>
      </c>
      <c r="B67" t="s">
        <v>667</v>
      </c>
      <c r="C67" t="s">
        <v>513</v>
      </c>
      <c r="D67" t="s">
        <v>513</v>
      </c>
      <c r="E67" t="s">
        <v>529</v>
      </c>
    </row>
    <row r="68" spans="1:5" x14ac:dyDescent="0.2">
      <c r="A68" t="s">
        <v>668</v>
      </c>
      <c r="B68" t="s">
        <v>669</v>
      </c>
      <c r="C68" t="s">
        <v>513</v>
      </c>
      <c r="D68" t="s">
        <v>513</v>
      </c>
      <c r="E68" t="s">
        <v>603</v>
      </c>
    </row>
    <row r="69" spans="1:5" x14ac:dyDescent="0.2">
      <c r="A69" t="s">
        <v>670</v>
      </c>
      <c r="B69" t="s">
        <v>671</v>
      </c>
      <c r="C69" t="s">
        <v>513</v>
      </c>
      <c r="D69" t="s">
        <v>513</v>
      </c>
      <c r="E69" t="s">
        <v>535</v>
      </c>
    </row>
    <row r="70" spans="1:5" x14ac:dyDescent="0.2">
      <c r="A70" t="s">
        <v>672</v>
      </c>
      <c r="B70" t="s">
        <v>673</v>
      </c>
      <c r="C70" t="s">
        <v>513</v>
      </c>
      <c r="D70" t="s">
        <v>513</v>
      </c>
      <c r="E70" t="s">
        <v>674</v>
      </c>
    </row>
    <row r="71" spans="1:5" x14ac:dyDescent="0.2">
      <c r="A71" t="s">
        <v>675</v>
      </c>
      <c r="B71" t="s">
        <v>676</v>
      </c>
      <c r="C71" t="s">
        <v>513</v>
      </c>
      <c r="D71" t="s">
        <v>513</v>
      </c>
      <c r="E71" t="s">
        <v>517</v>
      </c>
    </row>
    <row r="72" spans="1:5" x14ac:dyDescent="0.2">
      <c r="A72" t="s">
        <v>677</v>
      </c>
      <c r="B72" t="s">
        <v>678</v>
      </c>
      <c r="C72" t="s">
        <v>513</v>
      </c>
      <c r="D72" t="s">
        <v>513</v>
      </c>
      <c r="E72" t="s">
        <v>520</v>
      </c>
    </row>
    <row r="73" spans="1:5" x14ac:dyDescent="0.2">
      <c r="A73" t="s">
        <v>679</v>
      </c>
      <c r="B73" t="s">
        <v>680</v>
      </c>
      <c r="C73" t="s">
        <v>513</v>
      </c>
      <c r="D73" t="s">
        <v>513</v>
      </c>
      <c r="E73" t="s">
        <v>529</v>
      </c>
    </row>
    <row r="74" spans="1:5" x14ac:dyDescent="0.2">
      <c r="A74" t="s">
        <v>681</v>
      </c>
      <c r="B74" t="s">
        <v>682</v>
      </c>
      <c r="C74" t="s">
        <v>513</v>
      </c>
      <c r="D74" t="s">
        <v>513</v>
      </c>
      <c r="E74" t="s">
        <v>683</v>
      </c>
    </row>
    <row r="75" spans="1:5" x14ac:dyDescent="0.2">
      <c r="A75" t="s">
        <v>684</v>
      </c>
      <c r="B75" t="s">
        <v>685</v>
      </c>
      <c r="C75" t="s">
        <v>513</v>
      </c>
      <c r="D75" t="s">
        <v>513</v>
      </c>
      <c r="E75" t="s">
        <v>520</v>
      </c>
    </row>
    <row r="76" spans="1:5" x14ac:dyDescent="0.2">
      <c r="A76" t="s">
        <v>686</v>
      </c>
      <c r="B76" t="s">
        <v>687</v>
      </c>
      <c r="C76" t="s">
        <v>513</v>
      </c>
      <c r="D76" t="s">
        <v>513</v>
      </c>
      <c r="E76" t="s">
        <v>589</v>
      </c>
    </row>
    <row r="77" spans="1:5" x14ac:dyDescent="0.2">
      <c r="A77" t="s">
        <v>688</v>
      </c>
      <c r="B77" t="s">
        <v>689</v>
      </c>
      <c r="C77" t="s">
        <v>513</v>
      </c>
      <c r="D77" t="s">
        <v>513</v>
      </c>
      <c r="E77" t="s">
        <v>523</v>
      </c>
    </row>
    <row r="78" spans="1:5" x14ac:dyDescent="0.2">
      <c r="A78" t="s">
        <v>690</v>
      </c>
      <c r="B78" t="s">
        <v>691</v>
      </c>
      <c r="C78" t="s">
        <v>513</v>
      </c>
      <c r="D78" t="s">
        <v>513</v>
      </c>
      <c r="E78" t="s">
        <v>692</v>
      </c>
    </row>
    <row r="79" spans="1:5" x14ac:dyDescent="0.2">
      <c r="A79" t="s">
        <v>693</v>
      </c>
      <c r="B79" t="s">
        <v>694</v>
      </c>
      <c r="C79" t="s">
        <v>513</v>
      </c>
      <c r="D79" t="s">
        <v>513</v>
      </c>
      <c r="E79" t="s">
        <v>529</v>
      </c>
    </row>
    <row r="80" spans="1:5" x14ac:dyDescent="0.2">
      <c r="A80" t="s">
        <v>695</v>
      </c>
      <c r="B80" t="s">
        <v>696</v>
      </c>
      <c r="C80" t="s">
        <v>513</v>
      </c>
      <c r="D80" t="s">
        <v>513</v>
      </c>
      <c r="E80" t="s">
        <v>589</v>
      </c>
    </row>
    <row r="81" spans="1:5" x14ac:dyDescent="0.2">
      <c r="A81" t="s">
        <v>697</v>
      </c>
      <c r="B81" t="s">
        <v>698</v>
      </c>
      <c r="C81" t="s">
        <v>513</v>
      </c>
      <c r="D81" t="s">
        <v>513</v>
      </c>
      <c r="E81" t="s">
        <v>589</v>
      </c>
    </row>
    <row r="82" spans="1:5" x14ac:dyDescent="0.2">
      <c r="A82" t="s">
        <v>699</v>
      </c>
      <c r="B82" t="s">
        <v>700</v>
      </c>
      <c r="C82" t="s">
        <v>513</v>
      </c>
      <c r="D82" t="s">
        <v>513</v>
      </c>
      <c r="E82" t="s">
        <v>701</v>
      </c>
    </row>
    <row r="83" spans="1:5" x14ac:dyDescent="0.2">
      <c r="A83" t="s">
        <v>702</v>
      </c>
      <c r="B83" t="s">
        <v>703</v>
      </c>
      <c r="C83" t="s">
        <v>513</v>
      </c>
      <c r="D83" t="s">
        <v>513</v>
      </c>
      <c r="E83" t="s">
        <v>529</v>
      </c>
    </row>
    <row r="84" spans="1:5" x14ac:dyDescent="0.2">
      <c r="A84" t="s">
        <v>704</v>
      </c>
      <c r="B84" t="s">
        <v>705</v>
      </c>
      <c r="C84" t="s">
        <v>513</v>
      </c>
      <c r="D84" t="s">
        <v>513</v>
      </c>
      <c r="E84" t="s">
        <v>529</v>
      </c>
    </row>
    <row r="85" spans="1:5" x14ac:dyDescent="0.2">
      <c r="A85" t="s">
        <v>706</v>
      </c>
      <c r="B85" t="s">
        <v>707</v>
      </c>
      <c r="C85" t="s">
        <v>513</v>
      </c>
      <c r="D85" t="s">
        <v>513</v>
      </c>
      <c r="E85" t="s">
        <v>603</v>
      </c>
    </row>
    <row r="86" spans="1:5" x14ac:dyDescent="0.2">
      <c r="A86" t="s">
        <v>708</v>
      </c>
      <c r="B86" t="s">
        <v>709</v>
      </c>
      <c r="C86" t="s">
        <v>513</v>
      </c>
      <c r="D86" t="s">
        <v>513</v>
      </c>
      <c r="E86" t="s">
        <v>710</v>
      </c>
    </row>
    <row r="87" spans="1:5" x14ac:dyDescent="0.2">
      <c r="A87" t="s">
        <v>711</v>
      </c>
      <c r="B87" t="s">
        <v>712</v>
      </c>
      <c r="C87" t="s">
        <v>513</v>
      </c>
      <c r="D87" t="s">
        <v>513</v>
      </c>
      <c r="E87" t="s">
        <v>589</v>
      </c>
    </row>
    <row r="88" spans="1:5" x14ac:dyDescent="0.2">
      <c r="A88" t="s">
        <v>713</v>
      </c>
      <c r="B88" t="s">
        <v>714</v>
      </c>
      <c r="C88" t="s">
        <v>513</v>
      </c>
      <c r="D88" t="s">
        <v>513</v>
      </c>
      <c r="E88" t="s">
        <v>520</v>
      </c>
    </row>
    <row r="89" spans="1:5" x14ac:dyDescent="0.2">
      <c r="A89" t="s">
        <v>715</v>
      </c>
      <c r="B89" t="s">
        <v>716</v>
      </c>
      <c r="C89" t="s">
        <v>513</v>
      </c>
      <c r="D89" t="s">
        <v>513</v>
      </c>
      <c r="E89" t="s">
        <v>589</v>
      </c>
    </row>
    <row r="90" spans="1:5" x14ac:dyDescent="0.2">
      <c r="A90" t="s">
        <v>717</v>
      </c>
      <c r="B90" t="s">
        <v>718</v>
      </c>
      <c r="C90" t="s">
        <v>513</v>
      </c>
      <c r="D90" t="s">
        <v>513</v>
      </c>
      <c r="E90" t="s">
        <v>719</v>
      </c>
    </row>
    <row r="91" spans="1:5" x14ac:dyDescent="0.2">
      <c r="A91" t="s">
        <v>720</v>
      </c>
      <c r="B91" t="s">
        <v>721</v>
      </c>
      <c r="C91" t="s">
        <v>513</v>
      </c>
      <c r="D91" t="s">
        <v>513</v>
      </c>
      <c r="E91" t="s">
        <v>529</v>
      </c>
    </row>
    <row r="92" spans="1:5" x14ac:dyDescent="0.2">
      <c r="A92" t="s">
        <v>722</v>
      </c>
      <c r="B92" t="s">
        <v>723</v>
      </c>
      <c r="C92" t="s">
        <v>513</v>
      </c>
      <c r="D92" t="s">
        <v>513</v>
      </c>
      <c r="E92" t="s">
        <v>523</v>
      </c>
    </row>
    <row r="93" spans="1:5" x14ac:dyDescent="0.2">
      <c r="A93" t="s">
        <v>724</v>
      </c>
      <c r="B93" t="s">
        <v>725</v>
      </c>
      <c r="C93" t="s">
        <v>513</v>
      </c>
      <c r="D93" t="s">
        <v>513</v>
      </c>
      <c r="E93" t="s">
        <v>726</v>
      </c>
    </row>
    <row r="94" spans="1:5" x14ac:dyDescent="0.2">
      <c r="A94" t="s">
        <v>727</v>
      </c>
      <c r="B94" t="s">
        <v>728</v>
      </c>
      <c r="C94" t="s">
        <v>513</v>
      </c>
      <c r="D94" t="s">
        <v>513</v>
      </c>
      <c r="E94" t="s">
        <v>520</v>
      </c>
    </row>
    <row r="95" spans="1:5" x14ac:dyDescent="0.2">
      <c r="A95" t="s">
        <v>729</v>
      </c>
      <c r="B95" t="s">
        <v>730</v>
      </c>
      <c r="C95" t="s">
        <v>513</v>
      </c>
      <c r="D95" t="s">
        <v>513</v>
      </c>
      <c r="E95" t="s">
        <v>523</v>
      </c>
    </row>
    <row r="96" spans="1:5" x14ac:dyDescent="0.2">
      <c r="A96" t="s">
        <v>731</v>
      </c>
      <c r="B96" t="s">
        <v>732</v>
      </c>
      <c r="C96" t="s">
        <v>513</v>
      </c>
      <c r="D96" t="s">
        <v>513</v>
      </c>
      <c r="E96" t="s">
        <v>603</v>
      </c>
    </row>
    <row r="97" spans="1:5" x14ac:dyDescent="0.2">
      <c r="A97" t="s">
        <v>733</v>
      </c>
      <c r="B97" t="s">
        <v>734</v>
      </c>
      <c r="C97" t="s">
        <v>513</v>
      </c>
      <c r="D97" t="s">
        <v>513</v>
      </c>
      <c r="E97" t="s">
        <v>526</v>
      </c>
    </row>
    <row r="98" spans="1:5" x14ac:dyDescent="0.2">
      <c r="A98" t="s">
        <v>735</v>
      </c>
      <c r="B98" t="s">
        <v>736</v>
      </c>
      <c r="C98" t="s">
        <v>513</v>
      </c>
      <c r="D98" t="s">
        <v>513</v>
      </c>
      <c r="E98" t="s">
        <v>737</v>
      </c>
    </row>
    <row r="99" spans="1:5" x14ac:dyDescent="0.2">
      <c r="A99" t="s">
        <v>738</v>
      </c>
      <c r="B99" t="s">
        <v>739</v>
      </c>
      <c r="C99" t="s">
        <v>513</v>
      </c>
      <c r="D99" t="s">
        <v>513</v>
      </c>
      <c r="E99" t="s">
        <v>526</v>
      </c>
    </row>
    <row r="100" spans="1:5" x14ac:dyDescent="0.2">
      <c r="A100" t="s">
        <v>740</v>
      </c>
      <c r="B100" t="s">
        <v>741</v>
      </c>
      <c r="C100" t="s">
        <v>513</v>
      </c>
      <c r="D100" t="s">
        <v>513</v>
      </c>
      <c r="E100" t="s">
        <v>589</v>
      </c>
    </row>
    <row r="101" spans="1:5" x14ac:dyDescent="0.2">
      <c r="A101" t="s">
        <v>742</v>
      </c>
      <c r="B101" t="s">
        <v>743</v>
      </c>
      <c r="C101" t="s">
        <v>513</v>
      </c>
      <c r="D101" t="s">
        <v>513</v>
      </c>
      <c r="E101" t="s">
        <v>744</v>
      </c>
    </row>
    <row r="102" spans="1:5" x14ac:dyDescent="0.2">
      <c r="A102" t="s">
        <v>745</v>
      </c>
      <c r="B102" t="s">
        <v>746</v>
      </c>
      <c r="C102" t="s">
        <v>513</v>
      </c>
      <c r="D102" t="s">
        <v>513</v>
      </c>
      <c r="E102" t="s">
        <v>529</v>
      </c>
    </row>
    <row r="103" spans="1:5" x14ac:dyDescent="0.2">
      <c r="A103" t="s">
        <v>747</v>
      </c>
      <c r="B103" t="s">
        <v>748</v>
      </c>
      <c r="C103" t="s">
        <v>513</v>
      </c>
      <c r="D103" t="s">
        <v>513</v>
      </c>
      <c r="E103" t="s">
        <v>517</v>
      </c>
    </row>
    <row r="104" spans="1:5" x14ac:dyDescent="0.2">
      <c r="A104" t="s">
        <v>749</v>
      </c>
      <c r="B104" t="s">
        <v>750</v>
      </c>
      <c r="C104" t="s">
        <v>513</v>
      </c>
      <c r="D104" t="s">
        <v>513</v>
      </c>
      <c r="E104" t="s">
        <v>520</v>
      </c>
    </row>
    <row r="105" spans="1:5" x14ac:dyDescent="0.2">
      <c r="A105" t="s">
        <v>751</v>
      </c>
      <c r="B105" t="s">
        <v>752</v>
      </c>
      <c r="C105" t="s">
        <v>513</v>
      </c>
      <c r="D105" t="s">
        <v>513</v>
      </c>
      <c r="E105" t="s">
        <v>523</v>
      </c>
    </row>
    <row r="106" spans="1:5" x14ac:dyDescent="0.2">
      <c r="A106" t="s">
        <v>753</v>
      </c>
      <c r="B106" t="s">
        <v>754</v>
      </c>
      <c r="C106" t="s">
        <v>513</v>
      </c>
      <c r="D106" t="s">
        <v>513</v>
      </c>
      <c r="E106" t="s">
        <v>603</v>
      </c>
    </row>
    <row r="107" spans="1:5" x14ac:dyDescent="0.2">
      <c r="A107" t="s">
        <v>755</v>
      </c>
      <c r="B107" t="s">
        <v>756</v>
      </c>
      <c r="C107" t="s">
        <v>513</v>
      </c>
      <c r="D107" t="s">
        <v>513</v>
      </c>
      <c r="E107" t="s">
        <v>757</v>
      </c>
    </row>
    <row r="108" spans="1:5" x14ac:dyDescent="0.2">
      <c r="A108" t="s">
        <v>758</v>
      </c>
      <c r="B108" t="s">
        <v>759</v>
      </c>
      <c r="C108" t="s">
        <v>513</v>
      </c>
      <c r="D108" t="s">
        <v>513</v>
      </c>
      <c r="E108" t="s">
        <v>529</v>
      </c>
    </row>
    <row r="109" spans="1:5" x14ac:dyDescent="0.2">
      <c r="A109" t="s">
        <v>760</v>
      </c>
      <c r="B109" t="s">
        <v>761</v>
      </c>
      <c r="C109" t="s">
        <v>513</v>
      </c>
      <c r="D109" t="s">
        <v>513</v>
      </c>
      <c r="E109" t="s">
        <v>520</v>
      </c>
    </row>
    <row r="110" spans="1:5" x14ac:dyDescent="0.2">
      <c r="A110" t="s">
        <v>762</v>
      </c>
      <c r="B110" t="s">
        <v>763</v>
      </c>
      <c r="C110" t="s">
        <v>513</v>
      </c>
      <c r="D110" t="s">
        <v>513</v>
      </c>
      <c r="E110" t="s">
        <v>517</v>
      </c>
    </row>
    <row r="111" spans="1:5" x14ac:dyDescent="0.2">
      <c r="A111" t="s">
        <v>764</v>
      </c>
      <c r="B111" t="s">
        <v>765</v>
      </c>
      <c r="C111" t="s">
        <v>513</v>
      </c>
      <c r="D111" t="s">
        <v>513</v>
      </c>
      <c r="E111" t="s">
        <v>517</v>
      </c>
    </row>
    <row r="112" spans="1:5" x14ac:dyDescent="0.2">
      <c r="A112" t="s">
        <v>766</v>
      </c>
      <c r="B112" t="s">
        <v>767</v>
      </c>
      <c r="C112" t="s">
        <v>513</v>
      </c>
      <c r="D112" t="s">
        <v>513</v>
      </c>
      <c r="E112" t="s">
        <v>603</v>
      </c>
    </row>
    <row r="113" spans="1:5" x14ac:dyDescent="0.2">
      <c r="A113" t="s">
        <v>768</v>
      </c>
      <c r="B113" t="s">
        <v>769</v>
      </c>
      <c r="C113" t="s">
        <v>513</v>
      </c>
      <c r="D113" t="s">
        <v>513</v>
      </c>
      <c r="E113" t="s">
        <v>520</v>
      </c>
    </row>
    <row r="114" spans="1:5" x14ac:dyDescent="0.2">
      <c r="A114" t="s">
        <v>770</v>
      </c>
      <c r="B114" t="s">
        <v>771</v>
      </c>
      <c r="C114" t="s">
        <v>513</v>
      </c>
      <c r="D114" t="s">
        <v>513</v>
      </c>
      <c r="E114" t="s">
        <v>589</v>
      </c>
    </row>
    <row r="115" spans="1:5" x14ac:dyDescent="0.2">
      <c r="A115" t="s">
        <v>772</v>
      </c>
      <c r="B115" t="s">
        <v>773</v>
      </c>
      <c r="C115" t="s">
        <v>513</v>
      </c>
      <c r="D115" t="s">
        <v>513</v>
      </c>
      <c r="E115" t="s">
        <v>774</v>
      </c>
    </row>
    <row r="116" spans="1:5" x14ac:dyDescent="0.2">
      <c r="A116" t="s">
        <v>775</v>
      </c>
      <c r="B116" t="s">
        <v>776</v>
      </c>
      <c r="C116" t="s">
        <v>513</v>
      </c>
      <c r="D116" t="s">
        <v>513</v>
      </c>
      <c r="E116" t="s">
        <v>526</v>
      </c>
    </row>
    <row r="117" spans="1:5" x14ac:dyDescent="0.2">
      <c r="A117" t="s">
        <v>777</v>
      </c>
      <c r="B117" t="s">
        <v>778</v>
      </c>
      <c r="C117" t="s">
        <v>513</v>
      </c>
      <c r="D117" t="s">
        <v>513</v>
      </c>
      <c r="E117" t="s">
        <v>589</v>
      </c>
    </row>
    <row r="118" spans="1:5" x14ac:dyDescent="0.2">
      <c r="A118" t="s">
        <v>779</v>
      </c>
      <c r="B118" t="s">
        <v>780</v>
      </c>
      <c r="C118" t="s">
        <v>513</v>
      </c>
      <c r="D118" t="s">
        <v>513</v>
      </c>
      <c r="E118" t="s">
        <v>520</v>
      </c>
    </row>
    <row r="119" spans="1:5" x14ac:dyDescent="0.2">
      <c r="A119" t="s">
        <v>781</v>
      </c>
      <c r="B119" t="s">
        <v>782</v>
      </c>
      <c r="C119" t="s">
        <v>513</v>
      </c>
      <c r="D119" t="s">
        <v>513</v>
      </c>
      <c r="E119" t="s">
        <v>520</v>
      </c>
    </row>
    <row r="120" spans="1:5" x14ac:dyDescent="0.2">
      <c r="A120" t="s">
        <v>783</v>
      </c>
      <c r="B120" t="s">
        <v>784</v>
      </c>
      <c r="C120" t="s">
        <v>513</v>
      </c>
      <c r="D120" t="s">
        <v>513</v>
      </c>
      <c r="E120" t="s">
        <v>785</v>
      </c>
    </row>
    <row r="121" spans="1:5" x14ac:dyDescent="0.2">
      <c r="A121" t="s">
        <v>786</v>
      </c>
      <c r="B121" t="s">
        <v>787</v>
      </c>
      <c r="C121" t="s">
        <v>513</v>
      </c>
      <c r="D121" t="s">
        <v>513</v>
      </c>
      <c r="E121" t="s">
        <v>529</v>
      </c>
    </row>
    <row r="122" spans="1:5" x14ac:dyDescent="0.2">
      <c r="A122" t="s">
        <v>788</v>
      </c>
      <c r="B122" t="s">
        <v>789</v>
      </c>
      <c r="C122" t="s">
        <v>513</v>
      </c>
      <c r="D122" t="s">
        <v>513</v>
      </c>
      <c r="E122" t="s">
        <v>517</v>
      </c>
    </row>
    <row r="123" spans="1:5" x14ac:dyDescent="0.2">
      <c r="A123" t="s">
        <v>790</v>
      </c>
      <c r="B123" t="s">
        <v>791</v>
      </c>
      <c r="C123" t="s">
        <v>513</v>
      </c>
      <c r="D123" t="s">
        <v>513</v>
      </c>
      <c r="E123" t="s">
        <v>792</v>
      </c>
    </row>
    <row r="124" spans="1:5" x14ac:dyDescent="0.2">
      <c r="A124" t="s">
        <v>793</v>
      </c>
      <c r="B124" t="s">
        <v>794</v>
      </c>
      <c r="C124" t="s">
        <v>513</v>
      </c>
      <c r="D124" t="s">
        <v>513</v>
      </c>
      <c r="E124" t="s">
        <v>529</v>
      </c>
    </row>
    <row r="125" spans="1:5" x14ac:dyDescent="0.2">
      <c r="A125" t="s">
        <v>795</v>
      </c>
      <c r="B125" t="s">
        <v>796</v>
      </c>
      <c r="C125" t="s">
        <v>513</v>
      </c>
      <c r="D125" t="s">
        <v>513</v>
      </c>
      <c r="E125" t="s">
        <v>797</v>
      </c>
    </row>
    <row r="126" spans="1:5" x14ac:dyDescent="0.2">
      <c r="A126" t="s">
        <v>798</v>
      </c>
      <c r="B126" t="s">
        <v>799</v>
      </c>
      <c r="C126" t="s">
        <v>513</v>
      </c>
      <c r="D126" t="s">
        <v>513</v>
      </c>
      <c r="E126" t="s">
        <v>526</v>
      </c>
    </row>
    <row r="127" spans="1:5" x14ac:dyDescent="0.2">
      <c r="A127" t="s">
        <v>800</v>
      </c>
      <c r="B127" t="s">
        <v>801</v>
      </c>
      <c r="C127" t="s">
        <v>513</v>
      </c>
      <c r="D127" t="s">
        <v>513</v>
      </c>
      <c r="E127" t="s">
        <v>526</v>
      </c>
    </row>
    <row r="128" spans="1:5" x14ac:dyDescent="0.2">
      <c r="A128" t="s">
        <v>802</v>
      </c>
      <c r="B128" t="s">
        <v>803</v>
      </c>
      <c r="C128" t="s">
        <v>513</v>
      </c>
      <c r="D128" t="s">
        <v>513</v>
      </c>
      <c r="E128" t="s">
        <v>804</v>
      </c>
    </row>
    <row r="129" spans="1:5" x14ac:dyDescent="0.2">
      <c r="A129" t="s">
        <v>805</v>
      </c>
      <c r="B129" t="s">
        <v>806</v>
      </c>
      <c r="C129" t="s">
        <v>513</v>
      </c>
      <c r="D129" t="s">
        <v>513</v>
      </c>
      <c r="E129" t="s">
        <v>535</v>
      </c>
    </row>
    <row r="130" spans="1:5" x14ac:dyDescent="0.2">
      <c r="A130" t="s">
        <v>807</v>
      </c>
      <c r="B130" t="s">
        <v>808</v>
      </c>
      <c r="C130" t="s">
        <v>513</v>
      </c>
      <c r="D130" t="s">
        <v>513</v>
      </c>
      <c r="E130" t="s">
        <v>526</v>
      </c>
    </row>
    <row r="131" spans="1:5" x14ac:dyDescent="0.2">
      <c r="A131" t="s">
        <v>809</v>
      </c>
      <c r="B131" t="s">
        <v>810</v>
      </c>
      <c r="C131" t="s">
        <v>513</v>
      </c>
      <c r="D131" t="s">
        <v>513</v>
      </c>
      <c r="E131" t="s">
        <v>520</v>
      </c>
    </row>
    <row r="132" spans="1:5" x14ac:dyDescent="0.2">
      <c r="A132" t="s">
        <v>811</v>
      </c>
      <c r="B132" t="s">
        <v>812</v>
      </c>
      <c r="C132" t="s">
        <v>513</v>
      </c>
      <c r="D132" t="s">
        <v>513</v>
      </c>
      <c r="E132" t="s">
        <v>523</v>
      </c>
    </row>
    <row r="133" spans="1:5" x14ac:dyDescent="0.2">
      <c r="A133" t="s">
        <v>813</v>
      </c>
      <c r="B133" t="s">
        <v>814</v>
      </c>
      <c r="C133" t="s">
        <v>513</v>
      </c>
      <c r="D133" t="s">
        <v>513</v>
      </c>
      <c r="E133" t="s">
        <v>520</v>
      </c>
    </row>
    <row r="134" spans="1:5" x14ac:dyDescent="0.2">
      <c r="A134" t="s">
        <v>815</v>
      </c>
      <c r="B134" t="s">
        <v>816</v>
      </c>
      <c r="C134" t="s">
        <v>513</v>
      </c>
      <c r="D134" t="s">
        <v>513</v>
      </c>
      <c r="E134" t="s">
        <v>529</v>
      </c>
    </row>
    <row r="135" spans="1:5" x14ac:dyDescent="0.2">
      <c r="A135" t="s">
        <v>817</v>
      </c>
      <c r="B135" t="s">
        <v>818</v>
      </c>
      <c r="C135" t="s">
        <v>513</v>
      </c>
      <c r="D135" t="s">
        <v>513</v>
      </c>
      <c r="E135" t="s">
        <v>526</v>
      </c>
    </row>
    <row r="136" spans="1:5" x14ac:dyDescent="0.2">
      <c r="A136" t="s">
        <v>819</v>
      </c>
      <c r="B136" t="s">
        <v>820</v>
      </c>
      <c r="C136" t="s">
        <v>513</v>
      </c>
      <c r="D136" t="s">
        <v>513</v>
      </c>
      <c r="E136" t="s">
        <v>526</v>
      </c>
    </row>
    <row r="137" spans="1:5" x14ac:dyDescent="0.2">
      <c r="A137" t="s">
        <v>821</v>
      </c>
      <c r="B137" t="s">
        <v>822</v>
      </c>
      <c r="C137" t="s">
        <v>513</v>
      </c>
      <c r="D137" t="s">
        <v>513</v>
      </c>
      <c r="E137" t="s">
        <v>523</v>
      </c>
    </row>
    <row r="138" spans="1:5" x14ac:dyDescent="0.2">
      <c r="A138" t="s">
        <v>823</v>
      </c>
      <c r="B138" t="s">
        <v>824</v>
      </c>
      <c r="C138" t="s">
        <v>513</v>
      </c>
      <c r="D138" t="s">
        <v>513</v>
      </c>
      <c r="E138" t="s">
        <v>825</v>
      </c>
    </row>
    <row r="139" spans="1:5" x14ac:dyDescent="0.2">
      <c r="A139" t="s">
        <v>826</v>
      </c>
      <c r="B139" t="s">
        <v>827</v>
      </c>
      <c r="C139" t="s">
        <v>513</v>
      </c>
      <c r="D139" t="s">
        <v>513</v>
      </c>
      <c r="E139" t="s">
        <v>517</v>
      </c>
    </row>
    <row r="140" spans="1:5" x14ac:dyDescent="0.2">
      <c r="A140" t="s">
        <v>828</v>
      </c>
      <c r="B140" t="s">
        <v>829</v>
      </c>
      <c r="C140" t="s">
        <v>513</v>
      </c>
      <c r="D140" t="s">
        <v>513</v>
      </c>
      <c r="E140" t="s">
        <v>529</v>
      </c>
    </row>
    <row r="141" spans="1:5" x14ac:dyDescent="0.2">
      <c r="A141" t="s">
        <v>830</v>
      </c>
      <c r="B141" t="s">
        <v>831</v>
      </c>
      <c r="C141" t="s">
        <v>513</v>
      </c>
      <c r="D141" t="s">
        <v>513</v>
      </c>
      <c r="E141" t="s">
        <v>517</v>
      </c>
    </row>
    <row r="142" spans="1:5" x14ac:dyDescent="0.2">
      <c r="A142" t="s">
        <v>832</v>
      </c>
      <c r="B142" t="s">
        <v>833</v>
      </c>
      <c r="C142" t="s">
        <v>513</v>
      </c>
      <c r="D142" t="s">
        <v>513</v>
      </c>
      <c r="E142" t="s">
        <v>834</v>
      </c>
    </row>
    <row r="143" spans="1:5" x14ac:dyDescent="0.2">
      <c r="A143" t="s">
        <v>835</v>
      </c>
      <c r="B143" t="s">
        <v>836</v>
      </c>
      <c r="C143" t="s">
        <v>513</v>
      </c>
      <c r="D143" t="s">
        <v>513</v>
      </c>
      <c r="E143" t="s">
        <v>535</v>
      </c>
    </row>
    <row r="144" spans="1:5" x14ac:dyDescent="0.2">
      <c r="A144" t="s">
        <v>837</v>
      </c>
      <c r="B144" t="s">
        <v>838</v>
      </c>
      <c r="C144" t="s">
        <v>513</v>
      </c>
      <c r="D144" t="s">
        <v>513</v>
      </c>
      <c r="E144" t="s">
        <v>517</v>
      </c>
    </row>
    <row r="145" spans="1:5" x14ac:dyDescent="0.2">
      <c r="A145" t="s">
        <v>839</v>
      </c>
      <c r="B145" t="s">
        <v>840</v>
      </c>
      <c r="C145" t="s">
        <v>513</v>
      </c>
      <c r="D145" t="s">
        <v>513</v>
      </c>
      <c r="E145" t="s">
        <v>841</v>
      </c>
    </row>
    <row r="146" spans="1:5" x14ac:dyDescent="0.2">
      <c r="A146" t="s">
        <v>842</v>
      </c>
      <c r="B146" t="s">
        <v>843</v>
      </c>
      <c r="C146" t="s">
        <v>513</v>
      </c>
      <c r="D146" t="s">
        <v>513</v>
      </c>
      <c r="E146" t="s">
        <v>589</v>
      </c>
    </row>
    <row r="147" spans="1:5" x14ac:dyDescent="0.2">
      <c r="A147" t="s">
        <v>844</v>
      </c>
      <c r="B147" t="s">
        <v>845</v>
      </c>
      <c r="C147" t="s">
        <v>513</v>
      </c>
      <c r="D147" t="s">
        <v>513</v>
      </c>
      <c r="E147" t="s">
        <v>846</v>
      </c>
    </row>
    <row r="148" spans="1:5" x14ac:dyDescent="0.2">
      <c r="A148" t="s">
        <v>847</v>
      </c>
      <c r="B148" t="s">
        <v>848</v>
      </c>
      <c r="C148" t="s">
        <v>513</v>
      </c>
      <c r="D148" t="s">
        <v>513</v>
      </c>
      <c r="E148" t="s">
        <v>589</v>
      </c>
    </row>
    <row r="149" spans="1:5" x14ac:dyDescent="0.2">
      <c r="A149" t="s">
        <v>849</v>
      </c>
      <c r="B149" t="s">
        <v>850</v>
      </c>
      <c r="C149" t="s">
        <v>513</v>
      </c>
      <c r="D149" t="s">
        <v>513</v>
      </c>
      <c r="E149" t="s">
        <v>523</v>
      </c>
    </row>
    <row r="150" spans="1:5" x14ac:dyDescent="0.2">
      <c r="A150" t="s">
        <v>851</v>
      </c>
      <c r="B150" t="s">
        <v>852</v>
      </c>
      <c r="C150" t="s">
        <v>513</v>
      </c>
      <c r="D150" t="s">
        <v>513</v>
      </c>
      <c r="E150" t="s">
        <v>520</v>
      </c>
    </row>
    <row r="151" spans="1:5" x14ac:dyDescent="0.2">
      <c r="A151" t="s">
        <v>853</v>
      </c>
      <c r="B151" t="s">
        <v>854</v>
      </c>
      <c r="C151" t="s">
        <v>513</v>
      </c>
      <c r="D151" t="s">
        <v>513</v>
      </c>
      <c r="E151" t="s">
        <v>535</v>
      </c>
    </row>
    <row r="152" spans="1:5" x14ac:dyDescent="0.2">
      <c r="A152" t="s">
        <v>855</v>
      </c>
      <c r="B152" t="s">
        <v>856</v>
      </c>
      <c r="C152" t="s">
        <v>513</v>
      </c>
      <c r="D152" t="s">
        <v>513</v>
      </c>
      <c r="E152" t="s">
        <v>857</v>
      </c>
    </row>
    <row r="153" spans="1:5" x14ac:dyDescent="0.2">
      <c r="A153" t="s">
        <v>858</v>
      </c>
      <c r="B153" t="s">
        <v>859</v>
      </c>
      <c r="C153" t="s">
        <v>513</v>
      </c>
      <c r="D153" t="s">
        <v>513</v>
      </c>
      <c r="E153" t="s">
        <v>520</v>
      </c>
    </row>
    <row r="154" spans="1:5" x14ac:dyDescent="0.2">
      <c r="A154" t="s">
        <v>860</v>
      </c>
      <c r="B154" t="s">
        <v>861</v>
      </c>
      <c r="C154" t="s">
        <v>513</v>
      </c>
      <c r="D154" t="s">
        <v>513</v>
      </c>
      <c r="E154" t="s">
        <v>862</v>
      </c>
    </row>
    <row r="155" spans="1:5" x14ac:dyDescent="0.2">
      <c r="A155" t="s">
        <v>863</v>
      </c>
      <c r="B155" t="s">
        <v>864</v>
      </c>
      <c r="C155" t="s">
        <v>513</v>
      </c>
      <c r="D155" t="s">
        <v>513</v>
      </c>
      <c r="E155" t="s">
        <v>589</v>
      </c>
    </row>
    <row r="156" spans="1:5" x14ac:dyDescent="0.2">
      <c r="A156" t="s">
        <v>865</v>
      </c>
      <c r="B156" t="s">
        <v>866</v>
      </c>
      <c r="C156" t="s">
        <v>513</v>
      </c>
      <c r="D156" t="s">
        <v>513</v>
      </c>
      <c r="E156" t="s">
        <v>535</v>
      </c>
    </row>
    <row r="157" spans="1:5" x14ac:dyDescent="0.2">
      <c r="A157" t="s">
        <v>867</v>
      </c>
      <c r="B157" t="s">
        <v>868</v>
      </c>
      <c r="C157" t="s">
        <v>513</v>
      </c>
      <c r="D157" t="s">
        <v>513</v>
      </c>
      <c r="E157" t="s">
        <v>603</v>
      </c>
    </row>
    <row r="158" spans="1:5" x14ac:dyDescent="0.2">
      <c r="A158" t="s">
        <v>869</v>
      </c>
      <c r="B158" t="s">
        <v>870</v>
      </c>
      <c r="C158" t="s">
        <v>513</v>
      </c>
      <c r="D158" t="s">
        <v>513</v>
      </c>
      <c r="E158" t="s">
        <v>871</v>
      </c>
    </row>
    <row r="159" spans="1:5" x14ac:dyDescent="0.2">
      <c r="A159" t="s">
        <v>872</v>
      </c>
      <c r="B159" t="s">
        <v>873</v>
      </c>
      <c r="C159" t="s">
        <v>513</v>
      </c>
      <c r="D159" t="s">
        <v>513</v>
      </c>
      <c r="E159" t="s">
        <v>874</v>
      </c>
    </row>
    <row r="160" spans="1:5" x14ac:dyDescent="0.2">
      <c r="A160" t="s">
        <v>875</v>
      </c>
      <c r="B160" t="s">
        <v>876</v>
      </c>
      <c r="C160" t="s">
        <v>513</v>
      </c>
      <c r="D160" t="s">
        <v>513</v>
      </c>
      <c r="E160" t="s">
        <v>535</v>
      </c>
    </row>
    <row r="161" spans="1:5" x14ac:dyDescent="0.2">
      <c r="A161" t="s">
        <v>877</v>
      </c>
      <c r="B161" t="s">
        <v>878</v>
      </c>
      <c r="C161" t="s">
        <v>513</v>
      </c>
      <c r="D161" t="s">
        <v>513</v>
      </c>
      <c r="E161" t="s">
        <v>535</v>
      </c>
    </row>
    <row r="162" spans="1:5" x14ac:dyDescent="0.2">
      <c r="A162" t="s">
        <v>879</v>
      </c>
      <c r="B162" t="s">
        <v>880</v>
      </c>
      <c r="C162" t="s">
        <v>513</v>
      </c>
      <c r="D162" t="s">
        <v>513</v>
      </c>
      <c r="E162" t="s">
        <v>881</v>
      </c>
    </row>
    <row r="163" spans="1:5" x14ac:dyDescent="0.2">
      <c r="A163" t="s">
        <v>882</v>
      </c>
      <c r="B163" t="s">
        <v>883</v>
      </c>
      <c r="C163" t="s">
        <v>513</v>
      </c>
      <c r="D163" t="s">
        <v>513</v>
      </c>
      <c r="E163" t="s">
        <v>529</v>
      </c>
    </row>
    <row r="164" spans="1:5" x14ac:dyDescent="0.2">
      <c r="A164" t="s">
        <v>884</v>
      </c>
      <c r="B164" t="s">
        <v>885</v>
      </c>
      <c r="C164" t="s">
        <v>513</v>
      </c>
      <c r="D164" t="s">
        <v>513</v>
      </c>
      <c r="E164" t="s">
        <v>886</v>
      </c>
    </row>
    <row r="165" spans="1:5" x14ac:dyDescent="0.2">
      <c r="A165" t="s">
        <v>887</v>
      </c>
      <c r="B165" t="s">
        <v>888</v>
      </c>
      <c r="C165" t="s">
        <v>513</v>
      </c>
      <c r="D165" t="s">
        <v>513</v>
      </c>
      <c r="E165" t="s">
        <v>523</v>
      </c>
    </row>
    <row r="166" spans="1:5" x14ac:dyDescent="0.2">
      <c r="A166" t="s">
        <v>889</v>
      </c>
      <c r="B166" t="s">
        <v>890</v>
      </c>
      <c r="C166" t="s">
        <v>513</v>
      </c>
      <c r="D166" t="s">
        <v>513</v>
      </c>
      <c r="E166" t="s">
        <v>517</v>
      </c>
    </row>
    <row r="167" spans="1:5" x14ac:dyDescent="0.2">
      <c r="A167" t="s">
        <v>891</v>
      </c>
      <c r="B167" t="s">
        <v>892</v>
      </c>
      <c r="C167" t="s">
        <v>513</v>
      </c>
      <c r="D167" t="s">
        <v>513</v>
      </c>
      <c r="E167" t="s">
        <v>589</v>
      </c>
    </row>
    <row r="168" spans="1:5" x14ac:dyDescent="0.2">
      <c r="A168" t="s">
        <v>893</v>
      </c>
      <c r="B168" t="s">
        <v>894</v>
      </c>
      <c r="C168" t="s">
        <v>513</v>
      </c>
      <c r="D168" t="s">
        <v>513</v>
      </c>
      <c r="E168" t="s">
        <v>529</v>
      </c>
    </row>
    <row r="169" spans="1:5" x14ac:dyDescent="0.2">
      <c r="A169" t="s">
        <v>895</v>
      </c>
      <c r="B169" t="s">
        <v>896</v>
      </c>
      <c r="C169" t="s">
        <v>513</v>
      </c>
      <c r="D169" t="s">
        <v>513</v>
      </c>
      <c r="E169" t="s">
        <v>897</v>
      </c>
    </row>
    <row r="170" spans="1:5" x14ac:dyDescent="0.2">
      <c r="A170" t="s">
        <v>898</v>
      </c>
      <c r="B170" t="s">
        <v>899</v>
      </c>
      <c r="C170" t="s">
        <v>513</v>
      </c>
      <c r="D170" t="s">
        <v>513</v>
      </c>
      <c r="E170" t="s">
        <v>523</v>
      </c>
    </row>
    <row r="171" spans="1:5" x14ac:dyDescent="0.2">
      <c r="A171" t="s">
        <v>900</v>
      </c>
      <c r="B171" t="s">
        <v>901</v>
      </c>
      <c r="C171" t="s">
        <v>513</v>
      </c>
      <c r="D171" t="s">
        <v>513</v>
      </c>
      <c r="E171" t="s">
        <v>517</v>
      </c>
    </row>
    <row r="172" spans="1:5" x14ac:dyDescent="0.2">
      <c r="A172" t="s">
        <v>902</v>
      </c>
      <c r="B172" t="s">
        <v>903</v>
      </c>
      <c r="C172" t="s">
        <v>513</v>
      </c>
      <c r="D172" t="s">
        <v>513</v>
      </c>
      <c r="E172" t="s">
        <v>526</v>
      </c>
    </row>
    <row r="173" spans="1:5" x14ac:dyDescent="0.2">
      <c r="A173" t="s">
        <v>904</v>
      </c>
      <c r="B173" t="s">
        <v>905</v>
      </c>
      <c r="C173" t="s">
        <v>513</v>
      </c>
      <c r="D173" t="s">
        <v>513</v>
      </c>
      <c r="E173" t="s">
        <v>906</v>
      </c>
    </row>
    <row r="174" spans="1:5" x14ac:dyDescent="0.2">
      <c r="A174" t="s">
        <v>907</v>
      </c>
      <c r="B174" t="s">
        <v>908</v>
      </c>
      <c r="C174" t="s">
        <v>513</v>
      </c>
      <c r="D174" t="s">
        <v>513</v>
      </c>
      <c r="E174" t="s">
        <v>529</v>
      </c>
    </row>
    <row r="175" spans="1:5" x14ac:dyDescent="0.2">
      <c r="A175" t="s">
        <v>909</v>
      </c>
      <c r="B175" t="s">
        <v>910</v>
      </c>
      <c r="C175" t="s">
        <v>513</v>
      </c>
      <c r="D175" t="s">
        <v>513</v>
      </c>
      <c r="E175" t="s">
        <v>523</v>
      </c>
    </row>
    <row r="176" spans="1:5" x14ac:dyDescent="0.2">
      <c r="A176" t="s">
        <v>911</v>
      </c>
      <c r="B176" t="s">
        <v>912</v>
      </c>
      <c r="C176" t="s">
        <v>513</v>
      </c>
      <c r="D176" t="s">
        <v>513</v>
      </c>
      <c r="E176" t="s">
        <v>517</v>
      </c>
    </row>
    <row r="177" spans="1:5" x14ac:dyDescent="0.2">
      <c r="A177" t="s">
        <v>913</v>
      </c>
      <c r="B177" t="s">
        <v>914</v>
      </c>
      <c r="C177" t="s">
        <v>513</v>
      </c>
      <c r="D177" t="s">
        <v>513</v>
      </c>
      <c r="E177" t="s">
        <v>523</v>
      </c>
    </row>
    <row r="178" spans="1:5" x14ac:dyDescent="0.2">
      <c r="A178" t="s">
        <v>915</v>
      </c>
      <c r="B178" t="s">
        <v>916</v>
      </c>
      <c r="C178" t="s">
        <v>513</v>
      </c>
      <c r="D178" t="s">
        <v>513</v>
      </c>
      <c r="E178" t="s">
        <v>535</v>
      </c>
    </row>
    <row r="179" spans="1:5" x14ac:dyDescent="0.2">
      <c r="A179" t="s">
        <v>917</v>
      </c>
      <c r="B179" t="s">
        <v>918</v>
      </c>
      <c r="C179" t="s">
        <v>513</v>
      </c>
      <c r="D179" t="s">
        <v>513</v>
      </c>
      <c r="E179" t="s">
        <v>919</v>
      </c>
    </row>
    <row r="180" spans="1:5" x14ac:dyDescent="0.2">
      <c r="A180" t="s">
        <v>920</v>
      </c>
      <c r="B180" t="s">
        <v>921</v>
      </c>
      <c r="C180" t="s">
        <v>513</v>
      </c>
      <c r="D180" t="s">
        <v>513</v>
      </c>
      <c r="E180" t="s">
        <v>535</v>
      </c>
    </row>
    <row r="181" spans="1:5" x14ac:dyDescent="0.2">
      <c r="A181" t="s">
        <v>922</v>
      </c>
      <c r="B181" t="s">
        <v>923</v>
      </c>
      <c r="C181" t="s">
        <v>513</v>
      </c>
      <c r="D181" t="s">
        <v>513</v>
      </c>
      <c r="E181" t="s">
        <v>924</v>
      </c>
    </row>
    <row r="182" spans="1:5" x14ac:dyDescent="0.2">
      <c r="A182" t="s">
        <v>925</v>
      </c>
      <c r="B182" t="s">
        <v>926</v>
      </c>
      <c r="C182" t="s">
        <v>513</v>
      </c>
      <c r="D182" t="s">
        <v>513</v>
      </c>
      <c r="E182" t="s">
        <v>523</v>
      </c>
    </row>
    <row r="183" spans="1:5" x14ac:dyDescent="0.2">
      <c r="A183" t="s">
        <v>927</v>
      </c>
      <c r="B183" t="s">
        <v>928</v>
      </c>
      <c r="C183" t="s">
        <v>513</v>
      </c>
      <c r="D183" t="s">
        <v>513</v>
      </c>
      <c r="E183" t="s">
        <v>517</v>
      </c>
    </row>
    <row r="184" spans="1:5" x14ac:dyDescent="0.2">
      <c r="A184" t="s">
        <v>929</v>
      </c>
      <c r="B184" t="s">
        <v>930</v>
      </c>
      <c r="C184" t="s">
        <v>513</v>
      </c>
      <c r="D184" t="s">
        <v>513</v>
      </c>
      <c r="E184" t="s">
        <v>529</v>
      </c>
    </row>
    <row r="185" spans="1:5" x14ac:dyDescent="0.2">
      <c r="A185" t="s">
        <v>931</v>
      </c>
      <c r="B185" t="s">
        <v>932</v>
      </c>
      <c r="C185" t="s">
        <v>513</v>
      </c>
      <c r="D185" t="s">
        <v>513</v>
      </c>
      <c r="E185" t="s">
        <v>520</v>
      </c>
    </row>
    <row r="186" spans="1:5" x14ac:dyDescent="0.2">
      <c r="A186" t="s">
        <v>933</v>
      </c>
      <c r="B186" t="s">
        <v>934</v>
      </c>
      <c r="C186" t="s">
        <v>513</v>
      </c>
      <c r="D186" t="s">
        <v>513</v>
      </c>
      <c r="E186" t="s">
        <v>935</v>
      </c>
    </row>
    <row r="187" spans="1:5" x14ac:dyDescent="0.2">
      <c r="A187" t="s">
        <v>936</v>
      </c>
      <c r="B187" t="s">
        <v>937</v>
      </c>
      <c r="C187" t="s">
        <v>513</v>
      </c>
      <c r="D187" t="s">
        <v>513</v>
      </c>
      <c r="E187" t="s">
        <v>517</v>
      </c>
    </row>
    <row r="188" spans="1:5" x14ac:dyDescent="0.2">
      <c r="A188" t="s">
        <v>938</v>
      </c>
      <c r="B188" t="s">
        <v>939</v>
      </c>
      <c r="C188" t="s">
        <v>513</v>
      </c>
      <c r="D188" t="s">
        <v>513</v>
      </c>
      <c r="E188" t="s">
        <v>940</v>
      </c>
    </row>
    <row r="189" spans="1:5" x14ac:dyDescent="0.2">
      <c r="A189" t="s">
        <v>941</v>
      </c>
      <c r="B189" t="s">
        <v>942</v>
      </c>
      <c r="C189" t="s">
        <v>513</v>
      </c>
      <c r="D189" t="s">
        <v>513</v>
      </c>
      <c r="E189" t="s">
        <v>943</v>
      </c>
    </row>
    <row r="190" spans="1:5" x14ac:dyDescent="0.2">
      <c r="A190" t="s">
        <v>944</v>
      </c>
      <c r="B190" t="s">
        <v>945</v>
      </c>
      <c r="C190" t="s">
        <v>513</v>
      </c>
      <c r="D190" t="s">
        <v>513</v>
      </c>
      <c r="E190" t="s">
        <v>526</v>
      </c>
    </row>
    <row r="191" spans="1:5" x14ac:dyDescent="0.2">
      <c r="A191" t="s">
        <v>946</v>
      </c>
      <c r="B191" t="s">
        <v>947</v>
      </c>
      <c r="C191" t="s">
        <v>513</v>
      </c>
      <c r="D191" t="s">
        <v>513</v>
      </c>
      <c r="E191" t="s">
        <v>948</v>
      </c>
    </row>
    <row r="192" spans="1:5" x14ac:dyDescent="0.2">
      <c r="A192" t="s">
        <v>949</v>
      </c>
      <c r="B192" t="s">
        <v>950</v>
      </c>
      <c r="C192" t="s">
        <v>513</v>
      </c>
      <c r="D192" t="s">
        <v>513</v>
      </c>
      <c r="E192" t="s">
        <v>517</v>
      </c>
    </row>
    <row r="193" spans="1:5" x14ac:dyDescent="0.2">
      <c r="A193" t="s">
        <v>951</v>
      </c>
      <c r="B193" t="s">
        <v>952</v>
      </c>
      <c r="C193" t="s">
        <v>513</v>
      </c>
      <c r="D193" t="s">
        <v>513</v>
      </c>
      <c r="E193" t="s">
        <v>523</v>
      </c>
    </row>
    <row r="194" spans="1:5" x14ac:dyDescent="0.2">
      <c r="A194" t="s">
        <v>953</v>
      </c>
      <c r="B194" t="s">
        <v>954</v>
      </c>
      <c r="C194" t="s">
        <v>513</v>
      </c>
      <c r="D194" t="s">
        <v>513</v>
      </c>
      <c r="E194" t="s">
        <v>792</v>
      </c>
    </row>
    <row r="195" spans="1:5" x14ac:dyDescent="0.2">
      <c r="A195" t="s">
        <v>955</v>
      </c>
      <c r="B195" t="s">
        <v>956</v>
      </c>
      <c r="C195" t="s">
        <v>513</v>
      </c>
      <c r="D195" t="s">
        <v>513</v>
      </c>
      <c r="E195" t="s">
        <v>924</v>
      </c>
    </row>
    <row r="196" spans="1:5" x14ac:dyDescent="0.2">
      <c r="A196" t="s">
        <v>957</v>
      </c>
      <c r="B196" t="s">
        <v>958</v>
      </c>
      <c r="C196" t="s">
        <v>513</v>
      </c>
      <c r="D196" t="s">
        <v>513</v>
      </c>
      <c r="E196" t="s">
        <v>959</v>
      </c>
    </row>
    <row r="197" spans="1:5" x14ac:dyDescent="0.2">
      <c r="A197" t="s">
        <v>960</v>
      </c>
      <c r="B197" t="s">
        <v>961</v>
      </c>
      <c r="C197" t="s">
        <v>513</v>
      </c>
      <c r="D197" t="s">
        <v>513</v>
      </c>
      <c r="E197" t="s">
        <v>517</v>
      </c>
    </row>
    <row r="198" spans="1:5" x14ac:dyDescent="0.2">
      <c r="A198" t="s">
        <v>962</v>
      </c>
      <c r="B198" t="s">
        <v>963</v>
      </c>
      <c r="C198" t="s">
        <v>513</v>
      </c>
      <c r="D198" t="s">
        <v>513</v>
      </c>
      <c r="E198" t="s">
        <v>517</v>
      </c>
    </row>
    <row r="199" spans="1:5" x14ac:dyDescent="0.2">
      <c r="A199" t="s">
        <v>964</v>
      </c>
      <c r="B199" t="s">
        <v>965</v>
      </c>
      <c r="C199" t="s">
        <v>513</v>
      </c>
      <c r="D199" t="s">
        <v>513</v>
      </c>
      <c r="E199" t="s">
        <v>517</v>
      </c>
    </row>
    <row r="200" spans="1:5" x14ac:dyDescent="0.2">
      <c r="A200" t="s">
        <v>966</v>
      </c>
      <c r="B200" t="s">
        <v>967</v>
      </c>
      <c r="C200" t="s">
        <v>513</v>
      </c>
      <c r="D200" t="s">
        <v>513</v>
      </c>
      <c r="E200" t="s">
        <v>526</v>
      </c>
    </row>
    <row r="201" spans="1:5" x14ac:dyDescent="0.2">
      <c r="A201" t="s">
        <v>968</v>
      </c>
      <c r="B201" t="s">
        <v>969</v>
      </c>
      <c r="C201" t="s">
        <v>513</v>
      </c>
      <c r="D201" t="s">
        <v>513</v>
      </c>
      <c r="E201" t="s">
        <v>970</v>
      </c>
    </row>
    <row r="202" spans="1:5" x14ac:dyDescent="0.2">
      <c r="A202" t="s">
        <v>971</v>
      </c>
      <c r="B202" t="s">
        <v>972</v>
      </c>
      <c r="C202" t="s">
        <v>513</v>
      </c>
      <c r="D202" t="s">
        <v>513</v>
      </c>
      <c r="E202" t="s">
        <v>517</v>
      </c>
    </row>
    <row r="203" spans="1:5" x14ac:dyDescent="0.2">
      <c r="A203" t="s">
        <v>973</v>
      </c>
      <c r="B203" t="s">
        <v>974</v>
      </c>
      <c r="C203" t="s">
        <v>513</v>
      </c>
      <c r="D203" t="s">
        <v>513</v>
      </c>
      <c r="E203" t="s">
        <v>529</v>
      </c>
    </row>
    <row r="204" spans="1:5" x14ac:dyDescent="0.2">
      <c r="A204" t="s">
        <v>975</v>
      </c>
      <c r="B204" t="s">
        <v>976</v>
      </c>
      <c r="C204" t="s">
        <v>513</v>
      </c>
      <c r="D204" t="s">
        <v>513</v>
      </c>
      <c r="E204" t="s">
        <v>529</v>
      </c>
    </row>
    <row r="205" spans="1:5" x14ac:dyDescent="0.2">
      <c r="A205" t="s">
        <v>977</v>
      </c>
      <c r="B205" t="s">
        <v>978</v>
      </c>
      <c r="C205" t="s">
        <v>513</v>
      </c>
      <c r="D205" t="s">
        <v>513</v>
      </c>
      <c r="E205" t="s">
        <v>523</v>
      </c>
    </row>
    <row r="206" spans="1:5" x14ac:dyDescent="0.2">
      <c r="A206" t="s">
        <v>979</v>
      </c>
      <c r="B206" t="s">
        <v>980</v>
      </c>
      <c r="C206" t="s">
        <v>513</v>
      </c>
      <c r="D206" t="s">
        <v>513</v>
      </c>
      <c r="E206" t="s">
        <v>523</v>
      </c>
    </row>
    <row r="207" spans="1:5" x14ac:dyDescent="0.2">
      <c r="A207" t="s">
        <v>981</v>
      </c>
      <c r="B207" t="s">
        <v>982</v>
      </c>
      <c r="C207" t="s">
        <v>513</v>
      </c>
      <c r="D207" t="s">
        <v>513</v>
      </c>
      <c r="E207" t="s">
        <v>523</v>
      </c>
    </row>
    <row r="208" spans="1:5" x14ac:dyDescent="0.2">
      <c r="A208" t="s">
        <v>983</v>
      </c>
      <c r="B208" t="s">
        <v>984</v>
      </c>
      <c r="C208" t="s">
        <v>513</v>
      </c>
      <c r="D208" t="s">
        <v>513</v>
      </c>
      <c r="E208" t="s">
        <v>603</v>
      </c>
    </row>
    <row r="209" spans="1:5" x14ac:dyDescent="0.2">
      <c r="A209" t="s">
        <v>985</v>
      </c>
      <c r="B209" t="s">
        <v>986</v>
      </c>
      <c r="C209" t="s">
        <v>513</v>
      </c>
      <c r="D209" t="s">
        <v>513</v>
      </c>
      <c r="E209" t="s">
        <v>529</v>
      </c>
    </row>
    <row r="210" spans="1:5" x14ac:dyDescent="0.2">
      <c r="A210" t="s">
        <v>987</v>
      </c>
      <c r="B210" t="s">
        <v>988</v>
      </c>
      <c r="C210" t="s">
        <v>513</v>
      </c>
      <c r="D210" t="s">
        <v>513</v>
      </c>
      <c r="E210" t="s">
        <v>603</v>
      </c>
    </row>
    <row r="211" spans="1:5" x14ac:dyDescent="0.2">
      <c r="A211" t="s">
        <v>989</v>
      </c>
      <c r="B211" t="s">
        <v>990</v>
      </c>
      <c r="C211" t="s">
        <v>513</v>
      </c>
      <c r="D211" t="s">
        <v>513</v>
      </c>
      <c r="E211" t="s">
        <v>526</v>
      </c>
    </row>
    <row r="212" spans="1:5" x14ac:dyDescent="0.2">
      <c r="A212" t="s">
        <v>991</v>
      </c>
      <c r="B212" t="s">
        <v>992</v>
      </c>
      <c r="C212" t="s">
        <v>513</v>
      </c>
      <c r="D212" t="s">
        <v>513</v>
      </c>
      <c r="E212" t="s">
        <v>535</v>
      </c>
    </row>
    <row r="213" spans="1:5" x14ac:dyDescent="0.2">
      <c r="A213" t="s">
        <v>993</v>
      </c>
      <c r="B213" t="s">
        <v>994</v>
      </c>
      <c r="C213" t="s">
        <v>513</v>
      </c>
      <c r="D213" t="s">
        <v>513</v>
      </c>
      <c r="E213" t="s">
        <v>529</v>
      </c>
    </row>
    <row r="214" spans="1:5" x14ac:dyDescent="0.2">
      <c r="A214" t="s">
        <v>995</v>
      </c>
      <c r="B214" t="s">
        <v>996</v>
      </c>
      <c r="C214" t="s">
        <v>513</v>
      </c>
      <c r="D214" t="s">
        <v>513</v>
      </c>
      <c r="E214" t="s">
        <v>997</v>
      </c>
    </row>
    <row r="215" spans="1:5" x14ac:dyDescent="0.2">
      <c r="A215" t="s">
        <v>998</v>
      </c>
      <c r="B215" t="s">
        <v>999</v>
      </c>
      <c r="C215" t="s">
        <v>513</v>
      </c>
      <c r="D215" t="s">
        <v>513</v>
      </c>
      <c r="E215" t="s">
        <v>526</v>
      </c>
    </row>
    <row r="216" spans="1:5" x14ac:dyDescent="0.2">
      <c r="A216" t="s">
        <v>1000</v>
      </c>
      <c r="B216" t="s">
        <v>1001</v>
      </c>
      <c r="C216" t="s">
        <v>513</v>
      </c>
      <c r="D216" t="s">
        <v>513</v>
      </c>
      <c r="E216" t="s">
        <v>1002</v>
      </c>
    </row>
    <row r="217" spans="1:5" x14ac:dyDescent="0.2">
      <c r="A217" t="s">
        <v>1003</v>
      </c>
      <c r="B217" t="s">
        <v>1004</v>
      </c>
      <c r="C217" t="s">
        <v>513</v>
      </c>
      <c r="D217" t="s">
        <v>513</v>
      </c>
      <c r="E217" t="s">
        <v>520</v>
      </c>
    </row>
    <row r="218" spans="1:5" x14ac:dyDescent="0.2">
      <c r="A218" t="s">
        <v>1005</v>
      </c>
      <c r="B218" t="s">
        <v>1006</v>
      </c>
      <c r="C218" t="s">
        <v>513</v>
      </c>
      <c r="D218" t="s">
        <v>513</v>
      </c>
      <c r="E218" t="s">
        <v>520</v>
      </c>
    </row>
    <row r="219" spans="1:5" x14ac:dyDescent="0.2">
      <c r="A219" t="s">
        <v>1007</v>
      </c>
      <c r="B219" t="s">
        <v>1008</v>
      </c>
      <c r="C219" t="s">
        <v>513</v>
      </c>
      <c r="D219" t="s">
        <v>513</v>
      </c>
      <c r="E219" t="s">
        <v>517</v>
      </c>
    </row>
    <row r="220" spans="1:5" x14ac:dyDescent="0.2">
      <c r="A220" t="s">
        <v>1009</v>
      </c>
      <c r="B220" t="s">
        <v>1010</v>
      </c>
      <c r="C220" t="s">
        <v>513</v>
      </c>
      <c r="D220" t="s">
        <v>513</v>
      </c>
      <c r="E220" t="s">
        <v>603</v>
      </c>
    </row>
    <row r="221" spans="1:5" x14ac:dyDescent="0.2">
      <c r="A221" t="s">
        <v>1011</v>
      </c>
      <c r="B221" t="s">
        <v>1012</v>
      </c>
      <c r="C221" t="s">
        <v>513</v>
      </c>
      <c r="D221" t="s">
        <v>513</v>
      </c>
      <c r="E221" t="s">
        <v>529</v>
      </c>
    </row>
    <row r="222" spans="1:5" x14ac:dyDescent="0.2">
      <c r="A222" t="s">
        <v>1013</v>
      </c>
      <c r="B222" t="s">
        <v>1014</v>
      </c>
      <c r="C222" t="s">
        <v>513</v>
      </c>
      <c r="D222" t="s">
        <v>513</v>
      </c>
      <c r="E222" t="s">
        <v>834</v>
      </c>
    </row>
    <row r="223" spans="1:5" x14ac:dyDescent="0.2">
      <c r="A223" t="s">
        <v>1015</v>
      </c>
      <c r="B223" t="s">
        <v>1016</v>
      </c>
      <c r="C223" t="s">
        <v>513</v>
      </c>
      <c r="D223" t="s">
        <v>513</v>
      </c>
      <c r="E223" t="s">
        <v>517</v>
      </c>
    </row>
    <row r="224" spans="1:5" x14ac:dyDescent="0.2">
      <c r="A224" t="s">
        <v>1017</v>
      </c>
      <c r="B224" t="s">
        <v>1018</v>
      </c>
      <c r="C224" t="s">
        <v>513</v>
      </c>
      <c r="D224" t="s">
        <v>513</v>
      </c>
      <c r="E224" t="s">
        <v>517</v>
      </c>
    </row>
    <row r="225" spans="1:5" x14ac:dyDescent="0.2">
      <c r="A225" t="s">
        <v>1019</v>
      </c>
      <c r="B225" t="s">
        <v>1020</v>
      </c>
      <c r="C225" t="s">
        <v>513</v>
      </c>
      <c r="D225" t="s">
        <v>513</v>
      </c>
      <c r="E225" t="s">
        <v>603</v>
      </c>
    </row>
    <row r="226" spans="1:5" x14ac:dyDescent="0.2">
      <c r="A226" t="s">
        <v>1021</v>
      </c>
      <c r="B226" t="s">
        <v>1022</v>
      </c>
      <c r="C226" t="s">
        <v>513</v>
      </c>
      <c r="D226" t="s">
        <v>513</v>
      </c>
      <c r="E226" t="s">
        <v>526</v>
      </c>
    </row>
    <row r="227" spans="1:5" x14ac:dyDescent="0.2">
      <c r="A227" t="s">
        <v>1023</v>
      </c>
      <c r="B227" t="s">
        <v>1024</v>
      </c>
      <c r="C227" t="s">
        <v>513</v>
      </c>
      <c r="D227" t="s">
        <v>513</v>
      </c>
      <c r="E227" t="s">
        <v>523</v>
      </c>
    </row>
    <row r="228" spans="1:5" x14ac:dyDescent="0.2">
      <c r="A228" t="s">
        <v>1025</v>
      </c>
      <c r="B228" t="s">
        <v>1026</v>
      </c>
      <c r="C228" t="s">
        <v>513</v>
      </c>
      <c r="D228" t="s">
        <v>513</v>
      </c>
      <c r="E228" t="s">
        <v>529</v>
      </c>
    </row>
    <row r="229" spans="1:5" x14ac:dyDescent="0.2">
      <c r="A229" t="s">
        <v>1027</v>
      </c>
      <c r="B229" t="s">
        <v>1028</v>
      </c>
      <c r="C229" t="s">
        <v>513</v>
      </c>
      <c r="D229" t="s">
        <v>513</v>
      </c>
      <c r="E229" t="s">
        <v>589</v>
      </c>
    </row>
    <row r="230" spans="1:5" x14ac:dyDescent="0.2">
      <c r="A230" t="s">
        <v>1029</v>
      </c>
      <c r="B230" t="s">
        <v>1030</v>
      </c>
      <c r="C230" t="s">
        <v>513</v>
      </c>
      <c r="D230" t="s">
        <v>513</v>
      </c>
      <c r="E230" t="s">
        <v>523</v>
      </c>
    </row>
    <row r="231" spans="1:5" x14ac:dyDescent="0.2">
      <c r="A231" t="s">
        <v>1031</v>
      </c>
      <c r="B231" t="s">
        <v>1032</v>
      </c>
      <c r="C231" t="s">
        <v>513</v>
      </c>
      <c r="D231" t="s">
        <v>513</v>
      </c>
      <c r="E231" t="s">
        <v>517</v>
      </c>
    </row>
    <row r="232" spans="1:5" x14ac:dyDescent="0.2">
      <c r="A232" t="s">
        <v>1033</v>
      </c>
      <c r="B232" t="s">
        <v>1034</v>
      </c>
      <c r="C232" t="s">
        <v>513</v>
      </c>
      <c r="D232" t="s">
        <v>513</v>
      </c>
      <c r="E232" t="s">
        <v>523</v>
      </c>
    </row>
    <row r="233" spans="1:5" x14ac:dyDescent="0.2">
      <c r="A233" t="s">
        <v>1035</v>
      </c>
      <c r="B233" t="s">
        <v>1036</v>
      </c>
      <c r="C233" t="s">
        <v>513</v>
      </c>
      <c r="D233" t="s">
        <v>513</v>
      </c>
      <c r="E233" t="s">
        <v>529</v>
      </c>
    </row>
    <row r="234" spans="1:5" x14ac:dyDescent="0.2">
      <c r="A234" t="s">
        <v>1037</v>
      </c>
      <c r="B234" t="s">
        <v>1038</v>
      </c>
      <c r="C234" t="s">
        <v>513</v>
      </c>
      <c r="D234" t="s">
        <v>513</v>
      </c>
      <c r="E234" t="s">
        <v>520</v>
      </c>
    </row>
    <row r="235" spans="1:5" x14ac:dyDescent="0.2">
      <c r="A235" t="s">
        <v>1039</v>
      </c>
      <c r="B235" t="s">
        <v>1040</v>
      </c>
      <c r="C235" t="s">
        <v>513</v>
      </c>
      <c r="D235" t="s">
        <v>513</v>
      </c>
      <c r="E235" t="s">
        <v>529</v>
      </c>
    </row>
    <row r="236" spans="1:5" x14ac:dyDescent="0.2">
      <c r="A236" t="s">
        <v>1041</v>
      </c>
      <c r="B236" t="s">
        <v>1042</v>
      </c>
      <c r="C236" t="s">
        <v>513</v>
      </c>
      <c r="D236" t="s">
        <v>513</v>
      </c>
      <c r="E236" t="s">
        <v>589</v>
      </c>
    </row>
    <row r="237" spans="1:5" x14ac:dyDescent="0.2">
      <c r="A237" t="s">
        <v>1043</v>
      </c>
      <c r="B237" t="s">
        <v>1044</v>
      </c>
      <c r="C237" t="s">
        <v>513</v>
      </c>
      <c r="D237" t="s">
        <v>513</v>
      </c>
      <c r="E237" t="s">
        <v>520</v>
      </c>
    </row>
    <row r="238" spans="1:5" x14ac:dyDescent="0.2">
      <c r="A238" t="s">
        <v>1045</v>
      </c>
      <c r="B238" t="s">
        <v>1046</v>
      </c>
      <c r="C238" t="s">
        <v>513</v>
      </c>
      <c r="D238" t="s">
        <v>513</v>
      </c>
      <c r="E238" t="s">
        <v>603</v>
      </c>
    </row>
    <row r="239" spans="1:5" x14ac:dyDescent="0.2">
      <c r="A239" t="s">
        <v>1047</v>
      </c>
      <c r="B239" t="s">
        <v>1048</v>
      </c>
      <c r="C239" t="s">
        <v>513</v>
      </c>
      <c r="D239" t="s">
        <v>513</v>
      </c>
      <c r="E239" t="s">
        <v>970</v>
      </c>
    </row>
    <row r="240" spans="1:5" x14ac:dyDescent="0.2">
      <c r="A240" t="s">
        <v>1049</v>
      </c>
      <c r="B240" t="s">
        <v>1050</v>
      </c>
      <c r="C240" t="s">
        <v>513</v>
      </c>
      <c r="D240" t="s">
        <v>513</v>
      </c>
      <c r="E240" t="s">
        <v>526</v>
      </c>
    </row>
    <row r="241" spans="1:5" x14ac:dyDescent="0.2">
      <c r="A241" t="s">
        <v>1051</v>
      </c>
      <c r="B241" t="s">
        <v>1052</v>
      </c>
      <c r="C241" t="s">
        <v>513</v>
      </c>
      <c r="D241" t="s">
        <v>513</v>
      </c>
      <c r="E241" t="s">
        <v>603</v>
      </c>
    </row>
    <row r="242" spans="1:5" x14ac:dyDescent="0.2">
      <c r="A242" t="s">
        <v>1053</v>
      </c>
      <c r="B242" t="s">
        <v>1054</v>
      </c>
      <c r="C242" t="s">
        <v>513</v>
      </c>
      <c r="D242" t="s">
        <v>513</v>
      </c>
      <c r="E242" t="s">
        <v>589</v>
      </c>
    </row>
    <row r="243" spans="1:5" x14ac:dyDescent="0.2">
      <c r="A243" t="s">
        <v>1055</v>
      </c>
      <c r="B243" t="s">
        <v>1056</v>
      </c>
      <c r="C243" t="s">
        <v>513</v>
      </c>
      <c r="D243" t="s">
        <v>513</v>
      </c>
      <c r="E243" t="s">
        <v>603</v>
      </c>
    </row>
    <row r="244" spans="1:5" x14ac:dyDescent="0.2">
      <c r="A244" t="s">
        <v>1057</v>
      </c>
      <c r="B244" t="s">
        <v>1058</v>
      </c>
      <c r="C244" t="s">
        <v>513</v>
      </c>
      <c r="D244" t="s">
        <v>513</v>
      </c>
      <c r="E244" t="s">
        <v>523</v>
      </c>
    </row>
    <row r="245" spans="1:5" x14ac:dyDescent="0.2">
      <c r="A245" t="s">
        <v>1059</v>
      </c>
      <c r="B245" t="s">
        <v>1060</v>
      </c>
      <c r="C245" t="s">
        <v>513</v>
      </c>
      <c r="D245" t="s">
        <v>513</v>
      </c>
      <c r="E245" t="s">
        <v>1061</v>
      </c>
    </row>
    <row r="246" spans="1:5" x14ac:dyDescent="0.2">
      <c r="A246" t="s">
        <v>1062</v>
      </c>
      <c r="B246" t="s">
        <v>1063</v>
      </c>
      <c r="C246" t="s">
        <v>513</v>
      </c>
      <c r="D246" t="s">
        <v>513</v>
      </c>
      <c r="E246" t="s">
        <v>1064</v>
      </c>
    </row>
    <row r="247" spans="1:5" x14ac:dyDescent="0.2">
      <c r="A247" t="s">
        <v>1065</v>
      </c>
      <c r="B247" t="s">
        <v>1066</v>
      </c>
      <c r="C247" t="s">
        <v>513</v>
      </c>
      <c r="D247" t="s">
        <v>513</v>
      </c>
      <c r="E247" t="s">
        <v>517</v>
      </c>
    </row>
    <row r="248" spans="1:5" x14ac:dyDescent="0.2">
      <c r="A248" t="s">
        <v>1067</v>
      </c>
      <c r="B248" t="s">
        <v>1068</v>
      </c>
      <c r="C248" t="s">
        <v>513</v>
      </c>
      <c r="D248" t="s">
        <v>513</v>
      </c>
      <c r="E248" t="s">
        <v>529</v>
      </c>
    </row>
    <row r="249" spans="1:5" x14ac:dyDescent="0.2">
      <c r="A249" t="s">
        <v>1069</v>
      </c>
      <c r="B249" t="s">
        <v>1070</v>
      </c>
      <c r="C249" t="s">
        <v>513</v>
      </c>
      <c r="D249" t="s">
        <v>513</v>
      </c>
      <c r="E249" t="s">
        <v>603</v>
      </c>
    </row>
    <row r="250" spans="1:5" x14ac:dyDescent="0.2">
      <c r="A250" t="s">
        <v>1071</v>
      </c>
      <c r="B250" t="s">
        <v>1072</v>
      </c>
      <c r="C250" t="s">
        <v>513</v>
      </c>
      <c r="D250" t="s">
        <v>513</v>
      </c>
      <c r="E250" t="s">
        <v>535</v>
      </c>
    </row>
    <row r="251" spans="1:5" x14ac:dyDescent="0.2">
      <c r="A251" t="s">
        <v>1073</v>
      </c>
      <c r="B251" t="s">
        <v>1074</v>
      </c>
      <c r="C251" t="s">
        <v>513</v>
      </c>
      <c r="D251" t="s">
        <v>513</v>
      </c>
      <c r="E251" t="s">
        <v>517</v>
      </c>
    </row>
    <row r="252" spans="1:5" x14ac:dyDescent="0.2">
      <c r="A252" t="s">
        <v>1075</v>
      </c>
      <c r="B252" t="s">
        <v>1076</v>
      </c>
      <c r="C252" t="s">
        <v>513</v>
      </c>
      <c r="D252" t="s">
        <v>513</v>
      </c>
      <c r="E252" t="s">
        <v>1077</v>
      </c>
    </row>
    <row r="253" spans="1:5" x14ac:dyDescent="0.2">
      <c r="A253" t="s">
        <v>1078</v>
      </c>
      <c r="B253" t="s">
        <v>1079</v>
      </c>
      <c r="C253" t="s">
        <v>513</v>
      </c>
      <c r="D253" t="s">
        <v>513</v>
      </c>
      <c r="E253" t="s">
        <v>589</v>
      </c>
    </row>
    <row r="254" spans="1:5" x14ac:dyDescent="0.2">
      <c r="A254" t="s">
        <v>1080</v>
      </c>
      <c r="B254" t="s">
        <v>1081</v>
      </c>
      <c r="C254" t="s">
        <v>513</v>
      </c>
      <c r="D254" t="s">
        <v>513</v>
      </c>
      <c r="E254" t="s">
        <v>1082</v>
      </c>
    </row>
    <row r="255" spans="1:5" x14ac:dyDescent="0.2">
      <c r="A255" t="s">
        <v>1083</v>
      </c>
      <c r="B255" t="s">
        <v>1084</v>
      </c>
      <c r="C255" t="s">
        <v>513</v>
      </c>
      <c r="D255" t="s">
        <v>513</v>
      </c>
      <c r="E255" t="s">
        <v>683</v>
      </c>
    </row>
    <row r="256" spans="1:5" x14ac:dyDescent="0.2">
      <c r="A256" t="s">
        <v>1085</v>
      </c>
      <c r="B256" t="s">
        <v>1086</v>
      </c>
      <c r="C256" t="s">
        <v>513</v>
      </c>
      <c r="D256" t="s">
        <v>513</v>
      </c>
      <c r="E256" t="s">
        <v>589</v>
      </c>
    </row>
    <row r="257" spans="1:5" x14ac:dyDescent="0.2">
      <c r="A257" t="s">
        <v>1087</v>
      </c>
      <c r="B257" t="s">
        <v>1088</v>
      </c>
      <c r="C257" t="s">
        <v>513</v>
      </c>
      <c r="D257" t="s">
        <v>513</v>
      </c>
      <c r="E257" t="s">
        <v>517</v>
      </c>
    </row>
    <row r="258" spans="1:5" x14ac:dyDescent="0.2">
      <c r="A258" t="s">
        <v>1089</v>
      </c>
      <c r="B258" t="s">
        <v>1090</v>
      </c>
      <c r="C258" t="s">
        <v>513</v>
      </c>
      <c r="D258" t="s">
        <v>513</v>
      </c>
      <c r="E258" t="s">
        <v>523</v>
      </c>
    </row>
    <row r="259" spans="1:5" x14ac:dyDescent="0.2">
      <c r="A259" t="s">
        <v>1091</v>
      </c>
      <c r="B259" t="s">
        <v>1092</v>
      </c>
      <c r="C259" t="s">
        <v>513</v>
      </c>
      <c r="D259" t="s">
        <v>513</v>
      </c>
      <c r="E259" t="s">
        <v>603</v>
      </c>
    </row>
    <row r="260" spans="1:5" x14ac:dyDescent="0.2">
      <c r="A260" t="s">
        <v>1093</v>
      </c>
      <c r="B260" t="s">
        <v>1094</v>
      </c>
      <c r="C260" t="s">
        <v>513</v>
      </c>
      <c r="D260" t="s">
        <v>513</v>
      </c>
      <c r="E260" t="s">
        <v>1095</v>
      </c>
    </row>
    <row r="261" spans="1:5" x14ac:dyDescent="0.2">
      <c r="A261" t="s">
        <v>1096</v>
      </c>
      <c r="B261" t="s">
        <v>1097</v>
      </c>
      <c r="C261" t="s">
        <v>513</v>
      </c>
      <c r="D261" t="s">
        <v>513</v>
      </c>
      <c r="E261" t="s">
        <v>523</v>
      </c>
    </row>
    <row r="262" spans="1:5" x14ac:dyDescent="0.2">
      <c r="A262" t="s">
        <v>1098</v>
      </c>
      <c r="B262" t="s">
        <v>1099</v>
      </c>
      <c r="C262" t="s">
        <v>513</v>
      </c>
      <c r="D262" t="s">
        <v>513</v>
      </c>
      <c r="E262" t="s">
        <v>1100</v>
      </c>
    </row>
    <row r="263" spans="1:5" x14ac:dyDescent="0.2">
      <c r="A263" t="s">
        <v>1101</v>
      </c>
      <c r="B263" t="s">
        <v>1102</v>
      </c>
      <c r="C263" t="s">
        <v>513</v>
      </c>
      <c r="D263" t="s">
        <v>513</v>
      </c>
      <c r="E263" t="s">
        <v>523</v>
      </c>
    </row>
    <row r="264" spans="1:5" x14ac:dyDescent="0.2">
      <c r="A264" t="s">
        <v>1103</v>
      </c>
      <c r="B264" t="s">
        <v>1104</v>
      </c>
      <c r="C264" t="s">
        <v>513</v>
      </c>
      <c r="D264" t="s">
        <v>513</v>
      </c>
      <c r="E264" t="s">
        <v>529</v>
      </c>
    </row>
    <row r="265" spans="1:5" x14ac:dyDescent="0.2">
      <c r="A265" t="s">
        <v>1105</v>
      </c>
      <c r="B265" t="s">
        <v>1106</v>
      </c>
      <c r="C265" t="s">
        <v>513</v>
      </c>
      <c r="D265" t="s">
        <v>513</v>
      </c>
      <c r="E265" t="s">
        <v>523</v>
      </c>
    </row>
    <row r="266" spans="1:5" x14ac:dyDescent="0.2">
      <c r="A266" t="s">
        <v>1107</v>
      </c>
      <c r="B266" t="s">
        <v>1108</v>
      </c>
      <c r="C266" t="s">
        <v>513</v>
      </c>
      <c r="D266" t="s">
        <v>513</v>
      </c>
      <c r="E266" t="s">
        <v>1109</v>
      </c>
    </row>
    <row r="267" spans="1:5" x14ac:dyDescent="0.2">
      <c r="A267" t="s">
        <v>1110</v>
      </c>
      <c r="B267" t="s">
        <v>1111</v>
      </c>
      <c r="C267" t="s">
        <v>513</v>
      </c>
      <c r="D267" t="s">
        <v>513</v>
      </c>
      <c r="E267" t="s">
        <v>857</v>
      </c>
    </row>
    <row r="268" spans="1:5" x14ac:dyDescent="0.2">
      <c r="A268" t="s">
        <v>1112</v>
      </c>
      <c r="B268" t="s">
        <v>1113</v>
      </c>
      <c r="C268" t="s">
        <v>513</v>
      </c>
      <c r="D268" t="s">
        <v>513</v>
      </c>
      <c r="E268" t="s">
        <v>523</v>
      </c>
    </row>
    <row r="269" spans="1:5" x14ac:dyDescent="0.2">
      <c r="A269" t="s">
        <v>1114</v>
      </c>
      <c r="B269" t="s">
        <v>1115</v>
      </c>
      <c r="C269" t="s">
        <v>513</v>
      </c>
      <c r="D269" t="s">
        <v>513</v>
      </c>
      <c r="E269" t="s">
        <v>1116</v>
      </c>
    </row>
    <row r="270" spans="1:5" x14ac:dyDescent="0.2">
      <c r="A270" t="s">
        <v>1117</v>
      </c>
      <c r="B270" t="s">
        <v>1118</v>
      </c>
      <c r="C270" t="s">
        <v>513</v>
      </c>
      <c r="D270" t="s">
        <v>513</v>
      </c>
      <c r="E270" t="s">
        <v>1119</v>
      </c>
    </row>
    <row r="271" spans="1:5" x14ac:dyDescent="0.2">
      <c r="A271" t="s">
        <v>1120</v>
      </c>
      <c r="B271" t="s">
        <v>1121</v>
      </c>
      <c r="C271" t="s">
        <v>513</v>
      </c>
      <c r="D271" t="s">
        <v>513</v>
      </c>
      <c r="E271" t="s">
        <v>523</v>
      </c>
    </row>
    <row r="272" spans="1:5" x14ac:dyDescent="0.2">
      <c r="A272" t="s">
        <v>1122</v>
      </c>
      <c r="B272" t="s">
        <v>1123</v>
      </c>
      <c r="C272" t="s">
        <v>513</v>
      </c>
      <c r="D272" t="s">
        <v>513</v>
      </c>
      <c r="E272" t="s">
        <v>1124</v>
      </c>
    </row>
    <row r="273" spans="1:5" x14ac:dyDescent="0.2">
      <c r="A273" t="s">
        <v>1125</v>
      </c>
      <c r="B273" t="s">
        <v>1126</v>
      </c>
      <c r="C273" t="s">
        <v>513</v>
      </c>
      <c r="D273" t="s">
        <v>513</v>
      </c>
      <c r="E273" t="s">
        <v>603</v>
      </c>
    </row>
    <row r="274" spans="1:5" x14ac:dyDescent="0.2">
      <c r="A274" t="s">
        <v>1127</v>
      </c>
      <c r="B274" t="s">
        <v>1128</v>
      </c>
      <c r="C274" t="s">
        <v>513</v>
      </c>
      <c r="D274" t="s">
        <v>513</v>
      </c>
      <c r="E274" t="s">
        <v>529</v>
      </c>
    </row>
    <row r="275" spans="1:5" x14ac:dyDescent="0.2">
      <c r="A275" t="s">
        <v>1129</v>
      </c>
      <c r="B275" t="s">
        <v>1130</v>
      </c>
      <c r="C275" t="s">
        <v>513</v>
      </c>
      <c r="D275" t="s">
        <v>513</v>
      </c>
      <c r="E275" t="s">
        <v>520</v>
      </c>
    </row>
    <row r="276" spans="1:5" x14ac:dyDescent="0.2">
      <c r="A276" t="s">
        <v>1131</v>
      </c>
      <c r="B276" t="s">
        <v>1132</v>
      </c>
      <c r="C276" t="s">
        <v>513</v>
      </c>
      <c r="D276" t="s">
        <v>513</v>
      </c>
      <c r="E276" t="s">
        <v>1133</v>
      </c>
    </row>
    <row r="277" spans="1:5" x14ac:dyDescent="0.2">
      <c r="A277" t="s">
        <v>1134</v>
      </c>
      <c r="B277" t="s">
        <v>1135</v>
      </c>
      <c r="C277" t="s">
        <v>513</v>
      </c>
      <c r="D277" t="s">
        <v>513</v>
      </c>
      <c r="E277" t="s">
        <v>517</v>
      </c>
    </row>
    <row r="278" spans="1:5" x14ac:dyDescent="0.2">
      <c r="A278" t="s">
        <v>1136</v>
      </c>
      <c r="B278" t="s">
        <v>1137</v>
      </c>
      <c r="C278" t="s">
        <v>513</v>
      </c>
      <c r="D278" t="s">
        <v>513</v>
      </c>
      <c r="E278" t="s">
        <v>520</v>
      </c>
    </row>
    <row r="279" spans="1:5" x14ac:dyDescent="0.2">
      <c r="A279" t="s">
        <v>1138</v>
      </c>
      <c r="B279" t="s">
        <v>1139</v>
      </c>
      <c r="C279" t="s">
        <v>513</v>
      </c>
      <c r="D279" t="s">
        <v>513</v>
      </c>
      <c r="E279" t="s">
        <v>589</v>
      </c>
    </row>
    <row r="280" spans="1:5" x14ac:dyDescent="0.2">
      <c r="A280" t="s">
        <v>1140</v>
      </c>
      <c r="B280" t="s">
        <v>1141</v>
      </c>
      <c r="C280" t="s">
        <v>513</v>
      </c>
      <c r="D280" t="s">
        <v>513</v>
      </c>
      <c r="E280" t="s">
        <v>526</v>
      </c>
    </row>
    <row r="281" spans="1:5" x14ac:dyDescent="0.2">
      <c r="A281" t="s">
        <v>1142</v>
      </c>
      <c r="B281" t="s">
        <v>1143</v>
      </c>
      <c r="C281" t="s">
        <v>513</v>
      </c>
      <c r="D281" t="s">
        <v>513</v>
      </c>
      <c r="E281" t="s">
        <v>774</v>
      </c>
    </row>
    <row r="282" spans="1:5" x14ac:dyDescent="0.2">
      <c r="A282" t="s">
        <v>1144</v>
      </c>
      <c r="B282" t="s">
        <v>1145</v>
      </c>
      <c r="C282" t="s">
        <v>513</v>
      </c>
      <c r="D282" t="s">
        <v>513</v>
      </c>
      <c r="E282" t="s">
        <v>520</v>
      </c>
    </row>
    <row r="283" spans="1:5" x14ac:dyDescent="0.2">
      <c r="A283" t="s">
        <v>1146</v>
      </c>
      <c r="B283" t="s">
        <v>1147</v>
      </c>
      <c r="C283" t="s">
        <v>513</v>
      </c>
      <c r="D283" t="s">
        <v>513</v>
      </c>
      <c r="E283" t="s">
        <v>1148</v>
      </c>
    </row>
    <row r="284" spans="1:5" x14ac:dyDescent="0.2">
      <c r="A284" t="s">
        <v>1149</v>
      </c>
      <c r="B284" t="s">
        <v>1150</v>
      </c>
      <c r="C284" t="s">
        <v>513</v>
      </c>
      <c r="D284" t="s">
        <v>513</v>
      </c>
      <c r="E284" t="s">
        <v>529</v>
      </c>
    </row>
    <row r="285" spans="1:5" x14ac:dyDescent="0.2">
      <c r="A285" t="s">
        <v>1151</v>
      </c>
      <c r="B285" t="s">
        <v>1152</v>
      </c>
      <c r="C285" t="s">
        <v>513</v>
      </c>
      <c r="D285" t="s">
        <v>513</v>
      </c>
      <c r="E285" t="s">
        <v>520</v>
      </c>
    </row>
    <row r="286" spans="1:5" x14ac:dyDescent="0.2">
      <c r="A286" t="s">
        <v>1153</v>
      </c>
      <c r="B286" t="s">
        <v>1154</v>
      </c>
      <c r="C286" t="s">
        <v>513</v>
      </c>
      <c r="D286" t="s">
        <v>513</v>
      </c>
      <c r="E286" t="s">
        <v>520</v>
      </c>
    </row>
    <row r="287" spans="1:5" x14ac:dyDescent="0.2">
      <c r="A287" t="s">
        <v>1155</v>
      </c>
      <c r="B287" t="s">
        <v>1156</v>
      </c>
      <c r="C287" t="s">
        <v>513</v>
      </c>
      <c r="D287" t="s">
        <v>513</v>
      </c>
      <c r="E287" t="s">
        <v>589</v>
      </c>
    </row>
    <row r="288" spans="1:5" x14ac:dyDescent="0.2">
      <c r="A288" t="s">
        <v>1157</v>
      </c>
      <c r="B288" t="s">
        <v>1158</v>
      </c>
      <c r="C288" t="s">
        <v>513</v>
      </c>
      <c r="D288" t="s">
        <v>513</v>
      </c>
      <c r="E288" t="s">
        <v>1159</v>
      </c>
    </row>
    <row r="289" spans="1:5" x14ac:dyDescent="0.2">
      <c r="A289" t="s">
        <v>1160</v>
      </c>
      <c r="B289" t="s">
        <v>1161</v>
      </c>
      <c r="C289" t="s">
        <v>513</v>
      </c>
      <c r="D289" t="s">
        <v>513</v>
      </c>
      <c r="E289" t="s">
        <v>1162</v>
      </c>
    </row>
    <row r="290" spans="1:5" x14ac:dyDescent="0.2">
      <c r="A290" t="s">
        <v>1163</v>
      </c>
      <c r="B290" t="s">
        <v>1164</v>
      </c>
      <c r="C290" t="s">
        <v>513</v>
      </c>
      <c r="D290" t="s">
        <v>513</v>
      </c>
      <c r="E290" t="s">
        <v>535</v>
      </c>
    </row>
    <row r="291" spans="1:5" x14ac:dyDescent="0.2">
      <c r="A291" t="s">
        <v>1165</v>
      </c>
      <c r="B291" t="s">
        <v>1166</v>
      </c>
      <c r="C291" t="s">
        <v>513</v>
      </c>
      <c r="D291" t="s">
        <v>513</v>
      </c>
      <c r="E291" t="s">
        <v>834</v>
      </c>
    </row>
    <row r="292" spans="1:5" x14ac:dyDescent="0.2">
      <c r="A292" t="s">
        <v>1167</v>
      </c>
      <c r="B292" t="s">
        <v>1168</v>
      </c>
      <c r="C292" t="s">
        <v>513</v>
      </c>
      <c r="D292" t="s">
        <v>513</v>
      </c>
      <c r="E292" t="s">
        <v>603</v>
      </c>
    </row>
    <row r="293" spans="1:5" x14ac:dyDescent="0.2">
      <c r="A293" t="s">
        <v>1169</v>
      </c>
      <c r="B293" t="s">
        <v>1170</v>
      </c>
      <c r="C293" t="s">
        <v>513</v>
      </c>
      <c r="D293" t="s">
        <v>513</v>
      </c>
      <c r="E293" t="s">
        <v>529</v>
      </c>
    </row>
    <row r="294" spans="1:5" x14ac:dyDescent="0.2">
      <c r="A294" t="s">
        <v>1171</v>
      </c>
      <c r="B294" t="s">
        <v>1172</v>
      </c>
      <c r="C294" t="s">
        <v>513</v>
      </c>
      <c r="D294" t="s">
        <v>513</v>
      </c>
      <c r="E294" t="s">
        <v>1173</v>
      </c>
    </row>
    <row r="295" spans="1:5" x14ac:dyDescent="0.2">
      <c r="A295" t="s">
        <v>1174</v>
      </c>
      <c r="B295" t="s">
        <v>1175</v>
      </c>
      <c r="C295" t="s">
        <v>513</v>
      </c>
      <c r="D295" t="s">
        <v>513</v>
      </c>
      <c r="E295" t="s">
        <v>1176</v>
      </c>
    </row>
    <row r="296" spans="1:5" x14ac:dyDescent="0.2">
      <c r="A296" t="s">
        <v>1177</v>
      </c>
      <c r="B296" t="s">
        <v>1178</v>
      </c>
      <c r="C296" t="s">
        <v>513</v>
      </c>
      <c r="D296" t="s">
        <v>513</v>
      </c>
      <c r="E296" t="s">
        <v>520</v>
      </c>
    </row>
    <row r="297" spans="1:5" x14ac:dyDescent="0.2">
      <c r="A297" t="s">
        <v>1179</v>
      </c>
      <c r="B297" t="s">
        <v>1180</v>
      </c>
      <c r="C297" t="s">
        <v>513</v>
      </c>
      <c r="D297" t="s">
        <v>513</v>
      </c>
      <c r="E297" t="s">
        <v>603</v>
      </c>
    </row>
    <row r="298" spans="1:5" x14ac:dyDescent="0.2">
      <c r="A298" t="s">
        <v>1181</v>
      </c>
      <c r="B298" t="s">
        <v>1182</v>
      </c>
      <c r="C298" t="s">
        <v>513</v>
      </c>
      <c r="D298" t="s">
        <v>513</v>
      </c>
      <c r="E298" t="s">
        <v>526</v>
      </c>
    </row>
    <row r="299" spans="1:5" x14ac:dyDescent="0.2">
      <c r="A299" t="s">
        <v>1183</v>
      </c>
      <c r="B299" t="s">
        <v>1184</v>
      </c>
      <c r="C299" t="s">
        <v>513</v>
      </c>
      <c r="D299" t="s">
        <v>513</v>
      </c>
      <c r="E299" t="s">
        <v>834</v>
      </c>
    </row>
    <row r="300" spans="1:5" x14ac:dyDescent="0.2">
      <c r="A300" t="s">
        <v>1185</v>
      </c>
      <c r="B300" t="s">
        <v>1186</v>
      </c>
      <c r="C300" t="s">
        <v>513</v>
      </c>
      <c r="D300" t="s">
        <v>513</v>
      </c>
      <c r="E300" t="s">
        <v>589</v>
      </c>
    </row>
    <row r="301" spans="1:5" x14ac:dyDescent="0.2">
      <c r="A301" t="s">
        <v>1187</v>
      </c>
      <c r="B301" t="s">
        <v>1188</v>
      </c>
      <c r="C301" t="s">
        <v>513</v>
      </c>
      <c r="D301" t="s">
        <v>513</v>
      </c>
      <c r="E301" t="s">
        <v>517</v>
      </c>
    </row>
    <row r="302" spans="1:5" x14ac:dyDescent="0.2">
      <c r="A302" t="s">
        <v>1189</v>
      </c>
      <c r="B302" t="s">
        <v>1190</v>
      </c>
      <c r="C302" t="s">
        <v>513</v>
      </c>
      <c r="D302" t="s">
        <v>513</v>
      </c>
      <c r="E302" t="s">
        <v>1191</v>
      </c>
    </row>
    <row r="303" spans="1:5" x14ac:dyDescent="0.2">
      <c r="A303" t="s">
        <v>1192</v>
      </c>
      <c r="B303" t="s">
        <v>1193</v>
      </c>
      <c r="C303" t="s">
        <v>513</v>
      </c>
      <c r="D303" t="s">
        <v>513</v>
      </c>
      <c r="E303" t="s">
        <v>1194</v>
      </c>
    </row>
    <row r="304" spans="1:5" x14ac:dyDescent="0.2">
      <c r="A304" t="s">
        <v>1195</v>
      </c>
      <c r="B304" t="s">
        <v>1196</v>
      </c>
      <c r="C304" t="s">
        <v>513</v>
      </c>
      <c r="D304" t="s">
        <v>513</v>
      </c>
      <c r="E304" t="s">
        <v>1197</v>
      </c>
    </row>
    <row r="305" spans="1:5" x14ac:dyDescent="0.2">
      <c r="A305" t="s">
        <v>1198</v>
      </c>
      <c r="B305" t="s">
        <v>1199</v>
      </c>
      <c r="C305" t="s">
        <v>513</v>
      </c>
      <c r="D305" t="s">
        <v>513</v>
      </c>
      <c r="E305" t="s">
        <v>517</v>
      </c>
    </row>
    <row r="306" spans="1:5" x14ac:dyDescent="0.2">
      <c r="A306" t="s">
        <v>1200</v>
      </c>
      <c r="B306" t="s">
        <v>1201</v>
      </c>
      <c r="C306" t="s">
        <v>513</v>
      </c>
      <c r="D306" t="s">
        <v>513</v>
      </c>
      <c r="E306" t="s">
        <v>834</v>
      </c>
    </row>
    <row r="307" spans="1:5" x14ac:dyDescent="0.2">
      <c r="A307" t="s">
        <v>1202</v>
      </c>
      <c r="B307" t="s">
        <v>1203</v>
      </c>
      <c r="C307" t="s">
        <v>513</v>
      </c>
      <c r="D307" t="s">
        <v>513</v>
      </c>
      <c r="E307" t="s">
        <v>529</v>
      </c>
    </row>
    <row r="308" spans="1:5" x14ac:dyDescent="0.2">
      <c r="A308" t="s">
        <v>1204</v>
      </c>
      <c r="B308" t="s">
        <v>1205</v>
      </c>
      <c r="C308" t="s">
        <v>513</v>
      </c>
      <c r="D308" t="s">
        <v>513</v>
      </c>
      <c r="E308" t="s">
        <v>520</v>
      </c>
    </row>
    <row r="309" spans="1:5" x14ac:dyDescent="0.2">
      <c r="A309" t="s">
        <v>1206</v>
      </c>
      <c r="B309" t="s">
        <v>1207</v>
      </c>
      <c r="C309" t="s">
        <v>513</v>
      </c>
      <c r="D309" t="s">
        <v>513</v>
      </c>
      <c r="E309" t="s">
        <v>1208</v>
      </c>
    </row>
    <row r="310" spans="1:5" x14ac:dyDescent="0.2">
      <c r="A310" t="s">
        <v>1209</v>
      </c>
      <c r="B310" t="s">
        <v>1210</v>
      </c>
      <c r="C310" t="s">
        <v>513</v>
      </c>
      <c r="D310" t="s">
        <v>513</v>
      </c>
      <c r="E310" t="s">
        <v>526</v>
      </c>
    </row>
    <row r="311" spans="1:5" x14ac:dyDescent="0.2">
      <c r="A311" t="s">
        <v>1211</v>
      </c>
      <c r="B311" t="s">
        <v>1212</v>
      </c>
      <c r="C311" t="s">
        <v>513</v>
      </c>
      <c r="D311" t="e">
        <v>#N/A</v>
      </c>
      <c r="E311" t="e">
        <v>#N/A</v>
      </c>
    </row>
    <row r="312" spans="1:5" x14ac:dyDescent="0.2">
      <c r="A312" t="s">
        <v>1213</v>
      </c>
      <c r="B312" t="s">
        <v>1214</v>
      </c>
      <c r="C312" t="s">
        <v>513</v>
      </c>
      <c r="D312" t="e">
        <v>#N/A</v>
      </c>
      <c r="E312" t="e">
        <v>#N/A</v>
      </c>
    </row>
    <row r="313" spans="1:5" x14ac:dyDescent="0.2">
      <c r="A313" t="s">
        <v>1215</v>
      </c>
      <c r="B313" t="s">
        <v>1216</v>
      </c>
      <c r="C313" t="s">
        <v>513</v>
      </c>
      <c r="D313" t="e">
        <v>#N/A</v>
      </c>
      <c r="E313" t="e">
        <v>#N/A</v>
      </c>
    </row>
    <row r="314" spans="1:5" x14ac:dyDescent="0.2">
      <c r="A314" t="s">
        <v>1217</v>
      </c>
      <c r="B314" t="s">
        <v>1218</v>
      </c>
      <c r="C314" t="s">
        <v>1219</v>
      </c>
      <c r="D314" t="s">
        <v>1219</v>
      </c>
      <c r="E314" t="s">
        <v>1220</v>
      </c>
    </row>
    <row r="315" spans="1:5" x14ac:dyDescent="0.2">
      <c r="A315" t="s">
        <v>1221</v>
      </c>
      <c r="B315" t="s">
        <v>1222</v>
      </c>
      <c r="C315" t="s">
        <v>1219</v>
      </c>
      <c r="D315" t="s">
        <v>1219</v>
      </c>
      <c r="E315" t="s">
        <v>1223</v>
      </c>
    </row>
    <row r="316" spans="1:5" x14ac:dyDescent="0.2">
      <c r="A316" t="s">
        <v>1224</v>
      </c>
      <c r="B316" t="s">
        <v>1225</v>
      </c>
      <c r="C316" t="s">
        <v>1219</v>
      </c>
      <c r="D316" t="s">
        <v>1219</v>
      </c>
      <c r="E316" t="s">
        <v>1226</v>
      </c>
    </row>
    <row r="317" spans="1:5" x14ac:dyDescent="0.2">
      <c r="A317" t="s">
        <v>1227</v>
      </c>
      <c r="B317" t="s">
        <v>1228</v>
      </c>
      <c r="C317" t="s">
        <v>1219</v>
      </c>
      <c r="D317" t="s">
        <v>1219</v>
      </c>
      <c r="E317" t="s">
        <v>1229</v>
      </c>
    </row>
    <row r="318" spans="1:5" x14ac:dyDescent="0.2">
      <c r="A318" t="s">
        <v>1230</v>
      </c>
      <c r="B318" t="s">
        <v>1231</v>
      </c>
      <c r="C318" t="s">
        <v>1219</v>
      </c>
      <c r="D318" t="s">
        <v>1219</v>
      </c>
      <c r="E318" t="s">
        <v>1232</v>
      </c>
    </row>
    <row r="319" spans="1:5" x14ac:dyDescent="0.2">
      <c r="A319" t="s">
        <v>1233</v>
      </c>
      <c r="B319" t="s">
        <v>1234</v>
      </c>
      <c r="C319" t="s">
        <v>1219</v>
      </c>
      <c r="D319" t="s">
        <v>1219</v>
      </c>
      <c r="E319" t="s">
        <v>1235</v>
      </c>
    </row>
    <row r="320" spans="1:5" x14ac:dyDescent="0.2">
      <c r="A320" t="s">
        <v>1236</v>
      </c>
      <c r="B320" t="s">
        <v>1237</v>
      </c>
      <c r="C320" t="s">
        <v>1219</v>
      </c>
      <c r="D320" t="s">
        <v>1219</v>
      </c>
      <c r="E320" t="s">
        <v>1226</v>
      </c>
    </row>
    <row r="321" spans="1:5" x14ac:dyDescent="0.2">
      <c r="A321" t="s">
        <v>1238</v>
      </c>
      <c r="B321" t="s">
        <v>1239</v>
      </c>
      <c r="C321" t="s">
        <v>1219</v>
      </c>
      <c r="D321" t="s">
        <v>1219</v>
      </c>
      <c r="E321" t="s">
        <v>1240</v>
      </c>
    </row>
    <row r="322" spans="1:5" x14ac:dyDescent="0.2">
      <c r="A322" t="s">
        <v>1241</v>
      </c>
      <c r="B322" t="s">
        <v>1242</v>
      </c>
      <c r="C322" t="s">
        <v>1219</v>
      </c>
      <c r="D322" t="s">
        <v>1219</v>
      </c>
      <c r="E322" t="s">
        <v>1243</v>
      </c>
    </row>
    <row r="323" spans="1:5" x14ac:dyDescent="0.2">
      <c r="A323" t="s">
        <v>1244</v>
      </c>
      <c r="B323" t="s">
        <v>1245</v>
      </c>
      <c r="C323" t="s">
        <v>1219</v>
      </c>
      <c r="D323" t="s">
        <v>1219</v>
      </c>
      <c r="E323" t="s">
        <v>1226</v>
      </c>
    </row>
    <row r="324" spans="1:5" x14ac:dyDescent="0.2">
      <c r="A324" t="s">
        <v>1246</v>
      </c>
      <c r="B324" t="s">
        <v>1247</v>
      </c>
      <c r="C324" t="s">
        <v>1219</v>
      </c>
      <c r="D324" t="s">
        <v>1219</v>
      </c>
      <c r="E324" t="s">
        <v>1248</v>
      </c>
    </row>
    <row r="325" spans="1:5" x14ac:dyDescent="0.2">
      <c r="A325" t="s">
        <v>1249</v>
      </c>
      <c r="B325" t="s">
        <v>1250</v>
      </c>
      <c r="C325" t="s">
        <v>1219</v>
      </c>
      <c r="D325" t="s">
        <v>1219</v>
      </c>
      <c r="E325" t="s">
        <v>1251</v>
      </c>
    </row>
    <row r="326" spans="1:5" x14ac:dyDescent="0.2">
      <c r="A326" t="s">
        <v>1252</v>
      </c>
      <c r="B326" t="s">
        <v>1253</v>
      </c>
      <c r="C326" t="s">
        <v>1219</v>
      </c>
      <c r="D326" t="s">
        <v>1219</v>
      </c>
      <c r="E326" t="s">
        <v>1226</v>
      </c>
    </row>
    <row r="327" spans="1:5" x14ac:dyDescent="0.2">
      <c r="A327" t="s">
        <v>1254</v>
      </c>
      <c r="B327" t="s">
        <v>1255</v>
      </c>
      <c r="C327" t="s">
        <v>1219</v>
      </c>
      <c r="D327" t="s">
        <v>1219</v>
      </c>
      <c r="E327" t="s">
        <v>1256</v>
      </c>
    </row>
    <row r="328" spans="1:5" x14ac:dyDescent="0.2">
      <c r="A328" t="s">
        <v>1257</v>
      </c>
      <c r="B328" t="s">
        <v>1258</v>
      </c>
      <c r="C328" t="s">
        <v>1219</v>
      </c>
      <c r="D328" t="s">
        <v>1219</v>
      </c>
      <c r="E328" t="s">
        <v>1259</v>
      </c>
    </row>
    <row r="329" spans="1:5" x14ac:dyDescent="0.2">
      <c r="A329" t="s">
        <v>1260</v>
      </c>
      <c r="B329" t="s">
        <v>1261</v>
      </c>
      <c r="C329" t="s">
        <v>1219</v>
      </c>
      <c r="D329" t="s">
        <v>1219</v>
      </c>
      <c r="E329" t="s">
        <v>1262</v>
      </c>
    </row>
    <row r="330" spans="1:5" x14ac:dyDescent="0.2">
      <c r="A330" t="s">
        <v>1263</v>
      </c>
      <c r="B330" t="s">
        <v>1264</v>
      </c>
      <c r="C330" t="s">
        <v>1219</v>
      </c>
      <c r="D330" t="s">
        <v>1219</v>
      </c>
      <c r="E330" t="s">
        <v>1223</v>
      </c>
    </row>
    <row r="331" spans="1:5" x14ac:dyDescent="0.2">
      <c r="A331" t="s">
        <v>1265</v>
      </c>
      <c r="B331" t="s">
        <v>1266</v>
      </c>
      <c r="C331" t="s">
        <v>1219</v>
      </c>
      <c r="D331" t="s">
        <v>1219</v>
      </c>
      <c r="E331" t="s">
        <v>1226</v>
      </c>
    </row>
    <row r="332" spans="1:5" x14ac:dyDescent="0.2">
      <c r="A332" t="s">
        <v>1267</v>
      </c>
      <c r="B332" t="s">
        <v>1268</v>
      </c>
      <c r="C332" t="s">
        <v>1219</v>
      </c>
      <c r="D332" t="s">
        <v>1219</v>
      </c>
      <c r="E332" t="s">
        <v>1223</v>
      </c>
    </row>
    <row r="333" spans="1:5" x14ac:dyDescent="0.2">
      <c r="A333" t="s">
        <v>1269</v>
      </c>
      <c r="B333" t="s">
        <v>1270</v>
      </c>
      <c r="C333" t="s">
        <v>1219</v>
      </c>
      <c r="D333" t="s">
        <v>1219</v>
      </c>
      <c r="E333" t="s">
        <v>1223</v>
      </c>
    </row>
    <row r="334" spans="1:5" x14ac:dyDescent="0.2">
      <c r="A334" t="s">
        <v>1271</v>
      </c>
      <c r="B334" t="s">
        <v>1272</v>
      </c>
      <c r="C334" t="s">
        <v>1219</v>
      </c>
      <c r="D334" t="s">
        <v>1219</v>
      </c>
      <c r="E334" t="s">
        <v>1273</v>
      </c>
    </row>
    <row r="335" spans="1:5" x14ac:dyDescent="0.2">
      <c r="A335" t="s">
        <v>1274</v>
      </c>
      <c r="B335" t="s">
        <v>1275</v>
      </c>
      <c r="C335" t="s">
        <v>1219</v>
      </c>
      <c r="D335" t="s">
        <v>1219</v>
      </c>
      <c r="E335" t="s">
        <v>1276</v>
      </c>
    </row>
    <row r="336" spans="1:5" x14ac:dyDescent="0.2">
      <c r="A336" t="s">
        <v>1277</v>
      </c>
      <c r="B336" t="s">
        <v>1278</v>
      </c>
      <c r="C336" t="s">
        <v>1219</v>
      </c>
      <c r="D336" t="s">
        <v>1219</v>
      </c>
      <c r="E336" t="s">
        <v>1262</v>
      </c>
    </row>
    <row r="337" spans="1:5" x14ac:dyDescent="0.2">
      <c r="A337" t="s">
        <v>1279</v>
      </c>
      <c r="B337" t="s">
        <v>1280</v>
      </c>
      <c r="C337" t="s">
        <v>1219</v>
      </c>
      <c r="D337" t="s">
        <v>1219</v>
      </c>
      <c r="E337" t="s">
        <v>1223</v>
      </c>
    </row>
    <row r="338" spans="1:5" x14ac:dyDescent="0.2">
      <c r="A338" t="s">
        <v>1281</v>
      </c>
      <c r="B338" t="s">
        <v>1282</v>
      </c>
      <c r="C338" t="s">
        <v>1219</v>
      </c>
      <c r="D338" t="s">
        <v>1219</v>
      </c>
      <c r="E338" t="s">
        <v>1283</v>
      </c>
    </row>
    <row r="339" spans="1:5" x14ac:dyDescent="0.2">
      <c r="A339" t="s">
        <v>1284</v>
      </c>
      <c r="B339" t="s">
        <v>1285</v>
      </c>
      <c r="C339" t="s">
        <v>1219</v>
      </c>
      <c r="D339" t="s">
        <v>1219</v>
      </c>
      <c r="E339" t="s">
        <v>1235</v>
      </c>
    </row>
    <row r="340" spans="1:5" x14ac:dyDescent="0.2">
      <c r="A340" t="s">
        <v>1286</v>
      </c>
      <c r="B340" t="s">
        <v>1287</v>
      </c>
      <c r="C340" t="s">
        <v>1219</v>
      </c>
      <c r="D340" t="s">
        <v>1219</v>
      </c>
      <c r="E340" t="s">
        <v>1288</v>
      </c>
    </row>
    <row r="341" spans="1:5" x14ac:dyDescent="0.2">
      <c r="A341" t="s">
        <v>1289</v>
      </c>
      <c r="B341" t="s">
        <v>1290</v>
      </c>
      <c r="C341" t="s">
        <v>1219</v>
      </c>
      <c r="D341" t="s">
        <v>1219</v>
      </c>
      <c r="E341" t="s">
        <v>1226</v>
      </c>
    </row>
    <row r="342" spans="1:5" x14ac:dyDescent="0.2">
      <c r="A342" t="s">
        <v>1291</v>
      </c>
      <c r="B342" t="s">
        <v>1292</v>
      </c>
      <c r="C342" t="s">
        <v>1219</v>
      </c>
      <c r="D342" t="s">
        <v>1219</v>
      </c>
      <c r="E342" t="s">
        <v>1293</v>
      </c>
    </row>
    <row r="343" spans="1:5" x14ac:dyDescent="0.2">
      <c r="A343" t="s">
        <v>1294</v>
      </c>
      <c r="B343" t="s">
        <v>1295</v>
      </c>
      <c r="C343" t="s">
        <v>1219</v>
      </c>
      <c r="D343" t="s">
        <v>1219</v>
      </c>
      <c r="E343" t="s">
        <v>1273</v>
      </c>
    </row>
    <row r="344" spans="1:5" x14ac:dyDescent="0.2">
      <c r="A344" t="s">
        <v>1296</v>
      </c>
      <c r="B344" t="s">
        <v>1297</v>
      </c>
      <c r="C344" t="s">
        <v>1219</v>
      </c>
      <c r="D344" t="s">
        <v>1219</v>
      </c>
      <c r="E344" t="s">
        <v>1226</v>
      </c>
    </row>
    <row r="345" spans="1:5" x14ac:dyDescent="0.2">
      <c r="A345" t="s">
        <v>1298</v>
      </c>
      <c r="B345" t="s">
        <v>1299</v>
      </c>
      <c r="C345" t="s">
        <v>1219</v>
      </c>
      <c r="D345" t="s">
        <v>1219</v>
      </c>
      <c r="E345" t="s">
        <v>1223</v>
      </c>
    </row>
    <row r="346" spans="1:5" x14ac:dyDescent="0.2">
      <c r="A346" t="s">
        <v>1300</v>
      </c>
      <c r="B346" t="s">
        <v>1301</v>
      </c>
      <c r="C346" t="s">
        <v>1219</v>
      </c>
      <c r="D346" t="s">
        <v>1219</v>
      </c>
      <c r="E346" t="s">
        <v>1302</v>
      </c>
    </row>
    <row r="347" spans="1:5" x14ac:dyDescent="0.2">
      <c r="A347" t="s">
        <v>1303</v>
      </c>
      <c r="B347" t="s">
        <v>1304</v>
      </c>
      <c r="C347" t="s">
        <v>1219</v>
      </c>
      <c r="D347" t="s">
        <v>1219</v>
      </c>
      <c r="E347" t="s">
        <v>1223</v>
      </c>
    </row>
    <row r="348" spans="1:5" x14ac:dyDescent="0.2">
      <c r="A348" t="s">
        <v>1305</v>
      </c>
      <c r="B348" t="s">
        <v>1306</v>
      </c>
      <c r="C348" t="s">
        <v>1219</v>
      </c>
      <c r="D348" t="s">
        <v>1219</v>
      </c>
      <c r="E348" t="s">
        <v>1223</v>
      </c>
    </row>
    <row r="349" spans="1:5" x14ac:dyDescent="0.2">
      <c r="A349" t="s">
        <v>1307</v>
      </c>
      <c r="B349" t="s">
        <v>1308</v>
      </c>
      <c r="C349" t="s">
        <v>1219</v>
      </c>
      <c r="D349" t="s">
        <v>1219</v>
      </c>
      <c r="E349" t="s">
        <v>1262</v>
      </c>
    </row>
    <row r="350" spans="1:5" x14ac:dyDescent="0.2">
      <c r="A350" t="s">
        <v>1309</v>
      </c>
      <c r="B350" t="s">
        <v>1310</v>
      </c>
      <c r="C350" t="s">
        <v>1219</v>
      </c>
      <c r="D350" t="s">
        <v>1219</v>
      </c>
      <c r="E350" t="s">
        <v>1311</v>
      </c>
    </row>
    <row r="351" spans="1:5" x14ac:dyDescent="0.2">
      <c r="A351" t="s">
        <v>1312</v>
      </c>
      <c r="B351" t="s">
        <v>1313</v>
      </c>
      <c r="C351" t="s">
        <v>1219</v>
      </c>
      <c r="D351" t="s">
        <v>1219</v>
      </c>
      <c r="E351" t="s">
        <v>1314</v>
      </c>
    </row>
    <row r="352" spans="1:5" x14ac:dyDescent="0.2">
      <c r="A352" t="s">
        <v>1315</v>
      </c>
      <c r="B352" t="s">
        <v>1316</v>
      </c>
      <c r="C352" t="s">
        <v>1219</v>
      </c>
      <c r="D352" t="s">
        <v>1219</v>
      </c>
      <c r="E352" t="s">
        <v>1293</v>
      </c>
    </row>
    <row r="353" spans="1:5" x14ac:dyDescent="0.2">
      <c r="A353" t="s">
        <v>1317</v>
      </c>
      <c r="B353" t="s">
        <v>1318</v>
      </c>
      <c r="C353" t="s">
        <v>1219</v>
      </c>
      <c r="D353" t="s">
        <v>1219</v>
      </c>
      <c r="E353" t="s">
        <v>1311</v>
      </c>
    </row>
    <row r="354" spans="1:5" x14ac:dyDescent="0.2">
      <c r="A354" t="s">
        <v>1319</v>
      </c>
      <c r="B354" t="s">
        <v>1320</v>
      </c>
      <c r="C354" t="s">
        <v>1219</v>
      </c>
      <c r="D354" t="s">
        <v>1219</v>
      </c>
      <c r="E354" t="s">
        <v>1302</v>
      </c>
    </row>
    <row r="355" spans="1:5" x14ac:dyDescent="0.2">
      <c r="A355" t="s">
        <v>1321</v>
      </c>
      <c r="B355" t="s">
        <v>1322</v>
      </c>
      <c r="C355" t="s">
        <v>1219</v>
      </c>
      <c r="D355" t="s">
        <v>1219</v>
      </c>
      <c r="E355" t="s">
        <v>1235</v>
      </c>
    </row>
    <row r="356" spans="1:5" x14ac:dyDescent="0.2">
      <c r="A356" t="s">
        <v>1323</v>
      </c>
      <c r="B356" t="s">
        <v>1324</v>
      </c>
      <c r="C356" t="s">
        <v>1219</v>
      </c>
      <c r="D356" t="s">
        <v>1219</v>
      </c>
      <c r="E356" t="s">
        <v>1226</v>
      </c>
    </row>
    <row r="357" spans="1:5" x14ac:dyDescent="0.2">
      <c r="A357" t="s">
        <v>1325</v>
      </c>
      <c r="B357" t="s">
        <v>1326</v>
      </c>
      <c r="C357" t="s">
        <v>1219</v>
      </c>
      <c r="D357" t="s">
        <v>1219</v>
      </c>
      <c r="E357" t="s">
        <v>1262</v>
      </c>
    </row>
    <row r="358" spans="1:5" x14ac:dyDescent="0.2">
      <c r="A358" t="s">
        <v>1327</v>
      </c>
      <c r="B358" t="s">
        <v>1328</v>
      </c>
      <c r="C358" t="s">
        <v>1219</v>
      </c>
      <c r="D358" t="s">
        <v>1219</v>
      </c>
      <c r="E358" t="s">
        <v>1329</v>
      </c>
    </row>
    <row r="359" spans="1:5" x14ac:dyDescent="0.2">
      <c r="A359" t="s">
        <v>1330</v>
      </c>
      <c r="B359" t="s">
        <v>1331</v>
      </c>
      <c r="C359" t="s">
        <v>1219</v>
      </c>
      <c r="D359" t="s">
        <v>1219</v>
      </c>
      <c r="E359" t="s">
        <v>1223</v>
      </c>
    </row>
    <row r="360" spans="1:5" x14ac:dyDescent="0.2">
      <c r="A360" t="s">
        <v>1332</v>
      </c>
      <c r="B360" t="s">
        <v>1333</v>
      </c>
      <c r="C360" t="s">
        <v>1219</v>
      </c>
      <c r="D360" t="s">
        <v>1219</v>
      </c>
      <c r="E360" t="s">
        <v>1226</v>
      </c>
    </row>
    <row r="361" spans="1:5" x14ac:dyDescent="0.2">
      <c r="A361" t="s">
        <v>1334</v>
      </c>
      <c r="B361" t="s">
        <v>1335</v>
      </c>
      <c r="C361" t="s">
        <v>1219</v>
      </c>
      <c r="D361" t="s">
        <v>1219</v>
      </c>
      <c r="E361" t="s">
        <v>1223</v>
      </c>
    </row>
    <row r="362" spans="1:5" x14ac:dyDescent="0.2">
      <c r="A362" t="s">
        <v>1336</v>
      </c>
      <c r="B362" t="s">
        <v>1337</v>
      </c>
      <c r="C362" t="s">
        <v>1219</v>
      </c>
      <c r="D362" t="s">
        <v>1219</v>
      </c>
      <c r="E362" t="s">
        <v>1262</v>
      </c>
    </row>
    <row r="363" spans="1:5" x14ac:dyDescent="0.2">
      <c r="A363" t="s">
        <v>1338</v>
      </c>
      <c r="B363" t="s">
        <v>1339</v>
      </c>
      <c r="C363" t="s">
        <v>1219</v>
      </c>
      <c r="D363" t="s">
        <v>1219</v>
      </c>
      <c r="E363" t="s">
        <v>1235</v>
      </c>
    </row>
    <row r="364" spans="1:5" x14ac:dyDescent="0.2">
      <c r="A364" t="s">
        <v>1340</v>
      </c>
      <c r="B364" t="s">
        <v>1341</v>
      </c>
      <c r="C364" t="s">
        <v>1219</v>
      </c>
      <c r="D364" t="s">
        <v>1219</v>
      </c>
      <c r="E364" t="s">
        <v>1235</v>
      </c>
    </row>
    <row r="365" spans="1:5" x14ac:dyDescent="0.2">
      <c r="A365" t="s">
        <v>1342</v>
      </c>
      <c r="B365" t="s">
        <v>1343</v>
      </c>
      <c r="C365" t="s">
        <v>1219</v>
      </c>
      <c r="D365" t="s">
        <v>1219</v>
      </c>
      <c r="E365" t="s">
        <v>1262</v>
      </c>
    </row>
    <row r="366" spans="1:5" x14ac:dyDescent="0.2">
      <c r="A366" t="s">
        <v>1344</v>
      </c>
      <c r="B366" t="s">
        <v>1345</v>
      </c>
      <c r="C366" t="s">
        <v>1219</v>
      </c>
      <c r="D366" t="s">
        <v>1219</v>
      </c>
      <c r="E366" t="s">
        <v>1251</v>
      </c>
    </row>
    <row r="367" spans="1:5" x14ac:dyDescent="0.2">
      <c r="A367" t="s">
        <v>1346</v>
      </c>
      <c r="B367" t="s">
        <v>1347</v>
      </c>
      <c r="C367" t="s">
        <v>1219</v>
      </c>
      <c r="D367" t="s">
        <v>1219</v>
      </c>
      <c r="E367" t="s">
        <v>1348</v>
      </c>
    </row>
    <row r="368" spans="1:5" x14ac:dyDescent="0.2">
      <c r="A368" t="s">
        <v>1349</v>
      </c>
      <c r="B368" t="s">
        <v>1350</v>
      </c>
      <c r="C368" t="s">
        <v>1219</v>
      </c>
      <c r="D368" t="s">
        <v>1219</v>
      </c>
      <c r="E368" t="s">
        <v>1223</v>
      </c>
    </row>
    <row r="369" spans="1:5" x14ac:dyDescent="0.2">
      <c r="A369" t="s">
        <v>1351</v>
      </c>
      <c r="B369" t="s">
        <v>1352</v>
      </c>
      <c r="C369" t="s">
        <v>1219</v>
      </c>
      <c r="D369" t="s">
        <v>1219</v>
      </c>
      <c r="E369" t="s">
        <v>1235</v>
      </c>
    </row>
    <row r="370" spans="1:5" x14ac:dyDescent="0.2">
      <c r="A370" t="s">
        <v>1353</v>
      </c>
      <c r="B370" t="s">
        <v>1354</v>
      </c>
      <c r="C370" t="s">
        <v>1219</v>
      </c>
      <c r="D370" t="s">
        <v>1219</v>
      </c>
      <c r="E370" t="s">
        <v>1235</v>
      </c>
    </row>
    <row r="371" spans="1:5" x14ac:dyDescent="0.2">
      <c r="A371" t="s">
        <v>1355</v>
      </c>
      <c r="B371" t="s">
        <v>1356</v>
      </c>
      <c r="C371" t="s">
        <v>1219</v>
      </c>
      <c r="D371" t="s">
        <v>1219</v>
      </c>
      <c r="E371" t="s">
        <v>1223</v>
      </c>
    </row>
    <row r="372" spans="1:5" x14ac:dyDescent="0.2">
      <c r="A372" t="s">
        <v>1357</v>
      </c>
      <c r="B372" t="s">
        <v>1358</v>
      </c>
      <c r="C372" t="s">
        <v>1219</v>
      </c>
      <c r="D372" t="s">
        <v>1219</v>
      </c>
      <c r="E372" t="s">
        <v>1359</v>
      </c>
    </row>
    <row r="373" spans="1:5" x14ac:dyDescent="0.2">
      <c r="A373" t="s">
        <v>1360</v>
      </c>
      <c r="B373" t="s">
        <v>1361</v>
      </c>
      <c r="C373" t="s">
        <v>1219</v>
      </c>
      <c r="D373" t="s">
        <v>1219</v>
      </c>
      <c r="E373" t="s">
        <v>1362</v>
      </c>
    </row>
    <row r="374" spans="1:5" x14ac:dyDescent="0.2">
      <c r="A374" t="s">
        <v>1363</v>
      </c>
      <c r="B374" t="s">
        <v>1364</v>
      </c>
      <c r="C374" t="s">
        <v>1219</v>
      </c>
      <c r="D374" t="s">
        <v>1219</v>
      </c>
      <c r="E374" t="s">
        <v>1235</v>
      </c>
    </row>
    <row r="375" spans="1:5" x14ac:dyDescent="0.2">
      <c r="A375" t="s">
        <v>1365</v>
      </c>
      <c r="B375" t="s">
        <v>1366</v>
      </c>
      <c r="C375" t="s">
        <v>1219</v>
      </c>
      <c r="D375" t="s">
        <v>1219</v>
      </c>
      <c r="E375" t="s">
        <v>1226</v>
      </c>
    </row>
    <row r="376" spans="1:5" x14ac:dyDescent="0.2">
      <c r="A376" t="s">
        <v>1367</v>
      </c>
      <c r="B376" t="s">
        <v>1368</v>
      </c>
      <c r="C376" t="s">
        <v>1219</v>
      </c>
      <c r="D376" t="s">
        <v>1219</v>
      </c>
      <c r="E376" t="s">
        <v>1226</v>
      </c>
    </row>
    <row r="377" spans="1:5" x14ac:dyDescent="0.2">
      <c r="A377" t="s">
        <v>1369</v>
      </c>
      <c r="B377" t="s">
        <v>1370</v>
      </c>
      <c r="C377" t="s">
        <v>1219</v>
      </c>
      <c r="D377" t="s">
        <v>1219</v>
      </c>
      <c r="E377" t="s">
        <v>1226</v>
      </c>
    </row>
    <row r="378" spans="1:5" x14ac:dyDescent="0.2">
      <c r="A378" t="s">
        <v>1371</v>
      </c>
      <c r="B378" t="s">
        <v>1372</v>
      </c>
      <c r="C378" t="s">
        <v>1219</v>
      </c>
      <c r="D378" t="s">
        <v>1219</v>
      </c>
      <c r="E378" t="s">
        <v>1226</v>
      </c>
    </row>
    <row r="379" spans="1:5" x14ac:dyDescent="0.2">
      <c r="A379" t="s">
        <v>1373</v>
      </c>
      <c r="B379" t="s">
        <v>1374</v>
      </c>
      <c r="C379" t="s">
        <v>1219</v>
      </c>
      <c r="D379" t="s">
        <v>1219</v>
      </c>
      <c r="E379" t="s">
        <v>1329</v>
      </c>
    </row>
    <row r="380" spans="1:5" x14ac:dyDescent="0.2">
      <c r="A380" t="s">
        <v>1375</v>
      </c>
      <c r="B380" t="s">
        <v>1376</v>
      </c>
      <c r="C380" t="s">
        <v>1219</v>
      </c>
      <c r="D380" t="s">
        <v>1219</v>
      </c>
      <c r="E380" t="s">
        <v>1377</v>
      </c>
    </row>
    <row r="381" spans="1:5" x14ac:dyDescent="0.2">
      <c r="A381" t="s">
        <v>1378</v>
      </c>
      <c r="B381" t="s">
        <v>1379</v>
      </c>
      <c r="C381" t="s">
        <v>1219</v>
      </c>
      <c r="D381" t="s">
        <v>1219</v>
      </c>
      <c r="E381" t="s">
        <v>1380</v>
      </c>
    </row>
    <row r="382" spans="1:5" x14ac:dyDescent="0.2">
      <c r="A382" t="s">
        <v>1381</v>
      </c>
      <c r="B382" t="s">
        <v>1382</v>
      </c>
      <c r="C382" t="s">
        <v>1219</v>
      </c>
      <c r="D382" t="s">
        <v>1219</v>
      </c>
      <c r="E382" t="s">
        <v>1383</v>
      </c>
    </row>
    <row r="383" spans="1:5" x14ac:dyDescent="0.2">
      <c r="A383" t="s">
        <v>1384</v>
      </c>
      <c r="B383" t="s">
        <v>1385</v>
      </c>
      <c r="C383" t="s">
        <v>1219</v>
      </c>
      <c r="D383" t="s">
        <v>1219</v>
      </c>
      <c r="E383" t="s">
        <v>1386</v>
      </c>
    </row>
    <row r="384" spans="1:5" x14ac:dyDescent="0.2">
      <c r="A384" t="s">
        <v>1387</v>
      </c>
      <c r="B384" t="s">
        <v>1388</v>
      </c>
      <c r="C384" t="s">
        <v>1219</v>
      </c>
      <c r="D384" t="s">
        <v>1219</v>
      </c>
      <c r="E384" t="s">
        <v>1262</v>
      </c>
    </row>
    <row r="385" spans="1:5" x14ac:dyDescent="0.2">
      <c r="A385" t="s">
        <v>1389</v>
      </c>
      <c r="B385" t="s">
        <v>1390</v>
      </c>
      <c r="C385" t="s">
        <v>1219</v>
      </c>
      <c r="D385" t="s">
        <v>1219</v>
      </c>
      <c r="E385" t="s">
        <v>1391</v>
      </c>
    </row>
    <row r="386" spans="1:5" x14ac:dyDescent="0.2">
      <c r="A386" t="s">
        <v>1392</v>
      </c>
      <c r="B386" t="s">
        <v>1393</v>
      </c>
      <c r="C386" t="s">
        <v>1219</v>
      </c>
      <c r="D386" t="s">
        <v>1219</v>
      </c>
      <c r="E386" t="s">
        <v>1394</v>
      </c>
    </row>
    <row r="387" spans="1:5" x14ac:dyDescent="0.2">
      <c r="A387" t="s">
        <v>1395</v>
      </c>
      <c r="B387" t="s">
        <v>1396</v>
      </c>
      <c r="C387" t="s">
        <v>1219</v>
      </c>
      <c r="D387" t="s">
        <v>1219</v>
      </c>
      <c r="E387" t="s">
        <v>1397</v>
      </c>
    </row>
    <row r="388" spans="1:5" x14ac:dyDescent="0.2">
      <c r="A388" t="s">
        <v>1398</v>
      </c>
      <c r="B388" t="s">
        <v>1399</v>
      </c>
      <c r="C388" t="s">
        <v>1219</v>
      </c>
      <c r="D388" t="s">
        <v>1219</v>
      </c>
      <c r="E388" t="s">
        <v>1400</v>
      </c>
    </row>
    <row r="389" spans="1:5" x14ac:dyDescent="0.2">
      <c r="A389" t="s">
        <v>1401</v>
      </c>
      <c r="B389" t="s">
        <v>1402</v>
      </c>
      <c r="C389" t="s">
        <v>1219</v>
      </c>
      <c r="D389" t="s">
        <v>1219</v>
      </c>
      <c r="E389" t="s">
        <v>1403</v>
      </c>
    </row>
    <row r="390" spans="1:5" x14ac:dyDescent="0.2">
      <c r="A390" t="s">
        <v>1404</v>
      </c>
      <c r="B390" t="s">
        <v>1405</v>
      </c>
      <c r="C390" t="s">
        <v>1219</v>
      </c>
      <c r="D390" t="s">
        <v>1219</v>
      </c>
      <c r="E390" t="s">
        <v>1406</v>
      </c>
    </row>
    <row r="391" spans="1:5" x14ac:dyDescent="0.2">
      <c r="A391" t="s">
        <v>1407</v>
      </c>
      <c r="B391" t="s">
        <v>1408</v>
      </c>
      <c r="C391" t="s">
        <v>1219</v>
      </c>
      <c r="D391" t="s">
        <v>1219</v>
      </c>
      <c r="E391" t="s">
        <v>1223</v>
      </c>
    </row>
    <row r="392" spans="1:5" x14ac:dyDescent="0.2">
      <c r="A392" t="s">
        <v>1409</v>
      </c>
      <c r="B392" t="s">
        <v>1410</v>
      </c>
      <c r="C392" t="s">
        <v>1219</v>
      </c>
      <c r="D392" t="s">
        <v>1219</v>
      </c>
      <c r="E392" t="s">
        <v>1262</v>
      </c>
    </row>
    <row r="393" spans="1:5" x14ac:dyDescent="0.2">
      <c r="A393" t="s">
        <v>1411</v>
      </c>
      <c r="B393" t="s">
        <v>1412</v>
      </c>
      <c r="C393" t="s">
        <v>1219</v>
      </c>
      <c r="D393" t="s">
        <v>1219</v>
      </c>
      <c r="E393" t="s">
        <v>1235</v>
      </c>
    </row>
    <row r="394" spans="1:5" x14ac:dyDescent="0.2">
      <c r="A394" t="s">
        <v>1413</v>
      </c>
      <c r="B394" t="s">
        <v>1414</v>
      </c>
      <c r="C394" t="s">
        <v>1219</v>
      </c>
      <c r="D394" t="e">
        <v>#N/A</v>
      </c>
      <c r="E394" t="e">
        <v>#N/A</v>
      </c>
    </row>
    <row r="395" spans="1:5" x14ac:dyDescent="0.2">
      <c r="A395" t="s">
        <v>1415</v>
      </c>
      <c r="B395" t="s">
        <v>1416</v>
      </c>
      <c r="C395" t="s">
        <v>1219</v>
      </c>
      <c r="D395" t="e">
        <v>#N/A</v>
      </c>
      <c r="E395" t="e">
        <v>#N/A</v>
      </c>
    </row>
    <row r="396" spans="1:5" x14ac:dyDescent="0.2">
      <c r="A396" t="s">
        <v>1417</v>
      </c>
      <c r="B396" t="s">
        <v>1418</v>
      </c>
      <c r="C396" t="s">
        <v>486</v>
      </c>
      <c r="D396" t="s">
        <v>486</v>
      </c>
      <c r="E396" t="s">
        <v>1419</v>
      </c>
    </row>
    <row r="397" spans="1:5" x14ac:dyDescent="0.2">
      <c r="A397" t="s">
        <v>1420</v>
      </c>
      <c r="B397" t="s">
        <v>1421</v>
      </c>
      <c r="C397" t="s">
        <v>486</v>
      </c>
      <c r="D397" t="s">
        <v>486</v>
      </c>
      <c r="E397" t="s">
        <v>1419</v>
      </c>
    </row>
    <row r="398" spans="1:5" x14ac:dyDescent="0.2">
      <c r="A398" t="s">
        <v>1422</v>
      </c>
      <c r="B398" t="s">
        <v>1423</v>
      </c>
      <c r="C398" t="s">
        <v>486</v>
      </c>
      <c r="D398" t="s">
        <v>486</v>
      </c>
      <c r="E398" t="s">
        <v>1424</v>
      </c>
    </row>
    <row r="399" spans="1:5" x14ac:dyDescent="0.2">
      <c r="A399" t="s">
        <v>1425</v>
      </c>
      <c r="B399" t="s">
        <v>1426</v>
      </c>
      <c r="C399" t="s">
        <v>486</v>
      </c>
      <c r="D399" t="s">
        <v>486</v>
      </c>
      <c r="E399" t="s">
        <v>1427</v>
      </c>
    </row>
    <row r="400" spans="1:5" x14ac:dyDescent="0.2">
      <c r="A400" t="s">
        <v>1428</v>
      </c>
      <c r="B400" t="s">
        <v>1429</v>
      </c>
      <c r="C400" t="s">
        <v>486</v>
      </c>
      <c r="D400" t="s">
        <v>486</v>
      </c>
      <c r="E400" t="s">
        <v>1419</v>
      </c>
    </row>
    <row r="401" spans="1:5" x14ac:dyDescent="0.2">
      <c r="A401" t="s">
        <v>1430</v>
      </c>
      <c r="B401" t="s">
        <v>1431</v>
      </c>
      <c r="C401" t="s">
        <v>486</v>
      </c>
      <c r="D401" t="s">
        <v>486</v>
      </c>
      <c r="E401" t="s">
        <v>1432</v>
      </c>
    </row>
    <row r="402" spans="1:5" x14ac:dyDescent="0.2">
      <c r="A402" t="s">
        <v>1433</v>
      </c>
      <c r="B402" t="s">
        <v>1434</v>
      </c>
      <c r="C402" t="s">
        <v>486</v>
      </c>
      <c r="D402" t="s">
        <v>486</v>
      </c>
      <c r="E402" t="s">
        <v>1435</v>
      </c>
    </row>
    <row r="403" spans="1:5" x14ac:dyDescent="0.2">
      <c r="A403" t="s">
        <v>1436</v>
      </c>
      <c r="B403" t="s">
        <v>1437</v>
      </c>
      <c r="C403" t="s">
        <v>486</v>
      </c>
      <c r="D403" t="s">
        <v>486</v>
      </c>
      <c r="E403" t="s">
        <v>1419</v>
      </c>
    </row>
    <row r="404" spans="1:5" x14ac:dyDescent="0.2">
      <c r="A404" t="s">
        <v>1438</v>
      </c>
      <c r="B404" t="s">
        <v>1439</v>
      </c>
      <c r="C404" t="s">
        <v>486</v>
      </c>
      <c r="D404" t="s">
        <v>486</v>
      </c>
      <c r="E404" t="s">
        <v>1419</v>
      </c>
    </row>
    <row r="405" spans="1:5" x14ac:dyDescent="0.2">
      <c r="A405" t="s">
        <v>1440</v>
      </c>
      <c r="B405" t="s">
        <v>1441</v>
      </c>
      <c r="C405" t="s">
        <v>486</v>
      </c>
      <c r="D405" t="s">
        <v>486</v>
      </c>
      <c r="E405" t="s">
        <v>1419</v>
      </c>
    </row>
    <row r="406" spans="1:5" x14ac:dyDescent="0.2">
      <c r="A406" t="s">
        <v>1442</v>
      </c>
      <c r="B406" t="s">
        <v>1443</v>
      </c>
      <c r="C406" t="s">
        <v>486</v>
      </c>
      <c r="D406" t="s">
        <v>486</v>
      </c>
      <c r="E406" t="s">
        <v>1444</v>
      </c>
    </row>
    <row r="407" spans="1:5" x14ac:dyDescent="0.2">
      <c r="A407" t="s">
        <v>1445</v>
      </c>
      <c r="B407" t="s">
        <v>1446</v>
      </c>
      <c r="C407" t="s">
        <v>486</v>
      </c>
      <c r="D407" t="s">
        <v>486</v>
      </c>
      <c r="E407" t="s">
        <v>1447</v>
      </c>
    </row>
    <row r="408" spans="1:5" x14ac:dyDescent="0.2">
      <c r="A408" t="s">
        <v>1448</v>
      </c>
      <c r="B408" t="s">
        <v>1449</v>
      </c>
      <c r="C408" t="s">
        <v>486</v>
      </c>
      <c r="D408" t="s">
        <v>486</v>
      </c>
      <c r="E408" t="s">
        <v>1450</v>
      </c>
    </row>
    <row r="409" spans="1:5" x14ac:dyDescent="0.2">
      <c r="A409" t="s">
        <v>1451</v>
      </c>
      <c r="B409" t="s">
        <v>1452</v>
      </c>
      <c r="C409" t="s">
        <v>486</v>
      </c>
      <c r="D409" t="s">
        <v>486</v>
      </c>
      <c r="E409" t="s">
        <v>1419</v>
      </c>
    </row>
    <row r="410" spans="1:5" x14ac:dyDescent="0.2">
      <c r="A410" t="s">
        <v>1453</v>
      </c>
      <c r="B410" t="s">
        <v>1454</v>
      </c>
      <c r="C410" t="s">
        <v>486</v>
      </c>
      <c r="D410" t="s">
        <v>486</v>
      </c>
      <c r="E410" t="s">
        <v>1455</v>
      </c>
    </row>
    <row r="411" spans="1:5" x14ac:dyDescent="0.2">
      <c r="A411" t="s">
        <v>1456</v>
      </c>
      <c r="B411" t="s">
        <v>1457</v>
      </c>
      <c r="C411" t="s">
        <v>486</v>
      </c>
      <c r="D411" t="s">
        <v>486</v>
      </c>
      <c r="E411" t="s">
        <v>1419</v>
      </c>
    </row>
    <row r="412" spans="1:5" x14ac:dyDescent="0.2">
      <c r="A412" t="s">
        <v>1458</v>
      </c>
      <c r="B412" t="s">
        <v>1459</v>
      </c>
      <c r="C412" t="s">
        <v>486</v>
      </c>
      <c r="D412" t="s">
        <v>486</v>
      </c>
      <c r="E412" t="s">
        <v>1460</v>
      </c>
    </row>
    <row r="413" spans="1:5" x14ac:dyDescent="0.2">
      <c r="A413" t="s">
        <v>1461</v>
      </c>
      <c r="B413" t="s">
        <v>1462</v>
      </c>
      <c r="C413" t="s">
        <v>486</v>
      </c>
      <c r="D413" t="s">
        <v>486</v>
      </c>
      <c r="E413" t="s">
        <v>1463</v>
      </c>
    </row>
    <row r="414" spans="1:5" x14ac:dyDescent="0.2">
      <c r="A414" t="s">
        <v>1464</v>
      </c>
      <c r="B414" t="s">
        <v>1465</v>
      </c>
      <c r="C414" t="s">
        <v>486</v>
      </c>
      <c r="D414" t="s">
        <v>486</v>
      </c>
      <c r="E414" t="s">
        <v>1466</v>
      </c>
    </row>
    <row r="415" spans="1:5" x14ac:dyDescent="0.2">
      <c r="A415" t="s">
        <v>1467</v>
      </c>
      <c r="B415" t="s">
        <v>1468</v>
      </c>
      <c r="C415" t="s">
        <v>486</v>
      </c>
      <c r="D415" t="s">
        <v>486</v>
      </c>
      <c r="E415" t="s">
        <v>1466</v>
      </c>
    </row>
    <row r="416" spans="1:5" x14ac:dyDescent="0.2">
      <c r="A416" t="s">
        <v>1469</v>
      </c>
      <c r="B416" t="s">
        <v>1470</v>
      </c>
      <c r="C416" t="s">
        <v>486</v>
      </c>
      <c r="D416" t="s">
        <v>486</v>
      </c>
      <c r="E416" t="s">
        <v>1466</v>
      </c>
    </row>
    <row r="417" spans="1:5" x14ac:dyDescent="0.2">
      <c r="A417" t="s">
        <v>1471</v>
      </c>
      <c r="B417" t="s">
        <v>1472</v>
      </c>
      <c r="C417" t="s">
        <v>486</v>
      </c>
      <c r="D417" t="s">
        <v>486</v>
      </c>
      <c r="E417" t="s">
        <v>1466</v>
      </c>
    </row>
    <row r="418" spans="1:5" x14ac:dyDescent="0.2">
      <c r="A418" t="s">
        <v>1473</v>
      </c>
      <c r="B418" t="s">
        <v>1474</v>
      </c>
      <c r="C418" t="s">
        <v>486</v>
      </c>
      <c r="D418" t="s">
        <v>486</v>
      </c>
      <c r="E418" t="s">
        <v>1466</v>
      </c>
    </row>
    <row r="419" spans="1:5" x14ac:dyDescent="0.2">
      <c r="A419" t="s">
        <v>1475</v>
      </c>
      <c r="B419" t="s">
        <v>1476</v>
      </c>
      <c r="C419" t="s">
        <v>486</v>
      </c>
      <c r="D419" t="s">
        <v>486</v>
      </c>
      <c r="E419" t="s">
        <v>1477</v>
      </c>
    </row>
    <row r="420" spans="1:5" x14ac:dyDescent="0.2">
      <c r="A420" t="s">
        <v>1478</v>
      </c>
      <c r="B420" t="s">
        <v>1479</v>
      </c>
      <c r="C420" t="s">
        <v>486</v>
      </c>
      <c r="D420" t="s">
        <v>486</v>
      </c>
      <c r="E420" t="s">
        <v>1419</v>
      </c>
    </row>
    <row r="421" spans="1:5" x14ac:dyDescent="0.2">
      <c r="A421" t="s">
        <v>1480</v>
      </c>
      <c r="B421" t="s">
        <v>1481</v>
      </c>
      <c r="C421" t="s">
        <v>486</v>
      </c>
      <c r="D421" t="s">
        <v>486</v>
      </c>
      <c r="E421" t="s">
        <v>1419</v>
      </c>
    </row>
    <row r="422" spans="1:5" x14ac:dyDescent="0.2">
      <c r="A422" t="s">
        <v>1482</v>
      </c>
      <c r="B422" t="s">
        <v>1483</v>
      </c>
      <c r="C422" t="s">
        <v>486</v>
      </c>
      <c r="D422" t="s">
        <v>486</v>
      </c>
      <c r="E422" t="s">
        <v>1419</v>
      </c>
    </row>
    <row r="423" spans="1:5" x14ac:dyDescent="0.2">
      <c r="A423" t="s">
        <v>1484</v>
      </c>
      <c r="B423" t="s">
        <v>1485</v>
      </c>
      <c r="C423" t="s">
        <v>486</v>
      </c>
      <c r="D423" t="s">
        <v>486</v>
      </c>
      <c r="E423" t="s">
        <v>1486</v>
      </c>
    </row>
    <row r="424" spans="1:5" x14ac:dyDescent="0.2">
      <c r="A424" t="s">
        <v>1487</v>
      </c>
      <c r="B424" t="s">
        <v>1488</v>
      </c>
      <c r="C424" t="s">
        <v>486</v>
      </c>
      <c r="D424" t="s">
        <v>486</v>
      </c>
      <c r="E424" t="s">
        <v>1419</v>
      </c>
    </row>
    <row r="425" spans="1:5" x14ac:dyDescent="0.2">
      <c r="A425" t="s">
        <v>1489</v>
      </c>
      <c r="B425" t="s">
        <v>1490</v>
      </c>
      <c r="C425" t="s">
        <v>486</v>
      </c>
      <c r="D425" t="s">
        <v>486</v>
      </c>
      <c r="E425" t="s">
        <v>1466</v>
      </c>
    </row>
    <row r="426" spans="1:5" x14ac:dyDescent="0.2">
      <c r="A426" t="s">
        <v>1491</v>
      </c>
      <c r="B426" t="s">
        <v>1492</v>
      </c>
      <c r="C426" t="s">
        <v>486</v>
      </c>
      <c r="D426" t="s">
        <v>486</v>
      </c>
      <c r="E426" t="s">
        <v>1493</v>
      </c>
    </row>
    <row r="427" spans="1:5" x14ac:dyDescent="0.2">
      <c r="A427" t="s">
        <v>1494</v>
      </c>
      <c r="B427" t="s">
        <v>1495</v>
      </c>
      <c r="C427" t="s">
        <v>486</v>
      </c>
      <c r="D427" t="s">
        <v>486</v>
      </c>
      <c r="E427" t="s">
        <v>1466</v>
      </c>
    </row>
    <row r="428" spans="1:5" x14ac:dyDescent="0.2">
      <c r="A428" t="s">
        <v>1496</v>
      </c>
      <c r="B428" t="s">
        <v>1497</v>
      </c>
      <c r="C428" t="s">
        <v>486</v>
      </c>
      <c r="D428" t="s">
        <v>486</v>
      </c>
      <c r="E428" t="s">
        <v>1419</v>
      </c>
    </row>
    <row r="429" spans="1:5" x14ac:dyDescent="0.2">
      <c r="A429" t="s">
        <v>1498</v>
      </c>
      <c r="B429" t="s">
        <v>1499</v>
      </c>
      <c r="C429" t="s">
        <v>486</v>
      </c>
      <c r="D429" t="s">
        <v>486</v>
      </c>
      <c r="E429" t="s">
        <v>1450</v>
      </c>
    </row>
    <row r="430" spans="1:5" x14ac:dyDescent="0.2">
      <c r="A430" t="s">
        <v>1500</v>
      </c>
      <c r="B430" t="s">
        <v>1501</v>
      </c>
      <c r="C430" t="s">
        <v>486</v>
      </c>
      <c r="D430" t="s">
        <v>486</v>
      </c>
      <c r="E430" t="s">
        <v>1502</v>
      </c>
    </row>
    <row r="431" spans="1:5" x14ac:dyDescent="0.2">
      <c r="A431" t="s">
        <v>1503</v>
      </c>
      <c r="B431" t="s">
        <v>1504</v>
      </c>
      <c r="C431" t="s">
        <v>486</v>
      </c>
      <c r="D431" t="s">
        <v>486</v>
      </c>
      <c r="E431" t="s">
        <v>1419</v>
      </c>
    </row>
    <row r="432" spans="1:5" x14ac:dyDescent="0.2">
      <c r="A432" t="s">
        <v>1505</v>
      </c>
      <c r="B432" t="s">
        <v>1506</v>
      </c>
      <c r="C432" t="s">
        <v>486</v>
      </c>
      <c r="D432" t="s">
        <v>486</v>
      </c>
      <c r="E432" t="s">
        <v>1507</v>
      </c>
    </row>
    <row r="433" spans="1:5" x14ac:dyDescent="0.2">
      <c r="A433" t="s">
        <v>1508</v>
      </c>
      <c r="B433" t="s">
        <v>1509</v>
      </c>
      <c r="C433" t="s">
        <v>486</v>
      </c>
      <c r="D433" t="s">
        <v>486</v>
      </c>
      <c r="E433" t="s">
        <v>1510</v>
      </c>
    </row>
    <row r="434" spans="1:5" x14ac:dyDescent="0.2">
      <c r="A434" t="s">
        <v>1511</v>
      </c>
      <c r="B434" t="s">
        <v>1512</v>
      </c>
      <c r="C434" t="s">
        <v>486</v>
      </c>
      <c r="D434" t="s">
        <v>486</v>
      </c>
      <c r="E434" t="s">
        <v>1419</v>
      </c>
    </row>
    <row r="435" spans="1:5" x14ac:dyDescent="0.2">
      <c r="A435" t="s">
        <v>1513</v>
      </c>
      <c r="B435" t="s">
        <v>1514</v>
      </c>
      <c r="C435" t="s">
        <v>486</v>
      </c>
      <c r="D435" t="s">
        <v>486</v>
      </c>
      <c r="E435" t="s">
        <v>1515</v>
      </c>
    </row>
    <row r="436" spans="1:5" x14ac:dyDescent="0.2">
      <c r="A436" t="s">
        <v>1516</v>
      </c>
      <c r="B436" t="s">
        <v>1517</v>
      </c>
      <c r="C436" t="s">
        <v>486</v>
      </c>
      <c r="D436" t="s">
        <v>486</v>
      </c>
      <c r="E436" t="s">
        <v>1518</v>
      </c>
    </row>
    <row r="437" spans="1:5" x14ac:dyDescent="0.2">
      <c r="A437" t="s">
        <v>1519</v>
      </c>
      <c r="B437" t="s">
        <v>1520</v>
      </c>
      <c r="C437" t="s">
        <v>486</v>
      </c>
      <c r="D437" t="s">
        <v>486</v>
      </c>
      <c r="E437" t="s">
        <v>1466</v>
      </c>
    </row>
    <row r="438" spans="1:5" x14ac:dyDescent="0.2">
      <c r="A438" t="s">
        <v>1521</v>
      </c>
      <c r="B438" t="s">
        <v>1522</v>
      </c>
      <c r="C438" t="s">
        <v>486</v>
      </c>
      <c r="D438" t="s">
        <v>486</v>
      </c>
      <c r="E438" t="s">
        <v>1523</v>
      </c>
    </row>
    <row r="439" spans="1:5" x14ac:dyDescent="0.2">
      <c r="A439" t="s">
        <v>1524</v>
      </c>
      <c r="B439" t="s">
        <v>1525</v>
      </c>
      <c r="C439" t="s">
        <v>486</v>
      </c>
      <c r="D439" t="s">
        <v>486</v>
      </c>
      <c r="E439" t="s">
        <v>1526</v>
      </c>
    </row>
    <row r="440" spans="1:5" x14ac:dyDescent="0.2">
      <c r="A440" t="s">
        <v>1527</v>
      </c>
      <c r="B440" t="s">
        <v>1528</v>
      </c>
      <c r="C440" t="s">
        <v>486</v>
      </c>
      <c r="D440" t="s">
        <v>486</v>
      </c>
      <c r="E440" t="s">
        <v>1463</v>
      </c>
    </row>
    <row r="441" spans="1:5" x14ac:dyDescent="0.2">
      <c r="A441" t="s">
        <v>1529</v>
      </c>
      <c r="B441" t="s">
        <v>1530</v>
      </c>
      <c r="C441" t="s">
        <v>486</v>
      </c>
      <c r="D441" t="s">
        <v>486</v>
      </c>
      <c r="E441" t="s">
        <v>1450</v>
      </c>
    </row>
    <row r="442" spans="1:5" x14ac:dyDescent="0.2">
      <c r="A442" t="s">
        <v>1531</v>
      </c>
      <c r="B442" t="s">
        <v>1532</v>
      </c>
      <c r="C442" t="s">
        <v>486</v>
      </c>
      <c r="D442" t="s">
        <v>486</v>
      </c>
      <c r="E442" t="s">
        <v>1533</v>
      </c>
    </row>
    <row r="443" spans="1:5" x14ac:dyDescent="0.2">
      <c r="A443" t="s">
        <v>1534</v>
      </c>
      <c r="B443" t="s">
        <v>1535</v>
      </c>
      <c r="C443" t="s">
        <v>486</v>
      </c>
      <c r="D443" t="s">
        <v>486</v>
      </c>
      <c r="E443" t="s">
        <v>1466</v>
      </c>
    </row>
    <row r="444" spans="1:5" x14ac:dyDescent="0.2">
      <c r="A444" t="s">
        <v>1536</v>
      </c>
      <c r="B444" t="s">
        <v>1537</v>
      </c>
      <c r="C444" t="s">
        <v>486</v>
      </c>
      <c r="D444" t="s">
        <v>486</v>
      </c>
      <c r="E444" t="s">
        <v>1450</v>
      </c>
    </row>
    <row r="445" spans="1:5" x14ac:dyDescent="0.2">
      <c r="A445" t="s">
        <v>1538</v>
      </c>
      <c r="B445" t="s">
        <v>1539</v>
      </c>
      <c r="C445" t="s">
        <v>486</v>
      </c>
      <c r="D445" t="s">
        <v>486</v>
      </c>
      <c r="E445" t="s">
        <v>1450</v>
      </c>
    </row>
    <row r="446" spans="1:5" x14ac:dyDescent="0.2">
      <c r="A446" t="s">
        <v>1540</v>
      </c>
      <c r="B446" t="s">
        <v>1541</v>
      </c>
      <c r="C446" t="s">
        <v>486</v>
      </c>
      <c r="D446" t="s">
        <v>486</v>
      </c>
      <c r="E446" t="s">
        <v>1542</v>
      </c>
    </row>
    <row r="447" spans="1:5" x14ac:dyDescent="0.2">
      <c r="A447" t="s">
        <v>1543</v>
      </c>
      <c r="B447" t="s">
        <v>1544</v>
      </c>
      <c r="C447" t="s">
        <v>486</v>
      </c>
      <c r="D447" t="s">
        <v>486</v>
      </c>
      <c r="E447" t="s">
        <v>1450</v>
      </c>
    </row>
    <row r="448" spans="1:5" x14ac:dyDescent="0.2">
      <c r="A448" t="s">
        <v>1545</v>
      </c>
      <c r="B448" t="s">
        <v>1546</v>
      </c>
      <c r="C448" t="s">
        <v>486</v>
      </c>
      <c r="D448" t="s">
        <v>486</v>
      </c>
      <c r="E448" t="s">
        <v>1419</v>
      </c>
    </row>
    <row r="449" spans="1:5" x14ac:dyDescent="0.2">
      <c r="A449" t="s">
        <v>1547</v>
      </c>
      <c r="B449" t="s">
        <v>1548</v>
      </c>
      <c r="C449" t="s">
        <v>486</v>
      </c>
      <c r="D449" t="s">
        <v>486</v>
      </c>
      <c r="E449" t="s">
        <v>1549</v>
      </c>
    </row>
    <row r="450" spans="1:5" x14ac:dyDescent="0.2">
      <c r="A450" t="s">
        <v>1550</v>
      </c>
      <c r="B450" t="s">
        <v>1551</v>
      </c>
      <c r="C450" t="s">
        <v>486</v>
      </c>
      <c r="D450" t="s">
        <v>486</v>
      </c>
      <c r="E450" t="s">
        <v>1419</v>
      </c>
    </row>
    <row r="451" spans="1:5" x14ac:dyDescent="0.2">
      <c r="A451" t="s">
        <v>1552</v>
      </c>
      <c r="B451" t="s">
        <v>1553</v>
      </c>
      <c r="C451" t="s">
        <v>486</v>
      </c>
      <c r="D451" t="s">
        <v>486</v>
      </c>
      <c r="E451" t="s">
        <v>1510</v>
      </c>
    </row>
    <row r="452" spans="1:5" x14ac:dyDescent="0.2">
      <c r="A452" t="s">
        <v>1554</v>
      </c>
      <c r="B452" t="s">
        <v>1555</v>
      </c>
      <c r="C452" t="s">
        <v>486</v>
      </c>
      <c r="D452" t="s">
        <v>486</v>
      </c>
      <c r="E452" t="s">
        <v>1556</v>
      </c>
    </row>
    <row r="453" spans="1:5" x14ac:dyDescent="0.2">
      <c r="A453" t="s">
        <v>1557</v>
      </c>
      <c r="B453" t="s">
        <v>1558</v>
      </c>
      <c r="C453" t="s">
        <v>486</v>
      </c>
      <c r="D453" t="s">
        <v>486</v>
      </c>
      <c r="E453" t="s">
        <v>1559</v>
      </c>
    </row>
    <row r="454" spans="1:5" x14ac:dyDescent="0.2">
      <c r="A454" t="s">
        <v>1560</v>
      </c>
      <c r="B454" t="s">
        <v>1561</v>
      </c>
      <c r="C454" t="s">
        <v>486</v>
      </c>
      <c r="D454" t="s">
        <v>486</v>
      </c>
      <c r="E454" t="s">
        <v>1450</v>
      </c>
    </row>
    <row r="455" spans="1:5" x14ac:dyDescent="0.2">
      <c r="A455" t="s">
        <v>1562</v>
      </c>
      <c r="B455" t="s">
        <v>1563</v>
      </c>
      <c r="C455" t="s">
        <v>486</v>
      </c>
      <c r="D455" t="s">
        <v>486</v>
      </c>
      <c r="E455" t="s">
        <v>1564</v>
      </c>
    </row>
    <row r="456" spans="1:5" x14ac:dyDescent="0.2">
      <c r="A456" t="s">
        <v>1565</v>
      </c>
      <c r="B456" t="s">
        <v>1566</v>
      </c>
      <c r="C456" t="s">
        <v>486</v>
      </c>
      <c r="D456" t="s">
        <v>486</v>
      </c>
      <c r="E456" t="s">
        <v>1450</v>
      </c>
    </row>
    <row r="457" spans="1:5" x14ac:dyDescent="0.2">
      <c r="A457" t="s">
        <v>1567</v>
      </c>
      <c r="B457" t="s">
        <v>1568</v>
      </c>
      <c r="C457" t="s">
        <v>486</v>
      </c>
      <c r="D457" t="s">
        <v>486</v>
      </c>
      <c r="E457" t="s">
        <v>1419</v>
      </c>
    </row>
    <row r="458" spans="1:5" x14ac:dyDescent="0.2">
      <c r="A458" t="s">
        <v>1569</v>
      </c>
      <c r="B458" t="s">
        <v>1570</v>
      </c>
      <c r="C458" t="s">
        <v>486</v>
      </c>
      <c r="D458" t="s">
        <v>486</v>
      </c>
      <c r="E458" t="s">
        <v>1571</v>
      </c>
    </row>
    <row r="459" spans="1:5" x14ac:dyDescent="0.2">
      <c r="A459" t="s">
        <v>1572</v>
      </c>
      <c r="B459" t="s">
        <v>1573</v>
      </c>
      <c r="C459" t="s">
        <v>486</v>
      </c>
      <c r="D459" t="s">
        <v>486</v>
      </c>
      <c r="E459" t="s">
        <v>1419</v>
      </c>
    </row>
    <row r="460" spans="1:5" x14ac:dyDescent="0.2">
      <c r="A460" t="s">
        <v>1574</v>
      </c>
      <c r="B460" t="s">
        <v>1575</v>
      </c>
      <c r="C460" t="s">
        <v>486</v>
      </c>
      <c r="D460" t="s">
        <v>486</v>
      </c>
      <c r="E460" t="s">
        <v>1576</v>
      </c>
    </row>
    <row r="461" spans="1:5" x14ac:dyDescent="0.2">
      <c r="A461" t="s">
        <v>1577</v>
      </c>
      <c r="B461" t="s">
        <v>1578</v>
      </c>
      <c r="C461" t="s">
        <v>486</v>
      </c>
      <c r="D461" t="s">
        <v>486</v>
      </c>
      <c r="E461" t="s">
        <v>1579</v>
      </c>
    </row>
    <row r="462" spans="1:5" x14ac:dyDescent="0.2">
      <c r="A462" t="s">
        <v>1580</v>
      </c>
      <c r="B462" t="s">
        <v>1581</v>
      </c>
      <c r="C462" t="s">
        <v>486</v>
      </c>
      <c r="D462" t="s">
        <v>486</v>
      </c>
      <c r="E462" t="s">
        <v>1582</v>
      </c>
    </row>
    <row r="463" spans="1:5" x14ac:dyDescent="0.2">
      <c r="A463" t="s">
        <v>1583</v>
      </c>
      <c r="B463" t="s">
        <v>1584</v>
      </c>
      <c r="C463" t="s">
        <v>486</v>
      </c>
      <c r="D463" t="s">
        <v>486</v>
      </c>
      <c r="E463" t="s">
        <v>1466</v>
      </c>
    </row>
    <row r="464" spans="1:5" x14ac:dyDescent="0.2">
      <c r="A464" t="s">
        <v>1585</v>
      </c>
      <c r="B464" t="s">
        <v>1586</v>
      </c>
      <c r="C464" t="s">
        <v>486</v>
      </c>
      <c r="D464" t="s">
        <v>486</v>
      </c>
      <c r="E464" t="s">
        <v>1587</v>
      </c>
    </row>
    <row r="465" spans="1:5" x14ac:dyDescent="0.2">
      <c r="A465" t="s">
        <v>1588</v>
      </c>
      <c r="B465" t="s">
        <v>1589</v>
      </c>
      <c r="C465" t="s">
        <v>486</v>
      </c>
      <c r="D465" t="s">
        <v>486</v>
      </c>
      <c r="E465" t="s">
        <v>1590</v>
      </c>
    </row>
    <row r="466" spans="1:5" x14ac:dyDescent="0.2">
      <c r="A466" t="s">
        <v>1591</v>
      </c>
      <c r="B466" t="s">
        <v>1592</v>
      </c>
      <c r="C466" t="s">
        <v>486</v>
      </c>
      <c r="D466" t="s">
        <v>486</v>
      </c>
      <c r="E466" t="s">
        <v>1593</v>
      </c>
    </row>
    <row r="467" spans="1:5" x14ac:dyDescent="0.2">
      <c r="A467" t="s">
        <v>1594</v>
      </c>
      <c r="B467" t="s">
        <v>1595</v>
      </c>
      <c r="C467" t="s">
        <v>486</v>
      </c>
      <c r="D467" t="s">
        <v>486</v>
      </c>
      <c r="E467" t="s">
        <v>1466</v>
      </c>
    </row>
    <row r="468" spans="1:5" x14ac:dyDescent="0.2">
      <c r="A468" t="s">
        <v>1596</v>
      </c>
      <c r="B468" t="s">
        <v>1597</v>
      </c>
      <c r="C468" t="s">
        <v>486</v>
      </c>
      <c r="D468" t="s">
        <v>486</v>
      </c>
      <c r="E468" t="s">
        <v>1466</v>
      </c>
    </row>
    <row r="469" spans="1:5" x14ac:dyDescent="0.2">
      <c r="A469" t="s">
        <v>1598</v>
      </c>
      <c r="B469" t="s">
        <v>1599</v>
      </c>
      <c r="C469" t="s">
        <v>486</v>
      </c>
      <c r="D469" t="s">
        <v>486</v>
      </c>
      <c r="E469" t="s">
        <v>1463</v>
      </c>
    </row>
    <row r="470" spans="1:5" x14ac:dyDescent="0.2">
      <c r="A470" t="s">
        <v>1600</v>
      </c>
      <c r="B470" t="s">
        <v>1601</v>
      </c>
      <c r="C470" t="s">
        <v>486</v>
      </c>
      <c r="D470" t="s">
        <v>486</v>
      </c>
      <c r="E470" t="s">
        <v>1510</v>
      </c>
    </row>
    <row r="471" spans="1:5" x14ac:dyDescent="0.2">
      <c r="A471" t="s">
        <v>1602</v>
      </c>
      <c r="B471" t="s">
        <v>1603</v>
      </c>
      <c r="C471" t="s">
        <v>486</v>
      </c>
      <c r="D471" t="s">
        <v>486</v>
      </c>
      <c r="E471" t="s">
        <v>1419</v>
      </c>
    </row>
    <row r="472" spans="1:5" x14ac:dyDescent="0.2">
      <c r="A472" t="s">
        <v>1604</v>
      </c>
      <c r="B472" t="s">
        <v>1605</v>
      </c>
      <c r="C472" t="s">
        <v>486</v>
      </c>
      <c r="D472" t="s">
        <v>486</v>
      </c>
      <c r="E472" t="s">
        <v>1466</v>
      </c>
    </row>
    <row r="473" spans="1:5" x14ac:dyDescent="0.2">
      <c r="A473" t="s">
        <v>1606</v>
      </c>
      <c r="B473" t="s">
        <v>1607</v>
      </c>
      <c r="C473" t="s">
        <v>486</v>
      </c>
      <c r="D473" t="s">
        <v>486</v>
      </c>
      <c r="E473" t="s">
        <v>1608</v>
      </c>
    </row>
    <row r="474" spans="1:5" x14ac:dyDescent="0.2">
      <c r="A474" t="s">
        <v>1609</v>
      </c>
      <c r="B474" t="s">
        <v>1610</v>
      </c>
      <c r="C474" t="s">
        <v>486</v>
      </c>
      <c r="D474" t="s">
        <v>486</v>
      </c>
      <c r="E474" t="s">
        <v>1510</v>
      </c>
    </row>
    <row r="475" spans="1:5" x14ac:dyDescent="0.2">
      <c r="A475" t="s">
        <v>1611</v>
      </c>
      <c r="B475" t="s">
        <v>1612</v>
      </c>
      <c r="C475" t="s">
        <v>486</v>
      </c>
      <c r="D475" t="s">
        <v>486</v>
      </c>
      <c r="E475" t="s">
        <v>1510</v>
      </c>
    </row>
    <row r="476" spans="1:5" x14ac:dyDescent="0.2">
      <c r="A476" t="s">
        <v>1613</v>
      </c>
      <c r="B476" t="s">
        <v>1614</v>
      </c>
      <c r="C476" t="s">
        <v>486</v>
      </c>
      <c r="D476" t="s">
        <v>486</v>
      </c>
      <c r="E476" t="s">
        <v>1615</v>
      </c>
    </row>
    <row r="477" spans="1:5" x14ac:dyDescent="0.2">
      <c r="A477" t="s">
        <v>1616</v>
      </c>
      <c r="B477" t="s">
        <v>1617</v>
      </c>
      <c r="C477" t="s">
        <v>486</v>
      </c>
      <c r="D477" t="s">
        <v>486</v>
      </c>
      <c r="E477" t="s">
        <v>1419</v>
      </c>
    </row>
    <row r="478" spans="1:5" x14ac:dyDescent="0.2">
      <c r="A478" t="s">
        <v>1618</v>
      </c>
      <c r="B478" t="s">
        <v>1619</v>
      </c>
      <c r="C478" t="s">
        <v>486</v>
      </c>
      <c r="D478" t="s">
        <v>486</v>
      </c>
      <c r="E478" t="s">
        <v>1450</v>
      </c>
    </row>
    <row r="479" spans="1:5" x14ac:dyDescent="0.2">
      <c r="A479" t="s">
        <v>1620</v>
      </c>
      <c r="B479" t="s">
        <v>1621</v>
      </c>
      <c r="C479" t="s">
        <v>486</v>
      </c>
      <c r="D479" t="s">
        <v>486</v>
      </c>
      <c r="E479" t="s">
        <v>1622</v>
      </c>
    </row>
    <row r="480" spans="1:5" x14ac:dyDescent="0.2">
      <c r="A480" t="s">
        <v>1623</v>
      </c>
      <c r="B480" t="s">
        <v>1624</v>
      </c>
      <c r="C480" t="s">
        <v>486</v>
      </c>
      <c r="D480" t="s">
        <v>486</v>
      </c>
      <c r="E480" t="s">
        <v>1466</v>
      </c>
    </row>
    <row r="481" spans="1:5" x14ac:dyDescent="0.2">
      <c r="A481" t="s">
        <v>1625</v>
      </c>
      <c r="B481" t="s">
        <v>1626</v>
      </c>
      <c r="C481" t="s">
        <v>486</v>
      </c>
      <c r="D481" t="s">
        <v>486</v>
      </c>
      <c r="E481" t="s">
        <v>1466</v>
      </c>
    </row>
    <row r="482" spans="1:5" x14ac:dyDescent="0.2">
      <c r="A482" t="s">
        <v>1627</v>
      </c>
      <c r="B482" t="s">
        <v>1628</v>
      </c>
      <c r="C482" t="s">
        <v>486</v>
      </c>
      <c r="D482" t="e">
        <v>#N/A</v>
      </c>
      <c r="E482" t="e">
        <v>#N/A</v>
      </c>
    </row>
    <row r="483" spans="1:5" x14ac:dyDescent="0.2">
      <c r="A483" t="s">
        <v>1629</v>
      </c>
      <c r="B483" t="s">
        <v>1630</v>
      </c>
      <c r="C483" t="s">
        <v>1631</v>
      </c>
      <c r="D483" t="s">
        <v>1631</v>
      </c>
      <c r="E483" t="s">
        <v>1632</v>
      </c>
    </row>
    <row r="484" spans="1:5" x14ac:dyDescent="0.2">
      <c r="A484" t="s">
        <v>1633</v>
      </c>
      <c r="B484" t="s">
        <v>1634</v>
      </c>
      <c r="C484" t="s">
        <v>1631</v>
      </c>
      <c r="D484" t="s">
        <v>1631</v>
      </c>
      <c r="E484" t="s">
        <v>1635</v>
      </c>
    </row>
    <row r="485" spans="1:5" x14ac:dyDescent="0.2">
      <c r="A485" t="s">
        <v>1636</v>
      </c>
      <c r="B485" t="s">
        <v>1637</v>
      </c>
      <c r="C485" t="s">
        <v>1631</v>
      </c>
      <c r="D485" t="s">
        <v>1631</v>
      </c>
      <c r="E485" t="s">
        <v>1638</v>
      </c>
    </row>
    <row r="486" spans="1:5" x14ac:dyDescent="0.2">
      <c r="A486" t="s">
        <v>1639</v>
      </c>
      <c r="B486" t="s">
        <v>1640</v>
      </c>
      <c r="C486" t="s">
        <v>1631</v>
      </c>
      <c r="D486" t="s">
        <v>1631</v>
      </c>
      <c r="E486" t="s">
        <v>1641</v>
      </c>
    </row>
    <row r="487" spans="1:5" x14ac:dyDescent="0.2">
      <c r="A487" t="s">
        <v>1642</v>
      </c>
      <c r="B487" t="s">
        <v>1643</v>
      </c>
      <c r="C487" t="s">
        <v>1631</v>
      </c>
      <c r="D487" t="s">
        <v>1631</v>
      </c>
      <c r="E487" t="s">
        <v>1644</v>
      </c>
    </row>
    <row r="488" spans="1:5" x14ac:dyDescent="0.2">
      <c r="A488" t="s">
        <v>1645</v>
      </c>
      <c r="B488" t="s">
        <v>1646</v>
      </c>
      <c r="C488" t="s">
        <v>1631</v>
      </c>
      <c r="D488" t="s">
        <v>1631</v>
      </c>
      <c r="E488" t="s">
        <v>1635</v>
      </c>
    </row>
    <row r="489" spans="1:5" x14ac:dyDescent="0.2">
      <c r="A489" t="s">
        <v>1647</v>
      </c>
      <c r="B489" t="s">
        <v>1648</v>
      </c>
      <c r="C489" t="s">
        <v>1631</v>
      </c>
      <c r="D489" t="s">
        <v>1631</v>
      </c>
      <c r="E489" t="s">
        <v>1641</v>
      </c>
    </row>
    <row r="490" spans="1:5" x14ac:dyDescent="0.2">
      <c r="A490" t="s">
        <v>1649</v>
      </c>
      <c r="B490" t="s">
        <v>1650</v>
      </c>
      <c r="C490" t="s">
        <v>1631</v>
      </c>
      <c r="D490" t="s">
        <v>1631</v>
      </c>
      <c r="E490" t="s">
        <v>1651</v>
      </c>
    </row>
    <row r="491" spans="1:5" x14ac:dyDescent="0.2">
      <c r="A491" t="s">
        <v>1652</v>
      </c>
      <c r="B491" t="s">
        <v>1653</v>
      </c>
      <c r="C491" t="s">
        <v>1631</v>
      </c>
      <c r="D491" t="s">
        <v>1631</v>
      </c>
      <c r="E491" t="s">
        <v>1654</v>
      </c>
    </row>
    <row r="492" spans="1:5" x14ac:dyDescent="0.2">
      <c r="A492" t="s">
        <v>1655</v>
      </c>
      <c r="B492" t="s">
        <v>1656</v>
      </c>
      <c r="C492" t="s">
        <v>1631</v>
      </c>
      <c r="D492" t="s">
        <v>1631</v>
      </c>
      <c r="E492" t="s">
        <v>1657</v>
      </c>
    </row>
    <row r="493" spans="1:5" x14ac:dyDescent="0.2">
      <c r="A493" t="s">
        <v>1658</v>
      </c>
      <c r="B493" t="s">
        <v>1659</v>
      </c>
      <c r="C493" t="s">
        <v>1631</v>
      </c>
      <c r="D493" t="s">
        <v>1631</v>
      </c>
      <c r="E493" t="s">
        <v>1641</v>
      </c>
    </row>
    <row r="494" spans="1:5" x14ac:dyDescent="0.2">
      <c r="A494" t="s">
        <v>1660</v>
      </c>
      <c r="B494" t="s">
        <v>1661</v>
      </c>
      <c r="C494" t="s">
        <v>1631</v>
      </c>
      <c r="D494" t="s">
        <v>1631</v>
      </c>
      <c r="E494" t="s">
        <v>1662</v>
      </c>
    </row>
    <row r="495" spans="1:5" x14ac:dyDescent="0.2">
      <c r="A495" t="s">
        <v>1663</v>
      </c>
      <c r="B495" t="s">
        <v>1664</v>
      </c>
      <c r="C495" t="s">
        <v>1631</v>
      </c>
      <c r="D495" t="s">
        <v>1631</v>
      </c>
      <c r="E495" t="s">
        <v>1665</v>
      </c>
    </row>
    <row r="496" spans="1:5" x14ac:dyDescent="0.2">
      <c r="A496" t="s">
        <v>1666</v>
      </c>
      <c r="B496" t="s">
        <v>1667</v>
      </c>
      <c r="C496" t="s">
        <v>1631</v>
      </c>
      <c r="D496" t="s">
        <v>1631</v>
      </c>
      <c r="E496" t="s">
        <v>1665</v>
      </c>
    </row>
    <row r="497" spans="1:5" x14ac:dyDescent="0.2">
      <c r="A497" t="s">
        <v>1668</v>
      </c>
      <c r="B497" t="s">
        <v>1669</v>
      </c>
      <c r="C497" t="s">
        <v>1631</v>
      </c>
      <c r="D497" t="s">
        <v>1631</v>
      </c>
      <c r="E497" t="s">
        <v>1644</v>
      </c>
    </row>
    <row r="498" spans="1:5" x14ac:dyDescent="0.2">
      <c r="A498" t="s">
        <v>1670</v>
      </c>
      <c r="B498" t="s">
        <v>1671</v>
      </c>
      <c r="C498" t="s">
        <v>1631</v>
      </c>
      <c r="D498" t="s">
        <v>1631</v>
      </c>
      <c r="E498" t="s">
        <v>1672</v>
      </c>
    </row>
    <row r="499" spans="1:5" x14ac:dyDescent="0.2">
      <c r="A499" t="s">
        <v>1673</v>
      </c>
      <c r="B499" t="s">
        <v>1674</v>
      </c>
      <c r="C499" t="s">
        <v>1631</v>
      </c>
      <c r="D499" t="s">
        <v>1631</v>
      </c>
      <c r="E499" t="s">
        <v>1675</v>
      </c>
    </row>
    <row r="500" spans="1:5" x14ac:dyDescent="0.2">
      <c r="A500" t="s">
        <v>1676</v>
      </c>
      <c r="B500" t="s">
        <v>1677</v>
      </c>
      <c r="C500" t="s">
        <v>1631</v>
      </c>
      <c r="D500" t="s">
        <v>1631</v>
      </c>
      <c r="E500" t="s">
        <v>1665</v>
      </c>
    </row>
    <row r="501" spans="1:5" x14ac:dyDescent="0.2">
      <c r="A501" t="s">
        <v>1678</v>
      </c>
      <c r="B501" t="s">
        <v>1679</v>
      </c>
      <c r="C501" t="s">
        <v>1631</v>
      </c>
      <c r="D501" t="s">
        <v>1631</v>
      </c>
      <c r="E501" t="s">
        <v>1680</v>
      </c>
    </row>
    <row r="502" spans="1:5" x14ac:dyDescent="0.2">
      <c r="A502" t="s">
        <v>1681</v>
      </c>
      <c r="B502" t="s">
        <v>1682</v>
      </c>
      <c r="C502" t="s">
        <v>1631</v>
      </c>
      <c r="D502" t="s">
        <v>1631</v>
      </c>
      <c r="E502" t="s">
        <v>1641</v>
      </c>
    </row>
    <row r="503" spans="1:5" x14ac:dyDescent="0.2">
      <c r="A503" t="s">
        <v>1683</v>
      </c>
      <c r="B503" t="s">
        <v>1684</v>
      </c>
      <c r="C503" t="s">
        <v>1631</v>
      </c>
      <c r="D503" t="s">
        <v>1631</v>
      </c>
      <c r="E503" t="s">
        <v>1685</v>
      </c>
    </row>
    <row r="504" spans="1:5" x14ac:dyDescent="0.2">
      <c r="A504" t="s">
        <v>1686</v>
      </c>
      <c r="B504" t="s">
        <v>1687</v>
      </c>
      <c r="C504" t="s">
        <v>1631</v>
      </c>
      <c r="D504" t="s">
        <v>1631</v>
      </c>
      <c r="E504" t="s">
        <v>1635</v>
      </c>
    </row>
    <row r="505" spans="1:5" x14ac:dyDescent="0.2">
      <c r="A505" t="s">
        <v>1688</v>
      </c>
      <c r="B505" t="s">
        <v>1689</v>
      </c>
      <c r="C505" t="s">
        <v>1631</v>
      </c>
      <c r="D505" t="s">
        <v>1631</v>
      </c>
      <c r="E505" t="s">
        <v>1665</v>
      </c>
    </row>
    <row r="506" spans="1:5" x14ac:dyDescent="0.2">
      <c r="A506" t="s">
        <v>1690</v>
      </c>
      <c r="B506" t="s">
        <v>1691</v>
      </c>
      <c r="C506" t="s">
        <v>1631</v>
      </c>
      <c r="D506" t="s">
        <v>1631</v>
      </c>
      <c r="E506" t="s">
        <v>1641</v>
      </c>
    </row>
    <row r="507" spans="1:5" x14ac:dyDescent="0.2">
      <c r="A507" t="s">
        <v>1692</v>
      </c>
      <c r="B507" t="s">
        <v>1693</v>
      </c>
      <c r="C507" t="s">
        <v>1631</v>
      </c>
      <c r="D507" t="s">
        <v>1631</v>
      </c>
      <c r="E507" t="s">
        <v>1694</v>
      </c>
    </row>
    <row r="508" spans="1:5" x14ac:dyDescent="0.2">
      <c r="A508" t="s">
        <v>1695</v>
      </c>
      <c r="B508" t="s">
        <v>1696</v>
      </c>
      <c r="C508" t="s">
        <v>1631</v>
      </c>
      <c r="D508" t="s">
        <v>1631</v>
      </c>
      <c r="E508" t="s">
        <v>1641</v>
      </c>
    </row>
    <row r="509" spans="1:5" x14ac:dyDescent="0.2">
      <c r="A509" t="s">
        <v>1697</v>
      </c>
      <c r="B509" t="s">
        <v>1698</v>
      </c>
      <c r="C509" t="s">
        <v>1631</v>
      </c>
      <c r="D509" t="s">
        <v>1631</v>
      </c>
      <c r="E509" t="s">
        <v>1665</v>
      </c>
    </row>
    <row r="510" spans="1:5" x14ac:dyDescent="0.2">
      <c r="A510" t="s">
        <v>1699</v>
      </c>
      <c r="B510" t="s">
        <v>1700</v>
      </c>
      <c r="C510" t="s">
        <v>1631</v>
      </c>
      <c r="D510" t="s">
        <v>1631</v>
      </c>
      <c r="E510" t="s">
        <v>1701</v>
      </c>
    </row>
    <row r="511" spans="1:5" x14ac:dyDescent="0.2">
      <c r="A511" t="s">
        <v>1702</v>
      </c>
      <c r="B511" t="s">
        <v>1703</v>
      </c>
      <c r="C511" t="s">
        <v>1631</v>
      </c>
      <c r="D511" t="s">
        <v>1631</v>
      </c>
      <c r="E511" t="s">
        <v>1704</v>
      </c>
    </row>
    <row r="512" spans="1:5" x14ac:dyDescent="0.2">
      <c r="A512" t="s">
        <v>1705</v>
      </c>
      <c r="B512" t="s">
        <v>1706</v>
      </c>
      <c r="C512" t="s">
        <v>1631</v>
      </c>
      <c r="D512" t="s">
        <v>1631</v>
      </c>
      <c r="E512" t="s">
        <v>1707</v>
      </c>
    </row>
    <row r="513" spans="1:5" x14ac:dyDescent="0.2">
      <c r="A513" t="s">
        <v>1708</v>
      </c>
      <c r="B513" t="s">
        <v>1709</v>
      </c>
      <c r="C513" t="s">
        <v>1631</v>
      </c>
      <c r="D513" t="s">
        <v>1631</v>
      </c>
      <c r="E513" t="s">
        <v>1710</v>
      </c>
    </row>
    <row r="514" spans="1:5" x14ac:dyDescent="0.2">
      <c r="A514" t="s">
        <v>1711</v>
      </c>
      <c r="B514" t="s">
        <v>1712</v>
      </c>
      <c r="C514" t="s">
        <v>1631</v>
      </c>
      <c r="D514" t="s">
        <v>1631</v>
      </c>
      <c r="E514" t="s">
        <v>1713</v>
      </c>
    </row>
    <row r="515" spans="1:5" x14ac:dyDescent="0.2">
      <c r="A515" t="s">
        <v>1714</v>
      </c>
      <c r="B515" t="s">
        <v>1715</v>
      </c>
      <c r="C515" t="s">
        <v>1631</v>
      </c>
      <c r="D515" t="s">
        <v>1631</v>
      </c>
      <c r="E515" t="s">
        <v>1675</v>
      </c>
    </row>
    <row r="516" spans="1:5" x14ac:dyDescent="0.2">
      <c r="A516" t="s">
        <v>1716</v>
      </c>
      <c r="B516" t="s">
        <v>1717</v>
      </c>
      <c r="C516" t="s">
        <v>1631</v>
      </c>
      <c r="D516" t="s">
        <v>1631</v>
      </c>
      <c r="E516" t="s">
        <v>1718</v>
      </c>
    </row>
    <row r="517" spans="1:5" x14ac:dyDescent="0.2">
      <c r="A517" t="s">
        <v>1719</v>
      </c>
      <c r="B517" t="s">
        <v>1720</v>
      </c>
      <c r="C517" t="s">
        <v>1631</v>
      </c>
      <c r="D517" t="s">
        <v>1631</v>
      </c>
      <c r="E517" t="s">
        <v>1721</v>
      </c>
    </row>
    <row r="518" spans="1:5" x14ac:dyDescent="0.2">
      <c r="A518" t="s">
        <v>1722</v>
      </c>
      <c r="B518" t="s">
        <v>1723</v>
      </c>
      <c r="C518" t="s">
        <v>1631</v>
      </c>
      <c r="D518" t="s">
        <v>1631</v>
      </c>
      <c r="E518" t="s">
        <v>1724</v>
      </c>
    </row>
    <row r="519" spans="1:5" x14ac:dyDescent="0.2">
      <c r="A519" t="s">
        <v>1725</v>
      </c>
      <c r="B519" t="s">
        <v>1726</v>
      </c>
      <c r="C519" t="s">
        <v>1631</v>
      </c>
      <c r="D519" t="s">
        <v>1631</v>
      </c>
      <c r="E519" t="s">
        <v>1675</v>
      </c>
    </row>
    <row r="520" spans="1:5" x14ac:dyDescent="0.2">
      <c r="A520" t="s">
        <v>1727</v>
      </c>
      <c r="B520" t="s">
        <v>1728</v>
      </c>
      <c r="C520" t="s">
        <v>1631</v>
      </c>
      <c r="D520" t="s">
        <v>1631</v>
      </c>
      <c r="E520" t="s">
        <v>1644</v>
      </c>
    </row>
    <row r="521" spans="1:5" x14ac:dyDescent="0.2">
      <c r="A521" t="s">
        <v>1729</v>
      </c>
      <c r="B521" t="s">
        <v>1730</v>
      </c>
      <c r="C521" t="s">
        <v>1631</v>
      </c>
      <c r="D521" t="s">
        <v>1631</v>
      </c>
      <c r="E521" t="s">
        <v>1731</v>
      </c>
    </row>
    <row r="522" spans="1:5" x14ac:dyDescent="0.2">
      <c r="A522" t="s">
        <v>1732</v>
      </c>
      <c r="B522" t="s">
        <v>1733</v>
      </c>
      <c r="C522" t="s">
        <v>1631</v>
      </c>
      <c r="D522" t="s">
        <v>1631</v>
      </c>
      <c r="E522" t="s">
        <v>1713</v>
      </c>
    </row>
    <row r="523" spans="1:5" x14ac:dyDescent="0.2">
      <c r="A523" t="s">
        <v>1734</v>
      </c>
      <c r="B523" t="s">
        <v>1735</v>
      </c>
      <c r="C523" t="s">
        <v>1631</v>
      </c>
      <c r="D523" t="s">
        <v>1631</v>
      </c>
      <c r="E523" t="s">
        <v>1713</v>
      </c>
    </row>
    <row r="524" spans="1:5" x14ac:dyDescent="0.2">
      <c r="A524" t="s">
        <v>1736</v>
      </c>
      <c r="B524" t="s">
        <v>1737</v>
      </c>
      <c r="C524" t="s">
        <v>1631</v>
      </c>
      <c r="D524" t="s">
        <v>1631</v>
      </c>
      <c r="E524" t="s">
        <v>1738</v>
      </c>
    </row>
    <row r="525" spans="1:5" x14ac:dyDescent="0.2">
      <c r="A525" t="s">
        <v>1739</v>
      </c>
      <c r="B525" t="s">
        <v>1740</v>
      </c>
      <c r="C525" t="s">
        <v>1631</v>
      </c>
      <c r="D525" t="s">
        <v>1631</v>
      </c>
      <c r="E525" t="s">
        <v>1675</v>
      </c>
    </row>
    <row r="526" spans="1:5" x14ac:dyDescent="0.2">
      <c r="A526" t="s">
        <v>1741</v>
      </c>
      <c r="B526" t="s">
        <v>1742</v>
      </c>
      <c r="C526" t="s">
        <v>1631</v>
      </c>
      <c r="D526" t="s">
        <v>1631</v>
      </c>
      <c r="E526" t="s">
        <v>1713</v>
      </c>
    </row>
    <row r="527" spans="1:5" x14ac:dyDescent="0.2">
      <c r="A527" t="s">
        <v>1743</v>
      </c>
      <c r="B527" t="s">
        <v>1744</v>
      </c>
      <c r="C527" t="s">
        <v>1631</v>
      </c>
      <c r="D527" t="s">
        <v>1631</v>
      </c>
      <c r="E527" t="s">
        <v>1641</v>
      </c>
    </row>
    <row r="528" spans="1:5" x14ac:dyDescent="0.2">
      <c r="A528" t="s">
        <v>1745</v>
      </c>
      <c r="B528" t="s">
        <v>1746</v>
      </c>
      <c r="C528" t="s">
        <v>1631</v>
      </c>
      <c r="D528" t="s">
        <v>1631</v>
      </c>
      <c r="E528" t="s">
        <v>1675</v>
      </c>
    </row>
    <row r="529" spans="1:5" x14ac:dyDescent="0.2">
      <c r="A529" t="s">
        <v>1747</v>
      </c>
      <c r="B529" t="s">
        <v>1748</v>
      </c>
      <c r="C529" t="s">
        <v>1631</v>
      </c>
      <c r="D529" t="s">
        <v>1631</v>
      </c>
      <c r="E529" t="s">
        <v>1657</v>
      </c>
    </row>
    <row r="530" spans="1:5" x14ac:dyDescent="0.2">
      <c r="A530" t="s">
        <v>1749</v>
      </c>
      <c r="B530" t="s">
        <v>1750</v>
      </c>
      <c r="C530" t="s">
        <v>1631</v>
      </c>
      <c r="D530" t="s">
        <v>1631</v>
      </c>
      <c r="E530" t="s">
        <v>1644</v>
      </c>
    </row>
    <row r="531" spans="1:5" x14ac:dyDescent="0.2">
      <c r="A531" t="s">
        <v>1751</v>
      </c>
      <c r="B531" t="s">
        <v>1752</v>
      </c>
      <c r="C531" t="s">
        <v>1631</v>
      </c>
      <c r="D531" t="e">
        <v>#N/A</v>
      </c>
      <c r="E531" t="e">
        <v>#N/A</v>
      </c>
    </row>
    <row r="532" spans="1:5" x14ac:dyDescent="0.2">
      <c r="A532" t="s">
        <v>1753</v>
      </c>
      <c r="B532" t="s">
        <v>1754</v>
      </c>
      <c r="C532" t="s">
        <v>1631</v>
      </c>
      <c r="D532" t="s">
        <v>1631</v>
      </c>
      <c r="E532" t="s">
        <v>1665</v>
      </c>
    </row>
    <row r="533" spans="1:5" x14ac:dyDescent="0.2">
      <c r="A533" t="s">
        <v>1755</v>
      </c>
      <c r="B533" t="s">
        <v>1756</v>
      </c>
      <c r="C533" t="s">
        <v>1631</v>
      </c>
      <c r="D533" t="s">
        <v>1631</v>
      </c>
      <c r="E533" t="s">
        <v>1675</v>
      </c>
    </row>
    <row r="534" spans="1:5" x14ac:dyDescent="0.2">
      <c r="A534" t="s">
        <v>1757</v>
      </c>
      <c r="B534" t="s">
        <v>1758</v>
      </c>
      <c r="C534" t="s">
        <v>1631</v>
      </c>
      <c r="D534" t="s">
        <v>1631</v>
      </c>
      <c r="E534" t="s">
        <v>1644</v>
      </c>
    </row>
    <row r="535" spans="1:5" x14ac:dyDescent="0.2">
      <c r="A535" t="s">
        <v>1759</v>
      </c>
      <c r="B535" t="s">
        <v>1760</v>
      </c>
      <c r="C535" t="s">
        <v>1631</v>
      </c>
      <c r="D535" t="s">
        <v>1631</v>
      </c>
      <c r="E535" t="s">
        <v>1665</v>
      </c>
    </row>
    <row r="536" spans="1:5" x14ac:dyDescent="0.2">
      <c r="A536" t="s">
        <v>1761</v>
      </c>
      <c r="B536" t="s">
        <v>1762</v>
      </c>
      <c r="C536" t="s">
        <v>1631</v>
      </c>
      <c r="D536" t="s">
        <v>1631</v>
      </c>
      <c r="E536" t="s">
        <v>1763</v>
      </c>
    </row>
    <row r="537" spans="1:5" x14ac:dyDescent="0.2">
      <c r="A537" t="s">
        <v>1764</v>
      </c>
      <c r="B537" t="s">
        <v>1765</v>
      </c>
      <c r="C537" t="s">
        <v>1631</v>
      </c>
      <c r="D537" t="s">
        <v>1631</v>
      </c>
      <c r="E537" t="s">
        <v>1641</v>
      </c>
    </row>
    <row r="538" spans="1:5" x14ac:dyDescent="0.2">
      <c r="A538" t="s">
        <v>1766</v>
      </c>
      <c r="B538" t="s">
        <v>1767</v>
      </c>
      <c r="C538" t="s">
        <v>1631</v>
      </c>
      <c r="D538" t="s">
        <v>1631</v>
      </c>
      <c r="E538" t="s">
        <v>1713</v>
      </c>
    </row>
    <row r="539" spans="1:5" x14ac:dyDescent="0.2">
      <c r="A539" t="s">
        <v>1768</v>
      </c>
      <c r="B539" t="s">
        <v>1769</v>
      </c>
      <c r="C539" t="s">
        <v>1631</v>
      </c>
      <c r="D539" t="s">
        <v>1631</v>
      </c>
      <c r="E539" t="s">
        <v>1713</v>
      </c>
    </row>
    <row r="540" spans="1:5" x14ac:dyDescent="0.2">
      <c r="A540" t="s">
        <v>1770</v>
      </c>
      <c r="B540" t="s">
        <v>1771</v>
      </c>
      <c r="C540" t="s">
        <v>1631</v>
      </c>
      <c r="D540" t="s">
        <v>1631</v>
      </c>
      <c r="E540" t="s">
        <v>1675</v>
      </c>
    </row>
    <row r="541" spans="1:5" x14ac:dyDescent="0.2">
      <c r="A541" t="s">
        <v>1772</v>
      </c>
      <c r="B541" t="s">
        <v>1773</v>
      </c>
      <c r="C541" t="s">
        <v>1631</v>
      </c>
      <c r="D541" t="s">
        <v>1631</v>
      </c>
      <c r="E541" t="s">
        <v>1774</v>
      </c>
    </row>
    <row r="542" spans="1:5" x14ac:dyDescent="0.2">
      <c r="A542" t="s">
        <v>1775</v>
      </c>
      <c r="B542" t="s">
        <v>1776</v>
      </c>
      <c r="C542" t="s">
        <v>1631</v>
      </c>
      <c r="D542" t="s">
        <v>1631</v>
      </c>
      <c r="E542" t="s">
        <v>1657</v>
      </c>
    </row>
    <row r="543" spans="1:5" x14ac:dyDescent="0.2">
      <c r="A543" t="s">
        <v>1777</v>
      </c>
      <c r="B543" t="s">
        <v>1778</v>
      </c>
      <c r="C543" t="s">
        <v>1631</v>
      </c>
      <c r="D543" t="s">
        <v>1631</v>
      </c>
      <c r="E543" t="s">
        <v>1641</v>
      </c>
    </row>
    <row r="544" spans="1:5" x14ac:dyDescent="0.2">
      <c r="A544" t="s">
        <v>1779</v>
      </c>
      <c r="B544" t="s">
        <v>1780</v>
      </c>
      <c r="C544" t="s">
        <v>1631</v>
      </c>
      <c r="D544" t="s">
        <v>1631</v>
      </c>
      <c r="E544" t="s">
        <v>1635</v>
      </c>
    </row>
    <row r="545" spans="1:5" x14ac:dyDescent="0.2">
      <c r="A545" t="s">
        <v>1781</v>
      </c>
      <c r="B545" t="s">
        <v>1782</v>
      </c>
      <c r="C545" t="s">
        <v>1631</v>
      </c>
      <c r="D545" t="s">
        <v>1631</v>
      </c>
      <c r="E545" t="s">
        <v>1657</v>
      </c>
    </row>
    <row r="546" spans="1:5" x14ac:dyDescent="0.2">
      <c r="A546" t="s">
        <v>1783</v>
      </c>
      <c r="B546" t="s">
        <v>1784</v>
      </c>
      <c r="C546" t="s">
        <v>1631</v>
      </c>
      <c r="D546" t="s">
        <v>1631</v>
      </c>
      <c r="E546" t="s">
        <v>1785</v>
      </c>
    </row>
    <row r="547" spans="1:5" x14ac:dyDescent="0.2">
      <c r="A547" t="s">
        <v>1786</v>
      </c>
      <c r="B547" t="s">
        <v>1787</v>
      </c>
      <c r="C547" t="s">
        <v>1631</v>
      </c>
      <c r="D547" t="s">
        <v>1631</v>
      </c>
      <c r="E547" t="s">
        <v>1788</v>
      </c>
    </row>
    <row r="548" spans="1:5" x14ac:dyDescent="0.2">
      <c r="A548" t="s">
        <v>1789</v>
      </c>
      <c r="B548" t="s">
        <v>1790</v>
      </c>
      <c r="C548" t="s">
        <v>1631</v>
      </c>
      <c r="D548" t="s">
        <v>1631</v>
      </c>
      <c r="E548" t="s">
        <v>1791</v>
      </c>
    </row>
    <row r="549" spans="1:5" x14ac:dyDescent="0.2">
      <c r="A549" t="s">
        <v>1792</v>
      </c>
      <c r="B549" t="s">
        <v>1793</v>
      </c>
      <c r="C549" t="s">
        <v>1631</v>
      </c>
      <c r="D549" t="s">
        <v>1631</v>
      </c>
      <c r="E549" t="s">
        <v>1665</v>
      </c>
    </row>
    <row r="550" spans="1:5" x14ac:dyDescent="0.2">
      <c r="A550" t="s">
        <v>1794</v>
      </c>
      <c r="B550" t="s">
        <v>1795</v>
      </c>
      <c r="C550" t="s">
        <v>1631</v>
      </c>
      <c r="D550" t="s">
        <v>1631</v>
      </c>
      <c r="E550" t="s">
        <v>1641</v>
      </c>
    </row>
    <row r="551" spans="1:5" x14ac:dyDescent="0.2">
      <c r="A551" t="s">
        <v>1796</v>
      </c>
      <c r="B551" t="s">
        <v>1797</v>
      </c>
      <c r="C551" t="s">
        <v>1631</v>
      </c>
      <c r="D551" t="s">
        <v>1631</v>
      </c>
      <c r="E551" t="s">
        <v>1665</v>
      </c>
    </row>
    <row r="552" spans="1:5" x14ac:dyDescent="0.2">
      <c r="A552" t="s">
        <v>1798</v>
      </c>
      <c r="B552" t="s">
        <v>1799</v>
      </c>
      <c r="C552" t="s">
        <v>1631</v>
      </c>
      <c r="D552" t="s">
        <v>1631</v>
      </c>
      <c r="E552" t="s">
        <v>1657</v>
      </c>
    </row>
    <row r="553" spans="1:5" x14ac:dyDescent="0.2">
      <c r="A553" t="s">
        <v>1800</v>
      </c>
      <c r="B553" t="s">
        <v>1801</v>
      </c>
      <c r="C553" t="s">
        <v>1631</v>
      </c>
      <c r="D553" t="s">
        <v>1631</v>
      </c>
      <c r="E553" t="s">
        <v>1685</v>
      </c>
    </row>
    <row r="554" spans="1:5" x14ac:dyDescent="0.2">
      <c r="A554" t="s">
        <v>1802</v>
      </c>
      <c r="B554" t="s">
        <v>1803</v>
      </c>
      <c r="C554" t="s">
        <v>1631</v>
      </c>
      <c r="D554" t="s">
        <v>1631</v>
      </c>
      <c r="E554" t="s">
        <v>1804</v>
      </c>
    </row>
    <row r="555" spans="1:5" x14ac:dyDescent="0.2">
      <c r="A555" t="s">
        <v>1805</v>
      </c>
      <c r="B555" t="s">
        <v>1806</v>
      </c>
      <c r="C555" t="s">
        <v>1631</v>
      </c>
      <c r="D555" t="s">
        <v>1631</v>
      </c>
      <c r="E555" t="s">
        <v>1807</v>
      </c>
    </row>
    <row r="556" spans="1:5" x14ac:dyDescent="0.2">
      <c r="A556" t="s">
        <v>1808</v>
      </c>
      <c r="B556" t="s">
        <v>1809</v>
      </c>
      <c r="C556" t="s">
        <v>1631</v>
      </c>
      <c r="D556" t="s">
        <v>1631</v>
      </c>
      <c r="E556" t="s">
        <v>1641</v>
      </c>
    </row>
    <row r="557" spans="1:5" x14ac:dyDescent="0.2">
      <c r="A557" t="s">
        <v>1810</v>
      </c>
      <c r="B557" t="s">
        <v>1811</v>
      </c>
      <c r="C557" t="s">
        <v>1631</v>
      </c>
      <c r="D557" t="s">
        <v>1631</v>
      </c>
      <c r="E557" t="s">
        <v>1713</v>
      </c>
    </row>
    <row r="558" spans="1:5" x14ac:dyDescent="0.2">
      <c r="A558" t="s">
        <v>1812</v>
      </c>
      <c r="B558" t="s">
        <v>1813</v>
      </c>
      <c r="C558" t="s">
        <v>1631</v>
      </c>
      <c r="D558" t="s">
        <v>1631</v>
      </c>
      <c r="E558" t="s">
        <v>1814</v>
      </c>
    </row>
    <row r="559" spans="1:5" x14ac:dyDescent="0.2">
      <c r="A559" t="s">
        <v>1815</v>
      </c>
      <c r="B559" t="s">
        <v>1816</v>
      </c>
      <c r="C559" t="s">
        <v>1631</v>
      </c>
      <c r="D559" t="s">
        <v>1631</v>
      </c>
      <c r="E559" t="s">
        <v>1817</v>
      </c>
    </row>
    <row r="560" spans="1:5" x14ac:dyDescent="0.2">
      <c r="A560" t="s">
        <v>1818</v>
      </c>
      <c r="B560" t="s">
        <v>1819</v>
      </c>
      <c r="C560" t="s">
        <v>1631</v>
      </c>
      <c r="D560" t="s">
        <v>1631</v>
      </c>
      <c r="E560" t="s">
        <v>1820</v>
      </c>
    </row>
    <row r="561" spans="1:5" x14ac:dyDescent="0.2">
      <c r="A561" t="s">
        <v>1821</v>
      </c>
      <c r="B561" t="s">
        <v>1822</v>
      </c>
      <c r="C561" t="s">
        <v>1631</v>
      </c>
      <c r="D561" t="s">
        <v>1631</v>
      </c>
      <c r="E561" t="s">
        <v>1823</v>
      </c>
    </row>
    <row r="562" spans="1:5" x14ac:dyDescent="0.2">
      <c r="A562" t="s">
        <v>1824</v>
      </c>
      <c r="B562" t="s">
        <v>1825</v>
      </c>
      <c r="C562" t="s">
        <v>1631</v>
      </c>
      <c r="D562" t="s">
        <v>1631</v>
      </c>
      <c r="E562" t="s">
        <v>1826</v>
      </c>
    </row>
    <row r="563" spans="1:5" x14ac:dyDescent="0.2">
      <c r="A563" t="s">
        <v>1827</v>
      </c>
      <c r="B563" t="s">
        <v>1828</v>
      </c>
      <c r="C563" t="s">
        <v>1631</v>
      </c>
      <c r="D563" t="s">
        <v>1631</v>
      </c>
      <c r="E563" t="s">
        <v>1675</v>
      </c>
    </row>
    <row r="564" spans="1:5" x14ac:dyDescent="0.2">
      <c r="A564" t="s">
        <v>1829</v>
      </c>
      <c r="B564" t="s">
        <v>1830</v>
      </c>
      <c r="C564" t="s">
        <v>1631</v>
      </c>
      <c r="D564" t="s">
        <v>1631</v>
      </c>
      <c r="E564" t="s">
        <v>1635</v>
      </c>
    </row>
    <row r="565" spans="1:5" x14ac:dyDescent="0.2">
      <c r="A565" t="s">
        <v>1831</v>
      </c>
      <c r="B565" t="s">
        <v>1832</v>
      </c>
      <c r="C565" t="s">
        <v>1631</v>
      </c>
      <c r="D565" t="s">
        <v>1631</v>
      </c>
      <c r="E565" t="s">
        <v>1713</v>
      </c>
    </row>
    <row r="566" spans="1:5" x14ac:dyDescent="0.2">
      <c r="A566" t="s">
        <v>1833</v>
      </c>
      <c r="B566" t="s">
        <v>1834</v>
      </c>
      <c r="C566" t="s">
        <v>1631</v>
      </c>
      <c r="D566" t="s">
        <v>1631</v>
      </c>
      <c r="E566" t="s">
        <v>1665</v>
      </c>
    </row>
    <row r="567" spans="1:5" x14ac:dyDescent="0.2">
      <c r="A567" t="s">
        <v>1835</v>
      </c>
      <c r="B567" t="s">
        <v>1836</v>
      </c>
      <c r="C567" t="s">
        <v>1631</v>
      </c>
      <c r="D567" t="s">
        <v>1631</v>
      </c>
      <c r="E567" t="s">
        <v>1713</v>
      </c>
    </row>
    <row r="568" spans="1:5" x14ac:dyDescent="0.2">
      <c r="A568" t="s">
        <v>1837</v>
      </c>
      <c r="B568" t="s">
        <v>1838</v>
      </c>
      <c r="C568" t="s">
        <v>1631</v>
      </c>
      <c r="D568" t="s">
        <v>1631</v>
      </c>
      <c r="E568" t="s">
        <v>1641</v>
      </c>
    </row>
    <row r="569" spans="1:5" x14ac:dyDescent="0.2">
      <c r="A569" t="s">
        <v>1839</v>
      </c>
      <c r="B569" t="s">
        <v>1840</v>
      </c>
      <c r="C569" t="s">
        <v>1631</v>
      </c>
      <c r="D569" t="s">
        <v>1631</v>
      </c>
      <c r="E569" t="s">
        <v>1841</v>
      </c>
    </row>
    <row r="570" spans="1:5" x14ac:dyDescent="0.2">
      <c r="A570" t="s">
        <v>1842</v>
      </c>
      <c r="B570" t="s">
        <v>1843</v>
      </c>
      <c r="C570" t="s">
        <v>1631</v>
      </c>
      <c r="D570" t="s">
        <v>1631</v>
      </c>
      <c r="E570" t="s">
        <v>1844</v>
      </c>
    </row>
    <row r="571" spans="1:5" x14ac:dyDescent="0.2">
      <c r="A571" t="s">
        <v>1845</v>
      </c>
      <c r="B571" t="s">
        <v>1846</v>
      </c>
      <c r="C571" t="s">
        <v>1631</v>
      </c>
      <c r="D571" t="s">
        <v>1631</v>
      </c>
      <c r="E571" t="s">
        <v>1847</v>
      </c>
    </row>
    <row r="572" spans="1:5" x14ac:dyDescent="0.2">
      <c r="A572" t="s">
        <v>1848</v>
      </c>
      <c r="B572" t="s">
        <v>1849</v>
      </c>
      <c r="C572" t="s">
        <v>1631</v>
      </c>
      <c r="D572" t="s">
        <v>1631</v>
      </c>
      <c r="E572" t="s">
        <v>1675</v>
      </c>
    </row>
    <row r="573" spans="1:5" x14ac:dyDescent="0.2">
      <c r="A573" t="s">
        <v>1850</v>
      </c>
      <c r="B573" t="s">
        <v>1851</v>
      </c>
      <c r="C573" t="s">
        <v>1631</v>
      </c>
      <c r="D573" t="s">
        <v>1631</v>
      </c>
      <c r="E573" t="s">
        <v>1635</v>
      </c>
    </row>
    <row r="574" spans="1:5" x14ac:dyDescent="0.2">
      <c r="A574" t="s">
        <v>1852</v>
      </c>
      <c r="B574" t="s">
        <v>1853</v>
      </c>
      <c r="C574" t="s">
        <v>1631</v>
      </c>
      <c r="D574" t="s">
        <v>1631</v>
      </c>
      <c r="E574" t="s">
        <v>1713</v>
      </c>
    </row>
    <row r="575" spans="1:5" x14ac:dyDescent="0.2">
      <c r="A575" t="s">
        <v>1854</v>
      </c>
      <c r="B575" t="s">
        <v>1855</v>
      </c>
      <c r="C575" t="s">
        <v>1631</v>
      </c>
      <c r="D575" t="s">
        <v>1631</v>
      </c>
      <c r="E575" t="s">
        <v>1856</v>
      </c>
    </row>
    <row r="576" spans="1:5" x14ac:dyDescent="0.2">
      <c r="A576" t="s">
        <v>1857</v>
      </c>
      <c r="B576" t="s">
        <v>1858</v>
      </c>
      <c r="C576" t="s">
        <v>1631</v>
      </c>
      <c r="D576" t="s">
        <v>1631</v>
      </c>
      <c r="E576" t="s">
        <v>1657</v>
      </c>
    </row>
    <row r="577" spans="1:5" x14ac:dyDescent="0.2">
      <c r="A577" t="s">
        <v>1859</v>
      </c>
      <c r="B577" t="s">
        <v>1860</v>
      </c>
      <c r="C577" t="s">
        <v>1631</v>
      </c>
      <c r="D577" t="s">
        <v>1631</v>
      </c>
      <c r="E577" t="s">
        <v>1644</v>
      </c>
    </row>
    <row r="578" spans="1:5" x14ac:dyDescent="0.2">
      <c r="A578" t="s">
        <v>1861</v>
      </c>
      <c r="B578" t="s">
        <v>1862</v>
      </c>
      <c r="C578" t="s">
        <v>1631</v>
      </c>
      <c r="D578" t="s">
        <v>1631</v>
      </c>
      <c r="E578" t="s">
        <v>1644</v>
      </c>
    </row>
    <row r="579" spans="1:5" x14ac:dyDescent="0.2">
      <c r="A579" t="s">
        <v>1863</v>
      </c>
      <c r="B579" t="s">
        <v>1864</v>
      </c>
      <c r="C579" t="s">
        <v>1631</v>
      </c>
      <c r="D579" t="s">
        <v>1631</v>
      </c>
      <c r="E579" t="s">
        <v>1657</v>
      </c>
    </row>
    <row r="580" spans="1:5" x14ac:dyDescent="0.2">
      <c r="A580" t="s">
        <v>1865</v>
      </c>
      <c r="B580" t="s">
        <v>1866</v>
      </c>
      <c r="C580" t="s">
        <v>1631</v>
      </c>
      <c r="D580" t="s">
        <v>1631</v>
      </c>
      <c r="E580" t="s">
        <v>1665</v>
      </c>
    </row>
    <row r="581" spans="1:5" x14ac:dyDescent="0.2">
      <c r="A581" t="s">
        <v>1867</v>
      </c>
      <c r="B581" t="s">
        <v>1868</v>
      </c>
      <c r="C581" t="s">
        <v>1631</v>
      </c>
      <c r="D581" t="s">
        <v>1631</v>
      </c>
      <c r="E581" t="s">
        <v>1641</v>
      </c>
    </row>
    <row r="582" spans="1:5" x14ac:dyDescent="0.2">
      <c r="A582" t="s">
        <v>1869</v>
      </c>
      <c r="B582" t="s">
        <v>1870</v>
      </c>
      <c r="C582" t="s">
        <v>1631</v>
      </c>
      <c r="D582" t="s">
        <v>1631</v>
      </c>
      <c r="E582" t="s">
        <v>1665</v>
      </c>
    </row>
    <row r="583" spans="1:5" x14ac:dyDescent="0.2">
      <c r="A583" t="s">
        <v>1871</v>
      </c>
      <c r="B583" t="s">
        <v>1872</v>
      </c>
      <c r="C583" t="s">
        <v>1631</v>
      </c>
      <c r="D583" t="s">
        <v>1631</v>
      </c>
      <c r="E583" t="s">
        <v>1675</v>
      </c>
    </row>
    <row r="584" spans="1:5" x14ac:dyDescent="0.2">
      <c r="A584" t="s">
        <v>1873</v>
      </c>
      <c r="B584" t="s">
        <v>1874</v>
      </c>
      <c r="C584" t="s">
        <v>1631</v>
      </c>
      <c r="D584" t="s">
        <v>1631</v>
      </c>
      <c r="E584" t="s">
        <v>1713</v>
      </c>
    </row>
    <row r="585" spans="1:5" x14ac:dyDescent="0.2">
      <c r="A585" t="s">
        <v>1875</v>
      </c>
      <c r="B585" t="s">
        <v>1876</v>
      </c>
      <c r="C585" t="s">
        <v>1631</v>
      </c>
      <c r="D585" t="s">
        <v>1631</v>
      </c>
      <c r="E585" t="s">
        <v>1877</v>
      </c>
    </row>
    <row r="586" spans="1:5" x14ac:dyDescent="0.2">
      <c r="A586" t="s">
        <v>1878</v>
      </c>
      <c r="B586" t="s">
        <v>1879</v>
      </c>
      <c r="C586" t="s">
        <v>1631</v>
      </c>
      <c r="D586" t="s">
        <v>1631</v>
      </c>
      <c r="E586" t="s">
        <v>1641</v>
      </c>
    </row>
    <row r="587" spans="1:5" x14ac:dyDescent="0.2">
      <c r="A587" t="s">
        <v>1880</v>
      </c>
      <c r="B587" t="s">
        <v>1881</v>
      </c>
      <c r="C587" t="s">
        <v>1631</v>
      </c>
      <c r="D587" t="s">
        <v>1631</v>
      </c>
      <c r="E587" t="s">
        <v>1665</v>
      </c>
    </row>
    <row r="588" spans="1:5" x14ac:dyDescent="0.2">
      <c r="A588" t="s">
        <v>1882</v>
      </c>
      <c r="B588" t="s">
        <v>1883</v>
      </c>
      <c r="C588" t="s">
        <v>1631</v>
      </c>
      <c r="D588" t="s">
        <v>1631</v>
      </c>
      <c r="E588" t="s">
        <v>1884</v>
      </c>
    </row>
    <row r="589" spans="1:5" x14ac:dyDescent="0.2">
      <c r="A589" t="s">
        <v>1885</v>
      </c>
      <c r="B589" t="s">
        <v>1886</v>
      </c>
      <c r="C589" t="s">
        <v>1631</v>
      </c>
      <c r="D589" t="s">
        <v>1631</v>
      </c>
      <c r="E589" t="s">
        <v>1644</v>
      </c>
    </row>
    <row r="590" spans="1:5" x14ac:dyDescent="0.2">
      <c r="A590" t="s">
        <v>1887</v>
      </c>
      <c r="B590" t="s">
        <v>1888</v>
      </c>
      <c r="C590" t="s">
        <v>1631</v>
      </c>
      <c r="D590" t="s">
        <v>1631</v>
      </c>
      <c r="E590" t="s">
        <v>1889</v>
      </c>
    </row>
    <row r="591" spans="1:5" x14ac:dyDescent="0.2">
      <c r="A591" t="s">
        <v>1890</v>
      </c>
      <c r="B591" t="s">
        <v>1891</v>
      </c>
      <c r="C591" t="s">
        <v>1631</v>
      </c>
      <c r="D591" t="s">
        <v>1631</v>
      </c>
      <c r="E591" t="s">
        <v>1644</v>
      </c>
    </row>
    <row r="592" spans="1:5" x14ac:dyDescent="0.2">
      <c r="A592" t="s">
        <v>1892</v>
      </c>
      <c r="B592" t="s">
        <v>1893</v>
      </c>
      <c r="C592" t="s">
        <v>1631</v>
      </c>
      <c r="D592" t="s">
        <v>1631</v>
      </c>
      <c r="E592" t="s">
        <v>1675</v>
      </c>
    </row>
    <row r="593" spans="1:5" x14ac:dyDescent="0.2">
      <c r="A593" t="s">
        <v>1894</v>
      </c>
      <c r="B593" t="s">
        <v>1895</v>
      </c>
      <c r="C593" t="s">
        <v>1631</v>
      </c>
      <c r="D593" t="s">
        <v>1631</v>
      </c>
      <c r="E593" t="s">
        <v>1641</v>
      </c>
    </row>
    <row r="594" spans="1:5" x14ac:dyDescent="0.2">
      <c r="A594" t="s">
        <v>1896</v>
      </c>
      <c r="B594" t="s">
        <v>1897</v>
      </c>
      <c r="C594" t="s">
        <v>1631</v>
      </c>
      <c r="D594" t="s">
        <v>1631</v>
      </c>
      <c r="E594" t="s">
        <v>1665</v>
      </c>
    </row>
    <row r="595" spans="1:5" x14ac:dyDescent="0.2">
      <c r="A595" t="s">
        <v>1898</v>
      </c>
      <c r="B595" t="s">
        <v>1899</v>
      </c>
      <c r="C595" t="s">
        <v>1631</v>
      </c>
      <c r="D595" t="s">
        <v>1631</v>
      </c>
      <c r="E595" t="s">
        <v>1900</v>
      </c>
    </row>
    <row r="596" spans="1:5" x14ac:dyDescent="0.2">
      <c r="A596" t="s">
        <v>1901</v>
      </c>
      <c r="B596" t="s">
        <v>1902</v>
      </c>
      <c r="C596" t="s">
        <v>1631</v>
      </c>
      <c r="D596" t="s">
        <v>1631</v>
      </c>
      <c r="E596" t="s">
        <v>1713</v>
      </c>
    </row>
    <row r="597" spans="1:5" x14ac:dyDescent="0.2">
      <c r="A597" t="s">
        <v>1903</v>
      </c>
      <c r="B597" t="s">
        <v>1904</v>
      </c>
      <c r="C597" t="s">
        <v>1631</v>
      </c>
      <c r="D597" t="s">
        <v>1631</v>
      </c>
      <c r="E597" t="s">
        <v>1713</v>
      </c>
    </row>
    <row r="598" spans="1:5" x14ac:dyDescent="0.2">
      <c r="A598" t="s">
        <v>1905</v>
      </c>
      <c r="B598" t="s">
        <v>1906</v>
      </c>
      <c r="C598" t="s">
        <v>1631</v>
      </c>
      <c r="D598" t="s">
        <v>1631</v>
      </c>
      <c r="E598" t="s">
        <v>1657</v>
      </c>
    </row>
    <row r="599" spans="1:5" x14ac:dyDescent="0.2">
      <c r="A599" t="s">
        <v>1907</v>
      </c>
      <c r="B599" t="s">
        <v>1908</v>
      </c>
      <c r="C599" t="s">
        <v>1631</v>
      </c>
      <c r="D599" t="s">
        <v>1631</v>
      </c>
      <c r="E599" t="s">
        <v>1675</v>
      </c>
    </row>
    <row r="600" spans="1:5" x14ac:dyDescent="0.2">
      <c r="A600" t="s">
        <v>1909</v>
      </c>
      <c r="B600" t="s">
        <v>1910</v>
      </c>
      <c r="C600" t="s">
        <v>1631</v>
      </c>
      <c r="D600" t="s">
        <v>1631</v>
      </c>
      <c r="E600" t="s">
        <v>1665</v>
      </c>
    </row>
    <row r="601" spans="1:5" x14ac:dyDescent="0.2">
      <c r="A601" t="s">
        <v>1911</v>
      </c>
      <c r="B601" t="s">
        <v>1912</v>
      </c>
      <c r="C601" t="s">
        <v>1631</v>
      </c>
      <c r="D601" t="s">
        <v>1631</v>
      </c>
      <c r="E601" t="s">
        <v>1713</v>
      </c>
    </row>
    <row r="602" spans="1:5" x14ac:dyDescent="0.2">
      <c r="A602" t="s">
        <v>1913</v>
      </c>
      <c r="B602" t="s">
        <v>1914</v>
      </c>
      <c r="C602" t="s">
        <v>1631</v>
      </c>
      <c r="D602" t="s">
        <v>1631</v>
      </c>
      <c r="E602" t="s">
        <v>1675</v>
      </c>
    </row>
    <row r="603" spans="1:5" x14ac:dyDescent="0.2">
      <c r="A603" t="s">
        <v>1915</v>
      </c>
      <c r="B603" t="s">
        <v>1916</v>
      </c>
      <c r="C603" t="s">
        <v>1631</v>
      </c>
      <c r="D603" t="s">
        <v>1631</v>
      </c>
      <c r="E603" t="s">
        <v>1635</v>
      </c>
    </row>
    <row r="604" spans="1:5" x14ac:dyDescent="0.2">
      <c r="A604" t="s">
        <v>1917</v>
      </c>
      <c r="B604" t="s">
        <v>1918</v>
      </c>
      <c r="C604" t="s">
        <v>1631</v>
      </c>
      <c r="D604" t="s">
        <v>1631</v>
      </c>
      <c r="E604" t="s">
        <v>1644</v>
      </c>
    </row>
    <row r="605" spans="1:5" x14ac:dyDescent="0.2">
      <c r="A605" t="s">
        <v>1919</v>
      </c>
      <c r="B605" t="s">
        <v>1920</v>
      </c>
      <c r="C605" t="s">
        <v>1631</v>
      </c>
      <c r="D605" t="s">
        <v>1631</v>
      </c>
      <c r="E605" t="s">
        <v>1644</v>
      </c>
    </row>
    <row r="606" spans="1:5" x14ac:dyDescent="0.2">
      <c r="A606" t="s">
        <v>1921</v>
      </c>
      <c r="B606" t="s">
        <v>1922</v>
      </c>
      <c r="C606" t="s">
        <v>1631</v>
      </c>
      <c r="D606" t="s">
        <v>1631</v>
      </c>
      <c r="E606" t="s">
        <v>1707</v>
      </c>
    </row>
    <row r="607" spans="1:5" x14ac:dyDescent="0.2">
      <c r="A607" t="s">
        <v>1923</v>
      </c>
      <c r="B607" t="s">
        <v>1924</v>
      </c>
      <c r="C607" t="s">
        <v>1631</v>
      </c>
      <c r="D607" t="s">
        <v>1631</v>
      </c>
      <c r="E607" t="s">
        <v>1707</v>
      </c>
    </row>
    <row r="608" spans="1:5" x14ac:dyDescent="0.2">
      <c r="A608" t="s">
        <v>1925</v>
      </c>
      <c r="B608" t="s">
        <v>1926</v>
      </c>
      <c r="C608" t="s">
        <v>1631</v>
      </c>
      <c r="D608" t="s">
        <v>1631</v>
      </c>
      <c r="E608" t="s">
        <v>1713</v>
      </c>
    </row>
    <row r="609" spans="1:5" x14ac:dyDescent="0.2">
      <c r="A609" t="s">
        <v>1927</v>
      </c>
      <c r="B609" t="s">
        <v>1928</v>
      </c>
      <c r="C609" t="s">
        <v>1631</v>
      </c>
      <c r="D609" t="s">
        <v>1631</v>
      </c>
      <c r="E609" t="s">
        <v>1665</v>
      </c>
    </row>
    <row r="610" spans="1:5" x14ac:dyDescent="0.2">
      <c r="A610" t="s">
        <v>1929</v>
      </c>
      <c r="B610" t="s">
        <v>1930</v>
      </c>
      <c r="C610" t="s">
        <v>1631</v>
      </c>
      <c r="D610" t="s">
        <v>1631</v>
      </c>
      <c r="E610" t="s">
        <v>1931</v>
      </c>
    </row>
    <row r="611" spans="1:5" x14ac:dyDescent="0.2">
      <c r="A611" t="s">
        <v>1932</v>
      </c>
      <c r="B611" t="s">
        <v>1933</v>
      </c>
      <c r="C611" t="s">
        <v>1631</v>
      </c>
      <c r="D611" t="s">
        <v>1631</v>
      </c>
      <c r="E611" t="s">
        <v>1934</v>
      </c>
    </row>
    <row r="612" spans="1:5" x14ac:dyDescent="0.2">
      <c r="A612" t="s">
        <v>1935</v>
      </c>
      <c r="B612" t="s">
        <v>1936</v>
      </c>
      <c r="C612" t="s">
        <v>1631</v>
      </c>
      <c r="D612" t="s">
        <v>1631</v>
      </c>
      <c r="E612" t="s">
        <v>1937</v>
      </c>
    </row>
    <row r="613" spans="1:5" x14ac:dyDescent="0.2">
      <c r="A613" t="s">
        <v>1938</v>
      </c>
      <c r="B613" t="s">
        <v>1939</v>
      </c>
      <c r="C613" t="s">
        <v>1631</v>
      </c>
      <c r="D613" t="s">
        <v>1631</v>
      </c>
      <c r="E613" t="s">
        <v>1940</v>
      </c>
    </row>
    <row r="614" spans="1:5" x14ac:dyDescent="0.2">
      <c r="A614" t="s">
        <v>1941</v>
      </c>
      <c r="B614" t="s">
        <v>1942</v>
      </c>
      <c r="C614" t="s">
        <v>1631</v>
      </c>
      <c r="D614" t="s">
        <v>1631</v>
      </c>
      <c r="E614" t="s">
        <v>1707</v>
      </c>
    </row>
    <row r="615" spans="1:5" x14ac:dyDescent="0.2">
      <c r="A615" t="s">
        <v>1943</v>
      </c>
      <c r="B615" t="s">
        <v>1944</v>
      </c>
      <c r="C615" t="s">
        <v>1631</v>
      </c>
      <c r="D615" t="s">
        <v>1631</v>
      </c>
      <c r="E615" t="s">
        <v>1657</v>
      </c>
    </row>
    <row r="616" spans="1:5" x14ac:dyDescent="0.2">
      <c r="A616" t="s">
        <v>1945</v>
      </c>
      <c r="B616" t="s">
        <v>1946</v>
      </c>
      <c r="C616" t="s">
        <v>1631</v>
      </c>
      <c r="D616" t="s">
        <v>1631</v>
      </c>
      <c r="E616" t="s">
        <v>1657</v>
      </c>
    </row>
    <row r="617" spans="1:5" x14ac:dyDescent="0.2">
      <c r="A617" t="s">
        <v>1947</v>
      </c>
      <c r="B617" t="s">
        <v>1948</v>
      </c>
      <c r="C617" t="s">
        <v>1631</v>
      </c>
      <c r="D617" t="s">
        <v>1631</v>
      </c>
      <c r="E617" t="s">
        <v>1641</v>
      </c>
    </row>
    <row r="618" spans="1:5" x14ac:dyDescent="0.2">
      <c r="A618" t="s">
        <v>1949</v>
      </c>
      <c r="B618" t="s">
        <v>1950</v>
      </c>
      <c r="C618" t="s">
        <v>1631</v>
      </c>
      <c r="D618" t="s">
        <v>1631</v>
      </c>
      <c r="E618" t="s">
        <v>1826</v>
      </c>
    </row>
    <row r="619" spans="1:5" x14ac:dyDescent="0.2">
      <c r="A619" t="s">
        <v>1951</v>
      </c>
      <c r="B619" t="s">
        <v>1952</v>
      </c>
      <c r="C619" t="s">
        <v>1631</v>
      </c>
      <c r="D619" t="s">
        <v>1631</v>
      </c>
      <c r="E619" t="s">
        <v>1675</v>
      </c>
    </row>
    <row r="620" spans="1:5" x14ac:dyDescent="0.2">
      <c r="A620" t="s">
        <v>1953</v>
      </c>
      <c r="B620" t="s">
        <v>1954</v>
      </c>
      <c r="C620" t="s">
        <v>1631</v>
      </c>
      <c r="D620" t="s">
        <v>1631</v>
      </c>
      <c r="E620" t="s">
        <v>1657</v>
      </c>
    </row>
    <row r="621" spans="1:5" x14ac:dyDescent="0.2">
      <c r="A621" t="s">
        <v>1955</v>
      </c>
      <c r="B621" t="s">
        <v>1956</v>
      </c>
      <c r="C621" t="s">
        <v>1631</v>
      </c>
      <c r="D621" t="s">
        <v>1631</v>
      </c>
      <c r="E621" t="s">
        <v>1644</v>
      </c>
    </row>
    <row r="622" spans="1:5" x14ac:dyDescent="0.2">
      <c r="A622" t="s">
        <v>1957</v>
      </c>
      <c r="B622" t="s">
        <v>1958</v>
      </c>
      <c r="C622" t="s">
        <v>1631</v>
      </c>
      <c r="D622" t="s">
        <v>1631</v>
      </c>
      <c r="E622" t="s">
        <v>1959</v>
      </c>
    </row>
    <row r="623" spans="1:5" x14ac:dyDescent="0.2">
      <c r="A623" t="s">
        <v>1960</v>
      </c>
      <c r="B623" t="s">
        <v>1961</v>
      </c>
      <c r="C623" t="s">
        <v>1631</v>
      </c>
      <c r="D623" t="s">
        <v>1631</v>
      </c>
      <c r="E623" t="s">
        <v>1962</v>
      </c>
    </row>
    <row r="624" spans="1:5" x14ac:dyDescent="0.2">
      <c r="A624" t="s">
        <v>1963</v>
      </c>
      <c r="B624" t="s">
        <v>1964</v>
      </c>
      <c r="C624" t="s">
        <v>1631</v>
      </c>
      <c r="D624" t="s">
        <v>1631</v>
      </c>
      <c r="E624" t="s">
        <v>1657</v>
      </c>
    </row>
    <row r="625" spans="1:5" x14ac:dyDescent="0.2">
      <c r="A625" t="s">
        <v>1965</v>
      </c>
      <c r="B625" t="s">
        <v>1966</v>
      </c>
      <c r="C625" t="s">
        <v>1631</v>
      </c>
      <c r="D625" t="s">
        <v>1631</v>
      </c>
      <c r="E625" t="s">
        <v>1665</v>
      </c>
    </row>
    <row r="626" spans="1:5" x14ac:dyDescent="0.2">
      <c r="A626" t="s">
        <v>1967</v>
      </c>
      <c r="B626" t="s">
        <v>1968</v>
      </c>
      <c r="C626" t="s">
        <v>1631</v>
      </c>
      <c r="D626" t="s">
        <v>1631</v>
      </c>
      <c r="E626" t="s">
        <v>1713</v>
      </c>
    </row>
    <row r="627" spans="1:5" x14ac:dyDescent="0.2">
      <c r="A627" t="s">
        <v>1969</v>
      </c>
      <c r="B627" t="s">
        <v>1970</v>
      </c>
      <c r="C627" t="s">
        <v>1631</v>
      </c>
      <c r="D627" t="s">
        <v>1631</v>
      </c>
      <c r="E627" t="s">
        <v>1971</v>
      </c>
    </row>
    <row r="628" spans="1:5" x14ac:dyDescent="0.2">
      <c r="A628" t="s">
        <v>1972</v>
      </c>
      <c r="B628" t="s">
        <v>1973</v>
      </c>
      <c r="C628" t="s">
        <v>1631</v>
      </c>
      <c r="D628" t="s">
        <v>1631</v>
      </c>
      <c r="E628" t="s">
        <v>1974</v>
      </c>
    </row>
    <row r="629" spans="1:5" x14ac:dyDescent="0.2">
      <c r="A629" t="s">
        <v>1975</v>
      </c>
      <c r="B629" t="s">
        <v>1976</v>
      </c>
      <c r="C629" t="s">
        <v>1631</v>
      </c>
      <c r="D629" t="s">
        <v>1631</v>
      </c>
      <c r="E629" t="s">
        <v>1641</v>
      </c>
    </row>
    <row r="630" spans="1:5" x14ac:dyDescent="0.2">
      <c r="A630" t="s">
        <v>1977</v>
      </c>
      <c r="B630" t="s">
        <v>1978</v>
      </c>
      <c r="C630" t="s">
        <v>1631</v>
      </c>
      <c r="D630" t="s">
        <v>1631</v>
      </c>
      <c r="E630" t="s">
        <v>1641</v>
      </c>
    </row>
    <row r="631" spans="1:5" x14ac:dyDescent="0.2">
      <c r="A631" t="s">
        <v>1979</v>
      </c>
      <c r="B631" t="s">
        <v>1980</v>
      </c>
      <c r="C631" t="s">
        <v>1631</v>
      </c>
      <c r="D631" t="s">
        <v>1631</v>
      </c>
      <c r="E631" t="s">
        <v>1665</v>
      </c>
    </row>
    <row r="632" spans="1:5" x14ac:dyDescent="0.2">
      <c r="A632" t="s">
        <v>1981</v>
      </c>
      <c r="B632" t="s">
        <v>1982</v>
      </c>
      <c r="C632" t="s">
        <v>1631</v>
      </c>
      <c r="D632" t="s">
        <v>1631</v>
      </c>
      <c r="E632" t="s">
        <v>1665</v>
      </c>
    </row>
    <row r="633" spans="1:5" x14ac:dyDescent="0.2">
      <c r="A633" t="s">
        <v>1983</v>
      </c>
      <c r="B633" t="s">
        <v>1984</v>
      </c>
      <c r="C633" t="s">
        <v>1631</v>
      </c>
      <c r="D633" t="s">
        <v>1631</v>
      </c>
      <c r="E633" t="s">
        <v>1644</v>
      </c>
    </row>
    <row r="634" spans="1:5" x14ac:dyDescent="0.2">
      <c r="A634" t="s">
        <v>1985</v>
      </c>
      <c r="B634" t="s">
        <v>1986</v>
      </c>
      <c r="C634" t="s">
        <v>1631</v>
      </c>
      <c r="D634" t="s">
        <v>1631</v>
      </c>
      <c r="E634" t="s">
        <v>1713</v>
      </c>
    </row>
    <row r="635" spans="1:5" x14ac:dyDescent="0.2">
      <c r="A635" t="s">
        <v>1987</v>
      </c>
      <c r="B635" t="s">
        <v>1988</v>
      </c>
      <c r="C635" t="s">
        <v>1631</v>
      </c>
      <c r="D635" t="s">
        <v>1631</v>
      </c>
      <c r="E635" t="s">
        <v>1989</v>
      </c>
    </row>
    <row r="636" spans="1:5" x14ac:dyDescent="0.2">
      <c r="A636" t="s">
        <v>1990</v>
      </c>
      <c r="B636" t="s">
        <v>1991</v>
      </c>
      <c r="C636" t="s">
        <v>1631</v>
      </c>
      <c r="D636" t="s">
        <v>1631</v>
      </c>
      <c r="E636" t="s">
        <v>1713</v>
      </c>
    </row>
    <row r="637" spans="1:5" x14ac:dyDescent="0.2">
      <c r="A637" t="s">
        <v>1992</v>
      </c>
      <c r="B637" t="s">
        <v>1993</v>
      </c>
      <c r="C637" t="s">
        <v>1631</v>
      </c>
      <c r="D637" t="s">
        <v>1631</v>
      </c>
      <c r="E637" t="s">
        <v>1994</v>
      </c>
    </row>
    <row r="638" spans="1:5" x14ac:dyDescent="0.2">
      <c r="A638" t="s">
        <v>1995</v>
      </c>
      <c r="B638" t="s">
        <v>1996</v>
      </c>
      <c r="C638" t="s">
        <v>1631</v>
      </c>
      <c r="D638" t="s">
        <v>1631</v>
      </c>
      <c r="E638" t="s">
        <v>1713</v>
      </c>
    </row>
    <row r="639" spans="1:5" x14ac:dyDescent="0.2">
      <c r="A639" t="s">
        <v>1997</v>
      </c>
      <c r="B639" t="s">
        <v>1998</v>
      </c>
      <c r="C639" t="s">
        <v>1631</v>
      </c>
      <c r="D639" t="s">
        <v>1631</v>
      </c>
      <c r="E639" t="s">
        <v>1999</v>
      </c>
    </row>
    <row r="640" spans="1:5" x14ac:dyDescent="0.2">
      <c r="A640" t="s">
        <v>2000</v>
      </c>
      <c r="B640" t="s">
        <v>2001</v>
      </c>
      <c r="C640" t="s">
        <v>1631</v>
      </c>
      <c r="D640" t="s">
        <v>1631</v>
      </c>
      <c r="E640" t="s">
        <v>1644</v>
      </c>
    </row>
    <row r="641" spans="1:5" x14ac:dyDescent="0.2">
      <c r="A641" t="s">
        <v>2002</v>
      </c>
      <c r="B641" t="s">
        <v>2003</v>
      </c>
      <c r="C641" t="s">
        <v>1631</v>
      </c>
      <c r="D641" t="s">
        <v>1631</v>
      </c>
      <c r="E641" t="s">
        <v>1644</v>
      </c>
    </row>
    <row r="642" spans="1:5" x14ac:dyDescent="0.2">
      <c r="A642" t="s">
        <v>2004</v>
      </c>
      <c r="B642" t="s">
        <v>2005</v>
      </c>
      <c r="C642" t="s">
        <v>1631</v>
      </c>
      <c r="D642" t="s">
        <v>1631</v>
      </c>
      <c r="E642" t="s">
        <v>1644</v>
      </c>
    </row>
    <row r="643" spans="1:5" x14ac:dyDescent="0.2">
      <c r="A643" t="s">
        <v>2006</v>
      </c>
      <c r="B643" t="s">
        <v>2007</v>
      </c>
      <c r="C643" t="s">
        <v>1631</v>
      </c>
      <c r="D643" t="s">
        <v>1631</v>
      </c>
      <c r="E643" t="s">
        <v>2008</v>
      </c>
    </row>
    <row r="644" spans="1:5" x14ac:dyDescent="0.2">
      <c r="A644" t="s">
        <v>2009</v>
      </c>
      <c r="B644" t="s">
        <v>2010</v>
      </c>
      <c r="C644" t="s">
        <v>1631</v>
      </c>
      <c r="D644" t="s">
        <v>1631</v>
      </c>
      <c r="E644" t="s">
        <v>1644</v>
      </c>
    </row>
    <row r="645" spans="1:5" x14ac:dyDescent="0.2">
      <c r="A645" t="s">
        <v>2011</v>
      </c>
      <c r="B645" t="s">
        <v>2012</v>
      </c>
      <c r="C645" t="s">
        <v>1631</v>
      </c>
      <c r="D645" t="s">
        <v>1631</v>
      </c>
      <c r="E645" t="s">
        <v>1707</v>
      </c>
    </row>
    <row r="646" spans="1:5" x14ac:dyDescent="0.2">
      <c r="A646" t="s">
        <v>2013</v>
      </c>
      <c r="B646" t="s">
        <v>2014</v>
      </c>
      <c r="C646" t="s">
        <v>1631</v>
      </c>
      <c r="D646" t="s">
        <v>1631</v>
      </c>
      <c r="E646" t="s">
        <v>2015</v>
      </c>
    </row>
    <row r="647" spans="1:5" x14ac:dyDescent="0.2">
      <c r="A647" t="s">
        <v>2016</v>
      </c>
      <c r="B647" t="s">
        <v>2017</v>
      </c>
      <c r="C647" t="s">
        <v>1631</v>
      </c>
      <c r="D647" t="s">
        <v>1631</v>
      </c>
      <c r="E647" t="s">
        <v>1635</v>
      </c>
    </row>
    <row r="648" spans="1:5" x14ac:dyDescent="0.2">
      <c r="A648" t="s">
        <v>2018</v>
      </c>
      <c r="B648" t="s">
        <v>2019</v>
      </c>
      <c r="C648" t="s">
        <v>1631</v>
      </c>
      <c r="D648" t="s">
        <v>1631</v>
      </c>
      <c r="E648" t="s">
        <v>1657</v>
      </c>
    </row>
    <row r="649" spans="1:5" x14ac:dyDescent="0.2">
      <c r="A649" t="s">
        <v>2020</v>
      </c>
      <c r="B649" t="s">
        <v>2021</v>
      </c>
      <c r="C649" t="s">
        <v>1631</v>
      </c>
      <c r="D649" t="s">
        <v>1631</v>
      </c>
      <c r="E649" t="s">
        <v>1665</v>
      </c>
    </row>
    <row r="650" spans="1:5" x14ac:dyDescent="0.2">
      <c r="A650" t="s">
        <v>2022</v>
      </c>
      <c r="B650" t="s">
        <v>2023</v>
      </c>
      <c r="C650" t="s">
        <v>1631</v>
      </c>
      <c r="D650" t="s">
        <v>1631</v>
      </c>
      <c r="E650" t="s">
        <v>1665</v>
      </c>
    </row>
    <row r="651" spans="1:5" x14ac:dyDescent="0.2">
      <c r="A651" t="s">
        <v>2024</v>
      </c>
      <c r="B651" t="s">
        <v>2025</v>
      </c>
      <c r="C651" t="s">
        <v>1631</v>
      </c>
      <c r="D651" t="s">
        <v>1631</v>
      </c>
      <c r="E651" t="s">
        <v>1713</v>
      </c>
    </row>
    <row r="652" spans="1:5" x14ac:dyDescent="0.2">
      <c r="A652" t="s">
        <v>2026</v>
      </c>
      <c r="B652" t="s">
        <v>2027</v>
      </c>
      <c r="C652" t="s">
        <v>1631</v>
      </c>
      <c r="D652" t="s">
        <v>1631</v>
      </c>
      <c r="E652" t="s">
        <v>1675</v>
      </c>
    </row>
    <row r="653" spans="1:5" x14ac:dyDescent="0.2">
      <c r="A653" t="s">
        <v>2028</v>
      </c>
      <c r="B653" t="s">
        <v>2029</v>
      </c>
      <c r="C653" t="s">
        <v>1631</v>
      </c>
      <c r="D653" t="s">
        <v>1631</v>
      </c>
      <c r="E653" t="s">
        <v>2030</v>
      </c>
    </row>
    <row r="654" spans="1:5" x14ac:dyDescent="0.2">
      <c r="A654" t="s">
        <v>2031</v>
      </c>
      <c r="B654" t="s">
        <v>2032</v>
      </c>
      <c r="C654" t="s">
        <v>1631</v>
      </c>
      <c r="D654" t="s">
        <v>1631</v>
      </c>
      <c r="E654" t="s">
        <v>2033</v>
      </c>
    </row>
    <row r="655" spans="1:5" x14ac:dyDescent="0.2">
      <c r="A655" t="s">
        <v>2034</v>
      </c>
      <c r="B655" t="s">
        <v>2035</v>
      </c>
      <c r="C655" t="s">
        <v>1631</v>
      </c>
      <c r="D655" t="s">
        <v>1631</v>
      </c>
      <c r="E655" t="s">
        <v>1644</v>
      </c>
    </row>
    <row r="656" spans="1:5" x14ac:dyDescent="0.2">
      <c r="A656" t="s">
        <v>2036</v>
      </c>
      <c r="B656" t="s">
        <v>2037</v>
      </c>
      <c r="C656" t="s">
        <v>1631</v>
      </c>
      <c r="D656" t="s">
        <v>1631</v>
      </c>
      <c r="E656" t="s">
        <v>1657</v>
      </c>
    </row>
    <row r="657" spans="1:5" x14ac:dyDescent="0.2">
      <c r="A657" t="s">
        <v>2038</v>
      </c>
      <c r="B657" t="s">
        <v>2039</v>
      </c>
      <c r="C657" t="s">
        <v>1631</v>
      </c>
      <c r="D657" t="s">
        <v>1631</v>
      </c>
      <c r="E657" t="s">
        <v>1644</v>
      </c>
    </row>
    <row r="658" spans="1:5" x14ac:dyDescent="0.2">
      <c r="A658" t="s">
        <v>2040</v>
      </c>
      <c r="B658" t="s">
        <v>2041</v>
      </c>
      <c r="C658" t="s">
        <v>1631</v>
      </c>
      <c r="D658" t="s">
        <v>1631</v>
      </c>
      <c r="E658" t="s">
        <v>1934</v>
      </c>
    </row>
    <row r="659" spans="1:5" x14ac:dyDescent="0.2">
      <c r="A659" t="s">
        <v>2042</v>
      </c>
      <c r="B659" t="s">
        <v>2043</v>
      </c>
      <c r="C659" t="s">
        <v>1631</v>
      </c>
      <c r="D659" t="s">
        <v>1631</v>
      </c>
      <c r="E659" t="s">
        <v>2044</v>
      </c>
    </row>
    <row r="660" spans="1:5" x14ac:dyDescent="0.2">
      <c r="A660" t="s">
        <v>2045</v>
      </c>
      <c r="B660" t="s">
        <v>2046</v>
      </c>
      <c r="C660" t="s">
        <v>1631</v>
      </c>
      <c r="D660" t="s">
        <v>1631</v>
      </c>
      <c r="E660" t="s">
        <v>2047</v>
      </c>
    </row>
    <row r="661" spans="1:5" x14ac:dyDescent="0.2">
      <c r="A661" t="s">
        <v>2048</v>
      </c>
      <c r="B661" t="s">
        <v>2049</v>
      </c>
      <c r="C661" t="s">
        <v>1631</v>
      </c>
      <c r="D661" t="s">
        <v>1631</v>
      </c>
      <c r="E661" t="s">
        <v>1713</v>
      </c>
    </row>
    <row r="662" spans="1:5" x14ac:dyDescent="0.2">
      <c r="A662" t="s">
        <v>2050</v>
      </c>
      <c r="B662" t="s">
        <v>2051</v>
      </c>
      <c r="C662" t="s">
        <v>1631</v>
      </c>
      <c r="D662" t="s">
        <v>1631</v>
      </c>
      <c r="E662" t="s">
        <v>1635</v>
      </c>
    </row>
    <row r="663" spans="1:5" x14ac:dyDescent="0.2">
      <c r="A663" t="s">
        <v>2052</v>
      </c>
      <c r="B663" t="s">
        <v>2053</v>
      </c>
      <c r="C663" t="s">
        <v>1631</v>
      </c>
      <c r="D663" t="s">
        <v>1631</v>
      </c>
      <c r="E663" t="s">
        <v>1635</v>
      </c>
    </row>
    <row r="664" spans="1:5" x14ac:dyDescent="0.2">
      <c r="A664" t="s">
        <v>2054</v>
      </c>
      <c r="B664" t="s">
        <v>2055</v>
      </c>
      <c r="C664" t="s">
        <v>1631</v>
      </c>
      <c r="D664" t="s">
        <v>1631</v>
      </c>
      <c r="E664" t="s">
        <v>1785</v>
      </c>
    </row>
    <row r="665" spans="1:5" x14ac:dyDescent="0.2">
      <c r="A665" t="s">
        <v>2056</v>
      </c>
      <c r="B665" t="s">
        <v>2057</v>
      </c>
      <c r="C665" t="s">
        <v>1631</v>
      </c>
      <c r="D665" t="s">
        <v>1631</v>
      </c>
      <c r="E665" t="s">
        <v>2058</v>
      </c>
    </row>
    <row r="666" spans="1:5" x14ac:dyDescent="0.2">
      <c r="A666" t="s">
        <v>2059</v>
      </c>
      <c r="B666" t="s">
        <v>2060</v>
      </c>
      <c r="C666" t="s">
        <v>1631</v>
      </c>
      <c r="D666" t="s">
        <v>1631</v>
      </c>
      <c r="E666" t="s">
        <v>1707</v>
      </c>
    </row>
    <row r="667" spans="1:5" x14ac:dyDescent="0.2">
      <c r="A667" t="s">
        <v>2061</v>
      </c>
      <c r="B667" t="s">
        <v>2062</v>
      </c>
      <c r="C667" t="s">
        <v>1631</v>
      </c>
      <c r="D667" t="s">
        <v>1631</v>
      </c>
      <c r="E667" t="s">
        <v>1675</v>
      </c>
    </row>
    <row r="668" spans="1:5" x14ac:dyDescent="0.2">
      <c r="A668" t="s">
        <v>2063</v>
      </c>
      <c r="B668" t="s">
        <v>2064</v>
      </c>
      <c r="C668" t="s">
        <v>1631</v>
      </c>
      <c r="D668" t="s">
        <v>1631</v>
      </c>
      <c r="E668" t="s">
        <v>1665</v>
      </c>
    </row>
    <row r="669" spans="1:5" x14ac:dyDescent="0.2">
      <c r="A669" t="s">
        <v>2065</v>
      </c>
      <c r="B669" t="s">
        <v>2066</v>
      </c>
      <c r="C669" t="s">
        <v>1631</v>
      </c>
      <c r="D669" t="s">
        <v>1631</v>
      </c>
      <c r="E669" t="s">
        <v>2067</v>
      </c>
    </row>
    <row r="670" spans="1:5" x14ac:dyDescent="0.2">
      <c r="A670" t="s">
        <v>2068</v>
      </c>
      <c r="B670" t="s">
        <v>2069</v>
      </c>
      <c r="C670" t="s">
        <v>1631</v>
      </c>
      <c r="D670" t="s">
        <v>1631</v>
      </c>
      <c r="E670" t="s">
        <v>2070</v>
      </c>
    </row>
    <row r="671" spans="1:5" x14ac:dyDescent="0.2">
      <c r="A671" t="s">
        <v>2071</v>
      </c>
      <c r="B671" t="s">
        <v>2072</v>
      </c>
      <c r="C671" t="s">
        <v>1631</v>
      </c>
      <c r="D671" t="s">
        <v>1631</v>
      </c>
      <c r="E671" t="s">
        <v>1635</v>
      </c>
    </row>
    <row r="672" spans="1:5" x14ac:dyDescent="0.2">
      <c r="A672" t="s">
        <v>2073</v>
      </c>
      <c r="B672" t="s">
        <v>2074</v>
      </c>
      <c r="C672" t="s">
        <v>1631</v>
      </c>
      <c r="D672" t="s">
        <v>1631</v>
      </c>
      <c r="E672" t="s">
        <v>2075</v>
      </c>
    </row>
    <row r="673" spans="1:5" x14ac:dyDescent="0.2">
      <c r="A673" t="s">
        <v>2076</v>
      </c>
      <c r="B673" t="s">
        <v>2077</v>
      </c>
      <c r="C673" t="s">
        <v>1631</v>
      </c>
      <c r="D673" t="s">
        <v>1631</v>
      </c>
      <c r="E673" t="s">
        <v>1641</v>
      </c>
    </row>
    <row r="674" spans="1:5" x14ac:dyDescent="0.2">
      <c r="A674" t="s">
        <v>2078</v>
      </c>
      <c r="B674" t="s">
        <v>2079</v>
      </c>
      <c r="C674" t="s">
        <v>1631</v>
      </c>
      <c r="D674" t="s">
        <v>1631</v>
      </c>
      <c r="E674" t="s">
        <v>1665</v>
      </c>
    </row>
    <row r="675" spans="1:5" x14ac:dyDescent="0.2">
      <c r="A675" t="s">
        <v>2080</v>
      </c>
      <c r="B675" t="s">
        <v>2081</v>
      </c>
      <c r="C675" t="s">
        <v>1631</v>
      </c>
      <c r="D675" t="s">
        <v>1631</v>
      </c>
      <c r="E675" t="s">
        <v>1641</v>
      </c>
    </row>
    <row r="676" spans="1:5" x14ac:dyDescent="0.2">
      <c r="A676" t="s">
        <v>2082</v>
      </c>
      <c r="B676" t="s">
        <v>2083</v>
      </c>
      <c r="C676" t="s">
        <v>1631</v>
      </c>
      <c r="D676" t="s">
        <v>1631</v>
      </c>
      <c r="E676" t="s">
        <v>1641</v>
      </c>
    </row>
    <row r="677" spans="1:5" x14ac:dyDescent="0.2">
      <c r="A677" t="s">
        <v>2084</v>
      </c>
      <c r="B677" t="s">
        <v>2085</v>
      </c>
      <c r="C677" t="s">
        <v>1631</v>
      </c>
      <c r="D677" t="s">
        <v>1631</v>
      </c>
      <c r="E677" t="s">
        <v>1675</v>
      </c>
    </row>
    <row r="678" spans="1:5" x14ac:dyDescent="0.2">
      <c r="A678" t="s">
        <v>2086</v>
      </c>
      <c r="B678" t="s">
        <v>2087</v>
      </c>
      <c r="C678" t="s">
        <v>1631</v>
      </c>
      <c r="D678" t="s">
        <v>1631</v>
      </c>
      <c r="E678" t="s">
        <v>1713</v>
      </c>
    </row>
    <row r="679" spans="1:5" x14ac:dyDescent="0.2">
      <c r="A679" t="s">
        <v>2088</v>
      </c>
      <c r="B679" t="s">
        <v>2089</v>
      </c>
      <c r="C679" t="s">
        <v>1631</v>
      </c>
      <c r="D679" t="s">
        <v>1631</v>
      </c>
      <c r="E679" t="s">
        <v>1644</v>
      </c>
    </row>
    <row r="680" spans="1:5" x14ac:dyDescent="0.2">
      <c r="A680" t="s">
        <v>2090</v>
      </c>
      <c r="B680" t="s">
        <v>2091</v>
      </c>
      <c r="C680" t="s">
        <v>1631</v>
      </c>
      <c r="D680" t="s">
        <v>1631</v>
      </c>
      <c r="E680" t="s">
        <v>1644</v>
      </c>
    </row>
    <row r="681" spans="1:5" x14ac:dyDescent="0.2">
      <c r="A681" t="s">
        <v>2092</v>
      </c>
      <c r="B681" t="s">
        <v>2093</v>
      </c>
      <c r="C681" t="s">
        <v>1631</v>
      </c>
      <c r="D681" t="s">
        <v>1631</v>
      </c>
      <c r="E681" t="s">
        <v>2094</v>
      </c>
    </row>
    <row r="682" spans="1:5" x14ac:dyDescent="0.2">
      <c r="A682" t="s">
        <v>2095</v>
      </c>
      <c r="B682" t="s">
        <v>2096</v>
      </c>
      <c r="C682" t="s">
        <v>1631</v>
      </c>
      <c r="D682" t="s">
        <v>1631</v>
      </c>
      <c r="E682" t="s">
        <v>1657</v>
      </c>
    </row>
    <row r="683" spans="1:5" x14ac:dyDescent="0.2">
      <c r="A683" t="s">
        <v>2097</v>
      </c>
      <c r="B683" t="s">
        <v>2098</v>
      </c>
      <c r="C683" t="s">
        <v>1631</v>
      </c>
      <c r="D683" t="s">
        <v>1631</v>
      </c>
      <c r="E683" t="s">
        <v>2099</v>
      </c>
    </row>
    <row r="684" spans="1:5" x14ac:dyDescent="0.2">
      <c r="A684" t="s">
        <v>2100</v>
      </c>
      <c r="B684" t="s">
        <v>2101</v>
      </c>
      <c r="C684" t="s">
        <v>1631</v>
      </c>
      <c r="D684" t="s">
        <v>1631</v>
      </c>
      <c r="E684" t="s">
        <v>1635</v>
      </c>
    </row>
    <row r="685" spans="1:5" x14ac:dyDescent="0.2">
      <c r="A685" t="s">
        <v>2102</v>
      </c>
      <c r="B685" t="s">
        <v>2103</v>
      </c>
      <c r="C685" t="s">
        <v>1631</v>
      </c>
      <c r="D685" t="s">
        <v>1631</v>
      </c>
      <c r="E685" t="s">
        <v>1675</v>
      </c>
    </row>
    <row r="686" spans="1:5" x14ac:dyDescent="0.2">
      <c r="A686" t="s">
        <v>2104</v>
      </c>
      <c r="B686" t="s">
        <v>2105</v>
      </c>
      <c r="C686" t="s">
        <v>1631</v>
      </c>
      <c r="D686" t="s">
        <v>1631</v>
      </c>
      <c r="E686" t="s">
        <v>1641</v>
      </c>
    </row>
    <row r="687" spans="1:5" x14ac:dyDescent="0.2">
      <c r="A687" t="s">
        <v>2106</v>
      </c>
      <c r="B687" t="s">
        <v>2107</v>
      </c>
      <c r="C687" t="s">
        <v>1631</v>
      </c>
      <c r="D687" t="s">
        <v>1631</v>
      </c>
      <c r="E687" t="s">
        <v>2108</v>
      </c>
    </row>
    <row r="688" spans="1:5" x14ac:dyDescent="0.2">
      <c r="A688" t="s">
        <v>2109</v>
      </c>
      <c r="B688" t="s">
        <v>2110</v>
      </c>
      <c r="C688" t="s">
        <v>1631</v>
      </c>
      <c r="D688" t="s">
        <v>1631</v>
      </c>
      <c r="E688" t="s">
        <v>1657</v>
      </c>
    </row>
    <row r="689" spans="1:5" x14ac:dyDescent="0.2">
      <c r="A689" t="s">
        <v>2111</v>
      </c>
      <c r="B689" t="s">
        <v>2112</v>
      </c>
      <c r="C689" t="s">
        <v>1631</v>
      </c>
      <c r="D689" t="s">
        <v>1631</v>
      </c>
      <c r="E689" t="s">
        <v>1713</v>
      </c>
    </row>
    <row r="690" spans="1:5" x14ac:dyDescent="0.2">
      <c r="A690" t="s">
        <v>2113</v>
      </c>
      <c r="B690" t="s">
        <v>2114</v>
      </c>
      <c r="C690" t="s">
        <v>1631</v>
      </c>
      <c r="D690" t="s">
        <v>1631</v>
      </c>
      <c r="E690" t="s">
        <v>1707</v>
      </c>
    </row>
    <row r="691" spans="1:5" x14ac:dyDescent="0.2">
      <c r="A691" t="s">
        <v>2115</v>
      </c>
      <c r="B691" t="s">
        <v>2116</v>
      </c>
      <c r="C691" t="s">
        <v>1631</v>
      </c>
      <c r="D691" t="s">
        <v>1631</v>
      </c>
      <c r="E691" t="s">
        <v>1657</v>
      </c>
    </row>
    <row r="692" spans="1:5" x14ac:dyDescent="0.2">
      <c r="A692" t="s">
        <v>2117</v>
      </c>
      <c r="B692" t="s">
        <v>2118</v>
      </c>
      <c r="C692" t="s">
        <v>1631</v>
      </c>
      <c r="D692" t="s">
        <v>1631</v>
      </c>
      <c r="E692" t="s">
        <v>2119</v>
      </c>
    </row>
    <row r="693" spans="1:5" x14ac:dyDescent="0.2">
      <c r="A693" t="s">
        <v>2120</v>
      </c>
      <c r="B693" t="s">
        <v>2121</v>
      </c>
      <c r="C693" t="s">
        <v>1631</v>
      </c>
      <c r="D693" t="s">
        <v>1631</v>
      </c>
      <c r="E693" t="s">
        <v>2122</v>
      </c>
    </row>
    <row r="694" spans="1:5" x14ac:dyDescent="0.2">
      <c r="A694" t="s">
        <v>2123</v>
      </c>
      <c r="B694" t="s">
        <v>2124</v>
      </c>
      <c r="C694" t="s">
        <v>1631</v>
      </c>
      <c r="D694" t="s">
        <v>1631</v>
      </c>
      <c r="E694" t="s">
        <v>1657</v>
      </c>
    </row>
    <row r="695" spans="1:5" x14ac:dyDescent="0.2">
      <c r="A695" t="s">
        <v>2125</v>
      </c>
      <c r="B695" t="s">
        <v>2126</v>
      </c>
      <c r="C695" t="s">
        <v>1631</v>
      </c>
      <c r="D695" t="s">
        <v>1631</v>
      </c>
      <c r="E695" t="s">
        <v>2127</v>
      </c>
    </row>
    <row r="696" spans="1:5" x14ac:dyDescent="0.2">
      <c r="A696" t="s">
        <v>2128</v>
      </c>
      <c r="B696" t="s">
        <v>2129</v>
      </c>
      <c r="C696" t="s">
        <v>1631</v>
      </c>
      <c r="D696" t="s">
        <v>1631</v>
      </c>
      <c r="E696" t="s">
        <v>1644</v>
      </c>
    </row>
    <row r="697" spans="1:5" x14ac:dyDescent="0.2">
      <c r="A697" t="s">
        <v>2130</v>
      </c>
      <c r="B697" t="s">
        <v>2131</v>
      </c>
      <c r="C697" t="s">
        <v>1631</v>
      </c>
      <c r="D697" t="s">
        <v>1631</v>
      </c>
      <c r="E697" t="s">
        <v>1713</v>
      </c>
    </row>
    <row r="698" spans="1:5" x14ac:dyDescent="0.2">
      <c r="A698" t="s">
        <v>2132</v>
      </c>
      <c r="B698" t="s">
        <v>2133</v>
      </c>
      <c r="C698" t="s">
        <v>1631</v>
      </c>
      <c r="D698" t="s">
        <v>1631</v>
      </c>
      <c r="E698" t="s">
        <v>1641</v>
      </c>
    </row>
    <row r="699" spans="1:5" x14ac:dyDescent="0.2">
      <c r="A699" t="s">
        <v>2134</v>
      </c>
      <c r="B699" t="s">
        <v>2135</v>
      </c>
      <c r="C699" t="s">
        <v>1631</v>
      </c>
      <c r="D699" t="s">
        <v>1631</v>
      </c>
      <c r="E699" t="s">
        <v>1641</v>
      </c>
    </row>
    <row r="700" spans="1:5" x14ac:dyDescent="0.2">
      <c r="A700" t="s">
        <v>2136</v>
      </c>
      <c r="B700" t="s">
        <v>2137</v>
      </c>
      <c r="C700" t="s">
        <v>1631</v>
      </c>
      <c r="D700" t="s">
        <v>1631</v>
      </c>
      <c r="E700" t="s">
        <v>1641</v>
      </c>
    </row>
    <row r="701" spans="1:5" x14ac:dyDescent="0.2">
      <c r="A701" t="s">
        <v>2138</v>
      </c>
      <c r="B701" t="s">
        <v>2139</v>
      </c>
      <c r="C701" t="s">
        <v>1631</v>
      </c>
      <c r="D701" t="s">
        <v>1631</v>
      </c>
      <c r="E701" t="s">
        <v>1665</v>
      </c>
    </row>
    <row r="702" spans="1:5" x14ac:dyDescent="0.2">
      <c r="A702" t="s">
        <v>2140</v>
      </c>
      <c r="B702" t="s">
        <v>2141</v>
      </c>
      <c r="C702" t="s">
        <v>1631</v>
      </c>
      <c r="D702" t="s">
        <v>1631</v>
      </c>
      <c r="E702" t="s">
        <v>2142</v>
      </c>
    </row>
    <row r="703" spans="1:5" x14ac:dyDescent="0.2">
      <c r="A703" t="s">
        <v>2143</v>
      </c>
      <c r="B703" t="s">
        <v>2144</v>
      </c>
      <c r="C703" t="s">
        <v>1631</v>
      </c>
      <c r="D703" t="s">
        <v>1631</v>
      </c>
      <c r="E703" t="s">
        <v>1657</v>
      </c>
    </row>
    <row r="704" spans="1:5" x14ac:dyDescent="0.2">
      <c r="A704" t="s">
        <v>2145</v>
      </c>
      <c r="B704" t="s">
        <v>2146</v>
      </c>
      <c r="C704" t="s">
        <v>1631</v>
      </c>
      <c r="D704" t="s">
        <v>1631</v>
      </c>
      <c r="E704" t="s">
        <v>1675</v>
      </c>
    </row>
    <row r="705" spans="1:5" x14ac:dyDescent="0.2">
      <c r="A705" t="s">
        <v>2147</v>
      </c>
      <c r="B705" t="s">
        <v>2148</v>
      </c>
      <c r="C705" t="s">
        <v>1631</v>
      </c>
      <c r="D705" t="s">
        <v>1631</v>
      </c>
      <c r="E705" t="s">
        <v>1675</v>
      </c>
    </row>
    <row r="706" spans="1:5" x14ac:dyDescent="0.2">
      <c r="A706" t="s">
        <v>2149</v>
      </c>
      <c r="B706" t="s">
        <v>2150</v>
      </c>
      <c r="C706" t="s">
        <v>1631</v>
      </c>
      <c r="D706" t="s">
        <v>1631</v>
      </c>
      <c r="E706" t="s">
        <v>1641</v>
      </c>
    </row>
    <row r="707" spans="1:5" x14ac:dyDescent="0.2">
      <c r="A707" t="s">
        <v>2151</v>
      </c>
      <c r="B707" t="s">
        <v>2152</v>
      </c>
      <c r="C707" t="s">
        <v>1631</v>
      </c>
      <c r="D707" t="s">
        <v>1631</v>
      </c>
      <c r="E707" t="s">
        <v>1707</v>
      </c>
    </row>
    <row r="708" spans="1:5" x14ac:dyDescent="0.2">
      <c r="A708" t="s">
        <v>2153</v>
      </c>
      <c r="B708" t="s">
        <v>2154</v>
      </c>
      <c r="C708" t="s">
        <v>1631</v>
      </c>
      <c r="D708" t="s">
        <v>1631</v>
      </c>
      <c r="E708" t="s">
        <v>1713</v>
      </c>
    </row>
    <row r="709" spans="1:5" x14ac:dyDescent="0.2">
      <c r="A709" t="s">
        <v>2155</v>
      </c>
      <c r="B709" t="s">
        <v>2156</v>
      </c>
      <c r="C709" t="s">
        <v>1631</v>
      </c>
      <c r="D709" t="s">
        <v>1631</v>
      </c>
      <c r="E709" t="s">
        <v>1644</v>
      </c>
    </row>
    <row r="710" spans="1:5" x14ac:dyDescent="0.2">
      <c r="A710" t="s">
        <v>2157</v>
      </c>
      <c r="B710" t="s">
        <v>2158</v>
      </c>
      <c r="C710" t="s">
        <v>1631</v>
      </c>
      <c r="D710" t="s">
        <v>1631</v>
      </c>
      <c r="E710" t="s">
        <v>1641</v>
      </c>
    </row>
    <row r="711" spans="1:5" x14ac:dyDescent="0.2">
      <c r="A711" t="s">
        <v>2159</v>
      </c>
      <c r="B711" t="s">
        <v>2160</v>
      </c>
      <c r="C711" t="s">
        <v>1631</v>
      </c>
      <c r="D711" t="s">
        <v>1631</v>
      </c>
      <c r="E711" t="s">
        <v>1641</v>
      </c>
    </row>
    <row r="712" spans="1:5" x14ac:dyDescent="0.2">
      <c r="A712" t="s">
        <v>2161</v>
      </c>
      <c r="B712" t="s">
        <v>2162</v>
      </c>
      <c r="C712" t="s">
        <v>1631</v>
      </c>
      <c r="D712" t="s">
        <v>1631</v>
      </c>
      <c r="E712" t="s">
        <v>2163</v>
      </c>
    </row>
    <row r="713" spans="1:5" x14ac:dyDescent="0.2">
      <c r="A713" t="s">
        <v>2164</v>
      </c>
      <c r="B713" t="s">
        <v>2165</v>
      </c>
      <c r="C713" t="s">
        <v>1631</v>
      </c>
      <c r="D713" t="s">
        <v>1631</v>
      </c>
      <c r="E713" t="s">
        <v>1635</v>
      </c>
    </row>
    <row r="714" spans="1:5" x14ac:dyDescent="0.2">
      <c r="A714" t="s">
        <v>2166</v>
      </c>
      <c r="B714" t="s">
        <v>2167</v>
      </c>
      <c r="C714" t="s">
        <v>1631</v>
      </c>
      <c r="D714" t="s">
        <v>1631</v>
      </c>
      <c r="E714" t="s">
        <v>1675</v>
      </c>
    </row>
    <row r="715" spans="1:5" x14ac:dyDescent="0.2">
      <c r="A715" t="s">
        <v>2168</v>
      </c>
      <c r="B715" t="s">
        <v>2169</v>
      </c>
      <c r="C715" t="s">
        <v>1631</v>
      </c>
      <c r="D715" t="s">
        <v>1631</v>
      </c>
      <c r="E715" t="s">
        <v>1635</v>
      </c>
    </row>
    <row r="716" spans="1:5" x14ac:dyDescent="0.2">
      <c r="A716" t="s">
        <v>2170</v>
      </c>
      <c r="B716" t="s">
        <v>2171</v>
      </c>
      <c r="C716" t="s">
        <v>1631</v>
      </c>
      <c r="D716" t="s">
        <v>1631</v>
      </c>
      <c r="E716" t="s">
        <v>1675</v>
      </c>
    </row>
    <row r="717" spans="1:5" x14ac:dyDescent="0.2">
      <c r="A717" t="s">
        <v>2172</v>
      </c>
      <c r="B717" t="s">
        <v>2173</v>
      </c>
      <c r="C717" t="s">
        <v>1631</v>
      </c>
      <c r="D717" t="s">
        <v>1631</v>
      </c>
      <c r="E717" t="s">
        <v>1665</v>
      </c>
    </row>
    <row r="718" spans="1:5" x14ac:dyDescent="0.2">
      <c r="A718" t="s">
        <v>2174</v>
      </c>
      <c r="B718" t="s">
        <v>2175</v>
      </c>
      <c r="C718" t="s">
        <v>1631</v>
      </c>
      <c r="D718" t="s">
        <v>1631</v>
      </c>
      <c r="E718" t="s">
        <v>2176</v>
      </c>
    </row>
    <row r="719" spans="1:5" x14ac:dyDescent="0.2">
      <c r="A719" t="s">
        <v>2177</v>
      </c>
      <c r="B719" t="s">
        <v>2178</v>
      </c>
      <c r="C719" t="s">
        <v>1631</v>
      </c>
      <c r="D719" t="s">
        <v>1631</v>
      </c>
      <c r="E719" t="s">
        <v>2179</v>
      </c>
    </row>
    <row r="720" spans="1:5" x14ac:dyDescent="0.2">
      <c r="A720" t="s">
        <v>2180</v>
      </c>
      <c r="B720" t="s">
        <v>2181</v>
      </c>
      <c r="C720" t="s">
        <v>1631</v>
      </c>
      <c r="D720" t="s">
        <v>1631</v>
      </c>
      <c r="E720" t="s">
        <v>1657</v>
      </c>
    </row>
    <row r="721" spans="1:5" x14ac:dyDescent="0.2">
      <c r="A721" t="s">
        <v>2182</v>
      </c>
      <c r="B721" t="s">
        <v>2183</v>
      </c>
      <c r="C721" t="s">
        <v>1631</v>
      </c>
      <c r="D721" t="s">
        <v>1631</v>
      </c>
      <c r="E721" t="s">
        <v>1707</v>
      </c>
    </row>
    <row r="722" spans="1:5" x14ac:dyDescent="0.2">
      <c r="A722" t="s">
        <v>2184</v>
      </c>
      <c r="B722" t="s">
        <v>2185</v>
      </c>
      <c r="C722" t="s">
        <v>1631</v>
      </c>
      <c r="D722" t="s">
        <v>1631</v>
      </c>
      <c r="E722" t="s">
        <v>1635</v>
      </c>
    </row>
    <row r="723" spans="1:5" x14ac:dyDescent="0.2">
      <c r="A723" t="s">
        <v>2186</v>
      </c>
      <c r="B723" t="s">
        <v>2187</v>
      </c>
      <c r="C723" t="s">
        <v>1631</v>
      </c>
      <c r="D723" t="s">
        <v>1631</v>
      </c>
      <c r="E723" t="s">
        <v>1675</v>
      </c>
    </row>
    <row r="724" spans="1:5" x14ac:dyDescent="0.2">
      <c r="A724" t="s">
        <v>2188</v>
      </c>
      <c r="B724" t="s">
        <v>2189</v>
      </c>
      <c r="C724" t="s">
        <v>1631</v>
      </c>
      <c r="D724" t="s">
        <v>1631</v>
      </c>
      <c r="E724" t="s">
        <v>2190</v>
      </c>
    </row>
    <row r="725" spans="1:5" x14ac:dyDescent="0.2">
      <c r="A725" t="s">
        <v>2191</v>
      </c>
      <c r="B725" t="s">
        <v>2192</v>
      </c>
      <c r="C725" t="s">
        <v>1631</v>
      </c>
      <c r="D725" t="s">
        <v>1631</v>
      </c>
      <c r="E725" t="s">
        <v>1713</v>
      </c>
    </row>
    <row r="726" spans="1:5" x14ac:dyDescent="0.2">
      <c r="A726" t="s">
        <v>2193</v>
      </c>
      <c r="B726" t="s">
        <v>2194</v>
      </c>
      <c r="C726" t="s">
        <v>1631</v>
      </c>
      <c r="D726" t="s">
        <v>1631</v>
      </c>
      <c r="E726" t="s">
        <v>1675</v>
      </c>
    </row>
    <row r="727" spans="1:5" x14ac:dyDescent="0.2">
      <c r="A727" t="s">
        <v>2195</v>
      </c>
      <c r="B727" t="s">
        <v>2196</v>
      </c>
      <c r="C727" t="s">
        <v>1631</v>
      </c>
      <c r="D727" t="s">
        <v>1631</v>
      </c>
      <c r="E727" t="s">
        <v>1635</v>
      </c>
    </row>
    <row r="728" spans="1:5" x14ac:dyDescent="0.2">
      <c r="A728" t="s">
        <v>2197</v>
      </c>
      <c r="B728" t="s">
        <v>2198</v>
      </c>
      <c r="C728" t="s">
        <v>1631</v>
      </c>
      <c r="D728" t="s">
        <v>1631</v>
      </c>
      <c r="E728" t="s">
        <v>1644</v>
      </c>
    </row>
    <row r="729" spans="1:5" x14ac:dyDescent="0.2">
      <c r="A729" t="s">
        <v>2199</v>
      </c>
      <c r="B729" t="s">
        <v>2200</v>
      </c>
      <c r="C729" t="s">
        <v>1631</v>
      </c>
      <c r="D729" t="s">
        <v>1631</v>
      </c>
      <c r="E729" t="s">
        <v>1675</v>
      </c>
    </row>
    <row r="730" spans="1:5" x14ac:dyDescent="0.2">
      <c r="A730" t="s">
        <v>2201</v>
      </c>
      <c r="B730" t="s">
        <v>2202</v>
      </c>
      <c r="C730" t="s">
        <v>2203</v>
      </c>
      <c r="D730" t="s">
        <v>2203</v>
      </c>
      <c r="E730" t="s">
        <v>2204</v>
      </c>
    </row>
    <row r="731" spans="1:5" x14ac:dyDescent="0.2">
      <c r="A731" t="s">
        <v>2205</v>
      </c>
      <c r="B731" t="s">
        <v>2206</v>
      </c>
      <c r="C731" t="s">
        <v>2203</v>
      </c>
      <c r="D731" t="s">
        <v>2203</v>
      </c>
      <c r="E731" t="s">
        <v>2207</v>
      </c>
    </row>
    <row r="732" spans="1:5" x14ac:dyDescent="0.2">
      <c r="A732" t="s">
        <v>2208</v>
      </c>
      <c r="B732" t="s">
        <v>2209</v>
      </c>
      <c r="C732" t="s">
        <v>2203</v>
      </c>
      <c r="D732" t="s">
        <v>2203</v>
      </c>
      <c r="E732" t="s">
        <v>2210</v>
      </c>
    </row>
    <row r="733" spans="1:5" x14ac:dyDescent="0.2">
      <c r="A733" t="s">
        <v>2211</v>
      </c>
      <c r="B733" t="s">
        <v>2212</v>
      </c>
      <c r="C733" t="s">
        <v>2203</v>
      </c>
      <c r="D733" t="s">
        <v>2203</v>
      </c>
      <c r="E733" t="s">
        <v>2213</v>
      </c>
    </row>
    <row r="734" spans="1:5" x14ac:dyDescent="0.2">
      <c r="A734" t="s">
        <v>2214</v>
      </c>
      <c r="B734" t="s">
        <v>2215</v>
      </c>
      <c r="C734" t="s">
        <v>2203</v>
      </c>
      <c r="D734" t="s">
        <v>2203</v>
      </c>
      <c r="E734" t="s">
        <v>2216</v>
      </c>
    </row>
    <row r="735" spans="1:5" x14ac:dyDescent="0.2">
      <c r="A735" t="s">
        <v>2217</v>
      </c>
      <c r="B735" t="s">
        <v>2218</v>
      </c>
      <c r="C735" t="s">
        <v>2203</v>
      </c>
      <c r="D735" t="s">
        <v>2203</v>
      </c>
      <c r="E735" t="s">
        <v>2219</v>
      </c>
    </row>
    <row r="736" spans="1:5" x14ac:dyDescent="0.2">
      <c r="A736" t="s">
        <v>2220</v>
      </c>
      <c r="B736" t="s">
        <v>2221</v>
      </c>
      <c r="C736" t="s">
        <v>2203</v>
      </c>
      <c r="D736" t="s">
        <v>2203</v>
      </c>
      <c r="E736" t="s">
        <v>2222</v>
      </c>
    </row>
    <row r="737" spans="1:5" x14ac:dyDescent="0.2">
      <c r="A737" t="s">
        <v>2223</v>
      </c>
      <c r="B737" t="s">
        <v>2224</v>
      </c>
      <c r="C737" t="s">
        <v>2203</v>
      </c>
      <c r="D737" t="s">
        <v>2203</v>
      </c>
      <c r="E737" t="s">
        <v>2225</v>
      </c>
    </row>
    <row r="738" spans="1:5" x14ac:dyDescent="0.2">
      <c r="A738" t="s">
        <v>2226</v>
      </c>
      <c r="B738" t="s">
        <v>2227</v>
      </c>
      <c r="C738" t="s">
        <v>2203</v>
      </c>
      <c r="D738" t="s">
        <v>2203</v>
      </c>
      <c r="E738" t="s">
        <v>2213</v>
      </c>
    </row>
    <row r="739" spans="1:5" x14ac:dyDescent="0.2">
      <c r="A739" t="s">
        <v>2228</v>
      </c>
      <c r="B739" t="s">
        <v>2229</v>
      </c>
      <c r="C739" t="s">
        <v>2203</v>
      </c>
      <c r="D739" t="s">
        <v>2203</v>
      </c>
      <c r="E739" t="s">
        <v>2230</v>
      </c>
    </row>
    <row r="740" spans="1:5" x14ac:dyDescent="0.2">
      <c r="A740" t="s">
        <v>2231</v>
      </c>
      <c r="B740" t="s">
        <v>2232</v>
      </c>
      <c r="C740" t="s">
        <v>2203</v>
      </c>
      <c r="D740" t="s">
        <v>2203</v>
      </c>
      <c r="E740" t="s">
        <v>2233</v>
      </c>
    </row>
    <row r="741" spans="1:5" x14ac:dyDescent="0.2">
      <c r="A741" t="s">
        <v>2234</v>
      </c>
      <c r="B741" t="s">
        <v>2235</v>
      </c>
      <c r="C741" t="s">
        <v>2203</v>
      </c>
      <c r="D741" t="s">
        <v>2203</v>
      </c>
      <c r="E741" t="s">
        <v>2236</v>
      </c>
    </row>
    <row r="742" spans="1:5" x14ac:dyDescent="0.2">
      <c r="A742" t="s">
        <v>2237</v>
      </c>
      <c r="B742" t="s">
        <v>2238</v>
      </c>
      <c r="C742" t="s">
        <v>2203</v>
      </c>
      <c r="D742" t="s">
        <v>2203</v>
      </c>
      <c r="E742" t="s">
        <v>2239</v>
      </c>
    </row>
    <row r="743" spans="1:5" x14ac:dyDescent="0.2">
      <c r="A743" t="s">
        <v>2240</v>
      </c>
      <c r="B743" t="s">
        <v>2241</v>
      </c>
      <c r="C743" t="s">
        <v>2203</v>
      </c>
      <c r="D743" t="s">
        <v>2203</v>
      </c>
      <c r="E743" t="s">
        <v>2242</v>
      </c>
    </row>
    <row r="744" spans="1:5" x14ac:dyDescent="0.2">
      <c r="A744" t="s">
        <v>2243</v>
      </c>
      <c r="B744" t="s">
        <v>2244</v>
      </c>
      <c r="C744" t="s">
        <v>2203</v>
      </c>
      <c r="D744" t="s">
        <v>2203</v>
      </c>
      <c r="E744" t="s">
        <v>2245</v>
      </c>
    </row>
    <row r="745" spans="1:5" x14ac:dyDescent="0.2">
      <c r="A745" t="s">
        <v>2246</v>
      </c>
      <c r="B745" t="s">
        <v>2247</v>
      </c>
      <c r="C745" t="s">
        <v>2203</v>
      </c>
      <c r="D745" t="s">
        <v>2203</v>
      </c>
      <c r="E745" t="s">
        <v>2213</v>
      </c>
    </row>
    <row r="746" spans="1:5" x14ac:dyDescent="0.2">
      <c r="A746" t="s">
        <v>2248</v>
      </c>
      <c r="B746" t="s">
        <v>2249</v>
      </c>
      <c r="C746" t="s">
        <v>2203</v>
      </c>
      <c r="D746" t="s">
        <v>2203</v>
      </c>
      <c r="E746" t="s">
        <v>2250</v>
      </c>
    </row>
    <row r="747" spans="1:5" x14ac:dyDescent="0.2">
      <c r="A747" t="s">
        <v>2251</v>
      </c>
      <c r="B747" t="s">
        <v>2252</v>
      </c>
      <c r="C747" t="s">
        <v>2203</v>
      </c>
      <c r="D747" t="s">
        <v>2203</v>
      </c>
      <c r="E747" t="s">
        <v>2210</v>
      </c>
    </row>
    <row r="748" spans="1:5" x14ac:dyDescent="0.2">
      <c r="A748" t="s">
        <v>2253</v>
      </c>
      <c r="B748" t="s">
        <v>2254</v>
      </c>
      <c r="C748" t="s">
        <v>2203</v>
      </c>
      <c r="D748" t="s">
        <v>2203</v>
      </c>
      <c r="E748" t="s">
        <v>2255</v>
      </c>
    </row>
    <row r="749" spans="1:5" x14ac:dyDescent="0.2">
      <c r="A749" t="s">
        <v>2256</v>
      </c>
      <c r="B749" t="s">
        <v>2257</v>
      </c>
      <c r="C749" t="s">
        <v>2203</v>
      </c>
      <c r="D749" t="s">
        <v>2203</v>
      </c>
      <c r="E749" t="s">
        <v>2258</v>
      </c>
    </row>
    <row r="750" spans="1:5" x14ac:dyDescent="0.2">
      <c r="A750" t="s">
        <v>2259</v>
      </c>
      <c r="B750" t="s">
        <v>2260</v>
      </c>
      <c r="C750" t="s">
        <v>2203</v>
      </c>
      <c r="D750" t="s">
        <v>2203</v>
      </c>
      <c r="E750" t="s">
        <v>2261</v>
      </c>
    </row>
    <row r="751" spans="1:5" x14ac:dyDescent="0.2">
      <c r="A751" t="s">
        <v>2262</v>
      </c>
      <c r="B751" t="s">
        <v>2263</v>
      </c>
      <c r="C751" t="s">
        <v>2203</v>
      </c>
      <c r="D751" t="s">
        <v>2203</v>
      </c>
      <c r="E751" t="s">
        <v>2264</v>
      </c>
    </row>
    <row r="752" spans="1:5" x14ac:dyDescent="0.2">
      <c r="A752" t="s">
        <v>2265</v>
      </c>
      <c r="B752" t="s">
        <v>2266</v>
      </c>
      <c r="C752" t="s">
        <v>2203</v>
      </c>
      <c r="D752" t="s">
        <v>2203</v>
      </c>
      <c r="E752" t="s">
        <v>2219</v>
      </c>
    </row>
    <row r="753" spans="1:5" x14ac:dyDescent="0.2">
      <c r="A753" t="s">
        <v>2267</v>
      </c>
      <c r="B753" t="s">
        <v>2268</v>
      </c>
      <c r="C753" t="s">
        <v>2203</v>
      </c>
      <c r="D753" t="s">
        <v>2203</v>
      </c>
      <c r="E753" t="s">
        <v>2225</v>
      </c>
    </row>
    <row r="754" spans="1:5" x14ac:dyDescent="0.2">
      <c r="A754" t="s">
        <v>2269</v>
      </c>
      <c r="B754" t="s">
        <v>2270</v>
      </c>
      <c r="C754" t="s">
        <v>2203</v>
      </c>
      <c r="D754" t="s">
        <v>2203</v>
      </c>
      <c r="E754" t="s">
        <v>2271</v>
      </c>
    </row>
    <row r="755" spans="1:5" x14ac:dyDescent="0.2">
      <c r="A755" t="s">
        <v>2272</v>
      </c>
      <c r="B755" t="s">
        <v>2273</v>
      </c>
      <c r="C755" t="s">
        <v>2203</v>
      </c>
      <c r="D755" t="s">
        <v>2203</v>
      </c>
      <c r="E755" t="s">
        <v>2274</v>
      </c>
    </row>
    <row r="756" spans="1:5" x14ac:dyDescent="0.2">
      <c r="A756" t="s">
        <v>2275</v>
      </c>
      <c r="B756" t="s">
        <v>2276</v>
      </c>
      <c r="C756" t="s">
        <v>2203</v>
      </c>
      <c r="D756" t="s">
        <v>2203</v>
      </c>
      <c r="E756" t="s">
        <v>2225</v>
      </c>
    </row>
    <row r="757" spans="1:5" x14ac:dyDescent="0.2">
      <c r="A757" t="s">
        <v>2277</v>
      </c>
      <c r="B757" t="s">
        <v>2278</v>
      </c>
      <c r="C757" t="s">
        <v>2203</v>
      </c>
      <c r="D757" t="s">
        <v>2203</v>
      </c>
      <c r="E757" t="s">
        <v>2279</v>
      </c>
    </row>
    <row r="758" spans="1:5" x14ac:dyDescent="0.2">
      <c r="A758" t="s">
        <v>2280</v>
      </c>
      <c r="B758" t="s">
        <v>2281</v>
      </c>
      <c r="C758" t="s">
        <v>2203</v>
      </c>
      <c r="D758" t="s">
        <v>2203</v>
      </c>
      <c r="E758" t="s">
        <v>2282</v>
      </c>
    </row>
    <row r="759" spans="1:5" x14ac:dyDescent="0.2">
      <c r="A759" t="s">
        <v>2283</v>
      </c>
      <c r="B759" t="s">
        <v>2284</v>
      </c>
      <c r="C759" t="s">
        <v>2203</v>
      </c>
      <c r="D759" t="s">
        <v>2203</v>
      </c>
      <c r="E759" t="s">
        <v>2225</v>
      </c>
    </row>
    <row r="760" spans="1:5" x14ac:dyDescent="0.2">
      <c r="A760" t="s">
        <v>2285</v>
      </c>
      <c r="B760" t="s">
        <v>2286</v>
      </c>
      <c r="C760" t="s">
        <v>2203</v>
      </c>
      <c r="D760" t="s">
        <v>2203</v>
      </c>
      <c r="E760" t="s">
        <v>2207</v>
      </c>
    </row>
    <row r="761" spans="1:5" x14ac:dyDescent="0.2">
      <c r="A761" t="s">
        <v>2287</v>
      </c>
      <c r="B761" t="s">
        <v>2288</v>
      </c>
      <c r="C761" t="s">
        <v>2203</v>
      </c>
      <c r="D761" t="s">
        <v>2203</v>
      </c>
      <c r="E761" t="s">
        <v>2289</v>
      </c>
    </row>
    <row r="762" spans="1:5" x14ac:dyDescent="0.2">
      <c r="A762" t="s">
        <v>2290</v>
      </c>
      <c r="B762" t="s">
        <v>2291</v>
      </c>
      <c r="C762" t="s">
        <v>2203</v>
      </c>
      <c r="D762" t="s">
        <v>2203</v>
      </c>
      <c r="E762" t="s">
        <v>2210</v>
      </c>
    </row>
    <row r="763" spans="1:5" x14ac:dyDescent="0.2">
      <c r="A763" t="s">
        <v>2292</v>
      </c>
      <c r="B763" t="s">
        <v>2293</v>
      </c>
      <c r="C763" t="s">
        <v>2203</v>
      </c>
      <c r="D763" t="s">
        <v>2203</v>
      </c>
      <c r="E763" t="s">
        <v>2210</v>
      </c>
    </row>
    <row r="764" spans="1:5" x14ac:dyDescent="0.2">
      <c r="A764" t="s">
        <v>2294</v>
      </c>
      <c r="B764" t="s">
        <v>2295</v>
      </c>
      <c r="C764" t="s">
        <v>2203</v>
      </c>
      <c r="D764" t="s">
        <v>2203</v>
      </c>
      <c r="E764" t="s">
        <v>2213</v>
      </c>
    </row>
    <row r="765" spans="1:5" x14ac:dyDescent="0.2">
      <c r="A765" t="s">
        <v>2296</v>
      </c>
      <c r="B765" t="s">
        <v>2297</v>
      </c>
      <c r="C765" t="s">
        <v>2203</v>
      </c>
      <c r="D765" t="s">
        <v>2203</v>
      </c>
      <c r="E765" t="s">
        <v>2219</v>
      </c>
    </row>
    <row r="766" spans="1:5" x14ac:dyDescent="0.2">
      <c r="A766" t="s">
        <v>2298</v>
      </c>
      <c r="B766" t="s">
        <v>2299</v>
      </c>
      <c r="C766" t="s">
        <v>2203</v>
      </c>
      <c r="D766" t="s">
        <v>2203</v>
      </c>
      <c r="E766" t="s">
        <v>2261</v>
      </c>
    </row>
    <row r="767" spans="1:5" x14ac:dyDescent="0.2">
      <c r="A767" t="s">
        <v>2300</v>
      </c>
      <c r="B767" t="s">
        <v>2301</v>
      </c>
      <c r="C767" t="s">
        <v>2203</v>
      </c>
      <c r="D767" t="s">
        <v>2203</v>
      </c>
      <c r="E767" t="s">
        <v>2302</v>
      </c>
    </row>
    <row r="768" spans="1:5" x14ac:dyDescent="0.2">
      <c r="A768" t="s">
        <v>2303</v>
      </c>
      <c r="B768" t="s">
        <v>2304</v>
      </c>
      <c r="C768" t="s">
        <v>2203</v>
      </c>
      <c r="D768" t="s">
        <v>2203</v>
      </c>
      <c r="E768" t="s">
        <v>2213</v>
      </c>
    </row>
    <row r="769" spans="1:5" x14ac:dyDescent="0.2">
      <c r="A769" t="s">
        <v>2305</v>
      </c>
      <c r="B769" t="s">
        <v>2306</v>
      </c>
      <c r="C769" t="s">
        <v>2203</v>
      </c>
      <c r="D769" t="s">
        <v>2203</v>
      </c>
      <c r="E769" t="s">
        <v>2210</v>
      </c>
    </row>
    <row r="770" spans="1:5" x14ac:dyDescent="0.2">
      <c r="A770" t="s">
        <v>2307</v>
      </c>
      <c r="B770" t="s">
        <v>2308</v>
      </c>
      <c r="C770" t="s">
        <v>2203</v>
      </c>
      <c r="D770" t="s">
        <v>2203</v>
      </c>
      <c r="E770" t="s">
        <v>2264</v>
      </c>
    </row>
    <row r="771" spans="1:5" x14ac:dyDescent="0.2">
      <c r="A771" t="s">
        <v>2309</v>
      </c>
      <c r="B771" t="s">
        <v>2310</v>
      </c>
      <c r="C771" t="s">
        <v>2203</v>
      </c>
      <c r="D771" t="s">
        <v>2203</v>
      </c>
      <c r="E771" t="s">
        <v>2311</v>
      </c>
    </row>
    <row r="772" spans="1:5" x14ac:dyDescent="0.2">
      <c r="A772" t="s">
        <v>2312</v>
      </c>
      <c r="B772" t="s">
        <v>2313</v>
      </c>
      <c r="C772" t="s">
        <v>2203</v>
      </c>
      <c r="D772" t="s">
        <v>2203</v>
      </c>
      <c r="E772" t="s">
        <v>2213</v>
      </c>
    </row>
    <row r="773" spans="1:5" x14ac:dyDescent="0.2">
      <c r="A773" t="s">
        <v>2314</v>
      </c>
      <c r="B773" t="s">
        <v>2315</v>
      </c>
      <c r="C773" t="s">
        <v>2203</v>
      </c>
      <c r="D773" t="s">
        <v>2203</v>
      </c>
      <c r="E773" t="s">
        <v>2274</v>
      </c>
    </row>
    <row r="774" spans="1:5" x14ac:dyDescent="0.2">
      <c r="A774" t="s">
        <v>2316</v>
      </c>
      <c r="B774" t="s">
        <v>2317</v>
      </c>
      <c r="C774" t="s">
        <v>2203</v>
      </c>
      <c r="D774" t="s">
        <v>2203</v>
      </c>
      <c r="E774" t="s">
        <v>2213</v>
      </c>
    </row>
    <row r="775" spans="1:5" x14ac:dyDescent="0.2">
      <c r="A775" t="s">
        <v>2318</v>
      </c>
      <c r="B775" t="s">
        <v>2319</v>
      </c>
      <c r="C775" t="s">
        <v>2203</v>
      </c>
      <c r="D775" t="s">
        <v>2203</v>
      </c>
      <c r="E775" t="s">
        <v>2210</v>
      </c>
    </row>
    <row r="776" spans="1:5" x14ac:dyDescent="0.2">
      <c r="A776" t="s">
        <v>2320</v>
      </c>
      <c r="B776" t="s">
        <v>2321</v>
      </c>
      <c r="C776" t="s">
        <v>2203</v>
      </c>
      <c r="D776" t="s">
        <v>2203</v>
      </c>
      <c r="E776" t="s">
        <v>2225</v>
      </c>
    </row>
    <row r="777" spans="1:5" x14ac:dyDescent="0.2">
      <c r="A777" t="s">
        <v>2322</v>
      </c>
      <c r="B777" t="s">
        <v>2323</v>
      </c>
      <c r="C777" t="s">
        <v>2203</v>
      </c>
      <c r="D777" t="s">
        <v>2203</v>
      </c>
      <c r="E777" t="s">
        <v>2213</v>
      </c>
    </row>
    <row r="778" spans="1:5" x14ac:dyDescent="0.2">
      <c r="A778" t="s">
        <v>2324</v>
      </c>
      <c r="B778" t="s">
        <v>2325</v>
      </c>
      <c r="C778" t="s">
        <v>2203</v>
      </c>
      <c r="D778" t="s">
        <v>2203</v>
      </c>
      <c r="E778" t="s">
        <v>2326</v>
      </c>
    </row>
    <row r="779" spans="1:5" x14ac:dyDescent="0.2">
      <c r="A779" t="s">
        <v>2327</v>
      </c>
      <c r="B779" t="s">
        <v>2328</v>
      </c>
      <c r="C779" t="s">
        <v>2203</v>
      </c>
      <c r="D779" t="s">
        <v>2203</v>
      </c>
      <c r="E779" t="s">
        <v>2329</v>
      </c>
    </row>
    <row r="780" spans="1:5" x14ac:dyDescent="0.2">
      <c r="A780" t="s">
        <v>2330</v>
      </c>
      <c r="B780" t="s">
        <v>2331</v>
      </c>
      <c r="C780" t="s">
        <v>2203</v>
      </c>
      <c r="D780" t="s">
        <v>2203</v>
      </c>
      <c r="E780" t="s">
        <v>2210</v>
      </c>
    </row>
    <row r="781" spans="1:5" x14ac:dyDescent="0.2">
      <c r="A781" t="s">
        <v>2332</v>
      </c>
      <c r="B781" t="s">
        <v>2333</v>
      </c>
      <c r="C781" t="s">
        <v>2203</v>
      </c>
      <c r="D781" t="s">
        <v>2203</v>
      </c>
      <c r="E781" t="s">
        <v>2334</v>
      </c>
    </row>
    <row r="782" spans="1:5" x14ac:dyDescent="0.2">
      <c r="A782" t="s">
        <v>2335</v>
      </c>
      <c r="B782" t="s">
        <v>2336</v>
      </c>
      <c r="C782" t="s">
        <v>2203</v>
      </c>
      <c r="D782" t="s">
        <v>2203</v>
      </c>
      <c r="E782" t="s">
        <v>2289</v>
      </c>
    </row>
    <row r="783" spans="1:5" x14ac:dyDescent="0.2">
      <c r="A783" t="s">
        <v>2337</v>
      </c>
      <c r="B783" t="s">
        <v>2338</v>
      </c>
      <c r="C783" t="s">
        <v>2203</v>
      </c>
      <c r="D783" t="s">
        <v>2203</v>
      </c>
      <c r="E783" t="s">
        <v>2219</v>
      </c>
    </row>
    <row r="784" spans="1:5" x14ac:dyDescent="0.2">
      <c r="A784" t="s">
        <v>2339</v>
      </c>
      <c r="B784" t="s">
        <v>2340</v>
      </c>
      <c r="C784" t="s">
        <v>2203</v>
      </c>
      <c r="D784" t="s">
        <v>2203</v>
      </c>
      <c r="E784" t="s">
        <v>2242</v>
      </c>
    </row>
    <row r="785" spans="1:5" x14ac:dyDescent="0.2">
      <c r="A785" t="s">
        <v>2341</v>
      </c>
      <c r="B785" t="s">
        <v>2342</v>
      </c>
      <c r="C785" t="s">
        <v>2203</v>
      </c>
      <c r="D785" t="s">
        <v>2203</v>
      </c>
      <c r="E785" t="s">
        <v>2343</v>
      </c>
    </row>
    <row r="786" spans="1:5" x14ac:dyDescent="0.2">
      <c r="A786" t="s">
        <v>2344</v>
      </c>
      <c r="B786" t="s">
        <v>2345</v>
      </c>
      <c r="C786" t="s">
        <v>2203</v>
      </c>
      <c r="D786" t="s">
        <v>2203</v>
      </c>
      <c r="E786" t="s">
        <v>2346</v>
      </c>
    </row>
    <row r="787" spans="1:5" x14ac:dyDescent="0.2">
      <c r="A787" t="s">
        <v>2347</v>
      </c>
      <c r="B787" t="s">
        <v>2348</v>
      </c>
      <c r="C787" t="s">
        <v>2203</v>
      </c>
      <c r="D787" t="s">
        <v>2203</v>
      </c>
      <c r="E787" t="s">
        <v>2349</v>
      </c>
    </row>
    <row r="788" spans="1:5" x14ac:dyDescent="0.2">
      <c r="A788" t="s">
        <v>2350</v>
      </c>
      <c r="B788" t="s">
        <v>2351</v>
      </c>
      <c r="C788" t="s">
        <v>2203</v>
      </c>
      <c r="D788" t="s">
        <v>2203</v>
      </c>
      <c r="E788" t="s">
        <v>2233</v>
      </c>
    </row>
    <row r="789" spans="1:5" x14ac:dyDescent="0.2">
      <c r="A789" t="s">
        <v>2352</v>
      </c>
      <c r="B789" t="s">
        <v>2353</v>
      </c>
      <c r="C789" t="s">
        <v>2203</v>
      </c>
      <c r="D789" t="s">
        <v>2203</v>
      </c>
      <c r="E789" t="s">
        <v>2225</v>
      </c>
    </row>
    <row r="790" spans="1:5" x14ac:dyDescent="0.2">
      <c r="A790" t="s">
        <v>2354</v>
      </c>
      <c r="B790" t="s">
        <v>2355</v>
      </c>
      <c r="C790" t="s">
        <v>2203</v>
      </c>
      <c r="D790" t="s">
        <v>2203</v>
      </c>
      <c r="E790" t="s">
        <v>2356</v>
      </c>
    </row>
    <row r="791" spans="1:5" x14ac:dyDescent="0.2">
      <c r="A791" t="s">
        <v>2357</v>
      </c>
      <c r="B791" t="s">
        <v>2358</v>
      </c>
      <c r="C791" t="s">
        <v>2203</v>
      </c>
      <c r="D791" t="s">
        <v>2203</v>
      </c>
      <c r="E791" t="s">
        <v>2261</v>
      </c>
    </row>
    <row r="792" spans="1:5" x14ac:dyDescent="0.2">
      <c r="A792" t="s">
        <v>2359</v>
      </c>
      <c r="B792" t="s">
        <v>2360</v>
      </c>
      <c r="C792" t="s">
        <v>2203</v>
      </c>
      <c r="D792" t="s">
        <v>2203</v>
      </c>
      <c r="E792" t="s">
        <v>2261</v>
      </c>
    </row>
    <row r="793" spans="1:5" x14ac:dyDescent="0.2">
      <c r="A793" t="s">
        <v>2361</v>
      </c>
      <c r="B793" t="s">
        <v>2362</v>
      </c>
      <c r="C793" t="s">
        <v>2203</v>
      </c>
      <c r="D793" t="s">
        <v>2203</v>
      </c>
      <c r="E793" t="s">
        <v>2230</v>
      </c>
    </row>
    <row r="794" spans="1:5" x14ac:dyDescent="0.2">
      <c r="A794" t="s">
        <v>2363</v>
      </c>
      <c r="B794" t="s">
        <v>2364</v>
      </c>
      <c r="C794" t="s">
        <v>2203</v>
      </c>
      <c r="D794" t="s">
        <v>2203</v>
      </c>
      <c r="E794" t="s">
        <v>2365</v>
      </c>
    </row>
    <row r="795" spans="1:5" x14ac:dyDescent="0.2">
      <c r="A795" t="s">
        <v>2366</v>
      </c>
      <c r="B795" t="s">
        <v>2367</v>
      </c>
      <c r="C795" t="s">
        <v>2203</v>
      </c>
      <c r="D795" t="s">
        <v>2203</v>
      </c>
      <c r="E795" t="s">
        <v>2274</v>
      </c>
    </row>
    <row r="796" spans="1:5" x14ac:dyDescent="0.2">
      <c r="A796" t="s">
        <v>2368</v>
      </c>
      <c r="B796" t="s">
        <v>2369</v>
      </c>
      <c r="C796" t="s">
        <v>2203</v>
      </c>
      <c r="D796" t="s">
        <v>2203</v>
      </c>
      <c r="E796" t="s">
        <v>2370</v>
      </c>
    </row>
    <row r="797" spans="1:5" x14ac:dyDescent="0.2">
      <c r="A797" t="s">
        <v>2371</v>
      </c>
      <c r="B797" t="s">
        <v>2372</v>
      </c>
      <c r="C797" t="s">
        <v>2203</v>
      </c>
      <c r="D797" t="s">
        <v>2203</v>
      </c>
      <c r="E797" t="s">
        <v>2373</v>
      </c>
    </row>
    <row r="798" spans="1:5" x14ac:dyDescent="0.2">
      <c r="A798" t="s">
        <v>2374</v>
      </c>
      <c r="B798" t="s">
        <v>2375</v>
      </c>
      <c r="C798" t="s">
        <v>2203</v>
      </c>
      <c r="D798" t="s">
        <v>2203</v>
      </c>
      <c r="E798" t="s">
        <v>2376</v>
      </c>
    </row>
    <row r="799" spans="1:5" x14ac:dyDescent="0.2">
      <c r="A799" t="s">
        <v>2377</v>
      </c>
      <c r="B799" t="s">
        <v>2378</v>
      </c>
      <c r="C799" t="s">
        <v>2203</v>
      </c>
      <c r="D799" t="s">
        <v>2203</v>
      </c>
      <c r="E799" t="s">
        <v>2225</v>
      </c>
    </row>
    <row r="800" spans="1:5" x14ac:dyDescent="0.2">
      <c r="A800" t="s">
        <v>2379</v>
      </c>
      <c r="B800" t="s">
        <v>2380</v>
      </c>
      <c r="C800" t="s">
        <v>2203</v>
      </c>
      <c r="D800" t="s">
        <v>2203</v>
      </c>
      <c r="E800" t="s">
        <v>2225</v>
      </c>
    </row>
    <row r="801" spans="1:5" x14ac:dyDescent="0.2">
      <c r="A801" t="s">
        <v>2381</v>
      </c>
      <c r="B801" t="s">
        <v>2382</v>
      </c>
      <c r="C801" t="s">
        <v>2203</v>
      </c>
      <c r="D801" t="s">
        <v>2203</v>
      </c>
      <c r="E801" t="s">
        <v>2255</v>
      </c>
    </row>
    <row r="802" spans="1:5" x14ac:dyDescent="0.2">
      <c r="A802" t="s">
        <v>2383</v>
      </c>
      <c r="B802" t="s">
        <v>2384</v>
      </c>
      <c r="C802" t="s">
        <v>2203</v>
      </c>
      <c r="D802" t="s">
        <v>2203</v>
      </c>
      <c r="E802" t="s">
        <v>2385</v>
      </c>
    </row>
    <row r="803" spans="1:5" x14ac:dyDescent="0.2">
      <c r="A803" t="s">
        <v>2386</v>
      </c>
      <c r="B803" t="s">
        <v>2387</v>
      </c>
      <c r="C803" t="s">
        <v>2203</v>
      </c>
      <c r="D803" t="s">
        <v>2203</v>
      </c>
      <c r="E803" t="s">
        <v>2302</v>
      </c>
    </row>
    <row r="804" spans="1:5" x14ac:dyDescent="0.2">
      <c r="A804" t="s">
        <v>2388</v>
      </c>
      <c r="B804" t="s">
        <v>2389</v>
      </c>
      <c r="C804" t="s">
        <v>2203</v>
      </c>
      <c r="D804" t="s">
        <v>2203</v>
      </c>
      <c r="E804" t="s">
        <v>2385</v>
      </c>
    </row>
    <row r="805" spans="1:5" x14ac:dyDescent="0.2">
      <c r="A805" t="s">
        <v>2390</v>
      </c>
      <c r="B805" t="s">
        <v>2391</v>
      </c>
      <c r="C805" t="s">
        <v>2203</v>
      </c>
      <c r="D805" t="s">
        <v>2203</v>
      </c>
      <c r="E805" t="s">
        <v>2219</v>
      </c>
    </row>
    <row r="806" spans="1:5" x14ac:dyDescent="0.2">
      <c r="A806" t="s">
        <v>2392</v>
      </c>
      <c r="B806" t="s">
        <v>2393</v>
      </c>
      <c r="C806" t="s">
        <v>2203</v>
      </c>
      <c r="D806" t="s">
        <v>2203</v>
      </c>
      <c r="E806" t="s">
        <v>2311</v>
      </c>
    </row>
    <row r="807" spans="1:5" x14ac:dyDescent="0.2">
      <c r="A807" t="s">
        <v>2394</v>
      </c>
      <c r="B807" t="s">
        <v>2395</v>
      </c>
      <c r="C807" t="s">
        <v>2203</v>
      </c>
      <c r="D807" t="s">
        <v>2203</v>
      </c>
      <c r="E807" t="s">
        <v>2396</v>
      </c>
    </row>
    <row r="808" spans="1:5" x14ac:dyDescent="0.2">
      <c r="A808" t="s">
        <v>2397</v>
      </c>
      <c r="B808" t="s">
        <v>2398</v>
      </c>
      <c r="C808" t="s">
        <v>2203</v>
      </c>
      <c r="D808" t="s">
        <v>2203</v>
      </c>
      <c r="E808" t="s">
        <v>2261</v>
      </c>
    </row>
    <row r="809" spans="1:5" x14ac:dyDescent="0.2">
      <c r="A809" t="s">
        <v>2399</v>
      </c>
      <c r="B809" t="s">
        <v>2400</v>
      </c>
      <c r="C809" t="s">
        <v>2203</v>
      </c>
      <c r="D809" t="s">
        <v>2203</v>
      </c>
      <c r="E809" t="s">
        <v>2213</v>
      </c>
    </row>
    <row r="810" spans="1:5" x14ac:dyDescent="0.2">
      <c r="A810" t="s">
        <v>2401</v>
      </c>
      <c r="B810" t="s">
        <v>2402</v>
      </c>
      <c r="C810" t="s">
        <v>2203</v>
      </c>
      <c r="D810" t="s">
        <v>2203</v>
      </c>
      <c r="E810" t="s">
        <v>2219</v>
      </c>
    </row>
    <row r="811" spans="1:5" x14ac:dyDescent="0.2">
      <c r="A811" t="s">
        <v>2403</v>
      </c>
      <c r="B811" t="s">
        <v>2404</v>
      </c>
      <c r="C811" t="s">
        <v>2203</v>
      </c>
      <c r="D811" t="s">
        <v>2203</v>
      </c>
      <c r="E811" t="s">
        <v>2213</v>
      </c>
    </row>
    <row r="812" spans="1:5" x14ac:dyDescent="0.2">
      <c r="A812" t="s">
        <v>2405</v>
      </c>
      <c r="B812" t="s">
        <v>2406</v>
      </c>
      <c r="C812" t="s">
        <v>2203</v>
      </c>
      <c r="D812" t="s">
        <v>2203</v>
      </c>
      <c r="E812" t="s">
        <v>2213</v>
      </c>
    </row>
    <row r="813" spans="1:5" x14ac:dyDescent="0.2">
      <c r="A813" t="s">
        <v>2407</v>
      </c>
      <c r="B813" t="s">
        <v>2408</v>
      </c>
      <c r="C813" t="s">
        <v>2203</v>
      </c>
      <c r="D813" t="s">
        <v>2203</v>
      </c>
      <c r="E813" t="s">
        <v>2329</v>
      </c>
    </row>
    <row r="814" spans="1:5" x14ac:dyDescent="0.2">
      <c r="A814" t="s">
        <v>2409</v>
      </c>
      <c r="B814" t="s">
        <v>2410</v>
      </c>
      <c r="C814" t="s">
        <v>2203</v>
      </c>
      <c r="D814" t="s">
        <v>2203</v>
      </c>
      <c r="E814" t="s">
        <v>2411</v>
      </c>
    </row>
    <row r="815" spans="1:5" x14ac:dyDescent="0.2">
      <c r="A815" t="s">
        <v>2412</v>
      </c>
      <c r="B815" t="s">
        <v>2413</v>
      </c>
      <c r="C815" t="s">
        <v>2203</v>
      </c>
      <c r="D815" t="s">
        <v>2203</v>
      </c>
      <c r="E815" t="s">
        <v>2225</v>
      </c>
    </row>
    <row r="816" spans="1:5" x14ac:dyDescent="0.2">
      <c r="A816" t="s">
        <v>2414</v>
      </c>
      <c r="B816" t="s">
        <v>2415</v>
      </c>
      <c r="C816" t="s">
        <v>2203</v>
      </c>
      <c r="D816" t="s">
        <v>2203</v>
      </c>
      <c r="E816" t="s">
        <v>2219</v>
      </c>
    </row>
    <row r="817" spans="1:5" x14ac:dyDescent="0.2">
      <c r="A817" t="s">
        <v>2416</v>
      </c>
      <c r="B817" t="s">
        <v>2417</v>
      </c>
      <c r="C817" t="s">
        <v>2203</v>
      </c>
      <c r="D817" t="s">
        <v>2203</v>
      </c>
      <c r="E817" t="s">
        <v>2210</v>
      </c>
    </row>
    <row r="818" spans="1:5" x14ac:dyDescent="0.2">
      <c r="A818" t="s">
        <v>2418</v>
      </c>
      <c r="B818" t="s">
        <v>2419</v>
      </c>
      <c r="C818" t="s">
        <v>2203</v>
      </c>
      <c r="D818" t="s">
        <v>2203</v>
      </c>
      <c r="E818" t="s">
        <v>2356</v>
      </c>
    </row>
    <row r="819" spans="1:5" x14ac:dyDescent="0.2">
      <c r="A819" t="s">
        <v>2420</v>
      </c>
      <c r="B819" t="s">
        <v>2421</v>
      </c>
      <c r="C819" t="s">
        <v>2203</v>
      </c>
      <c r="D819" t="s">
        <v>2203</v>
      </c>
      <c r="E819" t="s">
        <v>2213</v>
      </c>
    </row>
    <row r="820" spans="1:5" x14ac:dyDescent="0.2">
      <c r="A820" t="s">
        <v>2422</v>
      </c>
      <c r="B820" t="s">
        <v>2423</v>
      </c>
      <c r="C820" t="s">
        <v>2203</v>
      </c>
      <c r="D820" t="s">
        <v>2203</v>
      </c>
      <c r="E820" t="s">
        <v>2219</v>
      </c>
    </row>
    <row r="821" spans="1:5" x14ac:dyDescent="0.2">
      <c r="A821" t="s">
        <v>2424</v>
      </c>
      <c r="B821" t="s">
        <v>2425</v>
      </c>
      <c r="C821" t="s">
        <v>2203</v>
      </c>
      <c r="D821" t="s">
        <v>2203</v>
      </c>
      <c r="E821" t="s">
        <v>2261</v>
      </c>
    </row>
    <row r="822" spans="1:5" x14ac:dyDescent="0.2">
      <c r="A822" t="s">
        <v>2426</v>
      </c>
      <c r="B822" t="s">
        <v>2427</v>
      </c>
      <c r="C822" t="s">
        <v>2203</v>
      </c>
      <c r="D822" t="s">
        <v>2203</v>
      </c>
      <c r="E822" t="s">
        <v>2239</v>
      </c>
    </row>
    <row r="823" spans="1:5" x14ac:dyDescent="0.2">
      <c r="A823" t="s">
        <v>2428</v>
      </c>
      <c r="B823" t="s">
        <v>2429</v>
      </c>
      <c r="C823" t="s">
        <v>2203</v>
      </c>
      <c r="D823" t="s">
        <v>2203</v>
      </c>
      <c r="E823" t="s">
        <v>2219</v>
      </c>
    </row>
    <row r="824" spans="1:5" x14ac:dyDescent="0.2">
      <c r="A824" t="s">
        <v>2430</v>
      </c>
      <c r="B824" t="s">
        <v>2431</v>
      </c>
      <c r="C824" t="s">
        <v>2203</v>
      </c>
      <c r="D824" t="s">
        <v>2203</v>
      </c>
      <c r="E824" t="s">
        <v>2432</v>
      </c>
    </row>
    <row r="825" spans="1:5" x14ac:dyDescent="0.2">
      <c r="A825" t="s">
        <v>2433</v>
      </c>
      <c r="B825" t="s">
        <v>2434</v>
      </c>
      <c r="C825" t="s">
        <v>2203</v>
      </c>
      <c r="D825" t="s">
        <v>2203</v>
      </c>
      <c r="E825" t="s">
        <v>2435</v>
      </c>
    </row>
    <row r="826" spans="1:5" x14ac:dyDescent="0.2">
      <c r="A826" t="s">
        <v>2436</v>
      </c>
      <c r="B826" t="s">
        <v>2437</v>
      </c>
      <c r="C826" t="s">
        <v>2203</v>
      </c>
      <c r="D826" t="s">
        <v>2203</v>
      </c>
      <c r="E826" t="s">
        <v>2210</v>
      </c>
    </row>
    <row r="827" spans="1:5" x14ac:dyDescent="0.2">
      <c r="A827" t="s">
        <v>2438</v>
      </c>
      <c r="B827" t="s">
        <v>2439</v>
      </c>
      <c r="C827" t="s">
        <v>2203</v>
      </c>
      <c r="D827" t="s">
        <v>2203</v>
      </c>
      <c r="E827" t="s">
        <v>2261</v>
      </c>
    </row>
    <row r="828" spans="1:5" x14ac:dyDescent="0.2">
      <c r="A828" t="s">
        <v>2440</v>
      </c>
      <c r="B828" t="s">
        <v>2441</v>
      </c>
      <c r="C828" t="s">
        <v>2203</v>
      </c>
      <c r="D828" t="s">
        <v>2203</v>
      </c>
      <c r="E828" t="s">
        <v>2210</v>
      </c>
    </row>
    <row r="829" spans="1:5" x14ac:dyDescent="0.2">
      <c r="A829" t="s">
        <v>2442</v>
      </c>
      <c r="B829" t="s">
        <v>2443</v>
      </c>
      <c r="C829" t="s">
        <v>2203</v>
      </c>
      <c r="D829" t="s">
        <v>2203</v>
      </c>
      <c r="E829" t="s">
        <v>2219</v>
      </c>
    </row>
    <row r="830" spans="1:5" x14ac:dyDescent="0.2">
      <c r="A830" t="s">
        <v>2444</v>
      </c>
      <c r="B830" t="s">
        <v>2445</v>
      </c>
      <c r="C830" t="s">
        <v>2203</v>
      </c>
      <c r="D830" t="s">
        <v>2203</v>
      </c>
      <c r="E830" t="s">
        <v>2261</v>
      </c>
    </row>
    <row r="831" spans="1:5" x14ac:dyDescent="0.2">
      <c r="A831" t="s">
        <v>2446</v>
      </c>
      <c r="B831" t="s">
        <v>2447</v>
      </c>
      <c r="C831" t="s">
        <v>2203</v>
      </c>
      <c r="D831" t="s">
        <v>2203</v>
      </c>
      <c r="E831" t="s">
        <v>2370</v>
      </c>
    </row>
    <row r="832" spans="1:5" x14ac:dyDescent="0.2">
      <c r="A832" t="s">
        <v>2448</v>
      </c>
      <c r="B832" t="s">
        <v>2449</v>
      </c>
      <c r="C832" t="s">
        <v>2203</v>
      </c>
      <c r="D832" t="s">
        <v>2203</v>
      </c>
      <c r="E832" t="s">
        <v>2213</v>
      </c>
    </row>
    <row r="833" spans="1:5" x14ac:dyDescent="0.2">
      <c r="A833" t="s">
        <v>2450</v>
      </c>
      <c r="B833" t="s">
        <v>2451</v>
      </c>
      <c r="C833" t="s">
        <v>2203</v>
      </c>
      <c r="D833" t="s">
        <v>2203</v>
      </c>
      <c r="E833" t="s">
        <v>2213</v>
      </c>
    </row>
    <row r="834" spans="1:5" x14ac:dyDescent="0.2">
      <c r="A834" t="s">
        <v>2452</v>
      </c>
      <c r="B834" t="s">
        <v>2453</v>
      </c>
      <c r="C834" t="s">
        <v>2203</v>
      </c>
      <c r="D834" t="s">
        <v>2203</v>
      </c>
      <c r="E834" t="s">
        <v>2454</v>
      </c>
    </row>
    <row r="835" spans="1:5" x14ac:dyDescent="0.2">
      <c r="A835" t="s">
        <v>2455</v>
      </c>
      <c r="B835" t="s">
        <v>2456</v>
      </c>
      <c r="C835" t="s">
        <v>2203</v>
      </c>
      <c r="D835" t="s">
        <v>2203</v>
      </c>
      <c r="E835" t="s">
        <v>2457</v>
      </c>
    </row>
    <row r="836" spans="1:5" x14ac:dyDescent="0.2">
      <c r="A836" t="s">
        <v>2458</v>
      </c>
      <c r="B836" t="s">
        <v>2459</v>
      </c>
      <c r="C836" t="s">
        <v>2203</v>
      </c>
      <c r="D836" t="s">
        <v>2203</v>
      </c>
      <c r="E836" t="s">
        <v>2311</v>
      </c>
    </row>
    <row r="837" spans="1:5" x14ac:dyDescent="0.2">
      <c r="A837" t="s">
        <v>2460</v>
      </c>
      <c r="B837" t="s">
        <v>2461</v>
      </c>
      <c r="C837" t="s">
        <v>2203</v>
      </c>
      <c r="D837" t="s">
        <v>2203</v>
      </c>
      <c r="E837" t="s">
        <v>2396</v>
      </c>
    </row>
    <row r="838" spans="1:5" x14ac:dyDescent="0.2">
      <c r="A838" t="s">
        <v>2462</v>
      </c>
      <c r="B838" t="s">
        <v>2463</v>
      </c>
      <c r="C838" t="s">
        <v>2203</v>
      </c>
      <c r="D838" t="s">
        <v>2203</v>
      </c>
      <c r="E838" t="s">
        <v>2464</v>
      </c>
    </row>
    <row r="839" spans="1:5" x14ac:dyDescent="0.2">
      <c r="A839" t="s">
        <v>2465</v>
      </c>
      <c r="B839" t="s">
        <v>2466</v>
      </c>
      <c r="C839" t="s">
        <v>2203</v>
      </c>
      <c r="D839" t="s">
        <v>2203</v>
      </c>
      <c r="E839" t="s">
        <v>2435</v>
      </c>
    </row>
    <row r="840" spans="1:5" x14ac:dyDescent="0.2">
      <c r="A840" t="s">
        <v>2467</v>
      </c>
      <c r="B840" t="s">
        <v>2468</v>
      </c>
      <c r="C840" t="s">
        <v>2203</v>
      </c>
      <c r="D840" t="s">
        <v>2203</v>
      </c>
      <c r="E840" t="s">
        <v>2210</v>
      </c>
    </row>
    <row r="841" spans="1:5" x14ac:dyDescent="0.2">
      <c r="A841" t="s">
        <v>2469</v>
      </c>
      <c r="B841" t="s">
        <v>2470</v>
      </c>
      <c r="C841" t="s">
        <v>2203</v>
      </c>
      <c r="D841" t="s">
        <v>2203</v>
      </c>
      <c r="E841" t="s">
        <v>2219</v>
      </c>
    </row>
    <row r="842" spans="1:5" x14ac:dyDescent="0.2">
      <c r="A842" t="s">
        <v>2471</v>
      </c>
      <c r="B842" t="s">
        <v>2472</v>
      </c>
      <c r="C842" t="s">
        <v>2203</v>
      </c>
      <c r="D842" t="s">
        <v>2203</v>
      </c>
      <c r="E842" t="s">
        <v>2225</v>
      </c>
    </row>
    <row r="843" spans="1:5" x14ac:dyDescent="0.2">
      <c r="A843" t="s">
        <v>2473</v>
      </c>
      <c r="B843" t="s">
        <v>2474</v>
      </c>
      <c r="C843" t="s">
        <v>2203</v>
      </c>
      <c r="D843" t="s">
        <v>2203</v>
      </c>
      <c r="E843" t="s">
        <v>2356</v>
      </c>
    </row>
    <row r="844" spans="1:5" x14ac:dyDescent="0.2">
      <c r="A844" t="s">
        <v>2475</v>
      </c>
      <c r="B844" t="s">
        <v>2476</v>
      </c>
      <c r="C844" t="s">
        <v>2203</v>
      </c>
      <c r="D844" t="s">
        <v>2203</v>
      </c>
      <c r="E844" t="s">
        <v>2477</v>
      </c>
    </row>
    <row r="845" spans="1:5" x14ac:dyDescent="0.2">
      <c r="A845" t="s">
        <v>2478</v>
      </c>
      <c r="B845" t="s">
        <v>2479</v>
      </c>
      <c r="C845" t="s">
        <v>2203</v>
      </c>
      <c r="D845" t="s">
        <v>2203</v>
      </c>
      <c r="E845" t="s">
        <v>2213</v>
      </c>
    </row>
    <row r="846" spans="1:5" x14ac:dyDescent="0.2">
      <c r="A846" t="s">
        <v>2480</v>
      </c>
      <c r="B846" t="s">
        <v>2481</v>
      </c>
      <c r="C846" t="s">
        <v>2203</v>
      </c>
      <c r="D846" t="s">
        <v>2203</v>
      </c>
      <c r="E846" t="s">
        <v>2225</v>
      </c>
    </row>
    <row r="847" spans="1:5" x14ac:dyDescent="0.2">
      <c r="A847" t="s">
        <v>2482</v>
      </c>
      <c r="B847" t="s">
        <v>2483</v>
      </c>
      <c r="C847" t="s">
        <v>2203</v>
      </c>
      <c r="D847" t="s">
        <v>2203</v>
      </c>
      <c r="E847" t="s">
        <v>2329</v>
      </c>
    </row>
    <row r="848" spans="1:5" x14ac:dyDescent="0.2">
      <c r="A848" t="s">
        <v>2484</v>
      </c>
      <c r="B848" t="s">
        <v>2485</v>
      </c>
      <c r="C848" t="s">
        <v>2486</v>
      </c>
      <c r="D848" t="s">
        <v>2486</v>
      </c>
      <c r="E848" t="s">
        <v>2487</v>
      </c>
    </row>
    <row r="849" spans="1:5" x14ac:dyDescent="0.2">
      <c r="A849" t="s">
        <v>2488</v>
      </c>
      <c r="B849" t="s">
        <v>2489</v>
      </c>
      <c r="C849" t="s">
        <v>2486</v>
      </c>
      <c r="D849" t="s">
        <v>2486</v>
      </c>
      <c r="E849" t="s">
        <v>2490</v>
      </c>
    </row>
    <row r="850" spans="1:5" x14ac:dyDescent="0.2">
      <c r="A850" t="s">
        <v>2491</v>
      </c>
      <c r="B850" t="s">
        <v>2492</v>
      </c>
      <c r="C850" t="s">
        <v>2486</v>
      </c>
      <c r="D850" t="s">
        <v>2486</v>
      </c>
      <c r="E850" t="s">
        <v>2493</v>
      </c>
    </row>
    <row r="851" spans="1:5" x14ac:dyDescent="0.2">
      <c r="A851" t="s">
        <v>2494</v>
      </c>
      <c r="B851" t="s">
        <v>2495</v>
      </c>
      <c r="C851" t="s">
        <v>2486</v>
      </c>
      <c r="D851" t="s">
        <v>2486</v>
      </c>
      <c r="E851" t="s">
        <v>2496</v>
      </c>
    </row>
    <row r="852" spans="1:5" x14ac:dyDescent="0.2">
      <c r="A852" t="s">
        <v>2497</v>
      </c>
      <c r="B852" t="s">
        <v>2498</v>
      </c>
      <c r="C852" t="s">
        <v>2486</v>
      </c>
      <c r="D852" t="s">
        <v>2486</v>
      </c>
      <c r="E852" t="s">
        <v>2499</v>
      </c>
    </row>
    <row r="853" spans="1:5" x14ac:dyDescent="0.2">
      <c r="A853" t="s">
        <v>2500</v>
      </c>
      <c r="B853" t="s">
        <v>2501</v>
      </c>
      <c r="C853" t="s">
        <v>2486</v>
      </c>
      <c r="D853" t="s">
        <v>2486</v>
      </c>
      <c r="E853" t="s">
        <v>2502</v>
      </c>
    </row>
    <row r="854" spans="1:5" x14ac:dyDescent="0.2">
      <c r="A854" t="s">
        <v>2503</v>
      </c>
      <c r="B854" t="s">
        <v>2504</v>
      </c>
      <c r="C854" t="s">
        <v>2486</v>
      </c>
      <c r="D854" t="s">
        <v>2486</v>
      </c>
      <c r="E854" t="s">
        <v>2505</v>
      </c>
    </row>
    <row r="855" spans="1:5" x14ac:dyDescent="0.2">
      <c r="A855" t="s">
        <v>2506</v>
      </c>
      <c r="B855" t="s">
        <v>2507</v>
      </c>
      <c r="C855" t="s">
        <v>2486</v>
      </c>
      <c r="D855" t="s">
        <v>2486</v>
      </c>
      <c r="E855" t="s">
        <v>2508</v>
      </c>
    </row>
    <row r="856" spans="1:5" x14ac:dyDescent="0.2">
      <c r="A856" t="s">
        <v>2509</v>
      </c>
      <c r="B856" t="s">
        <v>2510</v>
      </c>
      <c r="C856" t="s">
        <v>2486</v>
      </c>
      <c r="D856" t="s">
        <v>2486</v>
      </c>
      <c r="E856" t="s">
        <v>2505</v>
      </c>
    </row>
    <row r="857" spans="1:5" x14ac:dyDescent="0.2">
      <c r="A857" t="s">
        <v>2511</v>
      </c>
      <c r="B857" t="s">
        <v>2512</v>
      </c>
      <c r="C857" t="s">
        <v>2486</v>
      </c>
      <c r="D857" t="s">
        <v>2486</v>
      </c>
      <c r="E857" t="s">
        <v>2513</v>
      </c>
    </row>
    <row r="858" spans="1:5" x14ac:dyDescent="0.2">
      <c r="A858" t="s">
        <v>2514</v>
      </c>
      <c r="B858" t="s">
        <v>2515</v>
      </c>
      <c r="C858" t="s">
        <v>2486</v>
      </c>
      <c r="D858" t="s">
        <v>2486</v>
      </c>
      <c r="E858" t="s">
        <v>2490</v>
      </c>
    </row>
    <row r="859" spans="1:5" x14ac:dyDescent="0.2">
      <c r="A859" t="s">
        <v>2516</v>
      </c>
      <c r="B859" t="s">
        <v>2517</v>
      </c>
      <c r="C859" t="s">
        <v>2486</v>
      </c>
      <c r="D859" t="s">
        <v>2486</v>
      </c>
      <c r="E859" t="s">
        <v>2518</v>
      </c>
    </row>
    <row r="860" spans="1:5" x14ac:dyDescent="0.2">
      <c r="A860" t="s">
        <v>2519</v>
      </c>
      <c r="B860" t="s">
        <v>2520</v>
      </c>
      <c r="C860" t="s">
        <v>2486</v>
      </c>
      <c r="D860" t="s">
        <v>2486</v>
      </c>
      <c r="E860" t="s">
        <v>2521</v>
      </c>
    </row>
    <row r="861" spans="1:5" x14ac:dyDescent="0.2">
      <c r="A861" t="s">
        <v>2522</v>
      </c>
      <c r="B861" t="s">
        <v>2523</v>
      </c>
      <c r="C861" t="s">
        <v>2486</v>
      </c>
      <c r="D861" t="s">
        <v>2486</v>
      </c>
      <c r="E861" t="s">
        <v>2524</v>
      </c>
    </row>
    <row r="862" spans="1:5" x14ac:dyDescent="0.2">
      <c r="A862" t="s">
        <v>2525</v>
      </c>
      <c r="B862" t="s">
        <v>2526</v>
      </c>
      <c r="C862" t="s">
        <v>2486</v>
      </c>
      <c r="D862" t="s">
        <v>2486</v>
      </c>
      <c r="E862" t="s">
        <v>2505</v>
      </c>
    </row>
    <row r="863" spans="1:5" x14ac:dyDescent="0.2">
      <c r="A863" t="s">
        <v>2527</v>
      </c>
      <c r="B863" t="s">
        <v>2528</v>
      </c>
      <c r="C863" t="s">
        <v>2486</v>
      </c>
      <c r="D863" t="s">
        <v>2486</v>
      </c>
      <c r="E863" t="s">
        <v>2529</v>
      </c>
    </row>
    <row r="864" spans="1:5" x14ac:dyDescent="0.2">
      <c r="A864" t="s">
        <v>2530</v>
      </c>
      <c r="B864" t="s">
        <v>2531</v>
      </c>
      <c r="C864" t="s">
        <v>2486</v>
      </c>
      <c r="D864" t="s">
        <v>2486</v>
      </c>
      <c r="E864" t="s">
        <v>2490</v>
      </c>
    </row>
    <row r="865" spans="1:5" x14ac:dyDescent="0.2">
      <c r="A865" t="s">
        <v>2532</v>
      </c>
      <c r="B865" t="s">
        <v>2533</v>
      </c>
      <c r="C865" t="s">
        <v>2486</v>
      </c>
      <c r="D865" t="s">
        <v>2486</v>
      </c>
      <c r="E865" t="s">
        <v>2534</v>
      </c>
    </row>
    <row r="866" spans="1:5" x14ac:dyDescent="0.2">
      <c r="A866" t="s">
        <v>2535</v>
      </c>
      <c r="B866" t="s">
        <v>2536</v>
      </c>
      <c r="C866" t="s">
        <v>2486</v>
      </c>
      <c r="D866" t="s">
        <v>2486</v>
      </c>
      <c r="E866" t="s">
        <v>2537</v>
      </c>
    </row>
    <row r="867" spans="1:5" x14ac:dyDescent="0.2">
      <c r="A867" t="s">
        <v>2538</v>
      </c>
      <c r="B867" t="s">
        <v>2539</v>
      </c>
      <c r="C867" t="s">
        <v>2486</v>
      </c>
      <c r="D867" t="s">
        <v>2486</v>
      </c>
      <c r="E867" t="s">
        <v>2540</v>
      </c>
    </row>
    <row r="868" spans="1:5" x14ac:dyDescent="0.2">
      <c r="A868" t="s">
        <v>2541</v>
      </c>
      <c r="B868" t="s">
        <v>2542</v>
      </c>
      <c r="C868" t="s">
        <v>2486</v>
      </c>
      <c r="D868" t="s">
        <v>2486</v>
      </c>
      <c r="E868" t="s">
        <v>2490</v>
      </c>
    </row>
    <row r="869" spans="1:5" x14ac:dyDescent="0.2">
      <c r="A869" t="s">
        <v>2543</v>
      </c>
      <c r="B869" t="s">
        <v>2544</v>
      </c>
      <c r="C869" t="s">
        <v>2486</v>
      </c>
      <c r="D869" t="s">
        <v>2486</v>
      </c>
      <c r="E869" t="s">
        <v>2545</v>
      </c>
    </row>
    <row r="870" spans="1:5" x14ac:dyDescent="0.2">
      <c r="A870" t="s">
        <v>2546</v>
      </c>
      <c r="B870" t="s">
        <v>2547</v>
      </c>
      <c r="C870" t="s">
        <v>2486</v>
      </c>
      <c r="D870" t="s">
        <v>2486</v>
      </c>
      <c r="E870" t="s">
        <v>2505</v>
      </c>
    </row>
    <row r="871" spans="1:5" x14ac:dyDescent="0.2">
      <c r="A871" t="s">
        <v>2548</v>
      </c>
      <c r="B871" t="s">
        <v>2549</v>
      </c>
      <c r="C871" t="s">
        <v>2486</v>
      </c>
      <c r="D871" t="s">
        <v>2486</v>
      </c>
      <c r="E871" t="s">
        <v>2490</v>
      </c>
    </row>
    <row r="872" spans="1:5" x14ac:dyDescent="0.2">
      <c r="A872" t="s">
        <v>2550</v>
      </c>
      <c r="B872" t="s">
        <v>2551</v>
      </c>
      <c r="C872" t="s">
        <v>2486</v>
      </c>
      <c r="D872" t="s">
        <v>2486</v>
      </c>
      <c r="E872" t="s">
        <v>2552</v>
      </c>
    </row>
    <row r="873" spans="1:5" x14ac:dyDescent="0.2">
      <c r="A873" t="s">
        <v>2553</v>
      </c>
      <c r="B873" t="s">
        <v>2554</v>
      </c>
      <c r="C873" t="s">
        <v>2486</v>
      </c>
      <c r="D873" t="s">
        <v>2486</v>
      </c>
      <c r="E873" t="s">
        <v>2555</v>
      </c>
    </row>
    <row r="874" spans="1:5" x14ac:dyDescent="0.2">
      <c r="A874" t="s">
        <v>2556</v>
      </c>
      <c r="B874" t="s">
        <v>2557</v>
      </c>
      <c r="C874" t="s">
        <v>2486</v>
      </c>
      <c r="D874" t="s">
        <v>2486</v>
      </c>
      <c r="E874" t="s">
        <v>2490</v>
      </c>
    </row>
    <row r="875" spans="1:5" x14ac:dyDescent="0.2">
      <c r="A875" t="s">
        <v>2558</v>
      </c>
      <c r="B875" t="s">
        <v>2559</v>
      </c>
      <c r="C875" t="s">
        <v>2486</v>
      </c>
      <c r="D875" t="s">
        <v>2486</v>
      </c>
      <c r="E875" t="s">
        <v>2490</v>
      </c>
    </row>
    <row r="876" spans="1:5" x14ac:dyDescent="0.2">
      <c r="A876" t="s">
        <v>2560</v>
      </c>
      <c r="B876" t="s">
        <v>2561</v>
      </c>
      <c r="C876" t="s">
        <v>2486</v>
      </c>
      <c r="D876" t="s">
        <v>2486</v>
      </c>
      <c r="E876" t="s">
        <v>2505</v>
      </c>
    </row>
    <row r="877" spans="1:5" x14ac:dyDescent="0.2">
      <c r="A877" t="s">
        <v>2562</v>
      </c>
      <c r="B877" t="s">
        <v>2563</v>
      </c>
      <c r="C877" t="s">
        <v>2486</v>
      </c>
      <c r="D877" t="s">
        <v>2486</v>
      </c>
      <c r="E877" t="s">
        <v>2564</v>
      </c>
    </row>
    <row r="878" spans="1:5" x14ac:dyDescent="0.2">
      <c r="A878" t="s">
        <v>2565</v>
      </c>
      <c r="B878" t="s">
        <v>2566</v>
      </c>
      <c r="C878" t="s">
        <v>2486</v>
      </c>
      <c r="D878" t="s">
        <v>2486</v>
      </c>
      <c r="E878" t="s">
        <v>2567</v>
      </c>
    </row>
    <row r="879" spans="1:5" x14ac:dyDescent="0.2">
      <c r="A879" t="s">
        <v>2568</v>
      </c>
      <c r="B879" t="s">
        <v>2569</v>
      </c>
      <c r="C879" t="s">
        <v>2486</v>
      </c>
      <c r="D879" t="s">
        <v>2486</v>
      </c>
      <c r="E879" t="s">
        <v>2570</v>
      </c>
    </row>
    <row r="880" spans="1:5" x14ac:dyDescent="0.2">
      <c r="A880" t="s">
        <v>2571</v>
      </c>
      <c r="B880" t="s">
        <v>2572</v>
      </c>
      <c r="C880" t="s">
        <v>2486</v>
      </c>
      <c r="D880" t="s">
        <v>2486</v>
      </c>
      <c r="E880" t="s">
        <v>2490</v>
      </c>
    </row>
    <row r="881" spans="1:5" x14ac:dyDescent="0.2">
      <c r="A881" t="s">
        <v>2573</v>
      </c>
      <c r="B881" t="s">
        <v>2574</v>
      </c>
      <c r="C881" t="s">
        <v>2486</v>
      </c>
      <c r="D881" t="s">
        <v>2486</v>
      </c>
      <c r="E881" t="s">
        <v>2490</v>
      </c>
    </row>
    <row r="882" spans="1:5" x14ac:dyDescent="0.2">
      <c r="A882" t="s">
        <v>2575</v>
      </c>
      <c r="B882" t="s">
        <v>2576</v>
      </c>
      <c r="C882" t="s">
        <v>2486</v>
      </c>
      <c r="D882" t="s">
        <v>2486</v>
      </c>
      <c r="E882" t="s">
        <v>2577</v>
      </c>
    </row>
    <row r="883" spans="1:5" x14ac:dyDescent="0.2">
      <c r="A883" t="s">
        <v>2578</v>
      </c>
      <c r="B883" t="s">
        <v>2579</v>
      </c>
      <c r="C883" t="s">
        <v>2486</v>
      </c>
      <c r="D883" t="s">
        <v>2486</v>
      </c>
      <c r="E883" t="s">
        <v>2580</v>
      </c>
    </row>
    <row r="884" spans="1:5" x14ac:dyDescent="0.2">
      <c r="A884" t="s">
        <v>2581</v>
      </c>
      <c r="B884" t="s">
        <v>2582</v>
      </c>
      <c r="C884" t="s">
        <v>2486</v>
      </c>
      <c r="D884" t="s">
        <v>2486</v>
      </c>
      <c r="E884" t="s">
        <v>2521</v>
      </c>
    </row>
    <row r="885" spans="1:5" x14ac:dyDescent="0.2">
      <c r="A885" t="s">
        <v>2583</v>
      </c>
      <c r="B885" t="s">
        <v>2584</v>
      </c>
      <c r="C885" t="s">
        <v>2486</v>
      </c>
      <c r="D885" t="s">
        <v>2486</v>
      </c>
      <c r="E885" t="s">
        <v>2585</v>
      </c>
    </row>
    <row r="886" spans="1:5" x14ac:dyDescent="0.2">
      <c r="A886" t="s">
        <v>2586</v>
      </c>
      <c r="B886" t="s">
        <v>2587</v>
      </c>
      <c r="C886" t="s">
        <v>2486</v>
      </c>
      <c r="D886" t="s">
        <v>2486</v>
      </c>
      <c r="E886" t="s">
        <v>2588</v>
      </c>
    </row>
    <row r="887" spans="1:5" x14ac:dyDescent="0.2">
      <c r="A887" t="s">
        <v>2589</v>
      </c>
      <c r="B887" t="s">
        <v>2590</v>
      </c>
      <c r="C887" t="s">
        <v>2486</v>
      </c>
      <c r="D887" t="s">
        <v>2486</v>
      </c>
      <c r="E887" t="s">
        <v>2505</v>
      </c>
    </row>
    <row r="888" spans="1:5" x14ac:dyDescent="0.2">
      <c r="A888" t="s">
        <v>2591</v>
      </c>
      <c r="B888" t="s">
        <v>2592</v>
      </c>
      <c r="C888" t="s">
        <v>2486</v>
      </c>
      <c r="D888" t="s">
        <v>2486</v>
      </c>
      <c r="E888" t="s">
        <v>2593</v>
      </c>
    </row>
    <row r="889" spans="1:5" x14ac:dyDescent="0.2">
      <c r="A889" t="s">
        <v>2594</v>
      </c>
      <c r="B889" t="s">
        <v>2595</v>
      </c>
      <c r="C889" t="s">
        <v>2486</v>
      </c>
      <c r="D889" t="s">
        <v>2486</v>
      </c>
      <c r="E889" t="s">
        <v>2521</v>
      </c>
    </row>
    <row r="890" spans="1:5" x14ac:dyDescent="0.2">
      <c r="A890" t="s">
        <v>2596</v>
      </c>
      <c r="B890" t="s">
        <v>2597</v>
      </c>
      <c r="C890" t="s">
        <v>2486</v>
      </c>
      <c r="D890" t="e">
        <v>#N/A</v>
      </c>
      <c r="E890" t="e">
        <v>#N/A</v>
      </c>
    </row>
    <row r="891" spans="1:5" x14ac:dyDescent="0.2">
      <c r="A891" t="s">
        <v>2598</v>
      </c>
      <c r="B891" t="s">
        <v>2599</v>
      </c>
      <c r="C891" t="s">
        <v>2486</v>
      </c>
      <c r="D891" t="s">
        <v>2486</v>
      </c>
      <c r="E891" t="s">
        <v>2505</v>
      </c>
    </row>
    <row r="892" spans="1:5" x14ac:dyDescent="0.2">
      <c r="A892" t="s">
        <v>2600</v>
      </c>
      <c r="B892" t="s">
        <v>2601</v>
      </c>
      <c r="C892" t="s">
        <v>2486</v>
      </c>
      <c r="D892" t="s">
        <v>2486</v>
      </c>
      <c r="E892" t="s">
        <v>2602</v>
      </c>
    </row>
    <row r="893" spans="1:5" x14ac:dyDescent="0.2">
      <c r="A893" t="s">
        <v>2603</v>
      </c>
      <c r="B893" t="s">
        <v>2604</v>
      </c>
      <c r="C893" t="s">
        <v>2486</v>
      </c>
      <c r="D893" t="s">
        <v>2486</v>
      </c>
      <c r="E893" t="s">
        <v>2499</v>
      </c>
    </row>
    <row r="894" spans="1:5" x14ac:dyDescent="0.2">
      <c r="A894" t="s">
        <v>2605</v>
      </c>
      <c r="B894" t="s">
        <v>2606</v>
      </c>
      <c r="C894" t="s">
        <v>2486</v>
      </c>
      <c r="D894" t="s">
        <v>2486</v>
      </c>
      <c r="E894" t="s">
        <v>2490</v>
      </c>
    </row>
    <row r="895" spans="1:5" x14ac:dyDescent="0.2">
      <c r="A895" t="s">
        <v>2607</v>
      </c>
      <c r="B895" t="s">
        <v>2608</v>
      </c>
      <c r="C895" t="s">
        <v>2486</v>
      </c>
      <c r="D895" t="s">
        <v>2486</v>
      </c>
      <c r="E895" t="s">
        <v>2555</v>
      </c>
    </row>
    <row r="896" spans="1:5" x14ac:dyDescent="0.2">
      <c r="A896" t="s">
        <v>2609</v>
      </c>
      <c r="B896" t="s">
        <v>2610</v>
      </c>
      <c r="C896" t="s">
        <v>2486</v>
      </c>
      <c r="D896" t="s">
        <v>2486</v>
      </c>
      <c r="E896" t="s">
        <v>2545</v>
      </c>
    </row>
    <row r="897" spans="1:5" x14ac:dyDescent="0.2">
      <c r="A897" t="s">
        <v>2611</v>
      </c>
      <c r="B897" t="s">
        <v>2612</v>
      </c>
      <c r="C897" t="s">
        <v>2486</v>
      </c>
      <c r="D897" t="s">
        <v>2486</v>
      </c>
      <c r="E897" t="s">
        <v>2613</v>
      </c>
    </row>
    <row r="898" spans="1:5" x14ac:dyDescent="0.2">
      <c r="A898" t="s">
        <v>2614</v>
      </c>
      <c r="B898" t="s">
        <v>2615</v>
      </c>
      <c r="C898" t="s">
        <v>2486</v>
      </c>
      <c r="D898" t="s">
        <v>2486</v>
      </c>
      <c r="E898" t="s">
        <v>2616</v>
      </c>
    </row>
    <row r="899" spans="1:5" x14ac:dyDescent="0.2">
      <c r="A899" t="s">
        <v>2617</v>
      </c>
      <c r="B899" t="s">
        <v>2618</v>
      </c>
      <c r="C899" t="s">
        <v>2486</v>
      </c>
      <c r="D899" t="s">
        <v>2486</v>
      </c>
      <c r="E899" t="s">
        <v>2521</v>
      </c>
    </row>
    <row r="900" spans="1:5" x14ac:dyDescent="0.2">
      <c r="A900" t="s">
        <v>2619</v>
      </c>
      <c r="B900" t="s">
        <v>2620</v>
      </c>
      <c r="C900" t="s">
        <v>2486</v>
      </c>
      <c r="D900" t="s">
        <v>2486</v>
      </c>
      <c r="E900" t="s">
        <v>2499</v>
      </c>
    </row>
    <row r="901" spans="1:5" x14ac:dyDescent="0.2">
      <c r="A901" t="s">
        <v>2621</v>
      </c>
      <c r="B901" t="s">
        <v>2622</v>
      </c>
      <c r="C901" t="s">
        <v>2486</v>
      </c>
      <c r="D901" t="s">
        <v>2486</v>
      </c>
      <c r="E901" t="s">
        <v>2623</v>
      </c>
    </row>
    <row r="902" spans="1:5" x14ac:dyDescent="0.2">
      <c r="A902" t="s">
        <v>2624</v>
      </c>
      <c r="B902" t="s">
        <v>2625</v>
      </c>
      <c r="C902" t="s">
        <v>2486</v>
      </c>
      <c r="D902" t="s">
        <v>2486</v>
      </c>
      <c r="E902" t="s">
        <v>2555</v>
      </c>
    </row>
    <row r="903" spans="1:5" x14ac:dyDescent="0.2">
      <c r="A903" t="s">
        <v>2626</v>
      </c>
      <c r="B903" t="s">
        <v>2627</v>
      </c>
      <c r="C903" t="s">
        <v>2486</v>
      </c>
      <c r="D903" t="s">
        <v>2486</v>
      </c>
      <c r="E903" t="s">
        <v>2505</v>
      </c>
    </row>
    <row r="904" spans="1:5" x14ac:dyDescent="0.2">
      <c r="A904" t="s">
        <v>2628</v>
      </c>
      <c r="B904" t="s">
        <v>2629</v>
      </c>
      <c r="C904" t="s">
        <v>2486</v>
      </c>
      <c r="D904" t="s">
        <v>2486</v>
      </c>
      <c r="E904" t="s">
        <v>2555</v>
      </c>
    </row>
    <row r="905" spans="1:5" x14ac:dyDescent="0.2">
      <c r="A905" t="s">
        <v>2630</v>
      </c>
      <c r="B905" t="s">
        <v>2631</v>
      </c>
      <c r="C905" t="s">
        <v>2486</v>
      </c>
      <c r="D905" t="s">
        <v>2486</v>
      </c>
      <c r="E905" t="s">
        <v>2552</v>
      </c>
    </row>
    <row r="906" spans="1:5" x14ac:dyDescent="0.2">
      <c r="A906" t="s">
        <v>2632</v>
      </c>
      <c r="B906" t="s">
        <v>2633</v>
      </c>
      <c r="C906" t="s">
        <v>2486</v>
      </c>
      <c r="D906" t="s">
        <v>2486</v>
      </c>
      <c r="E906" t="s">
        <v>2552</v>
      </c>
    </row>
    <row r="907" spans="1:5" x14ac:dyDescent="0.2">
      <c r="A907" t="s">
        <v>2634</v>
      </c>
      <c r="B907" t="s">
        <v>2635</v>
      </c>
      <c r="C907" t="s">
        <v>2486</v>
      </c>
      <c r="D907" t="s">
        <v>2486</v>
      </c>
      <c r="E907" t="s">
        <v>2505</v>
      </c>
    </row>
    <row r="908" spans="1:5" x14ac:dyDescent="0.2">
      <c r="A908" t="s">
        <v>2636</v>
      </c>
      <c r="B908" t="s">
        <v>2637</v>
      </c>
      <c r="C908" t="s">
        <v>2486</v>
      </c>
      <c r="D908" t="s">
        <v>2486</v>
      </c>
      <c r="E908" t="s">
        <v>2499</v>
      </c>
    </row>
    <row r="909" spans="1:5" x14ac:dyDescent="0.2">
      <c r="A909" t="s">
        <v>2638</v>
      </c>
      <c r="B909" t="s">
        <v>2639</v>
      </c>
      <c r="C909" t="s">
        <v>2486</v>
      </c>
      <c r="D909" t="s">
        <v>2486</v>
      </c>
      <c r="E909" t="s">
        <v>2499</v>
      </c>
    </row>
    <row r="910" spans="1:5" x14ac:dyDescent="0.2">
      <c r="A910" t="s">
        <v>2640</v>
      </c>
      <c r="B910" t="s">
        <v>2641</v>
      </c>
      <c r="C910" t="s">
        <v>2486</v>
      </c>
      <c r="D910" t="s">
        <v>2486</v>
      </c>
      <c r="E910" t="s">
        <v>2642</v>
      </c>
    </row>
    <row r="911" spans="1:5" x14ac:dyDescent="0.2">
      <c r="A911" t="s">
        <v>2643</v>
      </c>
      <c r="B911" t="s">
        <v>2644</v>
      </c>
      <c r="C911" t="s">
        <v>2486</v>
      </c>
      <c r="D911" t="s">
        <v>2486</v>
      </c>
      <c r="E911" t="s">
        <v>2645</v>
      </c>
    </row>
    <row r="912" spans="1:5" x14ac:dyDescent="0.2">
      <c r="A912" t="s">
        <v>2646</v>
      </c>
      <c r="B912" t="s">
        <v>2647</v>
      </c>
      <c r="C912" t="s">
        <v>2486</v>
      </c>
      <c r="D912" t="s">
        <v>2486</v>
      </c>
      <c r="E912" t="s">
        <v>2648</v>
      </c>
    </row>
    <row r="913" spans="1:5" x14ac:dyDescent="0.2">
      <c r="A913" t="s">
        <v>2649</v>
      </c>
      <c r="B913" t="s">
        <v>2650</v>
      </c>
      <c r="C913" t="s">
        <v>2486</v>
      </c>
      <c r="D913" t="s">
        <v>2486</v>
      </c>
      <c r="E913" t="s">
        <v>2490</v>
      </c>
    </row>
    <row r="914" spans="1:5" x14ac:dyDescent="0.2">
      <c r="A914" t="s">
        <v>2651</v>
      </c>
      <c r="B914" t="s">
        <v>2652</v>
      </c>
      <c r="C914" t="s">
        <v>2486</v>
      </c>
      <c r="D914" t="s">
        <v>2486</v>
      </c>
      <c r="E914" t="s">
        <v>2490</v>
      </c>
    </row>
    <row r="915" spans="1:5" x14ac:dyDescent="0.2">
      <c r="A915" t="s">
        <v>2653</v>
      </c>
      <c r="B915" t="s">
        <v>2654</v>
      </c>
      <c r="C915" t="s">
        <v>2486</v>
      </c>
      <c r="D915" t="s">
        <v>2486</v>
      </c>
      <c r="E915" t="s">
        <v>2499</v>
      </c>
    </row>
    <row r="916" spans="1:5" x14ac:dyDescent="0.2">
      <c r="A916" t="s">
        <v>2655</v>
      </c>
      <c r="B916" t="s">
        <v>2656</v>
      </c>
      <c r="C916" t="s">
        <v>2486</v>
      </c>
      <c r="D916" t="s">
        <v>2486</v>
      </c>
      <c r="E916" t="s">
        <v>2657</v>
      </c>
    </row>
    <row r="917" spans="1:5" x14ac:dyDescent="0.2">
      <c r="A917" t="s">
        <v>2658</v>
      </c>
      <c r="B917" t="s">
        <v>2659</v>
      </c>
      <c r="C917" t="s">
        <v>2486</v>
      </c>
      <c r="D917" t="s">
        <v>2486</v>
      </c>
      <c r="E917" t="s">
        <v>2545</v>
      </c>
    </row>
    <row r="918" spans="1:5" x14ac:dyDescent="0.2">
      <c r="A918" t="s">
        <v>2660</v>
      </c>
      <c r="B918" t="s">
        <v>2661</v>
      </c>
      <c r="C918" t="s">
        <v>2486</v>
      </c>
      <c r="D918" t="s">
        <v>2486</v>
      </c>
      <c r="E918" t="s">
        <v>2662</v>
      </c>
    </row>
    <row r="919" spans="1:5" x14ac:dyDescent="0.2">
      <c r="A919" t="s">
        <v>2663</v>
      </c>
      <c r="B919" t="s">
        <v>2664</v>
      </c>
      <c r="C919" t="s">
        <v>2486</v>
      </c>
      <c r="D919" t="s">
        <v>2486</v>
      </c>
      <c r="E919" t="s">
        <v>2665</v>
      </c>
    </row>
    <row r="920" spans="1:5" x14ac:dyDescent="0.2">
      <c r="A920" t="s">
        <v>2666</v>
      </c>
      <c r="B920" t="s">
        <v>2667</v>
      </c>
      <c r="C920" t="s">
        <v>2486</v>
      </c>
      <c r="D920" t="e">
        <v>#N/A</v>
      </c>
      <c r="E920" t="e">
        <v>#N/A</v>
      </c>
    </row>
    <row r="921" spans="1:5" x14ac:dyDescent="0.2">
      <c r="A921" t="s">
        <v>2668</v>
      </c>
      <c r="B921" t="s">
        <v>2669</v>
      </c>
      <c r="C921" t="s">
        <v>2486</v>
      </c>
      <c r="D921" t="s">
        <v>2486</v>
      </c>
      <c r="E921" t="s">
        <v>2555</v>
      </c>
    </row>
    <row r="922" spans="1:5" x14ac:dyDescent="0.2">
      <c r="A922" t="s">
        <v>2670</v>
      </c>
      <c r="B922" t="s">
        <v>2671</v>
      </c>
      <c r="C922" t="s">
        <v>2486</v>
      </c>
      <c r="D922" t="s">
        <v>2486</v>
      </c>
      <c r="E922" t="s">
        <v>2499</v>
      </c>
    </row>
    <row r="923" spans="1:5" x14ac:dyDescent="0.2">
      <c r="A923" t="s">
        <v>2672</v>
      </c>
      <c r="B923" t="s">
        <v>2673</v>
      </c>
      <c r="C923" t="s">
        <v>2486</v>
      </c>
      <c r="D923" t="s">
        <v>2486</v>
      </c>
      <c r="E923" t="s">
        <v>2505</v>
      </c>
    </row>
    <row r="924" spans="1:5" x14ac:dyDescent="0.2">
      <c r="A924" t="s">
        <v>2674</v>
      </c>
      <c r="B924" t="s">
        <v>2675</v>
      </c>
      <c r="C924" t="s">
        <v>2486</v>
      </c>
      <c r="D924" t="s">
        <v>2486</v>
      </c>
      <c r="E924" t="s">
        <v>2676</v>
      </c>
    </row>
    <row r="925" spans="1:5" x14ac:dyDescent="0.2">
      <c r="A925" t="s">
        <v>2677</v>
      </c>
      <c r="B925" t="s">
        <v>2678</v>
      </c>
      <c r="C925" t="s">
        <v>2486</v>
      </c>
      <c r="D925" t="s">
        <v>2486</v>
      </c>
      <c r="E925" t="s">
        <v>2679</v>
      </c>
    </row>
    <row r="926" spans="1:5" x14ac:dyDescent="0.2">
      <c r="A926" t="s">
        <v>2680</v>
      </c>
      <c r="B926" t="s">
        <v>2681</v>
      </c>
      <c r="C926" t="s">
        <v>2486</v>
      </c>
      <c r="D926" t="s">
        <v>2486</v>
      </c>
      <c r="E926" t="s">
        <v>2642</v>
      </c>
    </row>
    <row r="927" spans="1:5" x14ac:dyDescent="0.2">
      <c r="A927" t="s">
        <v>2682</v>
      </c>
      <c r="B927" t="s">
        <v>2683</v>
      </c>
      <c r="C927" t="s">
        <v>2486</v>
      </c>
      <c r="D927" t="s">
        <v>2486</v>
      </c>
      <c r="E927" t="s">
        <v>2499</v>
      </c>
    </row>
    <row r="928" spans="1:5" x14ac:dyDescent="0.2">
      <c r="A928" t="s">
        <v>2684</v>
      </c>
      <c r="B928" t="s">
        <v>2685</v>
      </c>
      <c r="C928" t="s">
        <v>2486</v>
      </c>
      <c r="D928" t="s">
        <v>2486</v>
      </c>
      <c r="E928" t="s">
        <v>2490</v>
      </c>
    </row>
    <row r="929" spans="1:5" x14ac:dyDescent="0.2">
      <c r="A929" t="s">
        <v>2686</v>
      </c>
      <c r="B929" t="s">
        <v>2687</v>
      </c>
      <c r="C929" t="s">
        <v>2486</v>
      </c>
      <c r="D929" t="s">
        <v>2486</v>
      </c>
      <c r="E929" t="s">
        <v>2505</v>
      </c>
    </row>
    <row r="930" spans="1:5" x14ac:dyDescent="0.2">
      <c r="A930" t="s">
        <v>2688</v>
      </c>
      <c r="B930" t="s">
        <v>2689</v>
      </c>
      <c r="C930" t="s">
        <v>2486</v>
      </c>
      <c r="D930" t="s">
        <v>2486</v>
      </c>
      <c r="E930" t="s">
        <v>2505</v>
      </c>
    </row>
    <row r="931" spans="1:5" x14ac:dyDescent="0.2">
      <c r="A931" t="s">
        <v>2690</v>
      </c>
      <c r="B931" t="s">
        <v>2691</v>
      </c>
      <c r="C931" t="s">
        <v>2486</v>
      </c>
      <c r="D931" t="s">
        <v>2486</v>
      </c>
      <c r="E931" t="s">
        <v>2521</v>
      </c>
    </row>
    <row r="932" spans="1:5" x14ac:dyDescent="0.2">
      <c r="A932" t="s">
        <v>2692</v>
      </c>
      <c r="B932" t="s">
        <v>2693</v>
      </c>
      <c r="C932" t="s">
        <v>2486</v>
      </c>
      <c r="D932" t="s">
        <v>2486</v>
      </c>
      <c r="E932" t="s">
        <v>2577</v>
      </c>
    </row>
    <row r="933" spans="1:5" x14ac:dyDescent="0.2">
      <c r="A933" t="s">
        <v>2694</v>
      </c>
      <c r="B933" t="s">
        <v>2695</v>
      </c>
      <c r="C933" t="s">
        <v>2486</v>
      </c>
      <c r="D933" t="s">
        <v>2486</v>
      </c>
      <c r="E933" t="s">
        <v>2696</v>
      </c>
    </row>
    <row r="934" spans="1:5" x14ac:dyDescent="0.2">
      <c r="A934" t="s">
        <v>2697</v>
      </c>
      <c r="B934" t="s">
        <v>2698</v>
      </c>
      <c r="C934" t="s">
        <v>2486</v>
      </c>
      <c r="D934" t="s">
        <v>2486</v>
      </c>
      <c r="E934" t="s">
        <v>2499</v>
      </c>
    </row>
    <row r="935" spans="1:5" x14ac:dyDescent="0.2">
      <c r="A935" t="s">
        <v>2699</v>
      </c>
      <c r="B935" t="s">
        <v>2700</v>
      </c>
      <c r="C935" t="s">
        <v>2486</v>
      </c>
      <c r="D935" t="s">
        <v>2486</v>
      </c>
      <c r="E935" t="s">
        <v>2499</v>
      </c>
    </row>
    <row r="936" spans="1:5" x14ac:dyDescent="0.2">
      <c r="A936" t="s">
        <v>2701</v>
      </c>
      <c r="B936" t="s">
        <v>2702</v>
      </c>
      <c r="C936" t="s">
        <v>2486</v>
      </c>
      <c r="D936" t="s">
        <v>2486</v>
      </c>
      <c r="E936" t="s">
        <v>2545</v>
      </c>
    </row>
    <row r="937" spans="1:5" x14ac:dyDescent="0.2">
      <c r="A937" t="s">
        <v>2703</v>
      </c>
      <c r="B937" t="s">
        <v>2704</v>
      </c>
      <c r="C937" t="s">
        <v>2486</v>
      </c>
      <c r="D937" t="s">
        <v>2486</v>
      </c>
      <c r="E937" t="s">
        <v>2705</v>
      </c>
    </row>
    <row r="938" spans="1:5" x14ac:dyDescent="0.2">
      <c r="A938" t="s">
        <v>2706</v>
      </c>
      <c r="B938" t="s">
        <v>2707</v>
      </c>
      <c r="C938" t="s">
        <v>2486</v>
      </c>
      <c r="D938" t="s">
        <v>2486</v>
      </c>
      <c r="E938" t="s">
        <v>2505</v>
      </c>
    </row>
    <row r="939" spans="1:5" x14ac:dyDescent="0.2">
      <c r="A939" t="s">
        <v>2708</v>
      </c>
      <c r="B939" t="s">
        <v>2709</v>
      </c>
      <c r="C939" t="s">
        <v>2486</v>
      </c>
      <c r="D939" t="s">
        <v>2486</v>
      </c>
      <c r="E939" t="s">
        <v>2555</v>
      </c>
    </row>
    <row r="940" spans="1:5" x14ac:dyDescent="0.2">
      <c r="A940" t="s">
        <v>2710</v>
      </c>
      <c r="B940" t="s">
        <v>2711</v>
      </c>
      <c r="C940" t="s">
        <v>2486</v>
      </c>
      <c r="D940" t="s">
        <v>2486</v>
      </c>
      <c r="E940" t="s">
        <v>2505</v>
      </c>
    </row>
    <row r="941" spans="1:5" x14ac:dyDescent="0.2">
      <c r="A941" t="s">
        <v>2712</v>
      </c>
      <c r="B941" t="s">
        <v>2713</v>
      </c>
      <c r="C941" t="s">
        <v>2486</v>
      </c>
      <c r="D941" t="s">
        <v>2486</v>
      </c>
      <c r="E941" t="s">
        <v>2555</v>
      </c>
    </row>
    <row r="942" spans="1:5" x14ac:dyDescent="0.2">
      <c r="A942" t="s">
        <v>2714</v>
      </c>
      <c r="B942" t="s">
        <v>2715</v>
      </c>
      <c r="C942" t="s">
        <v>2486</v>
      </c>
      <c r="D942" t="s">
        <v>2486</v>
      </c>
      <c r="E942" t="s">
        <v>2490</v>
      </c>
    </row>
    <row r="943" spans="1:5" x14ac:dyDescent="0.2">
      <c r="A943" t="s">
        <v>2716</v>
      </c>
      <c r="B943" t="s">
        <v>2717</v>
      </c>
      <c r="C943" t="s">
        <v>2486</v>
      </c>
      <c r="D943" t="s">
        <v>2486</v>
      </c>
      <c r="E943" t="s">
        <v>2718</v>
      </c>
    </row>
    <row r="944" spans="1:5" x14ac:dyDescent="0.2">
      <c r="A944" t="s">
        <v>2719</v>
      </c>
      <c r="B944" t="s">
        <v>2720</v>
      </c>
      <c r="C944" t="s">
        <v>2486</v>
      </c>
      <c r="D944" t="s">
        <v>2486</v>
      </c>
      <c r="E944" t="s">
        <v>2505</v>
      </c>
    </row>
    <row r="945" spans="1:5" x14ac:dyDescent="0.2">
      <c r="A945" t="s">
        <v>2721</v>
      </c>
      <c r="B945" t="s">
        <v>2722</v>
      </c>
      <c r="C945" t="s">
        <v>2486</v>
      </c>
      <c r="D945" t="s">
        <v>2486</v>
      </c>
      <c r="E945" t="s">
        <v>2490</v>
      </c>
    </row>
    <row r="946" spans="1:5" x14ac:dyDescent="0.2">
      <c r="A946" t="s">
        <v>2723</v>
      </c>
      <c r="B946" t="s">
        <v>2724</v>
      </c>
      <c r="C946" t="s">
        <v>2486</v>
      </c>
      <c r="D946" t="s">
        <v>2486</v>
      </c>
      <c r="E946" t="s">
        <v>2499</v>
      </c>
    </row>
    <row r="947" spans="1:5" x14ac:dyDescent="0.2">
      <c r="A947" t="s">
        <v>2725</v>
      </c>
      <c r="B947" t="s">
        <v>2726</v>
      </c>
      <c r="C947" t="s">
        <v>2486</v>
      </c>
      <c r="D947" t="s">
        <v>2486</v>
      </c>
      <c r="E947" t="s">
        <v>2545</v>
      </c>
    </row>
    <row r="948" spans="1:5" x14ac:dyDescent="0.2">
      <c r="A948" t="s">
        <v>2727</v>
      </c>
      <c r="B948" t="s">
        <v>2728</v>
      </c>
      <c r="C948" t="s">
        <v>2486</v>
      </c>
      <c r="D948" t="s">
        <v>2486</v>
      </c>
      <c r="E948" t="s">
        <v>2499</v>
      </c>
    </row>
    <row r="949" spans="1:5" x14ac:dyDescent="0.2">
      <c r="A949" t="s">
        <v>2729</v>
      </c>
      <c r="B949" t="s">
        <v>2730</v>
      </c>
      <c r="C949" t="s">
        <v>2486</v>
      </c>
      <c r="D949" t="s">
        <v>2486</v>
      </c>
      <c r="E949" t="s">
        <v>2505</v>
      </c>
    </row>
    <row r="950" spans="1:5" x14ac:dyDescent="0.2">
      <c r="A950" t="s">
        <v>2731</v>
      </c>
      <c r="B950" t="s">
        <v>2732</v>
      </c>
      <c r="C950" t="s">
        <v>2486</v>
      </c>
      <c r="D950" t="s">
        <v>2486</v>
      </c>
      <c r="E950" t="s">
        <v>2505</v>
      </c>
    </row>
    <row r="951" spans="1:5" x14ac:dyDescent="0.2">
      <c r="A951" t="s">
        <v>2733</v>
      </c>
      <c r="B951" t="s">
        <v>2734</v>
      </c>
      <c r="C951" t="s">
        <v>2486</v>
      </c>
      <c r="D951" t="s">
        <v>2486</v>
      </c>
      <c r="E951" t="s">
        <v>2735</v>
      </c>
    </row>
    <row r="952" spans="1:5" x14ac:dyDescent="0.2">
      <c r="A952" t="s">
        <v>2736</v>
      </c>
      <c r="B952" t="s">
        <v>2737</v>
      </c>
      <c r="C952" t="s">
        <v>2486</v>
      </c>
      <c r="D952" t="s">
        <v>2486</v>
      </c>
      <c r="E952" t="s">
        <v>2499</v>
      </c>
    </row>
    <row r="953" spans="1:5" x14ac:dyDescent="0.2">
      <c r="A953" t="s">
        <v>2738</v>
      </c>
      <c r="B953" t="s">
        <v>2739</v>
      </c>
      <c r="C953" t="s">
        <v>2486</v>
      </c>
      <c r="D953" t="s">
        <v>2486</v>
      </c>
      <c r="E953" t="s">
        <v>2740</v>
      </c>
    </row>
    <row r="954" spans="1:5" x14ac:dyDescent="0.2">
      <c r="A954" t="s">
        <v>2741</v>
      </c>
      <c r="B954" t="s">
        <v>2742</v>
      </c>
      <c r="C954" t="s">
        <v>2486</v>
      </c>
      <c r="D954" t="s">
        <v>2486</v>
      </c>
      <c r="E954" t="s">
        <v>2499</v>
      </c>
    </row>
    <row r="955" spans="1:5" x14ac:dyDescent="0.2">
      <c r="A955" t="s">
        <v>2743</v>
      </c>
      <c r="B955" t="s">
        <v>2744</v>
      </c>
      <c r="C955" t="s">
        <v>2486</v>
      </c>
      <c r="D955" t="s">
        <v>2486</v>
      </c>
      <c r="E955" t="s">
        <v>2555</v>
      </c>
    </row>
    <row r="956" spans="1:5" x14ac:dyDescent="0.2">
      <c r="A956" t="s">
        <v>2745</v>
      </c>
      <c r="B956" t="s">
        <v>2746</v>
      </c>
      <c r="C956" t="s">
        <v>2486</v>
      </c>
      <c r="D956" t="s">
        <v>2486</v>
      </c>
      <c r="E956" t="s">
        <v>2747</v>
      </c>
    </row>
    <row r="957" spans="1:5" x14ac:dyDescent="0.2">
      <c r="A957" t="s">
        <v>2748</v>
      </c>
      <c r="B957" t="s">
        <v>2749</v>
      </c>
      <c r="C957" t="s">
        <v>2486</v>
      </c>
      <c r="D957" t="s">
        <v>2486</v>
      </c>
      <c r="E957" t="s">
        <v>2545</v>
      </c>
    </row>
    <row r="958" spans="1:5" x14ac:dyDescent="0.2">
      <c r="A958" t="s">
        <v>2750</v>
      </c>
      <c r="B958" t="s">
        <v>2751</v>
      </c>
      <c r="C958" t="s">
        <v>2486</v>
      </c>
      <c r="D958" t="s">
        <v>2486</v>
      </c>
      <c r="E958" t="s">
        <v>2555</v>
      </c>
    </row>
    <row r="959" spans="1:5" x14ac:dyDescent="0.2">
      <c r="A959" t="s">
        <v>2752</v>
      </c>
      <c r="B959" t="s">
        <v>2753</v>
      </c>
      <c r="C959" t="s">
        <v>2486</v>
      </c>
      <c r="D959" t="s">
        <v>2486</v>
      </c>
      <c r="E959" t="s">
        <v>2555</v>
      </c>
    </row>
    <row r="960" spans="1:5" x14ac:dyDescent="0.2">
      <c r="A960" t="s">
        <v>2754</v>
      </c>
      <c r="B960" t="s">
        <v>2755</v>
      </c>
      <c r="C960" t="s">
        <v>2486</v>
      </c>
      <c r="D960" t="s">
        <v>2486</v>
      </c>
      <c r="E960" t="s">
        <v>2552</v>
      </c>
    </row>
    <row r="961" spans="1:5" x14ac:dyDescent="0.2">
      <c r="A961" t="s">
        <v>2756</v>
      </c>
      <c r="B961" t="s">
        <v>2757</v>
      </c>
      <c r="C961" t="s">
        <v>2486</v>
      </c>
      <c r="D961" t="s">
        <v>2486</v>
      </c>
      <c r="E961" t="s">
        <v>2499</v>
      </c>
    </row>
    <row r="962" spans="1:5" x14ac:dyDescent="0.2">
      <c r="A962" t="s">
        <v>2758</v>
      </c>
      <c r="B962" t="s">
        <v>2759</v>
      </c>
      <c r="C962" t="s">
        <v>2486</v>
      </c>
      <c r="D962" t="s">
        <v>2486</v>
      </c>
      <c r="E962" t="s">
        <v>2760</v>
      </c>
    </row>
    <row r="963" spans="1:5" x14ac:dyDescent="0.2">
      <c r="A963" t="s">
        <v>2761</v>
      </c>
      <c r="B963" t="s">
        <v>2762</v>
      </c>
      <c r="C963" t="s">
        <v>2486</v>
      </c>
      <c r="D963" t="s">
        <v>2486</v>
      </c>
      <c r="E963" t="s">
        <v>2763</v>
      </c>
    </row>
    <row r="964" spans="1:5" x14ac:dyDescent="0.2">
      <c r="A964" t="s">
        <v>2764</v>
      </c>
      <c r="B964" t="s">
        <v>2765</v>
      </c>
      <c r="C964" t="s">
        <v>2486</v>
      </c>
      <c r="D964" t="s">
        <v>2486</v>
      </c>
      <c r="E964" t="s">
        <v>2564</v>
      </c>
    </row>
    <row r="965" spans="1:5" x14ac:dyDescent="0.2">
      <c r="A965" t="s">
        <v>2766</v>
      </c>
      <c r="B965" t="s">
        <v>2767</v>
      </c>
      <c r="C965" t="s">
        <v>2486</v>
      </c>
      <c r="D965" t="s">
        <v>2486</v>
      </c>
      <c r="E965" t="s">
        <v>2768</v>
      </c>
    </row>
    <row r="966" spans="1:5" x14ac:dyDescent="0.2">
      <c r="A966" t="s">
        <v>2769</v>
      </c>
      <c r="B966" t="s">
        <v>2770</v>
      </c>
      <c r="C966" t="s">
        <v>2486</v>
      </c>
      <c r="D966" t="s">
        <v>2486</v>
      </c>
      <c r="E966" t="s">
        <v>2505</v>
      </c>
    </row>
    <row r="967" spans="1:5" x14ac:dyDescent="0.2">
      <c r="A967" t="s">
        <v>2771</v>
      </c>
      <c r="B967" t="s">
        <v>2772</v>
      </c>
      <c r="C967" t="s">
        <v>2486</v>
      </c>
      <c r="D967" t="s">
        <v>2486</v>
      </c>
      <c r="E967" t="s">
        <v>2499</v>
      </c>
    </row>
    <row r="968" spans="1:5" x14ac:dyDescent="0.2">
      <c r="A968" t="s">
        <v>2773</v>
      </c>
      <c r="B968" t="s">
        <v>2774</v>
      </c>
      <c r="C968" t="s">
        <v>2486</v>
      </c>
      <c r="D968" t="s">
        <v>2486</v>
      </c>
      <c r="E968" t="s">
        <v>2490</v>
      </c>
    </row>
    <row r="969" spans="1:5" x14ac:dyDescent="0.2">
      <c r="A969" t="s">
        <v>2775</v>
      </c>
      <c r="B969" t="s">
        <v>2776</v>
      </c>
      <c r="C969" t="s">
        <v>2486</v>
      </c>
      <c r="D969" t="s">
        <v>2486</v>
      </c>
      <c r="E969" t="s">
        <v>2490</v>
      </c>
    </row>
    <row r="970" spans="1:5" x14ac:dyDescent="0.2">
      <c r="A970" t="s">
        <v>2777</v>
      </c>
      <c r="B970" t="s">
        <v>2778</v>
      </c>
      <c r="C970" t="s">
        <v>2486</v>
      </c>
      <c r="D970" t="s">
        <v>2486</v>
      </c>
      <c r="E970" t="s">
        <v>2545</v>
      </c>
    </row>
    <row r="971" spans="1:5" x14ac:dyDescent="0.2">
      <c r="A971" t="s">
        <v>2779</v>
      </c>
      <c r="B971" t="s">
        <v>2780</v>
      </c>
      <c r="C971" t="s">
        <v>2486</v>
      </c>
      <c r="D971" t="s">
        <v>2486</v>
      </c>
      <c r="E971" t="s">
        <v>2545</v>
      </c>
    </row>
    <row r="972" spans="1:5" x14ac:dyDescent="0.2">
      <c r="A972" t="s">
        <v>2781</v>
      </c>
      <c r="B972" t="s">
        <v>2782</v>
      </c>
      <c r="C972" t="s">
        <v>2486</v>
      </c>
      <c r="D972" t="s">
        <v>2486</v>
      </c>
      <c r="E972" t="s">
        <v>2545</v>
      </c>
    </row>
    <row r="973" spans="1:5" x14ac:dyDescent="0.2">
      <c r="A973" t="s">
        <v>2783</v>
      </c>
      <c r="B973" t="s">
        <v>2784</v>
      </c>
      <c r="C973" t="s">
        <v>2486</v>
      </c>
      <c r="D973" t="s">
        <v>2486</v>
      </c>
      <c r="E973" t="s">
        <v>2785</v>
      </c>
    </row>
    <row r="974" spans="1:5" x14ac:dyDescent="0.2">
      <c r="A974" t="s">
        <v>2786</v>
      </c>
      <c r="B974" t="s">
        <v>2787</v>
      </c>
      <c r="C974" t="s">
        <v>2486</v>
      </c>
      <c r="D974" t="s">
        <v>2486</v>
      </c>
      <c r="E974" t="s">
        <v>2788</v>
      </c>
    </row>
    <row r="975" spans="1:5" x14ac:dyDescent="0.2">
      <c r="A975" t="s">
        <v>2789</v>
      </c>
      <c r="B975" t="s">
        <v>2790</v>
      </c>
      <c r="C975" t="s">
        <v>2486</v>
      </c>
      <c r="D975" t="s">
        <v>2486</v>
      </c>
      <c r="E975" t="s">
        <v>2499</v>
      </c>
    </row>
    <row r="976" spans="1:5" x14ac:dyDescent="0.2">
      <c r="A976" t="s">
        <v>2791</v>
      </c>
      <c r="B976" t="s">
        <v>2792</v>
      </c>
      <c r="C976" t="s">
        <v>2486</v>
      </c>
      <c r="D976" t="s">
        <v>2486</v>
      </c>
      <c r="E976" t="s">
        <v>2555</v>
      </c>
    </row>
    <row r="977" spans="1:5" x14ac:dyDescent="0.2">
      <c r="A977" t="s">
        <v>2793</v>
      </c>
      <c r="B977" t="s">
        <v>2794</v>
      </c>
      <c r="C977" t="s">
        <v>2486</v>
      </c>
      <c r="D977" t="s">
        <v>2486</v>
      </c>
      <c r="E977" t="s">
        <v>2499</v>
      </c>
    </row>
    <row r="978" spans="1:5" x14ac:dyDescent="0.2">
      <c r="A978" t="s">
        <v>2795</v>
      </c>
      <c r="B978" t="s">
        <v>2796</v>
      </c>
      <c r="C978" t="s">
        <v>2486</v>
      </c>
      <c r="D978" t="s">
        <v>2486</v>
      </c>
      <c r="E978" t="s">
        <v>2505</v>
      </c>
    </row>
    <row r="979" spans="1:5" x14ac:dyDescent="0.2">
      <c r="A979" t="s">
        <v>2797</v>
      </c>
      <c r="B979" t="s">
        <v>2798</v>
      </c>
      <c r="C979" t="s">
        <v>2486</v>
      </c>
      <c r="D979" t="s">
        <v>2486</v>
      </c>
      <c r="E979" t="s">
        <v>2799</v>
      </c>
    </row>
    <row r="980" spans="1:5" x14ac:dyDescent="0.2">
      <c r="A980" t="s">
        <v>2800</v>
      </c>
      <c r="B980" t="s">
        <v>2801</v>
      </c>
      <c r="C980" t="s">
        <v>2486</v>
      </c>
      <c r="D980" t="s">
        <v>2486</v>
      </c>
      <c r="E980" t="s">
        <v>2499</v>
      </c>
    </row>
    <row r="981" spans="1:5" x14ac:dyDescent="0.2">
      <c r="A981" t="s">
        <v>2802</v>
      </c>
      <c r="B981" t="s">
        <v>2803</v>
      </c>
      <c r="C981" t="s">
        <v>2486</v>
      </c>
      <c r="D981" t="s">
        <v>2486</v>
      </c>
      <c r="E981" t="s">
        <v>2804</v>
      </c>
    </row>
    <row r="982" spans="1:5" x14ac:dyDescent="0.2">
      <c r="A982" t="s">
        <v>2805</v>
      </c>
      <c r="B982" t="s">
        <v>2806</v>
      </c>
      <c r="C982" t="s">
        <v>2486</v>
      </c>
      <c r="D982" t="s">
        <v>2486</v>
      </c>
      <c r="E982" t="s">
        <v>2807</v>
      </c>
    </row>
    <row r="983" spans="1:5" x14ac:dyDescent="0.2">
      <c r="A983" t="s">
        <v>2808</v>
      </c>
      <c r="B983" t="s">
        <v>2809</v>
      </c>
      <c r="C983" t="s">
        <v>2486</v>
      </c>
      <c r="D983" t="s">
        <v>2486</v>
      </c>
      <c r="E983" t="s">
        <v>2810</v>
      </c>
    </row>
    <row r="984" spans="1:5" x14ac:dyDescent="0.2">
      <c r="A984" t="s">
        <v>2811</v>
      </c>
      <c r="B984" t="s">
        <v>2812</v>
      </c>
      <c r="C984" t="s">
        <v>2486</v>
      </c>
      <c r="D984" t="s">
        <v>2486</v>
      </c>
      <c r="E984" t="s">
        <v>2499</v>
      </c>
    </row>
    <row r="985" spans="1:5" x14ac:dyDescent="0.2">
      <c r="A985" t="s">
        <v>2813</v>
      </c>
      <c r="B985" t="s">
        <v>2814</v>
      </c>
      <c r="C985" t="s">
        <v>2486</v>
      </c>
      <c r="D985" t="s">
        <v>2486</v>
      </c>
      <c r="E985" t="s">
        <v>2499</v>
      </c>
    </row>
    <row r="986" spans="1:5" x14ac:dyDescent="0.2">
      <c r="A986" t="s">
        <v>2815</v>
      </c>
      <c r="B986" t="s">
        <v>2816</v>
      </c>
      <c r="C986" t="s">
        <v>2486</v>
      </c>
      <c r="D986" t="s">
        <v>2486</v>
      </c>
      <c r="E986" t="s">
        <v>2545</v>
      </c>
    </row>
    <row r="987" spans="1:5" x14ac:dyDescent="0.2">
      <c r="A987" t="s">
        <v>2817</v>
      </c>
      <c r="B987" t="s">
        <v>2818</v>
      </c>
      <c r="C987" t="s">
        <v>2486</v>
      </c>
      <c r="D987" t="s">
        <v>2486</v>
      </c>
      <c r="E987" t="s">
        <v>2490</v>
      </c>
    </row>
    <row r="988" spans="1:5" x14ac:dyDescent="0.2">
      <c r="A988" t="s">
        <v>2819</v>
      </c>
      <c r="B988" t="s">
        <v>2820</v>
      </c>
      <c r="C988" t="s">
        <v>2486</v>
      </c>
      <c r="D988" t="s">
        <v>2486</v>
      </c>
      <c r="E988" t="s">
        <v>2821</v>
      </c>
    </row>
    <row r="989" spans="1:5" x14ac:dyDescent="0.2">
      <c r="A989" t="s">
        <v>2822</v>
      </c>
      <c r="B989" t="s">
        <v>2823</v>
      </c>
      <c r="C989" t="s">
        <v>2486</v>
      </c>
      <c r="D989" t="s">
        <v>2486</v>
      </c>
      <c r="E989" t="s">
        <v>2490</v>
      </c>
    </row>
    <row r="990" spans="1:5" x14ac:dyDescent="0.2">
      <c r="A990" t="s">
        <v>2824</v>
      </c>
      <c r="B990" t="s">
        <v>2825</v>
      </c>
      <c r="C990" t="s">
        <v>2486</v>
      </c>
      <c r="D990" t="s">
        <v>2486</v>
      </c>
      <c r="E990" t="s">
        <v>2552</v>
      </c>
    </row>
    <row r="991" spans="1:5" x14ac:dyDescent="0.2">
      <c r="A991" t="s">
        <v>2826</v>
      </c>
      <c r="B991" t="s">
        <v>2827</v>
      </c>
      <c r="C991" t="s">
        <v>2486</v>
      </c>
      <c r="D991" t="s">
        <v>2486</v>
      </c>
      <c r="E991" t="s">
        <v>2552</v>
      </c>
    </row>
    <row r="992" spans="1:5" x14ac:dyDescent="0.2">
      <c r="A992" t="s">
        <v>2828</v>
      </c>
      <c r="B992" t="s">
        <v>2829</v>
      </c>
      <c r="C992" t="s">
        <v>2486</v>
      </c>
      <c r="D992" t="s">
        <v>2486</v>
      </c>
      <c r="E992" t="s">
        <v>2830</v>
      </c>
    </row>
    <row r="993" spans="1:5" x14ac:dyDescent="0.2">
      <c r="A993" t="s">
        <v>2831</v>
      </c>
      <c r="B993" t="s">
        <v>2832</v>
      </c>
      <c r="C993" t="s">
        <v>2486</v>
      </c>
      <c r="D993" t="s">
        <v>2486</v>
      </c>
      <c r="E993" t="s">
        <v>2490</v>
      </c>
    </row>
    <row r="994" spans="1:5" x14ac:dyDescent="0.2">
      <c r="A994" t="s">
        <v>2833</v>
      </c>
      <c r="B994" t="s">
        <v>2834</v>
      </c>
      <c r="C994" t="s">
        <v>2486</v>
      </c>
      <c r="D994" t="s">
        <v>2486</v>
      </c>
      <c r="E994" t="s">
        <v>2555</v>
      </c>
    </row>
    <row r="995" spans="1:5" x14ac:dyDescent="0.2">
      <c r="A995" t="s">
        <v>2835</v>
      </c>
      <c r="B995" t="s">
        <v>2836</v>
      </c>
      <c r="C995" t="s">
        <v>2486</v>
      </c>
      <c r="D995" t="s">
        <v>2486</v>
      </c>
      <c r="E995" t="s">
        <v>2837</v>
      </c>
    </row>
    <row r="996" spans="1:5" x14ac:dyDescent="0.2">
      <c r="A996" t="s">
        <v>2838</v>
      </c>
      <c r="B996" t="s">
        <v>2839</v>
      </c>
      <c r="C996" t="s">
        <v>2486</v>
      </c>
      <c r="D996" t="s">
        <v>2486</v>
      </c>
      <c r="E996" t="s">
        <v>2642</v>
      </c>
    </row>
    <row r="997" spans="1:5" x14ac:dyDescent="0.2">
      <c r="A997" t="s">
        <v>2840</v>
      </c>
      <c r="B997" t="s">
        <v>2841</v>
      </c>
      <c r="C997" t="s">
        <v>2486</v>
      </c>
      <c r="D997" t="s">
        <v>2486</v>
      </c>
      <c r="E997" t="s">
        <v>2505</v>
      </c>
    </row>
    <row r="998" spans="1:5" x14ac:dyDescent="0.2">
      <c r="A998" t="s">
        <v>2842</v>
      </c>
      <c r="B998" t="s">
        <v>2843</v>
      </c>
      <c r="C998" t="s">
        <v>2486</v>
      </c>
      <c r="D998" t="s">
        <v>2486</v>
      </c>
      <c r="E998" t="s">
        <v>2490</v>
      </c>
    </row>
    <row r="999" spans="1:5" x14ac:dyDescent="0.2">
      <c r="A999" t="s">
        <v>2844</v>
      </c>
      <c r="B999" t="s">
        <v>2845</v>
      </c>
      <c r="C999" t="s">
        <v>2486</v>
      </c>
      <c r="D999" t="s">
        <v>2486</v>
      </c>
      <c r="E999" t="s">
        <v>2505</v>
      </c>
    </row>
    <row r="1000" spans="1:5" x14ac:dyDescent="0.2">
      <c r="A1000" t="s">
        <v>2846</v>
      </c>
      <c r="B1000" t="s">
        <v>2847</v>
      </c>
      <c r="C1000" t="s">
        <v>2486</v>
      </c>
      <c r="D1000" t="s">
        <v>2486</v>
      </c>
      <c r="E1000" t="s">
        <v>2555</v>
      </c>
    </row>
    <row r="1001" spans="1:5" x14ac:dyDescent="0.2">
      <c r="A1001" t="s">
        <v>2848</v>
      </c>
      <c r="B1001" t="s">
        <v>2849</v>
      </c>
      <c r="C1001" t="s">
        <v>2486</v>
      </c>
      <c r="D1001" t="s">
        <v>2486</v>
      </c>
      <c r="E1001" t="s">
        <v>2850</v>
      </c>
    </row>
    <row r="1002" spans="1:5" x14ac:dyDescent="0.2">
      <c r="A1002" t="s">
        <v>2851</v>
      </c>
      <c r="B1002" t="s">
        <v>2852</v>
      </c>
      <c r="C1002" t="s">
        <v>2486</v>
      </c>
      <c r="D1002" t="s">
        <v>2486</v>
      </c>
      <c r="E1002" t="s">
        <v>2853</v>
      </c>
    </row>
    <row r="1003" spans="1:5" x14ac:dyDescent="0.2">
      <c r="A1003" t="s">
        <v>2854</v>
      </c>
      <c r="B1003" t="s">
        <v>2855</v>
      </c>
      <c r="C1003" t="s">
        <v>2486</v>
      </c>
      <c r="D1003" t="s">
        <v>2486</v>
      </c>
      <c r="E1003" t="s">
        <v>2490</v>
      </c>
    </row>
    <row r="1004" spans="1:5" x14ac:dyDescent="0.2">
      <c r="A1004" t="s">
        <v>2856</v>
      </c>
      <c r="B1004" t="s">
        <v>2857</v>
      </c>
      <c r="C1004" t="s">
        <v>2486</v>
      </c>
      <c r="D1004" t="s">
        <v>2486</v>
      </c>
      <c r="E1004" t="s">
        <v>2858</v>
      </c>
    </row>
    <row r="1005" spans="1:5" x14ac:dyDescent="0.2">
      <c r="A1005" t="s">
        <v>2859</v>
      </c>
      <c r="B1005" t="s">
        <v>2860</v>
      </c>
      <c r="C1005" t="s">
        <v>2486</v>
      </c>
      <c r="D1005" t="s">
        <v>2486</v>
      </c>
      <c r="E1005" t="s">
        <v>2555</v>
      </c>
    </row>
    <row r="1006" spans="1:5" x14ac:dyDescent="0.2">
      <c r="A1006" t="s">
        <v>2861</v>
      </c>
      <c r="B1006" t="s">
        <v>2862</v>
      </c>
      <c r="C1006" t="s">
        <v>2486</v>
      </c>
      <c r="D1006" t="s">
        <v>2486</v>
      </c>
      <c r="E1006" t="s">
        <v>2863</v>
      </c>
    </row>
    <row r="1007" spans="1:5" x14ac:dyDescent="0.2">
      <c r="A1007" t="s">
        <v>2864</v>
      </c>
      <c r="B1007" t="s">
        <v>2865</v>
      </c>
      <c r="C1007" t="s">
        <v>2486</v>
      </c>
      <c r="D1007" t="s">
        <v>2486</v>
      </c>
      <c r="E1007" t="s">
        <v>2505</v>
      </c>
    </row>
    <row r="1008" spans="1:5" x14ac:dyDescent="0.2">
      <c r="A1008" t="s">
        <v>2866</v>
      </c>
      <c r="B1008" t="s">
        <v>2867</v>
      </c>
      <c r="C1008" t="s">
        <v>2486</v>
      </c>
      <c r="D1008" t="s">
        <v>2486</v>
      </c>
      <c r="E1008" t="s">
        <v>2490</v>
      </c>
    </row>
    <row r="1009" spans="1:5" x14ac:dyDescent="0.2">
      <c r="A1009" t="s">
        <v>2868</v>
      </c>
      <c r="B1009" t="s">
        <v>2869</v>
      </c>
      <c r="C1009" t="s">
        <v>2486</v>
      </c>
      <c r="D1009" t="s">
        <v>2486</v>
      </c>
      <c r="E1009" t="s">
        <v>2870</v>
      </c>
    </row>
    <row r="1010" spans="1:5" x14ac:dyDescent="0.2">
      <c r="A1010" t="s">
        <v>2871</v>
      </c>
      <c r="B1010" t="s">
        <v>2872</v>
      </c>
      <c r="C1010" t="s">
        <v>2486</v>
      </c>
      <c r="D1010" t="s">
        <v>2486</v>
      </c>
      <c r="E1010" t="s">
        <v>2521</v>
      </c>
    </row>
    <row r="1011" spans="1:5" x14ac:dyDescent="0.2">
      <c r="A1011" t="s">
        <v>2873</v>
      </c>
      <c r="B1011" t="s">
        <v>2874</v>
      </c>
      <c r="C1011" t="s">
        <v>2486</v>
      </c>
      <c r="D1011" t="s">
        <v>2486</v>
      </c>
      <c r="E1011" t="s">
        <v>2490</v>
      </c>
    </row>
    <row r="1012" spans="1:5" x14ac:dyDescent="0.2">
      <c r="A1012" t="s">
        <v>2875</v>
      </c>
      <c r="B1012" t="s">
        <v>2876</v>
      </c>
      <c r="C1012" t="s">
        <v>2486</v>
      </c>
      <c r="D1012" t="s">
        <v>2486</v>
      </c>
      <c r="E1012" t="s">
        <v>2552</v>
      </c>
    </row>
    <row r="1013" spans="1:5" x14ac:dyDescent="0.2">
      <c r="A1013" t="s">
        <v>2877</v>
      </c>
      <c r="B1013" t="s">
        <v>2878</v>
      </c>
      <c r="C1013" t="s">
        <v>2486</v>
      </c>
      <c r="D1013" t="s">
        <v>2486</v>
      </c>
      <c r="E1013" t="s">
        <v>2499</v>
      </c>
    </row>
    <row r="1014" spans="1:5" x14ac:dyDescent="0.2">
      <c r="A1014" t="s">
        <v>2879</v>
      </c>
      <c r="B1014" t="s">
        <v>2880</v>
      </c>
      <c r="C1014" t="s">
        <v>2486</v>
      </c>
      <c r="D1014" t="s">
        <v>2486</v>
      </c>
      <c r="E1014" t="s">
        <v>2545</v>
      </c>
    </row>
    <row r="1015" spans="1:5" x14ac:dyDescent="0.2">
      <c r="A1015" t="s">
        <v>2881</v>
      </c>
      <c r="B1015" t="s">
        <v>2882</v>
      </c>
      <c r="C1015" t="s">
        <v>2486</v>
      </c>
      <c r="D1015" t="s">
        <v>2486</v>
      </c>
      <c r="E1015" t="s">
        <v>2883</v>
      </c>
    </row>
    <row r="1016" spans="1:5" x14ac:dyDescent="0.2">
      <c r="A1016" t="s">
        <v>2884</v>
      </c>
      <c r="B1016" t="s">
        <v>2885</v>
      </c>
      <c r="C1016" t="s">
        <v>2486</v>
      </c>
      <c r="D1016" t="s">
        <v>2486</v>
      </c>
      <c r="E1016" t="s">
        <v>2552</v>
      </c>
    </row>
    <row r="1017" spans="1:5" x14ac:dyDescent="0.2">
      <c r="A1017" t="s">
        <v>2886</v>
      </c>
      <c r="B1017" t="s">
        <v>2887</v>
      </c>
      <c r="C1017" t="s">
        <v>2486</v>
      </c>
      <c r="D1017" t="s">
        <v>2486</v>
      </c>
      <c r="E1017" t="s">
        <v>2521</v>
      </c>
    </row>
    <row r="1018" spans="1:5" x14ac:dyDescent="0.2">
      <c r="A1018" t="s">
        <v>2888</v>
      </c>
      <c r="B1018" t="s">
        <v>2889</v>
      </c>
      <c r="C1018" t="s">
        <v>2486</v>
      </c>
      <c r="D1018" t="s">
        <v>2486</v>
      </c>
      <c r="E1018" t="s">
        <v>2890</v>
      </c>
    </row>
    <row r="1019" spans="1:5" x14ac:dyDescent="0.2">
      <c r="A1019" t="s">
        <v>2891</v>
      </c>
      <c r="B1019" t="s">
        <v>2892</v>
      </c>
      <c r="C1019" t="s">
        <v>2486</v>
      </c>
      <c r="D1019" t="s">
        <v>2486</v>
      </c>
      <c r="E1019" t="s">
        <v>2545</v>
      </c>
    </row>
    <row r="1020" spans="1:5" x14ac:dyDescent="0.2">
      <c r="A1020" t="s">
        <v>2893</v>
      </c>
      <c r="B1020" t="s">
        <v>2894</v>
      </c>
      <c r="C1020" t="s">
        <v>2486</v>
      </c>
      <c r="D1020" t="s">
        <v>2486</v>
      </c>
      <c r="E1020" t="s">
        <v>2895</v>
      </c>
    </row>
    <row r="1021" spans="1:5" x14ac:dyDescent="0.2">
      <c r="A1021" t="s">
        <v>2896</v>
      </c>
      <c r="B1021" t="s">
        <v>2897</v>
      </c>
      <c r="C1021" t="s">
        <v>2486</v>
      </c>
      <c r="D1021" t="s">
        <v>2486</v>
      </c>
      <c r="E1021" t="s">
        <v>2490</v>
      </c>
    </row>
    <row r="1022" spans="1:5" x14ac:dyDescent="0.2">
      <c r="A1022" t="s">
        <v>2898</v>
      </c>
      <c r="B1022" t="s">
        <v>2899</v>
      </c>
      <c r="C1022" t="s">
        <v>2486</v>
      </c>
      <c r="D1022" t="s">
        <v>2486</v>
      </c>
      <c r="E1022" t="s">
        <v>2900</v>
      </c>
    </row>
    <row r="1023" spans="1:5" x14ac:dyDescent="0.2">
      <c r="A1023" t="s">
        <v>2901</v>
      </c>
      <c r="B1023" t="s">
        <v>2902</v>
      </c>
      <c r="C1023" t="s">
        <v>2486</v>
      </c>
      <c r="D1023" t="s">
        <v>2486</v>
      </c>
      <c r="E1023" t="s">
        <v>2555</v>
      </c>
    </row>
    <row r="1024" spans="1:5" x14ac:dyDescent="0.2">
      <c r="A1024" t="s">
        <v>2903</v>
      </c>
      <c r="B1024" t="s">
        <v>2904</v>
      </c>
      <c r="C1024" t="s">
        <v>2486</v>
      </c>
      <c r="D1024" t="s">
        <v>2486</v>
      </c>
      <c r="E1024" t="s">
        <v>2505</v>
      </c>
    </row>
    <row r="1025" spans="1:5" x14ac:dyDescent="0.2">
      <c r="A1025" t="s">
        <v>2905</v>
      </c>
      <c r="B1025" t="s">
        <v>2906</v>
      </c>
      <c r="C1025" t="s">
        <v>2486</v>
      </c>
      <c r="D1025" t="s">
        <v>2486</v>
      </c>
      <c r="E1025" t="s">
        <v>2555</v>
      </c>
    </row>
    <row r="1026" spans="1:5" x14ac:dyDescent="0.2">
      <c r="A1026" t="s">
        <v>2907</v>
      </c>
      <c r="B1026" t="s">
        <v>2908</v>
      </c>
      <c r="C1026" t="s">
        <v>2486</v>
      </c>
      <c r="D1026" t="s">
        <v>2486</v>
      </c>
      <c r="E1026" t="s">
        <v>2552</v>
      </c>
    </row>
    <row r="1027" spans="1:5" x14ac:dyDescent="0.2">
      <c r="A1027" t="s">
        <v>2909</v>
      </c>
      <c r="B1027" t="s">
        <v>2910</v>
      </c>
      <c r="C1027" t="s">
        <v>2486</v>
      </c>
      <c r="D1027" t="s">
        <v>2486</v>
      </c>
      <c r="E1027" t="s">
        <v>2505</v>
      </c>
    </row>
    <row r="1028" spans="1:5" x14ac:dyDescent="0.2">
      <c r="A1028" t="s">
        <v>2911</v>
      </c>
      <c r="B1028" t="s">
        <v>2912</v>
      </c>
      <c r="C1028" t="s">
        <v>2486</v>
      </c>
      <c r="D1028" t="s">
        <v>2486</v>
      </c>
      <c r="E1028" t="s">
        <v>2499</v>
      </c>
    </row>
    <row r="1029" spans="1:5" x14ac:dyDescent="0.2">
      <c r="A1029" t="s">
        <v>2913</v>
      </c>
      <c r="B1029" t="s">
        <v>2914</v>
      </c>
      <c r="C1029" t="s">
        <v>2486</v>
      </c>
      <c r="D1029" t="s">
        <v>2486</v>
      </c>
      <c r="E1029" t="s">
        <v>2718</v>
      </c>
    </row>
    <row r="1030" spans="1:5" x14ac:dyDescent="0.2">
      <c r="A1030" t="s">
        <v>2915</v>
      </c>
      <c r="B1030" t="s">
        <v>2916</v>
      </c>
      <c r="C1030" t="s">
        <v>2486</v>
      </c>
      <c r="D1030" t="s">
        <v>2486</v>
      </c>
      <c r="E1030" t="s">
        <v>2505</v>
      </c>
    </row>
    <row r="1031" spans="1:5" x14ac:dyDescent="0.2">
      <c r="A1031" t="s">
        <v>2917</v>
      </c>
      <c r="B1031" t="s">
        <v>2918</v>
      </c>
      <c r="C1031" t="s">
        <v>2486</v>
      </c>
      <c r="D1031" t="s">
        <v>2486</v>
      </c>
      <c r="E1031" t="s">
        <v>2490</v>
      </c>
    </row>
    <row r="1032" spans="1:5" x14ac:dyDescent="0.2">
      <c r="A1032" t="s">
        <v>2919</v>
      </c>
      <c r="B1032" t="s">
        <v>2920</v>
      </c>
      <c r="C1032" t="s">
        <v>2486</v>
      </c>
      <c r="D1032" t="s">
        <v>2486</v>
      </c>
      <c r="E1032" t="s">
        <v>2921</v>
      </c>
    </row>
    <row r="1033" spans="1:5" x14ac:dyDescent="0.2">
      <c r="A1033" t="s">
        <v>2922</v>
      </c>
      <c r="B1033" t="s">
        <v>2923</v>
      </c>
      <c r="C1033" t="s">
        <v>2486</v>
      </c>
      <c r="D1033" t="e">
        <v>#N/A</v>
      </c>
      <c r="E1033" t="e">
        <v>#N/A</v>
      </c>
    </row>
    <row r="1034" spans="1:5" x14ac:dyDescent="0.2">
      <c r="A1034" t="s">
        <v>2924</v>
      </c>
      <c r="B1034" t="s">
        <v>2925</v>
      </c>
      <c r="C1034" t="s">
        <v>2486</v>
      </c>
      <c r="D1034" t="e">
        <v>#N/A</v>
      </c>
      <c r="E1034" t="e">
        <v>#N/A</v>
      </c>
    </row>
    <row r="1035" spans="1:5" x14ac:dyDescent="0.2">
      <c r="A1035" t="s">
        <v>2926</v>
      </c>
      <c r="B1035" t="s">
        <v>2927</v>
      </c>
      <c r="C1035" t="s">
        <v>2928</v>
      </c>
      <c r="D1035" t="s">
        <v>2928</v>
      </c>
      <c r="E1035" t="s">
        <v>2929</v>
      </c>
    </row>
    <row r="1036" spans="1:5" x14ac:dyDescent="0.2">
      <c r="A1036" t="s">
        <v>2930</v>
      </c>
      <c r="B1036" t="s">
        <v>2931</v>
      </c>
      <c r="C1036" t="s">
        <v>2928</v>
      </c>
      <c r="D1036" t="e">
        <v>#N/A</v>
      </c>
      <c r="E1036" t="e">
        <v>#N/A</v>
      </c>
    </row>
    <row r="1037" spans="1:5" x14ac:dyDescent="0.2">
      <c r="A1037" t="s">
        <v>2932</v>
      </c>
      <c r="B1037" t="s">
        <v>2933</v>
      </c>
      <c r="C1037" t="s">
        <v>2928</v>
      </c>
      <c r="D1037" t="s">
        <v>2928</v>
      </c>
      <c r="E1037" t="s">
        <v>2934</v>
      </c>
    </row>
    <row r="1038" spans="1:5" x14ac:dyDescent="0.2">
      <c r="A1038" t="s">
        <v>2935</v>
      </c>
      <c r="B1038" t="s">
        <v>2936</v>
      </c>
      <c r="C1038" t="s">
        <v>2928</v>
      </c>
      <c r="D1038" t="s">
        <v>2928</v>
      </c>
      <c r="E1038" t="s">
        <v>2937</v>
      </c>
    </row>
    <row r="1039" spans="1:5" x14ac:dyDescent="0.2">
      <c r="A1039" t="s">
        <v>2938</v>
      </c>
      <c r="B1039" t="s">
        <v>2939</v>
      </c>
      <c r="C1039" t="s">
        <v>2928</v>
      </c>
      <c r="D1039" t="s">
        <v>2928</v>
      </c>
      <c r="E1039" t="s">
        <v>2940</v>
      </c>
    </row>
    <row r="1040" spans="1:5" x14ac:dyDescent="0.2">
      <c r="A1040" t="s">
        <v>2941</v>
      </c>
      <c r="B1040" t="s">
        <v>2942</v>
      </c>
      <c r="C1040" t="s">
        <v>2928</v>
      </c>
      <c r="D1040" t="s">
        <v>2928</v>
      </c>
      <c r="E1040" t="s">
        <v>2929</v>
      </c>
    </row>
    <row r="1041" spans="1:5" x14ac:dyDescent="0.2">
      <c r="A1041" t="s">
        <v>2943</v>
      </c>
      <c r="B1041" t="s">
        <v>2944</v>
      </c>
      <c r="C1041" t="s">
        <v>2928</v>
      </c>
      <c r="D1041" t="s">
        <v>2928</v>
      </c>
      <c r="E1041" t="s">
        <v>2937</v>
      </c>
    </row>
    <row r="1042" spans="1:5" x14ac:dyDescent="0.2">
      <c r="A1042" t="s">
        <v>2945</v>
      </c>
      <c r="B1042" t="s">
        <v>2946</v>
      </c>
      <c r="C1042" t="s">
        <v>2928</v>
      </c>
      <c r="D1042" t="s">
        <v>2928</v>
      </c>
      <c r="E1042" t="s">
        <v>2929</v>
      </c>
    </row>
    <row r="1043" spans="1:5" x14ac:dyDescent="0.2">
      <c r="A1043" t="s">
        <v>2947</v>
      </c>
      <c r="B1043" t="s">
        <v>2948</v>
      </c>
      <c r="C1043" t="s">
        <v>2928</v>
      </c>
      <c r="D1043" t="s">
        <v>2928</v>
      </c>
      <c r="E1043" t="s">
        <v>2937</v>
      </c>
    </row>
    <row r="1044" spans="1:5" x14ac:dyDescent="0.2">
      <c r="A1044" t="s">
        <v>2949</v>
      </c>
      <c r="B1044" t="s">
        <v>2950</v>
      </c>
      <c r="C1044" t="s">
        <v>2928</v>
      </c>
      <c r="D1044" t="s">
        <v>2928</v>
      </c>
      <c r="E1044" t="s">
        <v>2929</v>
      </c>
    </row>
    <row r="1045" spans="1:5" x14ac:dyDescent="0.2">
      <c r="A1045" t="s">
        <v>2951</v>
      </c>
      <c r="B1045" t="s">
        <v>2952</v>
      </c>
      <c r="C1045" t="s">
        <v>2928</v>
      </c>
      <c r="D1045" t="s">
        <v>2928</v>
      </c>
      <c r="E1045" t="s">
        <v>2937</v>
      </c>
    </row>
    <row r="1046" spans="1:5" x14ac:dyDescent="0.2">
      <c r="A1046" t="s">
        <v>2953</v>
      </c>
      <c r="B1046" t="s">
        <v>2954</v>
      </c>
      <c r="C1046" t="s">
        <v>2928</v>
      </c>
      <c r="D1046" t="s">
        <v>2928</v>
      </c>
      <c r="E1046" t="s">
        <v>2955</v>
      </c>
    </row>
    <row r="1047" spans="1:5" x14ac:dyDescent="0.2">
      <c r="A1047" t="s">
        <v>2956</v>
      </c>
      <c r="B1047" t="s">
        <v>2957</v>
      </c>
      <c r="C1047" t="s">
        <v>2928</v>
      </c>
      <c r="D1047" t="s">
        <v>2928</v>
      </c>
      <c r="E1047" t="s">
        <v>2937</v>
      </c>
    </row>
    <row r="1048" spans="1:5" x14ac:dyDescent="0.2">
      <c r="A1048" t="s">
        <v>2958</v>
      </c>
      <c r="B1048" t="s">
        <v>2959</v>
      </c>
      <c r="C1048" t="s">
        <v>2928</v>
      </c>
      <c r="D1048" t="s">
        <v>2928</v>
      </c>
      <c r="E1048" t="s">
        <v>2937</v>
      </c>
    </row>
    <row r="1049" spans="1:5" x14ac:dyDescent="0.2">
      <c r="A1049" t="s">
        <v>2960</v>
      </c>
      <c r="B1049" t="s">
        <v>2961</v>
      </c>
      <c r="C1049" t="s">
        <v>2928</v>
      </c>
      <c r="D1049" t="s">
        <v>2928</v>
      </c>
      <c r="E1049" t="s">
        <v>2962</v>
      </c>
    </row>
    <row r="1050" spans="1:5" x14ac:dyDescent="0.2">
      <c r="A1050" t="s">
        <v>2963</v>
      </c>
      <c r="B1050" t="s">
        <v>2964</v>
      </c>
      <c r="C1050" t="s">
        <v>2928</v>
      </c>
      <c r="D1050" t="s">
        <v>2928</v>
      </c>
      <c r="E1050" t="s">
        <v>2937</v>
      </c>
    </row>
    <row r="1051" spans="1:5" x14ac:dyDescent="0.2">
      <c r="A1051" t="s">
        <v>2965</v>
      </c>
      <c r="B1051" t="s">
        <v>2966</v>
      </c>
      <c r="C1051" t="s">
        <v>2928</v>
      </c>
      <c r="D1051" t="s">
        <v>2928</v>
      </c>
      <c r="E1051" t="s">
        <v>2937</v>
      </c>
    </row>
    <row r="1052" spans="1:5" x14ac:dyDescent="0.2">
      <c r="A1052" t="s">
        <v>2967</v>
      </c>
      <c r="B1052" t="s">
        <v>2968</v>
      </c>
      <c r="C1052" t="s">
        <v>2928</v>
      </c>
      <c r="D1052" t="s">
        <v>2928</v>
      </c>
      <c r="E1052" t="s">
        <v>2937</v>
      </c>
    </row>
    <row r="1053" spans="1:5" x14ac:dyDescent="0.2">
      <c r="A1053" t="s">
        <v>2969</v>
      </c>
      <c r="B1053" t="s">
        <v>2970</v>
      </c>
      <c r="C1053" t="s">
        <v>2928</v>
      </c>
      <c r="D1053" t="s">
        <v>2928</v>
      </c>
      <c r="E1053" t="s">
        <v>2937</v>
      </c>
    </row>
    <row r="1054" spans="1:5" x14ac:dyDescent="0.2">
      <c r="A1054" t="s">
        <v>2971</v>
      </c>
      <c r="B1054" t="s">
        <v>2972</v>
      </c>
      <c r="C1054" t="s">
        <v>2928</v>
      </c>
      <c r="D1054" t="s">
        <v>2928</v>
      </c>
      <c r="E1054" t="s">
        <v>2973</v>
      </c>
    </row>
    <row r="1055" spans="1:5" x14ac:dyDescent="0.2">
      <c r="A1055" t="s">
        <v>2974</v>
      </c>
      <c r="B1055" t="s">
        <v>2975</v>
      </c>
      <c r="C1055" t="s">
        <v>2928</v>
      </c>
      <c r="D1055" t="s">
        <v>2928</v>
      </c>
      <c r="E1055" t="s">
        <v>2976</v>
      </c>
    </row>
    <row r="1056" spans="1:5" x14ac:dyDescent="0.2">
      <c r="A1056" t="s">
        <v>2977</v>
      </c>
      <c r="B1056" t="s">
        <v>2978</v>
      </c>
      <c r="C1056" t="s">
        <v>2928</v>
      </c>
      <c r="D1056" t="s">
        <v>2928</v>
      </c>
      <c r="E1056" t="s">
        <v>2979</v>
      </c>
    </row>
    <row r="1057" spans="1:5" x14ac:dyDescent="0.2">
      <c r="A1057" t="s">
        <v>2980</v>
      </c>
      <c r="B1057" t="s">
        <v>2981</v>
      </c>
      <c r="C1057" t="s">
        <v>2928</v>
      </c>
      <c r="D1057" t="s">
        <v>2928</v>
      </c>
      <c r="E1057" t="s">
        <v>2937</v>
      </c>
    </row>
    <row r="1058" spans="1:5" x14ac:dyDescent="0.2">
      <c r="A1058" t="s">
        <v>2982</v>
      </c>
      <c r="B1058" t="s">
        <v>2983</v>
      </c>
      <c r="C1058" t="s">
        <v>2928</v>
      </c>
      <c r="D1058" t="s">
        <v>2928</v>
      </c>
      <c r="E1058" t="s">
        <v>2929</v>
      </c>
    </row>
    <row r="1059" spans="1:5" x14ac:dyDescent="0.2">
      <c r="A1059" t="s">
        <v>2984</v>
      </c>
      <c r="B1059" t="s">
        <v>2985</v>
      </c>
      <c r="C1059" t="s">
        <v>2928</v>
      </c>
      <c r="D1059" t="s">
        <v>2928</v>
      </c>
      <c r="E1059" t="s">
        <v>2937</v>
      </c>
    </row>
    <row r="1060" spans="1:5" x14ac:dyDescent="0.2">
      <c r="A1060" t="s">
        <v>2986</v>
      </c>
      <c r="B1060" t="s">
        <v>2987</v>
      </c>
      <c r="C1060" t="s">
        <v>2928</v>
      </c>
      <c r="D1060" t="s">
        <v>2928</v>
      </c>
      <c r="E1060" t="s">
        <v>2988</v>
      </c>
    </row>
    <row r="1061" spans="1:5" x14ac:dyDescent="0.2">
      <c r="A1061" t="s">
        <v>2989</v>
      </c>
      <c r="B1061" t="s">
        <v>2990</v>
      </c>
      <c r="C1061" t="s">
        <v>2928</v>
      </c>
      <c r="D1061" t="s">
        <v>2928</v>
      </c>
      <c r="E1061" t="s">
        <v>2937</v>
      </c>
    </row>
    <row r="1062" spans="1:5" x14ac:dyDescent="0.2">
      <c r="A1062" t="s">
        <v>2991</v>
      </c>
      <c r="B1062" t="s">
        <v>2992</v>
      </c>
      <c r="C1062" t="s">
        <v>2928</v>
      </c>
      <c r="D1062" t="s">
        <v>2928</v>
      </c>
      <c r="E1062" t="s">
        <v>2937</v>
      </c>
    </row>
    <row r="1063" spans="1:5" x14ac:dyDescent="0.2">
      <c r="A1063" t="s">
        <v>2993</v>
      </c>
      <c r="B1063" t="s">
        <v>2994</v>
      </c>
      <c r="C1063" t="s">
        <v>2928</v>
      </c>
      <c r="D1063" t="s">
        <v>2928</v>
      </c>
      <c r="E1063" t="s">
        <v>2937</v>
      </c>
    </row>
    <row r="1064" spans="1:5" x14ac:dyDescent="0.2">
      <c r="A1064" t="s">
        <v>2995</v>
      </c>
      <c r="B1064" t="s">
        <v>2996</v>
      </c>
      <c r="C1064" t="s">
        <v>2928</v>
      </c>
      <c r="D1064" t="s">
        <v>2928</v>
      </c>
      <c r="E1064" t="s">
        <v>2929</v>
      </c>
    </row>
    <row r="1065" spans="1:5" x14ac:dyDescent="0.2">
      <c r="A1065" t="s">
        <v>2997</v>
      </c>
      <c r="B1065" t="s">
        <v>2998</v>
      </c>
      <c r="C1065" t="s">
        <v>2928</v>
      </c>
      <c r="D1065" t="s">
        <v>2928</v>
      </c>
      <c r="E1065" t="s">
        <v>2937</v>
      </c>
    </row>
    <row r="1066" spans="1:5" x14ac:dyDescent="0.2">
      <c r="A1066" t="s">
        <v>2999</v>
      </c>
      <c r="B1066" t="s">
        <v>3000</v>
      </c>
      <c r="C1066" t="s">
        <v>2928</v>
      </c>
      <c r="D1066" t="e">
        <v>#N/A</v>
      </c>
      <c r="E1066" t="e">
        <v>#N/A</v>
      </c>
    </row>
    <row r="1067" spans="1:5" x14ac:dyDescent="0.2">
      <c r="A1067" t="s">
        <v>3001</v>
      </c>
      <c r="B1067" t="s">
        <v>3002</v>
      </c>
      <c r="C1067" t="s">
        <v>2928</v>
      </c>
      <c r="D1067" t="s">
        <v>2928</v>
      </c>
      <c r="E1067" t="s">
        <v>3003</v>
      </c>
    </row>
    <row r="1068" spans="1:5" x14ac:dyDescent="0.2">
      <c r="A1068" t="s">
        <v>3004</v>
      </c>
      <c r="B1068" t="s">
        <v>3005</v>
      </c>
      <c r="C1068" t="s">
        <v>2928</v>
      </c>
      <c r="D1068" t="e">
        <v>#N/A</v>
      </c>
      <c r="E1068" t="e">
        <v>#N/A</v>
      </c>
    </row>
    <row r="1069" spans="1:5" x14ac:dyDescent="0.2">
      <c r="A1069" t="s">
        <v>3006</v>
      </c>
      <c r="B1069" t="s">
        <v>3007</v>
      </c>
      <c r="C1069" t="s">
        <v>2928</v>
      </c>
      <c r="D1069" t="s">
        <v>2928</v>
      </c>
      <c r="E1069" t="s">
        <v>2929</v>
      </c>
    </row>
    <row r="1070" spans="1:5" x14ac:dyDescent="0.2">
      <c r="A1070" t="s">
        <v>3008</v>
      </c>
      <c r="B1070" t="s">
        <v>3009</v>
      </c>
      <c r="C1070" t="s">
        <v>2928</v>
      </c>
      <c r="D1070" t="s">
        <v>2928</v>
      </c>
      <c r="E1070" t="s">
        <v>2937</v>
      </c>
    </row>
    <row r="1071" spans="1:5" x14ac:dyDescent="0.2">
      <c r="A1071" t="s">
        <v>3010</v>
      </c>
      <c r="B1071" t="s">
        <v>3011</v>
      </c>
      <c r="C1071" t="s">
        <v>2928</v>
      </c>
      <c r="D1071" t="s">
        <v>2928</v>
      </c>
      <c r="E1071" t="s">
        <v>2937</v>
      </c>
    </row>
    <row r="1072" spans="1:5" x14ac:dyDescent="0.2">
      <c r="A1072" t="s">
        <v>3012</v>
      </c>
      <c r="B1072" t="s">
        <v>3013</v>
      </c>
      <c r="C1072" t="s">
        <v>2928</v>
      </c>
      <c r="D1072" t="e">
        <v>#N/A</v>
      </c>
      <c r="E1072" t="e">
        <v>#N/A</v>
      </c>
    </row>
    <row r="1073" spans="1:5" x14ac:dyDescent="0.2">
      <c r="A1073" t="s">
        <v>3014</v>
      </c>
      <c r="B1073" t="s">
        <v>3015</v>
      </c>
      <c r="C1073" t="s">
        <v>2928</v>
      </c>
      <c r="D1073" t="s">
        <v>2928</v>
      </c>
      <c r="E1073" t="s">
        <v>2937</v>
      </c>
    </row>
    <row r="1074" spans="1:5" x14ac:dyDescent="0.2">
      <c r="A1074" t="s">
        <v>3016</v>
      </c>
      <c r="B1074" t="s">
        <v>3017</v>
      </c>
      <c r="C1074" t="s">
        <v>2928</v>
      </c>
      <c r="D1074" t="s">
        <v>2928</v>
      </c>
      <c r="E1074" t="s">
        <v>3018</v>
      </c>
    </row>
    <row r="1075" spans="1:5" x14ac:dyDescent="0.2">
      <c r="A1075" t="s">
        <v>3019</v>
      </c>
      <c r="B1075" t="s">
        <v>3020</v>
      </c>
      <c r="C1075" t="s">
        <v>2928</v>
      </c>
      <c r="D1075" t="s">
        <v>2928</v>
      </c>
      <c r="E1075" t="s">
        <v>3021</v>
      </c>
    </row>
    <row r="1076" spans="1:5" x14ac:dyDescent="0.2">
      <c r="A1076" t="s">
        <v>3022</v>
      </c>
      <c r="B1076" t="s">
        <v>3023</v>
      </c>
      <c r="C1076" t="s">
        <v>2928</v>
      </c>
      <c r="D1076" t="s">
        <v>2928</v>
      </c>
      <c r="E1076" t="s">
        <v>2937</v>
      </c>
    </row>
    <row r="1077" spans="1:5" x14ac:dyDescent="0.2">
      <c r="A1077" t="s">
        <v>3024</v>
      </c>
      <c r="B1077" t="s">
        <v>3025</v>
      </c>
      <c r="C1077" t="s">
        <v>2928</v>
      </c>
      <c r="D1077" t="s">
        <v>2928</v>
      </c>
      <c r="E1077" t="s">
        <v>2937</v>
      </c>
    </row>
    <row r="1078" spans="1:5" x14ac:dyDescent="0.2">
      <c r="A1078" t="s">
        <v>3026</v>
      </c>
      <c r="B1078" t="s">
        <v>3027</v>
      </c>
      <c r="C1078" t="s">
        <v>2928</v>
      </c>
      <c r="D1078" t="s">
        <v>2928</v>
      </c>
      <c r="E1078" t="s">
        <v>3028</v>
      </c>
    </row>
    <row r="1079" spans="1:5" x14ac:dyDescent="0.2">
      <c r="A1079" t="s">
        <v>3029</v>
      </c>
      <c r="B1079" t="s">
        <v>3030</v>
      </c>
      <c r="C1079" t="s">
        <v>2928</v>
      </c>
      <c r="D1079" t="s">
        <v>2928</v>
      </c>
      <c r="E1079" t="s">
        <v>2937</v>
      </c>
    </row>
    <row r="1080" spans="1:5" x14ac:dyDescent="0.2">
      <c r="A1080" t="s">
        <v>3031</v>
      </c>
      <c r="B1080" t="s">
        <v>3032</v>
      </c>
      <c r="C1080" t="s">
        <v>2928</v>
      </c>
      <c r="D1080" t="s">
        <v>2928</v>
      </c>
      <c r="E1080" t="s">
        <v>2929</v>
      </c>
    </row>
    <row r="1081" spans="1:5" x14ac:dyDescent="0.2">
      <c r="A1081" t="s">
        <v>3033</v>
      </c>
      <c r="B1081" t="s">
        <v>3034</v>
      </c>
      <c r="C1081" t="s">
        <v>2928</v>
      </c>
      <c r="D1081" t="s">
        <v>2928</v>
      </c>
      <c r="E1081" t="s">
        <v>2929</v>
      </c>
    </row>
    <row r="1082" spans="1:5" x14ac:dyDescent="0.2">
      <c r="A1082" t="s">
        <v>3035</v>
      </c>
      <c r="B1082" t="s">
        <v>3036</v>
      </c>
      <c r="C1082" t="s">
        <v>2928</v>
      </c>
      <c r="D1082" t="s">
        <v>2928</v>
      </c>
      <c r="E1082" t="s">
        <v>2937</v>
      </c>
    </row>
    <row r="1083" spans="1:5" x14ac:dyDescent="0.2">
      <c r="A1083" t="s">
        <v>3037</v>
      </c>
      <c r="B1083" t="s">
        <v>3038</v>
      </c>
      <c r="C1083" t="s">
        <v>2928</v>
      </c>
      <c r="D1083" t="s">
        <v>2928</v>
      </c>
      <c r="E1083" t="s">
        <v>2937</v>
      </c>
    </row>
    <row r="1084" spans="1:5" x14ac:dyDescent="0.2">
      <c r="A1084" t="s">
        <v>3039</v>
      </c>
      <c r="B1084" t="s">
        <v>3040</v>
      </c>
      <c r="C1084" t="s">
        <v>2928</v>
      </c>
      <c r="D1084" t="s">
        <v>2928</v>
      </c>
      <c r="E1084" t="s">
        <v>2937</v>
      </c>
    </row>
    <row r="1085" spans="1:5" x14ac:dyDescent="0.2">
      <c r="A1085" t="s">
        <v>3041</v>
      </c>
      <c r="B1085" t="s">
        <v>3042</v>
      </c>
      <c r="C1085" t="s">
        <v>2928</v>
      </c>
      <c r="D1085" t="s">
        <v>2928</v>
      </c>
      <c r="E1085" t="s">
        <v>2973</v>
      </c>
    </row>
    <row r="1086" spans="1:5" x14ac:dyDescent="0.2">
      <c r="A1086" t="s">
        <v>3043</v>
      </c>
      <c r="B1086" t="s">
        <v>3044</v>
      </c>
      <c r="C1086" t="s">
        <v>2928</v>
      </c>
      <c r="D1086" t="s">
        <v>2928</v>
      </c>
      <c r="E1086" t="s">
        <v>3045</v>
      </c>
    </row>
    <row r="1087" spans="1:5" x14ac:dyDescent="0.2">
      <c r="A1087" t="s">
        <v>3046</v>
      </c>
      <c r="B1087" t="s">
        <v>3047</v>
      </c>
      <c r="C1087" t="s">
        <v>2928</v>
      </c>
      <c r="D1087" t="e">
        <v>#N/A</v>
      </c>
      <c r="E1087" t="e">
        <v>#N/A</v>
      </c>
    </row>
    <row r="1088" spans="1:5" x14ac:dyDescent="0.2">
      <c r="A1088" t="s">
        <v>3048</v>
      </c>
      <c r="B1088" t="s">
        <v>3049</v>
      </c>
      <c r="C1088" t="s">
        <v>2928</v>
      </c>
      <c r="D1088" t="s">
        <v>2928</v>
      </c>
      <c r="E1088" t="s">
        <v>2937</v>
      </c>
    </row>
    <row r="1089" spans="1:5" x14ac:dyDescent="0.2">
      <c r="A1089" t="s">
        <v>3050</v>
      </c>
      <c r="B1089" t="s">
        <v>3051</v>
      </c>
      <c r="C1089" t="s">
        <v>2928</v>
      </c>
      <c r="D1089" t="s">
        <v>2928</v>
      </c>
      <c r="E1089" t="s">
        <v>2929</v>
      </c>
    </row>
    <row r="1090" spans="1:5" x14ac:dyDescent="0.2">
      <c r="A1090" t="s">
        <v>3052</v>
      </c>
      <c r="B1090" t="s">
        <v>3053</v>
      </c>
      <c r="C1090" t="s">
        <v>2928</v>
      </c>
      <c r="D1090" t="s">
        <v>2928</v>
      </c>
      <c r="E1090" t="s">
        <v>2929</v>
      </c>
    </row>
    <row r="1091" spans="1:5" x14ac:dyDescent="0.2">
      <c r="A1091" t="s">
        <v>3054</v>
      </c>
      <c r="B1091" t="s">
        <v>3055</v>
      </c>
      <c r="C1091" t="s">
        <v>2928</v>
      </c>
      <c r="D1091" t="s">
        <v>2928</v>
      </c>
      <c r="E1091" t="s">
        <v>2929</v>
      </c>
    </row>
    <row r="1092" spans="1:5" x14ac:dyDescent="0.2">
      <c r="A1092" t="s">
        <v>3056</v>
      </c>
      <c r="B1092" t="s">
        <v>3057</v>
      </c>
      <c r="C1092" t="s">
        <v>2928</v>
      </c>
      <c r="D1092" t="s">
        <v>2928</v>
      </c>
      <c r="E1092" t="s">
        <v>2937</v>
      </c>
    </row>
    <row r="1093" spans="1:5" x14ac:dyDescent="0.2">
      <c r="A1093" t="s">
        <v>3058</v>
      </c>
      <c r="B1093" t="s">
        <v>3059</v>
      </c>
      <c r="C1093" t="s">
        <v>2928</v>
      </c>
      <c r="D1093" t="s">
        <v>2928</v>
      </c>
      <c r="E1093" t="s">
        <v>2962</v>
      </c>
    </row>
    <row r="1094" spans="1:5" x14ac:dyDescent="0.2">
      <c r="A1094" t="s">
        <v>3060</v>
      </c>
      <c r="B1094" t="s">
        <v>3061</v>
      </c>
      <c r="C1094" t="s">
        <v>2928</v>
      </c>
      <c r="D1094" t="s">
        <v>2928</v>
      </c>
      <c r="E1094" t="s">
        <v>2937</v>
      </c>
    </row>
    <row r="1095" spans="1:5" x14ac:dyDescent="0.2">
      <c r="A1095" t="s">
        <v>3062</v>
      </c>
      <c r="B1095" t="s">
        <v>3063</v>
      </c>
      <c r="C1095" t="s">
        <v>2928</v>
      </c>
      <c r="D1095" t="s">
        <v>2928</v>
      </c>
      <c r="E1095" t="s">
        <v>2929</v>
      </c>
    </row>
    <row r="1096" spans="1:5" x14ac:dyDescent="0.2">
      <c r="A1096" t="s">
        <v>3064</v>
      </c>
      <c r="B1096" t="s">
        <v>3065</v>
      </c>
      <c r="C1096" t="s">
        <v>2928</v>
      </c>
      <c r="D1096" t="s">
        <v>2928</v>
      </c>
      <c r="E1096" t="s">
        <v>2988</v>
      </c>
    </row>
    <row r="1097" spans="1:5" x14ac:dyDescent="0.2">
      <c r="A1097" t="s">
        <v>3066</v>
      </c>
      <c r="B1097" t="s">
        <v>3067</v>
      </c>
      <c r="C1097" t="s">
        <v>2928</v>
      </c>
      <c r="D1097" t="s">
        <v>2928</v>
      </c>
      <c r="E1097" t="s">
        <v>2929</v>
      </c>
    </row>
    <row r="1098" spans="1:5" x14ac:dyDescent="0.2">
      <c r="A1098" t="s">
        <v>3068</v>
      </c>
      <c r="B1098" t="s">
        <v>3069</v>
      </c>
      <c r="C1098" t="s">
        <v>2928</v>
      </c>
      <c r="D1098" t="s">
        <v>2928</v>
      </c>
      <c r="E1098" t="s">
        <v>2929</v>
      </c>
    </row>
    <row r="1099" spans="1:5" x14ac:dyDescent="0.2">
      <c r="A1099" t="s">
        <v>3070</v>
      </c>
      <c r="B1099" t="s">
        <v>3071</v>
      </c>
      <c r="C1099" t="s">
        <v>2928</v>
      </c>
      <c r="D1099" t="s">
        <v>2928</v>
      </c>
      <c r="E1099" t="s">
        <v>3072</v>
      </c>
    </row>
    <row r="1100" spans="1:5" x14ac:dyDescent="0.2">
      <c r="A1100" t="s">
        <v>3073</v>
      </c>
      <c r="B1100" t="s">
        <v>3074</v>
      </c>
      <c r="C1100" t="s">
        <v>2928</v>
      </c>
      <c r="D1100" t="s">
        <v>2928</v>
      </c>
      <c r="E1100" t="s">
        <v>2929</v>
      </c>
    </row>
    <row r="1101" spans="1:5" x14ac:dyDescent="0.2">
      <c r="A1101" t="s">
        <v>3075</v>
      </c>
      <c r="B1101" t="s">
        <v>3076</v>
      </c>
      <c r="C1101" t="s">
        <v>2928</v>
      </c>
      <c r="D1101" t="s">
        <v>2928</v>
      </c>
      <c r="E1101" t="s">
        <v>2937</v>
      </c>
    </row>
    <row r="1102" spans="1:5" x14ac:dyDescent="0.2">
      <c r="A1102" t="s">
        <v>3077</v>
      </c>
      <c r="B1102" t="s">
        <v>3078</v>
      </c>
      <c r="C1102" t="s">
        <v>2928</v>
      </c>
      <c r="D1102" t="s">
        <v>2928</v>
      </c>
      <c r="E1102" t="s">
        <v>2929</v>
      </c>
    </row>
    <row r="1103" spans="1:5" x14ac:dyDescent="0.2">
      <c r="A1103" t="s">
        <v>3079</v>
      </c>
      <c r="B1103" t="s">
        <v>3080</v>
      </c>
      <c r="C1103" t="s">
        <v>2928</v>
      </c>
      <c r="D1103" t="s">
        <v>2928</v>
      </c>
      <c r="E1103" t="s">
        <v>2929</v>
      </c>
    </row>
    <row r="1104" spans="1:5" x14ac:dyDescent="0.2">
      <c r="A1104" t="s">
        <v>3081</v>
      </c>
      <c r="B1104" t="s">
        <v>3082</v>
      </c>
      <c r="C1104" t="s">
        <v>2928</v>
      </c>
      <c r="D1104" t="s">
        <v>2928</v>
      </c>
      <c r="E1104" t="s">
        <v>2929</v>
      </c>
    </row>
    <row r="1105" spans="1:5" x14ac:dyDescent="0.2">
      <c r="A1105" t="s">
        <v>3083</v>
      </c>
      <c r="B1105" t="s">
        <v>3084</v>
      </c>
      <c r="C1105" t="s">
        <v>2928</v>
      </c>
      <c r="D1105" t="s">
        <v>2928</v>
      </c>
      <c r="E1105" t="s">
        <v>3085</v>
      </c>
    </row>
    <row r="1106" spans="1:5" x14ac:dyDescent="0.2">
      <c r="A1106" t="s">
        <v>3086</v>
      </c>
      <c r="B1106" t="s">
        <v>3087</v>
      </c>
      <c r="C1106" t="s">
        <v>2928</v>
      </c>
      <c r="D1106" t="s">
        <v>2928</v>
      </c>
      <c r="E1106" t="s">
        <v>2937</v>
      </c>
    </row>
    <row r="1107" spans="1:5" x14ac:dyDescent="0.2">
      <c r="A1107" t="s">
        <v>3088</v>
      </c>
      <c r="B1107" t="s">
        <v>3089</v>
      </c>
      <c r="C1107" t="s">
        <v>2928</v>
      </c>
      <c r="D1107" t="s">
        <v>2928</v>
      </c>
      <c r="E1107" t="s">
        <v>3090</v>
      </c>
    </row>
    <row r="1108" spans="1:5" x14ac:dyDescent="0.2">
      <c r="A1108" t="s">
        <v>3091</v>
      </c>
      <c r="B1108" t="s">
        <v>3092</v>
      </c>
      <c r="C1108" t="s">
        <v>2928</v>
      </c>
      <c r="D1108" t="s">
        <v>2928</v>
      </c>
      <c r="E1108" t="s">
        <v>3093</v>
      </c>
    </row>
    <row r="1109" spans="1:5" x14ac:dyDescent="0.2">
      <c r="A1109" t="s">
        <v>3094</v>
      </c>
      <c r="B1109" t="s">
        <v>3095</v>
      </c>
      <c r="C1109" t="s">
        <v>3096</v>
      </c>
      <c r="D1109" t="s">
        <v>3096</v>
      </c>
      <c r="E1109" t="s">
        <v>3097</v>
      </c>
    </row>
    <row r="1110" spans="1:5" x14ac:dyDescent="0.2">
      <c r="A1110" t="s">
        <v>3098</v>
      </c>
      <c r="B1110" t="s">
        <v>3099</v>
      </c>
      <c r="C1110" t="s">
        <v>3096</v>
      </c>
      <c r="D1110" t="s">
        <v>3096</v>
      </c>
      <c r="E1110" t="s">
        <v>3100</v>
      </c>
    </row>
    <row r="1111" spans="1:5" x14ac:dyDescent="0.2">
      <c r="A1111" t="s">
        <v>3101</v>
      </c>
      <c r="B1111" t="s">
        <v>3102</v>
      </c>
      <c r="C1111" t="s">
        <v>3096</v>
      </c>
      <c r="D1111" t="s">
        <v>3096</v>
      </c>
      <c r="E1111" t="s">
        <v>3103</v>
      </c>
    </row>
    <row r="1112" spans="1:5" x14ac:dyDescent="0.2">
      <c r="A1112" t="s">
        <v>3104</v>
      </c>
      <c r="B1112" t="s">
        <v>3105</v>
      </c>
      <c r="C1112" t="s">
        <v>3096</v>
      </c>
      <c r="D1112" t="s">
        <v>3096</v>
      </c>
      <c r="E1112" t="s">
        <v>3106</v>
      </c>
    </row>
    <row r="1113" spans="1:5" x14ac:dyDescent="0.2">
      <c r="A1113" t="s">
        <v>3107</v>
      </c>
      <c r="B1113" t="s">
        <v>3108</v>
      </c>
      <c r="C1113" t="s">
        <v>3096</v>
      </c>
      <c r="D1113" t="s">
        <v>3096</v>
      </c>
      <c r="E1113" t="s">
        <v>3103</v>
      </c>
    </row>
    <row r="1114" spans="1:5" x14ac:dyDescent="0.2">
      <c r="A1114" t="s">
        <v>3109</v>
      </c>
      <c r="B1114" t="s">
        <v>3110</v>
      </c>
      <c r="C1114" t="s">
        <v>3096</v>
      </c>
      <c r="D1114" t="s">
        <v>3096</v>
      </c>
      <c r="E1114" t="s">
        <v>3111</v>
      </c>
    </row>
    <row r="1115" spans="1:5" x14ac:dyDescent="0.2">
      <c r="A1115" t="s">
        <v>3112</v>
      </c>
      <c r="B1115" t="s">
        <v>3113</v>
      </c>
      <c r="C1115" t="s">
        <v>3096</v>
      </c>
      <c r="D1115" t="s">
        <v>3096</v>
      </c>
      <c r="E1115" t="s">
        <v>3114</v>
      </c>
    </row>
    <row r="1116" spans="1:5" x14ac:dyDescent="0.2">
      <c r="A1116" t="s">
        <v>3115</v>
      </c>
      <c r="B1116" t="s">
        <v>3116</v>
      </c>
      <c r="C1116" t="s">
        <v>3096</v>
      </c>
      <c r="D1116" t="s">
        <v>3096</v>
      </c>
      <c r="E1116" t="s">
        <v>3117</v>
      </c>
    </row>
    <row r="1117" spans="1:5" x14ac:dyDescent="0.2">
      <c r="A1117" t="s">
        <v>3118</v>
      </c>
      <c r="B1117" t="s">
        <v>3119</v>
      </c>
      <c r="C1117" t="s">
        <v>3096</v>
      </c>
      <c r="D1117" t="s">
        <v>3096</v>
      </c>
      <c r="E1117" t="s">
        <v>3103</v>
      </c>
    </row>
    <row r="1118" spans="1:5" x14ac:dyDescent="0.2">
      <c r="A1118" t="s">
        <v>3120</v>
      </c>
      <c r="B1118" t="s">
        <v>3121</v>
      </c>
      <c r="C1118" t="s">
        <v>3096</v>
      </c>
      <c r="D1118" t="s">
        <v>3096</v>
      </c>
      <c r="E1118" t="s">
        <v>3122</v>
      </c>
    </row>
    <row r="1119" spans="1:5" x14ac:dyDescent="0.2">
      <c r="A1119" t="s">
        <v>3123</v>
      </c>
      <c r="B1119" t="s">
        <v>3124</v>
      </c>
      <c r="C1119" t="s">
        <v>3096</v>
      </c>
      <c r="D1119" t="s">
        <v>3096</v>
      </c>
      <c r="E1119" t="s">
        <v>3125</v>
      </c>
    </row>
    <row r="1120" spans="1:5" x14ac:dyDescent="0.2">
      <c r="A1120" t="s">
        <v>3126</v>
      </c>
      <c r="B1120" t="s">
        <v>3127</v>
      </c>
      <c r="C1120" t="s">
        <v>3096</v>
      </c>
      <c r="D1120" t="s">
        <v>3096</v>
      </c>
      <c r="E1120" t="s">
        <v>3103</v>
      </c>
    </row>
    <row r="1121" spans="1:5" x14ac:dyDescent="0.2">
      <c r="A1121" t="s">
        <v>3128</v>
      </c>
      <c r="B1121" t="s">
        <v>3129</v>
      </c>
      <c r="C1121" t="s">
        <v>3096</v>
      </c>
      <c r="D1121" t="s">
        <v>3096</v>
      </c>
      <c r="E1121" t="s">
        <v>3130</v>
      </c>
    </row>
    <row r="1122" spans="1:5" x14ac:dyDescent="0.2">
      <c r="A1122" t="s">
        <v>3131</v>
      </c>
      <c r="B1122" t="s">
        <v>3132</v>
      </c>
      <c r="C1122" t="s">
        <v>3096</v>
      </c>
      <c r="D1122" t="s">
        <v>3096</v>
      </c>
      <c r="E1122" t="s">
        <v>3097</v>
      </c>
    </row>
    <row r="1123" spans="1:5" x14ac:dyDescent="0.2">
      <c r="A1123" t="s">
        <v>3133</v>
      </c>
      <c r="B1123" t="s">
        <v>3134</v>
      </c>
      <c r="C1123" t="s">
        <v>3096</v>
      </c>
      <c r="D1123" t="s">
        <v>3096</v>
      </c>
      <c r="E1123" t="s">
        <v>3135</v>
      </c>
    </row>
    <row r="1124" spans="1:5" x14ac:dyDescent="0.2">
      <c r="A1124" t="s">
        <v>3136</v>
      </c>
      <c r="B1124" t="s">
        <v>3137</v>
      </c>
      <c r="C1124" t="s">
        <v>3096</v>
      </c>
      <c r="D1124" t="s">
        <v>3096</v>
      </c>
      <c r="E1124" t="s">
        <v>3111</v>
      </c>
    </row>
    <row r="1125" spans="1:5" x14ac:dyDescent="0.2">
      <c r="A1125" t="s">
        <v>3138</v>
      </c>
      <c r="B1125" t="s">
        <v>3139</v>
      </c>
      <c r="C1125" t="s">
        <v>3096</v>
      </c>
      <c r="D1125" t="s">
        <v>3096</v>
      </c>
      <c r="E1125" t="s">
        <v>3140</v>
      </c>
    </row>
    <row r="1126" spans="1:5" x14ac:dyDescent="0.2">
      <c r="A1126" t="s">
        <v>3141</v>
      </c>
      <c r="B1126" t="s">
        <v>3142</v>
      </c>
      <c r="C1126" t="s">
        <v>3096</v>
      </c>
      <c r="D1126" t="s">
        <v>3096</v>
      </c>
      <c r="E1126" t="s">
        <v>3143</v>
      </c>
    </row>
    <row r="1127" spans="1:5" x14ac:dyDescent="0.2">
      <c r="A1127" t="s">
        <v>3144</v>
      </c>
      <c r="B1127" t="s">
        <v>3145</v>
      </c>
      <c r="C1127" t="s">
        <v>3096</v>
      </c>
      <c r="D1127" t="s">
        <v>3096</v>
      </c>
      <c r="E1127" t="s">
        <v>3143</v>
      </c>
    </row>
    <row r="1128" spans="1:5" x14ac:dyDescent="0.2">
      <c r="A1128" t="s">
        <v>3146</v>
      </c>
      <c r="B1128" t="s">
        <v>3147</v>
      </c>
      <c r="C1128" t="s">
        <v>3096</v>
      </c>
      <c r="D1128" t="s">
        <v>3096</v>
      </c>
      <c r="E1128" t="s">
        <v>3148</v>
      </c>
    </row>
    <row r="1129" spans="1:5" x14ac:dyDescent="0.2">
      <c r="A1129" t="s">
        <v>3149</v>
      </c>
      <c r="B1129" t="s">
        <v>3150</v>
      </c>
      <c r="C1129" t="s">
        <v>3096</v>
      </c>
      <c r="D1129" t="s">
        <v>3096</v>
      </c>
      <c r="E1129" t="s">
        <v>3148</v>
      </c>
    </row>
    <row r="1130" spans="1:5" x14ac:dyDescent="0.2">
      <c r="A1130" t="s">
        <v>3151</v>
      </c>
      <c r="B1130" t="s">
        <v>3152</v>
      </c>
      <c r="C1130" t="s">
        <v>3096</v>
      </c>
      <c r="D1130" t="s">
        <v>3096</v>
      </c>
      <c r="E1130" t="s">
        <v>3153</v>
      </c>
    </row>
    <row r="1131" spans="1:5" x14ac:dyDescent="0.2">
      <c r="A1131" t="s">
        <v>3154</v>
      </c>
      <c r="B1131" t="s">
        <v>3155</v>
      </c>
      <c r="C1131" t="s">
        <v>3096</v>
      </c>
      <c r="D1131" t="s">
        <v>3096</v>
      </c>
      <c r="E1131" t="s">
        <v>3148</v>
      </c>
    </row>
    <row r="1132" spans="1:5" x14ac:dyDescent="0.2">
      <c r="A1132" t="s">
        <v>3156</v>
      </c>
      <c r="B1132" t="s">
        <v>3157</v>
      </c>
      <c r="C1132" t="s">
        <v>3096</v>
      </c>
      <c r="D1132" t="s">
        <v>3096</v>
      </c>
      <c r="E1132" t="s">
        <v>3158</v>
      </c>
    </row>
    <row r="1133" spans="1:5" x14ac:dyDescent="0.2">
      <c r="A1133" t="s">
        <v>3159</v>
      </c>
      <c r="B1133" t="s">
        <v>3160</v>
      </c>
      <c r="C1133" t="s">
        <v>3096</v>
      </c>
      <c r="D1133" t="s">
        <v>3096</v>
      </c>
      <c r="E1133" t="s">
        <v>3158</v>
      </c>
    </row>
    <row r="1134" spans="1:5" x14ac:dyDescent="0.2">
      <c r="A1134" t="s">
        <v>3161</v>
      </c>
      <c r="B1134" t="s">
        <v>3162</v>
      </c>
      <c r="C1134" t="s">
        <v>3096</v>
      </c>
      <c r="D1134" t="s">
        <v>3096</v>
      </c>
      <c r="E1134" t="s">
        <v>3158</v>
      </c>
    </row>
    <row r="1135" spans="1:5" x14ac:dyDescent="0.2">
      <c r="A1135" t="s">
        <v>3163</v>
      </c>
      <c r="B1135" t="s">
        <v>3164</v>
      </c>
      <c r="C1135" t="s">
        <v>3096</v>
      </c>
      <c r="D1135" t="s">
        <v>3096</v>
      </c>
      <c r="E1135" t="s">
        <v>3158</v>
      </c>
    </row>
    <row r="1136" spans="1:5" x14ac:dyDescent="0.2">
      <c r="A1136" t="s">
        <v>3165</v>
      </c>
      <c r="B1136" t="s">
        <v>3166</v>
      </c>
      <c r="C1136" t="s">
        <v>3096</v>
      </c>
      <c r="D1136" t="s">
        <v>3096</v>
      </c>
      <c r="E1136" t="s">
        <v>3100</v>
      </c>
    </row>
    <row r="1137" spans="1:5" x14ac:dyDescent="0.2">
      <c r="A1137" t="s">
        <v>3167</v>
      </c>
      <c r="B1137" t="s">
        <v>3168</v>
      </c>
      <c r="C1137" t="s">
        <v>3096</v>
      </c>
      <c r="D1137" t="s">
        <v>3096</v>
      </c>
      <c r="E1137" t="s">
        <v>3103</v>
      </c>
    </row>
    <row r="1138" spans="1:5" x14ac:dyDescent="0.2">
      <c r="A1138" t="s">
        <v>3169</v>
      </c>
      <c r="B1138" t="s">
        <v>3170</v>
      </c>
      <c r="C1138" t="s">
        <v>3096</v>
      </c>
      <c r="D1138" t="s">
        <v>3096</v>
      </c>
      <c r="E1138" t="s">
        <v>3171</v>
      </c>
    </row>
    <row r="1139" spans="1:5" x14ac:dyDescent="0.2">
      <c r="A1139" t="s">
        <v>3172</v>
      </c>
      <c r="B1139" t="s">
        <v>3173</v>
      </c>
      <c r="C1139" t="s">
        <v>3096</v>
      </c>
      <c r="D1139" t="s">
        <v>3096</v>
      </c>
      <c r="E1139" t="s">
        <v>3100</v>
      </c>
    </row>
    <row r="1140" spans="1:5" x14ac:dyDescent="0.2">
      <c r="A1140" t="s">
        <v>3174</v>
      </c>
      <c r="B1140" t="s">
        <v>3175</v>
      </c>
      <c r="C1140" t="s">
        <v>3096</v>
      </c>
      <c r="D1140" t="s">
        <v>3096</v>
      </c>
      <c r="E1140" t="s">
        <v>3103</v>
      </c>
    </row>
    <row r="1141" spans="1:5" x14ac:dyDescent="0.2">
      <c r="A1141" t="s">
        <v>3176</v>
      </c>
      <c r="B1141" t="s">
        <v>3177</v>
      </c>
      <c r="C1141" t="s">
        <v>3096</v>
      </c>
      <c r="D1141" t="s">
        <v>3096</v>
      </c>
      <c r="E1141" t="s">
        <v>1710</v>
      </c>
    </row>
    <row r="1142" spans="1:5" x14ac:dyDescent="0.2">
      <c r="A1142" t="s">
        <v>3178</v>
      </c>
      <c r="B1142" t="s">
        <v>3179</v>
      </c>
      <c r="C1142" t="s">
        <v>3096</v>
      </c>
      <c r="D1142" t="s">
        <v>3096</v>
      </c>
      <c r="E1142" t="s">
        <v>3111</v>
      </c>
    </row>
    <row r="1143" spans="1:5" x14ac:dyDescent="0.2">
      <c r="A1143" t="s">
        <v>3180</v>
      </c>
      <c r="B1143" t="s">
        <v>3181</v>
      </c>
      <c r="C1143" t="s">
        <v>3096</v>
      </c>
      <c r="D1143" t="s">
        <v>3096</v>
      </c>
      <c r="E1143" t="s">
        <v>1710</v>
      </c>
    </row>
    <row r="1144" spans="1:5" x14ac:dyDescent="0.2">
      <c r="A1144" t="s">
        <v>3182</v>
      </c>
      <c r="B1144" t="s">
        <v>3183</v>
      </c>
      <c r="C1144" t="s">
        <v>3096</v>
      </c>
      <c r="D1144" t="s">
        <v>3096</v>
      </c>
      <c r="E1144" t="s">
        <v>3097</v>
      </c>
    </row>
    <row r="1145" spans="1:5" x14ac:dyDescent="0.2">
      <c r="A1145" t="s">
        <v>3184</v>
      </c>
      <c r="B1145" t="s">
        <v>3185</v>
      </c>
      <c r="C1145" t="s">
        <v>3096</v>
      </c>
      <c r="D1145" t="s">
        <v>3096</v>
      </c>
      <c r="E1145" t="s">
        <v>3186</v>
      </c>
    </row>
    <row r="1146" spans="1:5" x14ac:dyDescent="0.2">
      <c r="A1146" t="s">
        <v>3187</v>
      </c>
      <c r="B1146" t="s">
        <v>3188</v>
      </c>
      <c r="C1146" t="s">
        <v>3096</v>
      </c>
      <c r="D1146" t="s">
        <v>3096</v>
      </c>
      <c r="E1146" t="s">
        <v>3189</v>
      </c>
    </row>
    <row r="1147" spans="1:5" x14ac:dyDescent="0.2">
      <c r="A1147" t="s">
        <v>3190</v>
      </c>
      <c r="B1147" t="s">
        <v>3191</v>
      </c>
      <c r="C1147" t="s">
        <v>3096</v>
      </c>
      <c r="D1147" t="s">
        <v>3096</v>
      </c>
      <c r="E1147" t="s">
        <v>3111</v>
      </c>
    </row>
    <row r="1148" spans="1:5" x14ac:dyDescent="0.2">
      <c r="A1148" t="s">
        <v>3192</v>
      </c>
      <c r="B1148" t="s">
        <v>3193</v>
      </c>
      <c r="C1148" t="s">
        <v>3096</v>
      </c>
      <c r="D1148" t="s">
        <v>3096</v>
      </c>
      <c r="E1148" t="s">
        <v>3106</v>
      </c>
    </row>
    <row r="1149" spans="1:5" x14ac:dyDescent="0.2">
      <c r="A1149" t="s">
        <v>3194</v>
      </c>
      <c r="B1149" t="s">
        <v>3195</v>
      </c>
      <c r="C1149" t="s">
        <v>3096</v>
      </c>
      <c r="D1149" t="s">
        <v>3096</v>
      </c>
      <c r="E1149" t="s">
        <v>3196</v>
      </c>
    </row>
    <row r="1150" spans="1:5" x14ac:dyDescent="0.2">
      <c r="A1150" t="s">
        <v>3197</v>
      </c>
      <c r="B1150" t="s">
        <v>3198</v>
      </c>
      <c r="C1150" t="s">
        <v>3096</v>
      </c>
      <c r="D1150" t="s">
        <v>3096</v>
      </c>
      <c r="E1150" t="s">
        <v>3199</v>
      </c>
    </row>
    <row r="1151" spans="1:5" x14ac:dyDescent="0.2">
      <c r="A1151" t="s">
        <v>3200</v>
      </c>
      <c r="B1151" t="s">
        <v>3201</v>
      </c>
      <c r="C1151" t="s">
        <v>3096</v>
      </c>
      <c r="D1151" t="s">
        <v>3096</v>
      </c>
      <c r="E1151" t="s">
        <v>3143</v>
      </c>
    </row>
    <row r="1152" spans="1:5" x14ac:dyDescent="0.2">
      <c r="A1152" t="s">
        <v>3202</v>
      </c>
      <c r="B1152" t="s">
        <v>3203</v>
      </c>
      <c r="C1152" t="s">
        <v>3096</v>
      </c>
      <c r="D1152" t="s">
        <v>3096</v>
      </c>
      <c r="E1152" t="s">
        <v>3204</v>
      </c>
    </row>
    <row r="1153" spans="1:5" x14ac:dyDescent="0.2">
      <c r="A1153" t="s">
        <v>3205</v>
      </c>
      <c r="B1153" t="s">
        <v>3206</v>
      </c>
      <c r="C1153" t="s">
        <v>3096</v>
      </c>
      <c r="D1153" t="s">
        <v>3096</v>
      </c>
      <c r="E1153" t="s">
        <v>3103</v>
      </c>
    </row>
    <row r="1154" spans="1:5" x14ac:dyDescent="0.2">
      <c r="A1154" t="s">
        <v>3207</v>
      </c>
      <c r="B1154" t="s">
        <v>3208</v>
      </c>
      <c r="C1154" t="s">
        <v>3096</v>
      </c>
      <c r="D1154" t="s">
        <v>3096</v>
      </c>
      <c r="E1154" t="s">
        <v>3103</v>
      </c>
    </row>
    <row r="1155" spans="1:5" x14ac:dyDescent="0.2">
      <c r="A1155" t="s">
        <v>3209</v>
      </c>
      <c r="B1155" t="s">
        <v>3210</v>
      </c>
      <c r="C1155" t="s">
        <v>3096</v>
      </c>
      <c r="D1155" t="s">
        <v>3096</v>
      </c>
      <c r="E1155" t="s">
        <v>3106</v>
      </c>
    </row>
    <row r="1156" spans="1:5" x14ac:dyDescent="0.2">
      <c r="A1156" t="s">
        <v>3211</v>
      </c>
      <c r="B1156" t="s">
        <v>3212</v>
      </c>
      <c r="C1156" t="s">
        <v>3096</v>
      </c>
      <c r="D1156" t="s">
        <v>3096</v>
      </c>
      <c r="E1156" t="s">
        <v>3199</v>
      </c>
    </row>
    <row r="1157" spans="1:5" x14ac:dyDescent="0.2">
      <c r="A1157" t="s">
        <v>3213</v>
      </c>
      <c r="B1157" t="s">
        <v>3214</v>
      </c>
      <c r="C1157" t="s">
        <v>3096</v>
      </c>
      <c r="D1157" t="s">
        <v>3096</v>
      </c>
      <c r="E1157" t="s">
        <v>3097</v>
      </c>
    </row>
    <row r="1158" spans="1:5" x14ac:dyDescent="0.2">
      <c r="A1158" t="s">
        <v>3215</v>
      </c>
      <c r="B1158" t="s">
        <v>3216</v>
      </c>
      <c r="C1158" t="s">
        <v>3096</v>
      </c>
      <c r="D1158" t="s">
        <v>3096</v>
      </c>
      <c r="E1158" t="s">
        <v>3217</v>
      </c>
    </row>
    <row r="1159" spans="1:5" x14ac:dyDescent="0.2">
      <c r="A1159" t="s">
        <v>3218</v>
      </c>
      <c r="B1159" t="s">
        <v>3219</v>
      </c>
      <c r="C1159" t="s">
        <v>3096</v>
      </c>
      <c r="D1159" t="s">
        <v>3096</v>
      </c>
      <c r="E1159" t="s">
        <v>3220</v>
      </c>
    </row>
    <row r="1160" spans="1:5" x14ac:dyDescent="0.2">
      <c r="A1160" t="s">
        <v>3221</v>
      </c>
      <c r="B1160" t="s">
        <v>3222</v>
      </c>
      <c r="C1160" t="s">
        <v>3096</v>
      </c>
      <c r="D1160" t="s">
        <v>3096</v>
      </c>
      <c r="E1160" t="s">
        <v>3148</v>
      </c>
    </row>
    <row r="1161" spans="1:5" x14ac:dyDescent="0.2">
      <c r="A1161" t="s">
        <v>3223</v>
      </c>
      <c r="B1161" t="s">
        <v>3224</v>
      </c>
      <c r="C1161" t="s">
        <v>3096</v>
      </c>
      <c r="D1161" t="s">
        <v>3096</v>
      </c>
      <c r="E1161" t="s">
        <v>3225</v>
      </c>
    </row>
    <row r="1162" spans="1:5" x14ac:dyDescent="0.2">
      <c r="A1162" t="s">
        <v>3226</v>
      </c>
      <c r="B1162" t="s">
        <v>3227</v>
      </c>
      <c r="C1162" t="s">
        <v>3096</v>
      </c>
      <c r="D1162" t="s">
        <v>3096</v>
      </c>
      <c r="E1162" t="s">
        <v>3111</v>
      </c>
    </row>
    <row r="1163" spans="1:5" x14ac:dyDescent="0.2">
      <c r="A1163" t="s">
        <v>3228</v>
      </c>
      <c r="B1163" t="s">
        <v>3229</v>
      </c>
      <c r="C1163" t="s">
        <v>3096</v>
      </c>
      <c r="D1163" t="s">
        <v>3096</v>
      </c>
      <c r="E1163" t="s">
        <v>3117</v>
      </c>
    </row>
    <row r="1164" spans="1:5" x14ac:dyDescent="0.2">
      <c r="A1164" t="s">
        <v>3230</v>
      </c>
      <c r="B1164" t="s">
        <v>3231</v>
      </c>
      <c r="C1164" t="s">
        <v>3096</v>
      </c>
      <c r="D1164" t="s">
        <v>3096</v>
      </c>
      <c r="E1164" t="s">
        <v>3220</v>
      </c>
    </row>
    <row r="1165" spans="1:5" x14ac:dyDescent="0.2">
      <c r="A1165" t="s">
        <v>3232</v>
      </c>
      <c r="B1165" t="s">
        <v>3233</v>
      </c>
      <c r="C1165" t="s">
        <v>3096</v>
      </c>
      <c r="D1165" t="s">
        <v>3096</v>
      </c>
      <c r="E1165" t="s">
        <v>3234</v>
      </c>
    </row>
    <row r="1166" spans="1:5" x14ac:dyDescent="0.2">
      <c r="A1166" t="s">
        <v>3235</v>
      </c>
      <c r="B1166" t="s">
        <v>3236</v>
      </c>
      <c r="C1166" t="s">
        <v>3096</v>
      </c>
      <c r="D1166" t="s">
        <v>3096</v>
      </c>
      <c r="E1166" t="s">
        <v>3111</v>
      </c>
    </row>
    <row r="1167" spans="1:5" x14ac:dyDescent="0.2">
      <c r="A1167" t="s">
        <v>3237</v>
      </c>
      <c r="B1167" t="s">
        <v>3238</v>
      </c>
      <c r="C1167" t="s">
        <v>3096</v>
      </c>
      <c r="D1167" t="s">
        <v>3096</v>
      </c>
      <c r="E1167" t="s">
        <v>3111</v>
      </c>
    </row>
    <row r="1168" spans="1:5" x14ac:dyDescent="0.2">
      <c r="A1168" t="s">
        <v>3239</v>
      </c>
      <c r="B1168" t="s">
        <v>3240</v>
      </c>
      <c r="C1168" t="s">
        <v>3096</v>
      </c>
      <c r="D1168" t="s">
        <v>3096</v>
      </c>
      <c r="E1168" t="s">
        <v>3117</v>
      </c>
    </row>
    <row r="1169" spans="1:5" x14ac:dyDescent="0.2">
      <c r="A1169" t="s">
        <v>3241</v>
      </c>
      <c r="B1169" t="s">
        <v>3242</v>
      </c>
      <c r="C1169" t="s">
        <v>3096</v>
      </c>
      <c r="D1169" t="s">
        <v>3096</v>
      </c>
      <c r="E1169" t="s">
        <v>3243</v>
      </c>
    </row>
    <row r="1170" spans="1:5" x14ac:dyDescent="0.2">
      <c r="A1170" t="s">
        <v>3244</v>
      </c>
      <c r="B1170" t="s">
        <v>3245</v>
      </c>
      <c r="C1170" t="s">
        <v>3096</v>
      </c>
      <c r="D1170" t="s">
        <v>3096</v>
      </c>
      <c r="E1170" t="s">
        <v>3103</v>
      </c>
    </row>
    <row r="1171" spans="1:5" x14ac:dyDescent="0.2">
      <c r="A1171" t="s">
        <v>3246</v>
      </c>
      <c r="B1171" t="s">
        <v>3247</v>
      </c>
      <c r="C1171" t="s">
        <v>3096</v>
      </c>
      <c r="D1171" t="s">
        <v>3096</v>
      </c>
      <c r="E1171" t="s">
        <v>3248</v>
      </c>
    </row>
    <row r="1172" spans="1:5" x14ac:dyDescent="0.2">
      <c r="A1172" t="s">
        <v>3249</v>
      </c>
      <c r="B1172" t="s">
        <v>3250</v>
      </c>
      <c r="C1172" t="s">
        <v>3096</v>
      </c>
      <c r="D1172" t="s">
        <v>3096</v>
      </c>
      <c r="E1172" t="s">
        <v>3106</v>
      </c>
    </row>
    <row r="1173" spans="1:5" x14ac:dyDescent="0.2">
      <c r="A1173" t="s">
        <v>3251</v>
      </c>
      <c r="B1173" t="s">
        <v>3252</v>
      </c>
      <c r="C1173" t="s">
        <v>3096</v>
      </c>
      <c r="D1173" t="s">
        <v>3096</v>
      </c>
      <c r="E1173" t="s">
        <v>3111</v>
      </c>
    </row>
    <row r="1174" spans="1:5" x14ac:dyDescent="0.2">
      <c r="A1174" t="s">
        <v>3253</v>
      </c>
      <c r="B1174" t="s">
        <v>3254</v>
      </c>
      <c r="C1174" t="s">
        <v>3096</v>
      </c>
      <c r="D1174" t="e">
        <v>#N/A</v>
      </c>
      <c r="E1174" t="e">
        <v>#N/A</v>
      </c>
    </row>
    <row r="1175" spans="1:5" x14ac:dyDescent="0.2">
      <c r="A1175" t="s">
        <v>3255</v>
      </c>
      <c r="B1175" t="s">
        <v>3256</v>
      </c>
      <c r="C1175" t="s">
        <v>3257</v>
      </c>
      <c r="D1175" t="s">
        <v>3257</v>
      </c>
      <c r="E1175" t="s">
        <v>3258</v>
      </c>
    </row>
    <row r="1176" spans="1:5" x14ac:dyDescent="0.2">
      <c r="A1176" t="s">
        <v>3259</v>
      </c>
      <c r="B1176" t="s">
        <v>3260</v>
      </c>
      <c r="C1176" t="s">
        <v>3257</v>
      </c>
      <c r="D1176" t="s">
        <v>3257</v>
      </c>
      <c r="E1176" t="s">
        <v>3261</v>
      </c>
    </row>
    <row r="1177" spans="1:5" x14ac:dyDescent="0.2">
      <c r="A1177" t="s">
        <v>3262</v>
      </c>
      <c r="B1177" t="s">
        <v>3263</v>
      </c>
      <c r="C1177" t="s">
        <v>3257</v>
      </c>
      <c r="D1177" t="s">
        <v>3257</v>
      </c>
      <c r="E1177" t="s">
        <v>3264</v>
      </c>
    </row>
    <row r="1178" spans="1:5" x14ac:dyDescent="0.2">
      <c r="A1178" t="s">
        <v>3265</v>
      </c>
      <c r="B1178" t="s">
        <v>3266</v>
      </c>
      <c r="C1178" t="s">
        <v>3257</v>
      </c>
      <c r="D1178" t="s">
        <v>3257</v>
      </c>
      <c r="E1178" t="s">
        <v>3267</v>
      </c>
    </row>
    <row r="1179" spans="1:5" x14ac:dyDescent="0.2">
      <c r="A1179" t="s">
        <v>3268</v>
      </c>
      <c r="B1179" t="s">
        <v>3269</v>
      </c>
      <c r="C1179" t="s">
        <v>3257</v>
      </c>
      <c r="D1179" t="s">
        <v>3257</v>
      </c>
      <c r="E1179" t="s">
        <v>3270</v>
      </c>
    </row>
    <row r="1180" spans="1:5" x14ac:dyDescent="0.2">
      <c r="A1180" t="s">
        <v>3271</v>
      </c>
      <c r="B1180" t="s">
        <v>3272</v>
      </c>
      <c r="C1180" t="s">
        <v>3257</v>
      </c>
      <c r="D1180" t="s">
        <v>3257</v>
      </c>
      <c r="E1180" t="s">
        <v>3273</v>
      </c>
    </row>
    <row r="1181" spans="1:5" x14ac:dyDescent="0.2">
      <c r="A1181" t="s">
        <v>3274</v>
      </c>
      <c r="B1181" t="s">
        <v>3275</v>
      </c>
      <c r="C1181" t="s">
        <v>3257</v>
      </c>
      <c r="D1181" t="s">
        <v>3257</v>
      </c>
      <c r="E1181" t="s">
        <v>3276</v>
      </c>
    </row>
    <row r="1182" spans="1:5" x14ac:dyDescent="0.2">
      <c r="A1182" t="s">
        <v>3277</v>
      </c>
      <c r="B1182" t="s">
        <v>3278</v>
      </c>
      <c r="C1182" t="s">
        <v>3257</v>
      </c>
      <c r="D1182" t="s">
        <v>3257</v>
      </c>
      <c r="E1182" t="s">
        <v>3279</v>
      </c>
    </row>
    <row r="1183" spans="1:5" x14ac:dyDescent="0.2">
      <c r="A1183" t="s">
        <v>3280</v>
      </c>
      <c r="B1183" t="s">
        <v>3281</v>
      </c>
      <c r="C1183" t="s">
        <v>3257</v>
      </c>
      <c r="D1183" t="s">
        <v>3257</v>
      </c>
      <c r="E1183" t="s">
        <v>3282</v>
      </c>
    </row>
    <row r="1184" spans="1:5" x14ac:dyDescent="0.2">
      <c r="A1184" t="s">
        <v>3283</v>
      </c>
      <c r="B1184" t="s">
        <v>3284</v>
      </c>
      <c r="C1184" t="s">
        <v>3257</v>
      </c>
      <c r="D1184" t="s">
        <v>3257</v>
      </c>
      <c r="E1184" t="s">
        <v>3285</v>
      </c>
    </row>
    <row r="1185" spans="1:5" x14ac:dyDescent="0.2">
      <c r="A1185" t="s">
        <v>3286</v>
      </c>
      <c r="B1185" t="s">
        <v>3287</v>
      </c>
      <c r="C1185" t="s">
        <v>3257</v>
      </c>
      <c r="D1185" t="s">
        <v>3257</v>
      </c>
      <c r="E1185" t="s">
        <v>3288</v>
      </c>
    </row>
    <row r="1186" spans="1:5" x14ac:dyDescent="0.2">
      <c r="A1186" t="s">
        <v>3289</v>
      </c>
      <c r="B1186" t="s">
        <v>3290</v>
      </c>
      <c r="C1186" t="s">
        <v>3257</v>
      </c>
      <c r="D1186" t="s">
        <v>3257</v>
      </c>
      <c r="E1186" t="s">
        <v>3291</v>
      </c>
    </row>
    <row r="1187" spans="1:5" x14ac:dyDescent="0.2">
      <c r="A1187" t="s">
        <v>3292</v>
      </c>
      <c r="B1187" t="s">
        <v>3293</v>
      </c>
      <c r="C1187" t="s">
        <v>3257</v>
      </c>
      <c r="D1187" t="s">
        <v>3257</v>
      </c>
      <c r="E1187" t="s">
        <v>3294</v>
      </c>
    </row>
    <row r="1188" spans="1:5" x14ac:dyDescent="0.2">
      <c r="A1188" t="s">
        <v>3295</v>
      </c>
      <c r="B1188" t="s">
        <v>3296</v>
      </c>
      <c r="C1188" t="s">
        <v>3257</v>
      </c>
      <c r="D1188" t="s">
        <v>3257</v>
      </c>
      <c r="E1188" t="s">
        <v>3297</v>
      </c>
    </row>
    <row r="1189" spans="1:5" x14ac:dyDescent="0.2">
      <c r="A1189" t="s">
        <v>3298</v>
      </c>
      <c r="B1189" t="s">
        <v>3299</v>
      </c>
      <c r="C1189" t="s">
        <v>3257</v>
      </c>
      <c r="D1189" t="s">
        <v>3257</v>
      </c>
      <c r="E1189" t="s">
        <v>3300</v>
      </c>
    </row>
    <row r="1190" spans="1:5" x14ac:dyDescent="0.2">
      <c r="A1190" t="s">
        <v>3301</v>
      </c>
      <c r="B1190" t="s">
        <v>3302</v>
      </c>
      <c r="C1190" t="s">
        <v>3257</v>
      </c>
      <c r="D1190" t="s">
        <v>3257</v>
      </c>
      <c r="E1190" t="s">
        <v>3279</v>
      </c>
    </row>
    <row r="1191" spans="1:5" x14ac:dyDescent="0.2">
      <c r="A1191" t="s">
        <v>3303</v>
      </c>
      <c r="B1191" t="s">
        <v>3304</v>
      </c>
      <c r="C1191" t="s">
        <v>3257</v>
      </c>
      <c r="D1191" t="s">
        <v>3257</v>
      </c>
      <c r="E1191" t="s">
        <v>3282</v>
      </c>
    </row>
    <row r="1192" spans="1:5" x14ac:dyDescent="0.2">
      <c r="A1192" t="s">
        <v>3305</v>
      </c>
      <c r="B1192" t="s">
        <v>3306</v>
      </c>
      <c r="C1192" t="s">
        <v>3257</v>
      </c>
      <c r="D1192" t="s">
        <v>3257</v>
      </c>
      <c r="E1192" t="s">
        <v>3307</v>
      </c>
    </row>
    <row r="1193" spans="1:5" x14ac:dyDescent="0.2">
      <c r="A1193" t="s">
        <v>3308</v>
      </c>
      <c r="B1193" t="s">
        <v>3309</v>
      </c>
      <c r="C1193" t="s">
        <v>3257</v>
      </c>
      <c r="D1193" t="s">
        <v>3257</v>
      </c>
      <c r="E1193" t="s">
        <v>3310</v>
      </c>
    </row>
    <row r="1194" spans="1:5" x14ac:dyDescent="0.2">
      <c r="A1194" t="s">
        <v>3311</v>
      </c>
      <c r="B1194" t="s">
        <v>3312</v>
      </c>
      <c r="C1194" t="s">
        <v>3257</v>
      </c>
      <c r="D1194" t="s">
        <v>3257</v>
      </c>
      <c r="E1194" t="s">
        <v>3313</v>
      </c>
    </row>
    <row r="1195" spans="1:5" x14ac:dyDescent="0.2">
      <c r="A1195" t="s">
        <v>3314</v>
      </c>
      <c r="B1195" t="s">
        <v>3315</v>
      </c>
      <c r="C1195" t="s">
        <v>3257</v>
      </c>
      <c r="D1195" t="s">
        <v>3257</v>
      </c>
      <c r="E1195" t="s">
        <v>3316</v>
      </c>
    </row>
    <row r="1196" spans="1:5" x14ac:dyDescent="0.2">
      <c r="A1196" t="s">
        <v>3317</v>
      </c>
      <c r="B1196" t="s">
        <v>3318</v>
      </c>
      <c r="C1196" t="s">
        <v>3257</v>
      </c>
      <c r="D1196" t="s">
        <v>3257</v>
      </c>
      <c r="E1196" t="s">
        <v>3319</v>
      </c>
    </row>
    <row r="1197" spans="1:5" x14ac:dyDescent="0.2">
      <c r="A1197" t="s">
        <v>3320</v>
      </c>
      <c r="B1197" t="s">
        <v>3321</v>
      </c>
      <c r="C1197" t="s">
        <v>3257</v>
      </c>
      <c r="D1197" t="s">
        <v>3257</v>
      </c>
      <c r="E1197" t="s">
        <v>3322</v>
      </c>
    </row>
    <row r="1198" spans="1:5" x14ac:dyDescent="0.2">
      <c r="A1198" t="s">
        <v>3323</v>
      </c>
      <c r="B1198" t="s">
        <v>3324</v>
      </c>
      <c r="C1198" t="s">
        <v>3257</v>
      </c>
      <c r="D1198" t="s">
        <v>3257</v>
      </c>
      <c r="E1198" t="s">
        <v>3325</v>
      </c>
    </row>
    <row r="1199" spans="1:5" x14ac:dyDescent="0.2">
      <c r="A1199" t="s">
        <v>3326</v>
      </c>
      <c r="B1199" t="s">
        <v>3327</v>
      </c>
      <c r="C1199" t="s">
        <v>3257</v>
      </c>
      <c r="D1199" t="s">
        <v>3257</v>
      </c>
      <c r="E1199" t="s">
        <v>3328</v>
      </c>
    </row>
    <row r="1200" spans="1:5" x14ac:dyDescent="0.2">
      <c r="A1200" t="s">
        <v>3329</v>
      </c>
      <c r="B1200" t="s">
        <v>3330</v>
      </c>
      <c r="C1200" t="s">
        <v>3257</v>
      </c>
      <c r="D1200" t="s">
        <v>3257</v>
      </c>
      <c r="E1200" t="s">
        <v>3331</v>
      </c>
    </row>
    <row r="1201" spans="1:5" x14ac:dyDescent="0.2">
      <c r="A1201" t="s">
        <v>3332</v>
      </c>
      <c r="B1201" t="s">
        <v>3333</v>
      </c>
      <c r="C1201" t="s">
        <v>3257</v>
      </c>
      <c r="D1201" t="s">
        <v>3257</v>
      </c>
      <c r="E1201" t="s">
        <v>3334</v>
      </c>
    </row>
    <row r="1202" spans="1:5" x14ac:dyDescent="0.2">
      <c r="A1202" t="s">
        <v>3335</v>
      </c>
      <c r="B1202" t="s">
        <v>3336</v>
      </c>
      <c r="C1202" t="s">
        <v>3257</v>
      </c>
      <c r="D1202" t="s">
        <v>3257</v>
      </c>
      <c r="E1202" t="s">
        <v>3313</v>
      </c>
    </row>
    <row r="1203" spans="1:5" x14ac:dyDescent="0.2">
      <c r="A1203" t="s">
        <v>3337</v>
      </c>
      <c r="B1203" t="s">
        <v>3338</v>
      </c>
      <c r="C1203" t="s">
        <v>3257</v>
      </c>
      <c r="D1203" t="s">
        <v>3257</v>
      </c>
      <c r="E1203" t="s">
        <v>3339</v>
      </c>
    </row>
    <row r="1204" spans="1:5" x14ac:dyDescent="0.2">
      <c r="A1204" t="s">
        <v>3340</v>
      </c>
      <c r="B1204" t="s">
        <v>3341</v>
      </c>
      <c r="C1204" t="s">
        <v>3257</v>
      </c>
      <c r="D1204" t="s">
        <v>3257</v>
      </c>
      <c r="E1204" t="s">
        <v>3310</v>
      </c>
    </row>
    <row r="1205" spans="1:5" x14ac:dyDescent="0.2">
      <c r="A1205" t="s">
        <v>3342</v>
      </c>
      <c r="B1205" t="s">
        <v>3343</v>
      </c>
      <c r="C1205" t="s">
        <v>3257</v>
      </c>
      <c r="D1205" t="s">
        <v>3257</v>
      </c>
      <c r="E1205" t="s">
        <v>3344</v>
      </c>
    </row>
    <row r="1206" spans="1:5" x14ac:dyDescent="0.2">
      <c r="A1206" t="s">
        <v>3345</v>
      </c>
      <c r="B1206" t="s">
        <v>3346</v>
      </c>
      <c r="C1206" t="s">
        <v>3257</v>
      </c>
      <c r="D1206" t="s">
        <v>3257</v>
      </c>
      <c r="E1206" t="s">
        <v>3347</v>
      </c>
    </row>
    <row r="1207" spans="1:5" x14ac:dyDescent="0.2">
      <c r="A1207" t="s">
        <v>3348</v>
      </c>
      <c r="B1207" t="s">
        <v>3349</v>
      </c>
      <c r="C1207" t="s">
        <v>3257</v>
      </c>
      <c r="D1207" t="s">
        <v>3257</v>
      </c>
      <c r="E1207" t="s">
        <v>3350</v>
      </c>
    </row>
    <row r="1208" spans="1:5" x14ac:dyDescent="0.2">
      <c r="A1208" t="s">
        <v>3351</v>
      </c>
      <c r="B1208" t="s">
        <v>3352</v>
      </c>
      <c r="C1208" t="s">
        <v>3257</v>
      </c>
      <c r="D1208" t="s">
        <v>3257</v>
      </c>
      <c r="E1208" t="s">
        <v>3353</v>
      </c>
    </row>
    <row r="1209" spans="1:5" x14ac:dyDescent="0.2">
      <c r="A1209" t="s">
        <v>3354</v>
      </c>
      <c r="B1209" t="s">
        <v>3355</v>
      </c>
      <c r="C1209" t="s">
        <v>3257</v>
      </c>
      <c r="D1209" t="s">
        <v>3257</v>
      </c>
      <c r="E1209" t="s">
        <v>3279</v>
      </c>
    </row>
    <row r="1210" spans="1:5" x14ac:dyDescent="0.2">
      <c r="A1210" t="s">
        <v>3356</v>
      </c>
      <c r="B1210" t="s">
        <v>3357</v>
      </c>
      <c r="C1210" t="s">
        <v>3257</v>
      </c>
      <c r="D1210" t="s">
        <v>3257</v>
      </c>
      <c r="E1210" t="s">
        <v>3297</v>
      </c>
    </row>
    <row r="1211" spans="1:5" x14ac:dyDescent="0.2">
      <c r="A1211" t="s">
        <v>3358</v>
      </c>
      <c r="B1211" t="s">
        <v>3359</v>
      </c>
      <c r="C1211" t="s">
        <v>3257</v>
      </c>
      <c r="D1211" t="s">
        <v>3257</v>
      </c>
      <c r="E1211" t="s">
        <v>1651</v>
      </c>
    </row>
    <row r="1212" spans="1:5" x14ac:dyDescent="0.2">
      <c r="A1212" t="s">
        <v>3360</v>
      </c>
      <c r="B1212" t="s">
        <v>3361</v>
      </c>
      <c r="C1212" t="s">
        <v>3257</v>
      </c>
      <c r="D1212" t="s">
        <v>3257</v>
      </c>
      <c r="E1212" t="s">
        <v>3331</v>
      </c>
    </row>
    <row r="1213" spans="1:5" x14ac:dyDescent="0.2">
      <c r="A1213" t="s">
        <v>3362</v>
      </c>
      <c r="B1213" t="s">
        <v>3363</v>
      </c>
      <c r="C1213" t="s">
        <v>3257</v>
      </c>
      <c r="D1213" t="s">
        <v>3257</v>
      </c>
      <c r="E1213" t="s">
        <v>3364</v>
      </c>
    </row>
    <row r="1214" spans="1:5" x14ac:dyDescent="0.2">
      <c r="A1214" t="s">
        <v>3365</v>
      </c>
      <c r="B1214" t="s">
        <v>3366</v>
      </c>
      <c r="C1214" t="s">
        <v>3257</v>
      </c>
      <c r="D1214" t="s">
        <v>3257</v>
      </c>
      <c r="E1214" t="s">
        <v>3367</v>
      </c>
    </row>
    <row r="1215" spans="1:5" x14ac:dyDescent="0.2">
      <c r="A1215" t="s">
        <v>3368</v>
      </c>
      <c r="B1215" t="s">
        <v>3369</v>
      </c>
      <c r="C1215" t="s">
        <v>3257</v>
      </c>
      <c r="D1215" t="s">
        <v>3257</v>
      </c>
      <c r="E1215" t="s">
        <v>3313</v>
      </c>
    </row>
    <row r="1216" spans="1:5" x14ac:dyDescent="0.2">
      <c r="A1216" t="s">
        <v>3370</v>
      </c>
      <c r="B1216" t="s">
        <v>3371</v>
      </c>
      <c r="C1216" t="s">
        <v>3257</v>
      </c>
      <c r="D1216" t="s">
        <v>3257</v>
      </c>
      <c r="E1216" t="s">
        <v>3372</v>
      </c>
    </row>
    <row r="1217" spans="1:5" x14ac:dyDescent="0.2">
      <c r="A1217" t="s">
        <v>3373</v>
      </c>
      <c r="B1217" t="s">
        <v>3374</v>
      </c>
      <c r="C1217" t="s">
        <v>3257</v>
      </c>
      <c r="D1217" t="s">
        <v>3257</v>
      </c>
      <c r="E1217" t="s">
        <v>3375</v>
      </c>
    </row>
    <row r="1218" spans="1:5" x14ac:dyDescent="0.2">
      <c r="A1218" t="s">
        <v>3376</v>
      </c>
      <c r="B1218" t="s">
        <v>3377</v>
      </c>
      <c r="C1218" t="s">
        <v>3257</v>
      </c>
      <c r="D1218" t="s">
        <v>3257</v>
      </c>
      <c r="E1218" t="s">
        <v>3339</v>
      </c>
    </row>
    <row r="1219" spans="1:5" x14ac:dyDescent="0.2">
      <c r="A1219" t="s">
        <v>3378</v>
      </c>
      <c r="B1219" t="s">
        <v>3379</v>
      </c>
      <c r="C1219" t="s">
        <v>3257</v>
      </c>
      <c r="D1219" t="s">
        <v>3257</v>
      </c>
      <c r="E1219" t="s">
        <v>3375</v>
      </c>
    </row>
    <row r="1220" spans="1:5" x14ac:dyDescent="0.2">
      <c r="A1220" t="s">
        <v>3380</v>
      </c>
      <c r="B1220" t="s">
        <v>3381</v>
      </c>
      <c r="C1220" t="s">
        <v>3257</v>
      </c>
      <c r="D1220" t="s">
        <v>3257</v>
      </c>
      <c r="E1220" t="s">
        <v>3347</v>
      </c>
    </row>
    <row r="1221" spans="1:5" x14ac:dyDescent="0.2">
      <c r="A1221" t="s">
        <v>3382</v>
      </c>
      <c r="B1221" t="s">
        <v>3383</v>
      </c>
      <c r="C1221" t="s">
        <v>3257</v>
      </c>
      <c r="D1221" t="s">
        <v>3257</v>
      </c>
      <c r="E1221" t="s">
        <v>3307</v>
      </c>
    </row>
    <row r="1222" spans="1:5" x14ac:dyDescent="0.2">
      <c r="A1222" t="s">
        <v>3384</v>
      </c>
      <c r="B1222" t="s">
        <v>3385</v>
      </c>
      <c r="C1222" t="s">
        <v>3257</v>
      </c>
      <c r="D1222" t="s">
        <v>3257</v>
      </c>
      <c r="E1222" t="s">
        <v>3334</v>
      </c>
    </row>
    <row r="1223" spans="1:5" x14ac:dyDescent="0.2">
      <c r="A1223" t="s">
        <v>3386</v>
      </c>
      <c r="B1223" t="s">
        <v>3387</v>
      </c>
      <c r="C1223" t="s">
        <v>3257</v>
      </c>
      <c r="D1223" t="s">
        <v>3257</v>
      </c>
      <c r="E1223" t="s">
        <v>3344</v>
      </c>
    </row>
    <row r="1224" spans="1:5" x14ac:dyDescent="0.2">
      <c r="A1224" t="s">
        <v>3388</v>
      </c>
      <c r="B1224" t="s">
        <v>3389</v>
      </c>
      <c r="C1224" t="s">
        <v>3257</v>
      </c>
      <c r="D1224" t="s">
        <v>3257</v>
      </c>
      <c r="E1224" t="s">
        <v>3307</v>
      </c>
    </row>
    <row r="1225" spans="1:5" x14ac:dyDescent="0.2">
      <c r="A1225" t="s">
        <v>3390</v>
      </c>
      <c r="B1225" t="s">
        <v>3391</v>
      </c>
      <c r="C1225" t="s">
        <v>3257</v>
      </c>
      <c r="D1225" t="s">
        <v>3257</v>
      </c>
      <c r="E1225" t="s">
        <v>3392</v>
      </c>
    </row>
    <row r="1226" spans="1:5" x14ac:dyDescent="0.2">
      <c r="A1226" t="s">
        <v>3393</v>
      </c>
      <c r="B1226" t="s">
        <v>3394</v>
      </c>
      <c r="C1226" t="s">
        <v>3257</v>
      </c>
      <c r="D1226" t="s">
        <v>3257</v>
      </c>
      <c r="E1226" t="s">
        <v>3395</v>
      </c>
    </row>
    <row r="1227" spans="1:5" x14ac:dyDescent="0.2">
      <c r="A1227" t="s">
        <v>3396</v>
      </c>
      <c r="B1227" t="s">
        <v>3397</v>
      </c>
      <c r="C1227" t="s">
        <v>3257</v>
      </c>
      <c r="D1227" t="s">
        <v>3257</v>
      </c>
      <c r="E1227" t="s">
        <v>3279</v>
      </c>
    </row>
    <row r="1228" spans="1:5" x14ac:dyDescent="0.2">
      <c r="A1228" t="s">
        <v>3398</v>
      </c>
      <c r="B1228" t="s">
        <v>3399</v>
      </c>
      <c r="C1228" t="s">
        <v>3257</v>
      </c>
      <c r="D1228" t="s">
        <v>3257</v>
      </c>
      <c r="E1228" t="s">
        <v>3331</v>
      </c>
    </row>
    <row r="1229" spans="1:5" x14ac:dyDescent="0.2">
      <c r="A1229" t="s">
        <v>3400</v>
      </c>
      <c r="B1229" t="s">
        <v>3401</v>
      </c>
      <c r="C1229" t="s">
        <v>3257</v>
      </c>
      <c r="D1229" t="s">
        <v>3257</v>
      </c>
      <c r="E1229" t="s">
        <v>3402</v>
      </c>
    </row>
    <row r="1230" spans="1:5" x14ac:dyDescent="0.2">
      <c r="A1230" t="s">
        <v>3403</v>
      </c>
      <c r="B1230" t="s">
        <v>3404</v>
      </c>
      <c r="C1230" t="s">
        <v>3257</v>
      </c>
      <c r="D1230" t="s">
        <v>3257</v>
      </c>
      <c r="E1230" t="s">
        <v>3405</v>
      </c>
    </row>
    <row r="1231" spans="1:5" x14ac:dyDescent="0.2">
      <c r="A1231" t="s">
        <v>3406</v>
      </c>
      <c r="B1231" t="s">
        <v>3407</v>
      </c>
      <c r="C1231" t="s">
        <v>3257</v>
      </c>
      <c r="D1231" t="s">
        <v>3257</v>
      </c>
      <c r="E1231" t="s">
        <v>3285</v>
      </c>
    </row>
    <row r="1232" spans="1:5" x14ac:dyDescent="0.2">
      <c r="A1232" t="s">
        <v>3408</v>
      </c>
      <c r="B1232" t="s">
        <v>3409</v>
      </c>
      <c r="C1232" t="s">
        <v>3257</v>
      </c>
      <c r="D1232" t="s">
        <v>3257</v>
      </c>
      <c r="E1232" t="s">
        <v>3410</v>
      </c>
    </row>
    <row r="1233" spans="1:5" x14ac:dyDescent="0.2">
      <c r="A1233" t="s">
        <v>3411</v>
      </c>
      <c r="B1233" t="s">
        <v>3412</v>
      </c>
      <c r="C1233" t="s">
        <v>3257</v>
      </c>
      <c r="D1233" t="s">
        <v>3257</v>
      </c>
      <c r="E1233" t="s">
        <v>3279</v>
      </c>
    </row>
    <row r="1234" spans="1:5" x14ac:dyDescent="0.2">
      <c r="A1234" t="s">
        <v>3413</v>
      </c>
      <c r="B1234" t="s">
        <v>3414</v>
      </c>
      <c r="C1234" t="s">
        <v>3257</v>
      </c>
      <c r="D1234" t="s">
        <v>3257</v>
      </c>
      <c r="E1234" t="s">
        <v>3279</v>
      </c>
    </row>
    <row r="1235" spans="1:5" x14ac:dyDescent="0.2">
      <c r="A1235" t="s">
        <v>3415</v>
      </c>
      <c r="B1235" t="s">
        <v>3416</v>
      </c>
      <c r="C1235" t="s">
        <v>3257</v>
      </c>
      <c r="D1235" t="s">
        <v>3257</v>
      </c>
      <c r="E1235" t="s">
        <v>3417</v>
      </c>
    </row>
    <row r="1236" spans="1:5" x14ac:dyDescent="0.2">
      <c r="A1236" t="s">
        <v>3418</v>
      </c>
      <c r="B1236" t="s">
        <v>3419</v>
      </c>
      <c r="C1236" t="s">
        <v>3257</v>
      </c>
      <c r="D1236" t="s">
        <v>3257</v>
      </c>
      <c r="E1236" t="s">
        <v>3279</v>
      </c>
    </row>
    <row r="1237" spans="1:5" x14ac:dyDescent="0.2">
      <c r="A1237" t="s">
        <v>3420</v>
      </c>
      <c r="B1237" t="s">
        <v>3421</v>
      </c>
      <c r="C1237" t="s">
        <v>3257</v>
      </c>
      <c r="D1237" t="s">
        <v>3257</v>
      </c>
      <c r="E1237" t="s">
        <v>3422</v>
      </c>
    </row>
    <row r="1238" spans="1:5" x14ac:dyDescent="0.2">
      <c r="A1238" t="s">
        <v>3423</v>
      </c>
      <c r="B1238" t="s">
        <v>3424</v>
      </c>
      <c r="C1238" t="s">
        <v>3257</v>
      </c>
      <c r="D1238" t="s">
        <v>3257</v>
      </c>
      <c r="E1238" t="s">
        <v>3395</v>
      </c>
    </row>
    <row r="1239" spans="1:5" x14ac:dyDescent="0.2">
      <c r="A1239" t="s">
        <v>3425</v>
      </c>
      <c r="B1239" t="s">
        <v>3426</v>
      </c>
      <c r="C1239" t="s">
        <v>3257</v>
      </c>
      <c r="D1239" t="s">
        <v>3257</v>
      </c>
      <c r="E1239" t="s">
        <v>3427</v>
      </c>
    </row>
    <row r="1240" spans="1:5" x14ac:dyDescent="0.2">
      <c r="A1240" t="s">
        <v>3428</v>
      </c>
      <c r="B1240" t="s">
        <v>3429</v>
      </c>
      <c r="C1240" t="s">
        <v>3257</v>
      </c>
      <c r="D1240" t="s">
        <v>3257</v>
      </c>
      <c r="E1240" t="s">
        <v>3276</v>
      </c>
    </row>
    <row r="1241" spans="1:5" x14ac:dyDescent="0.2">
      <c r="A1241" t="s">
        <v>3430</v>
      </c>
      <c r="B1241" t="s">
        <v>3431</v>
      </c>
      <c r="C1241" t="s">
        <v>3257</v>
      </c>
      <c r="D1241" t="s">
        <v>3257</v>
      </c>
      <c r="E1241" t="s">
        <v>3285</v>
      </c>
    </row>
    <row r="1242" spans="1:5" x14ac:dyDescent="0.2">
      <c r="A1242" t="s">
        <v>3432</v>
      </c>
      <c r="B1242" t="s">
        <v>3433</v>
      </c>
      <c r="C1242" t="s">
        <v>3257</v>
      </c>
      <c r="D1242" t="s">
        <v>3257</v>
      </c>
      <c r="E1242" t="s">
        <v>3434</v>
      </c>
    </row>
    <row r="1243" spans="1:5" x14ac:dyDescent="0.2">
      <c r="A1243" t="s">
        <v>3435</v>
      </c>
      <c r="B1243" t="s">
        <v>3436</v>
      </c>
      <c r="C1243" t="s">
        <v>3257</v>
      </c>
      <c r="D1243" t="s">
        <v>3257</v>
      </c>
      <c r="E1243" t="s">
        <v>3437</v>
      </c>
    </row>
    <row r="1244" spans="1:5" x14ac:dyDescent="0.2">
      <c r="A1244" t="s">
        <v>3438</v>
      </c>
      <c r="B1244" t="s">
        <v>3439</v>
      </c>
      <c r="C1244" t="s">
        <v>3440</v>
      </c>
      <c r="D1244" t="s">
        <v>3440</v>
      </c>
      <c r="E1244" t="s">
        <v>3441</v>
      </c>
    </row>
    <row r="1245" spans="1:5" x14ac:dyDescent="0.2">
      <c r="A1245" t="s">
        <v>3442</v>
      </c>
      <c r="B1245" t="s">
        <v>3443</v>
      </c>
      <c r="C1245" t="s">
        <v>3440</v>
      </c>
      <c r="D1245" t="s">
        <v>3440</v>
      </c>
      <c r="E1245" t="s">
        <v>3444</v>
      </c>
    </row>
    <row r="1246" spans="1:5" x14ac:dyDescent="0.2">
      <c r="A1246" t="s">
        <v>3445</v>
      </c>
      <c r="B1246" t="s">
        <v>3446</v>
      </c>
      <c r="C1246" t="s">
        <v>3440</v>
      </c>
      <c r="D1246" t="s">
        <v>3440</v>
      </c>
      <c r="E1246" t="s">
        <v>3447</v>
      </c>
    </row>
    <row r="1247" spans="1:5" x14ac:dyDescent="0.2">
      <c r="A1247" t="s">
        <v>3448</v>
      </c>
      <c r="B1247" t="s">
        <v>3449</v>
      </c>
      <c r="C1247" t="s">
        <v>3440</v>
      </c>
      <c r="D1247" t="s">
        <v>3440</v>
      </c>
      <c r="E1247" t="s">
        <v>3450</v>
      </c>
    </row>
    <row r="1248" spans="1:5" x14ac:dyDescent="0.2">
      <c r="A1248" t="s">
        <v>3451</v>
      </c>
      <c r="B1248" t="s">
        <v>3452</v>
      </c>
      <c r="C1248" t="s">
        <v>3440</v>
      </c>
      <c r="D1248" t="s">
        <v>3440</v>
      </c>
      <c r="E1248" t="s">
        <v>3453</v>
      </c>
    </row>
    <row r="1249" spans="1:5" x14ac:dyDescent="0.2">
      <c r="A1249" t="s">
        <v>3454</v>
      </c>
      <c r="B1249" t="s">
        <v>3455</v>
      </c>
      <c r="C1249" t="s">
        <v>3440</v>
      </c>
      <c r="D1249" t="s">
        <v>3440</v>
      </c>
      <c r="E1249" t="s">
        <v>3456</v>
      </c>
    </row>
    <row r="1250" spans="1:5" x14ac:dyDescent="0.2">
      <c r="A1250" t="s">
        <v>3457</v>
      </c>
      <c r="B1250" t="s">
        <v>3458</v>
      </c>
      <c r="C1250" t="s">
        <v>3440</v>
      </c>
      <c r="D1250" t="s">
        <v>3440</v>
      </c>
      <c r="E1250" t="s">
        <v>3459</v>
      </c>
    </row>
    <row r="1251" spans="1:5" x14ac:dyDescent="0.2">
      <c r="A1251" t="s">
        <v>3460</v>
      </c>
      <c r="B1251" t="s">
        <v>3461</v>
      </c>
      <c r="C1251" t="s">
        <v>3440</v>
      </c>
      <c r="D1251" t="s">
        <v>3440</v>
      </c>
      <c r="E1251" t="s">
        <v>3462</v>
      </c>
    </row>
    <row r="1252" spans="1:5" x14ac:dyDescent="0.2">
      <c r="A1252" t="s">
        <v>3463</v>
      </c>
      <c r="B1252" t="s">
        <v>3464</v>
      </c>
      <c r="C1252" t="s">
        <v>3440</v>
      </c>
      <c r="D1252" t="s">
        <v>3440</v>
      </c>
      <c r="E1252" t="s">
        <v>3465</v>
      </c>
    </row>
    <row r="1253" spans="1:5" x14ac:dyDescent="0.2">
      <c r="A1253" t="s">
        <v>3466</v>
      </c>
      <c r="B1253" t="s">
        <v>3467</v>
      </c>
      <c r="C1253" t="s">
        <v>3440</v>
      </c>
      <c r="D1253" t="s">
        <v>3440</v>
      </c>
      <c r="E1253" t="s">
        <v>3468</v>
      </c>
    </row>
    <row r="1254" spans="1:5" x14ac:dyDescent="0.2">
      <c r="A1254" t="s">
        <v>3469</v>
      </c>
      <c r="B1254" t="s">
        <v>3470</v>
      </c>
      <c r="C1254" t="s">
        <v>3440</v>
      </c>
      <c r="D1254" t="s">
        <v>3440</v>
      </c>
      <c r="E1254" t="s">
        <v>3444</v>
      </c>
    </row>
    <row r="1255" spans="1:5" x14ac:dyDescent="0.2">
      <c r="A1255" t="s">
        <v>3471</v>
      </c>
      <c r="B1255" t="s">
        <v>3472</v>
      </c>
      <c r="C1255" t="s">
        <v>3440</v>
      </c>
      <c r="D1255" t="s">
        <v>3440</v>
      </c>
      <c r="E1255" t="s">
        <v>3473</v>
      </c>
    </row>
    <row r="1256" spans="1:5" x14ac:dyDescent="0.2">
      <c r="A1256" t="s">
        <v>3474</v>
      </c>
      <c r="B1256" t="s">
        <v>3475</v>
      </c>
      <c r="C1256" t="s">
        <v>3440</v>
      </c>
      <c r="D1256" t="s">
        <v>3440</v>
      </c>
      <c r="E1256" t="s">
        <v>3444</v>
      </c>
    </row>
    <row r="1257" spans="1:5" x14ac:dyDescent="0.2">
      <c r="A1257" t="s">
        <v>3476</v>
      </c>
      <c r="B1257" t="s">
        <v>3477</v>
      </c>
      <c r="C1257" t="s">
        <v>3440</v>
      </c>
      <c r="D1257" t="s">
        <v>3440</v>
      </c>
      <c r="E1257" t="s">
        <v>3465</v>
      </c>
    </row>
    <row r="1258" spans="1:5" x14ac:dyDescent="0.2">
      <c r="A1258" t="s">
        <v>3478</v>
      </c>
      <c r="B1258" t="s">
        <v>3479</v>
      </c>
      <c r="C1258" t="s">
        <v>3440</v>
      </c>
      <c r="D1258" t="s">
        <v>3440</v>
      </c>
      <c r="E1258" t="s">
        <v>3480</v>
      </c>
    </row>
    <row r="1259" spans="1:5" x14ac:dyDescent="0.2">
      <c r="A1259" t="s">
        <v>3481</v>
      </c>
      <c r="B1259" t="s">
        <v>3482</v>
      </c>
      <c r="C1259" t="s">
        <v>3440</v>
      </c>
      <c r="D1259" t="s">
        <v>3440</v>
      </c>
      <c r="E1259" t="s">
        <v>3483</v>
      </c>
    </row>
    <row r="1260" spans="1:5" x14ac:dyDescent="0.2">
      <c r="A1260" t="s">
        <v>3484</v>
      </c>
      <c r="B1260" t="s">
        <v>3485</v>
      </c>
      <c r="C1260" t="s">
        <v>3440</v>
      </c>
      <c r="D1260" t="s">
        <v>3440</v>
      </c>
      <c r="E1260" t="s">
        <v>3486</v>
      </c>
    </row>
    <row r="1261" spans="1:5" x14ac:dyDescent="0.2">
      <c r="A1261" t="s">
        <v>3487</v>
      </c>
      <c r="B1261" t="s">
        <v>3488</v>
      </c>
      <c r="C1261" t="s">
        <v>3440</v>
      </c>
      <c r="D1261" t="s">
        <v>3440</v>
      </c>
      <c r="E1261" t="s">
        <v>3444</v>
      </c>
    </row>
    <row r="1262" spans="1:5" x14ac:dyDescent="0.2">
      <c r="A1262" t="s">
        <v>3489</v>
      </c>
      <c r="B1262" t="s">
        <v>3490</v>
      </c>
      <c r="C1262" t="s">
        <v>3440</v>
      </c>
      <c r="D1262" t="s">
        <v>3440</v>
      </c>
      <c r="E1262" t="s">
        <v>3491</v>
      </c>
    </row>
    <row r="1263" spans="1:5" x14ac:dyDescent="0.2">
      <c r="A1263" t="s">
        <v>3492</v>
      </c>
      <c r="B1263" t="s">
        <v>3493</v>
      </c>
      <c r="C1263" t="s">
        <v>3440</v>
      </c>
      <c r="D1263" t="s">
        <v>3440</v>
      </c>
      <c r="E1263" t="s">
        <v>3494</v>
      </c>
    </row>
    <row r="1264" spans="1:5" x14ac:dyDescent="0.2">
      <c r="A1264" t="s">
        <v>3495</v>
      </c>
      <c r="B1264" t="s">
        <v>3496</v>
      </c>
      <c r="C1264" t="s">
        <v>3440</v>
      </c>
      <c r="D1264" t="s">
        <v>3440</v>
      </c>
      <c r="E1264" t="s">
        <v>3497</v>
      </c>
    </row>
    <row r="1265" spans="1:5" x14ac:dyDescent="0.2">
      <c r="A1265" t="s">
        <v>3498</v>
      </c>
      <c r="B1265" t="s">
        <v>3499</v>
      </c>
      <c r="C1265" t="s">
        <v>3440</v>
      </c>
      <c r="D1265" t="s">
        <v>3440</v>
      </c>
      <c r="E1265" t="s">
        <v>3500</v>
      </c>
    </row>
    <row r="1266" spans="1:5" x14ac:dyDescent="0.2">
      <c r="A1266" t="s">
        <v>3501</v>
      </c>
      <c r="B1266" t="s">
        <v>3502</v>
      </c>
      <c r="C1266" t="s">
        <v>3440</v>
      </c>
      <c r="D1266" t="s">
        <v>3440</v>
      </c>
      <c r="E1266" t="s">
        <v>3491</v>
      </c>
    </row>
    <row r="1267" spans="1:5" x14ac:dyDescent="0.2">
      <c r="A1267" t="s">
        <v>3503</v>
      </c>
      <c r="B1267" t="s">
        <v>3504</v>
      </c>
      <c r="C1267" t="s">
        <v>3440</v>
      </c>
      <c r="D1267" t="s">
        <v>3440</v>
      </c>
      <c r="E1267" t="s">
        <v>3505</v>
      </c>
    </row>
    <row r="1268" spans="1:5" x14ac:dyDescent="0.2">
      <c r="A1268" t="s">
        <v>3506</v>
      </c>
      <c r="B1268" t="s">
        <v>3507</v>
      </c>
      <c r="C1268" t="s">
        <v>3440</v>
      </c>
      <c r="D1268" t="s">
        <v>3440</v>
      </c>
      <c r="E1268" t="s">
        <v>3508</v>
      </c>
    </row>
    <row r="1269" spans="1:5" x14ac:dyDescent="0.2">
      <c r="A1269" t="s">
        <v>3509</v>
      </c>
      <c r="B1269" t="s">
        <v>3510</v>
      </c>
      <c r="C1269" t="s">
        <v>3440</v>
      </c>
      <c r="D1269" t="s">
        <v>3440</v>
      </c>
      <c r="E1269" t="s">
        <v>3500</v>
      </c>
    </row>
    <row r="1270" spans="1:5" x14ac:dyDescent="0.2">
      <c r="A1270" t="s">
        <v>3511</v>
      </c>
      <c r="B1270" t="s">
        <v>3512</v>
      </c>
      <c r="C1270" t="s">
        <v>3440</v>
      </c>
      <c r="D1270" t="s">
        <v>3440</v>
      </c>
      <c r="E1270" t="s">
        <v>3513</v>
      </c>
    </row>
    <row r="1271" spans="1:5" x14ac:dyDescent="0.2">
      <c r="A1271" t="s">
        <v>3514</v>
      </c>
      <c r="B1271" t="s">
        <v>3515</v>
      </c>
      <c r="C1271" t="s">
        <v>3440</v>
      </c>
      <c r="D1271" t="s">
        <v>3440</v>
      </c>
      <c r="E1271" t="s">
        <v>3516</v>
      </c>
    </row>
    <row r="1272" spans="1:5" x14ac:dyDescent="0.2">
      <c r="A1272" t="s">
        <v>3517</v>
      </c>
      <c r="B1272" t="s">
        <v>3518</v>
      </c>
      <c r="C1272" t="s">
        <v>3440</v>
      </c>
      <c r="D1272" t="s">
        <v>3440</v>
      </c>
      <c r="E1272" t="s">
        <v>3491</v>
      </c>
    </row>
    <row r="1273" spans="1:5" x14ac:dyDescent="0.2">
      <c r="A1273" t="s">
        <v>3519</v>
      </c>
      <c r="B1273" t="s">
        <v>3520</v>
      </c>
      <c r="C1273" t="s">
        <v>3440</v>
      </c>
      <c r="D1273" t="s">
        <v>3440</v>
      </c>
      <c r="E1273" t="s">
        <v>3521</v>
      </c>
    </row>
    <row r="1274" spans="1:5" x14ac:dyDescent="0.2">
      <c r="A1274" t="s">
        <v>3522</v>
      </c>
      <c r="B1274" t="s">
        <v>3523</v>
      </c>
      <c r="C1274" t="s">
        <v>3440</v>
      </c>
      <c r="D1274" t="s">
        <v>3440</v>
      </c>
      <c r="E1274" t="s">
        <v>3524</v>
      </c>
    </row>
    <row r="1275" spans="1:5" x14ac:dyDescent="0.2">
      <c r="A1275" t="s">
        <v>3525</v>
      </c>
      <c r="B1275" t="s">
        <v>3526</v>
      </c>
      <c r="C1275" t="s">
        <v>3440</v>
      </c>
      <c r="D1275" t="s">
        <v>3440</v>
      </c>
      <c r="E1275" t="s">
        <v>3494</v>
      </c>
    </row>
    <row r="1276" spans="1:5" x14ac:dyDescent="0.2">
      <c r="A1276" t="s">
        <v>3527</v>
      </c>
      <c r="B1276" t="s">
        <v>3528</v>
      </c>
      <c r="C1276" t="s">
        <v>3440</v>
      </c>
      <c r="D1276" t="s">
        <v>3440</v>
      </c>
      <c r="E1276" t="s">
        <v>3494</v>
      </c>
    </row>
    <row r="1277" spans="1:5" x14ac:dyDescent="0.2">
      <c r="A1277" t="s">
        <v>3529</v>
      </c>
      <c r="B1277" t="s">
        <v>3530</v>
      </c>
      <c r="C1277" t="s">
        <v>3440</v>
      </c>
      <c r="D1277" t="s">
        <v>3440</v>
      </c>
      <c r="E1277" t="s">
        <v>3531</v>
      </c>
    </row>
    <row r="1278" spans="1:5" x14ac:dyDescent="0.2">
      <c r="A1278" t="s">
        <v>3532</v>
      </c>
      <c r="B1278" t="s">
        <v>3533</v>
      </c>
      <c r="C1278" t="s">
        <v>3440</v>
      </c>
      <c r="D1278" t="s">
        <v>3440</v>
      </c>
      <c r="E1278" t="s">
        <v>3534</v>
      </c>
    </row>
    <row r="1279" spans="1:5" x14ac:dyDescent="0.2">
      <c r="A1279" t="s">
        <v>3535</v>
      </c>
      <c r="B1279" t="s">
        <v>3536</v>
      </c>
      <c r="C1279" t="s">
        <v>3440</v>
      </c>
      <c r="D1279" t="s">
        <v>3440</v>
      </c>
      <c r="E1279" t="s">
        <v>3537</v>
      </c>
    </row>
    <row r="1280" spans="1:5" x14ac:dyDescent="0.2">
      <c r="A1280" t="s">
        <v>3538</v>
      </c>
      <c r="B1280" t="s">
        <v>3539</v>
      </c>
      <c r="C1280" t="s">
        <v>3440</v>
      </c>
      <c r="D1280" t="s">
        <v>3440</v>
      </c>
      <c r="E1280" t="s">
        <v>3444</v>
      </c>
    </row>
    <row r="1281" spans="1:5" x14ac:dyDescent="0.2">
      <c r="A1281" t="s">
        <v>3540</v>
      </c>
      <c r="B1281" t="s">
        <v>3541</v>
      </c>
      <c r="C1281" t="s">
        <v>3440</v>
      </c>
      <c r="D1281" t="s">
        <v>3440</v>
      </c>
      <c r="E1281" t="s">
        <v>3542</v>
      </c>
    </row>
    <row r="1282" spans="1:5" x14ac:dyDescent="0.2">
      <c r="A1282" t="s">
        <v>3543</v>
      </c>
      <c r="B1282" t="s">
        <v>3544</v>
      </c>
      <c r="C1282" t="s">
        <v>3440</v>
      </c>
      <c r="D1282" t="s">
        <v>3440</v>
      </c>
      <c r="E1282" t="s">
        <v>3545</v>
      </c>
    </row>
    <row r="1283" spans="1:5" x14ac:dyDescent="0.2">
      <c r="A1283" t="s">
        <v>3546</v>
      </c>
      <c r="B1283" t="s">
        <v>3547</v>
      </c>
      <c r="C1283" t="s">
        <v>3440</v>
      </c>
      <c r="D1283" t="s">
        <v>3440</v>
      </c>
      <c r="E1283" t="s">
        <v>3491</v>
      </c>
    </row>
    <row r="1284" spans="1:5" x14ac:dyDescent="0.2">
      <c r="A1284" t="s">
        <v>3548</v>
      </c>
      <c r="B1284" t="s">
        <v>3549</v>
      </c>
      <c r="C1284" t="s">
        <v>3440</v>
      </c>
      <c r="D1284" t="s">
        <v>3440</v>
      </c>
      <c r="E1284" t="s">
        <v>3491</v>
      </c>
    </row>
    <row r="1285" spans="1:5" x14ac:dyDescent="0.2">
      <c r="A1285" t="s">
        <v>3550</v>
      </c>
      <c r="B1285" t="s">
        <v>3551</v>
      </c>
      <c r="C1285" t="s">
        <v>3440</v>
      </c>
      <c r="D1285" t="s">
        <v>3440</v>
      </c>
      <c r="E1285" t="s">
        <v>3491</v>
      </c>
    </row>
    <row r="1286" spans="1:5" x14ac:dyDescent="0.2">
      <c r="A1286" t="s">
        <v>3552</v>
      </c>
      <c r="B1286" t="s">
        <v>3553</v>
      </c>
      <c r="C1286" t="s">
        <v>3440</v>
      </c>
      <c r="D1286" t="s">
        <v>3440</v>
      </c>
      <c r="E1286" t="s">
        <v>3444</v>
      </c>
    </row>
    <row r="1287" spans="1:5" x14ac:dyDescent="0.2">
      <c r="A1287" t="s">
        <v>3554</v>
      </c>
      <c r="B1287" t="s">
        <v>3555</v>
      </c>
      <c r="C1287" t="s">
        <v>3440</v>
      </c>
      <c r="D1287" t="s">
        <v>3440</v>
      </c>
      <c r="E1287" t="s">
        <v>3556</v>
      </c>
    </row>
    <row r="1288" spans="1:5" x14ac:dyDescent="0.2">
      <c r="A1288" t="s">
        <v>3557</v>
      </c>
      <c r="B1288" t="s">
        <v>3558</v>
      </c>
      <c r="C1288" t="s">
        <v>3440</v>
      </c>
      <c r="D1288" t="s">
        <v>3440</v>
      </c>
      <c r="E1288" t="s">
        <v>3559</v>
      </c>
    </row>
    <row r="1289" spans="1:5" x14ac:dyDescent="0.2">
      <c r="A1289" t="s">
        <v>3560</v>
      </c>
      <c r="B1289" t="s">
        <v>3561</v>
      </c>
      <c r="C1289" t="s">
        <v>3440</v>
      </c>
      <c r="D1289" t="s">
        <v>3440</v>
      </c>
      <c r="E1289" t="s">
        <v>3562</v>
      </c>
    </row>
    <row r="1290" spans="1:5" x14ac:dyDescent="0.2">
      <c r="A1290" t="s">
        <v>3563</v>
      </c>
      <c r="B1290" t="s">
        <v>3564</v>
      </c>
      <c r="C1290" t="s">
        <v>3440</v>
      </c>
      <c r="D1290" t="s">
        <v>3440</v>
      </c>
      <c r="E1290" t="s">
        <v>3565</v>
      </c>
    </row>
    <row r="1291" spans="1:5" x14ac:dyDescent="0.2">
      <c r="A1291" t="s">
        <v>3566</v>
      </c>
      <c r="B1291" t="s">
        <v>3567</v>
      </c>
      <c r="C1291" t="s">
        <v>3440</v>
      </c>
      <c r="D1291" t="s">
        <v>3440</v>
      </c>
      <c r="E1291" t="s">
        <v>3568</v>
      </c>
    </row>
    <row r="1292" spans="1:5" x14ac:dyDescent="0.2">
      <c r="A1292" t="s">
        <v>3569</v>
      </c>
      <c r="B1292" t="s">
        <v>3570</v>
      </c>
      <c r="C1292" t="s">
        <v>3440</v>
      </c>
      <c r="D1292" t="s">
        <v>3440</v>
      </c>
      <c r="E1292" t="s">
        <v>3571</v>
      </c>
    </row>
    <row r="1293" spans="1:5" x14ac:dyDescent="0.2">
      <c r="A1293" t="s">
        <v>3572</v>
      </c>
      <c r="B1293" t="s">
        <v>3573</v>
      </c>
      <c r="C1293" t="s">
        <v>3440</v>
      </c>
      <c r="D1293" t="s">
        <v>3440</v>
      </c>
      <c r="E1293" t="s">
        <v>3542</v>
      </c>
    </row>
    <row r="1294" spans="1:5" x14ac:dyDescent="0.2">
      <c r="A1294" t="s">
        <v>3574</v>
      </c>
      <c r="B1294" t="s">
        <v>3575</v>
      </c>
      <c r="C1294" t="s">
        <v>3440</v>
      </c>
      <c r="D1294" t="s">
        <v>3440</v>
      </c>
      <c r="E1294" t="s">
        <v>3494</v>
      </c>
    </row>
    <row r="1295" spans="1:5" x14ac:dyDescent="0.2">
      <c r="A1295" t="s">
        <v>3576</v>
      </c>
      <c r="B1295" t="s">
        <v>3577</v>
      </c>
      <c r="C1295" t="s">
        <v>3440</v>
      </c>
      <c r="D1295" t="s">
        <v>3440</v>
      </c>
      <c r="E1295" t="s">
        <v>3578</v>
      </c>
    </row>
    <row r="1296" spans="1:5" x14ac:dyDescent="0.2">
      <c r="A1296" t="s">
        <v>3579</v>
      </c>
      <c r="B1296" t="s">
        <v>3580</v>
      </c>
      <c r="C1296" t="s">
        <v>3440</v>
      </c>
      <c r="D1296" t="s">
        <v>3440</v>
      </c>
      <c r="E1296" t="s">
        <v>3491</v>
      </c>
    </row>
    <row r="1297" spans="1:5" x14ac:dyDescent="0.2">
      <c r="A1297" t="s">
        <v>3581</v>
      </c>
      <c r="B1297" t="s">
        <v>3582</v>
      </c>
      <c r="C1297" t="s">
        <v>3440</v>
      </c>
      <c r="D1297" t="s">
        <v>3440</v>
      </c>
      <c r="E1297" t="s">
        <v>3583</v>
      </c>
    </row>
    <row r="1298" spans="1:5" x14ac:dyDescent="0.2">
      <c r="A1298" t="s">
        <v>3584</v>
      </c>
      <c r="B1298" t="s">
        <v>3585</v>
      </c>
      <c r="C1298" t="s">
        <v>3440</v>
      </c>
      <c r="D1298" t="s">
        <v>3440</v>
      </c>
      <c r="E1298" t="s">
        <v>3494</v>
      </c>
    </row>
    <row r="1299" spans="1:5" x14ac:dyDescent="0.2">
      <c r="A1299" t="s">
        <v>3586</v>
      </c>
      <c r="B1299" t="s">
        <v>3587</v>
      </c>
      <c r="C1299" t="s">
        <v>3440</v>
      </c>
      <c r="D1299" t="s">
        <v>3440</v>
      </c>
      <c r="E1299" t="s">
        <v>3588</v>
      </c>
    </row>
    <row r="1300" spans="1:5" x14ac:dyDescent="0.2">
      <c r="A1300" t="s">
        <v>3589</v>
      </c>
      <c r="B1300" t="s">
        <v>3590</v>
      </c>
      <c r="C1300" t="s">
        <v>3440</v>
      </c>
      <c r="D1300" t="s">
        <v>3440</v>
      </c>
      <c r="E1300" t="s">
        <v>3494</v>
      </c>
    </row>
    <row r="1301" spans="1:5" x14ac:dyDescent="0.2">
      <c r="A1301" t="s">
        <v>3591</v>
      </c>
      <c r="B1301" t="s">
        <v>3592</v>
      </c>
      <c r="C1301" t="s">
        <v>3440</v>
      </c>
      <c r="D1301" t="s">
        <v>3440</v>
      </c>
      <c r="E1301" t="s">
        <v>3494</v>
      </c>
    </row>
    <row r="1302" spans="1:5" x14ac:dyDescent="0.2">
      <c r="A1302" t="s">
        <v>3593</v>
      </c>
      <c r="B1302" t="s">
        <v>3594</v>
      </c>
      <c r="C1302" t="s">
        <v>3440</v>
      </c>
      <c r="D1302" t="s">
        <v>3440</v>
      </c>
      <c r="E1302" t="s">
        <v>3595</v>
      </c>
    </row>
    <row r="1303" spans="1:5" x14ac:dyDescent="0.2">
      <c r="A1303" t="s">
        <v>3596</v>
      </c>
      <c r="B1303" t="s">
        <v>3597</v>
      </c>
      <c r="C1303" t="s">
        <v>3440</v>
      </c>
      <c r="D1303" t="s">
        <v>3440</v>
      </c>
      <c r="E1303" t="s">
        <v>3444</v>
      </c>
    </row>
    <row r="1304" spans="1:5" x14ac:dyDescent="0.2">
      <c r="A1304" t="s">
        <v>3598</v>
      </c>
      <c r="B1304" t="s">
        <v>3599</v>
      </c>
      <c r="C1304" t="s">
        <v>3440</v>
      </c>
      <c r="D1304" t="s">
        <v>3440</v>
      </c>
      <c r="E1304" t="s">
        <v>3494</v>
      </c>
    </row>
    <row r="1305" spans="1:5" x14ac:dyDescent="0.2">
      <c r="A1305" t="s">
        <v>3600</v>
      </c>
      <c r="B1305" t="s">
        <v>3601</v>
      </c>
      <c r="C1305" t="s">
        <v>3440</v>
      </c>
      <c r="D1305" t="s">
        <v>3440</v>
      </c>
      <c r="E1305" t="s">
        <v>3602</v>
      </c>
    </row>
    <row r="1306" spans="1:5" x14ac:dyDescent="0.2">
      <c r="A1306" t="s">
        <v>3603</v>
      </c>
      <c r="B1306" t="s">
        <v>3604</v>
      </c>
      <c r="C1306" t="s">
        <v>3440</v>
      </c>
      <c r="D1306" t="s">
        <v>3440</v>
      </c>
      <c r="E1306" t="s">
        <v>3444</v>
      </c>
    </row>
    <row r="1307" spans="1:5" x14ac:dyDescent="0.2">
      <c r="A1307" t="s">
        <v>3605</v>
      </c>
      <c r="B1307" t="s">
        <v>3606</v>
      </c>
      <c r="C1307" t="s">
        <v>3440</v>
      </c>
      <c r="D1307" t="s">
        <v>3440</v>
      </c>
      <c r="E1307" t="s">
        <v>3444</v>
      </c>
    </row>
    <row r="1308" spans="1:5" x14ac:dyDescent="0.2">
      <c r="A1308" t="s">
        <v>3607</v>
      </c>
      <c r="B1308" t="s">
        <v>3608</v>
      </c>
      <c r="C1308" t="s">
        <v>3440</v>
      </c>
      <c r="D1308" t="s">
        <v>3440</v>
      </c>
      <c r="E1308" t="s">
        <v>3494</v>
      </c>
    </row>
    <row r="1309" spans="1:5" x14ac:dyDescent="0.2">
      <c r="A1309" t="s">
        <v>3609</v>
      </c>
      <c r="B1309" t="s">
        <v>3610</v>
      </c>
      <c r="C1309" t="s">
        <v>3440</v>
      </c>
      <c r="D1309" t="s">
        <v>3440</v>
      </c>
      <c r="E1309" t="s">
        <v>3494</v>
      </c>
    </row>
    <row r="1310" spans="1:5" x14ac:dyDescent="0.2">
      <c r="A1310" t="s">
        <v>3611</v>
      </c>
      <c r="B1310" t="s">
        <v>3612</v>
      </c>
      <c r="C1310" t="s">
        <v>3440</v>
      </c>
      <c r="D1310" t="s">
        <v>3440</v>
      </c>
      <c r="E1310" t="s">
        <v>3444</v>
      </c>
    </row>
    <row r="1311" spans="1:5" x14ac:dyDescent="0.2">
      <c r="A1311" t="s">
        <v>3613</v>
      </c>
      <c r="B1311" t="s">
        <v>3614</v>
      </c>
      <c r="C1311" t="s">
        <v>3615</v>
      </c>
      <c r="D1311" t="s">
        <v>3615</v>
      </c>
      <c r="E1311" t="s">
        <v>3616</v>
      </c>
    </row>
    <row r="1312" spans="1:5" x14ac:dyDescent="0.2">
      <c r="A1312" t="s">
        <v>3617</v>
      </c>
      <c r="B1312" t="s">
        <v>3618</v>
      </c>
      <c r="C1312" t="s">
        <v>3615</v>
      </c>
      <c r="D1312" t="s">
        <v>3615</v>
      </c>
      <c r="E1312" t="s">
        <v>3619</v>
      </c>
    </row>
    <row r="1313" spans="1:5" x14ac:dyDescent="0.2">
      <c r="A1313" t="s">
        <v>3620</v>
      </c>
      <c r="B1313" t="s">
        <v>3621</v>
      </c>
      <c r="C1313" t="s">
        <v>3615</v>
      </c>
      <c r="D1313" t="s">
        <v>3615</v>
      </c>
      <c r="E1313" t="s">
        <v>3622</v>
      </c>
    </row>
    <row r="1314" spans="1:5" x14ac:dyDescent="0.2">
      <c r="A1314" t="s">
        <v>3623</v>
      </c>
      <c r="B1314" t="s">
        <v>3624</v>
      </c>
      <c r="C1314" t="s">
        <v>3615</v>
      </c>
      <c r="D1314" t="s">
        <v>3615</v>
      </c>
      <c r="E1314" t="s">
        <v>3622</v>
      </c>
    </row>
    <row r="1315" spans="1:5" x14ac:dyDescent="0.2">
      <c r="A1315" t="s">
        <v>3625</v>
      </c>
      <c r="B1315" t="s">
        <v>3626</v>
      </c>
      <c r="C1315" t="s">
        <v>3615</v>
      </c>
      <c r="D1315" t="s">
        <v>3615</v>
      </c>
      <c r="E1315" t="s">
        <v>3627</v>
      </c>
    </row>
    <row r="1316" spans="1:5" x14ac:dyDescent="0.2">
      <c r="A1316" t="s">
        <v>3628</v>
      </c>
      <c r="B1316" t="s">
        <v>3629</v>
      </c>
      <c r="C1316" t="s">
        <v>3615</v>
      </c>
      <c r="D1316" t="s">
        <v>3615</v>
      </c>
      <c r="E1316" t="s">
        <v>3622</v>
      </c>
    </row>
    <row r="1317" spans="1:5" x14ac:dyDescent="0.2">
      <c r="A1317" t="s">
        <v>3630</v>
      </c>
      <c r="B1317" t="s">
        <v>3631</v>
      </c>
      <c r="C1317" t="s">
        <v>3615</v>
      </c>
      <c r="D1317" t="s">
        <v>3615</v>
      </c>
      <c r="E1317" t="s">
        <v>3622</v>
      </c>
    </row>
    <row r="1318" spans="1:5" x14ac:dyDescent="0.2">
      <c r="A1318" t="s">
        <v>3632</v>
      </c>
      <c r="B1318" t="s">
        <v>3633</v>
      </c>
      <c r="C1318" t="s">
        <v>3615</v>
      </c>
      <c r="D1318" t="s">
        <v>3615</v>
      </c>
      <c r="E1318" t="s">
        <v>3622</v>
      </c>
    </row>
    <row r="1319" spans="1:5" x14ac:dyDescent="0.2">
      <c r="A1319" t="s">
        <v>3634</v>
      </c>
      <c r="B1319" t="s">
        <v>3635</v>
      </c>
      <c r="C1319" t="s">
        <v>3615</v>
      </c>
      <c r="D1319" t="s">
        <v>3615</v>
      </c>
      <c r="E1319" t="s">
        <v>3636</v>
      </c>
    </row>
    <row r="1320" spans="1:5" x14ac:dyDescent="0.2">
      <c r="A1320" t="s">
        <v>3637</v>
      </c>
      <c r="B1320" t="s">
        <v>3638</v>
      </c>
      <c r="C1320" t="s">
        <v>3615</v>
      </c>
      <c r="D1320" t="s">
        <v>3615</v>
      </c>
      <c r="E1320" t="s">
        <v>3622</v>
      </c>
    </row>
    <row r="1321" spans="1:5" x14ac:dyDescent="0.2">
      <c r="A1321" t="s">
        <v>3639</v>
      </c>
      <c r="B1321" t="s">
        <v>3640</v>
      </c>
      <c r="C1321" t="s">
        <v>3615</v>
      </c>
      <c r="D1321" t="s">
        <v>3615</v>
      </c>
      <c r="E1321" t="s">
        <v>3641</v>
      </c>
    </row>
    <row r="1322" spans="1:5" x14ac:dyDescent="0.2">
      <c r="A1322" t="s">
        <v>3642</v>
      </c>
      <c r="B1322" t="s">
        <v>3643</v>
      </c>
      <c r="C1322" t="s">
        <v>3615</v>
      </c>
      <c r="D1322" t="s">
        <v>3615</v>
      </c>
      <c r="E1322" t="s">
        <v>3644</v>
      </c>
    </row>
    <row r="1323" spans="1:5" x14ac:dyDescent="0.2">
      <c r="A1323" t="s">
        <v>3645</v>
      </c>
      <c r="B1323" t="s">
        <v>3646</v>
      </c>
      <c r="C1323" t="s">
        <v>3615</v>
      </c>
      <c r="D1323" t="s">
        <v>3615</v>
      </c>
      <c r="E1323" t="s">
        <v>3622</v>
      </c>
    </row>
    <row r="1324" spans="1:5" x14ac:dyDescent="0.2">
      <c r="A1324" t="s">
        <v>3647</v>
      </c>
      <c r="B1324" t="s">
        <v>3648</v>
      </c>
      <c r="C1324" t="s">
        <v>3615</v>
      </c>
      <c r="D1324" t="s">
        <v>3615</v>
      </c>
      <c r="E1324" t="s">
        <v>3649</v>
      </c>
    </row>
    <row r="1325" spans="1:5" x14ac:dyDescent="0.2">
      <c r="A1325" t="s">
        <v>3650</v>
      </c>
      <c r="B1325" t="s">
        <v>3651</v>
      </c>
      <c r="C1325" t="s">
        <v>3615</v>
      </c>
      <c r="D1325" t="s">
        <v>3615</v>
      </c>
      <c r="E1325" t="s">
        <v>3652</v>
      </c>
    </row>
    <row r="1326" spans="1:5" x14ac:dyDescent="0.2">
      <c r="A1326" t="s">
        <v>3653</v>
      </c>
      <c r="B1326" t="s">
        <v>3654</v>
      </c>
      <c r="C1326" t="s">
        <v>3615</v>
      </c>
      <c r="D1326" t="s">
        <v>3615</v>
      </c>
      <c r="E1326" t="s">
        <v>3655</v>
      </c>
    </row>
    <row r="1327" spans="1:5" x14ac:dyDescent="0.2">
      <c r="A1327" t="s">
        <v>3656</v>
      </c>
      <c r="B1327" t="s">
        <v>3657</v>
      </c>
      <c r="C1327" t="s">
        <v>3615</v>
      </c>
      <c r="D1327" t="s">
        <v>3615</v>
      </c>
      <c r="E1327" t="s">
        <v>3658</v>
      </c>
    </row>
    <row r="1328" spans="1:5" x14ac:dyDescent="0.2">
      <c r="A1328" t="s">
        <v>3659</v>
      </c>
      <c r="B1328" t="s">
        <v>3660</v>
      </c>
      <c r="C1328" t="s">
        <v>3615</v>
      </c>
      <c r="D1328" t="s">
        <v>3615</v>
      </c>
      <c r="E1328" t="s">
        <v>3661</v>
      </c>
    </row>
    <row r="1329" spans="1:5" x14ac:dyDescent="0.2">
      <c r="A1329" t="s">
        <v>3662</v>
      </c>
      <c r="B1329" t="s">
        <v>3663</v>
      </c>
      <c r="C1329" t="s">
        <v>3615</v>
      </c>
      <c r="D1329" t="s">
        <v>3615</v>
      </c>
      <c r="E1329" t="s">
        <v>3664</v>
      </c>
    </row>
    <row r="1330" spans="1:5" x14ac:dyDescent="0.2">
      <c r="A1330" t="s">
        <v>3665</v>
      </c>
      <c r="B1330" t="s">
        <v>3666</v>
      </c>
      <c r="C1330" t="s">
        <v>3615</v>
      </c>
      <c r="D1330" t="e">
        <v>#N/A</v>
      </c>
      <c r="E1330" t="e">
        <v>#N/A</v>
      </c>
    </row>
    <row r="1331" spans="1:5" x14ac:dyDescent="0.2">
      <c r="A1331" t="s">
        <v>3667</v>
      </c>
      <c r="B1331" t="s">
        <v>3668</v>
      </c>
      <c r="C1331" t="s">
        <v>3615</v>
      </c>
      <c r="D1331" t="s">
        <v>3615</v>
      </c>
      <c r="E1331" t="s">
        <v>3622</v>
      </c>
    </row>
    <row r="1332" spans="1:5" x14ac:dyDescent="0.2">
      <c r="A1332" t="s">
        <v>3669</v>
      </c>
      <c r="B1332" t="s">
        <v>3670</v>
      </c>
      <c r="C1332" t="s">
        <v>3615</v>
      </c>
      <c r="D1332" t="s">
        <v>3615</v>
      </c>
      <c r="E1332" t="s">
        <v>3671</v>
      </c>
    </row>
    <row r="1333" spans="1:5" x14ac:dyDescent="0.2">
      <c r="A1333" t="s">
        <v>3672</v>
      </c>
      <c r="B1333" t="s">
        <v>3673</v>
      </c>
      <c r="C1333" t="s">
        <v>3615</v>
      </c>
      <c r="D1333" t="s">
        <v>3615</v>
      </c>
      <c r="E1333" t="s">
        <v>3622</v>
      </c>
    </row>
    <row r="1334" spans="1:5" x14ac:dyDescent="0.2">
      <c r="A1334" t="s">
        <v>3674</v>
      </c>
      <c r="B1334" t="s">
        <v>3675</v>
      </c>
      <c r="C1334" t="s">
        <v>3615</v>
      </c>
      <c r="D1334" t="s">
        <v>3615</v>
      </c>
      <c r="E1334" t="s">
        <v>3676</v>
      </c>
    </row>
    <row r="1335" spans="1:5" x14ac:dyDescent="0.2">
      <c r="A1335" t="s">
        <v>3677</v>
      </c>
      <c r="B1335" t="s">
        <v>3678</v>
      </c>
      <c r="C1335" t="s">
        <v>3615</v>
      </c>
      <c r="D1335" t="s">
        <v>3615</v>
      </c>
      <c r="E1335" t="s">
        <v>3622</v>
      </c>
    </row>
    <row r="1336" spans="1:5" x14ac:dyDescent="0.2">
      <c r="A1336" t="s">
        <v>3679</v>
      </c>
      <c r="B1336" t="s">
        <v>3680</v>
      </c>
      <c r="C1336" t="s">
        <v>3615</v>
      </c>
      <c r="D1336" t="s">
        <v>3615</v>
      </c>
      <c r="E1336" t="s">
        <v>3681</v>
      </c>
    </row>
    <row r="1337" spans="1:5" x14ac:dyDescent="0.2">
      <c r="A1337" t="s">
        <v>3682</v>
      </c>
      <c r="B1337" t="s">
        <v>3683</v>
      </c>
      <c r="C1337" t="s">
        <v>3615</v>
      </c>
      <c r="D1337" t="s">
        <v>3615</v>
      </c>
      <c r="E1337" t="s">
        <v>3684</v>
      </c>
    </row>
    <row r="1338" spans="1:5" x14ac:dyDescent="0.2">
      <c r="A1338" t="s">
        <v>3685</v>
      </c>
      <c r="B1338" t="s">
        <v>3686</v>
      </c>
      <c r="C1338" t="s">
        <v>3615</v>
      </c>
      <c r="D1338" t="s">
        <v>3615</v>
      </c>
      <c r="E1338" t="s">
        <v>3622</v>
      </c>
    </row>
    <row r="1339" spans="1:5" x14ac:dyDescent="0.2">
      <c r="A1339" t="s">
        <v>3687</v>
      </c>
      <c r="B1339" t="s">
        <v>3688</v>
      </c>
      <c r="C1339" t="s">
        <v>3615</v>
      </c>
      <c r="D1339" t="s">
        <v>3615</v>
      </c>
      <c r="E1339" t="s">
        <v>3689</v>
      </c>
    </row>
    <row r="1340" spans="1:5" x14ac:dyDescent="0.2">
      <c r="A1340" t="s">
        <v>3690</v>
      </c>
      <c r="B1340" t="s">
        <v>3691</v>
      </c>
      <c r="C1340" t="s">
        <v>3615</v>
      </c>
      <c r="D1340" t="s">
        <v>3615</v>
      </c>
      <c r="E1340" t="s">
        <v>3692</v>
      </c>
    </row>
    <row r="1341" spans="1:5" x14ac:dyDescent="0.2">
      <c r="A1341" t="s">
        <v>3693</v>
      </c>
      <c r="B1341" t="s">
        <v>3694</v>
      </c>
      <c r="C1341" t="s">
        <v>3615</v>
      </c>
      <c r="D1341" t="s">
        <v>3615</v>
      </c>
      <c r="E1341" t="s">
        <v>3622</v>
      </c>
    </row>
    <row r="1342" spans="1:5" x14ac:dyDescent="0.2">
      <c r="A1342" t="s">
        <v>3695</v>
      </c>
      <c r="B1342" t="s">
        <v>3696</v>
      </c>
      <c r="C1342" t="s">
        <v>3615</v>
      </c>
      <c r="D1342" t="s">
        <v>3615</v>
      </c>
      <c r="E1342" t="s">
        <v>3622</v>
      </c>
    </row>
    <row r="1343" spans="1:5" x14ac:dyDescent="0.2">
      <c r="A1343" t="s">
        <v>3697</v>
      </c>
      <c r="B1343" t="s">
        <v>3698</v>
      </c>
      <c r="C1343" t="s">
        <v>3699</v>
      </c>
      <c r="D1343" t="s">
        <v>3699</v>
      </c>
      <c r="E1343" t="s">
        <v>3700</v>
      </c>
    </row>
    <row r="1344" spans="1:5" x14ac:dyDescent="0.2">
      <c r="A1344" t="s">
        <v>3701</v>
      </c>
      <c r="B1344" t="s">
        <v>3702</v>
      </c>
      <c r="C1344" t="s">
        <v>3699</v>
      </c>
      <c r="D1344" t="s">
        <v>3699</v>
      </c>
      <c r="E1344" t="s">
        <v>3703</v>
      </c>
    </row>
    <row r="1345" spans="1:5" x14ac:dyDescent="0.2">
      <c r="A1345" t="s">
        <v>3704</v>
      </c>
      <c r="B1345" t="s">
        <v>3705</v>
      </c>
      <c r="C1345" t="s">
        <v>3699</v>
      </c>
      <c r="D1345" t="s">
        <v>3699</v>
      </c>
      <c r="E1345" t="s">
        <v>3706</v>
      </c>
    </row>
    <row r="1346" spans="1:5" x14ac:dyDescent="0.2">
      <c r="A1346" t="s">
        <v>3707</v>
      </c>
      <c r="B1346" t="s">
        <v>3708</v>
      </c>
      <c r="C1346" t="s">
        <v>3699</v>
      </c>
      <c r="D1346" t="s">
        <v>3699</v>
      </c>
      <c r="E1346" t="s">
        <v>3709</v>
      </c>
    </row>
    <row r="1347" spans="1:5" x14ac:dyDescent="0.2">
      <c r="A1347" t="s">
        <v>3710</v>
      </c>
      <c r="B1347" t="s">
        <v>3711</v>
      </c>
      <c r="C1347" t="s">
        <v>3699</v>
      </c>
      <c r="D1347" t="s">
        <v>3699</v>
      </c>
      <c r="E1347" t="s">
        <v>3700</v>
      </c>
    </row>
    <row r="1348" spans="1:5" x14ac:dyDescent="0.2">
      <c r="A1348" t="s">
        <v>3712</v>
      </c>
      <c r="B1348" t="s">
        <v>3713</v>
      </c>
      <c r="C1348" t="s">
        <v>3699</v>
      </c>
      <c r="D1348" t="s">
        <v>3699</v>
      </c>
      <c r="E1348" t="s">
        <v>3714</v>
      </c>
    </row>
    <row r="1349" spans="1:5" x14ac:dyDescent="0.2">
      <c r="A1349" t="s">
        <v>3715</v>
      </c>
      <c r="B1349" t="s">
        <v>3716</v>
      </c>
      <c r="C1349" t="s">
        <v>3699</v>
      </c>
      <c r="D1349" t="s">
        <v>3699</v>
      </c>
      <c r="E1349" t="s">
        <v>3717</v>
      </c>
    </row>
    <row r="1350" spans="1:5" x14ac:dyDescent="0.2">
      <c r="A1350" t="s">
        <v>3718</v>
      </c>
      <c r="B1350" t="s">
        <v>3719</v>
      </c>
      <c r="C1350" t="s">
        <v>3699</v>
      </c>
      <c r="D1350" t="s">
        <v>3699</v>
      </c>
      <c r="E1350" t="s">
        <v>3720</v>
      </c>
    </row>
    <row r="1351" spans="1:5" x14ac:dyDescent="0.2">
      <c r="A1351" t="s">
        <v>3721</v>
      </c>
      <c r="B1351" t="s">
        <v>3722</v>
      </c>
      <c r="C1351" t="s">
        <v>3699</v>
      </c>
      <c r="D1351" t="s">
        <v>3699</v>
      </c>
      <c r="E1351" t="s">
        <v>3720</v>
      </c>
    </row>
    <row r="1352" spans="1:5" x14ac:dyDescent="0.2">
      <c r="A1352" t="s">
        <v>3723</v>
      </c>
      <c r="B1352" t="s">
        <v>3724</v>
      </c>
      <c r="C1352" t="s">
        <v>3699</v>
      </c>
      <c r="D1352" t="s">
        <v>3699</v>
      </c>
      <c r="E1352" t="s">
        <v>3725</v>
      </c>
    </row>
    <row r="1353" spans="1:5" x14ac:dyDescent="0.2">
      <c r="A1353" t="s">
        <v>3726</v>
      </c>
      <c r="B1353" t="s">
        <v>3727</v>
      </c>
      <c r="C1353" t="s">
        <v>3699</v>
      </c>
      <c r="D1353" t="s">
        <v>3699</v>
      </c>
      <c r="E1353" t="s">
        <v>3728</v>
      </c>
    </row>
    <row r="1354" spans="1:5" x14ac:dyDescent="0.2">
      <c r="A1354" t="s">
        <v>3729</v>
      </c>
      <c r="B1354" t="s">
        <v>3730</v>
      </c>
      <c r="C1354" t="s">
        <v>3699</v>
      </c>
      <c r="D1354" t="s">
        <v>3699</v>
      </c>
      <c r="E1354" t="s">
        <v>3700</v>
      </c>
    </row>
    <row r="1355" spans="1:5" x14ac:dyDescent="0.2">
      <c r="A1355" t="s">
        <v>3731</v>
      </c>
      <c r="B1355" t="s">
        <v>3732</v>
      </c>
      <c r="C1355" t="s">
        <v>3699</v>
      </c>
      <c r="D1355" t="s">
        <v>3699</v>
      </c>
      <c r="E1355" t="s">
        <v>3733</v>
      </c>
    </row>
    <row r="1356" spans="1:5" x14ac:dyDescent="0.2">
      <c r="A1356" t="s">
        <v>3734</v>
      </c>
      <c r="B1356" t="s">
        <v>3735</v>
      </c>
      <c r="C1356" t="s">
        <v>3699</v>
      </c>
      <c r="D1356" t="s">
        <v>3699</v>
      </c>
      <c r="E1356" t="s">
        <v>3736</v>
      </c>
    </row>
    <row r="1357" spans="1:5" x14ac:dyDescent="0.2">
      <c r="A1357" t="s">
        <v>3737</v>
      </c>
      <c r="B1357" t="s">
        <v>3738</v>
      </c>
      <c r="C1357" t="s">
        <v>3699</v>
      </c>
      <c r="D1357" t="s">
        <v>3699</v>
      </c>
      <c r="E1357" t="s">
        <v>3728</v>
      </c>
    </row>
    <row r="1358" spans="1:5" x14ac:dyDescent="0.2">
      <c r="A1358" t="s">
        <v>3739</v>
      </c>
      <c r="B1358" t="s">
        <v>3740</v>
      </c>
      <c r="C1358" t="s">
        <v>3699</v>
      </c>
      <c r="D1358" t="s">
        <v>3699</v>
      </c>
      <c r="E1358" t="s">
        <v>3720</v>
      </c>
    </row>
    <row r="1359" spans="1:5" x14ac:dyDescent="0.2">
      <c r="A1359" t="s">
        <v>3741</v>
      </c>
      <c r="B1359" t="s">
        <v>3742</v>
      </c>
      <c r="C1359" t="s">
        <v>3699</v>
      </c>
      <c r="D1359" t="s">
        <v>3699</v>
      </c>
      <c r="E1359" t="s">
        <v>3720</v>
      </c>
    </row>
    <row r="1360" spans="1:5" x14ac:dyDescent="0.2">
      <c r="A1360" t="s">
        <v>3743</v>
      </c>
      <c r="B1360" t="s">
        <v>3744</v>
      </c>
      <c r="C1360" t="s">
        <v>3699</v>
      </c>
      <c r="D1360" t="s">
        <v>3699</v>
      </c>
      <c r="E1360" t="s">
        <v>3720</v>
      </c>
    </row>
    <row r="1361" spans="1:5" x14ac:dyDescent="0.2">
      <c r="A1361" t="s">
        <v>3745</v>
      </c>
      <c r="B1361" t="s">
        <v>3746</v>
      </c>
      <c r="C1361" t="s">
        <v>3699</v>
      </c>
      <c r="D1361" t="s">
        <v>3699</v>
      </c>
      <c r="E1361" t="s">
        <v>3717</v>
      </c>
    </row>
    <row r="1362" spans="1:5" x14ac:dyDescent="0.2">
      <c r="A1362" t="s">
        <v>3747</v>
      </c>
      <c r="B1362" t="s">
        <v>3748</v>
      </c>
      <c r="C1362" t="s">
        <v>3699</v>
      </c>
      <c r="D1362" t="s">
        <v>3699</v>
      </c>
      <c r="E1362" t="s">
        <v>3700</v>
      </c>
    </row>
    <row r="1363" spans="1:5" x14ac:dyDescent="0.2">
      <c r="A1363" t="s">
        <v>3749</v>
      </c>
      <c r="B1363" t="s">
        <v>3750</v>
      </c>
      <c r="C1363" t="s">
        <v>3699</v>
      </c>
      <c r="D1363" t="s">
        <v>3699</v>
      </c>
      <c r="E1363" t="s">
        <v>3717</v>
      </c>
    </row>
    <row r="1364" spans="1:5" x14ac:dyDescent="0.2">
      <c r="A1364" t="s">
        <v>3751</v>
      </c>
      <c r="B1364" t="s">
        <v>3752</v>
      </c>
      <c r="C1364" t="s">
        <v>3699</v>
      </c>
      <c r="D1364" t="s">
        <v>3699</v>
      </c>
      <c r="E1364" t="s">
        <v>3717</v>
      </c>
    </row>
    <row r="1365" spans="1:5" x14ac:dyDescent="0.2">
      <c r="A1365" t="s">
        <v>3753</v>
      </c>
      <c r="B1365" t="s">
        <v>3754</v>
      </c>
      <c r="C1365" t="s">
        <v>3699</v>
      </c>
      <c r="D1365" t="s">
        <v>3699</v>
      </c>
      <c r="E1365" t="s">
        <v>3720</v>
      </c>
    </row>
    <row r="1366" spans="1:5" x14ac:dyDescent="0.2">
      <c r="A1366" t="s">
        <v>3755</v>
      </c>
      <c r="B1366" t="s">
        <v>3756</v>
      </c>
      <c r="C1366" t="s">
        <v>3699</v>
      </c>
      <c r="D1366" t="s">
        <v>3699</v>
      </c>
      <c r="E1366" t="s">
        <v>3728</v>
      </c>
    </row>
    <row r="1367" spans="1:5" x14ac:dyDescent="0.2">
      <c r="A1367" t="s">
        <v>3757</v>
      </c>
      <c r="B1367" t="s">
        <v>3758</v>
      </c>
      <c r="C1367" t="s">
        <v>3699</v>
      </c>
      <c r="D1367" t="s">
        <v>3699</v>
      </c>
      <c r="E1367" t="s">
        <v>3720</v>
      </c>
    </row>
    <row r="1368" spans="1:5" x14ac:dyDescent="0.2">
      <c r="A1368" t="s">
        <v>3759</v>
      </c>
      <c r="B1368" t="s">
        <v>3760</v>
      </c>
      <c r="C1368" t="s">
        <v>3699</v>
      </c>
      <c r="D1368" t="s">
        <v>3699</v>
      </c>
      <c r="E1368" t="s">
        <v>3761</v>
      </c>
    </row>
    <row r="1369" spans="1:5" x14ac:dyDescent="0.2">
      <c r="A1369" t="s">
        <v>3762</v>
      </c>
      <c r="B1369" t="s">
        <v>3763</v>
      </c>
      <c r="C1369" t="s">
        <v>3699</v>
      </c>
      <c r="D1369" t="s">
        <v>3699</v>
      </c>
      <c r="E1369" t="s">
        <v>3764</v>
      </c>
    </row>
    <row r="1370" spans="1:5" x14ac:dyDescent="0.2">
      <c r="A1370" t="s">
        <v>3765</v>
      </c>
      <c r="B1370" t="s">
        <v>3766</v>
      </c>
      <c r="C1370" t="s">
        <v>3699</v>
      </c>
      <c r="D1370" t="s">
        <v>3699</v>
      </c>
      <c r="E1370" t="s">
        <v>3728</v>
      </c>
    </row>
    <row r="1371" spans="1:5" x14ac:dyDescent="0.2">
      <c r="A1371" t="s">
        <v>3767</v>
      </c>
      <c r="B1371" t="s">
        <v>3768</v>
      </c>
      <c r="C1371" t="s">
        <v>3699</v>
      </c>
      <c r="D1371" t="s">
        <v>3699</v>
      </c>
      <c r="E1371" t="s">
        <v>3728</v>
      </c>
    </row>
    <row r="1372" spans="1:5" x14ac:dyDescent="0.2">
      <c r="A1372" t="s">
        <v>3769</v>
      </c>
      <c r="B1372" t="s">
        <v>3770</v>
      </c>
      <c r="C1372" t="s">
        <v>3699</v>
      </c>
      <c r="D1372" t="s">
        <v>3699</v>
      </c>
      <c r="E1372" t="s">
        <v>3771</v>
      </c>
    </row>
    <row r="1373" spans="1:5" x14ac:dyDescent="0.2">
      <c r="A1373" t="s">
        <v>3772</v>
      </c>
      <c r="B1373" t="s">
        <v>3773</v>
      </c>
      <c r="C1373" t="s">
        <v>3699</v>
      </c>
      <c r="D1373" t="s">
        <v>3699</v>
      </c>
      <c r="E1373" t="s">
        <v>3700</v>
      </c>
    </row>
    <row r="1374" spans="1:5" x14ac:dyDescent="0.2">
      <c r="A1374" t="s">
        <v>3774</v>
      </c>
      <c r="B1374" t="s">
        <v>3775</v>
      </c>
      <c r="C1374" t="s">
        <v>3699</v>
      </c>
      <c r="D1374" t="s">
        <v>3699</v>
      </c>
      <c r="E1374" t="s">
        <v>3776</v>
      </c>
    </row>
    <row r="1375" spans="1:5" x14ac:dyDescent="0.2">
      <c r="A1375" t="s">
        <v>3777</v>
      </c>
      <c r="B1375" t="s">
        <v>3778</v>
      </c>
      <c r="C1375" t="s">
        <v>3699</v>
      </c>
      <c r="D1375" t="s">
        <v>3699</v>
      </c>
      <c r="E1375" t="s">
        <v>3779</v>
      </c>
    </row>
    <row r="1376" spans="1:5" x14ac:dyDescent="0.2">
      <c r="A1376" t="s">
        <v>3780</v>
      </c>
      <c r="B1376" t="s">
        <v>3781</v>
      </c>
      <c r="C1376" t="s">
        <v>3699</v>
      </c>
      <c r="D1376" t="s">
        <v>3699</v>
      </c>
      <c r="E1376" t="s">
        <v>3776</v>
      </c>
    </row>
    <row r="1377" spans="1:5" x14ac:dyDescent="0.2">
      <c r="A1377" t="s">
        <v>3782</v>
      </c>
      <c r="B1377" t="s">
        <v>3783</v>
      </c>
      <c r="C1377" t="s">
        <v>3699</v>
      </c>
      <c r="D1377" t="s">
        <v>3699</v>
      </c>
      <c r="E1377" t="s">
        <v>3720</v>
      </c>
    </row>
    <row r="1378" spans="1:5" x14ac:dyDescent="0.2">
      <c r="A1378" t="s">
        <v>3784</v>
      </c>
      <c r="B1378" t="s">
        <v>3785</v>
      </c>
      <c r="C1378" t="s">
        <v>3699</v>
      </c>
      <c r="D1378" t="s">
        <v>3699</v>
      </c>
      <c r="E1378" t="s">
        <v>3717</v>
      </c>
    </row>
    <row r="1379" spans="1:5" x14ac:dyDescent="0.2">
      <c r="A1379" t="s">
        <v>3786</v>
      </c>
      <c r="B1379" t="s">
        <v>3787</v>
      </c>
      <c r="C1379" t="s">
        <v>3699</v>
      </c>
      <c r="D1379" t="s">
        <v>3699</v>
      </c>
      <c r="E1379" t="s">
        <v>3720</v>
      </c>
    </row>
    <row r="1380" spans="1:5" x14ac:dyDescent="0.2">
      <c r="A1380" t="s">
        <v>3788</v>
      </c>
      <c r="B1380" t="s">
        <v>3789</v>
      </c>
      <c r="C1380" t="s">
        <v>3699</v>
      </c>
      <c r="D1380" t="s">
        <v>3699</v>
      </c>
      <c r="E1380" t="s">
        <v>3790</v>
      </c>
    </row>
    <row r="1381" spans="1:5" x14ac:dyDescent="0.2">
      <c r="A1381" t="s">
        <v>3791</v>
      </c>
      <c r="B1381" t="s">
        <v>3792</v>
      </c>
      <c r="C1381" t="s">
        <v>3699</v>
      </c>
      <c r="D1381" t="s">
        <v>3699</v>
      </c>
      <c r="E1381" t="s">
        <v>3793</v>
      </c>
    </row>
    <row r="1382" spans="1:5" x14ac:dyDescent="0.2">
      <c r="A1382" t="s">
        <v>3794</v>
      </c>
      <c r="B1382" t="s">
        <v>3795</v>
      </c>
      <c r="C1382" t="s">
        <v>3699</v>
      </c>
      <c r="D1382" t="s">
        <v>3699</v>
      </c>
      <c r="E1382" t="s">
        <v>3717</v>
      </c>
    </row>
    <row r="1383" spans="1:5" x14ac:dyDescent="0.2">
      <c r="A1383" t="s">
        <v>3796</v>
      </c>
      <c r="B1383" t="s">
        <v>3797</v>
      </c>
      <c r="C1383" t="s">
        <v>3699</v>
      </c>
      <c r="D1383" t="s">
        <v>3699</v>
      </c>
      <c r="E1383" t="s">
        <v>3798</v>
      </c>
    </row>
    <row r="1384" spans="1:5" x14ac:dyDescent="0.2">
      <c r="A1384" t="s">
        <v>3799</v>
      </c>
      <c r="B1384" t="s">
        <v>3800</v>
      </c>
      <c r="C1384" t="s">
        <v>3699</v>
      </c>
      <c r="D1384" t="s">
        <v>3699</v>
      </c>
      <c r="E1384" t="s">
        <v>3717</v>
      </c>
    </row>
    <row r="1385" spans="1:5" x14ac:dyDescent="0.2">
      <c r="A1385" t="s">
        <v>3801</v>
      </c>
      <c r="B1385" t="s">
        <v>3802</v>
      </c>
      <c r="C1385" t="s">
        <v>3699</v>
      </c>
      <c r="D1385" t="s">
        <v>3699</v>
      </c>
      <c r="E1385" t="s">
        <v>3728</v>
      </c>
    </row>
    <row r="1386" spans="1:5" x14ac:dyDescent="0.2">
      <c r="A1386" t="s">
        <v>3803</v>
      </c>
      <c r="B1386" t="s">
        <v>3804</v>
      </c>
      <c r="C1386" t="s">
        <v>3699</v>
      </c>
      <c r="D1386" t="s">
        <v>3699</v>
      </c>
      <c r="E1386" t="s">
        <v>3700</v>
      </c>
    </row>
    <row r="1387" spans="1:5" x14ac:dyDescent="0.2">
      <c r="A1387" t="s">
        <v>3805</v>
      </c>
      <c r="B1387" t="s">
        <v>3806</v>
      </c>
      <c r="C1387" t="s">
        <v>3699</v>
      </c>
      <c r="D1387" t="s">
        <v>3699</v>
      </c>
      <c r="E1387" t="s">
        <v>3807</v>
      </c>
    </row>
    <row r="1388" spans="1:5" x14ac:dyDescent="0.2">
      <c r="A1388" t="s">
        <v>3808</v>
      </c>
      <c r="B1388" t="s">
        <v>3809</v>
      </c>
      <c r="C1388" t="s">
        <v>3699</v>
      </c>
      <c r="D1388" t="s">
        <v>3699</v>
      </c>
      <c r="E1388" t="s">
        <v>3776</v>
      </c>
    </row>
    <row r="1389" spans="1:5" x14ac:dyDescent="0.2">
      <c r="A1389" t="s">
        <v>3810</v>
      </c>
      <c r="B1389" t="s">
        <v>3811</v>
      </c>
      <c r="C1389" t="s">
        <v>3699</v>
      </c>
      <c r="D1389" t="s">
        <v>3699</v>
      </c>
      <c r="E1389" t="s">
        <v>3812</v>
      </c>
    </row>
    <row r="1390" spans="1:5" x14ac:dyDescent="0.2">
      <c r="A1390" t="s">
        <v>3813</v>
      </c>
      <c r="B1390" t="s">
        <v>3814</v>
      </c>
      <c r="C1390" t="s">
        <v>3699</v>
      </c>
      <c r="D1390" t="s">
        <v>3699</v>
      </c>
      <c r="E1390" t="s">
        <v>3720</v>
      </c>
    </row>
    <row r="1391" spans="1:5" x14ac:dyDescent="0.2">
      <c r="A1391" t="s">
        <v>3815</v>
      </c>
      <c r="B1391" t="s">
        <v>3816</v>
      </c>
      <c r="C1391" t="s">
        <v>3699</v>
      </c>
      <c r="D1391" t="s">
        <v>3699</v>
      </c>
      <c r="E1391" t="s">
        <v>3776</v>
      </c>
    </row>
    <row r="1392" spans="1:5" x14ac:dyDescent="0.2">
      <c r="A1392" t="s">
        <v>3817</v>
      </c>
      <c r="B1392" t="s">
        <v>3818</v>
      </c>
      <c r="C1392" t="s">
        <v>3699</v>
      </c>
      <c r="D1392" t="s">
        <v>3699</v>
      </c>
      <c r="E1392" t="s">
        <v>3819</v>
      </c>
    </row>
    <row r="1393" spans="1:5" x14ac:dyDescent="0.2">
      <c r="A1393" t="s">
        <v>3820</v>
      </c>
      <c r="B1393" t="s">
        <v>3821</v>
      </c>
      <c r="C1393" t="s">
        <v>3699</v>
      </c>
      <c r="D1393" t="s">
        <v>3699</v>
      </c>
      <c r="E1393" t="s">
        <v>3728</v>
      </c>
    </row>
    <row r="1394" spans="1:5" x14ac:dyDescent="0.2">
      <c r="A1394" t="s">
        <v>3822</v>
      </c>
      <c r="B1394" t="s">
        <v>3823</v>
      </c>
      <c r="C1394" t="s">
        <v>3699</v>
      </c>
      <c r="D1394" t="s">
        <v>3699</v>
      </c>
      <c r="E1394" t="s">
        <v>3824</v>
      </c>
    </row>
    <row r="1395" spans="1:5" x14ac:dyDescent="0.2">
      <c r="A1395" t="s">
        <v>3825</v>
      </c>
      <c r="B1395" t="s">
        <v>3826</v>
      </c>
      <c r="C1395" t="s">
        <v>3699</v>
      </c>
      <c r="D1395" t="s">
        <v>3699</v>
      </c>
      <c r="E1395" t="s">
        <v>3720</v>
      </c>
    </row>
    <row r="1396" spans="1:5" x14ac:dyDescent="0.2">
      <c r="A1396" t="s">
        <v>3827</v>
      </c>
      <c r="B1396" t="s">
        <v>3828</v>
      </c>
      <c r="C1396" t="s">
        <v>3699</v>
      </c>
      <c r="D1396" t="s">
        <v>3699</v>
      </c>
      <c r="E1396" t="s">
        <v>3829</v>
      </c>
    </row>
    <row r="1397" spans="1:5" x14ac:dyDescent="0.2">
      <c r="A1397" t="s">
        <v>3830</v>
      </c>
      <c r="B1397" t="s">
        <v>3831</v>
      </c>
      <c r="C1397" t="s">
        <v>3699</v>
      </c>
      <c r="D1397" t="s">
        <v>3699</v>
      </c>
      <c r="E1397" t="s">
        <v>3717</v>
      </c>
    </row>
    <row r="1398" spans="1:5" x14ac:dyDescent="0.2">
      <c r="A1398" t="s">
        <v>3832</v>
      </c>
      <c r="B1398" t="s">
        <v>3833</v>
      </c>
      <c r="C1398" t="s">
        <v>3699</v>
      </c>
      <c r="D1398" t="s">
        <v>3699</v>
      </c>
      <c r="E1398" t="s">
        <v>3720</v>
      </c>
    </row>
    <row r="1399" spans="1:5" x14ac:dyDescent="0.2">
      <c r="A1399" t="s">
        <v>3834</v>
      </c>
      <c r="B1399" t="s">
        <v>3835</v>
      </c>
      <c r="C1399" t="s">
        <v>3699</v>
      </c>
      <c r="D1399" t="s">
        <v>3699</v>
      </c>
      <c r="E1399" t="s">
        <v>3728</v>
      </c>
    </row>
    <row r="1400" spans="1:5" x14ac:dyDescent="0.2">
      <c r="A1400" t="s">
        <v>3836</v>
      </c>
      <c r="B1400" t="s">
        <v>3837</v>
      </c>
      <c r="C1400" t="s">
        <v>3699</v>
      </c>
      <c r="D1400" t="s">
        <v>3699</v>
      </c>
      <c r="E1400" t="s">
        <v>3717</v>
      </c>
    </row>
    <row r="1401" spans="1:5" x14ac:dyDescent="0.2">
      <c r="A1401" t="s">
        <v>3838</v>
      </c>
      <c r="B1401" t="s">
        <v>3839</v>
      </c>
      <c r="C1401" t="s">
        <v>3699</v>
      </c>
      <c r="D1401" t="s">
        <v>3699</v>
      </c>
      <c r="E1401" t="s">
        <v>3840</v>
      </c>
    </row>
    <row r="1402" spans="1:5" x14ac:dyDescent="0.2">
      <c r="A1402" t="s">
        <v>3841</v>
      </c>
      <c r="B1402" t="s">
        <v>3842</v>
      </c>
      <c r="C1402" t="s">
        <v>3699</v>
      </c>
      <c r="D1402" t="s">
        <v>3699</v>
      </c>
      <c r="E1402" t="s">
        <v>3700</v>
      </c>
    </row>
    <row r="1403" spans="1:5" x14ac:dyDescent="0.2">
      <c r="A1403" t="s">
        <v>3843</v>
      </c>
      <c r="B1403" t="s">
        <v>3844</v>
      </c>
      <c r="C1403" t="s">
        <v>3699</v>
      </c>
      <c r="D1403" t="s">
        <v>3699</v>
      </c>
      <c r="E1403" t="s">
        <v>3717</v>
      </c>
    </row>
    <row r="1404" spans="1:5" x14ac:dyDescent="0.2">
      <c r="A1404" t="s">
        <v>3845</v>
      </c>
      <c r="B1404" t="s">
        <v>3846</v>
      </c>
      <c r="C1404" t="s">
        <v>3699</v>
      </c>
      <c r="D1404" t="s">
        <v>3699</v>
      </c>
      <c r="E1404" t="s">
        <v>3717</v>
      </c>
    </row>
    <row r="1405" spans="1:5" x14ac:dyDescent="0.2">
      <c r="A1405" t="s">
        <v>3847</v>
      </c>
      <c r="B1405" t="s">
        <v>3848</v>
      </c>
      <c r="C1405" t="s">
        <v>3699</v>
      </c>
      <c r="D1405" t="s">
        <v>3699</v>
      </c>
      <c r="E1405" t="s">
        <v>3720</v>
      </c>
    </row>
    <row r="1406" spans="1:5" x14ac:dyDescent="0.2">
      <c r="A1406" t="s">
        <v>3849</v>
      </c>
      <c r="B1406" t="s">
        <v>3850</v>
      </c>
      <c r="C1406" t="s">
        <v>3699</v>
      </c>
      <c r="D1406" t="s">
        <v>3699</v>
      </c>
      <c r="E1406" t="s">
        <v>3700</v>
      </c>
    </row>
    <row r="1407" spans="1:5" x14ac:dyDescent="0.2">
      <c r="A1407" t="s">
        <v>3851</v>
      </c>
      <c r="B1407" t="s">
        <v>3852</v>
      </c>
      <c r="C1407" t="s">
        <v>3699</v>
      </c>
      <c r="D1407" t="s">
        <v>3699</v>
      </c>
      <c r="E1407" t="s">
        <v>3717</v>
      </c>
    </row>
    <row r="1408" spans="1:5" x14ac:dyDescent="0.2">
      <c r="A1408" t="s">
        <v>3853</v>
      </c>
      <c r="B1408" t="s">
        <v>3854</v>
      </c>
      <c r="C1408" t="s">
        <v>3699</v>
      </c>
      <c r="D1408" t="s">
        <v>3699</v>
      </c>
      <c r="E1408" t="s">
        <v>3855</v>
      </c>
    </row>
    <row r="1409" spans="1:5" x14ac:dyDescent="0.2">
      <c r="A1409" t="s">
        <v>3856</v>
      </c>
      <c r="B1409" t="s">
        <v>3857</v>
      </c>
      <c r="C1409" t="s">
        <v>3699</v>
      </c>
      <c r="D1409" t="s">
        <v>3699</v>
      </c>
      <c r="E1409" t="s">
        <v>3700</v>
      </c>
    </row>
    <row r="1410" spans="1:5" x14ac:dyDescent="0.2">
      <c r="A1410" t="s">
        <v>3858</v>
      </c>
      <c r="B1410" t="s">
        <v>3859</v>
      </c>
      <c r="C1410" t="s">
        <v>3699</v>
      </c>
      <c r="D1410" t="s">
        <v>3699</v>
      </c>
      <c r="E1410" t="s">
        <v>3717</v>
      </c>
    </row>
    <row r="1411" spans="1:5" x14ac:dyDescent="0.2">
      <c r="A1411" t="s">
        <v>3860</v>
      </c>
      <c r="B1411" t="s">
        <v>3861</v>
      </c>
      <c r="C1411" t="s">
        <v>3699</v>
      </c>
      <c r="D1411" t="s">
        <v>3699</v>
      </c>
      <c r="E1411" t="s">
        <v>3862</v>
      </c>
    </row>
    <row r="1412" spans="1:5" x14ac:dyDescent="0.2">
      <c r="A1412" t="s">
        <v>3863</v>
      </c>
      <c r="B1412" t="s">
        <v>3864</v>
      </c>
      <c r="C1412" t="s">
        <v>3699</v>
      </c>
      <c r="D1412" t="s">
        <v>3699</v>
      </c>
      <c r="E1412" t="s">
        <v>3720</v>
      </c>
    </row>
    <row r="1413" spans="1:5" x14ac:dyDescent="0.2">
      <c r="A1413" t="s">
        <v>3865</v>
      </c>
      <c r="B1413" t="s">
        <v>3866</v>
      </c>
      <c r="C1413" t="s">
        <v>3699</v>
      </c>
      <c r="D1413" t="s">
        <v>3699</v>
      </c>
      <c r="E1413" t="s">
        <v>3867</v>
      </c>
    </row>
    <row r="1414" spans="1:5" x14ac:dyDescent="0.2">
      <c r="A1414" t="s">
        <v>3868</v>
      </c>
      <c r="B1414" t="s">
        <v>3869</v>
      </c>
      <c r="C1414" t="s">
        <v>3699</v>
      </c>
      <c r="D1414" t="s">
        <v>3699</v>
      </c>
      <c r="E1414" t="s">
        <v>3870</v>
      </c>
    </row>
    <row r="1415" spans="1:5" x14ac:dyDescent="0.2">
      <c r="A1415" t="s">
        <v>3871</v>
      </c>
      <c r="B1415" t="s">
        <v>3872</v>
      </c>
      <c r="C1415" t="s">
        <v>3699</v>
      </c>
      <c r="D1415" t="s">
        <v>3699</v>
      </c>
      <c r="E1415" t="s">
        <v>3873</v>
      </c>
    </row>
    <row r="1416" spans="1:5" x14ac:dyDescent="0.2">
      <c r="A1416" t="s">
        <v>3874</v>
      </c>
      <c r="B1416" t="s">
        <v>3875</v>
      </c>
      <c r="C1416" t="s">
        <v>3699</v>
      </c>
      <c r="D1416" t="s">
        <v>3699</v>
      </c>
      <c r="E1416" t="s">
        <v>3776</v>
      </c>
    </row>
    <row r="1417" spans="1:5" x14ac:dyDescent="0.2">
      <c r="A1417" t="s">
        <v>3876</v>
      </c>
      <c r="B1417" t="s">
        <v>3877</v>
      </c>
      <c r="C1417" t="s">
        <v>3699</v>
      </c>
      <c r="D1417" t="s">
        <v>3699</v>
      </c>
      <c r="E1417" t="s">
        <v>3700</v>
      </c>
    </row>
    <row r="1418" spans="1:5" x14ac:dyDescent="0.2">
      <c r="A1418" t="s">
        <v>3878</v>
      </c>
      <c r="B1418" t="s">
        <v>3879</v>
      </c>
      <c r="C1418" t="s">
        <v>3699</v>
      </c>
      <c r="D1418" t="s">
        <v>3699</v>
      </c>
      <c r="E1418" t="s">
        <v>3700</v>
      </c>
    </row>
    <row r="1419" spans="1:5" x14ac:dyDescent="0.2">
      <c r="A1419" t="s">
        <v>3880</v>
      </c>
      <c r="B1419" t="s">
        <v>3881</v>
      </c>
      <c r="C1419" t="s">
        <v>3699</v>
      </c>
      <c r="D1419" t="s">
        <v>3699</v>
      </c>
      <c r="E1419" t="s">
        <v>3728</v>
      </c>
    </row>
    <row r="1420" spans="1:5" x14ac:dyDescent="0.2">
      <c r="A1420" t="s">
        <v>3882</v>
      </c>
      <c r="B1420" t="s">
        <v>3883</v>
      </c>
      <c r="C1420" t="s">
        <v>3699</v>
      </c>
      <c r="D1420" t="s">
        <v>3699</v>
      </c>
      <c r="E1420" t="s">
        <v>3884</v>
      </c>
    </row>
    <row r="1421" spans="1:5" x14ac:dyDescent="0.2">
      <c r="A1421" t="s">
        <v>3885</v>
      </c>
      <c r="B1421" t="s">
        <v>3886</v>
      </c>
      <c r="C1421" t="s">
        <v>3699</v>
      </c>
      <c r="D1421" t="e">
        <v>#N/A</v>
      </c>
      <c r="E1421" t="e">
        <v>#N/A</v>
      </c>
    </row>
    <row r="1422" spans="1:5" x14ac:dyDescent="0.2">
      <c r="A1422" t="s">
        <v>3887</v>
      </c>
      <c r="B1422" t="s">
        <v>3888</v>
      </c>
      <c r="C1422" t="s">
        <v>3699</v>
      </c>
      <c r="D1422" t="s">
        <v>3699</v>
      </c>
      <c r="E1422" t="s">
        <v>3717</v>
      </c>
    </row>
    <row r="1423" spans="1:5" x14ac:dyDescent="0.2">
      <c r="A1423" t="s">
        <v>3889</v>
      </c>
      <c r="B1423" t="s">
        <v>3890</v>
      </c>
      <c r="C1423" t="s">
        <v>3699</v>
      </c>
      <c r="D1423" t="s">
        <v>3699</v>
      </c>
      <c r="E1423" t="s">
        <v>3720</v>
      </c>
    </row>
    <row r="1424" spans="1:5" x14ac:dyDescent="0.2">
      <c r="A1424" t="s">
        <v>3891</v>
      </c>
      <c r="B1424" t="s">
        <v>3892</v>
      </c>
      <c r="C1424" t="s">
        <v>3699</v>
      </c>
      <c r="D1424" t="s">
        <v>3699</v>
      </c>
      <c r="E1424" t="s">
        <v>3893</v>
      </c>
    </row>
    <row r="1425" spans="1:5" x14ac:dyDescent="0.2">
      <c r="A1425" t="s">
        <v>3894</v>
      </c>
      <c r="B1425" t="s">
        <v>3895</v>
      </c>
      <c r="C1425" t="s">
        <v>3699</v>
      </c>
      <c r="D1425" t="s">
        <v>3699</v>
      </c>
      <c r="E1425" t="s">
        <v>3896</v>
      </c>
    </row>
    <row r="1426" spans="1:5" x14ac:dyDescent="0.2">
      <c r="A1426" t="s">
        <v>3897</v>
      </c>
      <c r="B1426" t="s">
        <v>3898</v>
      </c>
      <c r="C1426" t="s">
        <v>3699</v>
      </c>
      <c r="D1426" t="s">
        <v>3699</v>
      </c>
      <c r="E1426" t="s">
        <v>3776</v>
      </c>
    </row>
    <row r="1427" spans="1:5" x14ac:dyDescent="0.2">
      <c r="A1427" t="s">
        <v>3899</v>
      </c>
      <c r="B1427" t="s">
        <v>3900</v>
      </c>
      <c r="C1427" t="s">
        <v>3699</v>
      </c>
      <c r="D1427" t="s">
        <v>3699</v>
      </c>
      <c r="E1427" t="s">
        <v>3901</v>
      </c>
    </row>
    <row r="1428" spans="1:5" x14ac:dyDescent="0.2">
      <c r="A1428" t="s">
        <v>3902</v>
      </c>
      <c r="B1428" t="s">
        <v>3903</v>
      </c>
      <c r="C1428" t="s">
        <v>3699</v>
      </c>
      <c r="D1428" t="s">
        <v>3699</v>
      </c>
      <c r="E1428" t="s">
        <v>3904</v>
      </c>
    </row>
    <row r="1429" spans="1:5" x14ac:dyDescent="0.2">
      <c r="A1429" t="s">
        <v>3905</v>
      </c>
      <c r="B1429" t="s">
        <v>3906</v>
      </c>
      <c r="C1429" t="s">
        <v>3699</v>
      </c>
      <c r="D1429" t="s">
        <v>3699</v>
      </c>
      <c r="E1429" t="s">
        <v>3907</v>
      </c>
    </row>
    <row r="1430" spans="1:5" x14ac:dyDescent="0.2">
      <c r="A1430" t="s">
        <v>3908</v>
      </c>
      <c r="B1430" t="s">
        <v>3909</v>
      </c>
      <c r="C1430" t="s">
        <v>3699</v>
      </c>
      <c r="D1430" t="s">
        <v>3699</v>
      </c>
      <c r="E1430" t="s">
        <v>3728</v>
      </c>
    </row>
    <row r="1431" spans="1:5" x14ac:dyDescent="0.2">
      <c r="A1431" t="s">
        <v>3910</v>
      </c>
      <c r="B1431" t="s">
        <v>3911</v>
      </c>
      <c r="C1431" t="s">
        <v>3699</v>
      </c>
      <c r="D1431" t="s">
        <v>3699</v>
      </c>
      <c r="E1431" t="s">
        <v>3912</v>
      </c>
    </row>
    <row r="1432" spans="1:5" x14ac:dyDescent="0.2">
      <c r="A1432" t="s">
        <v>3913</v>
      </c>
      <c r="B1432" t="s">
        <v>3914</v>
      </c>
      <c r="C1432" t="s">
        <v>3699</v>
      </c>
      <c r="D1432" t="s">
        <v>3699</v>
      </c>
      <c r="E1432" t="s">
        <v>3776</v>
      </c>
    </row>
    <row r="1433" spans="1:5" x14ac:dyDescent="0.2">
      <c r="A1433" t="s">
        <v>3915</v>
      </c>
      <c r="B1433" t="s">
        <v>3916</v>
      </c>
      <c r="C1433" t="s">
        <v>3699</v>
      </c>
      <c r="D1433" t="s">
        <v>3699</v>
      </c>
      <c r="E1433" t="s">
        <v>3917</v>
      </c>
    </row>
    <row r="1434" spans="1:5" x14ac:dyDescent="0.2">
      <c r="A1434" t="s">
        <v>3918</v>
      </c>
      <c r="B1434" t="s">
        <v>3919</v>
      </c>
      <c r="C1434" t="s">
        <v>3699</v>
      </c>
      <c r="D1434" t="s">
        <v>3699</v>
      </c>
      <c r="E1434" t="s">
        <v>3720</v>
      </c>
    </row>
    <row r="1435" spans="1:5" x14ac:dyDescent="0.2">
      <c r="A1435" t="s">
        <v>3920</v>
      </c>
      <c r="B1435" t="s">
        <v>3921</v>
      </c>
      <c r="C1435" t="s">
        <v>3699</v>
      </c>
      <c r="D1435" t="s">
        <v>3699</v>
      </c>
      <c r="E1435" t="s">
        <v>3720</v>
      </c>
    </row>
    <row r="1436" spans="1:5" x14ac:dyDescent="0.2">
      <c r="A1436" t="s">
        <v>3922</v>
      </c>
      <c r="B1436" t="s">
        <v>3923</v>
      </c>
      <c r="C1436" t="s">
        <v>3699</v>
      </c>
      <c r="D1436" t="s">
        <v>3699</v>
      </c>
      <c r="E1436" t="s">
        <v>3924</v>
      </c>
    </row>
    <row r="1437" spans="1:5" x14ac:dyDescent="0.2">
      <c r="A1437" t="s">
        <v>3925</v>
      </c>
      <c r="B1437" t="s">
        <v>3926</v>
      </c>
      <c r="C1437" t="s">
        <v>3699</v>
      </c>
      <c r="D1437" t="s">
        <v>3699</v>
      </c>
      <c r="E1437" t="s">
        <v>3717</v>
      </c>
    </row>
    <row r="1438" spans="1:5" x14ac:dyDescent="0.2">
      <c r="A1438" t="s">
        <v>3927</v>
      </c>
      <c r="B1438" t="s">
        <v>3928</v>
      </c>
      <c r="C1438" t="s">
        <v>3699</v>
      </c>
      <c r="D1438" t="s">
        <v>3699</v>
      </c>
      <c r="E1438" t="s">
        <v>3728</v>
      </c>
    </row>
    <row r="1439" spans="1:5" x14ac:dyDescent="0.2">
      <c r="A1439" t="s">
        <v>3929</v>
      </c>
      <c r="B1439" t="s">
        <v>3930</v>
      </c>
      <c r="C1439" t="s">
        <v>3699</v>
      </c>
      <c r="D1439" t="s">
        <v>3699</v>
      </c>
      <c r="E1439" t="s">
        <v>3717</v>
      </c>
    </row>
    <row r="1440" spans="1:5" x14ac:dyDescent="0.2">
      <c r="A1440" t="s">
        <v>3931</v>
      </c>
      <c r="B1440" t="s">
        <v>3932</v>
      </c>
      <c r="C1440" t="s">
        <v>3699</v>
      </c>
      <c r="D1440" t="s">
        <v>3699</v>
      </c>
      <c r="E1440" t="s">
        <v>3717</v>
      </c>
    </row>
    <row r="1441" spans="1:5" x14ac:dyDescent="0.2">
      <c r="A1441" t="s">
        <v>3933</v>
      </c>
      <c r="B1441" t="s">
        <v>3934</v>
      </c>
      <c r="C1441" t="s">
        <v>3699</v>
      </c>
      <c r="D1441" t="s">
        <v>3699</v>
      </c>
      <c r="E1441" t="s">
        <v>3720</v>
      </c>
    </row>
    <row r="1442" spans="1:5" x14ac:dyDescent="0.2">
      <c r="A1442" t="s">
        <v>3935</v>
      </c>
      <c r="B1442" t="s">
        <v>3936</v>
      </c>
      <c r="C1442" t="s">
        <v>3699</v>
      </c>
      <c r="D1442" t="s">
        <v>3699</v>
      </c>
      <c r="E1442" t="s">
        <v>3717</v>
      </c>
    </row>
    <row r="1443" spans="1:5" x14ac:dyDescent="0.2">
      <c r="A1443" t="s">
        <v>3937</v>
      </c>
      <c r="B1443" t="s">
        <v>3938</v>
      </c>
      <c r="C1443" t="s">
        <v>3699</v>
      </c>
      <c r="D1443" t="s">
        <v>3699</v>
      </c>
      <c r="E1443" t="s">
        <v>3700</v>
      </c>
    </row>
    <row r="1444" spans="1:5" x14ac:dyDescent="0.2">
      <c r="A1444" t="s">
        <v>3939</v>
      </c>
      <c r="B1444" t="s">
        <v>3940</v>
      </c>
      <c r="C1444" t="s">
        <v>3699</v>
      </c>
      <c r="D1444" t="s">
        <v>3699</v>
      </c>
      <c r="E1444" t="s">
        <v>3720</v>
      </c>
    </row>
    <row r="1445" spans="1:5" x14ac:dyDescent="0.2">
      <c r="A1445" t="s">
        <v>3941</v>
      </c>
      <c r="B1445" t="s">
        <v>3942</v>
      </c>
      <c r="C1445" t="s">
        <v>3699</v>
      </c>
      <c r="D1445" t="s">
        <v>3699</v>
      </c>
      <c r="E1445" t="s">
        <v>3776</v>
      </c>
    </row>
    <row r="1446" spans="1:5" x14ac:dyDescent="0.2">
      <c r="A1446" t="s">
        <v>3943</v>
      </c>
      <c r="B1446" t="s">
        <v>3944</v>
      </c>
      <c r="C1446" t="s">
        <v>3699</v>
      </c>
      <c r="D1446" t="s">
        <v>3699</v>
      </c>
      <c r="E1446" t="s">
        <v>3720</v>
      </c>
    </row>
    <row r="1447" spans="1:5" x14ac:dyDescent="0.2">
      <c r="A1447" t="s">
        <v>3945</v>
      </c>
      <c r="B1447" t="s">
        <v>3946</v>
      </c>
      <c r="C1447" t="s">
        <v>3699</v>
      </c>
      <c r="D1447" t="s">
        <v>3699</v>
      </c>
      <c r="E1447" t="s">
        <v>3776</v>
      </c>
    </row>
    <row r="1448" spans="1:5" x14ac:dyDescent="0.2">
      <c r="A1448" t="s">
        <v>3947</v>
      </c>
      <c r="B1448" t="s">
        <v>3948</v>
      </c>
      <c r="C1448" t="s">
        <v>3699</v>
      </c>
      <c r="D1448" t="s">
        <v>3699</v>
      </c>
      <c r="E1448" t="s">
        <v>3949</v>
      </c>
    </row>
    <row r="1449" spans="1:5" x14ac:dyDescent="0.2">
      <c r="A1449" t="s">
        <v>3950</v>
      </c>
      <c r="B1449" t="s">
        <v>3951</v>
      </c>
      <c r="C1449" t="s">
        <v>3699</v>
      </c>
      <c r="D1449" t="s">
        <v>3699</v>
      </c>
      <c r="E1449" t="s">
        <v>3776</v>
      </c>
    </row>
    <row r="1450" spans="1:5" x14ac:dyDescent="0.2">
      <c r="A1450" t="s">
        <v>3952</v>
      </c>
      <c r="B1450" t="s">
        <v>3953</v>
      </c>
      <c r="C1450" t="s">
        <v>3699</v>
      </c>
      <c r="D1450" t="s">
        <v>3699</v>
      </c>
      <c r="E1450" t="s">
        <v>3717</v>
      </c>
    </row>
    <row r="1451" spans="1:5" x14ac:dyDescent="0.2">
      <c r="A1451" t="s">
        <v>3954</v>
      </c>
      <c r="B1451" t="s">
        <v>3955</v>
      </c>
      <c r="C1451" t="s">
        <v>3699</v>
      </c>
      <c r="D1451" t="s">
        <v>3699</v>
      </c>
      <c r="E1451" t="s">
        <v>3728</v>
      </c>
    </row>
    <row r="1452" spans="1:5" x14ac:dyDescent="0.2">
      <c r="A1452" t="s">
        <v>3956</v>
      </c>
      <c r="B1452" t="s">
        <v>3957</v>
      </c>
      <c r="C1452" t="s">
        <v>3699</v>
      </c>
      <c r="D1452" t="s">
        <v>3699</v>
      </c>
      <c r="E1452" t="s">
        <v>3700</v>
      </c>
    </row>
    <row r="1453" spans="1:5" x14ac:dyDescent="0.2">
      <c r="A1453" t="s">
        <v>3958</v>
      </c>
      <c r="B1453" t="s">
        <v>3959</v>
      </c>
      <c r="C1453" t="s">
        <v>3699</v>
      </c>
      <c r="D1453" t="s">
        <v>3699</v>
      </c>
      <c r="E1453" t="s">
        <v>3717</v>
      </c>
    </row>
    <row r="1454" spans="1:5" x14ac:dyDescent="0.2">
      <c r="A1454" t="s">
        <v>3960</v>
      </c>
      <c r="B1454" t="s">
        <v>3961</v>
      </c>
      <c r="C1454" t="s">
        <v>3699</v>
      </c>
      <c r="D1454" t="s">
        <v>3699</v>
      </c>
      <c r="E1454" t="s">
        <v>3720</v>
      </c>
    </row>
    <row r="1455" spans="1:5" x14ac:dyDescent="0.2">
      <c r="A1455" t="s">
        <v>3962</v>
      </c>
      <c r="B1455" t="s">
        <v>3963</v>
      </c>
      <c r="C1455" t="s">
        <v>3699</v>
      </c>
      <c r="D1455" t="s">
        <v>3699</v>
      </c>
      <c r="E1455" t="s">
        <v>3728</v>
      </c>
    </row>
    <row r="1456" spans="1:5" x14ac:dyDescent="0.2">
      <c r="A1456" t="s">
        <v>3964</v>
      </c>
      <c r="B1456" t="s">
        <v>3965</v>
      </c>
      <c r="C1456" t="s">
        <v>3699</v>
      </c>
      <c r="D1456" t="s">
        <v>3699</v>
      </c>
      <c r="E1456" t="s">
        <v>3966</v>
      </c>
    </row>
    <row r="1457" spans="1:5" x14ac:dyDescent="0.2">
      <c r="A1457" t="s">
        <v>3967</v>
      </c>
      <c r="B1457" t="s">
        <v>3968</v>
      </c>
      <c r="C1457" t="s">
        <v>3699</v>
      </c>
      <c r="D1457" t="s">
        <v>3699</v>
      </c>
      <c r="E1457" t="s">
        <v>3969</v>
      </c>
    </row>
    <row r="1458" spans="1:5" x14ac:dyDescent="0.2">
      <c r="A1458" t="s">
        <v>3970</v>
      </c>
      <c r="B1458" t="s">
        <v>3971</v>
      </c>
      <c r="C1458" t="s">
        <v>3699</v>
      </c>
      <c r="D1458" t="s">
        <v>3699</v>
      </c>
      <c r="E1458" t="s">
        <v>3972</v>
      </c>
    </row>
    <row r="1459" spans="1:5" x14ac:dyDescent="0.2">
      <c r="A1459" t="s">
        <v>3973</v>
      </c>
      <c r="B1459" t="s">
        <v>3974</v>
      </c>
      <c r="C1459" t="s">
        <v>3699</v>
      </c>
      <c r="D1459" t="s">
        <v>3699</v>
      </c>
      <c r="E1459" t="s">
        <v>3975</v>
      </c>
    </row>
    <row r="1460" spans="1:5" x14ac:dyDescent="0.2">
      <c r="A1460" t="s">
        <v>3976</v>
      </c>
      <c r="B1460" t="s">
        <v>3977</v>
      </c>
      <c r="C1460" t="s">
        <v>3699</v>
      </c>
      <c r="D1460" t="s">
        <v>3699</v>
      </c>
      <c r="E1460" t="s">
        <v>3978</v>
      </c>
    </row>
    <row r="1461" spans="1:5" x14ac:dyDescent="0.2">
      <c r="A1461" t="s">
        <v>3979</v>
      </c>
      <c r="B1461" t="s">
        <v>3980</v>
      </c>
      <c r="C1461" t="s">
        <v>3699</v>
      </c>
      <c r="D1461" t="s">
        <v>3699</v>
      </c>
      <c r="E1461" t="s">
        <v>3981</v>
      </c>
    </row>
    <row r="1462" spans="1:5" x14ac:dyDescent="0.2">
      <c r="A1462" t="s">
        <v>3982</v>
      </c>
      <c r="B1462" t="s">
        <v>3983</v>
      </c>
      <c r="C1462" t="s">
        <v>3699</v>
      </c>
      <c r="D1462" t="s">
        <v>3699</v>
      </c>
      <c r="E1462" t="s">
        <v>3776</v>
      </c>
    </row>
    <row r="1463" spans="1:5" x14ac:dyDescent="0.2">
      <c r="A1463" t="s">
        <v>3984</v>
      </c>
      <c r="B1463" t="s">
        <v>3985</v>
      </c>
      <c r="C1463" t="s">
        <v>3699</v>
      </c>
      <c r="D1463" t="s">
        <v>3699</v>
      </c>
      <c r="E1463" t="s">
        <v>3720</v>
      </c>
    </row>
    <row r="1464" spans="1:5" x14ac:dyDescent="0.2">
      <c r="A1464" t="s">
        <v>3986</v>
      </c>
      <c r="B1464" t="s">
        <v>3987</v>
      </c>
      <c r="C1464" t="s">
        <v>3699</v>
      </c>
      <c r="D1464" t="s">
        <v>3699</v>
      </c>
      <c r="E1464" t="s">
        <v>3720</v>
      </c>
    </row>
    <row r="1465" spans="1:5" x14ac:dyDescent="0.2">
      <c r="A1465" t="s">
        <v>3988</v>
      </c>
      <c r="B1465" t="s">
        <v>3989</v>
      </c>
      <c r="C1465" t="s">
        <v>3699</v>
      </c>
      <c r="D1465" t="s">
        <v>3699</v>
      </c>
      <c r="E1465" t="s">
        <v>3990</v>
      </c>
    </row>
    <row r="1466" spans="1:5" x14ac:dyDescent="0.2">
      <c r="A1466" t="s">
        <v>3991</v>
      </c>
      <c r="B1466" t="s">
        <v>3992</v>
      </c>
      <c r="C1466" t="s">
        <v>3699</v>
      </c>
      <c r="D1466" t="s">
        <v>3699</v>
      </c>
      <c r="E1466" t="s">
        <v>3993</v>
      </c>
    </row>
    <row r="1467" spans="1:5" x14ac:dyDescent="0.2">
      <c r="A1467" t="s">
        <v>3994</v>
      </c>
      <c r="B1467" t="s">
        <v>3995</v>
      </c>
      <c r="C1467" t="s">
        <v>3699</v>
      </c>
      <c r="D1467" t="s">
        <v>3699</v>
      </c>
      <c r="E1467" t="s">
        <v>3700</v>
      </c>
    </row>
    <row r="1468" spans="1:5" x14ac:dyDescent="0.2">
      <c r="A1468" t="s">
        <v>3996</v>
      </c>
      <c r="B1468" t="s">
        <v>3997</v>
      </c>
      <c r="C1468" t="s">
        <v>3699</v>
      </c>
      <c r="D1468" t="s">
        <v>3699</v>
      </c>
      <c r="E1468" t="s">
        <v>3776</v>
      </c>
    </row>
    <row r="1469" spans="1:5" x14ac:dyDescent="0.2">
      <c r="A1469" t="s">
        <v>3998</v>
      </c>
      <c r="B1469" t="s">
        <v>3999</v>
      </c>
      <c r="C1469" t="s">
        <v>3699</v>
      </c>
      <c r="D1469" t="s">
        <v>3699</v>
      </c>
      <c r="E1469" t="s">
        <v>3725</v>
      </c>
    </row>
    <row r="1470" spans="1:5" x14ac:dyDescent="0.2">
      <c r="A1470" t="s">
        <v>4000</v>
      </c>
      <c r="B1470" t="s">
        <v>4001</v>
      </c>
      <c r="C1470" t="s">
        <v>3699</v>
      </c>
      <c r="D1470" t="s">
        <v>3699</v>
      </c>
      <c r="E1470" t="s">
        <v>3720</v>
      </c>
    </row>
    <row r="1471" spans="1:5" x14ac:dyDescent="0.2">
      <c r="A1471" t="s">
        <v>4002</v>
      </c>
      <c r="B1471" t="s">
        <v>4003</v>
      </c>
      <c r="C1471" t="s">
        <v>3699</v>
      </c>
      <c r="D1471" t="s">
        <v>3699</v>
      </c>
      <c r="E1471" t="s">
        <v>4004</v>
      </c>
    </row>
    <row r="1472" spans="1:5" x14ac:dyDescent="0.2">
      <c r="A1472" t="s">
        <v>4005</v>
      </c>
      <c r="B1472" t="s">
        <v>4006</v>
      </c>
      <c r="C1472" t="s">
        <v>3699</v>
      </c>
      <c r="D1472" t="s">
        <v>3699</v>
      </c>
      <c r="E1472" t="s">
        <v>3776</v>
      </c>
    </row>
    <row r="1473" spans="1:5" x14ac:dyDescent="0.2">
      <c r="A1473" t="s">
        <v>4007</v>
      </c>
      <c r="B1473" t="s">
        <v>4008</v>
      </c>
      <c r="C1473" t="s">
        <v>3699</v>
      </c>
      <c r="D1473" t="s">
        <v>3699</v>
      </c>
      <c r="E1473" t="s">
        <v>3776</v>
      </c>
    </row>
    <row r="1474" spans="1:5" x14ac:dyDescent="0.2">
      <c r="A1474" t="s">
        <v>4009</v>
      </c>
      <c r="B1474" t="s">
        <v>4010</v>
      </c>
      <c r="C1474" t="s">
        <v>3699</v>
      </c>
      <c r="D1474" t="s">
        <v>3699</v>
      </c>
      <c r="E1474" t="s">
        <v>3776</v>
      </c>
    </row>
    <row r="1475" spans="1:5" x14ac:dyDescent="0.2">
      <c r="A1475" t="s">
        <v>4011</v>
      </c>
      <c r="B1475" t="s">
        <v>4012</v>
      </c>
      <c r="C1475" t="s">
        <v>3699</v>
      </c>
      <c r="D1475" t="s">
        <v>3699</v>
      </c>
      <c r="E1475" t="s">
        <v>4013</v>
      </c>
    </row>
    <row r="1476" spans="1:5" x14ac:dyDescent="0.2">
      <c r="A1476" t="s">
        <v>4014</v>
      </c>
      <c r="B1476" t="s">
        <v>4015</v>
      </c>
      <c r="C1476" t="s">
        <v>3699</v>
      </c>
      <c r="D1476" t="s">
        <v>3699</v>
      </c>
      <c r="E1476" t="s">
        <v>4016</v>
      </c>
    </row>
    <row r="1477" spans="1:5" x14ac:dyDescent="0.2">
      <c r="A1477" t="s">
        <v>4017</v>
      </c>
      <c r="B1477" t="s">
        <v>4018</v>
      </c>
      <c r="C1477" t="s">
        <v>3699</v>
      </c>
      <c r="D1477" t="s">
        <v>3699</v>
      </c>
      <c r="E1477" t="s">
        <v>3700</v>
      </c>
    </row>
    <row r="1478" spans="1:5" x14ac:dyDescent="0.2">
      <c r="A1478" t="s">
        <v>4019</v>
      </c>
      <c r="B1478" t="s">
        <v>4020</v>
      </c>
      <c r="C1478" t="s">
        <v>3699</v>
      </c>
      <c r="D1478" t="s">
        <v>3699</v>
      </c>
      <c r="E1478" t="s">
        <v>3907</v>
      </c>
    </row>
    <row r="1479" spans="1:5" x14ac:dyDescent="0.2">
      <c r="A1479" t="s">
        <v>4021</v>
      </c>
      <c r="B1479" t="s">
        <v>4022</v>
      </c>
      <c r="C1479" t="s">
        <v>3699</v>
      </c>
      <c r="D1479" t="e">
        <v>#N/A</v>
      </c>
      <c r="E1479" t="e">
        <v>#N/A</v>
      </c>
    </row>
    <row r="1480" spans="1:5" x14ac:dyDescent="0.2">
      <c r="A1480" t="s">
        <v>4023</v>
      </c>
      <c r="B1480" t="s">
        <v>4024</v>
      </c>
      <c r="C1480" t="s">
        <v>3699</v>
      </c>
      <c r="D1480" t="e">
        <v>#N/A</v>
      </c>
      <c r="E1480" t="e">
        <v>#N/A</v>
      </c>
    </row>
    <row r="1481" spans="1:5" x14ac:dyDescent="0.2">
      <c r="A1481" t="s">
        <v>4025</v>
      </c>
      <c r="B1481" t="s">
        <v>4026</v>
      </c>
      <c r="C1481" t="s">
        <v>4027</v>
      </c>
      <c r="D1481" t="s">
        <v>4027</v>
      </c>
      <c r="E1481" t="s">
        <v>4028</v>
      </c>
    </row>
    <row r="1482" spans="1:5" x14ac:dyDescent="0.2">
      <c r="A1482" t="s">
        <v>4029</v>
      </c>
      <c r="B1482" t="s">
        <v>4030</v>
      </c>
      <c r="C1482" t="s">
        <v>4027</v>
      </c>
      <c r="D1482" t="s">
        <v>4027</v>
      </c>
      <c r="E1482" t="s">
        <v>4031</v>
      </c>
    </row>
    <row r="1483" spans="1:5" x14ac:dyDescent="0.2">
      <c r="A1483" t="s">
        <v>4032</v>
      </c>
      <c r="B1483" t="s">
        <v>4033</v>
      </c>
      <c r="C1483" t="s">
        <v>4027</v>
      </c>
      <c r="D1483" t="s">
        <v>4027</v>
      </c>
      <c r="E1483" t="s">
        <v>4034</v>
      </c>
    </row>
    <row r="1484" spans="1:5" x14ac:dyDescent="0.2">
      <c r="A1484" t="s">
        <v>4035</v>
      </c>
      <c r="B1484" t="s">
        <v>4036</v>
      </c>
      <c r="C1484" t="s">
        <v>4027</v>
      </c>
      <c r="D1484" t="s">
        <v>4027</v>
      </c>
      <c r="E1484" t="s">
        <v>4037</v>
      </c>
    </row>
    <row r="1485" spans="1:5" x14ac:dyDescent="0.2">
      <c r="A1485" t="s">
        <v>4038</v>
      </c>
      <c r="B1485" t="s">
        <v>4039</v>
      </c>
      <c r="C1485" t="s">
        <v>4027</v>
      </c>
      <c r="D1485" t="s">
        <v>4027</v>
      </c>
      <c r="E1485" t="s">
        <v>4037</v>
      </c>
    </row>
    <row r="1486" spans="1:5" x14ac:dyDescent="0.2">
      <c r="A1486" t="s">
        <v>4040</v>
      </c>
      <c r="B1486" t="s">
        <v>4041</v>
      </c>
      <c r="C1486" t="s">
        <v>4027</v>
      </c>
      <c r="D1486" t="s">
        <v>4027</v>
      </c>
      <c r="E1486" t="s">
        <v>4037</v>
      </c>
    </row>
    <row r="1487" spans="1:5" x14ac:dyDescent="0.2">
      <c r="A1487" t="s">
        <v>4042</v>
      </c>
      <c r="B1487" t="s">
        <v>4043</v>
      </c>
      <c r="C1487" t="s">
        <v>4027</v>
      </c>
      <c r="D1487" t="s">
        <v>4027</v>
      </c>
      <c r="E1487" t="s">
        <v>4034</v>
      </c>
    </row>
    <row r="1488" spans="1:5" x14ac:dyDescent="0.2">
      <c r="A1488" t="s">
        <v>4044</v>
      </c>
      <c r="B1488" t="s">
        <v>4045</v>
      </c>
      <c r="C1488" t="s">
        <v>4027</v>
      </c>
      <c r="D1488" t="s">
        <v>4027</v>
      </c>
      <c r="E1488" t="s">
        <v>4046</v>
      </c>
    </row>
    <row r="1489" spans="1:5" x14ac:dyDescent="0.2">
      <c r="A1489" t="s">
        <v>4047</v>
      </c>
      <c r="B1489" t="s">
        <v>4048</v>
      </c>
      <c r="C1489" t="s">
        <v>4027</v>
      </c>
      <c r="D1489" t="s">
        <v>4027</v>
      </c>
      <c r="E1489" t="s">
        <v>4049</v>
      </c>
    </row>
    <row r="1490" spans="1:5" x14ac:dyDescent="0.2">
      <c r="A1490" t="s">
        <v>4050</v>
      </c>
      <c r="B1490" t="s">
        <v>4051</v>
      </c>
      <c r="C1490" t="s">
        <v>4027</v>
      </c>
      <c r="D1490" t="s">
        <v>4027</v>
      </c>
      <c r="E1490" t="s">
        <v>4052</v>
      </c>
    </row>
    <row r="1491" spans="1:5" x14ac:dyDescent="0.2">
      <c r="A1491" t="s">
        <v>4053</v>
      </c>
      <c r="B1491" t="s">
        <v>4054</v>
      </c>
      <c r="C1491" t="s">
        <v>4027</v>
      </c>
      <c r="D1491" t="s">
        <v>4027</v>
      </c>
      <c r="E1491" t="s">
        <v>4055</v>
      </c>
    </row>
    <row r="1492" spans="1:5" x14ac:dyDescent="0.2">
      <c r="A1492" t="s">
        <v>4056</v>
      </c>
      <c r="B1492" t="s">
        <v>4057</v>
      </c>
      <c r="C1492" t="s">
        <v>4027</v>
      </c>
      <c r="D1492" t="s">
        <v>4027</v>
      </c>
      <c r="E1492" t="s">
        <v>4046</v>
      </c>
    </row>
    <row r="1493" spans="1:5" x14ac:dyDescent="0.2">
      <c r="A1493" t="s">
        <v>4058</v>
      </c>
      <c r="B1493" t="s">
        <v>4059</v>
      </c>
      <c r="C1493" t="s">
        <v>4027</v>
      </c>
      <c r="D1493" t="s">
        <v>4027</v>
      </c>
      <c r="E1493" t="s">
        <v>4034</v>
      </c>
    </row>
    <row r="1494" spans="1:5" x14ac:dyDescent="0.2">
      <c r="A1494" t="s">
        <v>4060</v>
      </c>
      <c r="B1494" t="s">
        <v>4061</v>
      </c>
      <c r="C1494" t="s">
        <v>4027</v>
      </c>
      <c r="D1494" t="s">
        <v>4027</v>
      </c>
      <c r="E1494" t="s">
        <v>4034</v>
      </c>
    </row>
    <row r="1495" spans="1:5" x14ac:dyDescent="0.2">
      <c r="A1495" t="s">
        <v>4062</v>
      </c>
      <c r="B1495" t="s">
        <v>4063</v>
      </c>
      <c r="C1495" t="s">
        <v>4027</v>
      </c>
      <c r="D1495" t="s">
        <v>4027</v>
      </c>
      <c r="E1495" t="s">
        <v>4064</v>
      </c>
    </row>
    <row r="1496" spans="1:5" x14ac:dyDescent="0.2">
      <c r="A1496" t="s">
        <v>4065</v>
      </c>
      <c r="B1496" t="s">
        <v>4066</v>
      </c>
      <c r="C1496" t="s">
        <v>4027</v>
      </c>
      <c r="D1496" t="s">
        <v>4027</v>
      </c>
      <c r="E1496" t="s">
        <v>4067</v>
      </c>
    </row>
    <row r="1497" spans="1:5" x14ac:dyDescent="0.2">
      <c r="A1497" t="s">
        <v>4068</v>
      </c>
      <c r="B1497" t="s">
        <v>4069</v>
      </c>
      <c r="C1497" t="s">
        <v>4027</v>
      </c>
      <c r="D1497" t="s">
        <v>4027</v>
      </c>
      <c r="E1497" t="s">
        <v>4064</v>
      </c>
    </row>
    <row r="1498" spans="1:5" x14ac:dyDescent="0.2">
      <c r="A1498" t="s">
        <v>4070</v>
      </c>
      <c r="B1498" t="s">
        <v>4071</v>
      </c>
      <c r="C1498" t="s">
        <v>4027</v>
      </c>
      <c r="D1498" t="s">
        <v>4027</v>
      </c>
      <c r="E1498" t="s">
        <v>4034</v>
      </c>
    </row>
    <row r="1499" spans="1:5" x14ac:dyDescent="0.2">
      <c r="A1499" t="s">
        <v>4072</v>
      </c>
      <c r="B1499" t="s">
        <v>4073</v>
      </c>
      <c r="C1499" t="s">
        <v>4027</v>
      </c>
      <c r="D1499" t="s">
        <v>4027</v>
      </c>
      <c r="E1499" t="s">
        <v>4037</v>
      </c>
    </row>
    <row r="1500" spans="1:5" x14ac:dyDescent="0.2">
      <c r="A1500" t="s">
        <v>4074</v>
      </c>
      <c r="B1500" t="s">
        <v>4075</v>
      </c>
      <c r="C1500" t="s">
        <v>4027</v>
      </c>
      <c r="D1500" t="s">
        <v>4027</v>
      </c>
      <c r="E1500" t="s">
        <v>4046</v>
      </c>
    </row>
    <row r="1501" spans="1:5" x14ac:dyDescent="0.2">
      <c r="A1501" t="s">
        <v>4076</v>
      </c>
      <c r="B1501" t="s">
        <v>4077</v>
      </c>
      <c r="C1501" t="s">
        <v>4027</v>
      </c>
      <c r="D1501" t="s">
        <v>4027</v>
      </c>
      <c r="E1501" t="s">
        <v>4078</v>
      </c>
    </row>
    <row r="1502" spans="1:5" x14ac:dyDescent="0.2">
      <c r="A1502" t="s">
        <v>4079</v>
      </c>
      <c r="B1502" t="s">
        <v>4080</v>
      </c>
      <c r="C1502" t="s">
        <v>4027</v>
      </c>
      <c r="D1502" t="s">
        <v>4027</v>
      </c>
      <c r="E1502" t="s">
        <v>4034</v>
      </c>
    </row>
    <row r="1503" spans="1:5" x14ac:dyDescent="0.2">
      <c r="A1503" t="s">
        <v>4081</v>
      </c>
      <c r="B1503" t="s">
        <v>4082</v>
      </c>
      <c r="C1503" t="s">
        <v>4027</v>
      </c>
      <c r="D1503" t="s">
        <v>4027</v>
      </c>
      <c r="E1503" t="s">
        <v>4049</v>
      </c>
    </row>
    <row r="1504" spans="1:5" x14ac:dyDescent="0.2">
      <c r="A1504" t="s">
        <v>4083</v>
      </c>
      <c r="B1504" t="s">
        <v>4084</v>
      </c>
      <c r="C1504" t="s">
        <v>4027</v>
      </c>
      <c r="D1504" t="s">
        <v>4027</v>
      </c>
      <c r="E1504" t="s">
        <v>4085</v>
      </c>
    </row>
    <row r="1505" spans="1:5" x14ac:dyDescent="0.2">
      <c r="A1505" t="s">
        <v>4086</v>
      </c>
      <c r="B1505" t="s">
        <v>4087</v>
      </c>
      <c r="C1505" t="s">
        <v>4027</v>
      </c>
      <c r="D1505" t="s">
        <v>4027</v>
      </c>
      <c r="E1505" t="s">
        <v>4055</v>
      </c>
    </row>
    <row r="1506" spans="1:5" x14ac:dyDescent="0.2">
      <c r="A1506" t="s">
        <v>4088</v>
      </c>
      <c r="B1506" t="s">
        <v>4089</v>
      </c>
      <c r="C1506" t="s">
        <v>4027</v>
      </c>
      <c r="D1506" t="s">
        <v>4027</v>
      </c>
      <c r="E1506" t="s">
        <v>4049</v>
      </c>
    </row>
    <row r="1507" spans="1:5" x14ac:dyDescent="0.2">
      <c r="A1507" t="s">
        <v>4090</v>
      </c>
      <c r="B1507" t="s">
        <v>4091</v>
      </c>
      <c r="C1507" t="s">
        <v>4027</v>
      </c>
      <c r="D1507" t="s">
        <v>4027</v>
      </c>
      <c r="E1507" t="s">
        <v>4092</v>
      </c>
    </row>
    <row r="1508" spans="1:5" x14ac:dyDescent="0.2">
      <c r="A1508" t="s">
        <v>4093</v>
      </c>
      <c r="B1508" t="s">
        <v>4094</v>
      </c>
      <c r="C1508" t="s">
        <v>4027</v>
      </c>
      <c r="D1508" t="s">
        <v>4027</v>
      </c>
      <c r="E1508" t="s">
        <v>4095</v>
      </c>
    </row>
    <row r="1509" spans="1:5" x14ac:dyDescent="0.2">
      <c r="A1509" t="s">
        <v>4096</v>
      </c>
      <c r="B1509" t="s">
        <v>4097</v>
      </c>
      <c r="C1509" t="s">
        <v>4027</v>
      </c>
      <c r="D1509" t="s">
        <v>4027</v>
      </c>
      <c r="E1509" t="s">
        <v>4034</v>
      </c>
    </row>
    <row r="1510" spans="1:5" x14ac:dyDescent="0.2">
      <c r="A1510" t="s">
        <v>4098</v>
      </c>
      <c r="B1510" t="s">
        <v>4099</v>
      </c>
      <c r="C1510" t="s">
        <v>4027</v>
      </c>
      <c r="D1510" t="s">
        <v>4027</v>
      </c>
      <c r="E1510" t="s">
        <v>4046</v>
      </c>
    </row>
    <row r="1511" spans="1:5" x14ac:dyDescent="0.2">
      <c r="A1511" t="s">
        <v>4100</v>
      </c>
      <c r="B1511" t="s">
        <v>4101</v>
      </c>
      <c r="C1511" t="s">
        <v>4027</v>
      </c>
      <c r="D1511" t="s">
        <v>4027</v>
      </c>
      <c r="E1511" t="s">
        <v>4034</v>
      </c>
    </row>
    <row r="1512" spans="1:5" x14ac:dyDescent="0.2">
      <c r="A1512" t="s">
        <v>4102</v>
      </c>
      <c r="B1512" t="s">
        <v>4103</v>
      </c>
      <c r="C1512" t="s">
        <v>4027</v>
      </c>
      <c r="D1512" t="s">
        <v>4027</v>
      </c>
      <c r="E1512" t="s">
        <v>4049</v>
      </c>
    </row>
    <row r="1513" spans="1:5" x14ac:dyDescent="0.2">
      <c r="A1513" t="s">
        <v>4104</v>
      </c>
      <c r="B1513" t="s">
        <v>4105</v>
      </c>
      <c r="C1513" t="s">
        <v>4027</v>
      </c>
      <c r="D1513" t="s">
        <v>4027</v>
      </c>
      <c r="E1513" t="s">
        <v>4046</v>
      </c>
    </row>
    <row r="1514" spans="1:5" x14ac:dyDescent="0.2">
      <c r="A1514" t="s">
        <v>4106</v>
      </c>
      <c r="B1514" t="s">
        <v>4107</v>
      </c>
      <c r="C1514" t="s">
        <v>4027</v>
      </c>
      <c r="D1514" t="s">
        <v>4027</v>
      </c>
      <c r="E1514" t="s">
        <v>4049</v>
      </c>
    </row>
    <row r="1515" spans="1:5" x14ac:dyDescent="0.2">
      <c r="A1515" t="s">
        <v>4108</v>
      </c>
      <c r="B1515" t="s">
        <v>4109</v>
      </c>
      <c r="C1515" t="s">
        <v>4027</v>
      </c>
      <c r="D1515" t="s">
        <v>4027</v>
      </c>
      <c r="E1515" t="s">
        <v>4055</v>
      </c>
    </row>
    <row r="1516" spans="1:5" x14ac:dyDescent="0.2">
      <c r="A1516" t="s">
        <v>4110</v>
      </c>
      <c r="B1516" t="s">
        <v>4111</v>
      </c>
      <c r="C1516" t="s">
        <v>4027</v>
      </c>
      <c r="D1516" t="s">
        <v>4027</v>
      </c>
      <c r="E1516" t="s">
        <v>4034</v>
      </c>
    </row>
    <row r="1517" spans="1:5" x14ac:dyDescent="0.2">
      <c r="A1517" t="s">
        <v>4112</v>
      </c>
      <c r="B1517" t="s">
        <v>4113</v>
      </c>
      <c r="C1517" t="s">
        <v>4027</v>
      </c>
      <c r="D1517" t="s">
        <v>4027</v>
      </c>
      <c r="E1517" t="s">
        <v>4034</v>
      </c>
    </row>
    <row r="1518" spans="1:5" x14ac:dyDescent="0.2">
      <c r="A1518" t="s">
        <v>4114</v>
      </c>
      <c r="B1518" t="s">
        <v>4115</v>
      </c>
      <c r="C1518" t="s">
        <v>4027</v>
      </c>
      <c r="D1518" t="s">
        <v>4027</v>
      </c>
      <c r="E1518" t="s">
        <v>4055</v>
      </c>
    </row>
    <row r="1519" spans="1:5" x14ac:dyDescent="0.2">
      <c r="A1519" t="s">
        <v>4116</v>
      </c>
      <c r="B1519" t="s">
        <v>4117</v>
      </c>
      <c r="C1519" t="s">
        <v>4027</v>
      </c>
      <c r="D1519" t="s">
        <v>4027</v>
      </c>
      <c r="E1519" t="s">
        <v>4034</v>
      </c>
    </row>
    <row r="1520" spans="1:5" x14ac:dyDescent="0.2">
      <c r="A1520" t="s">
        <v>4118</v>
      </c>
      <c r="B1520" t="s">
        <v>4119</v>
      </c>
      <c r="C1520" t="s">
        <v>4027</v>
      </c>
      <c r="D1520" t="s">
        <v>4027</v>
      </c>
      <c r="E1520" t="s">
        <v>4046</v>
      </c>
    </row>
    <row r="1521" spans="1:5" x14ac:dyDescent="0.2">
      <c r="A1521" t="s">
        <v>4120</v>
      </c>
      <c r="B1521" t="s">
        <v>4121</v>
      </c>
      <c r="C1521" t="s">
        <v>4027</v>
      </c>
      <c r="D1521" t="s">
        <v>4027</v>
      </c>
      <c r="E1521" t="s">
        <v>4064</v>
      </c>
    </row>
    <row r="1522" spans="1:5" x14ac:dyDescent="0.2">
      <c r="A1522" t="s">
        <v>4122</v>
      </c>
      <c r="B1522" t="s">
        <v>4123</v>
      </c>
      <c r="C1522" t="s">
        <v>4027</v>
      </c>
      <c r="D1522" t="s">
        <v>4027</v>
      </c>
      <c r="E1522" t="s">
        <v>4124</v>
      </c>
    </row>
    <row r="1523" spans="1:5" x14ac:dyDescent="0.2">
      <c r="A1523" t="s">
        <v>4125</v>
      </c>
      <c r="B1523" t="s">
        <v>4126</v>
      </c>
      <c r="C1523" t="s">
        <v>4027</v>
      </c>
      <c r="D1523" t="s">
        <v>4027</v>
      </c>
      <c r="E1523" t="s">
        <v>4127</v>
      </c>
    </row>
    <row r="1524" spans="1:5" x14ac:dyDescent="0.2">
      <c r="A1524" t="s">
        <v>4128</v>
      </c>
      <c r="B1524" t="s">
        <v>4129</v>
      </c>
      <c r="C1524" t="s">
        <v>4027</v>
      </c>
      <c r="D1524" t="s">
        <v>4027</v>
      </c>
      <c r="E1524" t="s">
        <v>4034</v>
      </c>
    </row>
    <row r="1525" spans="1:5" x14ac:dyDescent="0.2">
      <c r="A1525" t="s">
        <v>4130</v>
      </c>
      <c r="B1525" t="s">
        <v>4131</v>
      </c>
      <c r="C1525" t="s">
        <v>4027</v>
      </c>
      <c r="D1525" t="s">
        <v>4027</v>
      </c>
      <c r="E1525" t="s">
        <v>4046</v>
      </c>
    </row>
    <row r="1526" spans="1:5" x14ac:dyDescent="0.2">
      <c r="A1526" t="s">
        <v>4132</v>
      </c>
      <c r="B1526" t="s">
        <v>4133</v>
      </c>
      <c r="C1526" t="s">
        <v>4027</v>
      </c>
      <c r="D1526" t="s">
        <v>4027</v>
      </c>
      <c r="E1526" t="s">
        <v>4046</v>
      </c>
    </row>
    <row r="1527" spans="1:5" x14ac:dyDescent="0.2">
      <c r="A1527" t="s">
        <v>4134</v>
      </c>
      <c r="B1527" t="s">
        <v>4135</v>
      </c>
      <c r="C1527" t="s">
        <v>4027</v>
      </c>
      <c r="D1527" t="s">
        <v>4027</v>
      </c>
      <c r="E1527" t="s">
        <v>4136</v>
      </c>
    </row>
    <row r="1528" spans="1:5" x14ac:dyDescent="0.2">
      <c r="A1528" t="s">
        <v>4137</v>
      </c>
      <c r="B1528" t="s">
        <v>4138</v>
      </c>
      <c r="C1528" t="s">
        <v>4027</v>
      </c>
      <c r="D1528" t="s">
        <v>4027</v>
      </c>
      <c r="E1528" t="s">
        <v>4046</v>
      </c>
    </row>
    <row r="1529" spans="1:5" x14ac:dyDescent="0.2">
      <c r="A1529" t="s">
        <v>4139</v>
      </c>
      <c r="B1529" t="s">
        <v>4140</v>
      </c>
      <c r="C1529" t="s">
        <v>4027</v>
      </c>
      <c r="D1529" t="s">
        <v>4027</v>
      </c>
      <c r="E1529" t="s">
        <v>4046</v>
      </c>
    </row>
    <row r="1530" spans="1:5" x14ac:dyDescent="0.2">
      <c r="A1530" t="s">
        <v>4141</v>
      </c>
      <c r="B1530" t="s">
        <v>4142</v>
      </c>
      <c r="C1530" t="s">
        <v>4027</v>
      </c>
      <c r="D1530" t="s">
        <v>4027</v>
      </c>
      <c r="E1530" t="s">
        <v>4049</v>
      </c>
    </row>
    <row r="1531" spans="1:5" x14ac:dyDescent="0.2">
      <c r="A1531" t="s">
        <v>4143</v>
      </c>
      <c r="B1531" t="s">
        <v>4144</v>
      </c>
      <c r="C1531" t="s">
        <v>4027</v>
      </c>
      <c r="D1531" t="s">
        <v>4027</v>
      </c>
      <c r="E1531" t="s">
        <v>4046</v>
      </c>
    </row>
    <row r="1532" spans="1:5" x14ac:dyDescent="0.2">
      <c r="A1532" t="s">
        <v>4145</v>
      </c>
      <c r="B1532" t="s">
        <v>4146</v>
      </c>
      <c r="C1532" t="s">
        <v>4027</v>
      </c>
      <c r="D1532" t="s">
        <v>4027</v>
      </c>
      <c r="E1532" t="s">
        <v>4064</v>
      </c>
    </row>
    <row r="1533" spans="1:5" x14ac:dyDescent="0.2">
      <c r="A1533" t="s">
        <v>4147</v>
      </c>
      <c r="B1533" t="s">
        <v>4148</v>
      </c>
      <c r="C1533" t="s">
        <v>4027</v>
      </c>
      <c r="D1533" t="s">
        <v>4027</v>
      </c>
      <c r="E1533" t="s">
        <v>4149</v>
      </c>
    </row>
    <row r="1534" spans="1:5" x14ac:dyDescent="0.2">
      <c r="A1534" t="s">
        <v>4150</v>
      </c>
      <c r="B1534" t="s">
        <v>4151</v>
      </c>
      <c r="C1534" t="s">
        <v>4027</v>
      </c>
      <c r="D1534" t="s">
        <v>4027</v>
      </c>
      <c r="E1534" t="s">
        <v>4152</v>
      </c>
    </row>
    <row r="1535" spans="1:5" x14ac:dyDescent="0.2">
      <c r="A1535" t="s">
        <v>4153</v>
      </c>
      <c r="B1535" t="s">
        <v>4154</v>
      </c>
      <c r="C1535" t="s">
        <v>4027</v>
      </c>
      <c r="D1535" t="s">
        <v>4027</v>
      </c>
      <c r="E1535" t="s">
        <v>4046</v>
      </c>
    </row>
    <row r="1536" spans="1:5" x14ac:dyDescent="0.2">
      <c r="A1536" t="s">
        <v>4155</v>
      </c>
      <c r="B1536" t="s">
        <v>4156</v>
      </c>
      <c r="C1536" t="s">
        <v>4027</v>
      </c>
      <c r="D1536" t="s">
        <v>4027</v>
      </c>
      <c r="E1536" t="s">
        <v>4157</v>
      </c>
    </row>
    <row r="1537" spans="1:5" x14ac:dyDescent="0.2">
      <c r="A1537" t="s">
        <v>4158</v>
      </c>
      <c r="B1537" t="s">
        <v>4159</v>
      </c>
      <c r="C1537" t="s">
        <v>4027</v>
      </c>
      <c r="D1537" t="s">
        <v>4027</v>
      </c>
      <c r="E1537" t="s">
        <v>4055</v>
      </c>
    </row>
    <row r="1538" spans="1:5" x14ac:dyDescent="0.2">
      <c r="A1538" t="s">
        <v>4160</v>
      </c>
      <c r="B1538" t="s">
        <v>4161</v>
      </c>
      <c r="C1538" t="s">
        <v>4027</v>
      </c>
      <c r="D1538" t="s">
        <v>4027</v>
      </c>
      <c r="E1538" t="s">
        <v>4064</v>
      </c>
    </row>
    <row r="1539" spans="1:5" x14ac:dyDescent="0.2">
      <c r="A1539" t="s">
        <v>4162</v>
      </c>
      <c r="B1539" t="s">
        <v>4163</v>
      </c>
      <c r="C1539" t="s">
        <v>4027</v>
      </c>
      <c r="D1539" t="s">
        <v>4027</v>
      </c>
      <c r="E1539" t="s">
        <v>4064</v>
      </c>
    </row>
    <row r="1540" spans="1:5" x14ac:dyDescent="0.2">
      <c r="A1540" t="s">
        <v>4164</v>
      </c>
      <c r="B1540" t="s">
        <v>4165</v>
      </c>
      <c r="C1540" t="s">
        <v>4027</v>
      </c>
      <c r="D1540" t="s">
        <v>4027</v>
      </c>
      <c r="E1540" t="s">
        <v>4034</v>
      </c>
    </row>
    <row r="1541" spans="1:5" x14ac:dyDescent="0.2">
      <c r="A1541" t="s">
        <v>4166</v>
      </c>
      <c r="B1541" t="s">
        <v>4167</v>
      </c>
      <c r="C1541" t="s">
        <v>4027</v>
      </c>
      <c r="D1541" t="s">
        <v>4027</v>
      </c>
      <c r="E1541" t="s">
        <v>4049</v>
      </c>
    </row>
    <row r="1542" spans="1:5" x14ac:dyDescent="0.2">
      <c r="A1542" t="s">
        <v>4168</v>
      </c>
      <c r="B1542" t="s">
        <v>4169</v>
      </c>
      <c r="C1542" t="s">
        <v>4027</v>
      </c>
      <c r="D1542" t="s">
        <v>4027</v>
      </c>
      <c r="E1542" t="s">
        <v>4170</v>
      </c>
    </row>
    <row r="1543" spans="1:5" x14ac:dyDescent="0.2">
      <c r="A1543" t="s">
        <v>4171</v>
      </c>
      <c r="B1543" t="s">
        <v>4172</v>
      </c>
      <c r="C1543" t="s">
        <v>4027</v>
      </c>
      <c r="D1543" t="s">
        <v>4027</v>
      </c>
      <c r="E1543" t="s">
        <v>4046</v>
      </c>
    </row>
    <row r="1544" spans="1:5" x14ac:dyDescent="0.2">
      <c r="A1544" t="s">
        <v>4173</v>
      </c>
      <c r="B1544" t="s">
        <v>4174</v>
      </c>
      <c r="C1544" t="s">
        <v>4027</v>
      </c>
      <c r="D1544" t="s">
        <v>4027</v>
      </c>
      <c r="E1544" t="s">
        <v>4046</v>
      </c>
    </row>
    <row r="1545" spans="1:5" x14ac:dyDescent="0.2">
      <c r="A1545" t="s">
        <v>4175</v>
      </c>
      <c r="B1545" t="s">
        <v>4176</v>
      </c>
      <c r="C1545" t="s">
        <v>4027</v>
      </c>
      <c r="D1545" t="s">
        <v>4027</v>
      </c>
      <c r="E1545" t="s">
        <v>4034</v>
      </c>
    </row>
    <row r="1546" spans="1:5" x14ac:dyDescent="0.2">
      <c r="A1546" t="s">
        <v>4177</v>
      </c>
      <c r="B1546" t="s">
        <v>4178</v>
      </c>
      <c r="C1546" t="s">
        <v>4027</v>
      </c>
      <c r="D1546" t="s">
        <v>4027</v>
      </c>
      <c r="E1546" t="s">
        <v>4046</v>
      </c>
    </row>
    <row r="1547" spans="1:5" x14ac:dyDescent="0.2">
      <c r="A1547" t="s">
        <v>4179</v>
      </c>
      <c r="B1547" t="s">
        <v>4180</v>
      </c>
      <c r="C1547" t="s">
        <v>4027</v>
      </c>
      <c r="D1547" t="s">
        <v>4027</v>
      </c>
      <c r="E1547" t="s">
        <v>4181</v>
      </c>
    </row>
    <row r="1548" spans="1:5" x14ac:dyDescent="0.2">
      <c r="A1548" t="s">
        <v>4182</v>
      </c>
      <c r="B1548" t="s">
        <v>4183</v>
      </c>
      <c r="C1548" t="s">
        <v>4027</v>
      </c>
      <c r="D1548" t="s">
        <v>4027</v>
      </c>
      <c r="E1548" t="s">
        <v>4034</v>
      </c>
    </row>
    <row r="1549" spans="1:5" x14ac:dyDescent="0.2">
      <c r="A1549" t="s">
        <v>4184</v>
      </c>
      <c r="B1549" t="s">
        <v>4185</v>
      </c>
      <c r="C1549" t="s">
        <v>4027</v>
      </c>
      <c r="D1549" t="s">
        <v>4027</v>
      </c>
      <c r="E1549" t="s">
        <v>4186</v>
      </c>
    </row>
    <row r="1550" spans="1:5" x14ac:dyDescent="0.2">
      <c r="A1550" t="s">
        <v>4187</v>
      </c>
      <c r="B1550" t="s">
        <v>4188</v>
      </c>
      <c r="C1550" t="s">
        <v>4027</v>
      </c>
      <c r="D1550" t="s">
        <v>4027</v>
      </c>
      <c r="E1550" t="s">
        <v>4046</v>
      </c>
    </row>
    <row r="1551" spans="1:5" x14ac:dyDescent="0.2">
      <c r="A1551" t="s">
        <v>4189</v>
      </c>
      <c r="B1551" t="s">
        <v>4190</v>
      </c>
      <c r="C1551" t="s">
        <v>4027</v>
      </c>
      <c r="D1551" t="s">
        <v>4027</v>
      </c>
      <c r="E1551" t="s">
        <v>4064</v>
      </c>
    </row>
    <row r="1552" spans="1:5" x14ac:dyDescent="0.2">
      <c r="A1552" t="s">
        <v>4191</v>
      </c>
      <c r="B1552" t="s">
        <v>4192</v>
      </c>
      <c r="C1552" t="s">
        <v>4027</v>
      </c>
      <c r="D1552" t="s">
        <v>4027</v>
      </c>
      <c r="E1552" t="s">
        <v>4193</v>
      </c>
    </row>
    <row r="1553" spans="1:5" x14ac:dyDescent="0.2">
      <c r="A1553" t="s">
        <v>4194</v>
      </c>
      <c r="B1553" t="s">
        <v>4195</v>
      </c>
      <c r="C1553" t="s">
        <v>4027</v>
      </c>
      <c r="D1553" t="s">
        <v>4027</v>
      </c>
      <c r="E1553" t="s">
        <v>4055</v>
      </c>
    </row>
    <row r="1554" spans="1:5" x14ac:dyDescent="0.2">
      <c r="A1554" t="s">
        <v>4196</v>
      </c>
      <c r="B1554" t="s">
        <v>4197</v>
      </c>
      <c r="C1554" t="s">
        <v>4027</v>
      </c>
      <c r="D1554" t="s">
        <v>4027</v>
      </c>
      <c r="E1554" t="s">
        <v>4198</v>
      </c>
    </row>
    <row r="1555" spans="1:5" x14ac:dyDescent="0.2">
      <c r="A1555" t="s">
        <v>4199</v>
      </c>
      <c r="B1555" t="s">
        <v>4200</v>
      </c>
      <c r="C1555" t="s">
        <v>4027</v>
      </c>
      <c r="D1555" t="s">
        <v>4027</v>
      </c>
      <c r="E1555" t="s">
        <v>4034</v>
      </c>
    </row>
    <row r="1556" spans="1:5" x14ac:dyDescent="0.2">
      <c r="A1556" t="s">
        <v>4201</v>
      </c>
      <c r="B1556" t="s">
        <v>4202</v>
      </c>
      <c r="C1556" t="s">
        <v>4027</v>
      </c>
      <c r="D1556" t="s">
        <v>4027</v>
      </c>
      <c r="E1556" t="s">
        <v>4055</v>
      </c>
    </row>
    <row r="1557" spans="1:5" x14ac:dyDescent="0.2">
      <c r="A1557" t="s">
        <v>4203</v>
      </c>
      <c r="B1557" t="s">
        <v>4204</v>
      </c>
      <c r="C1557" t="s">
        <v>4027</v>
      </c>
      <c r="D1557" t="s">
        <v>4205</v>
      </c>
      <c r="E1557" t="s">
        <v>4206</v>
      </c>
    </row>
    <row r="1558" spans="1:5" x14ac:dyDescent="0.2">
      <c r="A1558" t="s">
        <v>4207</v>
      </c>
      <c r="B1558" t="s">
        <v>4208</v>
      </c>
      <c r="C1558" t="s">
        <v>4027</v>
      </c>
      <c r="D1558" t="s">
        <v>4027</v>
      </c>
      <c r="E1558" t="s">
        <v>4034</v>
      </c>
    </row>
    <row r="1559" spans="1:5" x14ac:dyDescent="0.2">
      <c r="A1559" t="s">
        <v>4209</v>
      </c>
      <c r="B1559" t="s">
        <v>4210</v>
      </c>
      <c r="C1559" t="s">
        <v>4027</v>
      </c>
      <c r="D1559" t="s">
        <v>4027</v>
      </c>
      <c r="E1559" t="s">
        <v>4211</v>
      </c>
    </row>
    <row r="1560" spans="1:5" x14ac:dyDescent="0.2">
      <c r="A1560" t="s">
        <v>4212</v>
      </c>
      <c r="B1560" t="s">
        <v>4213</v>
      </c>
      <c r="C1560" t="s">
        <v>4027</v>
      </c>
      <c r="D1560" t="s">
        <v>4027</v>
      </c>
      <c r="E1560" t="s">
        <v>4055</v>
      </c>
    </row>
    <row r="1561" spans="1:5" x14ac:dyDescent="0.2">
      <c r="A1561" t="s">
        <v>4214</v>
      </c>
      <c r="B1561" t="s">
        <v>4215</v>
      </c>
      <c r="C1561" t="s">
        <v>4027</v>
      </c>
      <c r="D1561" t="s">
        <v>4027</v>
      </c>
      <c r="E1561" t="s">
        <v>4034</v>
      </c>
    </row>
    <row r="1562" spans="1:5" x14ac:dyDescent="0.2">
      <c r="A1562" t="s">
        <v>4216</v>
      </c>
      <c r="B1562" t="s">
        <v>4217</v>
      </c>
      <c r="C1562" t="s">
        <v>4027</v>
      </c>
      <c r="D1562" t="s">
        <v>4027</v>
      </c>
      <c r="E1562" t="s">
        <v>4037</v>
      </c>
    </row>
    <row r="1563" spans="1:5" x14ac:dyDescent="0.2">
      <c r="A1563" t="s">
        <v>4218</v>
      </c>
      <c r="B1563" t="s">
        <v>4219</v>
      </c>
      <c r="C1563" t="s">
        <v>4027</v>
      </c>
      <c r="D1563" t="s">
        <v>4027</v>
      </c>
      <c r="E1563" t="s">
        <v>4034</v>
      </c>
    </row>
    <row r="1564" spans="1:5" x14ac:dyDescent="0.2">
      <c r="A1564" t="s">
        <v>4220</v>
      </c>
      <c r="B1564" t="s">
        <v>4221</v>
      </c>
      <c r="C1564" t="s">
        <v>4027</v>
      </c>
      <c r="D1564" t="s">
        <v>4027</v>
      </c>
      <c r="E1564" t="s">
        <v>4222</v>
      </c>
    </row>
    <row r="1565" spans="1:5" x14ac:dyDescent="0.2">
      <c r="A1565" t="s">
        <v>4223</v>
      </c>
      <c r="B1565" t="s">
        <v>4224</v>
      </c>
      <c r="C1565" t="s">
        <v>4027</v>
      </c>
      <c r="D1565" t="s">
        <v>4027</v>
      </c>
      <c r="E1565" t="s">
        <v>4055</v>
      </c>
    </row>
    <row r="1566" spans="1:5" x14ac:dyDescent="0.2">
      <c r="A1566" t="s">
        <v>4225</v>
      </c>
      <c r="B1566" t="s">
        <v>4226</v>
      </c>
      <c r="C1566" t="s">
        <v>4027</v>
      </c>
      <c r="D1566" t="s">
        <v>4027</v>
      </c>
      <c r="E1566" t="s">
        <v>4227</v>
      </c>
    </row>
    <row r="1567" spans="1:5" x14ac:dyDescent="0.2">
      <c r="A1567" t="s">
        <v>4228</v>
      </c>
      <c r="B1567" t="s">
        <v>4229</v>
      </c>
      <c r="C1567" t="s">
        <v>4027</v>
      </c>
      <c r="D1567" t="s">
        <v>4027</v>
      </c>
      <c r="E1567" t="s">
        <v>4230</v>
      </c>
    </row>
    <row r="1568" spans="1:5" x14ac:dyDescent="0.2">
      <c r="A1568" t="s">
        <v>4231</v>
      </c>
      <c r="B1568" t="s">
        <v>4232</v>
      </c>
      <c r="C1568" t="s">
        <v>4027</v>
      </c>
      <c r="D1568" t="s">
        <v>4027</v>
      </c>
      <c r="E1568" t="s">
        <v>4233</v>
      </c>
    </row>
    <row r="1569" spans="1:5" x14ac:dyDescent="0.2">
      <c r="A1569" t="s">
        <v>4234</v>
      </c>
      <c r="B1569" t="s">
        <v>4235</v>
      </c>
      <c r="C1569" t="s">
        <v>4027</v>
      </c>
      <c r="D1569" t="s">
        <v>4027</v>
      </c>
      <c r="E1569" t="s">
        <v>4236</v>
      </c>
    </row>
    <row r="1570" spans="1:5" x14ac:dyDescent="0.2">
      <c r="A1570" t="s">
        <v>4237</v>
      </c>
      <c r="B1570" t="s">
        <v>4238</v>
      </c>
      <c r="C1570" t="s">
        <v>4027</v>
      </c>
      <c r="D1570" t="s">
        <v>4027</v>
      </c>
      <c r="E1570" t="s">
        <v>4046</v>
      </c>
    </row>
    <row r="1571" spans="1:5" x14ac:dyDescent="0.2">
      <c r="A1571" t="s">
        <v>4239</v>
      </c>
      <c r="B1571" t="s">
        <v>4240</v>
      </c>
      <c r="C1571" t="s">
        <v>4027</v>
      </c>
      <c r="D1571" t="s">
        <v>4027</v>
      </c>
      <c r="E1571" t="s">
        <v>4037</v>
      </c>
    </row>
    <row r="1572" spans="1:5" x14ac:dyDescent="0.2">
      <c r="A1572" t="s">
        <v>4241</v>
      </c>
      <c r="B1572" t="s">
        <v>4242</v>
      </c>
      <c r="C1572" t="s">
        <v>4027</v>
      </c>
      <c r="D1572" t="s">
        <v>4027</v>
      </c>
      <c r="E1572" t="s">
        <v>4034</v>
      </c>
    </row>
    <row r="1573" spans="1:5" x14ac:dyDescent="0.2">
      <c r="A1573" t="s">
        <v>4243</v>
      </c>
      <c r="B1573" t="s">
        <v>4244</v>
      </c>
      <c r="C1573" t="s">
        <v>4027</v>
      </c>
      <c r="D1573" t="s">
        <v>4027</v>
      </c>
      <c r="E1573" t="s">
        <v>4046</v>
      </c>
    </row>
    <row r="1574" spans="1:5" x14ac:dyDescent="0.2">
      <c r="A1574" t="s">
        <v>4245</v>
      </c>
      <c r="B1574" t="s">
        <v>4246</v>
      </c>
      <c r="C1574" t="s">
        <v>4027</v>
      </c>
      <c r="D1574" t="s">
        <v>4027</v>
      </c>
      <c r="E1574" t="s">
        <v>4055</v>
      </c>
    </row>
    <row r="1575" spans="1:5" x14ac:dyDescent="0.2">
      <c r="A1575" t="s">
        <v>4247</v>
      </c>
      <c r="B1575" t="s">
        <v>4248</v>
      </c>
      <c r="C1575" t="s">
        <v>4027</v>
      </c>
      <c r="D1575" t="s">
        <v>4027</v>
      </c>
      <c r="E1575" t="s">
        <v>4249</v>
      </c>
    </row>
    <row r="1576" spans="1:5" x14ac:dyDescent="0.2">
      <c r="A1576" t="s">
        <v>4250</v>
      </c>
      <c r="B1576" t="s">
        <v>4251</v>
      </c>
      <c r="C1576" t="s">
        <v>4027</v>
      </c>
      <c r="D1576" t="s">
        <v>4027</v>
      </c>
      <c r="E1576" t="s">
        <v>4046</v>
      </c>
    </row>
    <row r="1577" spans="1:5" x14ac:dyDescent="0.2">
      <c r="A1577" t="s">
        <v>4252</v>
      </c>
      <c r="B1577" t="s">
        <v>4253</v>
      </c>
      <c r="C1577" t="s">
        <v>4027</v>
      </c>
      <c r="D1577" t="s">
        <v>4027</v>
      </c>
      <c r="E1577" t="s">
        <v>4064</v>
      </c>
    </row>
    <row r="1578" spans="1:5" x14ac:dyDescent="0.2">
      <c r="A1578" t="s">
        <v>4254</v>
      </c>
      <c r="B1578" t="s">
        <v>4255</v>
      </c>
      <c r="C1578" t="s">
        <v>4027</v>
      </c>
      <c r="D1578" t="s">
        <v>4027</v>
      </c>
      <c r="E1578" t="s">
        <v>4049</v>
      </c>
    </row>
    <row r="1579" spans="1:5" x14ac:dyDescent="0.2">
      <c r="A1579" t="s">
        <v>4256</v>
      </c>
      <c r="B1579" t="s">
        <v>4257</v>
      </c>
      <c r="C1579" t="s">
        <v>4027</v>
      </c>
      <c r="D1579" t="s">
        <v>4027</v>
      </c>
      <c r="E1579" t="s">
        <v>4258</v>
      </c>
    </row>
    <row r="1580" spans="1:5" x14ac:dyDescent="0.2">
      <c r="A1580" t="s">
        <v>4259</v>
      </c>
      <c r="B1580" t="s">
        <v>4260</v>
      </c>
      <c r="C1580" t="s">
        <v>4027</v>
      </c>
      <c r="D1580" t="s">
        <v>4027</v>
      </c>
      <c r="E1580" t="s">
        <v>4034</v>
      </c>
    </row>
    <row r="1581" spans="1:5" x14ac:dyDescent="0.2">
      <c r="A1581" t="s">
        <v>4261</v>
      </c>
      <c r="B1581" t="s">
        <v>4262</v>
      </c>
      <c r="C1581" t="s">
        <v>4027</v>
      </c>
      <c r="D1581" t="s">
        <v>4027</v>
      </c>
      <c r="E1581" t="s">
        <v>4055</v>
      </c>
    </row>
    <row r="1582" spans="1:5" x14ac:dyDescent="0.2">
      <c r="A1582" t="s">
        <v>4263</v>
      </c>
      <c r="B1582" t="s">
        <v>4264</v>
      </c>
      <c r="C1582" t="s">
        <v>4027</v>
      </c>
      <c r="D1582" t="s">
        <v>4027</v>
      </c>
      <c r="E1582" t="s">
        <v>4046</v>
      </c>
    </row>
    <row r="1583" spans="1:5" x14ac:dyDescent="0.2">
      <c r="A1583" t="s">
        <v>4265</v>
      </c>
      <c r="B1583" t="s">
        <v>4266</v>
      </c>
      <c r="C1583" t="s">
        <v>4027</v>
      </c>
      <c r="D1583" t="s">
        <v>4027</v>
      </c>
      <c r="E1583" t="s">
        <v>4046</v>
      </c>
    </row>
    <row r="1584" spans="1:5" x14ac:dyDescent="0.2">
      <c r="A1584" t="s">
        <v>4267</v>
      </c>
      <c r="B1584" t="s">
        <v>4268</v>
      </c>
      <c r="C1584" t="s">
        <v>4027</v>
      </c>
      <c r="D1584" t="s">
        <v>4027</v>
      </c>
      <c r="E1584" t="s">
        <v>4064</v>
      </c>
    </row>
    <row r="1585" spans="1:5" x14ac:dyDescent="0.2">
      <c r="A1585" t="s">
        <v>4269</v>
      </c>
      <c r="B1585" t="s">
        <v>4270</v>
      </c>
      <c r="C1585" t="s">
        <v>4027</v>
      </c>
      <c r="D1585" t="s">
        <v>4027</v>
      </c>
      <c r="E1585" t="s">
        <v>4046</v>
      </c>
    </row>
    <row r="1586" spans="1:5" x14ac:dyDescent="0.2">
      <c r="A1586" t="s">
        <v>4271</v>
      </c>
      <c r="B1586" t="s">
        <v>4272</v>
      </c>
      <c r="C1586" t="s">
        <v>4027</v>
      </c>
      <c r="D1586" t="s">
        <v>4027</v>
      </c>
      <c r="E1586" t="s">
        <v>4064</v>
      </c>
    </row>
    <row r="1587" spans="1:5" x14ac:dyDescent="0.2">
      <c r="A1587" t="s">
        <v>4273</v>
      </c>
      <c r="B1587" t="s">
        <v>4274</v>
      </c>
      <c r="C1587" t="s">
        <v>4027</v>
      </c>
      <c r="D1587" t="s">
        <v>4027</v>
      </c>
      <c r="E1587" t="s">
        <v>4064</v>
      </c>
    </row>
    <row r="1588" spans="1:5" x14ac:dyDescent="0.2">
      <c r="A1588" t="s">
        <v>4275</v>
      </c>
      <c r="B1588" t="s">
        <v>4276</v>
      </c>
      <c r="C1588" t="s">
        <v>4027</v>
      </c>
      <c r="D1588" t="s">
        <v>4027</v>
      </c>
      <c r="E1588" t="s">
        <v>4277</v>
      </c>
    </row>
    <row r="1589" spans="1:5" x14ac:dyDescent="0.2">
      <c r="A1589" t="s">
        <v>4278</v>
      </c>
      <c r="B1589" t="s">
        <v>4279</v>
      </c>
      <c r="C1589" t="s">
        <v>4027</v>
      </c>
      <c r="D1589" t="s">
        <v>4027</v>
      </c>
      <c r="E1589" t="s">
        <v>4280</v>
      </c>
    </row>
    <row r="1590" spans="1:5" x14ac:dyDescent="0.2">
      <c r="A1590" t="s">
        <v>4281</v>
      </c>
      <c r="B1590" t="s">
        <v>4282</v>
      </c>
      <c r="C1590" t="s">
        <v>4027</v>
      </c>
      <c r="D1590" t="s">
        <v>4027</v>
      </c>
      <c r="E1590" t="s">
        <v>4055</v>
      </c>
    </row>
    <row r="1591" spans="1:5" x14ac:dyDescent="0.2">
      <c r="A1591" t="s">
        <v>4283</v>
      </c>
      <c r="B1591" t="s">
        <v>4284</v>
      </c>
      <c r="C1591" t="s">
        <v>4027</v>
      </c>
      <c r="D1591" t="s">
        <v>4027</v>
      </c>
      <c r="E1591" t="s">
        <v>4055</v>
      </c>
    </row>
    <row r="1592" spans="1:5" x14ac:dyDescent="0.2">
      <c r="A1592" t="s">
        <v>4285</v>
      </c>
      <c r="B1592" t="s">
        <v>4286</v>
      </c>
      <c r="C1592" t="s">
        <v>4027</v>
      </c>
      <c r="D1592" t="s">
        <v>4027</v>
      </c>
      <c r="E1592" t="s">
        <v>4055</v>
      </c>
    </row>
    <row r="1593" spans="1:5" x14ac:dyDescent="0.2">
      <c r="A1593" t="s">
        <v>4287</v>
      </c>
      <c r="B1593" t="s">
        <v>4288</v>
      </c>
      <c r="C1593" t="s">
        <v>4027</v>
      </c>
      <c r="D1593" t="s">
        <v>4027</v>
      </c>
      <c r="E1593" t="s">
        <v>4034</v>
      </c>
    </row>
    <row r="1594" spans="1:5" x14ac:dyDescent="0.2">
      <c r="A1594" t="s">
        <v>4289</v>
      </c>
      <c r="B1594" t="s">
        <v>4290</v>
      </c>
      <c r="C1594" t="s">
        <v>4027</v>
      </c>
      <c r="D1594" t="s">
        <v>4027</v>
      </c>
      <c r="E1594" t="s">
        <v>4291</v>
      </c>
    </row>
    <row r="1595" spans="1:5" x14ac:dyDescent="0.2">
      <c r="A1595" t="s">
        <v>4292</v>
      </c>
      <c r="B1595" t="s">
        <v>4293</v>
      </c>
      <c r="C1595" t="s">
        <v>4027</v>
      </c>
      <c r="D1595" t="s">
        <v>4027</v>
      </c>
      <c r="E1595" t="s">
        <v>4294</v>
      </c>
    </row>
    <row r="1596" spans="1:5" x14ac:dyDescent="0.2">
      <c r="A1596" t="s">
        <v>4295</v>
      </c>
      <c r="B1596" t="s">
        <v>4296</v>
      </c>
      <c r="C1596" t="s">
        <v>4027</v>
      </c>
      <c r="D1596" t="s">
        <v>4027</v>
      </c>
      <c r="E1596" t="s">
        <v>4034</v>
      </c>
    </row>
    <row r="1597" spans="1:5" x14ac:dyDescent="0.2">
      <c r="A1597" t="s">
        <v>4297</v>
      </c>
      <c r="B1597" t="s">
        <v>4298</v>
      </c>
      <c r="C1597" t="s">
        <v>4027</v>
      </c>
      <c r="D1597" t="s">
        <v>4027</v>
      </c>
      <c r="E1597" t="s">
        <v>4046</v>
      </c>
    </row>
    <row r="1598" spans="1:5" x14ac:dyDescent="0.2">
      <c r="A1598" t="s">
        <v>4299</v>
      </c>
      <c r="B1598" t="s">
        <v>4300</v>
      </c>
      <c r="C1598" t="s">
        <v>4027</v>
      </c>
      <c r="D1598" t="s">
        <v>4027</v>
      </c>
      <c r="E1598" t="s">
        <v>4046</v>
      </c>
    </row>
    <row r="1599" spans="1:5" x14ac:dyDescent="0.2">
      <c r="A1599" t="s">
        <v>4301</v>
      </c>
      <c r="B1599" t="s">
        <v>4302</v>
      </c>
      <c r="C1599" t="s">
        <v>4027</v>
      </c>
      <c r="D1599" t="s">
        <v>4027</v>
      </c>
      <c r="E1599" t="s">
        <v>4064</v>
      </c>
    </row>
    <row r="1600" spans="1:5" x14ac:dyDescent="0.2">
      <c r="A1600" t="s">
        <v>4303</v>
      </c>
      <c r="B1600" t="s">
        <v>4304</v>
      </c>
      <c r="C1600" t="s">
        <v>4027</v>
      </c>
      <c r="D1600" t="s">
        <v>4027</v>
      </c>
      <c r="E1600" t="s">
        <v>4046</v>
      </c>
    </row>
    <row r="1601" spans="1:5" x14ac:dyDescent="0.2">
      <c r="A1601" t="s">
        <v>4305</v>
      </c>
      <c r="B1601" t="s">
        <v>4306</v>
      </c>
      <c r="C1601" t="s">
        <v>4027</v>
      </c>
      <c r="D1601" t="s">
        <v>4027</v>
      </c>
      <c r="E1601" t="s">
        <v>4064</v>
      </c>
    </row>
    <row r="1602" spans="1:5" x14ac:dyDescent="0.2">
      <c r="A1602" t="s">
        <v>4307</v>
      </c>
      <c r="B1602" t="s">
        <v>4308</v>
      </c>
      <c r="C1602" t="s">
        <v>4027</v>
      </c>
      <c r="D1602" t="s">
        <v>4027</v>
      </c>
      <c r="E1602" t="s">
        <v>4034</v>
      </c>
    </row>
    <row r="1603" spans="1:5" x14ac:dyDescent="0.2">
      <c r="A1603" t="s">
        <v>4309</v>
      </c>
      <c r="B1603" t="s">
        <v>4310</v>
      </c>
      <c r="C1603" t="s">
        <v>4027</v>
      </c>
      <c r="D1603" t="s">
        <v>4027</v>
      </c>
      <c r="E1603" t="s">
        <v>4046</v>
      </c>
    </row>
    <row r="1604" spans="1:5" x14ac:dyDescent="0.2">
      <c r="A1604" t="s">
        <v>4311</v>
      </c>
      <c r="B1604" t="s">
        <v>4312</v>
      </c>
      <c r="C1604" t="s">
        <v>4027</v>
      </c>
      <c r="D1604" t="s">
        <v>4027</v>
      </c>
      <c r="E1604" t="s">
        <v>4055</v>
      </c>
    </row>
    <row r="1605" spans="1:5" x14ac:dyDescent="0.2">
      <c r="A1605" t="s">
        <v>4313</v>
      </c>
      <c r="B1605" t="s">
        <v>4314</v>
      </c>
      <c r="C1605" t="s">
        <v>4027</v>
      </c>
      <c r="D1605" t="s">
        <v>4027</v>
      </c>
      <c r="E1605" t="s">
        <v>4046</v>
      </c>
    </row>
    <row r="1606" spans="1:5" x14ac:dyDescent="0.2">
      <c r="A1606" t="s">
        <v>4315</v>
      </c>
      <c r="B1606" t="s">
        <v>4316</v>
      </c>
      <c r="C1606" t="s">
        <v>4027</v>
      </c>
      <c r="D1606" t="s">
        <v>4027</v>
      </c>
      <c r="E1606" t="s">
        <v>4317</v>
      </c>
    </row>
    <row r="1607" spans="1:5" x14ac:dyDescent="0.2">
      <c r="A1607" t="s">
        <v>4318</v>
      </c>
      <c r="B1607" t="s">
        <v>4319</v>
      </c>
      <c r="C1607" t="s">
        <v>4027</v>
      </c>
      <c r="D1607" t="s">
        <v>4027</v>
      </c>
      <c r="E1607" t="s">
        <v>4064</v>
      </c>
    </row>
    <row r="1608" spans="1:5" x14ac:dyDescent="0.2">
      <c r="A1608" t="s">
        <v>4320</v>
      </c>
      <c r="B1608" t="s">
        <v>4321</v>
      </c>
      <c r="C1608" t="s">
        <v>4027</v>
      </c>
      <c r="D1608" t="s">
        <v>4027</v>
      </c>
      <c r="E1608" t="s">
        <v>4046</v>
      </c>
    </row>
    <row r="1609" spans="1:5" x14ac:dyDescent="0.2">
      <c r="A1609" t="s">
        <v>4322</v>
      </c>
      <c r="B1609" t="s">
        <v>4323</v>
      </c>
      <c r="C1609" t="s">
        <v>4027</v>
      </c>
      <c r="D1609" t="s">
        <v>4027</v>
      </c>
      <c r="E1609" t="s">
        <v>4324</v>
      </c>
    </row>
    <row r="1610" spans="1:5" x14ac:dyDescent="0.2">
      <c r="A1610" t="s">
        <v>4325</v>
      </c>
      <c r="B1610" t="s">
        <v>4326</v>
      </c>
      <c r="C1610" t="s">
        <v>4027</v>
      </c>
      <c r="D1610" t="s">
        <v>4027</v>
      </c>
      <c r="E1610" t="s">
        <v>4327</v>
      </c>
    </row>
    <row r="1611" spans="1:5" x14ac:dyDescent="0.2">
      <c r="A1611" t="s">
        <v>4328</v>
      </c>
      <c r="B1611" t="s">
        <v>4329</v>
      </c>
      <c r="C1611" t="s">
        <v>4027</v>
      </c>
      <c r="D1611" t="s">
        <v>4027</v>
      </c>
      <c r="E1611" t="s">
        <v>4330</v>
      </c>
    </row>
    <row r="1612" spans="1:5" x14ac:dyDescent="0.2">
      <c r="A1612" t="s">
        <v>4331</v>
      </c>
      <c r="B1612" t="s">
        <v>4332</v>
      </c>
      <c r="C1612" t="s">
        <v>4027</v>
      </c>
      <c r="D1612" t="s">
        <v>4027</v>
      </c>
      <c r="E1612" t="s">
        <v>4034</v>
      </c>
    </row>
    <row r="1613" spans="1:5" x14ac:dyDescent="0.2">
      <c r="A1613" t="s">
        <v>4333</v>
      </c>
      <c r="B1613" t="s">
        <v>4334</v>
      </c>
      <c r="C1613" t="s">
        <v>4027</v>
      </c>
      <c r="D1613" t="s">
        <v>4027</v>
      </c>
      <c r="E1613" t="s">
        <v>4046</v>
      </c>
    </row>
    <row r="1614" spans="1:5" x14ac:dyDescent="0.2">
      <c r="A1614" t="s">
        <v>4335</v>
      </c>
      <c r="B1614" t="s">
        <v>4336</v>
      </c>
      <c r="C1614" t="s">
        <v>4027</v>
      </c>
      <c r="D1614" t="s">
        <v>4027</v>
      </c>
      <c r="E1614" t="s">
        <v>4046</v>
      </c>
    </row>
    <row r="1615" spans="1:5" x14ac:dyDescent="0.2">
      <c r="A1615" t="s">
        <v>4337</v>
      </c>
      <c r="B1615" t="s">
        <v>4338</v>
      </c>
      <c r="C1615" t="s">
        <v>4027</v>
      </c>
      <c r="D1615" t="s">
        <v>4027</v>
      </c>
      <c r="E1615" t="s">
        <v>4064</v>
      </c>
    </row>
    <row r="1616" spans="1:5" x14ac:dyDescent="0.2">
      <c r="A1616" t="s">
        <v>4339</v>
      </c>
      <c r="B1616" t="s">
        <v>4340</v>
      </c>
      <c r="C1616" t="s">
        <v>4027</v>
      </c>
      <c r="D1616" t="s">
        <v>4027</v>
      </c>
      <c r="E1616" t="s">
        <v>4034</v>
      </c>
    </row>
    <row r="1617" spans="1:5" x14ac:dyDescent="0.2">
      <c r="A1617" t="s">
        <v>4341</v>
      </c>
      <c r="B1617" t="s">
        <v>4342</v>
      </c>
      <c r="C1617" t="s">
        <v>4027</v>
      </c>
      <c r="D1617" t="s">
        <v>4027</v>
      </c>
      <c r="E1617" t="s">
        <v>4149</v>
      </c>
    </row>
    <row r="1618" spans="1:5" x14ac:dyDescent="0.2">
      <c r="A1618" t="s">
        <v>4343</v>
      </c>
      <c r="B1618" t="s">
        <v>4344</v>
      </c>
      <c r="C1618" t="s">
        <v>4027</v>
      </c>
      <c r="D1618" t="s">
        <v>4027</v>
      </c>
      <c r="E1618" t="s">
        <v>4034</v>
      </c>
    </row>
    <row r="1619" spans="1:5" x14ac:dyDescent="0.2">
      <c r="A1619" t="s">
        <v>4345</v>
      </c>
      <c r="B1619" t="s">
        <v>4346</v>
      </c>
      <c r="C1619" t="s">
        <v>4027</v>
      </c>
      <c r="D1619" t="s">
        <v>4027</v>
      </c>
      <c r="E1619" t="s">
        <v>4347</v>
      </c>
    </row>
    <row r="1620" spans="1:5" x14ac:dyDescent="0.2">
      <c r="A1620" t="s">
        <v>4348</v>
      </c>
      <c r="B1620" t="s">
        <v>4349</v>
      </c>
      <c r="C1620" t="s">
        <v>4027</v>
      </c>
      <c r="D1620" t="s">
        <v>4027</v>
      </c>
      <c r="E1620" t="s">
        <v>4064</v>
      </c>
    </row>
    <row r="1621" spans="1:5" x14ac:dyDescent="0.2">
      <c r="A1621" t="s">
        <v>4350</v>
      </c>
      <c r="B1621" t="s">
        <v>4351</v>
      </c>
      <c r="C1621" t="s">
        <v>4027</v>
      </c>
      <c r="D1621" t="s">
        <v>4027</v>
      </c>
      <c r="E1621" t="s">
        <v>4046</v>
      </c>
    </row>
    <row r="1622" spans="1:5" x14ac:dyDescent="0.2">
      <c r="A1622" t="s">
        <v>4352</v>
      </c>
      <c r="B1622" t="s">
        <v>4353</v>
      </c>
      <c r="C1622" t="s">
        <v>4027</v>
      </c>
      <c r="D1622" t="s">
        <v>4027</v>
      </c>
      <c r="E1622" t="s">
        <v>4354</v>
      </c>
    </row>
    <row r="1623" spans="1:5" x14ac:dyDescent="0.2">
      <c r="A1623" t="s">
        <v>4355</v>
      </c>
      <c r="B1623" t="s">
        <v>4356</v>
      </c>
      <c r="C1623" t="s">
        <v>4027</v>
      </c>
      <c r="D1623" t="s">
        <v>4027</v>
      </c>
      <c r="E1623" t="s">
        <v>4357</v>
      </c>
    </row>
    <row r="1624" spans="1:5" x14ac:dyDescent="0.2">
      <c r="A1624" t="s">
        <v>4358</v>
      </c>
      <c r="B1624" t="s">
        <v>4359</v>
      </c>
      <c r="C1624" t="s">
        <v>4027</v>
      </c>
      <c r="D1624" t="s">
        <v>4027</v>
      </c>
      <c r="E1624">
        <v>22041</v>
      </c>
    </row>
    <row r="1625" spans="1:5" x14ac:dyDescent="0.2">
      <c r="A1625" t="s">
        <v>4360</v>
      </c>
      <c r="B1625" t="s">
        <v>4361</v>
      </c>
      <c r="C1625" t="s">
        <v>4027</v>
      </c>
      <c r="D1625" t="e">
        <v>#N/A</v>
      </c>
      <c r="E1625" t="e">
        <v>#N/A</v>
      </c>
    </row>
    <row r="1626" spans="1:5" x14ac:dyDescent="0.2">
      <c r="A1626" t="s">
        <v>4362</v>
      </c>
      <c r="B1626" t="s">
        <v>4363</v>
      </c>
      <c r="C1626" t="s">
        <v>4027</v>
      </c>
      <c r="D1626" t="e">
        <v>#N/A</v>
      </c>
      <c r="E1626" t="e">
        <v>#N/A</v>
      </c>
    </row>
    <row r="1627" spans="1:5" x14ac:dyDescent="0.2">
      <c r="A1627" t="s">
        <v>4364</v>
      </c>
      <c r="B1627" t="s">
        <v>4365</v>
      </c>
      <c r="C1627" t="s">
        <v>4027</v>
      </c>
      <c r="D1627" t="e">
        <v>#N/A</v>
      </c>
      <c r="E1627" t="e">
        <v>#N/A</v>
      </c>
    </row>
    <row r="1628" spans="1:5" x14ac:dyDescent="0.2">
      <c r="A1628" t="s">
        <v>4366</v>
      </c>
      <c r="B1628" t="s">
        <v>4367</v>
      </c>
      <c r="C1628" t="s">
        <v>4027</v>
      </c>
      <c r="D1628" t="e">
        <v>#N/A</v>
      </c>
      <c r="E1628" t="e">
        <v>#N/A</v>
      </c>
    </row>
    <row r="1629" spans="1:5" x14ac:dyDescent="0.2">
      <c r="A1629" t="s">
        <v>4368</v>
      </c>
      <c r="B1629" t="s">
        <v>4369</v>
      </c>
      <c r="C1629" t="s">
        <v>4370</v>
      </c>
      <c r="D1629" t="s">
        <v>4370</v>
      </c>
      <c r="E1629" t="s">
        <v>4371</v>
      </c>
    </row>
    <row r="1630" spans="1:5" x14ac:dyDescent="0.2">
      <c r="A1630" t="s">
        <v>4372</v>
      </c>
      <c r="B1630" t="s">
        <v>4373</v>
      </c>
      <c r="C1630" t="s">
        <v>4370</v>
      </c>
      <c r="D1630" t="s">
        <v>4370</v>
      </c>
      <c r="E1630" t="s">
        <v>4371</v>
      </c>
    </row>
    <row r="1631" spans="1:5" x14ac:dyDescent="0.2">
      <c r="A1631" t="s">
        <v>4374</v>
      </c>
      <c r="B1631" t="s">
        <v>4375</v>
      </c>
      <c r="C1631" t="s">
        <v>4370</v>
      </c>
      <c r="D1631" t="s">
        <v>4370</v>
      </c>
      <c r="E1631" t="s">
        <v>4376</v>
      </c>
    </row>
    <row r="1632" spans="1:5" x14ac:dyDescent="0.2">
      <c r="A1632" t="s">
        <v>4377</v>
      </c>
      <c r="B1632" t="s">
        <v>4378</v>
      </c>
      <c r="C1632" t="s">
        <v>4370</v>
      </c>
      <c r="D1632" t="s">
        <v>4370</v>
      </c>
      <c r="E1632" t="s">
        <v>4379</v>
      </c>
    </row>
    <row r="1633" spans="1:5" x14ac:dyDescent="0.2">
      <c r="A1633" t="s">
        <v>4380</v>
      </c>
      <c r="B1633" t="s">
        <v>4381</v>
      </c>
      <c r="C1633" t="s">
        <v>4370</v>
      </c>
      <c r="D1633" t="s">
        <v>4370</v>
      </c>
      <c r="E1633" t="s">
        <v>4382</v>
      </c>
    </row>
    <row r="1634" spans="1:5" x14ac:dyDescent="0.2">
      <c r="A1634" t="s">
        <v>4383</v>
      </c>
      <c r="B1634" t="s">
        <v>4384</v>
      </c>
      <c r="C1634" t="s">
        <v>4370</v>
      </c>
      <c r="D1634" t="s">
        <v>4370</v>
      </c>
      <c r="E1634" t="s">
        <v>4371</v>
      </c>
    </row>
    <row r="1635" spans="1:5" x14ac:dyDescent="0.2">
      <c r="A1635" t="s">
        <v>4385</v>
      </c>
      <c r="B1635" t="s">
        <v>4386</v>
      </c>
      <c r="C1635" t="s">
        <v>4370</v>
      </c>
      <c r="D1635" t="s">
        <v>4370</v>
      </c>
      <c r="E1635" t="s">
        <v>4371</v>
      </c>
    </row>
    <row r="1636" spans="1:5" x14ac:dyDescent="0.2">
      <c r="A1636" t="s">
        <v>4387</v>
      </c>
      <c r="B1636" t="s">
        <v>4388</v>
      </c>
      <c r="C1636" t="s">
        <v>4370</v>
      </c>
      <c r="D1636" t="s">
        <v>4370</v>
      </c>
      <c r="E1636" t="s">
        <v>4389</v>
      </c>
    </row>
    <row r="1637" spans="1:5" x14ac:dyDescent="0.2">
      <c r="A1637" t="s">
        <v>4390</v>
      </c>
      <c r="B1637" t="s">
        <v>4391</v>
      </c>
      <c r="C1637" t="s">
        <v>4370</v>
      </c>
      <c r="D1637" t="s">
        <v>4370</v>
      </c>
      <c r="E1637" t="s">
        <v>4392</v>
      </c>
    </row>
    <row r="1638" spans="1:5" x14ac:dyDescent="0.2">
      <c r="A1638" t="s">
        <v>4393</v>
      </c>
      <c r="B1638" t="s">
        <v>4394</v>
      </c>
      <c r="C1638" t="s">
        <v>4370</v>
      </c>
      <c r="D1638" t="s">
        <v>4370</v>
      </c>
      <c r="E1638" t="s">
        <v>4371</v>
      </c>
    </row>
    <row r="1639" spans="1:5" x14ac:dyDescent="0.2">
      <c r="A1639" t="s">
        <v>4395</v>
      </c>
      <c r="B1639" t="s">
        <v>4396</v>
      </c>
      <c r="C1639" t="s">
        <v>4370</v>
      </c>
      <c r="D1639" t="s">
        <v>4370</v>
      </c>
      <c r="E1639" t="s">
        <v>4371</v>
      </c>
    </row>
    <row r="1640" spans="1:5" x14ac:dyDescent="0.2">
      <c r="A1640" t="s">
        <v>4397</v>
      </c>
      <c r="B1640" t="s">
        <v>4398</v>
      </c>
      <c r="C1640" t="s">
        <v>4370</v>
      </c>
      <c r="D1640" t="s">
        <v>4370</v>
      </c>
      <c r="E1640" t="s">
        <v>4399</v>
      </c>
    </row>
    <row r="1641" spans="1:5" x14ac:dyDescent="0.2">
      <c r="A1641" t="s">
        <v>4400</v>
      </c>
      <c r="B1641" t="s">
        <v>4401</v>
      </c>
      <c r="C1641" t="s">
        <v>4370</v>
      </c>
      <c r="D1641" t="s">
        <v>4370</v>
      </c>
      <c r="E1641" t="s">
        <v>4402</v>
      </c>
    </row>
    <row r="1642" spans="1:5" x14ac:dyDescent="0.2">
      <c r="A1642" t="s">
        <v>4403</v>
      </c>
      <c r="B1642" t="s">
        <v>4404</v>
      </c>
      <c r="C1642" t="s">
        <v>4370</v>
      </c>
      <c r="D1642" t="s">
        <v>4370</v>
      </c>
      <c r="E1642" t="s">
        <v>4389</v>
      </c>
    </row>
    <row r="1643" spans="1:5" x14ac:dyDescent="0.2">
      <c r="A1643" t="s">
        <v>4405</v>
      </c>
      <c r="B1643" t="s">
        <v>4406</v>
      </c>
      <c r="C1643" t="s">
        <v>4370</v>
      </c>
      <c r="D1643" t="s">
        <v>4370</v>
      </c>
      <c r="E1643" t="s">
        <v>4407</v>
      </c>
    </row>
    <row r="1644" spans="1:5" x14ac:dyDescent="0.2">
      <c r="A1644" t="s">
        <v>4408</v>
      </c>
      <c r="B1644" t="s">
        <v>4409</v>
      </c>
      <c r="C1644" t="s">
        <v>4370</v>
      </c>
      <c r="D1644" t="s">
        <v>4370</v>
      </c>
      <c r="E1644" t="s">
        <v>4371</v>
      </c>
    </row>
    <row r="1645" spans="1:5" x14ac:dyDescent="0.2">
      <c r="A1645" t="s">
        <v>4410</v>
      </c>
      <c r="B1645" t="s">
        <v>4411</v>
      </c>
      <c r="C1645" t="s">
        <v>4370</v>
      </c>
      <c r="D1645" t="s">
        <v>4370</v>
      </c>
      <c r="E1645" t="s">
        <v>4412</v>
      </c>
    </row>
    <row r="1646" spans="1:5" x14ac:dyDescent="0.2">
      <c r="A1646" t="s">
        <v>4413</v>
      </c>
      <c r="B1646" t="s">
        <v>4414</v>
      </c>
      <c r="C1646" t="s">
        <v>4370</v>
      </c>
      <c r="D1646" t="s">
        <v>4370</v>
      </c>
      <c r="E1646" t="s">
        <v>4415</v>
      </c>
    </row>
    <row r="1647" spans="1:5" x14ac:dyDescent="0.2">
      <c r="A1647" t="s">
        <v>4416</v>
      </c>
      <c r="B1647" t="s">
        <v>4417</v>
      </c>
      <c r="C1647" t="s">
        <v>4370</v>
      </c>
      <c r="D1647" t="s">
        <v>4370</v>
      </c>
      <c r="E1647" t="s">
        <v>4418</v>
      </c>
    </row>
    <row r="1648" spans="1:5" x14ac:dyDescent="0.2">
      <c r="A1648" t="s">
        <v>4419</v>
      </c>
      <c r="B1648" t="s">
        <v>4420</v>
      </c>
      <c r="C1648" t="s">
        <v>4370</v>
      </c>
      <c r="D1648" t="s">
        <v>4370</v>
      </c>
      <c r="E1648" t="s">
        <v>4389</v>
      </c>
    </row>
    <row r="1649" spans="1:5" x14ac:dyDescent="0.2">
      <c r="A1649" t="s">
        <v>4421</v>
      </c>
      <c r="B1649" t="s">
        <v>4422</v>
      </c>
      <c r="C1649" t="s">
        <v>4370</v>
      </c>
      <c r="D1649" t="s">
        <v>4370</v>
      </c>
      <c r="E1649" t="s">
        <v>4371</v>
      </c>
    </row>
    <row r="1650" spans="1:5" x14ac:dyDescent="0.2">
      <c r="A1650" t="s">
        <v>4423</v>
      </c>
      <c r="B1650" t="s">
        <v>4424</v>
      </c>
      <c r="C1650" t="s">
        <v>4370</v>
      </c>
      <c r="D1650" t="s">
        <v>4370</v>
      </c>
      <c r="E1650" t="s">
        <v>4371</v>
      </c>
    </row>
    <row r="1651" spans="1:5" x14ac:dyDescent="0.2">
      <c r="A1651" t="s">
        <v>4425</v>
      </c>
      <c r="B1651" t="s">
        <v>4426</v>
      </c>
      <c r="C1651" t="s">
        <v>4370</v>
      </c>
      <c r="D1651" t="s">
        <v>4370</v>
      </c>
      <c r="E1651" t="s">
        <v>4371</v>
      </c>
    </row>
    <row r="1652" spans="1:5" x14ac:dyDescent="0.2">
      <c r="A1652" t="s">
        <v>4427</v>
      </c>
      <c r="B1652" t="s">
        <v>4428</v>
      </c>
      <c r="C1652" t="s">
        <v>4370</v>
      </c>
      <c r="D1652" t="s">
        <v>4370</v>
      </c>
      <c r="E1652" t="s">
        <v>4429</v>
      </c>
    </row>
    <row r="1653" spans="1:5" x14ac:dyDescent="0.2">
      <c r="A1653" t="s">
        <v>4430</v>
      </c>
      <c r="B1653" t="s">
        <v>4431</v>
      </c>
      <c r="C1653" t="s">
        <v>4370</v>
      </c>
      <c r="D1653" t="s">
        <v>4370</v>
      </c>
      <c r="E1653" t="s">
        <v>4371</v>
      </c>
    </row>
    <row r="1654" spans="1:5" x14ac:dyDescent="0.2">
      <c r="A1654" t="s">
        <v>4432</v>
      </c>
      <c r="B1654" t="s">
        <v>4433</v>
      </c>
      <c r="C1654" t="s">
        <v>4370</v>
      </c>
      <c r="D1654" t="s">
        <v>4370</v>
      </c>
      <c r="E1654" t="s">
        <v>4376</v>
      </c>
    </row>
    <row r="1655" spans="1:5" x14ac:dyDescent="0.2">
      <c r="A1655" t="s">
        <v>4434</v>
      </c>
      <c r="B1655" t="s">
        <v>4435</v>
      </c>
      <c r="C1655" t="s">
        <v>4370</v>
      </c>
      <c r="D1655" t="s">
        <v>4370</v>
      </c>
      <c r="E1655" t="s">
        <v>4436</v>
      </c>
    </row>
    <row r="1656" spans="1:5" x14ac:dyDescent="0.2">
      <c r="A1656" t="s">
        <v>4437</v>
      </c>
      <c r="B1656" t="s">
        <v>4438</v>
      </c>
      <c r="C1656" t="s">
        <v>4370</v>
      </c>
      <c r="D1656" t="s">
        <v>4370</v>
      </c>
      <c r="E1656" t="s">
        <v>4402</v>
      </c>
    </row>
    <row r="1657" spans="1:5" x14ac:dyDescent="0.2">
      <c r="A1657" t="s">
        <v>4439</v>
      </c>
      <c r="B1657" t="s">
        <v>4440</v>
      </c>
      <c r="C1657" t="s">
        <v>4370</v>
      </c>
      <c r="D1657" t="s">
        <v>4370</v>
      </c>
      <c r="E1657" t="s">
        <v>4371</v>
      </c>
    </row>
    <row r="1658" spans="1:5" x14ac:dyDescent="0.2">
      <c r="A1658" t="s">
        <v>4441</v>
      </c>
      <c r="B1658" t="s">
        <v>4442</v>
      </c>
      <c r="C1658" t="s">
        <v>4370</v>
      </c>
      <c r="D1658" t="s">
        <v>4370</v>
      </c>
      <c r="E1658" t="s">
        <v>4371</v>
      </c>
    </row>
    <row r="1659" spans="1:5" x14ac:dyDescent="0.2">
      <c r="A1659" t="s">
        <v>4443</v>
      </c>
      <c r="B1659" t="s">
        <v>4444</v>
      </c>
      <c r="C1659" t="s">
        <v>4370</v>
      </c>
      <c r="D1659" t="s">
        <v>4370</v>
      </c>
      <c r="E1659" t="s">
        <v>4371</v>
      </c>
    </row>
    <row r="1660" spans="1:5" x14ac:dyDescent="0.2">
      <c r="A1660" t="s">
        <v>4445</v>
      </c>
      <c r="B1660" t="s">
        <v>4446</v>
      </c>
      <c r="C1660" t="s">
        <v>4370</v>
      </c>
      <c r="D1660" t="s">
        <v>4370</v>
      </c>
      <c r="E1660" t="s">
        <v>4402</v>
      </c>
    </row>
    <row r="1661" spans="1:5" x14ac:dyDescent="0.2">
      <c r="A1661" t="s">
        <v>4447</v>
      </c>
      <c r="B1661" t="s">
        <v>4448</v>
      </c>
      <c r="C1661" t="s">
        <v>4370</v>
      </c>
      <c r="D1661" t="s">
        <v>4370</v>
      </c>
      <c r="E1661" t="s">
        <v>4449</v>
      </c>
    </row>
    <row r="1662" spans="1:5" x14ac:dyDescent="0.2">
      <c r="A1662" t="s">
        <v>4450</v>
      </c>
      <c r="B1662" t="s">
        <v>4451</v>
      </c>
      <c r="C1662" t="s">
        <v>4370</v>
      </c>
      <c r="D1662" t="s">
        <v>4370</v>
      </c>
      <c r="E1662" t="s">
        <v>4452</v>
      </c>
    </row>
    <row r="1663" spans="1:5" x14ac:dyDescent="0.2">
      <c r="A1663" t="s">
        <v>4453</v>
      </c>
      <c r="B1663" t="s">
        <v>4454</v>
      </c>
      <c r="C1663" t="s">
        <v>4370</v>
      </c>
      <c r="D1663" t="s">
        <v>4370</v>
      </c>
      <c r="E1663" t="s">
        <v>4455</v>
      </c>
    </row>
    <row r="1664" spans="1:5" x14ac:dyDescent="0.2">
      <c r="A1664" t="s">
        <v>4456</v>
      </c>
      <c r="B1664" t="s">
        <v>4457</v>
      </c>
      <c r="C1664" t="s">
        <v>4370</v>
      </c>
      <c r="D1664" t="s">
        <v>4370</v>
      </c>
      <c r="E1664" t="s">
        <v>4402</v>
      </c>
    </row>
    <row r="1665" spans="1:5" x14ac:dyDescent="0.2">
      <c r="A1665" t="s">
        <v>4458</v>
      </c>
      <c r="B1665" t="s">
        <v>4459</v>
      </c>
      <c r="C1665" t="s">
        <v>4370</v>
      </c>
      <c r="D1665" t="s">
        <v>4370</v>
      </c>
      <c r="E1665" t="s">
        <v>4389</v>
      </c>
    </row>
    <row r="1666" spans="1:5" x14ac:dyDescent="0.2">
      <c r="A1666" t="s">
        <v>4460</v>
      </c>
      <c r="B1666" t="s">
        <v>4461</v>
      </c>
      <c r="C1666" t="s">
        <v>4370</v>
      </c>
      <c r="D1666" t="s">
        <v>4370</v>
      </c>
      <c r="E1666" t="s">
        <v>4389</v>
      </c>
    </row>
    <row r="1667" spans="1:5" x14ac:dyDescent="0.2">
      <c r="A1667" t="s">
        <v>4462</v>
      </c>
      <c r="B1667" t="s">
        <v>4463</v>
      </c>
      <c r="C1667" t="s">
        <v>4370</v>
      </c>
      <c r="D1667" t="s">
        <v>4370</v>
      </c>
      <c r="E1667" t="s">
        <v>4412</v>
      </c>
    </row>
    <row r="1668" spans="1:5" x14ac:dyDescent="0.2">
      <c r="A1668" t="s">
        <v>4464</v>
      </c>
      <c r="B1668" t="s">
        <v>4465</v>
      </c>
      <c r="C1668" t="s">
        <v>4370</v>
      </c>
      <c r="D1668" t="s">
        <v>4370</v>
      </c>
      <c r="E1668" t="s">
        <v>4389</v>
      </c>
    </row>
    <row r="1669" spans="1:5" x14ac:dyDescent="0.2">
      <c r="A1669" t="s">
        <v>4466</v>
      </c>
      <c r="B1669" t="s">
        <v>4467</v>
      </c>
      <c r="C1669" t="s">
        <v>4370</v>
      </c>
      <c r="D1669" t="s">
        <v>4370</v>
      </c>
      <c r="E1669" t="s">
        <v>4371</v>
      </c>
    </row>
    <row r="1670" spans="1:5" x14ac:dyDescent="0.2">
      <c r="A1670" t="s">
        <v>4468</v>
      </c>
      <c r="B1670" t="s">
        <v>4469</v>
      </c>
      <c r="C1670" t="s">
        <v>4370</v>
      </c>
      <c r="D1670" t="s">
        <v>4370</v>
      </c>
      <c r="E1670" t="s">
        <v>4402</v>
      </c>
    </row>
    <row r="1671" spans="1:5" x14ac:dyDescent="0.2">
      <c r="A1671" t="s">
        <v>4470</v>
      </c>
      <c r="B1671" t="s">
        <v>4471</v>
      </c>
      <c r="C1671" t="s">
        <v>4370</v>
      </c>
      <c r="D1671" t="s">
        <v>4370</v>
      </c>
      <c r="E1671" t="s">
        <v>4402</v>
      </c>
    </row>
    <row r="1672" spans="1:5" x14ac:dyDescent="0.2">
      <c r="A1672" t="s">
        <v>4472</v>
      </c>
      <c r="B1672" t="s">
        <v>4473</v>
      </c>
      <c r="C1672" t="s">
        <v>4370</v>
      </c>
      <c r="D1672" t="s">
        <v>4370</v>
      </c>
      <c r="E1672" t="s">
        <v>4474</v>
      </c>
    </row>
    <row r="1673" spans="1:5" x14ac:dyDescent="0.2">
      <c r="A1673" t="s">
        <v>4475</v>
      </c>
      <c r="B1673" t="s">
        <v>4476</v>
      </c>
      <c r="C1673" t="s">
        <v>4370</v>
      </c>
      <c r="D1673" t="s">
        <v>4370</v>
      </c>
      <c r="E1673" t="s">
        <v>4477</v>
      </c>
    </row>
    <row r="1674" spans="1:5" x14ac:dyDescent="0.2">
      <c r="A1674" t="s">
        <v>4478</v>
      </c>
      <c r="B1674" t="s">
        <v>4479</v>
      </c>
      <c r="C1674" t="s">
        <v>4370</v>
      </c>
      <c r="D1674" t="s">
        <v>4370</v>
      </c>
      <c r="E1674" t="s">
        <v>4371</v>
      </c>
    </row>
    <row r="1675" spans="1:5" x14ac:dyDescent="0.2">
      <c r="A1675" t="s">
        <v>4480</v>
      </c>
      <c r="B1675" t="s">
        <v>4481</v>
      </c>
      <c r="C1675" t="s">
        <v>4370</v>
      </c>
      <c r="D1675" t="s">
        <v>4370</v>
      </c>
      <c r="E1675" t="s">
        <v>4371</v>
      </c>
    </row>
    <row r="1676" spans="1:5" x14ac:dyDescent="0.2">
      <c r="A1676" t="s">
        <v>4482</v>
      </c>
      <c r="B1676" t="s">
        <v>4483</v>
      </c>
      <c r="C1676" t="s">
        <v>4370</v>
      </c>
      <c r="D1676" t="s">
        <v>4370</v>
      </c>
      <c r="E1676" t="s">
        <v>4402</v>
      </c>
    </row>
    <row r="1677" spans="1:5" x14ac:dyDescent="0.2">
      <c r="A1677" t="s">
        <v>4484</v>
      </c>
      <c r="B1677" t="s">
        <v>4485</v>
      </c>
      <c r="C1677" t="s">
        <v>4370</v>
      </c>
      <c r="D1677" t="s">
        <v>4370</v>
      </c>
      <c r="E1677" t="s">
        <v>4402</v>
      </c>
    </row>
    <row r="1678" spans="1:5" x14ac:dyDescent="0.2">
      <c r="A1678" t="s">
        <v>4486</v>
      </c>
      <c r="B1678" t="s">
        <v>4487</v>
      </c>
      <c r="C1678" t="s">
        <v>4370</v>
      </c>
      <c r="D1678" t="s">
        <v>4370</v>
      </c>
      <c r="E1678" t="s">
        <v>4402</v>
      </c>
    </row>
    <row r="1679" spans="1:5" x14ac:dyDescent="0.2">
      <c r="A1679" t="s">
        <v>4488</v>
      </c>
      <c r="B1679" t="s">
        <v>4489</v>
      </c>
      <c r="C1679" t="s">
        <v>4370</v>
      </c>
      <c r="D1679" t="s">
        <v>4370</v>
      </c>
      <c r="E1679" t="s">
        <v>4490</v>
      </c>
    </row>
    <row r="1680" spans="1:5" x14ac:dyDescent="0.2">
      <c r="A1680" t="s">
        <v>4491</v>
      </c>
      <c r="B1680" t="s">
        <v>4492</v>
      </c>
      <c r="C1680" t="s">
        <v>4370</v>
      </c>
      <c r="D1680" t="s">
        <v>4370</v>
      </c>
      <c r="E1680" t="s">
        <v>4371</v>
      </c>
    </row>
    <row r="1681" spans="1:5" x14ac:dyDescent="0.2">
      <c r="A1681" t="s">
        <v>4493</v>
      </c>
      <c r="B1681" t="s">
        <v>4494</v>
      </c>
      <c r="C1681" t="s">
        <v>4370</v>
      </c>
      <c r="D1681" t="s">
        <v>4370</v>
      </c>
      <c r="E1681" t="s">
        <v>4402</v>
      </c>
    </row>
    <row r="1682" spans="1:5" x14ac:dyDescent="0.2">
      <c r="A1682" t="s">
        <v>4495</v>
      </c>
      <c r="B1682" t="s">
        <v>4496</v>
      </c>
      <c r="C1682" t="s">
        <v>4370</v>
      </c>
      <c r="D1682" t="s">
        <v>4370</v>
      </c>
      <c r="E1682" t="s">
        <v>4371</v>
      </c>
    </row>
    <row r="1683" spans="1:5" x14ac:dyDescent="0.2">
      <c r="A1683" t="s">
        <v>4497</v>
      </c>
      <c r="B1683" t="s">
        <v>4498</v>
      </c>
      <c r="C1683" t="s">
        <v>4370</v>
      </c>
      <c r="D1683" t="s">
        <v>4370</v>
      </c>
      <c r="E1683" t="s">
        <v>4371</v>
      </c>
    </row>
    <row r="1684" spans="1:5" x14ac:dyDescent="0.2">
      <c r="A1684" t="s">
        <v>4499</v>
      </c>
      <c r="B1684" t="s">
        <v>4500</v>
      </c>
      <c r="C1684" t="s">
        <v>4370</v>
      </c>
      <c r="D1684" t="s">
        <v>4370</v>
      </c>
      <c r="E1684" t="s">
        <v>4501</v>
      </c>
    </row>
    <row r="1685" spans="1:5" x14ac:dyDescent="0.2">
      <c r="A1685" t="s">
        <v>4502</v>
      </c>
      <c r="B1685" t="s">
        <v>4503</v>
      </c>
      <c r="C1685" t="s">
        <v>4370</v>
      </c>
      <c r="D1685" t="s">
        <v>4370</v>
      </c>
      <c r="E1685" t="s">
        <v>4402</v>
      </c>
    </row>
    <row r="1686" spans="1:5" x14ac:dyDescent="0.2">
      <c r="A1686" t="s">
        <v>4504</v>
      </c>
      <c r="B1686" t="s">
        <v>4505</v>
      </c>
      <c r="C1686" t="s">
        <v>4370</v>
      </c>
      <c r="D1686" t="s">
        <v>4370</v>
      </c>
      <c r="E1686" t="s">
        <v>4389</v>
      </c>
    </row>
    <row r="1687" spans="1:5" x14ac:dyDescent="0.2">
      <c r="A1687" t="s">
        <v>4506</v>
      </c>
      <c r="B1687" t="s">
        <v>4507</v>
      </c>
      <c r="C1687" t="s">
        <v>4370</v>
      </c>
      <c r="D1687" t="s">
        <v>4370</v>
      </c>
      <c r="E1687" t="s">
        <v>4508</v>
      </c>
    </row>
    <row r="1688" spans="1:5" x14ac:dyDescent="0.2">
      <c r="A1688" t="s">
        <v>4509</v>
      </c>
      <c r="B1688" t="s">
        <v>4510</v>
      </c>
      <c r="C1688" t="s">
        <v>4370</v>
      </c>
      <c r="D1688" t="s">
        <v>4370</v>
      </c>
      <c r="E1688" t="s">
        <v>4511</v>
      </c>
    </row>
    <row r="1689" spans="1:5" x14ac:dyDescent="0.2">
      <c r="A1689" t="s">
        <v>4512</v>
      </c>
      <c r="B1689" t="s">
        <v>4513</v>
      </c>
      <c r="C1689" t="s">
        <v>4370</v>
      </c>
      <c r="D1689" t="s">
        <v>4370</v>
      </c>
      <c r="E1689" t="s">
        <v>4402</v>
      </c>
    </row>
    <row r="1690" spans="1:5" x14ac:dyDescent="0.2">
      <c r="A1690" t="s">
        <v>4514</v>
      </c>
      <c r="B1690" t="s">
        <v>4515</v>
      </c>
      <c r="C1690" t="s">
        <v>4370</v>
      </c>
      <c r="D1690" t="s">
        <v>4370</v>
      </c>
      <c r="E1690" t="s">
        <v>4516</v>
      </c>
    </row>
    <row r="1691" spans="1:5" x14ac:dyDescent="0.2">
      <c r="A1691" t="s">
        <v>4517</v>
      </c>
      <c r="B1691" t="s">
        <v>4518</v>
      </c>
      <c r="C1691" t="s">
        <v>4370</v>
      </c>
      <c r="D1691" t="s">
        <v>4370</v>
      </c>
      <c r="E1691" t="s">
        <v>4371</v>
      </c>
    </row>
    <row r="1692" spans="1:5" x14ac:dyDescent="0.2">
      <c r="A1692" t="s">
        <v>4519</v>
      </c>
      <c r="B1692" t="s">
        <v>4520</v>
      </c>
      <c r="C1692" t="s">
        <v>4370</v>
      </c>
      <c r="D1692" t="s">
        <v>4370</v>
      </c>
      <c r="E1692" t="s">
        <v>4521</v>
      </c>
    </row>
    <row r="1693" spans="1:5" x14ac:dyDescent="0.2">
      <c r="A1693" t="s">
        <v>4522</v>
      </c>
      <c r="B1693" t="s">
        <v>4523</v>
      </c>
      <c r="C1693" t="s">
        <v>4370</v>
      </c>
      <c r="D1693" t="s">
        <v>4370</v>
      </c>
      <c r="E1693" t="s">
        <v>4524</v>
      </c>
    </row>
    <row r="1694" spans="1:5" x14ac:dyDescent="0.2">
      <c r="A1694" t="s">
        <v>4525</v>
      </c>
      <c r="B1694" t="s">
        <v>4526</v>
      </c>
      <c r="C1694" t="s">
        <v>4370</v>
      </c>
      <c r="D1694" t="s">
        <v>4370</v>
      </c>
      <c r="E1694" t="s">
        <v>4402</v>
      </c>
    </row>
    <row r="1695" spans="1:5" x14ac:dyDescent="0.2">
      <c r="A1695" t="s">
        <v>4527</v>
      </c>
      <c r="B1695" t="s">
        <v>4528</v>
      </c>
      <c r="C1695" t="s">
        <v>4370</v>
      </c>
      <c r="D1695" t="s">
        <v>4370</v>
      </c>
      <c r="E1695" t="s">
        <v>4389</v>
      </c>
    </row>
    <row r="1696" spans="1:5" x14ac:dyDescent="0.2">
      <c r="A1696" t="s">
        <v>4529</v>
      </c>
      <c r="B1696" t="s">
        <v>4530</v>
      </c>
      <c r="C1696" t="s">
        <v>4370</v>
      </c>
      <c r="D1696" t="s">
        <v>4370</v>
      </c>
      <c r="E1696" t="s">
        <v>4531</v>
      </c>
    </row>
    <row r="1697" spans="1:5" x14ac:dyDescent="0.2">
      <c r="A1697" t="s">
        <v>4532</v>
      </c>
      <c r="B1697" t="s">
        <v>4533</v>
      </c>
      <c r="C1697" t="s">
        <v>4370</v>
      </c>
      <c r="D1697" t="s">
        <v>4370</v>
      </c>
      <c r="E1697" t="s">
        <v>4402</v>
      </c>
    </row>
    <row r="1698" spans="1:5" x14ac:dyDescent="0.2">
      <c r="A1698" t="s">
        <v>4534</v>
      </c>
      <c r="B1698" t="s">
        <v>4535</v>
      </c>
      <c r="C1698" t="s">
        <v>4370</v>
      </c>
      <c r="D1698" t="s">
        <v>4370</v>
      </c>
      <c r="E1698" t="s">
        <v>4536</v>
      </c>
    </row>
    <row r="1699" spans="1:5" x14ac:dyDescent="0.2">
      <c r="A1699" t="s">
        <v>4537</v>
      </c>
      <c r="B1699" t="s">
        <v>4538</v>
      </c>
      <c r="C1699" t="s">
        <v>4370</v>
      </c>
      <c r="D1699" t="s">
        <v>4370</v>
      </c>
      <c r="E1699" t="s">
        <v>4389</v>
      </c>
    </row>
    <row r="1700" spans="1:5" x14ac:dyDescent="0.2">
      <c r="A1700" t="s">
        <v>4539</v>
      </c>
      <c r="B1700" t="s">
        <v>4540</v>
      </c>
      <c r="C1700" t="s">
        <v>4370</v>
      </c>
      <c r="D1700" t="s">
        <v>4370</v>
      </c>
      <c r="E1700" t="s">
        <v>4389</v>
      </c>
    </row>
    <row r="1701" spans="1:5" x14ac:dyDescent="0.2">
      <c r="A1701" t="s">
        <v>4541</v>
      </c>
      <c r="B1701" t="s">
        <v>4542</v>
      </c>
      <c r="C1701" t="s">
        <v>4370</v>
      </c>
      <c r="D1701" t="s">
        <v>4370</v>
      </c>
      <c r="E1701" t="s">
        <v>4371</v>
      </c>
    </row>
    <row r="1702" spans="1:5" x14ac:dyDescent="0.2">
      <c r="A1702" t="s">
        <v>4543</v>
      </c>
      <c r="B1702" t="s">
        <v>4544</v>
      </c>
      <c r="C1702" t="s">
        <v>4370</v>
      </c>
      <c r="D1702" t="s">
        <v>4370</v>
      </c>
      <c r="E1702" t="s">
        <v>4402</v>
      </c>
    </row>
    <row r="1703" spans="1:5" x14ac:dyDescent="0.2">
      <c r="A1703" t="s">
        <v>4545</v>
      </c>
      <c r="B1703" t="s">
        <v>4546</v>
      </c>
      <c r="C1703" t="s">
        <v>4370</v>
      </c>
      <c r="D1703" t="s">
        <v>4370</v>
      </c>
      <c r="E1703" t="s">
        <v>4389</v>
      </c>
    </row>
    <row r="1704" spans="1:5" x14ac:dyDescent="0.2">
      <c r="A1704" t="s">
        <v>4547</v>
      </c>
      <c r="B1704" t="s">
        <v>4548</v>
      </c>
      <c r="C1704" t="s">
        <v>4370</v>
      </c>
      <c r="D1704" t="s">
        <v>4370</v>
      </c>
      <c r="E1704" t="s">
        <v>4549</v>
      </c>
    </row>
    <row r="1705" spans="1:5" x14ac:dyDescent="0.2">
      <c r="A1705" t="s">
        <v>4550</v>
      </c>
      <c r="B1705" t="s">
        <v>4551</v>
      </c>
      <c r="C1705" t="s">
        <v>4370</v>
      </c>
      <c r="D1705" t="s">
        <v>4370</v>
      </c>
      <c r="E1705" t="s">
        <v>4389</v>
      </c>
    </row>
    <row r="1706" spans="1:5" x14ac:dyDescent="0.2">
      <c r="A1706" t="s">
        <v>4552</v>
      </c>
      <c r="B1706" t="s">
        <v>4553</v>
      </c>
      <c r="C1706" t="s">
        <v>4554</v>
      </c>
      <c r="D1706" t="s">
        <v>4554</v>
      </c>
      <c r="E1706" t="s">
        <v>4555</v>
      </c>
    </row>
    <row r="1707" spans="1:5" x14ac:dyDescent="0.2">
      <c r="A1707" t="s">
        <v>4556</v>
      </c>
      <c r="B1707" t="s">
        <v>4557</v>
      </c>
      <c r="C1707" t="s">
        <v>4554</v>
      </c>
      <c r="D1707" t="s">
        <v>4554</v>
      </c>
      <c r="E1707" t="s">
        <v>4558</v>
      </c>
    </row>
    <row r="1708" spans="1:5" x14ac:dyDescent="0.2">
      <c r="A1708" t="s">
        <v>4559</v>
      </c>
      <c r="B1708" t="s">
        <v>4560</v>
      </c>
      <c r="C1708" t="s">
        <v>4554</v>
      </c>
      <c r="D1708" t="s">
        <v>4554</v>
      </c>
      <c r="E1708" t="s">
        <v>4561</v>
      </c>
    </row>
    <row r="1709" spans="1:5" x14ac:dyDescent="0.2">
      <c r="A1709" t="s">
        <v>4562</v>
      </c>
      <c r="B1709" t="s">
        <v>4563</v>
      </c>
      <c r="C1709" t="s">
        <v>4554</v>
      </c>
      <c r="D1709" t="s">
        <v>4554</v>
      </c>
      <c r="E1709" t="s">
        <v>4561</v>
      </c>
    </row>
    <row r="1710" spans="1:5" x14ac:dyDescent="0.2">
      <c r="A1710" t="s">
        <v>4564</v>
      </c>
      <c r="B1710" t="s">
        <v>4565</v>
      </c>
      <c r="C1710" t="s">
        <v>4554</v>
      </c>
      <c r="D1710" t="s">
        <v>4554</v>
      </c>
      <c r="E1710" t="s">
        <v>4566</v>
      </c>
    </row>
    <row r="1711" spans="1:5" x14ac:dyDescent="0.2">
      <c r="A1711" t="s">
        <v>4567</v>
      </c>
      <c r="B1711" t="s">
        <v>4568</v>
      </c>
      <c r="C1711" t="s">
        <v>4554</v>
      </c>
      <c r="D1711" t="s">
        <v>4554</v>
      </c>
      <c r="E1711" t="s">
        <v>4569</v>
      </c>
    </row>
    <row r="1712" spans="1:5" x14ac:dyDescent="0.2">
      <c r="A1712" t="s">
        <v>4570</v>
      </c>
      <c r="B1712" t="s">
        <v>4571</v>
      </c>
      <c r="C1712" t="s">
        <v>4554</v>
      </c>
      <c r="D1712" t="s">
        <v>4554</v>
      </c>
      <c r="E1712" t="s">
        <v>4566</v>
      </c>
    </row>
    <row r="1713" spans="1:5" x14ac:dyDescent="0.2">
      <c r="A1713" t="s">
        <v>4572</v>
      </c>
      <c r="B1713" t="s">
        <v>4573</v>
      </c>
      <c r="C1713" t="s">
        <v>4554</v>
      </c>
      <c r="D1713" t="s">
        <v>4554</v>
      </c>
      <c r="E1713" t="s">
        <v>4574</v>
      </c>
    </row>
    <row r="1714" spans="1:5" x14ac:dyDescent="0.2">
      <c r="A1714" t="s">
        <v>4575</v>
      </c>
      <c r="B1714" t="s">
        <v>4576</v>
      </c>
      <c r="C1714" t="s">
        <v>4554</v>
      </c>
      <c r="D1714" t="s">
        <v>4554</v>
      </c>
      <c r="E1714" t="s">
        <v>4558</v>
      </c>
    </row>
    <row r="1715" spans="1:5" x14ac:dyDescent="0.2">
      <c r="A1715" t="s">
        <v>4577</v>
      </c>
      <c r="B1715" t="s">
        <v>4578</v>
      </c>
      <c r="C1715" t="s">
        <v>4554</v>
      </c>
      <c r="D1715" t="s">
        <v>4554</v>
      </c>
      <c r="E1715" t="s">
        <v>4574</v>
      </c>
    </row>
    <row r="1716" spans="1:5" x14ac:dyDescent="0.2">
      <c r="A1716" t="s">
        <v>4579</v>
      </c>
      <c r="B1716" t="s">
        <v>4580</v>
      </c>
      <c r="C1716" t="s">
        <v>4554</v>
      </c>
      <c r="D1716" t="s">
        <v>4554</v>
      </c>
      <c r="E1716" t="s">
        <v>4566</v>
      </c>
    </row>
    <row r="1717" spans="1:5" x14ac:dyDescent="0.2">
      <c r="A1717" t="s">
        <v>4581</v>
      </c>
      <c r="B1717" t="s">
        <v>4582</v>
      </c>
      <c r="C1717" t="s">
        <v>4554</v>
      </c>
      <c r="D1717" t="s">
        <v>4554</v>
      </c>
      <c r="E1717" t="s">
        <v>4558</v>
      </c>
    </row>
    <row r="1718" spans="1:5" x14ac:dyDescent="0.2">
      <c r="A1718" t="s">
        <v>4583</v>
      </c>
      <c r="B1718" t="s">
        <v>4584</v>
      </c>
      <c r="C1718" t="s">
        <v>4554</v>
      </c>
      <c r="D1718" t="s">
        <v>4554</v>
      </c>
      <c r="E1718" t="s">
        <v>4585</v>
      </c>
    </row>
    <row r="1719" spans="1:5" x14ac:dyDescent="0.2">
      <c r="A1719" t="s">
        <v>4586</v>
      </c>
      <c r="B1719" t="s">
        <v>4587</v>
      </c>
      <c r="C1719" t="s">
        <v>4554</v>
      </c>
      <c r="D1719" t="s">
        <v>4554</v>
      </c>
      <c r="E1719" t="s">
        <v>4566</v>
      </c>
    </row>
    <row r="1720" spans="1:5" x14ac:dyDescent="0.2">
      <c r="A1720" t="s">
        <v>4588</v>
      </c>
      <c r="B1720" t="s">
        <v>4589</v>
      </c>
      <c r="C1720" t="s">
        <v>4554</v>
      </c>
      <c r="D1720" t="s">
        <v>4554</v>
      </c>
      <c r="E1720" t="s">
        <v>4590</v>
      </c>
    </row>
    <row r="1721" spans="1:5" x14ac:dyDescent="0.2">
      <c r="A1721" t="s">
        <v>4591</v>
      </c>
      <c r="B1721" t="s">
        <v>4592</v>
      </c>
      <c r="C1721" t="s">
        <v>4554</v>
      </c>
      <c r="D1721" t="s">
        <v>4554</v>
      </c>
      <c r="E1721" t="s">
        <v>4593</v>
      </c>
    </row>
    <row r="1722" spans="1:5" x14ac:dyDescent="0.2">
      <c r="A1722" t="s">
        <v>4594</v>
      </c>
      <c r="B1722" t="s">
        <v>4595</v>
      </c>
      <c r="C1722" t="s">
        <v>4554</v>
      </c>
      <c r="D1722" t="s">
        <v>4554</v>
      </c>
      <c r="E1722" t="s">
        <v>4558</v>
      </c>
    </row>
    <row r="1723" spans="1:5" x14ac:dyDescent="0.2">
      <c r="A1723" t="s">
        <v>4596</v>
      </c>
      <c r="B1723" t="s">
        <v>4597</v>
      </c>
      <c r="C1723" t="s">
        <v>4554</v>
      </c>
      <c r="D1723" t="s">
        <v>4554</v>
      </c>
      <c r="E1723" t="s">
        <v>4569</v>
      </c>
    </row>
    <row r="1724" spans="1:5" x14ac:dyDescent="0.2">
      <c r="A1724" t="s">
        <v>4598</v>
      </c>
      <c r="B1724" t="s">
        <v>4599</v>
      </c>
      <c r="C1724" t="s">
        <v>4554</v>
      </c>
      <c r="D1724" t="s">
        <v>4554</v>
      </c>
      <c r="E1724" t="s">
        <v>4566</v>
      </c>
    </row>
    <row r="1725" spans="1:5" x14ac:dyDescent="0.2">
      <c r="A1725" t="s">
        <v>4600</v>
      </c>
      <c r="B1725" t="s">
        <v>4601</v>
      </c>
      <c r="C1725" t="s">
        <v>4554</v>
      </c>
      <c r="D1725" t="s">
        <v>4554</v>
      </c>
      <c r="E1725" t="s">
        <v>4574</v>
      </c>
    </row>
    <row r="1726" spans="1:5" x14ac:dyDescent="0.2">
      <c r="A1726" t="s">
        <v>4602</v>
      </c>
      <c r="B1726" t="s">
        <v>4603</v>
      </c>
      <c r="C1726" t="s">
        <v>4554</v>
      </c>
      <c r="D1726" t="s">
        <v>4554</v>
      </c>
      <c r="E1726" t="s">
        <v>4561</v>
      </c>
    </row>
    <row r="1727" spans="1:5" x14ac:dyDescent="0.2">
      <c r="A1727" t="s">
        <v>4604</v>
      </c>
      <c r="B1727" t="s">
        <v>4605</v>
      </c>
      <c r="C1727" t="s">
        <v>4554</v>
      </c>
      <c r="D1727" t="s">
        <v>4554</v>
      </c>
      <c r="E1727" t="s">
        <v>4558</v>
      </c>
    </row>
    <row r="1728" spans="1:5" x14ac:dyDescent="0.2">
      <c r="A1728" t="s">
        <v>4606</v>
      </c>
      <c r="B1728" t="s">
        <v>4607</v>
      </c>
      <c r="C1728" t="s">
        <v>4554</v>
      </c>
      <c r="D1728" t="s">
        <v>4554</v>
      </c>
      <c r="E1728" t="s">
        <v>4608</v>
      </c>
    </row>
    <row r="1729" spans="1:5" x14ac:dyDescent="0.2">
      <c r="A1729" t="s">
        <v>4609</v>
      </c>
      <c r="B1729" t="s">
        <v>4610</v>
      </c>
      <c r="C1729" t="s">
        <v>4554</v>
      </c>
      <c r="D1729" t="s">
        <v>4554</v>
      </c>
      <c r="E1729" t="s">
        <v>4566</v>
      </c>
    </row>
    <row r="1730" spans="1:5" x14ac:dyDescent="0.2">
      <c r="A1730" t="s">
        <v>4611</v>
      </c>
      <c r="B1730" t="s">
        <v>4612</v>
      </c>
      <c r="C1730" t="s">
        <v>4554</v>
      </c>
      <c r="D1730" t="s">
        <v>4554</v>
      </c>
      <c r="E1730" t="s">
        <v>4558</v>
      </c>
    </row>
    <row r="1731" spans="1:5" x14ac:dyDescent="0.2">
      <c r="A1731" t="s">
        <v>4613</v>
      </c>
      <c r="B1731" t="s">
        <v>4614</v>
      </c>
      <c r="C1731" t="s">
        <v>4554</v>
      </c>
      <c r="D1731" t="s">
        <v>4554</v>
      </c>
      <c r="E1731" t="s">
        <v>4615</v>
      </c>
    </row>
    <row r="1732" spans="1:5" x14ac:dyDescent="0.2">
      <c r="A1732" t="s">
        <v>4616</v>
      </c>
      <c r="B1732" t="s">
        <v>4617</v>
      </c>
      <c r="C1732" t="s">
        <v>4554</v>
      </c>
      <c r="D1732" t="s">
        <v>4554</v>
      </c>
      <c r="E1732" t="s">
        <v>4558</v>
      </c>
    </row>
    <row r="1733" spans="1:5" x14ac:dyDescent="0.2">
      <c r="A1733" t="s">
        <v>4618</v>
      </c>
      <c r="B1733" t="s">
        <v>4619</v>
      </c>
      <c r="C1733" t="s">
        <v>4554</v>
      </c>
      <c r="D1733" t="s">
        <v>4554</v>
      </c>
      <c r="E1733" t="s">
        <v>4566</v>
      </c>
    </row>
    <row r="1734" spans="1:5" x14ac:dyDescent="0.2">
      <c r="A1734" t="s">
        <v>4620</v>
      </c>
      <c r="B1734" t="s">
        <v>4621</v>
      </c>
      <c r="C1734" t="s">
        <v>4554</v>
      </c>
      <c r="D1734" t="s">
        <v>4554</v>
      </c>
      <c r="E1734" t="s">
        <v>4622</v>
      </c>
    </row>
    <row r="1735" spans="1:5" x14ac:dyDescent="0.2">
      <c r="A1735" t="s">
        <v>4623</v>
      </c>
      <c r="B1735" t="s">
        <v>4624</v>
      </c>
      <c r="C1735" t="s">
        <v>4554</v>
      </c>
      <c r="D1735" t="s">
        <v>4554</v>
      </c>
      <c r="E1735" t="s">
        <v>4574</v>
      </c>
    </row>
    <row r="1736" spans="1:5" x14ac:dyDescent="0.2">
      <c r="A1736" t="s">
        <v>4625</v>
      </c>
      <c r="B1736" t="s">
        <v>4626</v>
      </c>
      <c r="C1736" t="s">
        <v>4554</v>
      </c>
      <c r="D1736" t="s">
        <v>4554</v>
      </c>
      <c r="E1736" t="s">
        <v>4555</v>
      </c>
    </row>
    <row r="1737" spans="1:5" x14ac:dyDescent="0.2">
      <c r="A1737" t="s">
        <v>4627</v>
      </c>
      <c r="B1737" t="s">
        <v>4628</v>
      </c>
      <c r="C1737" t="s">
        <v>4554</v>
      </c>
      <c r="D1737" t="s">
        <v>4554</v>
      </c>
      <c r="E1737" t="s">
        <v>4629</v>
      </c>
    </row>
    <row r="1738" spans="1:5" x14ac:dyDescent="0.2">
      <c r="A1738" t="s">
        <v>4630</v>
      </c>
      <c r="B1738" t="s">
        <v>4631</v>
      </c>
      <c r="C1738" t="s">
        <v>4554</v>
      </c>
      <c r="D1738" t="s">
        <v>4554</v>
      </c>
      <c r="E1738" t="s">
        <v>4632</v>
      </c>
    </row>
    <row r="1739" spans="1:5" x14ac:dyDescent="0.2">
      <c r="A1739" t="s">
        <v>4633</v>
      </c>
      <c r="B1739" t="s">
        <v>4634</v>
      </c>
      <c r="C1739" t="s">
        <v>4554</v>
      </c>
      <c r="D1739" t="s">
        <v>4554</v>
      </c>
      <c r="E1739" t="s">
        <v>4635</v>
      </c>
    </row>
    <row r="1740" spans="1:5" x14ac:dyDescent="0.2">
      <c r="A1740" t="s">
        <v>4636</v>
      </c>
      <c r="B1740" t="s">
        <v>4637</v>
      </c>
      <c r="C1740" t="s">
        <v>4554</v>
      </c>
      <c r="D1740" t="s">
        <v>4554</v>
      </c>
      <c r="E1740" t="s">
        <v>4638</v>
      </c>
    </row>
    <row r="1741" spans="1:5" x14ac:dyDescent="0.2">
      <c r="A1741" t="s">
        <v>4639</v>
      </c>
      <c r="B1741" t="s">
        <v>4640</v>
      </c>
      <c r="C1741" t="s">
        <v>4554</v>
      </c>
      <c r="D1741" t="s">
        <v>4554</v>
      </c>
      <c r="E1741" t="s">
        <v>4569</v>
      </c>
    </row>
    <row r="1742" spans="1:5" x14ac:dyDescent="0.2">
      <c r="A1742" t="s">
        <v>4641</v>
      </c>
      <c r="B1742" t="s">
        <v>4642</v>
      </c>
      <c r="C1742" t="s">
        <v>4554</v>
      </c>
      <c r="D1742" t="s">
        <v>4554</v>
      </c>
      <c r="E1742" t="s">
        <v>4561</v>
      </c>
    </row>
    <row r="1743" spans="1:5" x14ac:dyDescent="0.2">
      <c r="A1743" t="s">
        <v>4643</v>
      </c>
      <c r="B1743" t="s">
        <v>4644</v>
      </c>
      <c r="C1743" t="s">
        <v>4554</v>
      </c>
      <c r="D1743" t="s">
        <v>4554</v>
      </c>
      <c r="E1743" t="s">
        <v>4645</v>
      </c>
    </row>
    <row r="1744" spans="1:5" x14ac:dyDescent="0.2">
      <c r="A1744" t="s">
        <v>4646</v>
      </c>
      <c r="B1744" t="s">
        <v>4647</v>
      </c>
      <c r="C1744" t="s">
        <v>4554</v>
      </c>
      <c r="D1744" t="s">
        <v>4554</v>
      </c>
      <c r="E1744" t="s">
        <v>4558</v>
      </c>
    </row>
    <row r="1745" spans="1:5" x14ac:dyDescent="0.2">
      <c r="A1745" t="s">
        <v>4648</v>
      </c>
      <c r="B1745" t="s">
        <v>4649</v>
      </c>
      <c r="C1745" t="s">
        <v>4554</v>
      </c>
      <c r="D1745" t="s">
        <v>4554</v>
      </c>
      <c r="E1745" t="s">
        <v>4650</v>
      </c>
    </row>
    <row r="1746" spans="1:5" x14ac:dyDescent="0.2">
      <c r="A1746" t="s">
        <v>4651</v>
      </c>
      <c r="B1746" t="s">
        <v>4652</v>
      </c>
      <c r="C1746" t="s">
        <v>4554</v>
      </c>
      <c r="D1746" t="s">
        <v>4554</v>
      </c>
      <c r="E1746" t="s">
        <v>4574</v>
      </c>
    </row>
    <row r="1747" spans="1:5" x14ac:dyDescent="0.2">
      <c r="A1747" t="s">
        <v>4653</v>
      </c>
      <c r="B1747" t="s">
        <v>4654</v>
      </c>
      <c r="C1747" t="s">
        <v>4554</v>
      </c>
      <c r="D1747" t="s">
        <v>4554</v>
      </c>
      <c r="E1747" t="s">
        <v>4655</v>
      </c>
    </row>
    <row r="1748" spans="1:5" x14ac:dyDescent="0.2">
      <c r="A1748" t="s">
        <v>4656</v>
      </c>
      <c r="B1748" t="s">
        <v>4657</v>
      </c>
      <c r="C1748" t="s">
        <v>4554</v>
      </c>
      <c r="D1748" t="s">
        <v>4554</v>
      </c>
      <c r="E1748" t="s">
        <v>4658</v>
      </c>
    </row>
    <row r="1749" spans="1:5" x14ac:dyDescent="0.2">
      <c r="A1749" t="s">
        <v>4659</v>
      </c>
      <c r="B1749" t="s">
        <v>4660</v>
      </c>
      <c r="C1749" t="s">
        <v>4554</v>
      </c>
      <c r="D1749" t="s">
        <v>4554</v>
      </c>
      <c r="E1749" t="s">
        <v>4566</v>
      </c>
    </row>
    <row r="1750" spans="1:5" x14ac:dyDescent="0.2">
      <c r="A1750" t="s">
        <v>4661</v>
      </c>
      <c r="B1750" t="s">
        <v>4662</v>
      </c>
      <c r="C1750" t="s">
        <v>4554</v>
      </c>
      <c r="D1750" t="s">
        <v>4554</v>
      </c>
      <c r="E1750" t="s">
        <v>4663</v>
      </c>
    </row>
    <row r="1751" spans="1:5" x14ac:dyDescent="0.2">
      <c r="A1751" t="s">
        <v>4664</v>
      </c>
      <c r="B1751" t="s">
        <v>4665</v>
      </c>
      <c r="C1751" t="s">
        <v>4554</v>
      </c>
      <c r="D1751" t="s">
        <v>4554</v>
      </c>
      <c r="E1751" t="s">
        <v>4666</v>
      </c>
    </row>
    <row r="1752" spans="1:5" x14ac:dyDescent="0.2">
      <c r="A1752" t="s">
        <v>4667</v>
      </c>
      <c r="B1752" t="s">
        <v>4668</v>
      </c>
      <c r="C1752" t="s">
        <v>4554</v>
      </c>
      <c r="D1752" t="s">
        <v>4554</v>
      </c>
      <c r="E1752" t="s">
        <v>4569</v>
      </c>
    </row>
    <row r="1753" spans="1:5" x14ac:dyDescent="0.2">
      <c r="A1753" t="s">
        <v>4669</v>
      </c>
      <c r="B1753" t="s">
        <v>4670</v>
      </c>
      <c r="C1753" t="s">
        <v>4554</v>
      </c>
      <c r="D1753" t="s">
        <v>4554</v>
      </c>
      <c r="E1753" t="s">
        <v>4671</v>
      </c>
    </row>
    <row r="1754" spans="1:5" x14ac:dyDescent="0.2">
      <c r="A1754" t="s">
        <v>4672</v>
      </c>
      <c r="B1754" t="s">
        <v>4673</v>
      </c>
      <c r="C1754" t="s">
        <v>4554</v>
      </c>
      <c r="D1754" t="s">
        <v>4554</v>
      </c>
      <c r="E1754" t="s">
        <v>4561</v>
      </c>
    </row>
    <row r="1755" spans="1:5" x14ac:dyDescent="0.2">
      <c r="A1755" t="s">
        <v>4674</v>
      </c>
      <c r="B1755" t="s">
        <v>4675</v>
      </c>
      <c r="C1755" t="s">
        <v>4554</v>
      </c>
      <c r="D1755" t="s">
        <v>4554</v>
      </c>
      <c r="E1755" t="s">
        <v>4635</v>
      </c>
    </row>
    <row r="1756" spans="1:5" x14ac:dyDescent="0.2">
      <c r="A1756" t="s">
        <v>4676</v>
      </c>
      <c r="B1756" t="s">
        <v>4677</v>
      </c>
      <c r="C1756" t="s">
        <v>4554</v>
      </c>
      <c r="D1756" t="s">
        <v>4554</v>
      </c>
      <c r="E1756" t="s">
        <v>4678</v>
      </c>
    </row>
    <row r="1757" spans="1:5" x14ac:dyDescent="0.2">
      <c r="A1757" t="s">
        <v>4679</v>
      </c>
      <c r="B1757" t="s">
        <v>4680</v>
      </c>
      <c r="C1757" t="s">
        <v>4554</v>
      </c>
      <c r="D1757" t="s">
        <v>4554</v>
      </c>
      <c r="E1757" t="s">
        <v>4681</v>
      </c>
    </row>
    <row r="1758" spans="1:5" x14ac:dyDescent="0.2">
      <c r="A1758" t="s">
        <v>4682</v>
      </c>
      <c r="B1758" t="s">
        <v>4683</v>
      </c>
      <c r="C1758" t="s">
        <v>4554</v>
      </c>
      <c r="D1758" t="s">
        <v>4554</v>
      </c>
      <c r="E1758" t="s">
        <v>4574</v>
      </c>
    </row>
    <row r="1759" spans="1:5" x14ac:dyDescent="0.2">
      <c r="A1759" t="s">
        <v>4684</v>
      </c>
      <c r="B1759" t="s">
        <v>4685</v>
      </c>
      <c r="C1759" t="s">
        <v>4554</v>
      </c>
      <c r="D1759" t="s">
        <v>4554</v>
      </c>
      <c r="E1759" t="s">
        <v>4686</v>
      </c>
    </row>
    <row r="1760" spans="1:5" x14ac:dyDescent="0.2">
      <c r="A1760" t="s">
        <v>4687</v>
      </c>
      <c r="B1760" t="s">
        <v>4688</v>
      </c>
      <c r="C1760" t="s">
        <v>4554</v>
      </c>
      <c r="D1760" t="s">
        <v>4554</v>
      </c>
      <c r="E1760" t="s">
        <v>4689</v>
      </c>
    </row>
    <row r="1761" spans="1:5" x14ac:dyDescent="0.2">
      <c r="A1761" t="s">
        <v>4690</v>
      </c>
      <c r="B1761" t="s">
        <v>4691</v>
      </c>
      <c r="C1761" t="s">
        <v>4554</v>
      </c>
      <c r="D1761" t="s">
        <v>4554</v>
      </c>
      <c r="E1761" t="s">
        <v>4692</v>
      </c>
    </row>
    <row r="1762" spans="1:5" x14ac:dyDescent="0.2">
      <c r="A1762" t="s">
        <v>4693</v>
      </c>
      <c r="B1762" t="s">
        <v>4694</v>
      </c>
      <c r="C1762" t="s">
        <v>4554</v>
      </c>
      <c r="D1762" t="s">
        <v>4554</v>
      </c>
      <c r="E1762" t="s">
        <v>4566</v>
      </c>
    </row>
    <row r="1763" spans="1:5" x14ac:dyDescent="0.2">
      <c r="A1763" t="s">
        <v>4695</v>
      </c>
      <c r="B1763" t="s">
        <v>4696</v>
      </c>
      <c r="C1763" t="s">
        <v>4554</v>
      </c>
      <c r="D1763" t="s">
        <v>4554</v>
      </c>
      <c r="E1763" t="s">
        <v>4697</v>
      </c>
    </row>
    <row r="1764" spans="1:5" x14ac:dyDescent="0.2">
      <c r="A1764" t="s">
        <v>4698</v>
      </c>
      <c r="B1764" t="s">
        <v>4699</v>
      </c>
      <c r="C1764" t="s">
        <v>4554</v>
      </c>
      <c r="D1764" t="s">
        <v>4554</v>
      </c>
      <c r="E1764" t="s">
        <v>4700</v>
      </c>
    </row>
    <row r="1765" spans="1:5" x14ac:dyDescent="0.2">
      <c r="A1765" t="s">
        <v>4701</v>
      </c>
      <c r="B1765" t="s">
        <v>4702</v>
      </c>
      <c r="C1765" t="s">
        <v>4554</v>
      </c>
      <c r="D1765" t="s">
        <v>4554</v>
      </c>
      <c r="E1765" t="s">
        <v>4561</v>
      </c>
    </row>
    <row r="1766" spans="1:5" x14ac:dyDescent="0.2">
      <c r="A1766" t="s">
        <v>4703</v>
      </c>
      <c r="B1766" t="s">
        <v>4704</v>
      </c>
      <c r="C1766" t="s">
        <v>4554</v>
      </c>
      <c r="D1766" t="s">
        <v>4554</v>
      </c>
      <c r="E1766" t="s">
        <v>4705</v>
      </c>
    </row>
    <row r="1767" spans="1:5" x14ac:dyDescent="0.2">
      <c r="A1767" t="s">
        <v>4706</v>
      </c>
      <c r="B1767" t="s">
        <v>4707</v>
      </c>
      <c r="C1767" t="s">
        <v>4554</v>
      </c>
      <c r="D1767" t="s">
        <v>4554</v>
      </c>
      <c r="E1767" t="s">
        <v>4574</v>
      </c>
    </row>
    <row r="1768" spans="1:5" x14ac:dyDescent="0.2">
      <c r="A1768" t="s">
        <v>4708</v>
      </c>
      <c r="B1768" t="s">
        <v>4709</v>
      </c>
      <c r="C1768" t="s">
        <v>4554</v>
      </c>
      <c r="D1768" t="s">
        <v>4554</v>
      </c>
      <c r="E1768" t="s">
        <v>4710</v>
      </c>
    </row>
    <row r="1769" spans="1:5" x14ac:dyDescent="0.2">
      <c r="A1769" t="s">
        <v>4711</v>
      </c>
      <c r="B1769" t="s">
        <v>4712</v>
      </c>
      <c r="C1769" t="s">
        <v>4554</v>
      </c>
      <c r="D1769" t="s">
        <v>4554</v>
      </c>
      <c r="E1769" t="s">
        <v>4713</v>
      </c>
    </row>
    <row r="1770" spans="1:5" x14ac:dyDescent="0.2">
      <c r="A1770" t="s">
        <v>4714</v>
      </c>
      <c r="B1770" t="s">
        <v>4715</v>
      </c>
      <c r="C1770" t="s">
        <v>4554</v>
      </c>
      <c r="D1770" t="s">
        <v>4554</v>
      </c>
      <c r="E1770" t="s">
        <v>4561</v>
      </c>
    </row>
    <row r="1771" spans="1:5" x14ac:dyDescent="0.2">
      <c r="A1771" t="s">
        <v>4716</v>
      </c>
      <c r="B1771" t="s">
        <v>4717</v>
      </c>
      <c r="C1771" t="s">
        <v>4554</v>
      </c>
      <c r="D1771" t="s">
        <v>4554</v>
      </c>
      <c r="E1771" t="s">
        <v>4566</v>
      </c>
    </row>
    <row r="1772" spans="1:5" x14ac:dyDescent="0.2">
      <c r="A1772" t="s">
        <v>4718</v>
      </c>
      <c r="B1772" t="s">
        <v>4719</v>
      </c>
      <c r="C1772" t="s">
        <v>4554</v>
      </c>
      <c r="D1772" t="s">
        <v>4554</v>
      </c>
      <c r="E1772" t="s">
        <v>4574</v>
      </c>
    </row>
    <row r="1773" spans="1:5" x14ac:dyDescent="0.2">
      <c r="A1773" t="s">
        <v>4720</v>
      </c>
      <c r="B1773" t="s">
        <v>4721</v>
      </c>
      <c r="C1773" t="s">
        <v>4554</v>
      </c>
      <c r="D1773" t="s">
        <v>4554</v>
      </c>
      <c r="E1773" t="s">
        <v>4574</v>
      </c>
    </row>
    <row r="1774" spans="1:5" x14ac:dyDescent="0.2">
      <c r="A1774" t="s">
        <v>4722</v>
      </c>
      <c r="B1774" t="s">
        <v>4723</v>
      </c>
      <c r="C1774" t="s">
        <v>4554</v>
      </c>
      <c r="D1774" t="s">
        <v>4554</v>
      </c>
      <c r="E1774" t="s">
        <v>4724</v>
      </c>
    </row>
    <row r="1775" spans="1:5" x14ac:dyDescent="0.2">
      <c r="A1775" t="s">
        <v>4725</v>
      </c>
      <c r="B1775" t="s">
        <v>4726</v>
      </c>
      <c r="C1775" t="s">
        <v>4554</v>
      </c>
      <c r="D1775" t="s">
        <v>4554</v>
      </c>
      <c r="E1775" t="s">
        <v>4727</v>
      </c>
    </row>
    <row r="1776" spans="1:5" x14ac:dyDescent="0.2">
      <c r="A1776" t="s">
        <v>4728</v>
      </c>
      <c r="B1776" t="s">
        <v>4729</v>
      </c>
      <c r="C1776" t="s">
        <v>4554</v>
      </c>
      <c r="D1776" t="s">
        <v>4554</v>
      </c>
      <c r="E1776" t="s">
        <v>4566</v>
      </c>
    </row>
    <row r="1777" spans="1:5" x14ac:dyDescent="0.2">
      <c r="A1777" t="s">
        <v>4730</v>
      </c>
      <c r="B1777" t="s">
        <v>4731</v>
      </c>
      <c r="C1777" t="s">
        <v>4554</v>
      </c>
      <c r="D1777" t="s">
        <v>4554</v>
      </c>
      <c r="E1777" t="s">
        <v>4732</v>
      </c>
    </row>
    <row r="1778" spans="1:5" x14ac:dyDescent="0.2">
      <c r="A1778" t="s">
        <v>4733</v>
      </c>
      <c r="B1778" t="s">
        <v>4734</v>
      </c>
      <c r="C1778" t="s">
        <v>4554</v>
      </c>
      <c r="D1778" t="s">
        <v>4554</v>
      </c>
      <c r="E1778" t="s">
        <v>4555</v>
      </c>
    </row>
    <row r="1779" spans="1:5" x14ac:dyDescent="0.2">
      <c r="A1779" t="s">
        <v>4735</v>
      </c>
      <c r="B1779" t="s">
        <v>4736</v>
      </c>
      <c r="C1779" t="s">
        <v>4554</v>
      </c>
      <c r="D1779" t="s">
        <v>4554</v>
      </c>
      <c r="E1779" t="s">
        <v>4737</v>
      </c>
    </row>
    <row r="1780" spans="1:5" x14ac:dyDescent="0.2">
      <c r="A1780" t="s">
        <v>4738</v>
      </c>
      <c r="B1780" t="s">
        <v>4739</v>
      </c>
      <c r="C1780" t="s">
        <v>4554</v>
      </c>
      <c r="D1780" t="s">
        <v>4554</v>
      </c>
      <c r="E1780" t="s">
        <v>4740</v>
      </c>
    </row>
    <row r="1781" spans="1:5" x14ac:dyDescent="0.2">
      <c r="A1781" t="s">
        <v>4741</v>
      </c>
      <c r="B1781" t="s">
        <v>4742</v>
      </c>
      <c r="C1781" t="s">
        <v>4554</v>
      </c>
      <c r="D1781" t="s">
        <v>4554</v>
      </c>
      <c r="E1781" t="s">
        <v>4561</v>
      </c>
    </row>
    <row r="1782" spans="1:5" x14ac:dyDescent="0.2">
      <c r="A1782" t="s">
        <v>4743</v>
      </c>
      <c r="B1782" t="s">
        <v>4744</v>
      </c>
      <c r="C1782" t="s">
        <v>4554</v>
      </c>
      <c r="D1782" t="s">
        <v>4554</v>
      </c>
      <c r="E1782" t="s">
        <v>4745</v>
      </c>
    </row>
    <row r="1783" spans="1:5" x14ac:dyDescent="0.2">
      <c r="A1783" t="s">
        <v>4746</v>
      </c>
      <c r="B1783" t="s">
        <v>4747</v>
      </c>
      <c r="C1783" t="s">
        <v>4554</v>
      </c>
      <c r="D1783" t="s">
        <v>4554</v>
      </c>
      <c r="E1783" t="s">
        <v>4585</v>
      </c>
    </row>
    <row r="1784" spans="1:5" x14ac:dyDescent="0.2">
      <c r="A1784" t="s">
        <v>4748</v>
      </c>
      <c r="B1784" t="s">
        <v>4749</v>
      </c>
      <c r="C1784" t="s">
        <v>4554</v>
      </c>
      <c r="D1784" t="s">
        <v>4554</v>
      </c>
      <c r="E1784" t="s">
        <v>4569</v>
      </c>
    </row>
    <row r="1785" spans="1:5" x14ac:dyDescent="0.2">
      <c r="A1785" t="s">
        <v>4750</v>
      </c>
      <c r="B1785" t="s">
        <v>4751</v>
      </c>
      <c r="C1785" t="s">
        <v>4554</v>
      </c>
      <c r="D1785" t="s">
        <v>4554</v>
      </c>
      <c r="E1785" t="s">
        <v>4566</v>
      </c>
    </row>
    <row r="1786" spans="1:5" x14ac:dyDescent="0.2">
      <c r="A1786" t="s">
        <v>4752</v>
      </c>
      <c r="B1786" t="s">
        <v>4753</v>
      </c>
      <c r="C1786" t="s">
        <v>4554</v>
      </c>
      <c r="D1786" t="s">
        <v>4554</v>
      </c>
      <c r="E1786" t="s">
        <v>4558</v>
      </c>
    </row>
    <row r="1787" spans="1:5" x14ac:dyDescent="0.2">
      <c r="A1787" t="s">
        <v>4754</v>
      </c>
      <c r="B1787" t="s">
        <v>4755</v>
      </c>
      <c r="C1787" t="s">
        <v>4554</v>
      </c>
      <c r="D1787" t="s">
        <v>4554</v>
      </c>
      <c r="E1787" t="s">
        <v>4756</v>
      </c>
    </row>
    <row r="1788" spans="1:5" x14ac:dyDescent="0.2">
      <c r="A1788" t="s">
        <v>4757</v>
      </c>
      <c r="B1788" t="s">
        <v>4758</v>
      </c>
      <c r="C1788" t="s">
        <v>4554</v>
      </c>
      <c r="D1788" t="s">
        <v>4554</v>
      </c>
      <c r="E1788" t="s">
        <v>4569</v>
      </c>
    </row>
    <row r="1789" spans="1:5" x14ac:dyDescent="0.2">
      <c r="A1789" t="s">
        <v>4759</v>
      </c>
      <c r="B1789" t="s">
        <v>4760</v>
      </c>
      <c r="C1789" t="s">
        <v>4554</v>
      </c>
      <c r="D1789" t="s">
        <v>4554</v>
      </c>
      <c r="E1789" t="s">
        <v>4761</v>
      </c>
    </row>
    <row r="1790" spans="1:5" x14ac:dyDescent="0.2">
      <c r="A1790" t="s">
        <v>4762</v>
      </c>
      <c r="B1790" t="s">
        <v>4763</v>
      </c>
      <c r="C1790" t="s">
        <v>4554</v>
      </c>
      <c r="D1790" t="s">
        <v>4554</v>
      </c>
      <c r="E1790" t="s">
        <v>4764</v>
      </c>
    </row>
    <row r="1791" spans="1:5" x14ac:dyDescent="0.2">
      <c r="A1791" t="s">
        <v>4765</v>
      </c>
      <c r="B1791" t="s">
        <v>4766</v>
      </c>
      <c r="C1791" t="s">
        <v>4554</v>
      </c>
      <c r="D1791" t="s">
        <v>4554</v>
      </c>
      <c r="E1791" t="s">
        <v>4767</v>
      </c>
    </row>
    <row r="1792" spans="1:5" x14ac:dyDescent="0.2">
      <c r="A1792" t="s">
        <v>4768</v>
      </c>
      <c r="B1792" t="s">
        <v>4769</v>
      </c>
      <c r="C1792" t="s">
        <v>4554</v>
      </c>
      <c r="D1792" t="s">
        <v>4554</v>
      </c>
      <c r="E1792" t="s">
        <v>4770</v>
      </c>
    </row>
    <row r="1793" spans="1:5" x14ac:dyDescent="0.2">
      <c r="A1793" t="s">
        <v>4771</v>
      </c>
      <c r="B1793" t="s">
        <v>4772</v>
      </c>
      <c r="C1793" t="s">
        <v>4554</v>
      </c>
      <c r="D1793" t="s">
        <v>4554</v>
      </c>
      <c r="E1793" t="s">
        <v>4574</v>
      </c>
    </row>
    <row r="1794" spans="1:5" x14ac:dyDescent="0.2">
      <c r="A1794" t="s">
        <v>4773</v>
      </c>
      <c r="B1794" t="s">
        <v>4774</v>
      </c>
      <c r="C1794" t="s">
        <v>4554</v>
      </c>
      <c r="D1794" t="s">
        <v>4554</v>
      </c>
      <c r="E1794" t="s">
        <v>4569</v>
      </c>
    </row>
    <row r="1795" spans="1:5" x14ac:dyDescent="0.2">
      <c r="A1795" t="s">
        <v>4775</v>
      </c>
      <c r="B1795" t="s">
        <v>4776</v>
      </c>
      <c r="C1795" t="s">
        <v>4554</v>
      </c>
      <c r="D1795" t="s">
        <v>4554</v>
      </c>
      <c r="E1795" t="s">
        <v>4777</v>
      </c>
    </row>
    <row r="1796" spans="1:5" x14ac:dyDescent="0.2">
      <c r="A1796" t="s">
        <v>4778</v>
      </c>
      <c r="B1796" t="s">
        <v>4779</v>
      </c>
      <c r="C1796" t="s">
        <v>4554</v>
      </c>
      <c r="D1796" t="s">
        <v>4554</v>
      </c>
      <c r="E1796" t="s">
        <v>4566</v>
      </c>
    </row>
    <row r="1797" spans="1:5" x14ac:dyDescent="0.2">
      <c r="A1797" t="s">
        <v>4780</v>
      </c>
      <c r="B1797" t="s">
        <v>4781</v>
      </c>
      <c r="C1797" t="s">
        <v>4554</v>
      </c>
      <c r="D1797" t="s">
        <v>4554</v>
      </c>
      <c r="E1797" t="s">
        <v>4574</v>
      </c>
    </row>
    <row r="1798" spans="1:5" x14ac:dyDescent="0.2">
      <c r="A1798" t="s">
        <v>4782</v>
      </c>
      <c r="B1798" t="s">
        <v>4783</v>
      </c>
      <c r="C1798" t="s">
        <v>4554</v>
      </c>
      <c r="D1798" t="s">
        <v>4554</v>
      </c>
      <c r="E1798" t="s">
        <v>4574</v>
      </c>
    </row>
    <row r="1799" spans="1:5" x14ac:dyDescent="0.2">
      <c r="A1799" t="s">
        <v>4784</v>
      </c>
      <c r="B1799" t="s">
        <v>4785</v>
      </c>
      <c r="C1799" t="s">
        <v>4554</v>
      </c>
      <c r="D1799" t="s">
        <v>4554</v>
      </c>
      <c r="E1799" t="s">
        <v>4566</v>
      </c>
    </row>
    <row r="1800" spans="1:5" x14ac:dyDescent="0.2">
      <c r="A1800" t="s">
        <v>4786</v>
      </c>
      <c r="B1800" t="s">
        <v>4787</v>
      </c>
      <c r="C1800" t="s">
        <v>4554</v>
      </c>
      <c r="D1800" t="s">
        <v>4554</v>
      </c>
      <c r="E1800" t="s">
        <v>4788</v>
      </c>
    </row>
    <row r="1801" spans="1:5" x14ac:dyDescent="0.2">
      <c r="A1801" t="s">
        <v>4789</v>
      </c>
      <c r="B1801" t="s">
        <v>4790</v>
      </c>
      <c r="C1801" t="s">
        <v>4554</v>
      </c>
      <c r="D1801" t="s">
        <v>4554</v>
      </c>
      <c r="E1801" t="s">
        <v>4791</v>
      </c>
    </row>
    <row r="1802" spans="1:5" x14ac:dyDescent="0.2">
      <c r="A1802" t="s">
        <v>4792</v>
      </c>
      <c r="B1802" t="s">
        <v>4793</v>
      </c>
      <c r="C1802" t="s">
        <v>4554</v>
      </c>
      <c r="D1802" t="s">
        <v>4554</v>
      </c>
      <c r="E1802" t="s">
        <v>4561</v>
      </c>
    </row>
    <row r="1803" spans="1:5" x14ac:dyDescent="0.2">
      <c r="A1803" t="s">
        <v>4794</v>
      </c>
      <c r="B1803" t="s">
        <v>4795</v>
      </c>
      <c r="C1803" t="s">
        <v>4554</v>
      </c>
      <c r="D1803" t="s">
        <v>4554</v>
      </c>
      <c r="E1803" t="s">
        <v>4796</v>
      </c>
    </row>
    <row r="1804" spans="1:5" x14ac:dyDescent="0.2">
      <c r="A1804" t="s">
        <v>4797</v>
      </c>
      <c r="B1804" t="s">
        <v>4798</v>
      </c>
      <c r="C1804" t="s">
        <v>4554</v>
      </c>
      <c r="D1804" t="s">
        <v>4554</v>
      </c>
      <c r="E1804" t="s">
        <v>4569</v>
      </c>
    </row>
    <row r="1805" spans="1:5" x14ac:dyDescent="0.2">
      <c r="A1805" t="s">
        <v>4799</v>
      </c>
      <c r="B1805" t="s">
        <v>4800</v>
      </c>
      <c r="C1805" t="s">
        <v>4554</v>
      </c>
      <c r="D1805" t="s">
        <v>4554</v>
      </c>
      <c r="E1805" t="s">
        <v>4692</v>
      </c>
    </row>
    <row r="1806" spans="1:5" x14ac:dyDescent="0.2">
      <c r="A1806" t="s">
        <v>4801</v>
      </c>
      <c r="B1806" t="s">
        <v>4802</v>
      </c>
      <c r="C1806" t="s">
        <v>4554</v>
      </c>
      <c r="D1806" t="s">
        <v>4554</v>
      </c>
      <c r="E1806" t="s">
        <v>4803</v>
      </c>
    </row>
    <row r="1807" spans="1:5" x14ac:dyDescent="0.2">
      <c r="A1807" t="s">
        <v>4804</v>
      </c>
      <c r="B1807" t="s">
        <v>4805</v>
      </c>
      <c r="C1807" t="s">
        <v>4554</v>
      </c>
      <c r="D1807" t="s">
        <v>4554</v>
      </c>
      <c r="E1807" t="s">
        <v>4806</v>
      </c>
    </row>
    <row r="1808" spans="1:5" x14ac:dyDescent="0.2">
      <c r="A1808" t="s">
        <v>4807</v>
      </c>
      <c r="B1808" t="s">
        <v>4808</v>
      </c>
      <c r="C1808" t="s">
        <v>4554</v>
      </c>
      <c r="D1808" t="s">
        <v>4554</v>
      </c>
      <c r="E1808" t="s">
        <v>4809</v>
      </c>
    </row>
    <row r="1809" spans="1:5" x14ac:dyDescent="0.2">
      <c r="A1809" t="s">
        <v>4810</v>
      </c>
      <c r="B1809" t="s">
        <v>4811</v>
      </c>
      <c r="C1809" t="s">
        <v>4554</v>
      </c>
      <c r="D1809" t="s">
        <v>4554</v>
      </c>
      <c r="E1809" t="s">
        <v>4566</v>
      </c>
    </row>
    <row r="1810" spans="1:5" x14ac:dyDescent="0.2">
      <c r="A1810" t="s">
        <v>4812</v>
      </c>
      <c r="B1810" t="s">
        <v>4813</v>
      </c>
      <c r="C1810" t="s">
        <v>4554</v>
      </c>
      <c r="D1810" t="s">
        <v>4554</v>
      </c>
      <c r="E1810" t="s">
        <v>4814</v>
      </c>
    </row>
    <row r="1811" spans="1:5" x14ac:dyDescent="0.2">
      <c r="A1811" t="s">
        <v>4815</v>
      </c>
      <c r="B1811" t="s">
        <v>4816</v>
      </c>
      <c r="C1811" t="s">
        <v>4554</v>
      </c>
      <c r="D1811" t="s">
        <v>4554</v>
      </c>
      <c r="E1811" t="s">
        <v>4566</v>
      </c>
    </row>
    <row r="1812" spans="1:5" x14ac:dyDescent="0.2">
      <c r="A1812" t="s">
        <v>4817</v>
      </c>
      <c r="B1812" t="s">
        <v>4818</v>
      </c>
      <c r="C1812" t="s">
        <v>4554</v>
      </c>
      <c r="D1812" t="s">
        <v>4554</v>
      </c>
      <c r="E1812" t="s">
        <v>4819</v>
      </c>
    </row>
    <row r="1813" spans="1:5" x14ac:dyDescent="0.2">
      <c r="A1813" t="s">
        <v>4820</v>
      </c>
      <c r="B1813" t="s">
        <v>4821</v>
      </c>
      <c r="C1813" t="s">
        <v>4554</v>
      </c>
      <c r="D1813" t="s">
        <v>4554</v>
      </c>
      <c r="E1813" t="s">
        <v>4635</v>
      </c>
    </row>
    <row r="1814" spans="1:5" x14ac:dyDescent="0.2">
      <c r="A1814" t="s">
        <v>4822</v>
      </c>
      <c r="B1814" t="s">
        <v>4823</v>
      </c>
      <c r="C1814" t="s">
        <v>4554</v>
      </c>
      <c r="D1814" t="s">
        <v>4554</v>
      </c>
      <c r="E1814" t="s">
        <v>4824</v>
      </c>
    </row>
    <row r="1815" spans="1:5" x14ac:dyDescent="0.2">
      <c r="A1815" t="s">
        <v>4825</v>
      </c>
      <c r="B1815" t="s">
        <v>4826</v>
      </c>
      <c r="C1815" t="s">
        <v>4554</v>
      </c>
      <c r="D1815" t="s">
        <v>4554</v>
      </c>
      <c r="E1815" t="s">
        <v>4569</v>
      </c>
    </row>
    <row r="1816" spans="1:5" x14ac:dyDescent="0.2">
      <c r="A1816" t="s">
        <v>4827</v>
      </c>
      <c r="B1816" t="s">
        <v>4828</v>
      </c>
      <c r="C1816" t="s">
        <v>4554</v>
      </c>
      <c r="D1816" t="s">
        <v>4554</v>
      </c>
      <c r="E1816" t="s">
        <v>4829</v>
      </c>
    </row>
    <row r="1817" spans="1:5" x14ac:dyDescent="0.2">
      <c r="A1817" t="s">
        <v>4830</v>
      </c>
      <c r="B1817" t="s">
        <v>4831</v>
      </c>
      <c r="C1817" t="s">
        <v>4554</v>
      </c>
      <c r="D1817" t="s">
        <v>4554</v>
      </c>
      <c r="E1817" t="s">
        <v>4832</v>
      </c>
    </row>
    <row r="1818" spans="1:5" x14ac:dyDescent="0.2">
      <c r="A1818" t="s">
        <v>4833</v>
      </c>
      <c r="B1818" t="s">
        <v>4834</v>
      </c>
      <c r="C1818" t="s">
        <v>4554</v>
      </c>
      <c r="D1818" t="s">
        <v>4554</v>
      </c>
      <c r="E1818" t="s">
        <v>4569</v>
      </c>
    </row>
    <row r="1819" spans="1:5" x14ac:dyDescent="0.2">
      <c r="A1819" t="s">
        <v>4835</v>
      </c>
      <c r="B1819" t="s">
        <v>4836</v>
      </c>
      <c r="C1819" t="s">
        <v>4554</v>
      </c>
      <c r="D1819" t="s">
        <v>4554</v>
      </c>
      <c r="E1819" t="s">
        <v>4837</v>
      </c>
    </row>
    <row r="1820" spans="1:5" x14ac:dyDescent="0.2">
      <c r="A1820" t="s">
        <v>4838</v>
      </c>
      <c r="B1820" t="s">
        <v>4839</v>
      </c>
      <c r="C1820" t="s">
        <v>4554</v>
      </c>
      <c r="D1820" t="s">
        <v>4554</v>
      </c>
      <c r="E1820" t="s">
        <v>4561</v>
      </c>
    </row>
    <row r="1821" spans="1:5" x14ac:dyDescent="0.2">
      <c r="A1821" t="s">
        <v>4840</v>
      </c>
      <c r="B1821" t="s">
        <v>4841</v>
      </c>
      <c r="C1821" t="s">
        <v>4554</v>
      </c>
      <c r="D1821" t="s">
        <v>4554</v>
      </c>
      <c r="E1821" t="s">
        <v>4574</v>
      </c>
    </row>
    <row r="1822" spans="1:5" x14ac:dyDescent="0.2">
      <c r="A1822" t="s">
        <v>4842</v>
      </c>
      <c r="B1822" t="s">
        <v>4843</v>
      </c>
      <c r="C1822" t="s">
        <v>4554</v>
      </c>
      <c r="D1822" t="s">
        <v>4554</v>
      </c>
      <c r="E1822" t="s">
        <v>4569</v>
      </c>
    </row>
    <row r="1823" spans="1:5" x14ac:dyDescent="0.2">
      <c r="A1823" t="s">
        <v>4844</v>
      </c>
      <c r="B1823" t="s">
        <v>4845</v>
      </c>
      <c r="C1823" t="s">
        <v>4554</v>
      </c>
      <c r="D1823" t="s">
        <v>4554</v>
      </c>
      <c r="E1823" t="s">
        <v>4689</v>
      </c>
    </row>
    <row r="1824" spans="1:5" x14ac:dyDescent="0.2">
      <c r="A1824" t="s">
        <v>4846</v>
      </c>
      <c r="B1824" t="s">
        <v>4847</v>
      </c>
      <c r="C1824" t="s">
        <v>4554</v>
      </c>
      <c r="D1824" t="s">
        <v>4554</v>
      </c>
      <c r="E1824" t="s">
        <v>4764</v>
      </c>
    </row>
    <row r="1825" spans="1:5" x14ac:dyDescent="0.2">
      <c r="A1825" t="s">
        <v>4848</v>
      </c>
      <c r="B1825" t="s">
        <v>4849</v>
      </c>
      <c r="C1825" t="s">
        <v>4554</v>
      </c>
      <c r="D1825" t="s">
        <v>4554</v>
      </c>
      <c r="E1825" t="s">
        <v>4574</v>
      </c>
    </row>
    <row r="1826" spans="1:5" x14ac:dyDescent="0.2">
      <c r="A1826" t="s">
        <v>4850</v>
      </c>
      <c r="B1826" t="s">
        <v>4851</v>
      </c>
      <c r="C1826" t="s">
        <v>4554</v>
      </c>
      <c r="D1826" t="s">
        <v>4554</v>
      </c>
      <c r="E1826" t="s">
        <v>4852</v>
      </c>
    </row>
    <row r="1827" spans="1:5" x14ac:dyDescent="0.2">
      <c r="A1827" t="s">
        <v>4853</v>
      </c>
      <c r="B1827" t="s">
        <v>4854</v>
      </c>
      <c r="C1827" t="s">
        <v>4554</v>
      </c>
      <c r="D1827" t="s">
        <v>4554</v>
      </c>
      <c r="E1827" t="s">
        <v>4566</v>
      </c>
    </row>
    <row r="1828" spans="1:5" x14ac:dyDescent="0.2">
      <c r="A1828" t="s">
        <v>4855</v>
      </c>
      <c r="B1828" t="s">
        <v>4856</v>
      </c>
      <c r="C1828" t="s">
        <v>4554</v>
      </c>
      <c r="D1828" t="s">
        <v>4554</v>
      </c>
      <c r="E1828" t="s">
        <v>4857</v>
      </c>
    </row>
    <row r="1829" spans="1:5" x14ac:dyDescent="0.2">
      <c r="A1829" t="s">
        <v>4858</v>
      </c>
      <c r="B1829" t="s">
        <v>4859</v>
      </c>
      <c r="C1829" t="s">
        <v>4554</v>
      </c>
      <c r="D1829" t="s">
        <v>4554</v>
      </c>
      <c r="E1829" t="s">
        <v>4558</v>
      </c>
    </row>
    <row r="1830" spans="1:5" x14ac:dyDescent="0.2">
      <c r="A1830" t="s">
        <v>4860</v>
      </c>
      <c r="B1830" t="s">
        <v>4861</v>
      </c>
      <c r="C1830" t="s">
        <v>4554</v>
      </c>
      <c r="D1830" t="s">
        <v>4554</v>
      </c>
      <c r="E1830" t="s">
        <v>4574</v>
      </c>
    </row>
    <row r="1831" spans="1:5" x14ac:dyDescent="0.2">
      <c r="A1831" t="s">
        <v>4862</v>
      </c>
      <c r="B1831" t="s">
        <v>4863</v>
      </c>
      <c r="C1831" t="s">
        <v>4554</v>
      </c>
      <c r="D1831" t="s">
        <v>4554</v>
      </c>
      <c r="E1831" t="s">
        <v>4569</v>
      </c>
    </row>
    <row r="1832" spans="1:5" x14ac:dyDescent="0.2">
      <c r="A1832" t="s">
        <v>4864</v>
      </c>
      <c r="B1832" t="s">
        <v>4865</v>
      </c>
      <c r="C1832" t="s">
        <v>4554</v>
      </c>
      <c r="D1832" t="s">
        <v>4554</v>
      </c>
      <c r="E1832" t="s">
        <v>4566</v>
      </c>
    </row>
    <row r="1833" spans="1:5" x14ac:dyDescent="0.2">
      <c r="A1833" t="s">
        <v>4866</v>
      </c>
      <c r="B1833" t="s">
        <v>4867</v>
      </c>
      <c r="C1833" t="s">
        <v>4554</v>
      </c>
      <c r="D1833" t="s">
        <v>4554</v>
      </c>
      <c r="E1833" t="s">
        <v>4635</v>
      </c>
    </row>
    <row r="1834" spans="1:5" x14ac:dyDescent="0.2">
      <c r="A1834" t="s">
        <v>4868</v>
      </c>
      <c r="B1834" t="s">
        <v>4869</v>
      </c>
      <c r="C1834" t="s">
        <v>4554</v>
      </c>
      <c r="D1834" t="s">
        <v>4554</v>
      </c>
      <c r="E1834" t="s">
        <v>4558</v>
      </c>
    </row>
    <row r="1835" spans="1:5" x14ac:dyDescent="0.2">
      <c r="A1835" t="s">
        <v>4870</v>
      </c>
      <c r="B1835" t="s">
        <v>4871</v>
      </c>
      <c r="C1835" t="s">
        <v>4554</v>
      </c>
      <c r="D1835" t="s">
        <v>4554</v>
      </c>
      <c r="E1835" t="s">
        <v>4561</v>
      </c>
    </row>
    <row r="1836" spans="1:5" x14ac:dyDescent="0.2">
      <c r="A1836" t="s">
        <v>4872</v>
      </c>
      <c r="B1836" t="s">
        <v>4873</v>
      </c>
      <c r="C1836" t="s">
        <v>4554</v>
      </c>
      <c r="D1836" t="s">
        <v>4554</v>
      </c>
      <c r="E1836" t="s">
        <v>4561</v>
      </c>
    </row>
    <row r="1837" spans="1:5" x14ac:dyDescent="0.2">
      <c r="A1837" t="s">
        <v>4874</v>
      </c>
      <c r="B1837" t="s">
        <v>4875</v>
      </c>
      <c r="C1837" t="s">
        <v>4554</v>
      </c>
      <c r="D1837" t="s">
        <v>4554</v>
      </c>
      <c r="E1837" t="s">
        <v>4590</v>
      </c>
    </row>
    <row r="1838" spans="1:5" x14ac:dyDescent="0.2">
      <c r="A1838" t="s">
        <v>4876</v>
      </c>
      <c r="B1838" t="s">
        <v>4877</v>
      </c>
      <c r="C1838" t="s">
        <v>4554</v>
      </c>
      <c r="D1838" t="e">
        <v>#N/A</v>
      </c>
      <c r="E1838" t="e">
        <v>#N/A</v>
      </c>
    </row>
    <row r="1839" spans="1:5" x14ac:dyDescent="0.2">
      <c r="A1839" t="s">
        <v>4878</v>
      </c>
      <c r="B1839" t="s">
        <v>4879</v>
      </c>
      <c r="C1839" t="s">
        <v>4880</v>
      </c>
      <c r="D1839" t="s">
        <v>4880</v>
      </c>
      <c r="E1839" t="s">
        <v>4881</v>
      </c>
    </row>
    <row r="1840" spans="1:5" x14ac:dyDescent="0.2">
      <c r="A1840" t="s">
        <v>4882</v>
      </c>
      <c r="B1840" t="s">
        <v>4883</v>
      </c>
      <c r="C1840" t="s">
        <v>4880</v>
      </c>
      <c r="D1840" t="s">
        <v>4880</v>
      </c>
      <c r="E1840" t="s">
        <v>4881</v>
      </c>
    </row>
    <row r="1841" spans="1:5" x14ac:dyDescent="0.2">
      <c r="A1841" t="s">
        <v>4884</v>
      </c>
      <c r="B1841" t="s">
        <v>4885</v>
      </c>
      <c r="C1841" t="s">
        <v>4880</v>
      </c>
      <c r="D1841" t="s">
        <v>4880</v>
      </c>
      <c r="E1841" t="s">
        <v>4886</v>
      </c>
    </row>
    <row r="1842" spans="1:5" x14ac:dyDescent="0.2">
      <c r="A1842" t="s">
        <v>4887</v>
      </c>
      <c r="B1842" t="s">
        <v>4888</v>
      </c>
      <c r="C1842" t="s">
        <v>4880</v>
      </c>
      <c r="D1842" t="s">
        <v>4880</v>
      </c>
      <c r="E1842" t="s">
        <v>4889</v>
      </c>
    </row>
    <row r="1843" spans="1:5" x14ac:dyDescent="0.2">
      <c r="A1843" t="s">
        <v>4890</v>
      </c>
      <c r="B1843" t="s">
        <v>4891</v>
      </c>
      <c r="C1843" t="s">
        <v>4880</v>
      </c>
      <c r="D1843" t="s">
        <v>4880</v>
      </c>
      <c r="E1843" t="s">
        <v>4892</v>
      </c>
    </row>
    <row r="1844" spans="1:5" x14ac:dyDescent="0.2">
      <c r="A1844" t="s">
        <v>4893</v>
      </c>
      <c r="B1844" t="s">
        <v>4894</v>
      </c>
      <c r="C1844" t="s">
        <v>4880</v>
      </c>
      <c r="D1844" t="s">
        <v>4880</v>
      </c>
      <c r="E1844" t="s">
        <v>4895</v>
      </c>
    </row>
    <row r="1845" spans="1:5" x14ac:dyDescent="0.2">
      <c r="A1845" t="s">
        <v>4896</v>
      </c>
      <c r="B1845" t="s">
        <v>4897</v>
      </c>
      <c r="C1845" t="s">
        <v>4880</v>
      </c>
      <c r="D1845" t="s">
        <v>4880</v>
      </c>
      <c r="E1845" t="s">
        <v>4898</v>
      </c>
    </row>
    <row r="1846" spans="1:5" x14ac:dyDescent="0.2">
      <c r="A1846" t="s">
        <v>4899</v>
      </c>
      <c r="B1846" t="s">
        <v>4900</v>
      </c>
      <c r="C1846" t="s">
        <v>4880</v>
      </c>
      <c r="D1846" t="s">
        <v>4880</v>
      </c>
      <c r="E1846" t="s">
        <v>4901</v>
      </c>
    </row>
    <row r="1847" spans="1:5" x14ac:dyDescent="0.2">
      <c r="A1847" t="s">
        <v>4902</v>
      </c>
      <c r="B1847" t="s">
        <v>4903</v>
      </c>
      <c r="C1847" t="s">
        <v>4880</v>
      </c>
      <c r="D1847" t="s">
        <v>4880</v>
      </c>
      <c r="E1847" t="s">
        <v>4895</v>
      </c>
    </row>
    <row r="1848" spans="1:5" x14ac:dyDescent="0.2">
      <c r="A1848" t="s">
        <v>4904</v>
      </c>
      <c r="B1848" t="s">
        <v>4905</v>
      </c>
      <c r="C1848" t="s">
        <v>4880</v>
      </c>
      <c r="D1848" t="s">
        <v>4880</v>
      </c>
      <c r="E1848" t="s">
        <v>4906</v>
      </c>
    </row>
    <row r="1849" spans="1:5" x14ac:dyDescent="0.2">
      <c r="A1849" t="s">
        <v>4907</v>
      </c>
      <c r="B1849" t="s">
        <v>4908</v>
      </c>
      <c r="C1849" t="s">
        <v>4880</v>
      </c>
      <c r="D1849" t="s">
        <v>4880</v>
      </c>
      <c r="E1849" t="s">
        <v>4909</v>
      </c>
    </row>
    <row r="1850" spans="1:5" x14ac:dyDescent="0.2">
      <c r="A1850" t="s">
        <v>4910</v>
      </c>
      <c r="B1850" t="s">
        <v>4911</v>
      </c>
      <c r="C1850" t="s">
        <v>4880</v>
      </c>
      <c r="D1850" t="s">
        <v>4880</v>
      </c>
      <c r="E1850" t="s">
        <v>4912</v>
      </c>
    </row>
    <row r="1851" spans="1:5" x14ac:dyDescent="0.2">
      <c r="A1851" t="s">
        <v>4913</v>
      </c>
      <c r="B1851" t="s">
        <v>4914</v>
      </c>
      <c r="C1851" t="s">
        <v>4880</v>
      </c>
      <c r="D1851" t="s">
        <v>4880</v>
      </c>
      <c r="E1851" t="s">
        <v>4909</v>
      </c>
    </row>
    <row r="1852" spans="1:5" x14ac:dyDescent="0.2">
      <c r="A1852" t="s">
        <v>4915</v>
      </c>
      <c r="B1852" t="s">
        <v>4916</v>
      </c>
      <c r="C1852" t="s">
        <v>4880</v>
      </c>
      <c r="D1852" t="s">
        <v>4880</v>
      </c>
      <c r="E1852" t="s">
        <v>4917</v>
      </c>
    </row>
    <row r="1853" spans="1:5" x14ac:dyDescent="0.2">
      <c r="A1853" t="s">
        <v>4918</v>
      </c>
      <c r="B1853" t="s">
        <v>4919</v>
      </c>
      <c r="C1853" t="s">
        <v>4880</v>
      </c>
      <c r="D1853" t="s">
        <v>4880</v>
      </c>
      <c r="E1853" t="s">
        <v>4912</v>
      </c>
    </row>
    <row r="1854" spans="1:5" x14ac:dyDescent="0.2">
      <c r="A1854" t="s">
        <v>4920</v>
      </c>
      <c r="B1854" t="s">
        <v>4921</v>
      </c>
      <c r="C1854" t="s">
        <v>4880</v>
      </c>
      <c r="D1854" t="s">
        <v>4880</v>
      </c>
      <c r="E1854" t="s">
        <v>4922</v>
      </c>
    </row>
    <row r="1855" spans="1:5" x14ac:dyDescent="0.2">
      <c r="A1855" t="s">
        <v>4923</v>
      </c>
      <c r="B1855" t="s">
        <v>4924</v>
      </c>
      <c r="C1855" t="s">
        <v>4880</v>
      </c>
      <c r="D1855" t="s">
        <v>4880</v>
      </c>
      <c r="E1855" t="s">
        <v>4912</v>
      </c>
    </row>
    <row r="1856" spans="1:5" x14ac:dyDescent="0.2">
      <c r="A1856" t="s">
        <v>4925</v>
      </c>
      <c r="B1856" t="s">
        <v>4926</v>
      </c>
      <c r="C1856" t="s">
        <v>4880</v>
      </c>
      <c r="D1856" t="s">
        <v>4880</v>
      </c>
      <c r="E1856" t="s">
        <v>4881</v>
      </c>
    </row>
    <row r="1857" spans="1:5" x14ac:dyDescent="0.2">
      <c r="A1857" t="s">
        <v>4927</v>
      </c>
      <c r="B1857" t="s">
        <v>4928</v>
      </c>
      <c r="C1857" t="s">
        <v>4880</v>
      </c>
      <c r="D1857" t="s">
        <v>4880</v>
      </c>
      <c r="E1857" t="s">
        <v>4909</v>
      </c>
    </row>
    <row r="1858" spans="1:5" x14ac:dyDescent="0.2">
      <c r="A1858" t="s">
        <v>4929</v>
      </c>
      <c r="B1858" t="s">
        <v>4930</v>
      </c>
      <c r="C1858" t="s">
        <v>4880</v>
      </c>
      <c r="D1858" t="s">
        <v>4880</v>
      </c>
      <c r="E1858" t="s">
        <v>4931</v>
      </c>
    </row>
    <row r="1859" spans="1:5" x14ac:dyDescent="0.2">
      <c r="A1859" t="s">
        <v>4932</v>
      </c>
      <c r="B1859" t="s">
        <v>4933</v>
      </c>
      <c r="C1859" t="s">
        <v>4880</v>
      </c>
      <c r="D1859" t="s">
        <v>4880</v>
      </c>
      <c r="E1859" t="s">
        <v>4895</v>
      </c>
    </row>
    <row r="1860" spans="1:5" x14ac:dyDescent="0.2">
      <c r="A1860" t="s">
        <v>4934</v>
      </c>
      <c r="B1860" t="s">
        <v>4935</v>
      </c>
      <c r="C1860" t="s">
        <v>4880</v>
      </c>
      <c r="D1860" t="s">
        <v>4880</v>
      </c>
      <c r="E1860" t="s">
        <v>4895</v>
      </c>
    </row>
    <row r="1861" spans="1:5" x14ac:dyDescent="0.2">
      <c r="A1861" t="s">
        <v>4936</v>
      </c>
      <c r="B1861" t="s">
        <v>4937</v>
      </c>
      <c r="C1861" t="s">
        <v>4880</v>
      </c>
      <c r="D1861" t="s">
        <v>4880</v>
      </c>
      <c r="E1861" t="s">
        <v>4895</v>
      </c>
    </row>
    <row r="1862" spans="1:5" x14ac:dyDescent="0.2">
      <c r="A1862" t="s">
        <v>4938</v>
      </c>
      <c r="B1862" t="s">
        <v>4939</v>
      </c>
      <c r="C1862" t="s">
        <v>4880</v>
      </c>
      <c r="D1862" t="s">
        <v>4880</v>
      </c>
      <c r="E1862" t="s">
        <v>4940</v>
      </c>
    </row>
    <row r="1863" spans="1:5" x14ac:dyDescent="0.2">
      <c r="A1863" t="s">
        <v>4941</v>
      </c>
      <c r="B1863" t="s">
        <v>4942</v>
      </c>
      <c r="C1863" t="s">
        <v>4880</v>
      </c>
      <c r="D1863" t="s">
        <v>4880</v>
      </c>
      <c r="E1863" t="s">
        <v>4881</v>
      </c>
    </row>
    <row r="1864" spans="1:5" x14ac:dyDescent="0.2">
      <c r="A1864" t="s">
        <v>4943</v>
      </c>
      <c r="B1864" t="s">
        <v>4944</v>
      </c>
      <c r="C1864" t="s">
        <v>4880</v>
      </c>
      <c r="D1864" t="s">
        <v>4880</v>
      </c>
      <c r="E1864" t="s">
        <v>4881</v>
      </c>
    </row>
    <row r="1865" spans="1:5" x14ac:dyDescent="0.2">
      <c r="A1865" t="s">
        <v>4945</v>
      </c>
      <c r="B1865" t="s">
        <v>4946</v>
      </c>
      <c r="C1865" t="s">
        <v>4880</v>
      </c>
      <c r="D1865" t="s">
        <v>4880</v>
      </c>
      <c r="E1865" t="s">
        <v>4917</v>
      </c>
    </row>
    <row r="1866" spans="1:5" x14ac:dyDescent="0.2">
      <c r="A1866" t="s">
        <v>4947</v>
      </c>
      <c r="B1866" t="s">
        <v>4948</v>
      </c>
      <c r="C1866" t="s">
        <v>4880</v>
      </c>
      <c r="D1866" t="s">
        <v>4880</v>
      </c>
      <c r="E1866" t="s">
        <v>4881</v>
      </c>
    </row>
    <row r="1867" spans="1:5" x14ac:dyDescent="0.2">
      <c r="A1867" t="s">
        <v>4949</v>
      </c>
      <c r="B1867" t="s">
        <v>4950</v>
      </c>
      <c r="C1867" t="s">
        <v>4880</v>
      </c>
      <c r="D1867" t="s">
        <v>4880</v>
      </c>
      <c r="E1867" t="s">
        <v>4909</v>
      </c>
    </row>
    <row r="1868" spans="1:5" x14ac:dyDescent="0.2">
      <c r="A1868" t="s">
        <v>4951</v>
      </c>
      <c r="B1868" t="s">
        <v>4952</v>
      </c>
      <c r="C1868" t="s">
        <v>4880</v>
      </c>
      <c r="D1868" t="s">
        <v>4880</v>
      </c>
      <c r="E1868" t="s">
        <v>4909</v>
      </c>
    </row>
    <row r="1869" spans="1:5" x14ac:dyDescent="0.2">
      <c r="A1869" t="s">
        <v>4953</v>
      </c>
      <c r="B1869" t="s">
        <v>4954</v>
      </c>
      <c r="C1869" t="s">
        <v>4880</v>
      </c>
      <c r="D1869" t="s">
        <v>4880</v>
      </c>
      <c r="E1869" t="s">
        <v>4909</v>
      </c>
    </row>
    <row r="1870" spans="1:5" x14ac:dyDescent="0.2">
      <c r="A1870" t="s">
        <v>4955</v>
      </c>
      <c r="B1870" t="s">
        <v>4956</v>
      </c>
      <c r="C1870" t="s">
        <v>4880</v>
      </c>
      <c r="D1870" t="s">
        <v>4880</v>
      </c>
      <c r="E1870" t="s">
        <v>4881</v>
      </c>
    </row>
    <row r="1871" spans="1:5" x14ac:dyDescent="0.2">
      <c r="A1871" t="s">
        <v>4957</v>
      </c>
      <c r="B1871" t="s">
        <v>4958</v>
      </c>
      <c r="C1871" t="s">
        <v>4880</v>
      </c>
      <c r="D1871" t="s">
        <v>4880</v>
      </c>
      <c r="E1871" t="s">
        <v>4881</v>
      </c>
    </row>
    <row r="1872" spans="1:5" x14ac:dyDescent="0.2">
      <c r="A1872" t="s">
        <v>4959</v>
      </c>
      <c r="B1872" t="s">
        <v>4960</v>
      </c>
      <c r="C1872" t="s">
        <v>4880</v>
      </c>
      <c r="D1872" t="s">
        <v>4880</v>
      </c>
      <c r="E1872" t="s">
        <v>4909</v>
      </c>
    </row>
    <row r="1873" spans="1:5" x14ac:dyDescent="0.2">
      <c r="A1873" t="s">
        <v>4961</v>
      </c>
      <c r="B1873" t="s">
        <v>4962</v>
      </c>
      <c r="C1873" t="s">
        <v>4880</v>
      </c>
      <c r="D1873" t="s">
        <v>4880</v>
      </c>
      <c r="E1873" t="s">
        <v>4917</v>
      </c>
    </row>
    <row r="1874" spans="1:5" x14ac:dyDescent="0.2">
      <c r="A1874" t="s">
        <v>4963</v>
      </c>
      <c r="B1874" t="s">
        <v>4964</v>
      </c>
      <c r="C1874" t="s">
        <v>4880</v>
      </c>
      <c r="D1874" t="s">
        <v>4880</v>
      </c>
      <c r="E1874" t="s">
        <v>4917</v>
      </c>
    </row>
    <row r="1875" spans="1:5" x14ac:dyDescent="0.2">
      <c r="A1875" t="s">
        <v>4965</v>
      </c>
      <c r="B1875" t="s">
        <v>4966</v>
      </c>
      <c r="C1875" t="s">
        <v>4880</v>
      </c>
      <c r="D1875" t="s">
        <v>4880</v>
      </c>
      <c r="E1875" t="s">
        <v>4967</v>
      </c>
    </row>
    <row r="1876" spans="1:5" x14ac:dyDescent="0.2">
      <c r="A1876" t="s">
        <v>4968</v>
      </c>
      <c r="B1876" t="s">
        <v>4969</v>
      </c>
      <c r="C1876" t="s">
        <v>4880</v>
      </c>
      <c r="D1876" t="s">
        <v>4880</v>
      </c>
      <c r="E1876" t="s">
        <v>4895</v>
      </c>
    </row>
    <row r="1877" spans="1:5" x14ac:dyDescent="0.2">
      <c r="A1877" t="s">
        <v>4970</v>
      </c>
      <c r="B1877" t="s">
        <v>4971</v>
      </c>
      <c r="C1877" t="s">
        <v>4880</v>
      </c>
      <c r="D1877" t="s">
        <v>4880</v>
      </c>
      <c r="E1877" t="s">
        <v>4972</v>
      </c>
    </row>
    <row r="1878" spans="1:5" x14ac:dyDescent="0.2">
      <c r="A1878" t="s">
        <v>4973</v>
      </c>
      <c r="B1878" t="s">
        <v>4974</v>
      </c>
      <c r="C1878" t="s">
        <v>4880</v>
      </c>
      <c r="D1878" t="s">
        <v>4880</v>
      </c>
      <c r="E1878" t="s">
        <v>4975</v>
      </c>
    </row>
    <row r="1879" spans="1:5" x14ac:dyDescent="0.2">
      <c r="A1879" t="s">
        <v>4976</v>
      </c>
      <c r="B1879" t="s">
        <v>4977</v>
      </c>
      <c r="C1879" t="s">
        <v>4880</v>
      </c>
      <c r="D1879" t="s">
        <v>4880</v>
      </c>
      <c r="E1879" t="s">
        <v>4881</v>
      </c>
    </row>
    <row r="1880" spans="1:5" x14ac:dyDescent="0.2">
      <c r="A1880" t="s">
        <v>4978</v>
      </c>
      <c r="B1880" t="s">
        <v>4979</v>
      </c>
      <c r="C1880" t="s">
        <v>4880</v>
      </c>
      <c r="D1880" t="s">
        <v>4880</v>
      </c>
      <c r="E1880" t="s">
        <v>4931</v>
      </c>
    </row>
    <row r="1881" spans="1:5" x14ac:dyDescent="0.2">
      <c r="A1881" t="s">
        <v>4980</v>
      </c>
      <c r="B1881" t="s">
        <v>4981</v>
      </c>
      <c r="C1881" t="s">
        <v>4880</v>
      </c>
      <c r="D1881" t="s">
        <v>4880</v>
      </c>
      <c r="E1881" t="s">
        <v>4982</v>
      </c>
    </row>
    <row r="1882" spans="1:5" x14ac:dyDescent="0.2">
      <c r="A1882" t="s">
        <v>4983</v>
      </c>
      <c r="B1882" t="s">
        <v>4984</v>
      </c>
      <c r="C1882" t="s">
        <v>4880</v>
      </c>
      <c r="D1882" t="s">
        <v>4880</v>
      </c>
      <c r="E1882" t="s">
        <v>4985</v>
      </c>
    </row>
    <row r="1883" spans="1:5" x14ac:dyDescent="0.2">
      <c r="A1883" t="s">
        <v>4986</v>
      </c>
      <c r="B1883" t="s">
        <v>4987</v>
      </c>
      <c r="C1883" t="s">
        <v>4880</v>
      </c>
      <c r="D1883" t="s">
        <v>4880</v>
      </c>
      <c r="E1883" t="s">
        <v>4909</v>
      </c>
    </row>
    <row r="1884" spans="1:5" x14ac:dyDescent="0.2">
      <c r="A1884" t="s">
        <v>4988</v>
      </c>
      <c r="B1884" t="s">
        <v>4989</v>
      </c>
      <c r="C1884" t="s">
        <v>4880</v>
      </c>
      <c r="D1884" t="s">
        <v>4880</v>
      </c>
      <c r="E1884" t="s">
        <v>4917</v>
      </c>
    </row>
    <row r="1885" spans="1:5" x14ac:dyDescent="0.2">
      <c r="A1885" t="s">
        <v>4990</v>
      </c>
      <c r="B1885" t="s">
        <v>4991</v>
      </c>
      <c r="C1885" t="s">
        <v>4880</v>
      </c>
      <c r="D1885" t="s">
        <v>4880</v>
      </c>
      <c r="E1885" t="s">
        <v>4909</v>
      </c>
    </row>
    <row r="1886" spans="1:5" x14ac:dyDescent="0.2">
      <c r="A1886" t="s">
        <v>4992</v>
      </c>
      <c r="B1886" t="s">
        <v>4993</v>
      </c>
      <c r="C1886" t="s">
        <v>4880</v>
      </c>
      <c r="D1886" t="s">
        <v>4880</v>
      </c>
      <c r="E1886" t="s">
        <v>4895</v>
      </c>
    </row>
    <row r="1887" spans="1:5" x14ac:dyDescent="0.2">
      <c r="A1887" t="s">
        <v>4994</v>
      </c>
      <c r="B1887" t="s">
        <v>4995</v>
      </c>
      <c r="C1887" t="s">
        <v>4880</v>
      </c>
      <c r="D1887" t="s">
        <v>4880</v>
      </c>
      <c r="E1887" t="s">
        <v>4996</v>
      </c>
    </row>
    <row r="1888" spans="1:5" x14ac:dyDescent="0.2">
      <c r="A1888" t="s">
        <v>4997</v>
      </c>
      <c r="B1888" t="s">
        <v>4998</v>
      </c>
      <c r="C1888" t="s">
        <v>4880</v>
      </c>
      <c r="D1888" t="s">
        <v>4880</v>
      </c>
      <c r="E1888" t="s">
        <v>4895</v>
      </c>
    </row>
    <row r="1889" spans="1:5" x14ac:dyDescent="0.2">
      <c r="A1889" t="s">
        <v>4999</v>
      </c>
      <c r="B1889" t="s">
        <v>5000</v>
      </c>
      <c r="C1889" t="s">
        <v>4880</v>
      </c>
      <c r="D1889" t="s">
        <v>4880</v>
      </c>
      <c r="E1889" t="s">
        <v>5001</v>
      </c>
    </row>
    <row r="1890" spans="1:5" x14ac:dyDescent="0.2">
      <c r="A1890" t="s">
        <v>5002</v>
      </c>
      <c r="B1890" t="s">
        <v>5003</v>
      </c>
      <c r="C1890" t="s">
        <v>4880</v>
      </c>
      <c r="D1890" t="s">
        <v>4880</v>
      </c>
      <c r="E1890" t="s">
        <v>4881</v>
      </c>
    </row>
    <row r="1891" spans="1:5" x14ac:dyDescent="0.2">
      <c r="A1891" t="s">
        <v>5004</v>
      </c>
      <c r="B1891" t="s">
        <v>5005</v>
      </c>
      <c r="C1891" t="s">
        <v>4880</v>
      </c>
      <c r="D1891" t="s">
        <v>4880</v>
      </c>
      <c r="E1891" t="s">
        <v>4917</v>
      </c>
    </row>
    <row r="1892" spans="1:5" x14ac:dyDescent="0.2">
      <c r="A1892" t="s">
        <v>5006</v>
      </c>
      <c r="B1892" t="s">
        <v>5007</v>
      </c>
      <c r="C1892" t="s">
        <v>4880</v>
      </c>
      <c r="D1892" t="s">
        <v>4880</v>
      </c>
      <c r="E1892" t="s">
        <v>4895</v>
      </c>
    </row>
    <row r="1893" spans="1:5" x14ac:dyDescent="0.2">
      <c r="A1893" t="s">
        <v>5008</v>
      </c>
      <c r="B1893" t="s">
        <v>5009</v>
      </c>
      <c r="C1893" t="s">
        <v>4880</v>
      </c>
      <c r="D1893" t="s">
        <v>4880</v>
      </c>
      <c r="E1893" t="s">
        <v>4881</v>
      </c>
    </row>
    <row r="1894" spans="1:5" x14ac:dyDescent="0.2">
      <c r="A1894" t="s">
        <v>5010</v>
      </c>
      <c r="B1894" t="s">
        <v>5011</v>
      </c>
      <c r="C1894" t="s">
        <v>4880</v>
      </c>
      <c r="D1894" t="s">
        <v>4880</v>
      </c>
      <c r="E1894" t="s">
        <v>4909</v>
      </c>
    </row>
    <row r="1895" spans="1:5" x14ac:dyDescent="0.2">
      <c r="A1895" t="s">
        <v>5012</v>
      </c>
      <c r="B1895" t="s">
        <v>5013</v>
      </c>
      <c r="C1895" t="s">
        <v>4880</v>
      </c>
      <c r="D1895" t="s">
        <v>4880</v>
      </c>
      <c r="E1895" t="s">
        <v>4912</v>
      </c>
    </row>
    <row r="1896" spans="1:5" x14ac:dyDescent="0.2">
      <c r="A1896" t="s">
        <v>5014</v>
      </c>
      <c r="B1896" t="s">
        <v>5015</v>
      </c>
      <c r="C1896" t="s">
        <v>4880</v>
      </c>
      <c r="D1896" t="s">
        <v>4880</v>
      </c>
      <c r="E1896" t="s">
        <v>4917</v>
      </c>
    </row>
    <row r="1897" spans="1:5" x14ac:dyDescent="0.2">
      <c r="A1897" t="s">
        <v>5016</v>
      </c>
      <c r="B1897" t="s">
        <v>5017</v>
      </c>
      <c r="C1897" t="s">
        <v>4880</v>
      </c>
      <c r="D1897" t="s">
        <v>4880</v>
      </c>
      <c r="E1897" t="s">
        <v>4881</v>
      </c>
    </row>
    <row r="1898" spans="1:5" x14ac:dyDescent="0.2">
      <c r="A1898" t="s">
        <v>5018</v>
      </c>
      <c r="B1898" t="s">
        <v>5019</v>
      </c>
      <c r="C1898" t="s">
        <v>4880</v>
      </c>
      <c r="D1898" t="s">
        <v>4880</v>
      </c>
      <c r="E1898" t="s">
        <v>4909</v>
      </c>
    </row>
    <row r="1899" spans="1:5" x14ac:dyDescent="0.2">
      <c r="A1899" t="s">
        <v>5020</v>
      </c>
      <c r="B1899" t="s">
        <v>5021</v>
      </c>
      <c r="C1899" t="s">
        <v>4880</v>
      </c>
      <c r="D1899" t="s">
        <v>4880</v>
      </c>
      <c r="E1899" t="s">
        <v>4912</v>
      </c>
    </row>
    <row r="1900" spans="1:5" x14ac:dyDescent="0.2">
      <c r="A1900" t="s">
        <v>5022</v>
      </c>
      <c r="B1900" t="s">
        <v>5023</v>
      </c>
      <c r="C1900" t="s">
        <v>4880</v>
      </c>
      <c r="D1900" t="s">
        <v>4880</v>
      </c>
      <c r="E1900" t="s">
        <v>5024</v>
      </c>
    </row>
    <row r="1901" spans="1:5" x14ac:dyDescent="0.2">
      <c r="A1901" t="s">
        <v>5025</v>
      </c>
      <c r="B1901" t="s">
        <v>5026</v>
      </c>
      <c r="C1901" t="s">
        <v>4880</v>
      </c>
      <c r="D1901" t="s">
        <v>4880</v>
      </c>
      <c r="E1901" t="s">
        <v>4931</v>
      </c>
    </row>
    <row r="1902" spans="1:5" x14ac:dyDescent="0.2">
      <c r="A1902" t="s">
        <v>5027</v>
      </c>
      <c r="B1902" t="s">
        <v>5028</v>
      </c>
      <c r="C1902" t="s">
        <v>4880</v>
      </c>
      <c r="D1902" t="s">
        <v>4880</v>
      </c>
      <c r="E1902" t="s">
        <v>5029</v>
      </c>
    </row>
    <row r="1903" spans="1:5" x14ac:dyDescent="0.2">
      <c r="A1903" t="s">
        <v>5030</v>
      </c>
      <c r="B1903" t="s">
        <v>5031</v>
      </c>
      <c r="C1903" t="s">
        <v>4880</v>
      </c>
      <c r="D1903" t="s">
        <v>4880</v>
      </c>
      <c r="E1903" t="s">
        <v>4881</v>
      </c>
    </row>
    <row r="1904" spans="1:5" x14ac:dyDescent="0.2">
      <c r="A1904" t="s">
        <v>5032</v>
      </c>
      <c r="B1904" t="s">
        <v>5033</v>
      </c>
      <c r="C1904" t="s">
        <v>4880</v>
      </c>
      <c r="D1904" t="s">
        <v>4880</v>
      </c>
      <c r="E1904" t="s">
        <v>5034</v>
      </c>
    </row>
    <row r="1905" spans="1:5" x14ac:dyDescent="0.2">
      <c r="A1905" t="s">
        <v>5035</v>
      </c>
      <c r="B1905" t="s">
        <v>5036</v>
      </c>
      <c r="C1905" t="s">
        <v>4880</v>
      </c>
      <c r="D1905" t="s">
        <v>4880</v>
      </c>
      <c r="E1905" t="s">
        <v>4912</v>
      </c>
    </row>
    <row r="1906" spans="1:5" x14ac:dyDescent="0.2">
      <c r="A1906" t="s">
        <v>5037</v>
      </c>
      <c r="B1906" t="s">
        <v>5038</v>
      </c>
      <c r="C1906" t="s">
        <v>4880</v>
      </c>
      <c r="D1906" t="s">
        <v>4880</v>
      </c>
      <c r="E1906" t="s">
        <v>4912</v>
      </c>
    </row>
    <row r="1907" spans="1:5" x14ac:dyDescent="0.2">
      <c r="A1907" t="s">
        <v>5039</v>
      </c>
      <c r="B1907" t="s">
        <v>5040</v>
      </c>
      <c r="C1907" t="s">
        <v>4880</v>
      </c>
      <c r="D1907" t="s">
        <v>4880</v>
      </c>
      <c r="E1907" t="s">
        <v>4909</v>
      </c>
    </row>
    <row r="1908" spans="1:5" x14ac:dyDescent="0.2">
      <c r="A1908" t="s">
        <v>5041</v>
      </c>
      <c r="B1908" t="s">
        <v>5042</v>
      </c>
      <c r="C1908" t="s">
        <v>4880</v>
      </c>
      <c r="D1908" t="s">
        <v>4880</v>
      </c>
      <c r="E1908" t="s">
        <v>4881</v>
      </c>
    </row>
    <row r="1909" spans="1:5" x14ac:dyDescent="0.2">
      <c r="A1909" t="s">
        <v>5043</v>
      </c>
      <c r="B1909" t="s">
        <v>5044</v>
      </c>
      <c r="C1909" t="s">
        <v>4880</v>
      </c>
      <c r="D1909" t="s">
        <v>4880</v>
      </c>
      <c r="E1909" t="s">
        <v>5045</v>
      </c>
    </row>
    <row r="1910" spans="1:5" x14ac:dyDescent="0.2">
      <c r="A1910" t="s">
        <v>5046</v>
      </c>
      <c r="B1910" t="s">
        <v>5047</v>
      </c>
      <c r="C1910" t="s">
        <v>4880</v>
      </c>
      <c r="D1910" t="s">
        <v>4880</v>
      </c>
      <c r="E1910" t="s">
        <v>4909</v>
      </c>
    </row>
    <row r="1911" spans="1:5" x14ac:dyDescent="0.2">
      <c r="A1911" t="s">
        <v>5048</v>
      </c>
      <c r="B1911" t="s">
        <v>5049</v>
      </c>
      <c r="C1911" t="s">
        <v>4880</v>
      </c>
      <c r="D1911" t="s">
        <v>4880</v>
      </c>
      <c r="E1911" t="s">
        <v>4931</v>
      </c>
    </row>
    <row r="1912" spans="1:5" x14ac:dyDescent="0.2">
      <c r="A1912" t="s">
        <v>5050</v>
      </c>
      <c r="B1912" t="s">
        <v>5051</v>
      </c>
      <c r="C1912" t="s">
        <v>4880</v>
      </c>
      <c r="D1912" t="s">
        <v>4880</v>
      </c>
      <c r="E1912" t="s">
        <v>5052</v>
      </c>
    </row>
    <row r="1913" spans="1:5" x14ac:dyDescent="0.2">
      <c r="A1913" t="s">
        <v>5053</v>
      </c>
      <c r="B1913" t="s">
        <v>5054</v>
      </c>
      <c r="C1913" t="s">
        <v>4880</v>
      </c>
      <c r="D1913" t="s">
        <v>4880</v>
      </c>
      <c r="E1913" t="s">
        <v>4912</v>
      </c>
    </row>
    <row r="1914" spans="1:5" x14ac:dyDescent="0.2">
      <c r="A1914" t="s">
        <v>5055</v>
      </c>
      <c r="B1914" t="s">
        <v>5056</v>
      </c>
      <c r="C1914" t="s">
        <v>4880</v>
      </c>
      <c r="D1914" t="s">
        <v>4880</v>
      </c>
      <c r="E1914" t="s">
        <v>5057</v>
      </c>
    </row>
    <row r="1915" spans="1:5" x14ac:dyDescent="0.2">
      <c r="A1915" t="s">
        <v>5058</v>
      </c>
      <c r="B1915" t="s">
        <v>5059</v>
      </c>
      <c r="C1915" t="s">
        <v>4880</v>
      </c>
      <c r="D1915" t="s">
        <v>4880</v>
      </c>
      <c r="E1915" t="s">
        <v>4912</v>
      </c>
    </row>
    <row r="1916" spans="1:5" x14ac:dyDescent="0.2">
      <c r="A1916" t="s">
        <v>5060</v>
      </c>
      <c r="B1916" t="s">
        <v>5061</v>
      </c>
      <c r="C1916" t="s">
        <v>4880</v>
      </c>
      <c r="D1916" t="s">
        <v>4880</v>
      </c>
      <c r="E1916" t="s">
        <v>4909</v>
      </c>
    </row>
    <row r="1917" spans="1:5" x14ac:dyDescent="0.2">
      <c r="A1917" t="s">
        <v>5062</v>
      </c>
      <c r="B1917" t="s">
        <v>5063</v>
      </c>
      <c r="C1917" t="s">
        <v>4880</v>
      </c>
      <c r="D1917" t="s">
        <v>4880</v>
      </c>
      <c r="E1917" t="s">
        <v>4895</v>
      </c>
    </row>
    <row r="1918" spans="1:5" x14ac:dyDescent="0.2">
      <c r="A1918" t="s">
        <v>5064</v>
      </c>
      <c r="B1918" t="s">
        <v>5065</v>
      </c>
      <c r="C1918" t="s">
        <v>4880</v>
      </c>
      <c r="D1918" t="s">
        <v>4880</v>
      </c>
      <c r="E1918" t="s">
        <v>4931</v>
      </c>
    </row>
    <row r="1919" spans="1:5" x14ac:dyDescent="0.2">
      <c r="A1919" t="s">
        <v>5066</v>
      </c>
      <c r="B1919" t="s">
        <v>5067</v>
      </c>
      <c r="C1919" t="s">
        <v>4880</v>
      </c>
      <c r="D1919" t="s">
        <v>4880</v>
      </c>
      <c r="E1919" t="s">
        <v>4881</v>
      </c>
    </row>
    <row r="1920" spans="1:5" x14ac:dyDescent="0.2">
      <c r="A1920" t="s">
        <v>5068</v>
      </c>
      <c r="B1920" t="s">
        <v>5069</v>
      </c>
      <c r="C1920" t="s">
        <v>4880</v>
      </c>
      <c r="D1920" t="s">
        <v>4880</v>
      </c>
      <c r="E1920" t="s">
        <v>4895</v>
      </c>
    </row>
    <row r="1921" spans="1:5" x14ac:dyDescent="0.2">
      <c r="A1921" t="s">
        <v>5070</v>
      </c>
      <c r="B1921" t="s">
        <v>5071</v>
      </c>
      <c r="C1921" t="s">
        <v>4880</v>
      </c>
      <c r="D1921" t="s">
        <v>4880</v>
      </c>
      <c r="E1921" t="s">
        <v>5072</v>
      </c>
    </row>
    <row r="1922" spans="1:5" x14ac:dyDescent="0.2">
      <c r="A1922" t="s">
        <v>5073</v>
      </c>
      <c r="B1922" t="s">
        <v>5074</v>
      </c>
      <c r="C1922" t="s">
        <v>4880</v>
      </c>
      <c r="D1922" t="s">
        <v>4880</v>
      </c>
      <c r="E1922" t="s">
        <v>4931</v>
      </c>
    </row>
    <row r="1923" spans="1:5" x14ac:dyDescent="0.2">
      <c r="A1923" t="s">
        <v>5075</v>
      </c>
      <c r="B1923" t="s">
        <v>5076</v>
      </c>
      <c r="C1923" t="s">
        <v>4880</v>
      </c>
      <c r="D1923" t="s">
        <v>4880</v>
      </c>
      <c r="E1923" t="s">
        <v>4881</v>
      </c>
    </row>
    <row r="1924" spans="1:5" x14ac:dyDescent="0.2">
      <c r="A1924" t="s">
        <v>5077</v>
      </c>
      <c r="B1924" t="s">
        <v>5078</v>
      </c>
      <c r="C1924" t="s">
        <v>4880</v>
      </c>
      <c r="D1924" t="s">
        <v>4880</v>
      </c>
      <c r="E1924" t="s">
        <v>5079</v>
      </c>
    </row>
    <row r="1925" spans="1:5" x14ac:dyDescent="0.2">
      <c r="A1925" t="s">
        <v>5080</v>
      </c>
      <c r="B1925" t="s">
        <v>5081</v>
      </c>
      <c r="C1925" t="s">
        <v>4880</v>
      </c>
      <c r="D1925" t="s">
        <v>4880</v>
      </c>
      <c r="E1925" t="s">
        <v>4917</v>
      </c>
    </row>
    <row r="1926" spans="1:5" x14ac:dyDescent="0.2">
      <c r="A1926" t="s">
        <v>5082</v>
      </c>
      <c r="B1926" t="s">
        <v>5083</v>
      </c>
      <c r="C1926" t="s">
        <v>4880</v>
      </c>
      <c r="D1926" t="s">
        <v>4880</v>
      </c>
      <c r="E1926" t="s">
        <v>5084</v>
      </c>
    </row>
    <row r="1927" spans="1:5" x14ac:dyDescent="0.2">
      <c r="A1927" t="s">
        <v>5085</v>
      </c>
      <c r="B1927" t="s">
        <v>5086</v>
      </c>
      <c r="C1927" t="s">
        <v>4880</v>
      </c>
      <c r="D1927" t="s">
        <v>4880</v>
      </c>
      <c r="E1927" t="s">
        <v>4917</v>
      </c>
    </row>
    <row r="1928" spans="1:5" x14ac:dyDescent="0.2">
      <c r="A1928" t="s">
        <v>5087</v>
      </c>
      <c r="B1928" t="s">
        <v>5088</v>
      </c>
      <c r="C1928" t="s">
        <v>4880</v>
      </c>
      <c r="D1928" t="s">
        <v>4880</v>
      </c>
      <c r="E1928" t="s">
        <v>4881</v>
      </c>
    </row>
    <row r="1929" spans="1:5" x14ac:dyDescent="0.2">
      <c r="A1929" t="s">
        <v>5089</v>
      </c>
      <c r="B1929" t="s">
        <v>5090</v>
      </c>
      <c r="C1929" t="s">
        <v>4880</v>
      </c>
      <c r="D1929" t="s">
        <v>4880</v>
      </c>
      <c r="E1929" t="s">
        <v>4881</v>
      </c>
    </row>
    <row r="1930" spans="1:5" x14ac:dyDescent="0.2">
      <c r="A1930" t="s">
        <v>5091</v>
      </c>
      <c r="B1930" t="s">
        <v>5092</v>
      </c>
      <c r="C1930" t="s">
        <v>4880</v>
      </c>
      <c r="D1930" t="s">
        <v>4880</v>
      </c>
      <c r="E1930" t="s">
        <v>5093</v>
      </c>
    </row>
    <row r="1931" spans="1:5" x14ac:dyDescent="0.2">
      <c r="A1931" t="s">
        <v>5094</v>
      </c>
      <c r="B1931" t="s">
        <v>5095</v>
      </c>
      <c r="C1931" t="s">
        <v>4880</v>
      </c>
      <c r="D1931" t="s">
        <v>4880</v>
      </c>
      <c r="E1931" t="s">
        <v>5096</v>
      </c>
    </row>
    <row r="1932" spans="1:5" x14ac:dyDescent="0.2">
      <c r="A1932" t="s">
        <v>5097</v>
      </c>
      <c r="B1932" t="s">
        <v>5098</v>
      </c>
      <c r="C1932" t="s">
        <v>4880</v>
      </c>
      <c r="D1932" t="s">
        <v>4880</v>
      </c>
      <c r="E1932" t="s">
        <v>4909</v>
      </c>
    </row>
    <row r="1933" spans="1:5" x14ac:dyDescent="0.2">
      <c r="A1933" t="s">
        <v>5099</v>
      </c>
      <c r="B1933" t="s">
        <v>5100</v>
      </c>
      <c r="C1933" t="s">
        <v>4880</v>
      </c>
      <c r="D1933" t="s">
        <v>4880</v>
      </c>
      <c r="E1933" t="s">
        <v>4912</v>
      </c>
    </row>
    <row r="1934" spans="1:5" x14ac:dyDescent="0.2">
      <c r="A1934" t="s">
        <v>5101</v>
      </c>
      <c r="B1934" t="s">
        <v>5102</v>
      </c>
      <c r="C1934" t="s">
        <v>4880</v>
      </c>
      <c r="D1934" t="s">
        <v>4880</v>
      </c>
      <c r="E1934" t="s">
        <v>4912</v>
      </c>
    </row>
    <row r="1935" spans="1:5" x14ac:dyDescent="0.2">
      <c r="A1935" t="s">
        <v>5103</v>
      </c>
      <c r="B1935" t="s">
        <v>5104</v>
      </c>
      <c r="C1935" t="s">
        <v>4880</v>
      </c>
      <c r="D1935" t="s">
        <v>4880</v>
      </c>
      <c r="E1935" t="s">
        <v>5105</v>
      </c>
    </row>
    <row r="1936" spans="1:5" x14ac:dyDescent="0.2">
      <c r="A1936" t="s">
        <v>5106</v>
      </c>
      <c r="B1936" t="s">
        <v>5107</v>
      </c>
      <c r="C1936" t="s">
        <v>4880</v>
      </c>
      <c r="D1936" t="s">
        <v>4880</v>
      </c>
      <c r="E1936" t="s">
        <v>4881</v>
      </c>
    </row>
    <row r="1937" spans="1:5" x14ac:dyDescent="0.2">
      <c r="A1937" t="s">
        <v>5108</v>
      </c>
      <c r="B1937" t="s">
        <v>5109</v>
      </c>
      <c r="C1937" t="s">
        <v>4880</v>
      </c>
      <c r="D1937" t="s">
        <v>4880</v>
      </c>
      <c r="E1937" t="s">
        <v>4917</v>
      </c>
    </row>
    <row r="1938" spans="1:5" x14ac:dyDescent="0.2">
      <c r="A1938" t="s">
        <v>5110</v>
      </c>
      <c r="B1938" t="s">
        <v>5111</v>
      </c>
      <c r="C1938" t="s">
        <v>4880</v>
      </c>
      <c r="D1938" t="s">
        <v>4880</v>
      </c>
      <c r="E1938" t="s">
        <v>4881</v>
      </c>
    </row>
    <row r="1939" spans="1:5" x14ac:dyDescent="0.2">
      <c r="A1939" t="s">
        <v>5112</v>
      </c>
      <c r="B1939" t="s">
        <v>5113</v>
      </c>
      <c r="C1939" t="s">
        <v>4880</v>
      </c>
      <c r="D1939" t="s">
        <v>4880</v>
      </c>
      <c r="E1939" t="s">
        <v>4909</v>
      </c>
    </row>
    <row r="1940" spans="1:5" x14ac:dyDescent="0.2">
      <c r="A1940" t="s">
        <v>5114</v>
      </c>
      <c r="B1940" t="s">
        <v>5115</v>
      </c>
      <c r="C1940" t="s">
        <v>4880</v>
      </c>
      <c r="D1940" t="s">
        <v>4880</v>
      </c>
      <c r="E1940" t="s">
        <v>4895</v>
      </c>
    </row>
    <row r="1941" spans="1:5" x14ac:dyDescent="0.2">
      <c r="A1941" t="s">
        <v>5116</v>
      </c>
      <c r="B1941" t="s">
        <v>5117</v>
      </c>
      <c r="C1941" t="s">
        <v>4880</v>
      </c>
      <c r="D1941" t="s">
        <v>4880</v>
      </c>
      <c r="E1941" t="s">
        <v>4912</v>
      </c>
    </row>
    <row r="1942" spans="1:5" x14ac:dyDescent="0.2">
      <c r="A1942" t="s">
        <v>5118</v>
      </c>
      <c r="B1942" t="s">
        <v>5119</v>
      </c>
      <c r="C1942" t="s">
        <v>4880</v>
      </c>
      <c r="D1942" t="s">
        <v>4880</v>
      </c>
      <c r="E1942" t="s">
        <v>5120</v>
      </c>
    </row>
    <row r="1943" spans="1:5" x14ac:dyDescent="0.2">
      <c r="A1943" t="s">
        <v>5121</v>
      </c>
      <c r="B1943" t="s">
        <v>5122</v>
      </c>
      <c r="C1943" t="s">
        <v>4880</v>
      </c>
      <c r="D1943" t="s">
        <v>4880</v>
      </c>
      <c r="E1943" t="s">
        <v>4881</v>
      </c>
    </row>
    <row r="1944" spans="1:5" x14ac:dyDescent="0.2">
      <c r="A1944" t="s">
        <v>5123</v>
      </c>
      <c r="B1944" t="s">
        <v>5124</v>
      </c>
      <c r="C1944" t="s">
        <v>4880</v>
      </c>
      <c r="D1944" t="s">
        <v>4880</v>
      </c>
      <c r="E1944" t="s">
        <v>4881</v>
      </c>
    </row>
    <row r="1945" spans="1:5" x14ac:dyDescent="0.2">
      <c r="A1945" t="s">
        <v>5125</v>
      </c>
      <c r="B1945" t="s">
        <v>5126</v>
      </c>
      <c r="C1945" t="s">
        <v>4880</v>
      </c>
      <c r="D1945" t="s">
        <v>4880</v>
      </c>
      <c r="E1945" t="s">
        <v>5127</v>
      </c>
    </row>
    <row r="1946" spans="1:5" x14ac:dyDescent="0.2">
      <c r="A1946" t="s">
        <v>5128</v>
      </c>
      <c r="B1946" t="s">
        <v>5129</v>
      </c>
      <c r="C1946" t="s">
        <v>4880</v>
      </c>
      <c r="D1946" t="s">
        <v>4880</v>
      </c>
      <c r="E1946" t="s">
        <v>4931</v>
      </c>
    </row>
    <row r="1947" spans="1:5" x14ac:dyDescent="0.2">
      <c r="A1947" t="s">
        <v>5130</v>
      </c>
      <c r="B1947" t="s">
        <v>5131</v>
      </c>
      <c r="C1947" t="s">
        <v>4880</v>
      </c>
      <c r="D1947" t="s">
        <v>4880</v>
      </c>
      <c r="E1947" t="s">
        <v>4881</v>
      </c>
    </row>
    <row r="1948" spans="1:5" x14ac:dyDescent="0.2">
      <c r="A1948" t="s">
        <v>5132</v>
      </c>
      <c r="B1948" t="s">
        <v>5133</v>
      </c>
      <c r="C1948" t="s">
        <v>4880</v>
      </c>
      <c r="D1948" t="s">
        <v>4880</v>
      </c>
      <c r="E1948" t="s">
        <v>4912</v>
      </c>
    </row>
    <row r="1949" spans="1:5" x14ac:dyDescent="0.2">
      <c r="A1949" t="s">
        <v>5134</v>
      </c>
      <c r="B1949" t="s">
        <v>5135</v>
      </c>
      <c r="C1949" t="s">
        <v>4880</v>
      </c>
      <c r="D1949" t="s">
        <v>4880</v>
      </c>
      <c r="E1949" t="s">
        <v>4912</v>
      </c>
    </row>
    <row r="1950" spans="1:5" x14ac:dyDescent="0.2">
      <c r="A1950" t="s">
        <v>5136</v>
      </c>
      <c r="B1950" t="s">
        <v>5137</v>
      </c>
      <c r="C1950" t="s">
        <v>4880</v>
      </c>
      <c r="D1950" t="s">
        <v>4880</v>
      </c>
      <c r="E1950" t="s">
        <v>4931</v>
      </c>
    </row>
    <row r="1951" spans="1:5" x14ac:dyDescent="0.2">
      <c r="A1951" t="s">
        <v>5138</v>
      </c>
      <c r="B1951" t="s">
        <v>5139</v>
      </c>
      <c r="C1951" t="s">
        <v>4880</v>
      </c>
      <c r="D1951" t="s">
        <v>4880</v>
      </c>
      <c r="E1951" t="s">
        <v>4912</v>
      </c>
    </row>
    <row r="1952" spans="1:5" x14ac:dyDescent="0.2">
      <c r="A1952" t="s">
        <v>5140</v>
      </c>
      <c r="B1952" t="s">
        <v>5141</v>
      </c>
      <c r="C1952" t="s">
        <v>4880</v>
      </c>
      <c r="D1952" t="s">
        <v>4880</v>
      </c>
      <c r="E1952" t="s">
        <v>4881</v>
      </c>
    </row>
    <row r="1953" spans="1:5" x14ac:dyDescent="0.2">
      <c r="A1953" t="s">
        <v>5142</v>
      </c>
      <c r="B1953" t="s">
        <v>5143</v>
      </c>
      <c r="C1953" t="s">
        <v>4880</v>
      </c>
      <c r="D1953" t="s">
        <v>4880</v>
      </c>
      <c r="E1953" t="s">
        <v>5144</v>
      </c>
    </row>
    <row r="1954" spans="1:5" x14ac:dyDescent="0.2">
      <c r="A1954" t="s">
        <v>5145</v>
      </c>
      <c r="B1954" t="s">
        <v>5146</v>
      </c>
      <c r="C1954" t="s">
        <v>4880</v>
      </c>
      <c r="D1954" t="s">
        <v>4880</v>
      </c>
      <c r="E1954" t="s">
        <v>4917</v>
      </c>
    </row>
    <row r="1955" spans="1:5" x14ac:dyDescent="0.2">
      <c r="A1955" t="s">
        <v>5147</v>
      </c>
      <c r="B1955" t="s">
        <v>5148</v>
      </c>
      <c r="C1955" t="s">
        <v>4880</v>
      </c>
      <c r="D1955" t="s">
        <v>4880</v>
      </c>
      <c r="E1955" t="s">
        <v>4909</v>
      </c>
    </row>
    <row r="1956" spans="1:5" x14ac:dyDescent="0.2">
      <c r="A1956" t="s">
        <v>5149</v>
      </c>
      <c r="B1956" t="s">
        <v>5150</v>
      </c>
      <c r="C1956" t="s">
        <v>4880</v>
      </c>
      <c r="D1956" t="s">
        <v>4880</v>
      </c>
      <c r="E1956" t="s">
        <v>4909</v>
      </c>
    </row>
    <row r="1957" spans="1:5" x14ac:dyDescent="0.2">
      <c r="A1957" t="s">
        <v>5151</v>
      </c>
      <c r="B1957" t="s">
        <v>5152</v>
      </c>
      <c r="C1957" t="s">
        <v>4880</v>
      </c>
      <c r="D1957" t="s">
        <v>4880</v>
      </c>
      <c r="E1957" t="s">
        <v>5029</v>
      </c>
    </row>
    <row r="1958" spans="1:5" x14ac:dyDescent="0.2">
      <c r="A1958" t="s">
        <v>5153</v>
      </c>
      <c r="B1958" t="s">
        <v>5154</v>
      </c>
      <c r="C1958" t="s">
        <v>4880</v>
      </c>
      <c r="D1958" t="s">
        <v>4880</v>
      </c>
      <c r="E1958" t="s">
        <v>4917</v>
      </c>
    </row>
    <row r="1959" spans="1:5" x14ac:dyDescent="0.2">
      <c r="A1959" t="s">
        <v>5155</v>
      </c>
      <c r="B1959" t="s">
        <v>5156</v>
      </c>
      <c r="C1959" t="s">
        <v>4880</v>
      </c>
      <c r="D1959" t="s">
        <v>4880</v>
      </c>
      <c r="E1959" t="s">
        <v>4909</v>
      </c>
    </row>
    <row r="1960" spans="1:5" x14ac:dyDescent="0.2">
      <c r="A1960" t="s">
        <v>5157</v>
      </c>
      <c r="B1960" t="s">
        <v>5158</v>
      </c>
      <c r="C1960" t="s">
        <v>4880</v>
      </c>
      <c r="D1960" t="s">
        <v>4880</v>
      </c>
      <c r="E1960" t="s">
        <v>4895</v>
      </c>
    </row>
    <row r="1961" spans="1:5" x14ac:dyDescent="0.2">
      <c r="A1961" t="s">
        <v>5159</v>
      </c>
      <c r="B1961" t="s">
        <v>5160</v>
      </c>
      <c r="C1961" t="s">
        <v>4880</v>
      </c>
      <c r="D1961" t="s">
        <v>4880</v>
      </c>
      <c r="E1961" t="s">
        <v>5161</v>
      </c>
    </row>
    <row r="1962" spans="1:5" x14ac:dyDescent="0.2">
      <c r="A1962" t="s">
        <v>5162</v>
      </c>
      <c r="B1962" t="s">
        <v>5163</v>
      </c>
      <c r="C1962" t="s">
        <v>4880</v>
      </c>
      <c r="D1962" t="s">
        <v>4880</v>
      </c>
      <c r="E1962" t="s">
        <v>4931</v>
      </c>
    </row>
    <row r="1963" spans="1:5" x14ac:dyDescent="0.2">
      <c r="A1963" t="s">
        <v>5164</v>
      </c>
      <c r="B1963" t="s">
        <v>5165</v>
      </c>
      <c r="C1963" t="s">
        <v>4880</v>
      </c>
      <c r="D1963" t="s">
        <v>4880</v>
      </c>
      <c r="E1963" t="s">
        <v>5034</v>
      </c>
    </row>
    <row r="1964" spans="1:5" x14ac:dyDescent="0.2">
      <c r="A1964" t="s">
        <v>5166</v>
      </c>
      <c r="B1964" t="s">
        <v>5167</v>
      </c>
      <c r="C1964" t="s">
        <v>4880</v>
      </c>
      <c r="D1964" t="s">
        <v>4880</v>
      </c>
      <c r="E1964" t="s">
        <v>4909</v>
      </c>
    </row>
    <row r="1965" spans="1:5" x14ac:dyDescent="0.2">
      <c r="A1965" t="s">
        <v>5168</v>
      </c>
      <c r="B1965" t="s">
        <v>5169</v>
      </c>
      <c r="C1965" t="s">
        <v>4880</v>
      </c>
      <c r="D1965" t="s">
        <v>4880</v>
      </c>
      <c r="E1965" t="s">
        <v>4895</v>
      </c>
    </row>
    <row r="1966" spans="1:5" x14ac:dyDescent="0.2">
      <c r="A1966" t="s">
        <v>5170</v>
      </c>
      <c r="B1966" t="s">
        <v>5171</v>
      </c>
      <c r="C1966" t="s">
        <v>4880</v>
      </c>
      <c r="D1966" t="s">
        <v>4880</v>
      </c>
      <c r="E1966" t="s">
        <v>5172</v>
      </c>
    </row>
    <row r="1967" spans="1:5" x14ac:dyDescent="0.2">
      <c r="A1967" t="s">
        <v>5173</v>
      </c>
      <c r="B1967" t="s">
        <v>5174</v>
      </c>
      <c r="C1967" t="s">
        <v>4880</v>
      </c>
      <c r="D1967" t="s">
        <v>4880</v>
      </c>
      <c r="E1967" t="s">
        <v>4917</v>
      </c>
    </row>
    <row r="1968" spans="1:5" x14ac:dyDescent="0.2">
      <c r="A1968" t="s">
        <v>5175</v>
      </c>
      <c r="B1968" t="s">
        <v>5176</v>
      </c>
      <c r="C1968" t="s">
        <v>4880</v>
      </c>
      <c r="D1968" t="s">
        <v>4880</v>
      </c>
      <c r="E1968" t="s">
        <v>4909</v>
      </c>
    </row>
    <row r="1969" spans="1:5" x14ac:dyDescent="0.2">
      <c r="A1969" t="s">
        <v>5177</v>
      </c>
      <c r="B1969" t="s">
        <v>5178</v>
      </c>
      <c r="C1969" t="s">
        <v>4880</v>
      </c>
      <c r="D1969" t="s">
        <v>4880</v>
      </c>
      <c r="E1969" t="s">
        <v>4917</v>
      </c>
    </row>
    <row r="1970" spans="1:5" x14ac:dyDescent="0.2">
      <c r="A1970" t="s">
        <v>5179</v>
      </c>
      <c r="B1970" t="s">
        <v>5180</v>
      </c>
      <c r="C1970" t="s">
        <v>4880</v>
      </c>
      <c r="D1970" t="s">
        <v>4880</v>
      </c>
      <c r="E1970" t="s">
        <v>4881</v>
      </c>
    </row>
    <row r="1971" spans="1:5" x14ac:dyDescent="0.2">
      <c r="A1971" t="s">
        <v>5181</v>
      </c>
      <c r="B1971" t="s">
        <v>5182</v>
      </c>
      <c r="C1971" t="s">
        <v>4880</v>
      </c>
      <c r="D1971" t="s">
        <v>4880</v>
      </c>
      <c r="E1971" t="s">
        <v>4881</v>
      </c>
    </row>
    <row r="1972" spans="1:5" x14ac:dyDescent="0.2">
      <c r="A1972" t="s">
        <v>5183</v>
      </c>
      <c r="B1972" t="s">
        <v>5184</v>
      </c>
      <c r="C1972" t="s">
        <v>4880</v>
      </c>
      <c r="D1972" t="s">
        <v>4880</v>
      </c>
      <c r="E1972" t="s">
        <v>4931</v>
      </c>
    </row>
    <row r="1973" spans="1:5" x14ac:dyDescent="0.2">
      <c r="A1973" t="s">
        <v>5185</v>
      </c>
      <c r="B1973" t="s">
        <v>5186</v>
      </c>
      <c r="C1973" t="s">
        <v>4880</v>
      </c>
      <c r="D1973" t="s">
        <v>4880</v>
      </c>
      <c r="E1973" t="s">
        <v>4931</v>
      </c>
    </row>
    <row r="1974" spans="1:5" x14ac:dyDescent="0.2">
      <c r="A1974" t="s">
        <v>5187</v>
      </c>
      <c r="B1974" t="s">
        <v>5188</v>
      </c>
      <c r="C1974" t="s">
        <v>4880</v>
      </c>
      <c r="D1974" t="s">
        <v>4880</v>
      </c>
      <c r="E1974" t="s">
        <v>4931</v>
      </c>
    </row>
    <row r="1975" spans="1:5" x14ac:dyDescent="0.2">
      <c r="A1975" t="s">
        <v>5189</v>
      </c>
      <c r="B1975" t="s">
        <v>5190</v>
      </c>
      <c r="C1975" t="s">
        <v>4880</v>
      </c>
      <c r="D1975" t="s">
        <v>4880</v>
      </c>
      <c r="E1975" t="s">
        <v>4895</v>
      </c>
    </row>
    <row r="1976" spans="1:5" x14ac:dyDescent="0.2">
      <c r="A1976" t="s">
        <v>5191</v>
      </c>
      <c r="B1976" t="s">
        <v>5192</v>
      </c>
      <c r="C1976" t="s">
        <v>4880</v>
      </c>
      <c r="D1976" t="s">
        <v>4880</v>
      </c>
      <c r="E1976" t="s">
        <v>5193</v>
      </c>
    </row>
    <row r="1977" spans="1:5" x14ac:dyDescent="0.2">
      <c r="A1977" t="s">
        <v>5194</v>
      </c>
      <c r="B1977" t="s">
        <v>5195</v>
      </c>
      <c r="C1977" t="s">
        <v>4880</v>
      </c>
      <c r="D1977" t="s">
        <v>4880</v>
      </c>
      <c r="E1977" t="s">
        <v>4917</v>
      </c>
    </row>
    <row r="1978" spans="1:5" x14ac:dyDescent="0.2">
      <c r="A1978" t="s">
        <v>5196</v>
      </c>
      <c r="B1978" t="s">
        <v>5197</v>
      </c>
      <c r="C1978" t="s">
        <v>4880</v>
      </c>
      <c r="D1978" t="s">
        <v>4880</v>
      </c>
      <c r="E1978" t="s">
        <v>5198</v>
      </c>
    </row>
    <row r="1979" spans="1:5" x14ac:dyDescent="0.2">
      <c r="A1979" t="s">
        <v>5199</v>
      </c>
      <c r="B1979" t="s">
        <v>5200</v>
      </c>
      <c r="C1979" t="s">
        <v>4880</v>
      </c>
      <c r="D1979" t="s">
        <v>4880</v>
      </c>
      <c r="E1979" t="s">
        <v>4912</v>
      </c>
    </row>
    <row r="1980" spans="1:5" x14ac:dyDescent="0.2">
      <c r="A1980" t="s">
        <v>5201</v>
      </c>
      <c r="B1980" t="s">
        <v>5202</v>
      </c>
      <c r="C1980" t="s">
        <v>4880</v>
      </c>
      <c r="D1980" t="s">
        <v>4880</v>
      </c>
      <c r="E1980" t="s">
        <v>4912</v>
      </c>
    </row>
    <row r="1981" spans="1:5" x14ac:dyDescent="0.2">
      <c r="A1981" t="s">
        <v>5203</v>
      </c>
      <c r="B1981" t="s">
        <v>5204</v>
      </c>
      <c r="C1981" t="s">
        <v>4880</v>
      </c>
      <c r="D1981" t="s">
        <v>4880</v>
      </c>
      <c r="E1981" t="s">
        <v>4912</v>
      </c>
    </row>
    <row r="1982" spans="1:5" x14ac:dyDescent="0.2">
      <c r="A1982" t="s">
        <v>5205</v>
      </c>
      <c r="B1982" t="s">
        <v>5206</v>
      </c>
      <c r="C1982" t="s">
        <v>4880</v>
      </c>
      <c r="D1982" t="s">
        <v>4880</v>
      </c>
      <c r="E1982" t="s">
        <v>4931</v>
      </c>
    </row>
    <row r="1983" spans="1:5" x14ac:dyDescent="0.2">
      <c r="A1983" t="s">
        <v>5207</v>
      </c>
      <c r="B1983" t="s">
        <v>5208</v>
      </c>
      <c r="C1983" t="s">
        <v>4880</v>
      </c>
      <c r="D1983" t="s">
        <v>4880</v>
      </c>
      <c r="E1983" t="s">
        <v>4917</v>
      </c>
    </row>
    <row r="1984" spans="1:5" x14ac:dyDescent="0.2">
      <c r="A1984" t="s">
        <v>5209</v>
      </c>
      <c r="B1984" t="s">
        <v>5210</v>
      </c>
      <c r="C1984" t="s">
        <v>4880</v>
      </c>
      <c r="D1984" t="s">
        <v>4880</v>
      </c>
      <c r="E1984" t="s">
        <v>4909</v>
      </c>
    </row>
    <row r="1985" spans="1:5" x14ac:dyDescent="0.2">
      <c r="A1985" t="s">
        <v>5211</v>
      </c>
      <c r="B1985" t="s">
        <v>5212</v>
      </c>
      <c r="C1985" t="s">
        <v>4880</v>
      </c>
      <c r="D1985" t="s">
        <v>4880</v>
      </c>
      <c r="E1985" t="s">
        <v>5213</v>
      </c>
    </row>
    <row r="1986" spans="1:5" x14ac:dyDescent="0.2">
      <c r="A1986" t="s">
        <v>5214</v>
      </c>
      <c r="B1986" t="s">
        <v>5215</v>
      </c>
      <c r="C1986" t="s">
        <v>4880</v>
      </c>
      <c r="D1986" t="s">
        <v>4880</v>
      </c>
      <c r="E1986" t="s">
        <v>4909</v>
      </c>
    </row>
    <row r="1987" spans="1:5" x14ac:dyDescent="0.2">
      <c r="A1987" t="s">
        <v>5216</v>
      </c>
      <c r="B1987" t="s">
        <v>5217</v>
      </c>
      <c r="C1987" t="s">
        <v>4880</v>
      </c>
      <c r="D1987" t="s">
        <v>4880</v>
      </c>
      <c r="E1987" t="s">
        <v>4895</v>
      </c>
    </row>
    <row r="1988" spans="1:5" x14ac:dyDescent="0.2">
      <c r="A1988" t="s">
        <v>5218</v>
      </c>
      <c r="B1988" t="s">
        <v>5219</v>
      </c>
      <c r="C1988" t="s">
        <v>4880</v>
      </c>
      <c r="D1988" t="s">
        <v>4880</v>
      </c>
      <c r="E1988" t="s">
        <v>4895</v>
      </c>
    </row>
    <row r="1989" spans="1:5" x14ac:dyDescent="0.2">
      <c r="A1989" t="s">
        <v>5220</v>
      </c>
      <c r="B1989" t="s">
        <v>5221</v>
      </c>
      <c r="C1989" t="s">
        <v>4880</v>
      </c>
      <c r="D1989" t="s">
        <v>4880</v>
      </c>
      <c r="E1989" t="s">
        <v>4931</v>
      </c>
    </row>
    <row r="1990" spans="1:5" x14ac:dyDescent="0.2">
      <c r="A1990" t="s">
        <v>5222</v>
      </c>
      <c r="B1990" t="s">
        <v>5223</v>
      </c>
      <c r="C1990" t="s">
        <v>4880</v>
      </c>
      <c r="D1990" t="s">
        <v>4880</v>
      </c>
      <c r="E1990" t="s">
        <v>4912</v>
      </c>
    </row>
    <row r="1991" spans="1:5" x14ac:dyDescent="0.2">
      <c r="A1991" t="s">
        <v>5224</v>
      </c>
      <c r="B1991" t="s">
        <v>5225</v>
      </c>
      <c r="C1991" t="s">
        <v>4880</v>
      </c>
      <c r="D1991" t="s">
        <v>4880</v>
      </c>
      <c r="E1991" t="s">
        <v>4881</v>
      </c>
    </row>
    <row r="1992" spans="1:5" x14ac:dyDescent="0.2">
      <c r="A1992" t="s">
        <v>5226</v>
      </c>
      <c r="B1992" t="s">
        <v>5227</v>
      </c>
      <c r="C1992" t="s">
        <v>4880</v>
      </c>
      <c r="D1992" t="s">
        <v>4880</v>
      </c>
      <c r="E1992" t="s">
        <v>5228</v>
      </c>
    </row>
    <row r="1993" spans="1:5" x14ac:dyDescent="0.2">
      <c r="A1993" t="s">
        <v>5229</v>
      </c>
      <c r="B1993" t="s">
        <v>5230</v>
      </c>
      <c r="C1993" t="s">
        <v>4880</v>
      </c>
      <c r="D1993" t="s">
        <v>4880</v>
      </c>
      <c r="E1993" t="s">
        <v>4912</v>
      </c>
    </row>
    <row r="1994" spans="1:5" x14ac:dyDescent="0.2">
      <c r="A1994" t="s">
        <v>5231</v>
      </c>
      <c r="B1994" t="s">
        <v>5232</v>
      </c>
      <c r="C1994" t="s">
        <v>4880</v>
      </c>
      <c r="D1994" t="s">
        <v>4880</v>
      </c>
      <c r="E1994" t="s">
        <v>4881</v>
      </c>
    </row>
    <row r="1995" spans="1:5" x14ac:dyDescent="0.2">
      <c r="A1995" t="s">
        <v>5233</v>
      </c>
      <c r="B1995" t="s">
        <v>5234</v>
      </c>
      <c r="C1995" t="s">
        <v>4880</v>
      </c>
      <c r="D1995" t="s">
        <v>4880</v>
      </c>
      <c r="E1995" t="s">
        <v>4912</v>
      </c>
    </row>
    <row r="1996" spans="1:5" x14ac:dyDescent="0.2">
      <c r="A1996" t="s">
        <v>5235</v>
      </c>
      <c r="B1996" t="s">
        <v>5236</v>
      </c>
      <c r="C1996" t="s">
        <v>4880</v>
      </c>
      <c r="D1996" t="s">
        <v>4880</v>
      </c>
      <c r="E1996" t="s">
        <v>5237</v>
      </c>
    </row>
    <row r="1997" spans="1:5" x14ac:dyDescent="0.2">
      <c r="A1997" t="s">
        <v>5238</v>
      </c>
      <c r="B1997" t="s">
        <v>5239</v>
      </c>
      <c r="C1997" t="s">
        <v>4880</v>
      </c>
      <c r="D1997" t="s">
        <v>4880</v>
      </c>
      <c r="E1997" t="s">
        <v>4917</v>
      </c>
    </row>
    <row r="1998" spans="1:5" x14ac:dyDescent="0.2">
      <c r="A1998" t="s">
        <v>5240</v>
      </c>
      <c r="B1998" t="s">
        <v>5241</v>
      </c>
      <c r="C1998" t="s">
        <v>4880</v>
      </c>
      <c r="D1998" t="s">
        <v>4880</v>
      </c>
      <c r="E1998" t="s">
        <v>4917</v>
      </c>
    </row>
    <row r="1999" spans="1:5" x14ac:dyDescent="0.2">
      <c r="A1999" t="s">
        <v>5242</v>
      </c>
      <c r="B1999" t="s">
        <v>5243</v>
      </c>
      <c r="C1999" t="s">
        <v>4880</v>
      </c>
      <c r="D1999" t="s">
        <v>4880</v>
      </c>
      <c r="E1999" t="s">
        <v>4909</v>
      </c>
    </row>
    <row r="2000" spans="1:5" x14ac:dyDescent="0.2">
      <c r="A2000" t="s">
        <v>5244</v>
      </c>
      <c r="B2000" t="s">
        <v>5245</v>
      </c>
      <c r="C2000" t="s">
        <v>4880</v>
      </c>
      <c r="D2000" t="s">
        <v>4880</v>
      </c>
      <c r="E2000" t="s">
        <v>5246</v>
      </c>
    </row>
    <row r="2001" spans="1:5" x14ac:dyDescent="0.2">
      <c r="A2001" t="s">
        <v>5247</v>
      </c>
      <c r="B2001" t="s">
        <v>5248</v>
      </c>
      <c r="C2001" t="s">
        <v>4880</v>
      </c>
      <c r="D2001" t="s">
        <v>4880</v>
      </c>
      <c r="E2001" t="s">
        <v>4917</v>
      </c>
    </row>
    <row r="2002" spans="1:5" x14ac:dyDescent="0.2">
      <c r="A2002" t="s">
        <v>5249</v>
      </c>
      <c r="B2002" t="s">
        <v>5250</v>
      </c>
      <c r="C2002" t="s">
        <v>4880</v>
      </c>
      <c r="D2002" t="s">
        <v>4880</v>
      </c>
      <c r="E2002" t="s">
        <v>5251</v>
      </c>
    </row>
    <row r="2003" spans="1:5" x14ac:dyDescent="0.2">
      <c r="A2003" t="s">
        <v>5252</v>
      </c>
      <c r="B2003" t="s">
        <v>5253</v>
      </c>
      <c r="C2003" t="s">
        <v>4880</v>
      </c>
      <c r="D2003" t="s">
        <v>4880</v>
      </c>
      <c r="E2003" t="s">
        <v>4895</v>
      </c>
    </row>
    <row r="2004" spans="1:5" x14ac:dyDescent="0.2">
      <c r="A2004" t="s">
        <v>5254</v>
      </c>
      <c r="B2004" t="s">
        <v>5255</v>
      </c>
      <c r="C2004" t="s">
        <v>4880</v>
      </c>
      <c r="D2004" t="s">
        <v>4880</v>
      </c>
      <c r="E2004" t="s">
        <v>4909</v>
      </c>
    </row>
    <row r="2005" spans="1:5" x14ac:dyDescent="0.2">
      <c r="A2005" t="s">
        <v>5256</v>
      </c>
      <c r="B2005" t="s">
        <v>5257</v>
      </c>
      <c r="C2005" t="s">
        <v>4880</v>
      </c>
      <c r="D2005" t="s">
        <v>4880</v>
      </c>
      <c r="E2005" t="s">
        <v>4912</v>
      </c>
    </row>
    <row r="2006" spans="1:5" x14ac:dyDescent="0.2">
      <c r="A2006" t="s">
        <v>5258</v>
      </c>
      <c r="B2006" t="s">
        <v>5259</v>
      </c>
      <c r="C2006" t="s">
        <v>4880</v>
      </c>
      <c r="D2006" t="s">
        <v>4880</v>
      </c>
      <c r="E2006" t="s">
        <v>4881</v>
      </c>
    </row>
    <row r="2007" spans="1:5" x14ac:dyDescent="0.2">
      <c r="A2007" t="s">
        <v>5260</v>
      </c>
      <c r="B2007" t="s">
        <v>5261</v>
      </c>
      <c r="C2007" t="s">
        <v>4880</v>
      </c>
      <c r="D2007" t="s">
        <v>4880</v>
      </c>
      <c r="E2007" t="s">
        <v>4912</v>
      </c>
    </row>
    <row r="2008" spans="1:5" x14ac:dyDescent="0.2">
      <c r="A2008" t="s">
        <v>5262</v>
      </c>
      <c r="B2008" t="s">
        <v>5263</v>
      </c>
      <c r="C2008" t="s">
        <v>4880</v>
      </c>
      <c r="D2008" t="s">
        <v>4880</v>
      </c>
      <c r="E2008" t="s">
        <v>4895</v>
      </c>
    </row>
    <row r="2009" spans="1:5" x14ac:dyDescent="0.2">
      <c r="A2009" t="s">
        <v>5264</v>
      </c>
      <c r="B2009" t="s">
        <v>5265</v>
      </c>
      <c r="C2009" t="s">
        <v>4880</v>
      </c>
      <c r="D2009" t="s">
        <v>4880</v>
      </c>
      <c r="E2009" t="s">
        <v>4931</v>
      </c>
    </row>
    <row r="2010" spans="1:5" x14ac:dyDescent="0.2">
      <c r="A2010" t="s">
        <v>5266</v>
      </c>
      <c r="B2010" t="s">
        <v>5267</v>
      </c>
      <c r="C2010" t="s">
        <v>4880</v>
      </c>
      <c r="D2010" t="s">
        <v>4880</v>
      </c>
      <c r="E2010" t="s">
        <v>4912</v>
      </c>
    </row>
    <row r="2011" spans="1:5" x14ac:dyDescent="0.2">
      <c r="A2011" t="s">
        <v>5268</v>
      </c>
      <c r="B2011" t="s">
        <v>5269</v>
      </c>
      <c r="C2011" t="s">
        <v>4880</v>
      </c>
      <c r="D2011" t="s">
        <v>4880</v>
      </c>
      <c r="E2011" t="s">
        <v>4881</v>
      </c>
    </row>
    <row r="2012" spans="1:5" x14ac:dyDescent="0.2">
      <c r="A2012" t="s">
        <v>5270</v>
      </c>
      <c r="B2012" t="s">
        <v>5271</v>
      </c>
      <c r="C2012" t="s">
        <v>4880</v>
      </c>
      <c r="D2012" t="s">
        <v>4880</v>
      </c>
      <c r="E2012" t="s">
        <v>4881</v>
      </c>
    </row>
    <row r="2013" spans="1:5" x14ac:dyDescent="0.2">
      <c r="A2013" t="s">
        <v>5272</v>
      </c>
      <c r="B2013" t="s">
        <v>5273</v>
      </c>
      <c r="C2013" t="s">
        <v>4880</v>
      </c>
      <c r="D2013" t="s">
        <v>4880</v>
      </c>
      <c r="E2013" t="s">
        <v>4881</v>
      </c>
    </row>
    <row r="2014" spans="1:5" x14ac:dyDescent="0.2">
      <c r="A2014" t="s">
        <v>5274</v>
      </c>
      <c r="B2014" t="s">
        <v>5275</v>
      </c>
      <c r="C2014" t="s">
        <v>4880</v>
      </c>
      <c r="D2014" t="s">
        <v>4880</v>
      </c>
      <c r="E2014" t="s">
        <v>5096</v>
      </c>
    </row>
    <row r="2015" spans="1:5" x14ac:dyDescent="0.2">
      <c r="A2015" t="s">
        <v>5276</v>
      </c>
      <c r="B2015" t="s">
        <v>5277</v>
      </c>
      <c r="C2015" t="s">
        <v>4880</v>
      </c>
      <c r="D2015" t="s">
        <v>4880</v>
      </c>
      <c r="E2015" t="s">
        <v>4917</v>
      </c>
    </row>
    <row r="2016" spans="1:5" x14ac:dyDescent="0.2">
      <c r="A2016" t="s">
        <v>5278</v>
      </c>
      <c r="B2016" t="s">
        <v>5279</v>
      </c>
      <c r="C2016" t="s">
        <v>4880</v>
      </c>
      <c r="D2016" t="s">
        <v>4880</v>
      </c>
      <c r="E2016" t="s">
        <v>4895</v>
      </c>
    </row>
    <row r="2017" spans="1:5" x14ac:dyDescent="0.2">
      <c r="A2017" t="s">
        <v>5280</v>
      </c>
      <c r="B2017" t="s">
        <v>5281</v>
      </c>
      <c r="C2017" t="s">
        <v>4880</v>
      </c>
      <c r="D2017" t="s">
        <v>4880</v>
      </c>
      <c r="E2017" t="s">
        <v>4975</v>
      </c>
    </row>
    <row r="2018" spans="1:5" x14ac:dyDescent="0.2">
      <c r="A2018" t="s">
        <v>5282</v>
      </c>
      <c r="B2018" t="s">
        <v>5283</v>
      </c>
      <c r="C2018" t="s">
        <v>4880</v>
      </c>
      <c r="D2018" t="s">
        <v>4880</v>
      </c>
      <c r="E2018" t="s">
        <v>4912</v>
      </c>
    </row>
    <row r="2019" spans="1:5" x14ac:dyDescent="0.2">
      <c r="A2019" t="s">
        <v>5284</v>
      </c>
      <c r="B2019" t="s">
        <v>5285</v>
      </c>
      <c r="C2019" t="s">
        <v>4880</v>
      </c>
      <c r="D2019" t="s">
        <v>4880</v>
      </c>
      <c r="E2019" t="s">
        <v>5286</v>
      </c>
    </row>
    <row r="2020" spans="1:5" x14ac:dyDescent="0.2">
      <c r="A2020" t="s">
        <v>5287</v>
      </c>
      <c r="B2020" t="s">
        <v>5288</v>
      </c>
      <c r="C2020" t="s">
        <v>4880</v>
      </c>
      <c r="D2020" t="s">
        <v>4880</v>
      </c>
      <c r="E2020" t="s">
        <v>4881</v>
      </c>
    </row>
    <row r="2021" spans="1:5" x14ac:dyDescent="0.2">
      <c r="A2021" t="s">
        <v>5289</v>
      </c>
      <c r="B2021" t="s">
        <v>5290</v>
      </c>
      <c r="C2021" t="s">
        <v>4880</v>
      </c>
      <c r="D2021" t="s">
        <v>4880</v>
      </c>
      <c r="E2021" t="s">
        <v>5291</v>
      </c>
    </row>
    <row r="2022" spans="1:5" x14ac:dyDescent="0.2">
      <c r="A2022" t="s">
        <v>5292</v>
      </c>
      <c r="B2022" t="s">
        <v>5293</v>
      </c>
      <c r="C2022" t="s">
        <v>4880</v>
      </c>
      <c r="D2022" t="s">
        <v>4880</v>
      </c>
      <c r="E2022" t="s">
        <v>4917</v>
      </c>
    </row>
    <row r="2023" spans="1:5" x14ac:dyDescent="0.2">
      <c r="A2023" t="s">
        <v>5294</v>
      </c>
      <c r="B2023" t="s">
        <v>5295</v>
      </c>
      <c r="C2023" t="s">
        <v>4880</v>
      </c>
      <c r="D2023" t="s">
        <v>4880</v>
      </c>
      <c r="E2023" t="s">
        <v>5296</v>
      </c>
    </row>
    <row r="2024" spans="1:5" x14ac:dyDescent="0.2">
      <c r="A2024" t="s">
        <v>5297</v>
      </c>
      <c r="B2024" t="s">
        <v>5298</v>
      </c>
      <c r="C2024" t="s">
        <v>4880</v>
      </c>
      <c r="D2024" t="s">
        <v>4880</v>
      </c>
      <c r="E2024" t="s">
        <v>4912</v>
      </c>
    </row>
    <row r="2025" spans="1:5" x14ac:dyDescent="0.2">
      <c r="A2025" t="s">
        <v>5299</v>
      </c>
      <c r="B2025" t="s">
        <v>5300</v>
      </c>
      <c r="C2025" t="s">
        <v>4880</v>
      </c>
      <c r="D2025" t="s">
        <v>4880</v>
      </c>
      <c r="E2025" t="s">
        <v>4912</v>
      </c>
    </row>
    <row r="2026" spans="1:5" x14ac:dyDescent="0.2">
      <c r="A2026" t="s">
        <v>5301</v>
      </c>
      <c r="B2026" t="s">
        <v>5302</v>
      </c>
      <c r="C2026" t="s">
        <v>4880</v>
      </c>
      <c r="D2026" t="s">
        <v>4880</v>
      </c>
      <c r="E2026" t="s">
        <v>4917</v>
      </c>
    </row>
    <row r="2027" spans="1:5" x14ac:dyDescent="0.2">
      <c r="A2027" t="s">
        <v>5303</v>
      </c>
      <c r="B2027" t="s">
        <v>5304</v>
      </c>
      <c r="C2027" t="s">
        <v>4880</v>
      </c>
      <c r="D2027" t="s">
        <v>4880</v>
      </c>
      <c r="E2027" t="s">
        <v>4912</v>
      </c>
    </row>
    <row r="2028" spans="1:5" x14ac:dyDescent="0.2">
      <c r="A2028" t="s">
        <v>5305</v>
      </c>
      <c r="B2028" t="s">
        <v>5306</v>
      </c>
      <c r="C2028" t="s">
        <v>4880</v>
      </c>
      <c r="D2028" t="s">
        <v>4880</v>
      </c>
      <c r="E2028" t="s">
        <v>5307</v>
      </c>
    </row>
    <row r="2029" spans="1:5" x14ac:dyDescent="0.2">
      <c r="A2029" t="s">
        <v>5308</v>
      </c>
      <c r="B2029" t="s">
        <v>5309</v>
      </c>
      <c r="C2029" t="s">
        <v>4880</v>
      </c>
      <c r="D2029" t="s">
        <v>4880</v>
      </c>
      <c r="E2029" t="s">
        <v>5310</v>
      </c>
    </row>
    <row r="2030" spans="1:5" x14ac:dyDescent="0.2">
      <c r="A2030" t="s">
        <v>5311</v>
      </c>
      <c r="B2030" t="s">
        <v>5312</v>
      </c>
      <c r="C2030" t="s">
        <v>4880</v>
      </c>
      <c r="D2030" t="s">
        <v>4880</v>
      </c>
      <c r="E2030" t="s">
        <v>4881</v>
      </c>
    </row>
    <row r="2031" spans="1:5" x14ac:dyDescent="0.2">
      <c r="A2031" t="s">
        <v>5313</v>
      </c>
      <c r="B2031" t="s">
        <v>5314</v>
      </c>
      <c r="C2031" t="s">
        <v>4880</v>
      </c>
      <c r="D2031" t="s">
        <v>4880</v>
      </c>
      <c r="E2031" t="s">
        <v>4912</v>
      </c>
    </row>
    <row r="2032" spans="1:5" x14ac:dyDescent="0.2">
      <c r="A2032" t="s">
        <v>5315</v>
      </c>
      <c r="B2032" t="s">
        <v>5316</v>
      </c>
      <c r="C2032" t="s">
        <v>4880</v>
      </c>
      <c r="D2032" t="s">
        <v>4880</v>
      </c>
      <c r="E2032" t="s">
        <v>4917</v>
      </c>
    </row>
    <row r="2033" spans="1:5" x14ac:dyDescent="0.2">
      <c r="A2033" t="s">
        <v>5317</v>
      </c>
      <c r="B2033" t="s">
        <v>5318</v>
      </c>
      <c r="C2033" t="s">
        <v>4880</v>
      </c>
      <c r="D2033" t="s">
        <v>4880</v>
      </c>
      <c r="E2033" t="s">
        <v>5319</v>
      </c>
    </row>
    <row r="2034" spans="1:5" x14ac:dyDescent="0.2">
      <c r="A2034" t="s">
        <v>5320</v>
      </c>
      <c r="B2034" t="s">
        <v>5321</v>
      </c>
      <c r="C2034" t="s">
        <v>4880</v>
      </c>
      <c r="D2034" t="s">
        <v>4880</v>
      </c>
      <c r="E2034" t="s">
        <v>4881</v>
      </c>
    </row>
    <row r="2035" spans="1:5" x14ac:dyDescent="0.2">
      <c r="A2035" t="s">
        <v>5322</v>
      </c>
      <c r="B2035" t="s">
        <v>5323</v>
      </c>
      <c r="C2035" t="s">
        <v>4880</v>
      </c>
      <c r="D2035" t="s">
        <v>4880</v>
      </c>
      <c r="E2035" t="s">
        <v>4881</v>
      </c>
    </row>
    <row r="2036" spans="1:5" x14ac:dyDescent="0.2">
      <c r="A2036" t="s">
        <v>5324</v>
      </c>
      <c r="B2036" t="s">
        <v>5325</v>
      </c>
      <c r="C2036" t="s">
        <v>4880</v>
      </c>
      <c r="D2036" t="s">
        <v>4880</v>
      </c>
      <c r="E2036" t="s">
        <v>4931</v>
      </c>
    </row>
    <row r="2037" spans="1:5" x14ac:dyDescent="0.2">
      <c r="A2037" t="s">
        <v>5326</v>
      </c>
      <c r="B2037" t="s">
        <v>5327</v>
      </c>
      <c r="C2037" t="s">
        <v>4880</v>
      </c>
      <c r="D2037" t="s">
        <v>4880</v>
      </c>
      <c r="E2037" t="s">
        <v>4909</v>
      </c>
    </row>
    <row r="2038" spans="1:5" x14ac:dyDescent="0.2">
      <c r="A2038" t="s">
        <v>5328</v>
      </c>
      <c r="B2038" t="s">
        <v>5329</v>
      </c>
      <c r="C2038" t="s">
        <v>4880</v>
      </c>
      <c r="D2038" t="s">
        <v>4880</v>
      </c>
      <c r="E2038" t="s">
        <v>4895</v>
      </c>
    </row>
    <row r="2039" spans="1:5" x14ac:dyDescent="0.2">
      <c r="A2039" t="s">
        <v>5330</v>
      </c>
      <c r="B2039" t="s">
        <v>5331</v>
      </c>
      <c r="C2039" t="s">
        <v>4880</v>
      </c>
      <c r="D2039" t="s">
        <v>4880</v>
      </c>
      <c r="E2039" t="s">
        <v>4909</v>
      </c>
    </row>
    <row r="2040" spans="1:5" x14ac:dyDescent="0.2">
      <c r="A2040" t="s">
        <v>5332</v>
      </c>
      <c r="B2040" t="s">
        <v>5333</v>
      </c>
      <c r="C2040" t="s">
        <v>4880</v>
      </c>
      <c r="D2040" t="s">
        <v>4880</v>
      </c>
      <c r="E2040" t="s">
        <v>4917</v>
      </c>
    </row>
    <row r="2041" spans="1:5" x14ac:dyDescent="0.2">
      <c r="A2041" t="s">
        <v>5334</v>
      </c>
      <c r="B2041" t="s">
        <v>5335</v>
      </c>
      <c r="C2041" t="s">
        <v>4880</v>
      </c>
      <c r="D2041" t="s">
        <v>4880</v>
      </c>
      <c r="E2041" t="s">
        <v>4881</v>
      </c>
    </row>
    <row r="2042" spans="1:5" x14ac:dyDescent="0.2">
      <c r="A2042" t="s">
        <v>5336</v>
      </c>
      <c r="B2042" t="s">
        <v>5337</v>
      </c>
      <c r="C2042" t="s">
        <v>4880</v>
      </c>
      <c r="D2042" t="s">
        <v>4880</v>
      </c>
      <c r="E2042" t="s">
        <v>4881</v>
      </c>
    </row>
    <row r="2043" spans="1:5" x14ac:dyDescent="0.2">
      <c r="A2043" t="s">
        <v>5338</v>
      </c>
      <c r="B2043" t="s">
        <v>5339</v>
      </c>
      <c r="C2043" t="s">
        <v>4880</v>
      </c>
      <c r="D2043" t="s">
        <v>4880</v>
      </c>
      <c r="E2043" t="s">
        <v>4895</v>
      </c>
    </row>
    <row r="2044" spans="1:5" x14ac:dyDescent="0.2">
      <c r="A2044" t="s">
        <v>5340</v>
      </c>
      <c r="B2044" t="s">
        <v>5341</v>
      </c>
      <c r="C2044" t="s">
        <v>4880</v>
      </c>
      <c r="D2044" t="s">
        <v>4880</v>
      </c>
      <c r="E2044" t="s">
        <v>4912</v>
      </c>
    </row>
    <row r="2045" spans="1:5" x14ac:dyDescent="0.2">
      <c r="A2045" t="s">
        <v>5342</v>
      </c>
      <c r="B2045" t="s">
        <v>5343</v>
      </c>
      <c r="C2045" t="s">
        <v>4880</v>
      </c>
      <c r="D2045" t="s">
        <v>5344</v>
      </c>
      <c r="E2045" t="s">
        <v>5345</v>
      </c>
    </row>
    <row r="2046" spans="1:5" x14ac:dyDescent="0.2">
      <c r="A2046" t="s">
        <v>5346</v>
      </c>
      <c r="B2046" t="s">
        <v>5347</v>
      </c>
      <c r="C2046" t="s">
        <v>4880</v>
      </c>
      <c r="D2046" t="s">
        <v>4880</v>
      </c>
      <c r="E2046" t="s">
        <v>4881</v>
      </c>
    </row>
    <row r="2047" spans="1:5" x14ac:dyDescent="0.2">
      <c r="A2047" t="s">
        <v>5348</v>
      </c>
      <c r="B2047" t="s">
        <v>5349</v>
      </c>
      <c r="C2047" t="s">
        <v>4880</v>
      </c>
      <c r="D2047" t="s">
        <v>4880</v>
      </c>
      <c r="E2047" t="s">
        <v>4931</v>
      </c>
    </row>
    <row r="2048" spans="1:5" x14ac:dyDescent="0.2">
      <c r="A2048" t="s">
        <v>5350</v>
      </c>
      <c r="B2048" t="s">
        <v>5351</v>
      </c>
      <c r="C2048" t="s">
        <v>4880</v>
      </c>
      <c r="D2048" t="s">
        <v>4880</v>
      </c>
      <c r="E2048" t="s">
        <v>5034</v>
      </c>
    </row>
    <row r="2049" spans="1:5" x14ac:dyDescent="0.2">
      <c r="A2049" t="s">
        <v>5352</v>
      </c>
      <c r="B2049" t="s">
        <v>5353</v>
      </c>
      <c r="C2049" t="s">
        <v>4880</v>
      </c>
      <c r="D2049" t="s">
        <v>4880</v>
      </c>
      <c r="E2049" t="s">
        <v>5354</v>
      </c>
    </row>
    <row r="2050" spans="1:5" x14ac:dyDescent="0.2">
      <c r="A2050" t="s">
        <v>5355</v>
      </c>
      <c r="B2050" t="s">
        <v>5356</v>
      </c>
      <c r="C2050" t="s">
        <v>4880</v>
      </c>
      <c r="D2050" t="s">
        <v>4880</v>
      </c>
      <c r="E2050" t="s">
        <v>5357</v>
      </c>
    </row>
    <row r="2051" spans="1:5" x14ac:dyDescent="0.2">
      <c r="A2051" t="s">
        <v>5358</v>
      </c>
      <c r="B2051" t="s">
        <v>5359</v>
      </c>
      <c r="C2051" t="s">
        <v>4880</v>
      </c>
      <c r="D2051" t="s">
        <v>4880</v>
      </c>
      <c r="E2051" t="s">
        <v>4917</v>
      </c>
    </row>
    <row r="2052" spans="1:5" x14ac:dyDescent="0.2">
      <c r="A2052" t="s">
        <v>5360</v>
      </c>
      <c r="B2052" t="s">
        <v>5361</v>
      </c>
      <c r="C2052" t="s">
        <v>4880</v>
      </c>
      <c r="D2052" t="s">
        <v>4880</v>
      </c>
      <c r="E2052" t="s">
        <v>5362</v>
      </c>
    </row>
    <row r="2053" spans="1:5" x14ac:dyDescent="0.2">
      <c r="A2053" t="s">
        <v>5363</v>
      </c>
      <c r="B2053" t="s">
        <v>5364</v>
      </c>
      <c r="C2053" t="s">
        <v>4880</v>
      </c>
      <c r="D2053" t="s">
        <v>4880</v>
      </c>
      <c r="E2053" t="s">
        <v>4912</v>
      </c>
    </row>
    <row r="2054" spans="1:5" x14ac:dyDescent="0.2">
      <c r="A2054" t="s">
        <v>5365</v>
      </c>
      <c r="B2054" t="s">
        <v>5366</v>
      </c>
      <c r="C2054" t="s">
        <v>4880</v>
      </c>
      <c r="D2054" t="s">
        <v>4880</v>
      </c>
      <c r="E2054" t="s">
        <v>4895</v>
      </c>
    </row>
    <row r="2055" spans="1:5" x14ac:dyDescent="0.2">
      <c r="A2055" t="s">
        <v>5367</v>
      </c>
      <c r="B2055" t="s">
        <v>5368</v>
      </c>
      <c r="C2055" t="s">
        <v>4880</v>
      </c>
      <c r="D2055" t="s">
        <v>4880</v>
      </c>
      <c r="E2055" t="s">
        <v>4912</v>
      </c>
    </row>
    <row r="2056" spans="1:5" x14ac:dyDescent="0.2">
      <c r="A2056" t="s">
        <v>5369</v>
      </c>
      <c r="B2056" t="s">
        <v>5370</v>
      </c>
      <c r="C2056" t="s">
        <v>4880</v>
      </c>
      <c r="D2056" t="s">
        <v>4880</v>
      </c>
      <c r="E2056" t="s">
        <v>4917</v>
      </c>
    </row>
    <row r="2057" spans="1:5" x14ac:dyDescent="0.2">
      <c r="A2057" t="s">
        <v>5371</v>
      </c>
      <c r="B2057" t="s">
        <v>5372</v>
      </c>
      <c r="C2057" t="s">
        <v>4880</v>
      </c>
      <c r="D2057" t="s">
        <v>4880</v>
      </c>
      <c r="E2057" t="s">
        <v>4917</v>
      </c>
    </row>
    <row r="2058" spans="1:5" x14ac:dyDescent="0.2">
      <c r="A2058" t="s">
        <v>5373</v>
      </c>
      <c r="B2058" t="s">
        <v>5374</v>
      </c>
      <c r="C2058" t="s">
        <v>4880</v>
      </c>
      <c r="D2058" t="s">
        <v>4880</v>
      </c>
      <c r="E2058" t="s">
        <v>4917</v>
      </c>
    </row>
    <row r="2059" spans="1:5" x14ac:dyDescent="0.2">
      <c r="A2059" t="s">
        <v>5375</v>
      </c>
      <c r="B2059" t="s">
        <v>5376</v>
      </c>
      <c r="C2059" t="s">
        <v>4880</v>
      </c>
      <c r="D2059" t="s">
        <v>4880</v>
      </c>
      <c r="E2059" t="s">
        <v>4917</v>
      </c>
    </row>
    <row r="2060" spans="1:5" x14ac:dyDescent="0.2">
      <c r="A2060" t="s">
        <v>5377</v>
      </c>
      <c r="B2060" t="s">
        <v>5378</v>
      </c>
      <c r="C2060" t="s">
        <v>4880</v>
      </c>
      <c r="D2060" t="s">
        <v>4880</v>
      </c>
      <c r="E2060" t="s">
        <v>4909</v>
      </c>
    </row>
    <row r="2061" spans="1:5" x14ac:dyDescent="0.2">
      <c r="A2061" t="s">
        <v>5379</v>
      </c>
      <c r="B2061" t="s">
        <v>5380</v>
      </c>
      <c r="C2061" t="s">
        <v>4880</v>
      </c>
      <c r="D2061" t="s">
        <v>4880</v>
      </c>
      <c r="E2061" t="s">
        <v>5381</v>
      </c>
    </row>
    <row r="2062" spans="1:5" x14ac:dyDescent="0.2">
      <c r="A2062" t="s">
        <v>5382</v>
      </c>
      <c r="B2062" t="s">
        <v>5383</v>
      </c>
      <c r="C2062" t="s">
        <v>4880</v>
      </c>
      <c r="D2062" t="s">
        <v>4880</v>
      </c>
      <c r="E2062" t="s">
        <v>5384</v>
      </c>
    </row>
    <row r="2063" spans="1:5" x14ac:dyDescent="0.2">
      <c r="A2063" t="s">
        <v>5385</v>
      </c>
      <c r="B2063" t="s">
        <v>5386</v>
      </c>
      <c r="C2063" t="s">
        <v>4880</v>
      </c>
      <c r="D2063" t="s">
        <v>4880</v>
      </c>
      <c r="E2063" t="s">
        <v>4881</v>
      </c>
    </row>
    <row r="2064" spans="1:5" x14ac:dyDescent="0.2">
      <c r="A2064" t="s">
        <v>5387</v>
      </c>
      <c r="B2064" t="s">
        <v>5388</v>
      </c>
      <c r="C2064" t="s">
        <v>4880</v>
      </c>
      <c r="D2064" t="s">
        <v>4880</v>
      </c>
      <c r="E2064" t="s">
        <v>4881</v>
      </c>
    </row>
    <row r="2065" spans="1:5" x14ac:dyDescent="0.2">
      <c r="A2065" t="s">
        <v>5389</v>
      </c>
      <c r="B2065" t="s">
        <v>5390</v>
      </c>
      <c r="C2065" t="s">
        <v>4880</v>
      </c>
      <c r="D2065" t="s">
        <v>4880</v>
      </c>
      <c r="E2065" t="s">
        <v>4881</v>
      </c>
    </row>
    <row r="2066" spans="1:5" x14ac:dyDescent="0.2">
      <c r="A2066" t="s">
        <v>5391</v>
      </c>
      <c r="B2066" t="s">
        <v>5392</v>
      </c>
      <c r="C2066" t="s">
        <v>4880</v>
      </c>
      <c r="D2066" t="s">
        <v>4880</v>
      </c>
      <c r="E2066" t="s">
        <v>4895</v>
      </c>
    </row>
    <row r="2067" spans="1:5" x14ac:dyDescent="0.2">
      <c r="A2067" t="s">
        <v>5393</v>
      </c>
      <c r="B2067" t="s">
        <v>5394</v>
      </c>
      <c r="C2067" t="s">
        <v>4880</v>
      </c>
      <c r="D2067" t="s">
        <v>4880</v>
      </c>
      <c r="E2067" t="s">
        <v>5395</v>
      </c>
    </row>
    <row r="2068" spans="1:5" x14ac:dyDescent="0.2">
      <c r="A2068" t="s">
        <v>5396</v>
      </c>
      <c r="B2068" t="s">
        <v>5397</v>
      </c>
      <c r="C2068" t="s">
        <v>4880</v>
      </c>
      <c r="D2068" t="s">
        <v>4880</v>
      </c>
      <c r="E2068" t="s">
        <v>4912</v>
      </c>
    </row>
    <row r="2069" spans="1:5" x14ac:dyDescent="0.2">
      <c r="A2069" t="s">
        <v>5398</v>
      </c>
      <c r="B2069" t="s">
        <v>5399</v>
      </c>
      <c r="C2069" t="s">
        <v>4880</v>
      </c>
      <c r="D2069" t="s">
        <v>4880</v>
      </c>
      <c r="E2069" t="s">
        <v>4912</v>
      </c>
    </row>
    <row r="2070" spans="1:5" x14ac:dyDescent="0.2">
      <c r="A2070" t="s">
        <v>5400</v>
      </c>
      <c r="B2070" t="s">
        <v>5401</v>
      </c>
      <c r="C2070" t="s">
        <v>4880</v>
      </c>
      <c r="D2070" t="s">
        <v>4880</v>
      </c>
      <c r="E2070" t="s">
        <v>4881</v>
      </c>
    </row>
    <row r="2071" spans="1:5" x14ac:dyDescent="0.2">
      <c r="A2071" t="s">
        <v>5402</v>
      </c>
      <c r="B2071" t="s">
        <v>5403</v>
      </c>
      <c r="C2071" t="s">
        <v>4880</v>
      </c>
      <c r="D2071" t="s">
        <v>4880</v>
      </c>
      <c r="E2071" t="s">
        <v>4912</v>
      </c>
    </row>
    <row r="2072" spans="1:5" x14ac:dyDescent="0.2">
      <c r="A2072" t="s">
        <v>5404</v>
      </c>
      <c r="B2072" t="s">
        <v>5405</v>
      </c>
      <c r="C2072" t="s">
        <v>4880</v>
      </c>
      <c r="D2072" t="s">
        <v>4880</v>
      </c>
      <c r="E2072" t="s">
        <v>4881</v>
      </c>
    </row>
    <row r="2073" spans="1:5" x14ac:dyDescent="0.2">
      <c r="A2073" t="s">
        <v>5406</v>
      </c>
      <c r="B2073" t="s">
        <v>5407</v>
      </c>
      <c r="C2073" t="s">
        <v>4880</v>
      </c>
      <c r="D2073" t="s">
        <v>4880</v>
      </c>
      <c r="E2073" t="s">
        <v>4931</v>
      </c>
    </row>
    <row r="2074" spans="1:5" x14ac:dyDescent="0.2">
      <c r="A2074" t="s">
        <v>5408</v>
      </c>
      <c r="B2074" t="s">
        <v>5409</v>
      </c>
      <c r="C2074" t="s">
        <v>4880</v>
      </c>
      <c r="D2074" t="s">
        <v>4880</v>
      </c>
      <c r="E2074" t="s">
        <v>5410</v>
      </c>
    </row>
    <row r="2075" spans="1:5" x14ac:dyDescent="0.2">
      <c r="A2075" t="s">
        <v>5411</v>
      </c>
      <c r="B2075" t="s">
        <v>5412</v>
      </c>
      <c r="C2075" t="s">
        <v>4880</v>
      </c>
      <c r="D2075" t="s">
        <v>4880</v>
      </c>
      <c r="E2075" t="s">
        <v>4917</v>
      </c>
    </row>
    <row r="2076" spans="1:5" x14ac:dyDescent="0.2">
      <c r="A2076" t="s">
        <v>5413</v>
      </c>
      <c r="B2076" t="s">
        <v>5414</v>
      </c>
      <c r="C2076" t="s">
        <v>4880</v>
      </c>
      <c r="D2076" t="s">
        <v>4880</v>
      </c>
      <c r="E2076" t="s">
        <v>4917</v>
      </c>
    </row>
    <row r="2077" spans="1:5" x14ac:dyDescent="0.2">
      <c r="A2077" t="s">
        <v>5415</v>
      </c>
      <c r="B2077" t="s">
        <v>5416</v>
      </c>
      <c r="C2077" t="s">
        <v>4880</v>
      </c>
      <c r="D2077" t="s">
        <v>4880</v>
      </c>
      <c r="E2077" t="s">
        <v>5310</v>
      </c>
    </row>
    <row r="2078" spans="1:5" x14ac:dyDescent="0.2">
      <c r="A2078" t="s">
        <v>5417</v>
      </c>
      <c r="B2078" t="s">
        <v>5418</v>
      </c>
      <c r="C2078" t="s">
        <v>4880</v>
      </c>
      <c r="D2078" t="s">
        <v>4880</v>
      </c>
      <c r="E2078" t="s">
        <v>4895</v>
      </c>
    </row>
    <row r="2079" spans="1:5" x14ac:dyDescent="0.2">
      <c r="A2079" t="s">
        <v>5419</v>
      </c>
      <c r="B2079" t="s">
        <v>5420</v>
      </c>
      <c r="C2079" t="s">
        <v>4880</v>
      </c>
      <c r="D2079" t="s">
        <v>4880</v>
      </c>
      <c r="E2079" t="s">
        <v>4895</v>
      </c>
    </row>
    <row r="2080" spans="1:5" x14ac:dyDescent="0.2">
      <c r="A2080" t="s">
        <v>5421</v>
      </c>
      <c r="B2080" t="s">
        <v>5422</v>
      </c>
      <c r="C2080" t="s">
        <v>4880</v>
      </c>
      <c r="D2080" t="s">
        <v>4880</v>
      </c>
      <c r="E2080" t="s">
        <v>5423</v>
      </c>
    </row>
    <row r="2081" spans="1:5" x14ac:dyDescent="0.2">
      <c r="A2081" t="s">
        <v>5424</v>
      </c>
      <c r="B2081" t="s">
        <v>5425</v>
      </c>
      <c r="C2081" t="s">
        <v>4880</v>
      </c>
      <c r="D2081" t="e">
        <v>#N/A</v>
      </c>
      <c r="E2081" t="e">
        <v>#N/A</v>
      </c>
    </row>
    <row r="2082" spans="1:5" x14ac:dyDescent="0.2">
      <c r="A2082" t="s">
        <v>5426</v>
      </c>
      <c r="B2082" t="s">
        <v>5427</v>
      </c>
      <c r="C2082" t="s">
        <v>5428</v>
      </c>
      <c r="D2082" t="s">
        <v>5428</v>
      </c>
      <c r="E2082" t="s">
        <v>5429</v>
      </c>
    </row>
    <row r="2083" spans="1:5" x14ac:dyDescent="0.2">
      <c r="A2083" t="s">
        <v>5430</v>
      </c>
      <c r="B2083" t="s">
        <v>5431</v>
      </c>
      <c r="C2083" t="s">
        <v>5428</v>
      </c>
      <c r="D2083" t="s">
        <v>5428</v>
      </c>
      <c r="E2083" t="s">
        <v>5432</v>
      </c>
    </row>
    <row r="2084" spans="1:5" x14ac:dyDescent="0.2">
      <c r="A2084" t="s">
        <v>5433</v>
      </c>
      <c r="B2084" t="s">
        <v>5434</v>
      </c>
      <c r="C2084" t="s">
        <v>5428</v>
      </c>
      <c r="D2084" t="s">
        <v>5428</v>
      </c>
      <c r="E2084" t="s">
        <v>5435</v>
      </c>
    </row>
    <row r="2085" spans="1:5" x14ac:dyDescent="0.2">
      <c r="A2085" t="s">
        <v>5436</v>
      </c>
      <c r="B2085" t="s">
        <v>5437</v>
      </c>
      <c r="C2085" t="s">
        <v>5428</v>
      </c>
      <c r="D2085" t="s">
        <v>5428</v>
      </c>
      <c r="E2085" t="s">
        <v>5438</v>
      </c>
    </row>
    <row r="2086" spans="1:5" x14ac:dyDescent="0.2">
      <c r="A2086" t="s">
        <v>5439</v>
      </c>
      <c r="B2086" t="s">
        <v>5440</v>
      </c>
      <c r="C2086" t="s">
        <v>5428</v>
      </c>
      <c r="D2086" t="s">
        <v>5428</v>
      </c>
      <c r="E2086" t="s">
        <v>5441</v>
      </c>
    </row>
    <row r="2087" spans="1:5" x14ac:dyDescent="0.2">
      <c r="A2087" t="s">
        <v>5442</v>
      </c>
      <c r="B2087" t="s">
        <v>5443</v>
      </c>
      <c r="C2087" t="s">
        <v>5428</v>
      </c>
      <c r="D2087" t="s">
        <v>5428</v>
      </c>
      <c r="E2087" t="s">
        <v>5444</v>
      </c>
    </row>
    <row r="2088" spans="1:5" x14ac:dyDescent="0.2">
      <c r="A2088" t="s">
        <v>5445</v>
      </c>
      <c r="B2088" t="s">
        <v>5446</v>
      </c>
      <c r="C2088" t="s">
        <v>5428</v>
      </c>
      <c r="D2088" t="s">
        <v>5428</v>
      </c>
      <c r="E2088" t="s">
        <v>5444</v>
      </c>
    </row>
    <row r="2089" spans="1:5" x14ac:dyDescent="0.2">
      <c r="A2089" t="s">
        <v>5447</v>
      </c>
      <c r="B2089" t="s">
        <v>5448</v>
      </c>
      <c r="C2089" t="s">
        <v>5428</v>
      </c>
      <c r="D2089" t="s">
        <v>5428</v>
      </c>
      <c r="E2089" t="s">
        <v>5438</v>
      </c>
    </row>
    <row r="2090" spans="1:5" x14ac:dyDescent="0.2">
      <c r="A2090" t="s">
        <v>5449</v>
      </c>
      <c r="B2090" t="s">
        <v>5450</v>
      </c>
      <c r="C2090" t="s">
        <v>5428</v>
      </c>
      <c r="D2090" t="s">
        <v>5428</v>
      </c>
      <c r="E2090" t="s">
        <v>5451</v>
      </c>
    </row>
    <row r="2091" spans="1:5" x14ac:dyDescent="0.2">
      <c r="A2091" t="s">
        <v>5452</v>
      </c>
      <c r="B2091" t="s">
        <v>5453</v>
      </c>
      <c r="C2091" t="s">
        <v>5428</v>
      </c>
      <c r="D2091" t="s">
        <v>5428</v>
      </c>
      <c r="E2091" t="s">
        <v>5454</v>
      </c>
    </row>
    <row r="2092" spans="1:5" x14ac:dyDescent="0.2">
      <c r="A2092" t="s">
        <v>5455</v>
      </c>
      <c r="B2092" t="s">
        <v>5456</v>
      </c>
      <c r="C2092" t="s">
        <v>5428</v>
      </c>
      <c r="D2092" t="s">
        <v>5428</v>
      </c>
      <c r="E2092" t="s">
        <v>5432</v>
      </c>
    </row>
    <row r="2093" spans="1:5" x14ac:dyDescent="0.2">
      <c r="A2093" t="s">
        <v>5457</v>
      </c>
      <c r="B2093" t="s">
        <v>5458</v>
      </c>
      <c r="C2093" t="s">
        <v>5428</v>
      </c>
      <c r="D2093" t="s">
        <v>5428</v>
      </c>
      <c r="E2093" t="s">
        <v>5441</v>
      </c>
    </row>
    <row r="2094" spans="1:5" x14ac:dyDescent="0.2">
      <c r="A2094" t="s">
        <v>5459</v>
      </c>
      <c r="B2094" t="s">
        <v>5460</v>
      </c>
      <c r="C2094" t="s">
        <v>5428</v>
      </c>
      <c r="D2094" t="s">
        <v>5428</v>
      </c>
      <c r="E2094" t="s">
        <v>5438</v>
      </c>
    </row>
    <row r="2095" spans="1:5" x14ac:dyDescent="0.2">
      <c r="A2095" t="s">
        <v>5461</v>
      </c>
      <c r="B2095" t="s">
        <v>5462</v>
      </c>
      <c r="C2095" t="s">
        <v>5428</v>
      </c>
      <c r="D2095" t="s">
        <v>5428</v>
      </c>
      <c r="E2095" t="s">
        <v>5463</v>
      </c>
    </row>
    <row r="2096" spans="1:5" x14ac:dyDescent="0.2">
      <c r="A2096" t="s">
        <v>5464</v>
      </c>
      <c r="B2096" t="s">
        <v>5465</v>
      </c>
      <c r="C2096" t="s">
        <v>5428</v>
      </c>
      <c r="D2096" t="s">
        <v>5428</v>
      </c>
      <c r="E2096" t="s">
        <v>5432</v>
      </c>
    </row>
    <row r="2097" spans="1:5" x14ac:dyDescent="0.2">
      <c r="A2097" t="s">
        <v>5466</v>
      </c>
      <c r="B2097" t="s">
        <v>5467</v>
      </c>
      <c r="C2097" t="s">
        <v>5428</v>
      </c>
      <c r="D2097" t="s">
        <v>5428</v>
      </c>
      <c r="E2097" t="s">
        <v>5444</v>
      </c>
    </row>
    <row r="2098" spans="1:5" x14ac:dyDescent="0.2">
      <c r="A2098" t="s">
        <v>5468</v>
      </c>
      <c r="B2098" t="s">
        <v>5469</v>
      </c>
      <c r="C2098" t="s">
        <v>5428</v>
      </c>
      <c r="D2098" t="s">
        <v>5428</v>
      </c>
      <c r="E2098" t="s">
        <v>5444</v>
      </c>
    </row>
    <row r="2099" spans="1:5" x14ac:dyDescent="0.2">
      <c r="A2099" t="s">
        <v>5470</v>
      </c>
      <c r="B2099" t="s">
        <v>5471</v>
      </c>
      <c r="C2099" t="s">
        <v>5428</v>
      </c>
      <c r="D2099" t="s">
        <v>5428</v>
      </c>
      <c r="E2099" t="s">
        <v>5444</v>
      </c>
    </row>
    <row r="2100" spans="1:5" x14ac:dyDescent="0.2">
      <c r="A2100" t="s">
        <v>5472</v>
      </c>
      <c r="B2100" t="s">
        <v>5473</v>
      </c>
      <c r="C2100" t="s">
        <v>5428</v>
      </c>
      <c r="D2100" t="s">
        <v>5428</v>
      </c>
      <c r="E2100" t="s">
        <v>5441</v>
      </c>
    </row>
    <row r="2101" spans="1:5" x14ac:dyDescent="0.2">
      <c r="A2101" t="s">
        <v>5474</v>
      </c>
      <c r="B2101" t="s">
        <v>5475</v>
      </c>
      <c r="C2101" t="s">
        <v>5428</v>
      </c>
      <c r="D2101" t="s">
        <v>5428</v>
      </c>
      <c r="E2101" t="s">
        <v>5476</v>
      </c>
    </row>
    <row r="2102" spans="1:5" x14ac:dyDescent="0.2">
      <c r="A2102" t="s">
        <v>5477</v>
      </c>
      <c r="B2102" t="s">
        <v>5478</v>
      </c>
      <c r="C2102" t="s">
        <v>5428</v>
      </c>
      <c r="D2102" t="s">
        <v>5428</v>
      </c>
      <c r="E2102" t="s">
        <v>5429</v>
      </c>
    </row>
    <row r="2103" spans="1:5" x14ac:dyDescent="0.2">
      <c r="A2103" t="s">
        <v>5479</v>
      </c>
      <c r="B2103" t="s">
        <v>5480</v>
      </c>
      <c r="C2103" t="s">
        <v>5428</v>
      </c>
      <c r="D2103" t="s">
        <v>5428</v>
      </c>
      <c r="E2103" t="s">
        <v>5481</v>
      </c>
    </row>
    <row r="2104" spans="1:5" x14ac:dyDescent="0.2">
      <c r="A2104" t="s">
        <v>5482</v>
      </c>
      <c r="B2104" t="s">
        <v>5483</v>
      </c>
      <c r="C2104" t="s">
        <v>5428</v>
      </c>
      <c r="D2104" t="s">
        <v>5428</v>
      </c>
      <c r="E2104" t="s">
        <v>5484</v>
      </c>
    </row>
    <row r="2105" spans="1:5" x14ac:dyDescent="0.2">
      <c r="A2105" t="s">
        <v>5485</v>
      </c>
      <c r="B2105" t="s">
        <v>5486</v>
      </c>
      <c r="C2105" t="s">
        <v>5428</v>
      </c>
      <c r="D2105" t="s">
        <v>5428</v>
      </c>
      <c r="E2105" t="s">
        <v>5487</v>
      </c>
    </row>
    <row r="2106" spans="1:5" x14ac:dyDescent="0.2">
      <c r="A2106" t="s">
        <v>5488</v>
      </c>
      <c r="B2106" t="s">
        <v>5489</v>
      </c>
      <c r="C2106" t="s">
        <v>5428</v>
      </c>
      <c r="D2106" t="s">
        <v>5428</v>
      </c>
      <c r="E2106" t="s">
        <v>5490</v>
      </c>
    </row>
    <row r="2107" spans="1:5" x14ac:dyDescent="0.2">
      <c r="A2107" t="s">
        <v>5491</v>
      </c>
      <c r="B2107" t="s">
        <v>5492</v>
      </c>
      <c r="C2107" t="s">
        <v>5428</v>
      </c>
      <c r="D2107" t="s">
        <v>5428</v>
      </c>
      <c r="E2107" t="s">
        <v>5432</v>
      </c>
    </row>
    <row r="2108" spans="1:5" x14ac:dyDescent="0.2">
      <c r="A2108" t="s">
        <v>5493</v>
      </c>
      <c r="B2108" t="s">
        <v>5494</v>
      </c>
      <c r="C2108" t="s">
        <v>5428</v>
      </c>
      <c r="D2108" t="s">
        <v>5428</v>
      </c>
      <c r="E2108" t="s">
        <v>5444</v>
      </c>
    </row>
    <row r="2109" spans="1:5" x14ac:dyDescent="0.2">
      <c r="A2109" t="s">
        <v>5495</v>
      </c>
      <c r="B2109" t="s">
        <v>5496</v>
      </c>
      <c r="C2109" t="s">
        <v>5428</v>
      </c>
      <c r="D2109" t="s">
        <v>5428</v>
      </c>
      <c r="E2109" t="s">
        <v>5497</v>
      </c>
    </row>
    <row r="2110" spans="1:5" x14ac:dyDescent="0.2">
      <c r="A2110" t="s">
        <v>5498</v>
      </c>
      <c r="B2110" t="s">
        <v>5499</v>
      </c>
      <c r="C2110" t="s">
        <v>5428</v>
      </c>
      <c r="D2110" t="s">
        <v>5428</v>
      </c>
      <c r="E2110" t="s">
        <v>5500</v>
      </c>
    </row>
    <row r="2111" spans="1:5" x14ac:dyDescent="0.2">
      <c r="A2111" t="s">
        <v>5501</v>
      </c>
      <c r="B2111" t="s">
        <v>5502</v>
      </c>
      <c r="C2111" t="s">
        <v>5428</v>
      </c>
      <c r="D2111" t="s">
        <v>5428</v>
      </c>
      <c r="E2111" t="s">
        <v>5503</v>
      </c>
    </row>
    <row r="2112" spans="1:5" x14ac:dyDescent="0.2">
      <c r="A2112" t="s">
        <v>5504</v>
      </c>
      <c r="B2112" t="s">
        <v>5505</v>
      </c>
      <c r="C2112" t="s">
        <v>5428</v>
      </c>
      <c r="D2112" t="s">
        <v>5428</v>
      </c>
      <c r="E2112" t="s">
        <v>5441</v>
      </c>
    </row>
    <row r="2113" spans="1:5" x14ac:dyDescent="0.2">
      <c r="A2113" t="s">
        <v>5506</v>
      </c>
      <c r="B2113" t="s">
        <v>5507</v>
      </c>
      <c r="C2113" t="s">
        <v>5428</v>
      </c>
      <c r="D2113" t="s">
        <v>5428</v>
      </c>
      <c r="E2113" t="s">
        <v>5508</v>
      </c>
    </row>
    <row r="2114" spans="1:5" x14ac:dyDescent="0.2">
      <c r="A2114" t="s">
        <v>5509</v>
      </c>
      <c r="B2114" t="s">
        <v>5510</v>
      </c>
      <c r="C2114" t="s">
        <v>5428</v>
      </c>
      <c r="D2114" t="s">
        <v>5428</v>
      </c>
      <c r="E2114" t="s">
        <v>5511</v>
      </c>
    </row>
    <row r="2115" spans="1:5" x14ac:dyDescent="0.2">
      <c r="A2115" t="s">
        <v>5512</v>
      </c>
      <c r="B2115" t="s">
        <v>5513</v>
      </c>
      <c r="C2115" t="s">
        <v>5428</v>
      </c>
      <c r="D2115" t="s">
        <v>5428</v>
      </c>
      <c r="E2115" t="s">
        <v>5514</v>
      </c>
    </row>
    <row r="2116" spans="1:5" x14ac:dyDescent="0.2">
      <c r="A2116" t="s">
        <v>5515</v>
      </c>
      <c r="B2116" t="s">
        <v>5516</v>
      </c>
      <c r="C2116" t="s">
        <v>5428</v>
      </c>
      <c r="D2116" t="s">
        <v>5428</v>
      </c>
      <c r="E2116" t="s">
        <v>5517</v>
      </c>
    </row>
    <row r="2117" spans="1:5" x14ac:dyDescent="0.2">
      <c r="A2117" t="s">
        <v>5518</v>
      </c>
      <c r="B2117" t="s">
        <v>5519</v>
      </c>
      <c r="C2117" t="s">
        <v>5428</v>
      </c>
      <c r="D2117" t="s">
        <v>5428</v>
      </c>
      <c r="E2117" t="s">
        <v>5441</v>
      </c>
    </row>
    <row r="2118" spans="1:5" x14ac:dyDescent="0.2">
      <c r="A2118" t="s">
        <v>5520</v>
      </c>
      <c r="B2118" t="s">
        <v>5521</v>
      </c>
      <c r="C2118" t="s">
        <v>5428</v>
      </c>
      <c r="D2118" t="s">
        <v>5428</v>
      </c>
      <c r="E2118" t="s">
        <v>5438</v>
      </c>
    </row>
    <row r="2119" spans="1:5" x14ac:dyDescent="0.2">
      <c r="A2119" t="s">
        <v>5522</v>
      </c>
      <c r="B2119" t="s">
        <v>5523</v>
      </c>
      <c r="C2119" t="s">
        <v>5428</v>
      </c>
      <c r="D2119" t="s">
        <v>5428</v>
      </c>
      <c r="E2119" t="s">
        <v>5524</v>
      </c>
    </row>
    <row r="2120" spans="1:5" x14ac:dyDescent="0.2">
      <c r="A2120" t="s">
        <v>5525</v>
      </c>
      <c r="B2120" t="s">
        <v>5526</v>
      </c>
      <c r="C2120" t="s">
        <v>5428</v>
      </c>
      <c r="D2120" t="s">
        <v>5428</v>
      </c>
      <c r="E2120" t="s">
        <v>5527</v>
      </c>
    </row>
    <row r="2121" spans="1:5" x14ac:dyDescent="0.2">
      <c r="A2121" t="s">
        <v>5528</v>
      </c>
      <c r="B2121" t="s">
        <v>5529</v>
      </c>
      <c r="C2121" t="s">
        <v>5428</v>
      </c>
      <c r="D2121" t="s">
        <v>5428</v>
      </c>
      <c r="E2121" t="s">
        <v>5530</v>
      </c>
    </row>
    <row r="2122" spans="1:5" x14ac:dyDescent="0.2">
      <c r="A2122" t="s">
        <v>5531</v>
      </c>
      <c r="B2122" t="s">
        <v>5532</v>
      </c>
      <c r="C2122" t="s">
        <v>5428</v>
      </c>
      <c r="D2122" t="s">
        <v>5428</v>
      </c>
      <c r="E2122" t="s">
        <v>5432</v>
      </c>
    </row>
    <row r="2123" spans="1:5" x14ac:dyDescent="0.2">
      <c r="A2123" t="s">
        <v>5533</v>
      </c>
      <c r="B2123" t="s">
        <v>5534</v>
      </c>
      <c r="C2123" t="s">
        <v>5428</v>
      </c>
      <c r="D2123" t="s">
        <v>5428</v>
      </c>
      <c r="E2123" t="s">
        <v>5432</v>
      </c>
    </row>
    <row r="2124" spans="1:5" x14ac:dyDescent="0.2">
      <c r="A2124" t="s">
        <v>5535</v>
      </c>
      <c r="B2124" t="s">
        <v>5536</v>
      </c>
      <c r="C2124" t="s">
        <v>5428</v>
      </c>
      <c r="D2124" t="s">
        <v>5428</v>
      </c>
      <c r="E2124" t="s">
        <v>5537</v>
      </c>
    </row>
    <row r="2125" spans="1:5" x14ac:dyDescent="0.2">
      <c r="A2125" t="s">
        <v>5538</v>
      </c>
      <c r="B2125" t="s">
        <v>5539</v>
      </c>
      <c r="C2125" t="s">
        <v>5428</v>
      </c>
      <c r="D2125" t="s">
        <v>5428</v>
      </c>
      <c r="E2125" t="s">
        <v>5441</v>
      </c>
    </row>
    <row r="2126" spans="1:5" x14ac:dyDescent="0.2">
      <c r="A2126" t="s">
        <v>5540</v>
      </c>
      <c r="B2126" t="s">
        <v>5541</v>
      </c>
      <c r="C2126" t="s">
        <v>5428</v>
      </c>
      <c r="D2126" t="s">
        <v>5428</v>
      </c>
      <c r="E2126" t="s">
        <v>5432</v>
      </c>
    </row>
    <row r="2127" spans="1:5" x14ac:dyDescent="0.2">
      <c r="A2127" t="s">
        <v>5542</v>
      </c>
      <c r="B2127" t="s">
        <v>5543</v>
      </c>
      <c r="C2127" t="s">
        <v>5428</v>
      </c>
      <c r="D2127" t="s">
        <v>5428</v>
      </c>
      <c r="E2127" t="s">
        <v>5544</v>
      </c>
    </row>
    <row r="2128" spans="1:5" x14ac:dyDescent="0.2">
      <c r="A2128" t="s">
        <v>5545</v>
      </c>
      <c r="B2128" t="s">
        <v>5546</v>
      </c>
      <c r="C2128" t="s">
        <v>5428</v>
      </c>
      <c r="D2128" t="s">
        <v>5428</v>
      </c>
      <c r="E2128" t="s">
        <v>5547</v>
      </c>
    </row>
    <row r="2129" spans="1:5" x14ac:dyDescent="0.2">
      <c r="A2129" t="s">
        <v>5548</v>
      </c>
      <c r="B2129" t="s">
        <v>5549</v>
      </c>
      <c r="C2129" t="s">
        <v>5428</v>
      </c>
      <c r="D2129" t="s">
        <v>5428</v>
      </c>
      <c r="E2129" t="s">
        <v>5503</v>
      </c>
    </row>
    <row r="2130" spans="1:5" x14ac:dyDescent="0.2">
      <c r="A2130" t="s">
        <v>5550</v>
      </c>
      <c r="B2130" t="s">
        <v>5551</v>
      </c>
      <c r="C2130" t="s">
        <v>5428</v>
      </c>
      <c r="D2130" t="s">
        <v>5428</v>
      </c>
      <c r="E2130" t="s">
        <v>5444</v>
      </c>
    </row>
    <row r="2131" spans="1:5" x14ac:dyDescent="0.2">
      <c r="A2131" t="s">
        <v>5552</v>
      </c>
      <c r="B2131" t="s">
        <v>5553</v>
      </c>
      <c r="C2131" t="s">
        <v>5428</v>
      </c>
      <c r="D2131" t="s">
        <v>5428</v>
      </c>
      <c r="E2131" t="s">
        <v>5444</v>
      </c>
    </row>
    <row r="2132" spans="1:5" x14ac:dyDescent="0.2">
      <c r="A2132" t="s">
        <v>5554</v>
      </c>
      <c r="B2132" t="s">
        <v>5555</v>
      </c>
      <c r="C2132" t="s">
        <v>5428</v>
      </c>
      <c r="D2132" t="s">
        <v>5428</v>
      </c>
      <c r="E2132" t="s">
        <v>5444</v>
      </c>
    </row>
    <row r="2133" spans="1:5" x14ac:dyDescent="0.2">
      <c r="A2133" t="s">
        <v>5556</v>
      </c>
      <c r="B2133" t="s">
        <v>5557</v>
      </c>
      <c r="C2133" t="s">
        <v>5428</v>
      </c>
      <c r="D2133" t="s">
        <v>5428</v>
      </c>
      <c r="E2133" t="s">
        <v>5558</v>
      </c>
    </row>
    <row r="2134" spans="1:5" x14ac:dyDescent="0.2">
      <c r="A2134" t="s">
        <v>5559</v>
      </c>
      <c r="B2134" t="s">
        <v>5560</v>
      </c>
      <c r="C2134" t="s">
        <v>5428</v>
      </c>
      <c r="D2134" t="s">
        <v>5428</v>
      </c>
      <c r="E2134" t="s">
        <v>5438</v>
      </c>
    </row>
    <row r="2135" spans="1:5" x14ac:dyDescent="0.2">
      <c r="A2135" t="s">
        <v>5561</v>
      </c>
      <c r="B2135" t="s">
        <v>5562</v>
      </c>
      <c r="C2135" t="s">
        <v>5428</v>
      </c>
      <c r="D2135" t="s">
        <v>5428</v>
      </c>
      <c r="E2135" t="s">
        <v>5563</v>
      </c>
    </row>
    <row r="2136" spans="1:5" x14ac:dyDescent="0.2">
      <c r="A2136" t="s">
        <v>5564</v>
      </c>
      <c r="B2136" t="s">
        <v>5565</v>
      </c>
      <c r="C2136" t="s">
        <v>5428</v>
      </c>
      <c r="D2136" t="s">
        <v>5428</v>
      </c>
      <c r="E2136" t="s">
        <v>5444</v>
      </c>
    </row>
    <row r="2137" spans="1:5" x14ac:dyDescent="0.2">
      <c r="A2137" t="s">
        <v>5566</v>
      </c>
      <c r="B2137" t="s">
        <v>5567</v>
      </c>
      <c r="C2137" t="s">
        <v>5428</v>
      </c>
      <c r="D2137" t="s">
        <v>5428</v>
      </c>
      <c r="E2137" t="s">
        <v>5432</v>
      </c>
    </row>
    <row r="2138" spans="1:5" x14ac:dyDescent="0.2">
      <c r="A2138" t="s">
        <v>5568</v>
      </c>
      <c r="B2138" t="s">
        <v>5569</v>
      </c>
      <c r="C2138" t="s">
        <v>5428</v>
      </c>
      <c r="D2138" t="s">
        <v>5428</v>
      </c>
      <c r="E2138" t="s">
        <v>5503</v>
      </c>
    </row>
    <row r="2139" spans="1:5" x14ac:dyDescent="0.2">
      <c r="A2139" t="s">
        <v>5570</v>
      </c>
      <c r="B2139" t="s">
        <v>5571</v>
      </c>
      <c r="C2139" t="s">
        <v>5428</v>
      </c>
      <c r="D2139" t="s">
        <v>5428</v>
      </c>
      <c r="E2139" t="s">
        <v>5503</v>
      </c>
    </row>
    <row r="2140" spans="1:5" x14ac:dyDescent="0.2">
      <c r="A2140" t="s">
        <v>5572</v>
      </c>
      <c r="B2140" t="s">
        <v>5573</v>
      </c>
      <c r="C2140" t="s">
        <v>5428</v>
      </c>
      <c r="D2140" t="s">
        <v>5428</v>
      </c>
      <c r="E2140" t="s">
        <v>5574</v>
      </c>
    </row>
    <row r="2141" spans="1:5" x14ac:dyDescent="0.2">
      <c r="A2141" t="s">
        <v>5575</v>
      </c>
      <c r="B2141" t="s">
        <v>5576</v>
      </c>
      <c r="C2141" t="s">
        <v>5428</v>
      </c>
      <c r="D2141" t="s">
        <v>5428</v>
      </c>
      <c r="E2141" t="s">
        <v>5432</v>
      </c>
    </row>
    <row r="2142" spans="1:5" x14ac:dyDescent="0.2">
      <c r="A2142" t="s">
        <v>5577</v>
      </c>
      <c r="B2142" t="s">
        <v>5578</v>
      </c>
      <c r="C2142" t="s">
        <v>5428</v>
      </c>
      <c r="D2142" t="s">
        <v>5428</v>
      </c>
      <c r="E2142" t="s">
        <v>5579</v>
      </c>
    </row>
    <row r="2143" spans="1:5" x14ac:dyDescent="0.2">
      <c r="A2143" t="s">
        <v>5580</v>
      </c>
      <c r="B2143" t="s">
        <v>5581</v>
      </c>
      <c r="C2143" t="s">
        <v>5428</v>
      </c>
      <c r="D2143" t="s">
        <v>5428</v>
      </c>
      <c r="E2143" t="s">
        <v>5444</v>
      </c>
    </row>
    <row r="2144" spans="1:5" x14ac:dyDescent="0.2">
      <c r="A2144" t="s">
        <v>5582</v>
      </c>
      <c r="B2144" t="s">
        <v>5583</v>
      </c>
      <c r="C2144" t="s">
        <v>5428</v>
      </c>
      <c r="D2144" t="s">
        <v>5428</v>
      </c>
      <c r="E2144" t="s">
        <v>5444</v>
      </c>
    </row>
    <row r="2145" spans="1:5" x14ac:dyDescent="0.2">
      <c r="A2145" t="s">
        <v>5584</v>
      </c>
      <c r="B2145" t="s">
        <v>5585</v>
      </c>
      <c r="C2145" t="s">
        <v>5428</v>
      </c>
      <c r="D2145" t="s">
        <v>5428</v>
      </c>
      <c r="E2145" t="s">
        <v>5432</v>
      </c>
    </row>
    <row r="2146" spans="1:5" x14ac:dyDescent="0.2">
      <c r="A2146" t="s">
        <v>5586</v>
      </c>
      <c r="B2146" t="s">
        <v>5587</v>
      </c>
      <c r="C2146" t="s">
        <v>5428</v>
      </c>
      <c r="D2146" t="s">
        <v>5428</v>
      </c>
      <c r="E2146" t="s">
        <v>5588</v>
      </c>
    </row>
    <row r="2147" spans="1:5" x14ac:dyDescent="0.2">
      <c r="A2147" t="s">
        <v>5589</v>
      </c>
      <c r="B2147" t="s">
        <v>5590</v>
      </c>
      <c r="C2147" t="s">
        <v>5428</v>
      </c>
      <c r="D2147" t="s">
        <v>5428</v>
      </c>
      <c r="E2147" t="s">
        <v>5438</v>
      </c>
    </row>
    <row r="2148" spans="1:5" x14ac:dyDescent="0.2">
      <c r="A2148" t="s">
        <v>5591</v>
      </c>
      <c r="B2148" t="s">
        <v>5592</v>
      </c>
      <c r="C2148" t="s">
        <v>5428</v>
      </c>
      <c r="D2148" t="s">
        <v>5428</v>
      </c>
      <c r="E2148" t="s">
        <v>5593</v>
      </c>
    </row>
    <row r="2149" spans="1:5" x14ac:dyDescent="0.2">
      <c r="A2149" t="s">
        <v>5594</v>
      </c>
      <c r="B2149" t="s">
        <v>5595</v>
      </c>
      <c r="C2149" t="s">
        <v>5428</v>
      </c>
      <c r="D2149" t="s">
        <v>5428</v>
      </c>
      <c r="E2149" t="s">
        <v>5596</v>
      </c>
    </row>
    <row r="2150" spans="1:5" x14ac:dyDescent="0.2">
      <c r="A2150" t="s">
        <v>5597</v>
      </c>
      <c r="B2150" t="s">
        <v>5598</v>
      </c>
      <c r="C2150" t="s">
        <v>5428</v>
      </c>
      <c r="D2150" t="s">
        <v>5428</v>
      </c>
      <c r="E2150" t="s">
        <v>5432</v>
      </c>
    </row>
    <row r="2151" spans="1:5" x14ac:dyDescent="0.2">
      <c r="A2151" t="s">
        <v>5599</v>
      </c>
      <c r="B2151" t="s">
        <v>5600</v>
      </c>
      <c r="C2151" t="s">
        <v>5428</v>
      </c>
      <c r="D2151" t="s">
        <v>5428</v>
      </c>
      <c r="E2151" t="s">
        <v>5444</v>
      </c>
    </row>
    <row r="2152" spans="1:5" x14ac:dyDescent="0.2">
      <c r="A2152" t="s">
        <v>5601</v>
      </c>
      <c r="B2152" t="s">
        <v>5602</v>
      </c>
      <c r="C2152" t="s">
        <v>5428</v>
      </c>
      <c r="D2152" t="s">
        <v>5428</v>
      </c>
      <c r="E2152" t="s">
        <v>5438</v>
      </c>
    </row>
    <row r="2153" spans="1:5" x14ac:dyDescent="0.2">
      <c r="A2153" t="s">
        <v>5603</v>
      </c>
      <c r="B2153" t="s">
        <v>5604</v>
      </c>
      <c r="C2153" t="s">
        <v>5428</v>
      </c>
      <c r="D2153" t="s">
        <v>5428</v>
      </c>
      <c r="E2153" t="s">
        <v>5438</v>
      </c>
    </row>
    <row r="2154" spans="1:5" x14ac:dyDescent="0.2">
      <c r="A2154" t="s">
        <v>5605</v>
      </c>
      <c r="B2154" t="s">
        <v>5606</v>
      </c>
      <c r="C2154" t="s">
        <v>5428</v>
      </c>
      <c r="D2154" t="s">
        <v>5428</v>
      </c>
      <c r="E2154" t="s">
        <v>5438</v>
      </c>
    </row>
    <row r="2155" spans="1:5" x14ac:dyDescent="0.2">
      <c r="A2155" t="s">
        <v>5607</v>
      </c>
      <c r="B2155" t="s">
        <v>5608</v>
      </c>
      <c r="C2155" t="s">
        <v>5428</v>
      </c>
      <c r="D2155" t="s">
        <v>5428</v>
      </c>
      <c r="E2155" t="s">
        <v>5609</v>
      </c>
    </row>
    <row r="2156" spans="1:5" x14ac:dyDescent="0.2">
      <c r="A2156" t="s">
        <v>5610</v>
      </c>
      <c r="B2156" t="s">
        <v>5611</v>
      </c>
      <c r="C2156" t="s">
        <v>5428</v>
      </c>
      <c r="D2156" t="s">
        <v>5428</v>
      </c>
      <c r="E2156" t="s">
        <v>5612</v>
      </c>
    </row>
    <row r="2157" spans="1:5" x14ac:dyDescent="0.2">
      <c r="A2157" t="s">
        <v>5613</v>
      </c>
      <c r="B2157" t="s">
        <v>5614</v>
      </c>
      <c r="C2157" t="s">
        <v>5428</v>
      </c>
      <c r="D2157" t="s">
        <v>5428</v>
      </c>
      <c r="E2157" t="s">
        <v>5615</v>
      </c>
    </row>
    <row r="2158" spans="1:5" x14ac:dyDescent="0.2">
      <c r="A2158" t="s">
        <v>5616</v>
      </c>
      <c r="B2158" t="s">
        <v>5617</v>
      </c>
      <c r="C2158" t="s">
        <v>5428</v>
      </c>
      <c r="D2158" t="s">
        <v>5428</v>
      </c>
      <c r="E2158" t="s">
        <v>5618</v>
      </c>
    </row>
    <row r="2159" spans="1:5" x14ac:dyDescent="0.2">
      <c r="A2159" t="s">
        <v>5619</v>
      </c>
      <c r="B2159" t="s">
        <v>5620</v>
      </c>
      <c r="C2159" t="s">
        <v>5428</v>
      </c>
      <c r="D2159" t="s">
        <v>5428</v>
      </c>
      <c r="E2159" t="s">
        <v>5621</v>
      </c>
    </row>
    <row r="2160" spans="1:5" x14ac:dyDescent="0.2">
      <c r="A2160" t="s">
        <v>5622</v>
      </c>
      <c r="B2160" t="s">
        <v>5623</v>
      </c>
      <c r="C2160" t="s">
        <v>5428</v>
      </c>
      <c r="D2160" t="s">
        <v>5428</v>
      </c>
      <c r="E2160" t="s">
        <v>5444</v>
      </c>
    </row>
    <row r="2161" spans="1:5" x14ac:dyDescent="0.2">
      <c r="A2161" t="s">
        <v>5624</v>
      </c>
      <c r="B2161" t="s">
        <v>5625</v>
      </c>
      <c r="C2161" t="s">
        <v>5428</v>
      </c>
      <c r="D2161" t="s">
        <v>5428</v>
      </c>
      <c r="E2161" t="s">
        <v>5626</v>
      </c>
    </row>
    <row r="2162" spans="1:5" x14ac:dyDescent="0.2">
      <c r="A2162" t="s">
        <v>5627</v>
      </c>
      <c r="B2162" t="s">
        <v>5628</v>
      </c>
      <c r="C2162" t="s">
        <v>5428</v>
      </c>
      <c r="D2162" t="s">
        <v>5428</v>
      </c>
      <c r="E2162" t="s">
        <v>5629</v>
      </c>
    </row>
    <row r="2163" spans="1:5" x14ac:dyDescent="0.2">
      <c r="A2163" t="s">
        <v>5630</v>
      </c>
      <c r="B2163" t="s">
        <v>5631</v>
      </c>
      <c r="C2163" t="s">
        <v>5428</v>
      </c>
      <c r="D2163" t="s">
        <v>5428</v>
      </c>
      <c r="E2163" t="s">
        <v>5632</v>
      </c>
    </row>
    <row r="2164" spans="1:5" x14ac:dyDescent="0.2">
      <c r="A2164" t="s">
        <v>5633</v>
      </c>
      <c r="B2164" t="s">
        <v>5634</v>
      </c>
      <c r="C2164" t="s">
        <v>5428</v>
      </c>
      <c r="D2164" t="s">
        <v>5428</v>
      </c>
      <c r="E2164" t="s">
        <v>5444</v>
      </c>
    </row>
    <row r="2165" spans="1:5" x14ac:dyDescent="0.2">
      <c r="A2165" t="s">
        <v>5635</v>
      </c>
      <c r="B2165" t="s">
        <v>5636</v>
      </c>
      <c r="C2165" t="s">
        <v>5428</v>
      </c>
      <c r="D2165" t="s">
        <v>5428</v>
      </c>
      <c r="E2165" t="s">
        <v>5487</v>
      </c>
    </row>
    <row r="2166" spans="1:5" x14ac:dyDescent="0.2">
      <c r="A2166" t="s">
        <v>5637</v>
      </c>
      <c r="B2166" t="s">
        <v>5638</v>
      </c>
      <c r="C2166" t="s">
        <v>5428</v>
      </c>
      <c r="D2166" t="s">
        <v>5428</v>
      </c>
      <c r="E2166" t="s">
        <v>5639</v>
      </c>
    </row>
    <row r="2167" spans="1:5" x14ac:dyDescent="0.2">
      <c r="A2167" t="s">
        <v>5640</v>
      </c>
      <c r="B2167" t="s">
        <v>5641</v>
      </c>
      <c r="C2167" t="s">
        <v>5428</v>
      </c>
      <c r="D2167" t="s">
        <v>5428</v>
      </c>
      <c r="E2167" t="s">
        <v>5429</v>
      </c>
    </row>
    <row r="2168" spans="1:5" x14ac:dyDescent="0.2">
      <c r="A2168" t="s">
        <v>5642</v>
      </c>
      <c r="B2168" t="s">
        <v>5643</v>
      </c>
      <c r="C2168" t="s">
        <v>5428</v>
      </c>
      <c r="D2168" t="s">
        <v>5428</v>
      </c>
      <c r="E2168" t="s">
        <v>5632</v>
      </c>
    </row>
    <row r="2169" spans="1:5" x14ac:dyDescent="0.2">
      <c r="A2169" t="s">
        <v>5644</v>
      </c>
      <c r="B2169" t="s">
        <v>5645</v>
      </c>
      <c r="C2169" t="s">
        <v>5428</v>
      </c>
      <c r="D2169" t="s">
        <v>5428</v>
      </c>
      <c r="E2169" t="s">
        <v>5646</v>
      </c>
    </row>
    <row r="2170" spans="1:5" x14ac:dyDescent="0.2">
      <c r="A2170" t="s">
        <v>5647</v>
      </c>
      <c r="B2170" t="s">
        <v>5648</v>
      </c>
      <c r="C2170" t="s">
        <v>5428</v>
      </c>
      <c r="D2170" t="s">
        <v>5428</v>
      </c>
      <c r="E2170" t="s">
        <v>5429</v>
      </c>
    </row>
    <row r="2171" spans="1:5" x14ac:dyDescent="0.2">
      <c r="A2171" t="s">
        <v>5649</v>
      </c>
      <c r="B2171" t="s">
        <v>5650</v>
      </c>
      <c r="C2171" t="s">
        <v>5428</v>
      </c>
      <c r="D2171" t="s">
        <v>5428</v>
      </c>
      <c r="E2171" t="s">
        <v>5503</v>
      </c>
    </row>
    <row r="2172" spans="1:5" x14ac:dyDescent="0.2">
      <c r="A2172" t="s">
        <v>5651</v>
      </c>
      <c r="B2172" t="s">
        <v>5652</v>
      </c>
      <c r="C2172" t="s">
        <v>5428</v>
      </c>
      <c r="D2172" t="s">
        <v>5428</v>
      </c>
      <c r="E2172" t="s">
        <v>5432</v>
      </c>
    </row>
    <row r="2173" spans="1:5" x14ac:dyDescent="0.2">
      <c r="A2173" t="s">
        <v>5653</v>
      </c>
      <c r="B2173" t="s">
        <v>5654</v>
      </c>
      <c r="C2173" t="s">
        <v>5428</v>
      </c>
      <c r="D2173" t="s">
        <v>5428</v>
      </c>
      <c r="E2173" t="s">
        <v>5655</v>
      </c>
    </row>
    <row r="2174" spans="1:5" x14ac:dyDescent="0.2">
      <c r="A2174" t="s">
        <v>5656</v>
      </c>
      <c r="B2174" t="s">
        <v>5657</v>
      </c>
      <c r="C2174" t="s">
        <v>5428</v>
      </c>
      <c r="D2174" t="s">
        <v>5428</v>
      </c>
      <c r="E2174" t="s">
        <v>5432</v>
      </c>
    </row>
    <row r="2175" spans="1:5" x14ac:dyDescent="0.2">
      <c r="A2175" t="s">
        <v>5658</v>
      </c>
      <c r="B2175" t="s">
        <v>5659</v>
      </c>
      <c r="C2175" t="s">
        <v>5428</v>
      </c>
      <c r="D2175" t="s">
        <v>5428</v>
      </c>
      <c r="E2175" t="s">
        <v>5563</v>
      </c>
    </row>
    <row r="2176" spans="1:5" x14ac:dyDescent="0.2">
      <c r="A2176" t="s">
        <v>5660</v>
      </c>
      <c r="B2176" t="s">
        <v>5661</v>
      </c>
      <c r="C2176" t="s">
        <v>5428</v>
      </c>
      <c r="D2176" t="s">
        <v>5428</v>
      </c>
      <c r="E2176" t="s">
        <v>5444</v>
      </c>
    </row>
    <row r="2177" spans="1:5" x14ac:dyDescent="0.2">
      <c r="A2177" t="s">
        <v>5662</v>
      </c>
      <c r="B2177" t="s">
        <v>5663</v>
      </c>
      <c r="C2177" t="s">
        <v>5428</v>
      </c>
      <c r="D2177" t="s">
        <v>5428</v>
      </c>
      <c r="E2177" t="s">
        <v>5664</v>
      </c>
    </row>
    <row r="2178" spans="1:5" x14ac:dyDescent="0.2">
      <c r="A2178" t="s">
        <v>5665</v>
      </c>
      <c r="B2178" t="s">
        <v>5666</v>
      </c>
      <c r="C2178" t="s">
        <v>5428</v>
      </c>
      <c r="D2178" t="s">
        <v>5428</v>
      </c>
      <c r="E2178" t="s">
        <v>5432</v>
      </c>
    </row>
    <row r="2179" spans="1:5" x14ac:dyDescent="0.2">
      <c r="A2179" t="s">
        <v>5667</v>
      </c>
      <c r="B2179" t="s">
        <v>5668</v>
      </c>
      <c r="C2179" t="s">
        <v>5428</v>
      </c>
      <c r="D2179" t="s">
        <v>5428</v>
      </c>
      <c r="E2179" t="s">
        <v>5511</v>
      </c>
    </row>
    <row r="2180" spans="1:5" x14ac:dyDescent="0.2">
      <c r="A2180" t="s">
        <v>5669</v>
      </c>
      <c r="B2180" t="s">
        <v>5670</v>
      </c>
      <c r="C2180" t="s">
        <v>5428</v>
      </c>
      <c r="D2180" t="s">
        <v>5428</v>
      </c>
      <c r="E2180" t="s">
        <v>5432</v>
      </c>
    </row>
    <row r="2181" spans="1:5" x14ac:dyDescent="0.2">
      <c r="A2181" t="s">
        <v>5671</v>
      </c>
      <c r="B2181" t="s">
        <v>5672</v>
      </c>
      <c r="C2181" t="s">
        <v>5428</v>
      </c>
      <c r="D2181" t="s">
        <v>5428</v>
      </c>
      <c r="E2181" t="s">
        <v>5673</v>
      </c>
    </row>
    <row r="2182" spans="1:5" x14ac:dyDescent="0.2">
      <c r="A2182" t="s">
        <v>5674</v>
      </c>
      <c r="B2182" t="s">
        <v>5675</v>
      </c>
      <c r="C2182" t="s">
        <v>5428</v>
      </c>
      <c r="D2182" t="s">
        <v>5428</v>
      </c>
      <c r="E2182" t="s">
        <v>5444</v>
      </c>
    </row>
    <row r="2183" spans="1:5" x14ac:dyDescent="0.2">
      <c r="A2183" t="s">
        <v>5676</v>
      </c>
      <c r="B2183" t="s">
        <v>5677</v>
      </c>
      <c r="C2183" t="s">
        <v>5428</v>
      </c>
      <c r="D2183" t="s">
        <v>5428</v>
      </c>
      <c r="E2183" t="s">
        <v>5511</v>
      </c>
    </row>
    <row r="2184" spans="1:5" x14ac:dyDescent="0.2">
      <c r="A2184" t="s">
        <v>5678</v>
      </c>
      <c r="B2184" t="s">
        <v>5679</v>
      </c>
      <c r="C2184" t="s">
        <v>5428</v>
      </c>
      <c r="D2184" t="s">
        <v>5428</v>
      </c>
      <c r="E2184" t="s">
        <v>5680</v>
      </c>
    </row>
    <row r="2185" spans="1:5" x14ac:dyDescent="0.2">
      <c r="A2185" t="s">
        <v>5681</v>
      </c>
      <c r="B2185" t="s">
        <v>5682</v>
      </c>
      <c r="C2185" t="s">
        <v>5428</v>
      </c>
      <c r="D2185" t="s">
        <v>5428</v>
      </c>
      <c r="E2185" t="s">
        <v>5503</v>
      </c>
    </row>
    <row r="2186" spans="1:5" x14ac:dyDescent="0.2">
      <c r="A2186" t="s">
        <v>5683</v>
      </c>
      <c r="B2186" t="s">
        <v>5684</v>
      </c>
      <c r="C2186" t="s">
        <v>5428</v>
      </c>
      <c r="D2186" t="s">
        <v>5428</v>
      </c>
      <c r="E2186" t="s">
        <v>5503</v>
      </c>
    </row>
    <row r="2187" spans="1:5" x14ac:dyDescent="0.2">
      <c r="A2187" t="s">
        <v>5685</v>
      </c>
      <c r="B2187" t="s">
        <v>5686</v>
      </c>
      <c r="C2187" t="s">
        <v>5428</v>
      </c>
      <c r="D2187" t="s">
        <v>5428</v>
      </c>
      <c r="E2187" t="s">
        <v>5687</v>
      </c>
    </row>
    <row r="2188" spans="1:5" x14ac:dyDescent="0.2">
      <c r="A2188" t="s">
        <v>5688</v>
      </c>
      <c r="B2188" t="s">
        <v>5689</v>
      </c>
      <c r="C2188" t="s">
        <v>5428</v>
      </c>
      <c r="D2188" t="s">
        <v>5428</v>
      </c>
      <c r="E2188" t="s">
        <v>5511</v>
      </c>
    </row>
    <row r="2189" spans="1:5" x14ac:dyDescent="0.2">
      <c r="A2189" t="s">
        <v>5690</v>
      </c>
      <c r="B2189" t="s">
        <v>5691</v>
      </c>
      <c r="C2189" t="s">
        <v>5428</v>
      </c>
      <c r="D2189" t="s">
        <v>5428</v>
      </c>
      <c r="E2189" t="s">
        <v>5438</v>
      </c>
    </row>
    <row r="2190" spans="1:5" x14ac:dyDescent="0.2">
      <c r="A2190" t="s">
        <v>5692</v>
      </c>
      <c r="B2190" t="s">
        <v>5693</v>
      </c>
      <c r="C2190" t="s">
        <v>5428</v>
      </c>
      <c r="D2190" t="s">
        <v>5428</v>
      </c>
      <c r="E2190" t="s">
        <v>5511</v>
      </c>
    </row>
    <row r="2191" spans="1:5" x14ac:dyDescent="0.2">
      <c r="A2191" t="s">
        <v>5694</v>
      </c>
      <c r="B2191" t="s">
        <v>5695</v>
      </c>
      <c r="C2191" t="s">
        <v>5428</v>
      </c>
      <c r="D2191" t="s">
        <v>5428</v>
      </c>
      <c r="E2191" t="s">
        <v>5444</v>
      </c>
    </row>
    <row r="2192" spans="1:5" x14ac:dyDescent="0.2">
      <c r="A2192" t="s">
        <v>5696</v>
      </c>
      <c r="B2192" t="s">
        <v>5697</v>
      </c>
      <c r="C2192" t="s">
        <v>5428</v>
      </c>
      <c r="D2192" t="s">
        <v>5428</v>
      </c>
      <c r="E2192" t="s">
        <v>5563</v>
      </c>
    </row>
    <row r="2193" spans="1:5" x14ac:dyDescent="0.2">
      <c r="A2193" t="s">
        <v>5698</v>
      </c>
      <c r="B2193" t="s">
        <v>5699</v>
      </c>
      <c r="C2193" t="s">
        <v>5428</v>
      </c>
      <c r="D2193" t="s">
        <v>5428</v>
      </c>
      <c r="E2193" t="s">
        <v>5444</v>
      </c>
    </row>
    <row r="2194" spans="1:5" x14ac:dyDescent="0.2">
      <c r="A2194" t="s">
        <v>5700</v>
      </c>
      <c r="B2194" t="s">
        <v>5701</v>
      </c>
      <c r="C2194" t="s">
        <v>5428</v>
      </c>
      <c r="D2194" t="s">
        <v>5428</v>
      </c>
      <c r="E2194" t="s">
        <v>5702</v>
      </c>
    </row>
    <row r="2195" spans="1:5" x14ac:dyDescent="0.2">
      <c r="A2195" t="s">
        <v>5703</v>
      </c>
      <c r="B2195" t="s">
        <v>5704</v>
      </c>
      <c r="C2195" t="s">
        <v>5428</v>
      </c>
      <c r="D2195" t="s">
        <v>5428</v>
      </c>
      <c r="E2195" t="s">
        <v>5429</v>
      </c>
    </row>
    <row r="2196" spans="1:5" x14ac:dyDescent="0.2">
      <c r="A2196" t="s">
        <v>5705</v>
      </c>
      <c r="B2196" t="s">
        <v>5706</v>
      </c>
      <c r="C2196" t="s">
        <v>5428</v>
      </c>
      <c r="D2196" t="s">
        <v>5428</v>
      </c>
      <c r="E2196" t="s">
        <v>5441</v>
      </c>
    </row>
    <row r="2197" spans="1:5" x14ac:dyDescent="0.2">
      <c r="A2197" t="s">
        <v>5707</v>
      </c>
      <c r="B2197" t="s">
        <v>5708</v>
      </c>
      <c r="C2197" t="s">
        <v>5428</v>
      </c>
      <c r="D2197" t="s">
        <v>5428</v>
      </c>
      <c r="E2197" t="s">
        <v>5511</v>
      </c>
    </row>
    <row r="2198" spans="1:5" x14ac:dyDescent="0.2">
      <c r="A2198" t="s">
        <v>5709</v>
      </c>
      <c r="B2198" t="s">
        <v>5710</v>
      </c>
      <c r="C2198" t="s">
        <v>5428</v>
      </c>
      <c r="D2198" t="s">
        <v>5428</v>
      </c>
      <c r="E2198" t="s">
        <v>5711</v>
      </c>
    </row>
    <row r="2199" spans="1:5" x14ac:dyDescent="0.2">
      <c r="A2199" t="s">
        <v>5712</v>
      </c>
      <c r="B2199" t="s">
        <v>5713</v>
      </c>
      <c r="C2199" t="s">
        <v>5428</v>
      </c>
      <c r="D2199" t="s">
        <v>5428</v>
      </c>
      <c r="E2199" t="s">
        <v>5563</v>
      </c>
    </row>
    <row r="2200" spans="1:5" x14ac:dyDescent="0.2">
      <c r="A2200" t="s">
        <v>5714</v>
      </c>
      <c r="B2200" t="s">
        <v>5715</v>
      </c>
      <c r="C2200" t="s">
        <v>5428</v>
      </c>
      <c r="D2200" t="s">
        <v>5428</v>
      </c>
      <c r="E2200" t="s">
        <v>5511</v>
      </c>
    </row>
    <row r="2201" spans="1:5" x14ac:dyDescent="0.2">
      <c r="A2201" t="s">
        <v>5716</v>
      </c>
      <c r="B2201" t="s">
        <v>5717</v>
      </c>
      <c r="C2201" t="s">
        <v>5428</v>
      </c>
      <c r="D2201" t="s">
        <v>5428</v>
      </c>
      <c r="E2201" t="s">
        <v>5511</v>
      </c>
    </row>
    <row r="2202" spans="1:5" x14ac:dyDescent="0.2">
      <c r="A2202" t="s">
        <v>5718</v>
      </c>
      <c r="B2202" t="s">
        <v>5719</v>
      </c>
      <c r="C2202" t="s">
        <v>5428</v>
      </c>
      <c r="D2202" t="s">
        <v>5428</v>
      </c>
      <c r="E2202" t="s">
        <v>5720</v>
      </c>
    </row>
    <row r="2203" spans="1:5" x14ac:dyDescent="0.2">
      <c r="A2203" t="s">
        <v>5721</v>
      </c>
      <c r="B2203" t="s">
        <v>5722</v>
      </c>
      <c r="C2203" t="s">
        <v>5428</v>
      </c>
      <c r="D2203" t="s">
        <v>5428</v>
      </c>
      <c r="E2203" t="s">
        <v>5438</v>
      </c>
    </row>
    <row r="2204" spans="1:5" x14ac:dyDescent="0.2">
      <c r="A2204" t="s">
        <v>5723</v>
      </c>
      <c r="B2204" t="s">
        <v>5724</v>
      </c>
      <c r="C2204" t="s">
        <v>5428</v>
      </c>
      <c r="D2204" t="s">
        <v>5428</v>
      </c>
      <c r="E2204" t="s">
        <v>5563</v>
      </c>
    </row>
    <row r="2205" spans="1:5" x14ac:dyDescent="0.2">
      <c r="A2205" t="s">
        <v>5725</v>
      </c>
      <c r="B2205" t="s">
        <v>5726</v>
      </c>
      <c r="C2205" t="s">
        <v>5428</v>
      </c>
      <c r="D2205" t="s">
        <v>5428</v>
      </c>
      <c r="E2205" t="s">
        <v>5444</v>
      </c>
    </row>
    <row r="2206" spans="1:5" x14ac:dyDescent="0.2">
      <c r="A2206" t="s">
        <v>5727</v>
      </c>
      <c r="B2206" t="s">
        <v>5728</v>
      </c>
      <c r="C2206" t="s">
        <v>5428</v>
      </c>
      <c r="D2206" t="s">
        <v>5428</v>
      </c>
      <c r="E2206" t="s">
        <v>5729</v>
      </c>
    </row>
    <row r="2207" spans="1:5" x14ac:dyDescent="0.2">
      <c r="A2207" t="s">
        <v>5730</v>
      </c>
      <c r="B2207" t="s">
        <v>5731</v>
      </c>
      <c r="C2207" t="s">
        <v>5428</v>
      </c>
      <c r="D2207" t="s">
        <v>5428</v>
      </c>
      <c r="E2207" t="s">
        <v>5432</v>
      </c>
    </row>
    <row r="2208" spans="1:5" x14ac:dyDescent="0.2">
      <c r="A2208" t="s">
        <v>5732</v>
      </c>
      <c r="B2208" t="s">
        <v>5733</v>
      </c>
      <c r="C2208" t="s">
        <v>5428</v>
      </c>
      <c r="D2208" t="s">
        <v>5428</v>
      </c>
      <c r="E2208" t="s">
        <v>5734</v>
      </c>
    </row>
    <row r="2209" spans="1:5" x14ac:dyDescent="0.2">
      <c r="A2209" t="s">
        <v>5735</v>
      </c>
      <c r="B2209" t="s">
        <v>5736</v>
      </c>
      <c r="C2209" t="s">
        <v>5428</v>
      </c>
      <c r="D2209" t="s">
        <v>5428</v>
      </c>
      <c r="E2209" t="s">
        <v>5563</v>
      </c>
    </row>
    <row r="2210" spans="1:5" x14ac:dyDescent="0.2">
      <c r="A2210" t="s">
        <v>5737</v>
      </c>
      <c r="B2210" t="s">
        <v>5738</v>
      </c>
      <c r="C2210" t="s">
        <v>5428</v>
      </c>
      <c r="D2210" t="s">
        <v>5428</v>
      </c>
      <c r="E2210" t="s">
        <v>5511</v>
      </c>
    </row>
    <row r="2211" spans="1:5" x14ac:dyDescent="0.2">
      <c r="A2211" t="s">
        <v>5739</v>
      </c>
      <c r="B2211" t="s">
        <v>5740</v>
      </c>
      <c r="C2211" t="s">
        <v>5428</v>
      </c>
      <c r="D2211" t="s">
        <v>5428</v>
      </c>
      <c r="E2211" t="s">
        <v>5563</v>
      </c>
    </row>
    <row r="2212" spans="1:5" x14ac:dyDescent="0.2">
      <c r="A2212" t="s">
        <v>5741</v>
      </c>
      <c r="B2212" t="s">
        <v>5742</v>
      </c>
      <c r="C2212" t="s">
        <v>5428</v>
      </c>
      <c r="D2212" t="s">
        <v>5428</v>
      </c>
      <c r="E2212" t="s">
        <v>5563</v>
      </c>
    </row>
    <row r="2213" spans="1:5" x14ac:dyDescent="0.2">
      <c r="A2213" t="s">
        <v>5743</v>
      </c>
      <c r="B2213" t="s">
        <v>5744</v>
      </c>
      <c r="C2213" t="s">
        <v>5428</v>
      </c>
      <c r="D2213" t="s">
        <v>5428</v>
      </c>
      <c r="E2213" t="s">
        <v>5511</v>
      </c>
    </row>
    <row r="2214" spans="1:5" x14ac:dyDescent="0.2">
      <c r="A2214" t="s">
        <v>5745</v>
      </c>
      <c r="B2214" t="s">
        <v>5746</v>
      </c>
      <c r="C2214" t="s">
        <v>5428</v>
      </c>
      <c r="D2214" t="s">
        <v>5428</v>
      </c>
      <c r="E2214" t="s">
        <v>5747</v>
      </c>
    </row>
    <row r="2215" spans="1:5" x14ac:dyDescent="0.2">
      <c r="A2215" t="s">
        <v>5748</v>
      </c>
      <c r="B2215" t="s">
        <v>5749</v>
      </c>
      <c r="C2215" t="s">
        <v>5428</v>
      </c>
      <c r="D2215" t="s">
        <v>5428</v>
      </c>
      <c r="E2215" t="s">
        <v>5432</v>
      </c>
    </row>
    <row r="2216" spans="1:5" x14ac:dyDescent="0.2">
      <c r="A2216" t="s">
        <v>5750</v>
      </c>
      <c r="B2216" t="s">
        <v>5751</v>
      </c>
      <c r="C2216" t="s">
        <v>5428</v>
      </c>
      <c r="D2216" t="s">
        <v>5428</v>
      </c>
      <c r="E2216" t="s">
        <v>5563</v>
      </c>
    </row>
    <row r="2217" spans="1:5" x14ac:dyDescent="0.2">
      <c r="A2217" t="s">
        <v>5752</v>
      </c>
      <c r="B2217" t="s">
        <v>5753</v>
      </c>
      <c r="C2217" t="s">
        <v>5428</v>
      </c>
      <c r="D2217" t="s">
        <v>5428</v>
      </c>
      <c r="E2217" t="s">
        <v>5563</v>
      </c>
    </row>
    <row r="2218" spans="1:5" x14ac:dyDescent="0.2">
      <c r="A2218" t="s">
        <v>5754</v>
      </c>
      <c r="B2218" t="s">
        <v>5755</v>
      </c>
      <c r="C2218" t="s">
        <v>5428</v>
      </c>
      <c r="D2218" t="s">
        <v>5428</v>
      </c>
      <c r="E2218" t="s">
        <v>5438</v>
      </c>
    </row>
    <row r="2219" spans="1:5" x14ac:dyDescent="0.2">
      <c r="A2219" t="s">
        <v>5756</v>
      </c>
      <c r="B2219" t="s">
        <v>5757</v>
      </c>
      <c r="C2219" t="s">
        <v>5428</v>
      </c>
      <c r="D2219" t="s">
        <v>5428</v>
      </c>
      <c r="E2219" t="s">
        <v>5438</v>
      </c>
    </row>
    <row r="2220" spans="1:5" x14ac:dyDescent="0.2">
      <c r="A2220" t="s">
        <v>5758</v>
      </c>
      <c r="B2220" t="s">
        <v>5759</v>
      </c>
      <c r="C2220" t="s">
        <v>5428</v>
      </c>
      <c r="D2220" t="s">
        <v>5428</v>
      </c>
      <c r="E2220" t="s">
        <v>5441</v>
      </c>
    </row>
    <row r="2221" spans="1:5" x14ac:dyDescent="0.2">
      <c r="A2221" t="s">
        <v>5760</v>
      </c>
      <c r="B2221" t="s">
        <v>5761</v>
      </c>
      <c r="C2221" t="s">
        <v>5428</v>
      </c>
      <c r="D2221" t="s">
        <v>5428</v>
      </c>
      <c r="E2221" t="s">
        <v>5762</v>
      </c>
    </row>
    <row r="2222" spans="1:5" x14ac:dyDescent="0.2">
      <c r="A2222" t="s">
        <v>5763</v>
      </c>
      <c r="B2222" t="s">
        <v>5764</v>
      </c>
      <c r="C2222" t="s">
        <v>5428</v>
      </c>
      <c r="D2222" t="s">
        <v>5428</v>
      </c>
      <c r="E2222" t="s">
        <v>5503</v>
      </c>
    </row>
    <row r="2223" spans="1:5" x14ac:dyDescent="0.2">
      <c r="A2223" t="s">
        <v>5765</v>
      </c>
      <c r="B2223" t="s">
        <v>5766</v>
      </c>
      <c r="C2223" t="s">
        <v>5428</v>
      </c>
      <c r="D2223" t="s">
        <v>5428</v>
      </c>
      <c r="E2223" t="s">
        <v>5563</v>
      </c>
    </row>
    <row r="2224" spans="1:5" x14ac:dyDescent="0.2">
      <c r="A2224" t="s">
        <v>5767</v>
      </c>
      <c r="B2224" t="s">
        <v>5768</v>
      </c>
      <c r="C2224" t="s">
        <v>5428</v>
      </c>
      <c r="D2224" t="s">
        <v>5428</v>
      </c>
      <c r="E2224" t="s">
        <v>5769</v>
      </c>
    </row>
    <row r="2225" spans="1:5" x14ac:dyDescent="0.2">
      <c r="A2225" t="s">
        <v>5770</v>
      </c>
      <c r="B2225" t="s">
        <v>5771</v>
      </c>
      <c r="C2225" t="s">
        <v>5428</v>
      </c>
      <c r="D2225" t="s">
        <v>5428</v>
      </c>
      <c r="E2225" t="s">
        <v>5503</v>
      </c>
    </row>
    <row r="2226" spans="1:5" x14ac:dyDescent="0.2">
      <c r="A2226" t="s">
        <v>5772</v>
      </c>
      <c r="B2226" t="s">
        <v>5773</v>
      </c>
      <c r="C2226" t="s">
        <v>5428</v>
      </c>
      <c r="D2226" t="s">
        <v>5428</v>
      </c>
      <c r="E2226" t="s">
        <v>5511</v>
      </c>
    </row>
    <row r="2227" spans="1:5" x14ac:dyDescent="0.2">
      <c r="A2227" t="s">
        <v>5774</v>
      </c>
      <c r="B2227" t="s">
        <v>5775</v>
      </c>
      <c r="C2227" t="s">
        <v>5428</v>
      </c>
      <c r="D2227" t="s">
        <v>5428</v>
      </c>
      <c r="E2227" t="s">
        <v>5432</v>
      </c>
    </row>
    <row r="2228" spans="1:5" x14ac:dyDescent="0.2">
      <c r="A2228" t="s">
        <v>5776</v>
      </c>
      <c r="B2228" t="s">
        <v>5777</v>
      </c>
      <c r="C2228" t="s">
        <v>5428</v>
      </c>
      <c r="D2228" t="s">
        <v>5428</v>
      </c>
      <c r="E2228" t="s">
        <v>5438</v>
      </c>
    </row>
    <row r="2229" spans="1:5" x14ac:dyDescent="0.2">
      <c r="A2229" t="s">
        <v>5778</v>
      </c>
      <c r="B2229" t="s">
        <v>5779</v>
      </c>
      <c r="C2229" t="s">
        <v>5428</v>
      </c>
      <c r="D2229" t="s">
        <v>5428</v>
      </c>
      <c r="E2229" t="s">
        <v>5780</v>
      </c>
    </row>
    <row r="2230" spans="1:5" x14ac:dyDescent="0.2">
      <c r="A2230" t="s">
        <v>5781</v>
      </c>
      <c r="B2230" t="s">
        <v>5782</v>
      </c>
      <c r="C2230" t="s">
        <v>5428</v>
      </c>
      <c r="D2230" t="s">
        <v>5428</v>
      </c>
      <c r="E2230" t="s">
        <v>5783</v>
      </c>
    </row>
    <row r="2231" spans="1:5" x14ac:dyDescent="0.2">
      <c r="A2231" t="s">
        <v>5784</v>
      </c>
      <c r="B2231" t="s">
        <v>5785</v>
      </c>
      <c r="C2231" t="s">
        <v>5428</v>
      </c>
      <c r="D2231" t="s">
        <v>5428</v>
      </c>
      <c r="E2231" t="s">
        <v>5786</v>
      </c>
    </row>
    <row r="2232" spans="1:5" x14ac:dyDescent="0.2">
      <c r="A2232" t="s">
        <v>5787</v>
      </c>
      <c r="B2232" t="s">
        <v>5788</v>
      </c>
      <c r="C2232" t="s">
        <v>5428</v>
      </c>
      <c r="D2232" t="s">
        <v>5428</v>
      </c>
      <c r="E2232" t="s">
        <v>5429</v>
      </c>
    </row>
    <row r="2233" spans="1:5" x14ac:dyDescent="0.2">
      <c r="A2233" t="s">
        <v>5789</v>
      </c>
      <c r="B2233" t="s">
        <v>5790</v>
      </c>
      <c r="C2233" t="s">
        <v>5428</v>
      </c>
      <c r="D2233" t="s">
        <v>5428</v>
      </c>
      <c r="E2233" t="s">
        <v>5438</v>
      </c>
    </row>
    <row r="2234" spans="1:5" x14ac:dyDescent="0.2">
      <c r="A2234" t="s">
        <v>5791</v>
      </c>
      <c r="B2234" t="s">
        <v>5792</v>
      </c>
      <c r="C2234" t="s">
        <v>5428</v>
      </c>
      <c r="D2234" t="s">
        <v>5428</v>
      </c>
      <c r="E2234" t="s">
        <v>5441</v>
      </c>
    </row>
    <row r="2235" spans="1:5" x14ac:dyDescent="0.2">
      <c r="A2235" t="s">
        <v>5793</v>
      </c>
      <c r="B2235" t="s">
        <v>5794</v>
      </c>
      <c r="C2235" t="s">
        <v>5428</v>
      </c>
      <c r="D2235" t="s">
        <v>5428</v>
      </c>
      <c r="E2235" t="s">
        <v>5511</v>
      </c>
    </row>
    <row r="2236" spans="1:5" x14ac:dyDescent="0.2">
      <c r="A2236" t="s">
        <v>5795</v>
      </c>
      <c r="B2236" t="s">
        <v>5796</v>
      </c>
      <c r="C2236" t="s">
        <v>5428</v>
      </c>
      <c r="D2236" t="s">
        <v>5428</v>
      </c>
      <c r="E2236" t="s">
        <v>5563</v>
      </c>
    </row>
    <row r="2237" spans="1:5" x14ac:dyDescent="0.2">
      <c r="A2237" t="s">
        <v>5797</v>
      </c>
      <c r="B2237" t="s">
        <v>5798</v>
      </c>
      <c r="C2237" t="s">
        <v>5428</v>
      </c>
      <c r="D2237" t="s">
        <v>5428</v>
      </c>
      <c r="E2237" t="s">
        <v>5441</v>
      </c>
    </row>
    <row r="2238" spans="1:5" x14ac:dyDescent="0.2">
      <c r="A2238" t="s">
        <v>5799</v>
      </c>
      <c r="B2238" t="s">
        <v>5800</v>
      </c>
      <c r="C2238" t="s">
        <v>5428</v>
      </c>
      <c r="D2238" t="s">
        <v>5428</v>
      </c>
      <c r="E2238" t="s">
        <v>5511</v>
      </c>
    </row>
    <row r="2239" spans="1:5" x14ac:dyDescent="0.2">
      <c r="A2239" t="s">
        <v>5801</v>
      </c>
      <c r="B2239" t="s">
        <v>5802</v>
      </c>
      <c r="C2239" t="s">
        <v>5428</v>
      </c>
      <c r="D2239" t="s">
        <v>5428</v>
      </c>
      <c r="E2239" t="s">
        <v>5803</v>
      </c>
    </row>
    <row r="2240" spans="1:5" x14ac:dyDescent="0.2">
      <c r="A2240" t="s">
        <v>5804</v>
      </c>
      <c r="B2240" t="s">
        <v>5805</v>
      </c>
      <c r="C2240" t="s">
        <v>5428</v>
      </c>
      <c r="D2240" t="s">
        <v>5428</v>
      </c>
      <c r="E2240" t="s">
        <v>5429</v>
      </c>
    </row>
    <row r="2241" spans="1:5" x14ac:dyDescent="0.2">
      <c r="A2241" t="s">
        <v>5806</v>
      </c>
      <c r="B2241" t="s">
        <v>5807</v>
      </c>
      <c r="C2241" t="s">
        <v>5428</v>
      </c>
      <c r="D2241" t="s">
        <v>5428</v>
      </c>
      <c r="E2241" t="s">
        <v>5808</v>
      </c>
    </row>
    <row r="2242" spans="1:5" x14ac:dyDescent="0.2">
      <c r="A2242" t="s">
        <v>5809</v>
      </c>
      <c r="B2242" t="s">
        <v>5810</v>
      </c>
      <c r="C2242" t="s">
        <v>5428</v>
      </c>
      <c r="D2242" t="s">
        <v>5428</v>
      </c>
      <c r="E2242" t="s">
        <v>5432</v>
      </c>
    </row>
    <row r="2243" spans="1:5" x14ac:dyDescent="0.2">
      <c r="A2243" t="s">
        <v>5811</v>
      </c>
      <c r="B2243" t="s">
        <v>5812</v>
      </c>
      <c r="C2243" t="s">
        <v>5428</v>
      </c>
      <c r="D2243" t="s">
        <v>5428</v>
      </c>
      <c r="E2243" t="s">
        <v>5563</v>
      </c>
    </row>
    <row r="2244" spans="1:5" x14ac:dyDescent="0.2">
      <c r="A2244" t="s">
        <v>5813</v>
      </c>
      <c r="B2244" t="s">
        <v>5814</v>
      </c>
      <c r="C2244" t="s">
        <v>5428</v>
      </c>
      <c r="D2244" t="s">
        <v>5428</v>
      </c>
      <c r="E2244" t="s">
        <v>5815</v>
      </c>
    </row>
    <row r="2245" spans="1:5" x14ac:dyDescent="0.2">
      <c r="A2245" t="s">
        <v>5816</v>
      </c>
      <c r="B2245" t="s">
        <v>5817</v>
      </c>
      <c r="C2245" t="s">
        <v>5428</v>
      </c>
      <c r="D2245" t="s">
        <v>5428</v>
      </c>
      <c r="E2245" t="s">
        <v>5432</v>
      </c>
    </row>
    <row r="2246" spans="1:5" x14ac:dyDescent="0.2">
      <c r="A2246" t="s">
        <v>5818</v>
      </c>
      <c r="B2246" t="s">
        <v>5819</v>
      </c>
      <c r="C2246" t="s">
        <v>5428</v>
      </c>
      <c r="D2246" t="s">
        <v>5428</v>
      </c>
      <c r="E2246" t="s">
        <v>5820</v>
      </c>
    </row>
    <row r="2247" spans="1:5" x14ac:dyDescent="0.2">
      <c r="A2247" t="s">
        <v>5821</v>
      </c>
      <c r="B2247" t="s">
        <v>5822</v>
      </c>
      <c r="C2247" t="s">
        <v>5428</v>
      </c>
      <c r="D2247" t="s">
        <v>5428</v>
      </c>
      <c r="E2247" t="s">
        <v>5432</v>
      </c>
    </row>
    <row r="2248" spans="1:5" x14ac:dyDescent="0.2">
      <c r="A2248" t="s">
        <v>5823</v>
      </c>
      <c r="B2248" t="s">
        <v>5824</v>
      </c>
      <c r="C2248" t="s">
        <v>5428</v>
      </c>
      <c r="D2248" t="s">
        <v>5428</v>
      </c>
      <c r="E2248" t="s">
        <v>5441</v>
      </c>
    </row>
    <row r="2249" spans="1:5" x14ac:dyDescent="0.2">
      <c r="A2249" t="s">
        <v>5825</v>
      </c>
      <c r="B2249" t="s">
        <v>5826</v>
      </c>
      <c r="C2249" t="s">
        <v>5428</v>
      </c>
      <c r="D2249" t="s">
        <v>5428</v>
      </c>
      <c r="E2249" t="s">
        <v>5827</v>
      </c>
    </row>
    <row r="2250" spans="1:5" x14ac:dyDescent="0.2">
      <c r="A2250" t="s">
        <v>5828</v>
      </c>
      <c r="B2250" t="s">
        <v>5829</v>
      </c>
      <c r="C2250" t="s">
        <v>5428</v>
      </c>
      <c r="D2250" t="s">
        <v>5428</v>
      </c>
      <c r="E2250" t="s">
        <v>5830</v>
      </c>
    </row>
    <row r="2251" spans="1:5" x14ac:dyDescent="0.2">
      <c r="A2251" t="s">
        <v>5831</v>
      </c>
      <c r="B2251" t="s">
        <v>5832</v>
      </c>
      <c r="C2251" t="s">
        <v>5428</v>
      </c>
      <c r="D2251" t="s">
        <v>5428</v>
      </c>
      <c r="E2251" t="s">
        <v>5429</v>
      </c>
    </row>
    <row r="2252" spans="1:5" x14ac:dyDescent="0.2">
      <c r="A2252" t="s">
        <v>5833</v>
      </c>
      <c r="B2252" t="s">
        <v>5834</v>
      </c>
      <c r="C2252" t="s">
        <v>5428</v>
      </c>
      <c r="D2252" t="s">
        <v>5428</v>
      </c>
      <c r="E2252" t="s">
        <v>5438</v>
      </c>
    </row>
    <row r="2253" spans="1:5" x14ac:dyDescent="0.2">
      <c r="A2253" t="s">
        <v>5835</v>
      </c>
      <c r="B2253" t="s">
        <v>5836</v>
      </c>
      <c r="C2253" t="s">
        <v>5428</v>
      </c>
      <c r="D2253" t="s">
        <v>5428</v>
      </c>
      <c r="E2253" t="s">
        <v>5429</v>
      </c>
    </row>
    <row r="2254" spans="1:5" x14ac:dyDescent="0.2">
      <c r="A2254" t="s">
        <v>5837</v>
      </c>
      <c r="B2254" t="s">
        <v>5838</v>
      </c>
      <c r="C2254" t="s">
        <v>5428</v>
      </c>
      <c r="D2254" t="s">
        <v>5428</v>
      </c>
      <c r="E2254" t="s">
        <v>5839</v>
      </c>
    </row>
    <row r="2255" spans="1:5" x14ac:dyDescent="0.2">
      <c r="A2255" t="s">
        <v>5840</v>
      </c>
      <c r="B2255" t="s">
        <v>5841</v>
      </c>
      <c r="C2255" t="s">
        <v>5428</v>
      </c>
      <c r="D2255" t="s">
        <v>5428</v>
      </c>
      <c r="E2255" t="s">
        <v>5444</v>
      </c>
    </row>
    <row r="2256" spans="1:5" x14ac:dyDescent="0.2">
      <c r="A2256" t="s">
        <v>5842</v>
      </c>
      <c r="B2256" t="s">
        <v>5843</v>
      </c>
      <c r="C2256" t="s">
        <v>5428</v>
      </c>
      <c r="D2256" t="s">
        <v>5428</v>
      </c>
      <c r="E2256" t="s">
        <v>5563</v>
      </c>
    </row>
    <row r="2257" spans="1:5" x14ac:dyDescent="0.2">
      <c r="A2257" t="s">
        <v>5844</v>
      </c>
      <c r="B2257" t="s">
        <v>5845</v>
      </c>
      <c r="C2257" t="s">
        <v>5428</v>
      </c>
      <c r="D2257" t="s">
        <v>5428</v>
      </c>
      <c r="E2257" t="s">
        <v>5438</v>
      </c>
    </row>
    <row r="2258" spans="1:5" x14ac:dyDescent="0.2">
      <c r="A2258" t="s">
        <v>5846</v>
      </c>
      <c r="B2258" t="s">
        <v>5847</v>
      </c>
      <c r="C2258" t="s">
        <v>5428</v>
      </c>
      <c r="D2258" t="s">
        <v>5428</v>
      </c>
      <c r="E2258" t="s">
        <v>5511</v>
      </c>
    </row>
    <row r="2259" spans="1:5" x14ac:dyDescent="0.2">
      <c r="A2259" t="s">
        <v>5848</v>
      </c>
      <c r="B2259" t="s">
        <v>5849</v>
      </c>
      <c r="C2259" t="s">
        <v>5428</v>
      </c>
      <c r="D2259" t="s">
        <v>5428</v>
      </c>
      <c r="E2259" t="s">
        <v>5850</v>
      </c>
    </row>
    <row r="2260" spans="1:5" x14ac:dyDescent="0.2">
      <c r="A2260" t="s">
        <v>5851</v>
      </c>
      <c r="B2260" t="s">
        <v>5852</v>
      </c>
      <c r="C2260" t="s">
        <v>5428</v>
      </c>
      <c r="D2260" t="s">
        <v>5428</v>
      </c>
      <c r="E2260" t="s">
        <v>5511</v>
      </c>
    </row>
    <row r="2261" spans="1:5" x14ac:dyDescent="0.2">
      <c r="A2261" t="s">
        <v>5853</v>
      </c>
      <c r="B2261" t="s">
        <v>5854</v>
      </c>
      <c r="C2261" t="s">
        <v>5428</v>
      </c>
      <c r="D2261" t="s">
        <v>5428</v>
      </c>
      <c r="E2261" t="s">
        <v>5596</v>
      </c>
    </row>
    <row r="2262" spans="1:5" x14ac:dyDescent="0.2">
      <c r="A2262" t="s">
        <v>5855</v>
      </c>
      <c r="B2262" t="s">
        <v>5856</v>
      </c>
      <c r="C2262" t="s">
        <v>5428</v>
      </c>
      <c r="D2262" t="s">
        <v>5428</v>
      </c>
      <c r="E2262" t="s">
        <v>5857</v>
      </c>
    </row>
    <row r="2263" spans="1:5" x14ac:dyDescent="0.2">
      <c r="A2263" t="s">
        <v>5858</v>
      </c>
      <c r="B2263" t="s">
        <v>5859</v>
      </c>
      <c r="C2263" t="s">
        <v>5428</v>
      </c>
      <c r="D2263" t="s">
        <v>5428</v>
      </c>
      <c r="E2263" t="s">
        <v>5503</v>
      </c>
    </row>
    <row r="2264" spans="1:5" x14ac:dyDescent="0.2">
      <c r="A2264" t="s">
        <v>5860</v>
      </c>
      <c r="B2264" t="s">
        <v>5861</v>
      </c>
      <c r="C2264" t="s">
        <v>5428</v>
      </c>
      <c r="D2264" t="s">
        <v>5428</v>
      </c>
      <c r="E2264" t="s">
        <v>5563</v>
      </c>
    </row>
    <row r="2265" spans="1:5" x14ac:dyDescent="0.2">
      <c r="A2265" t="s">
        <v>5862</v>
      </c>
      <c r="B2265" t="s">
        <v>5863</v>
      </c>
      <c r="C2265" t="s">
        <v>5428</v>
      </c>
      <c r="D2265" t="s">
        <v>5428</v>
      </c>
      <c r="E2265" t="s">
        <v>5511</v>
      </c>
    </row>
    <row r="2266" spans="1:5" x14ac:dyDescent="0.2">
      <c r="A2266" t="s">
        <v>5864</v>
      </c>
      <c r="B2266" t="s">
        <v>5865</v>
      </c>
      <c r="C2266" t="s">
        <v>5428</v>
      </c>
      <c r="D2266" t="s">
        <v>5428</v>
      </c>
      <c r="E2266" t="s">
        <v>5432</v>
      </c>
    </row>
    <row r="2267" spans="1:5" x14ac:dyDescent="0.2">
      <c r="A2267" t="s">
        <v>5866</v>
      </c>
      <c r="B2267" t="s">
        <v>5867</v>
      </c>
      <c r="C2267" t="s">
        <v>5428</v>
      </c>
      <c r="D2267" t="s">
        <v>5428</v>
      </c>
      <c r="E2267" t="s">
        <v>5868</v>
      </c>
    </row>
    <row r="2268" spans="1:5" x14ac:dyDescent="0.2">
      <c r="A2268" t="s">
        <v>5869</v>
      </c>
      <c r="B2268" t="s">
        <v>5870</v>
      </c>
      <c r="C2268" t="s">
        <v>5428</v>
      </c>
      <c r="D2268" t="s">
        <v>5428</v>
      </c>
      <c r="E2268" t="s">
        <v>5871</v>
      </c>
    </row>
    <row r="2269" spans="1:5" x14ac:dyDescent="0.2">
      <c r="A2269" t="s">
        <v>5872</v>
      </c>
      <c r="B2269" t="s">
        <v>5873</v>
      </c>
      <c r="C2269" t="s">
        <v>5428</v>
      </c>
      <c r="D2269" t="e">
        <v>#N/A</v>
      </c>
      <c r="E2269" t="e">
        <v>#N/A</v>
      </c>
    </row>
    <row r="2270" spans="1:5" x14ac:dyDescent="0.2">
      <c r="A2270" t="s">
        <v>5874</v>
      </c>
      <c r="B2270" t="s">
        <v>5875</v>
      </c>
      <c r="C2270" t="s">
        <v>5428</v>
      </c>
      <c r="D2270" t="s">
        <v>5428</v>
      </c>
      <c r="E2270" t="s">
        <v>5432</v>
      </c>
    </row>
    <row r="2271" spans="1:5" x14ac:dyDescent="0.2">
      <c r="A2271" t="s">
        <v>5876</v>
      </c>
      <c r="B2271" t="s">
        <v>5877</v>
      </c>
      <c r="C2271" t="s">
        <v>5428</v>
      </c>
      <c r="D2271" t="s">
        <v>5428</v>
      </c>
      <c r="E2271" t="s">
        <v>5441</v>
      </c>
    </row>
    <row r="2272" spans="1:5" x14ac:dyDescent="0.2">
      <c r="A2272" t="s">
        <v>5878</v>
      </c>
      <c r="B2272" t="s">
        <v>5879</v>
      </c>
      <c r="C2272" t="s">
        <v>5428</v>
      </c>
      <c r="D2272" t="s">
        <v>5428</v>
      </c>
      <c r="E2272" t="s">
        <v>5432</v>
      </c>
    </row>
    <row r="2273" spans="1:5" x14ac:dyDescent="0.2">
      <c r="A2273" t="s">
        <v>5880</v>
      </c>
      <c r="B2273" t="s">
        <v>5881</v>
      </c>
      <c r="C2273" t="s">
        <v>5428</v>
      </c>
      <c r="D2273" t="s">
        <v>5428</v>
      </c>
      <c r="E2273" t="s">
        <v>5511</v>
      </c>
    </row>
    <row r="2274" spans="1:5" x14ac:dyDescent="0.2">
      <c r="A2274" t="s">
        <v>5882</v>
      </c>
      <c r="B2274" t="s">
        <v>5883</v>
      </c>
      <c r="C2274" t="s">
        <v>5428</v>
      </c>
      <c r="D2274" t="s">
        <v>5428</v>
      </c>
      <c r="E2274" t="s">
        <v>5511</v>
      </c>
    </row>
    <row r="2275" spans="1:5" x14ac:dyDescent="0.2">
      <c r="A2275" t="s">
        <v>5884</v>
      </c>
      <c r="B2275" t="s">
        <v>5885</v>
      </c>
      <c r="C2275" t="s">
        <v>5428</v>
      </c>
      <c r="D2275" t="s">
        <v>5428</v>
      </c>
      <c r="E2275" t="s">
        <v>5886</v>
      </c>
    </row>
    <row r="2276" spans="1:5" x14ac:dyDescent="0.2">
      <c r="A2276" t="s">
        <v>5887</v>
      </c>
      <c r="B2276" t="s">
        <v>5888</v>
      </c>
      <c r="C2276" t="s">
        <v>5428</v>
      </c>
      <c r="D2276" t="s">
        <v>5428</v>
      </c>
      <c r="E2276" t="s">
        <v>5889</v>
      </c>
    </row>
    <row r="2277" spans="1:5" x14ac:dyDescent="0.2">
      <c r="A2277" t="s">
        <v>5890</v>
      </c>
      <c r="B2277" t="s">
        <v>5891</v>
      </c>
      <c r="C2277" t="s">
        <v>5428</v>
      </c>
      <c r="D2277" t="s">
        <v>5428</v>
      </c>
      <c r="E2277" t="s">
        <v>5762</v>
      </c>
    </row>
    <row r="2278" spans="1:5" x14ac:dyDescent="0.2">
      <c r="A2278" t="s">
        <v>5892</v>
      </c>
      <c r="B2278" t="s">
        <v>5893</v>
      </c>
      <c r="C2278" t="s">
        <v>5428</v>
      </c>
      <c r="D2278" t="s">
        <v>5428</v>
      </c>
      <c r="E2278" t="s">
        <v>5894</v>
      </c>
    </row>
    <row r="2279" spans="1:5" x14ac:dyDescent="0.2">
      <c r="A2279" t="s">
        <v>5895</v>
      </c>
      <c r="B2279" t="s">
        <v>5896</v>
      </c>
      <c r="C2279" t="s">
        <v>5428</v>
      </c>
      <c r="D2279" t="s">
        <v>5428</v>
      </c>
      <c r="E2279" t="s">
        <v>5897</v>
      </c>
    </row>
    <row r="2280" spans="1:5" x14ac:dyDescent="0.2">
      <c r="A2280" t="s">
        <v>5898</v>
      </c>
      <c r="B2280" t="s">
        <v>5899</v>
      </c>
      <c r="C2280" t="s">
        <v>5428</v>
      </c>
      <c r="D2280" t="s">
        <v>5428</v>
      </c>
      <c r="E2280" t="s">
        <v>5432</v>
      </c>
    </row>
    <row r="2281" spans="1:5" x14ac:dyDescent="0.2">
      <c r="A2281" t="s">
        <v>5900</v>
      </c>
      <c r="B2281" t="s">
        <v>5901</v>
      </c>
      <c r="C2281" t="s">
        <v>5428</v>
      </c>
      <c r="D2281" t="s">
        <v>5428</v>
      </c>
      <c r="E2281" t="s">
        <v>5902</v>
      </c>
    </row>
    <row r="2282" spans="1:5" x14ac:dyDescent="0.2">
      <c r="A2282" t="s">
        <v>5903</v>
      </c>
      <c r="B2282" t="s">
        <v>5904</v>
      </c>
      <c r="C2282" t="s">
        <v>5428</v>
      </c>
      <c r="D2282" t="s">
        <v>5428</v>
      </c>
      <c r="E2282" t="s">
        <v>5563</v>
      </c>
    </row>
    <row r="2283" spans="1:5" x14ac:dyDescent="0.2">
      <c r="A2283" t="s">
        <v>5905</v>
      </c>
      <c r="B2283" t="s">
        <v>5906</v>
      </c>
      <c r="C2283" t="s">
        <v>5428</v>
      </c>
      <c r="D2283" t="s">
        <v>5428</v>
      </c>
      <c r="E2283" t="s">
        <v>5429</v>
      </c>
    </row>
    <row r="2284" spans="1:5" x14ac:dyDescent="0.2">
      <c r="A2284" t="s">
        <v>5907</v>
      </c>
      <c r="B2284" t="s">
        <v>5908</v>
      </c>
      <c r="C2284" t="s">
        <v>5428</v>
      </c>
      <c r="D2284" t="s">
        <v>5428</v>
      </c>
      <c r="E2284" t="s">
        <v>5909</v>
      </c>
    </row>
    <row r="2285" spans="1:5" x14ac:dyDescent="0.2">
      <c r="A2285" t="s">
        <v>5910</v>
      </c>
      <c r="B2285" t="s">
        <v>5911</v>
      </c>
      <c r="C2285" t="s">
        <v>5428</v>
      </c>
      <c r="D2285" t="s">
        <v>5428</v>
      </c>
      <c r="E2285" t="s">
        <v>5563</v>
      </c>
    </row>
    <row r="2286" spans="1:5" x14ac:dyDescent="0.2">
      <c r="A2286" t="s">
        <v>5912</v>
      </c>
      <c r="B2286" t="s">
        <v>5913</v>
      </c>
      <c r="C2286" t="s">
        <v>5428</v>
      </c>
      <c r="D2286" t="s">
        <v>5428</v>
      </c>
      <c r="E2286" t="s">
        <v>5914</v>
      </c>
    </row>
    <row r="2287" spans="1:5" x14ac:dyDescent="0.2">
      <c r="A2287" t="s">
        <v>5915</v>
      </c>
      <c r="B2287" t="s">
        <v>5916</v>
      </c>
      <c r="C2287" t="s">
        <v>5917</v>
      </c>
      <c r="D2287" t="s">
        <v>5917</v>
      </c>
      <c r="E2287" t="s">
        <v>5918</v>
      </c>
    </row>
    <row r="2288" spans="1:5" x14ac:dyDescent="0.2">
      <c r="A2288" t="s">
        <v>5919</v>
      </c>
      <c r="B2288" t="s">
        <v>5920</v>
      </c>
      <c r="C2288" t="s">
        <v>5917</v>
      </c>
      <c r="D2288" t="s">
        <v>5917</v>
      </c>
      <c r="E2288" t="s">
        <v>5921</v>
      </c>
    </row>
    <row r="2289" spans="1:5" x14ac:dyDescent="0.2">
      <c r="A2289" t="s">
        <v>5922</v>
      </c>
      <c r="B2289" t="s">
        <v>5923</v>
      </c>
      <c r="C2289" t="s">
        <v>5917</v>
      </c>
      <c r="D2289" t="s">
        <v>5917</v>
      </c>
      <c r="E2289" t="s">
        <v>5918</v>
      </c>
    </row>
    <row r="2290" spans="1:5" x14ac:dyDescent="0.2">
      <c r="A2290" t="s">
        <v>5924</v>
      </c>
      <c r="B2290" t="s">
        <v>5925</v>
      </c>
      <c r="C2290" t="s">
        <v>5917</v>
      </c>
      <c r="D2290" t="s">
        <v>5917</v>
      </c>
      <c r="E2290" t="s">
        <v>5926</v>
      </c>
    </row>
    <row r="2291" spans="1:5" x14ac:dyDescent="0.2">
      <c r="A2291" t="s">
        <v>5927</v>
      </c>
      <c r="B2291" t="s">
        <v>5928</v>
      </c>
      <c r="C2291" t="s">
        <v>5917</v>
      </c>
      <c r="D2291" t="s">
        <v>5917</v>
      </c>
      <c r="E2291" t="s">
        <v>5921</v>
      </c>
    </row>
    <row r="2292" spans="1:5" x14ac:dyDescent="0.2">
      <c r="A2292" t="s">
        <v>5929</v>
      </c>
      <c r="B2292" t="s">
        <v>5930</v>
      </c>
      <c r="C2292" t="s">
        <v>5917</v>
      </c>
      <c r="D2292" t="s">
        <v>5917</v>
      </c>
      <c r="E2292" t="s">
        <v>5926</v>
      </c>
    </row>
    <row r="2293" spans="1:5" x14ac:dyDescent="0.2">
      <c r="A2293" t="s">
        <v>5931</v>
      </c>
      <c r="B2293" t="s">
        <v>5932</v>
      </c>
      <c r="C2293" t="s">
        <v>5917</v>
      </c>
      <c r="D2293" t="s">
        <v>5917</v>
      </c>
      <c r="E2293" t="s">
        <v>5933</v>
      </c>
    </row>
    <row r="2294" spans="1:5" x14ac:dyDescent="0.2">
      <c r="A2294" t="s">
        <v>5934</v>
      </c>
      <c r="B2294" t="s">
        <v>5935</v>
      </c>
      <c r="C2294" t="s">
        <v>5917</v>
      </c>
      <c r="D2294" t="s">
        <v>5917</v>
      </c>
      <c r="E2294" t="s">
        <v>5936</v>
      </c>
    </row>
    <row r="2295" spans="1:5" x14ac:dyDescent="0.2">
      <c r="A2295" t="s">
        <v>5937</v>
      </c>
      <c r="B2295" t="s">
        <v>5938</v>
      </c>
      <c r="C2295" t="s">
        <v>5917</v>
      </c>
      <c r="D2295" t="s">
        <v>5917</v>
      </c>
      <c r="E2295" t="s">
        <v>5926</v>
      </c>
    </row>
    <row r="2296" spans="1:5" x14ac:dyDescent="0.2">
      <c r="A2296" t="s">
        <v>5939</v>
      </c>
      <c r="B2296" t="s">
        <v>5940</v>
      </c>
      <c r="C2296" t="s">
        <v>5917</v>
      </c>
      <c r="D2296" t="s">
        <v>5917</v>
      </c>
      <c r="E2296" t="s">
        <v>5933</v>
      </c>
    </row>
    <row r="2297" spans="1:5" x14ac:dyDescent="0.2">
      <c r="A2297" t="s">
        <v>5941</v>
      </c>
      <c r="B2297" t="s">
        <v>5942</v>
      </c>
      <c r="C2297" t="s">
        <v>5917</v>
      </c>
      <c r="D2297" t="s">
        <v>5917</v>
      </c>
      <c r="E2297" t="s">
        <v>5918</v>
      </c>
    </row>
    <row r="2298" spans="1:5" x14ac:dyDescent="0.2">
      <c r="A2298" t="s">
        <v>5943</v>
      </c>
      <c r="B2298" t="s">
        <v>5944</v>
      </c>
      <c r="C2298" t="s">
        <v>5917</v>
      </c>
      <c r="D2298" t="s">
        <v>5917</v>
      </c>
      <c r="E2298" t="s">
        <v>5945</v>
      </c>
    </row>
    <row r="2299" spans="1:5" x14ac:dyDescent="0.2">
      <c r="A2299" t="s">
        <v>5946</v>
      </c>
      <c r="B2299" t="s">
        <v>5947</v>
      </c>
      <c r="C2299" t="s">
        <v>5917</v>
      </c>
      <c r="D2299" t="s">
        <v>5917</v>
      </c>
      <c r="E2299" t="s">
        <v>5948</v>
      </c>
    </row>
    <row r="2300" spans="1:5" x14ac:dyDescent="0.2">
      <c r="A2300" t="s">
        <v>5949</v>
      </c>
      <c r="B2300" t="s">
        <v>5950</v>
      </c>
      <c r="C2300" t="s">
        <v>5917</v>
      </c>
      <c r="D2300" t="s">
        <v>5917</v>
      </c>
      <c r="E2300" t="s">
        <v>5926</v>
      </c>
    </row>
    <row r="2301" spans="1:5" x14ac:dyDescent="0.2">
      <c r="A2301" t="s">
        <v>5951</v>
      </c>
      <c r="B2301" t="s">
        <v>5952</v>
      </c>
      <c r="C2301" t="s">
        <v>5917</v>
      </c>
      <c r="D2301" t="s">
        <v>5917</v>
      </c>
      <c r="E2301" t="s">
        <v>5921</v>
      </c>
    </row>
    <row r="2302" spans="1:5" x14ac:dyDescent="0.2">
      <c r="A2302" t="s">
        <v>5953</v>
      </c>
      <c r="B2302" t="s">
        <v>5954</v>
      </c>
      <c r="C2302" t="s">
        <v>5917</v>
      </c>
      <c r="D2302" t="s">
        <v>5917</v>
      </c>
      <c r="E2302" t="s">
        <v>5921</v>
      </c>
    </row>
    <row r="2303" spans="1:5" x14ac:dyDescent="0.2">
      <c r="A2303" t="s">
        <v>5955</v>
      </c>
      <c r="B2303" t="s">
        <v>5956</v>
      </c>
      <c r="C2303" t="s">
        <v>5917</v>
      </c>
      <c r="D2303" t="s">
        <v>5917</v>
      </c>
      <c r="E2303" t="s">
        <v>5918</v>
      </c>
    </row>
    <row r="2304" spans="1:5" x14ac:dyDescent="0.2">
      <c r="A2304" t="s">
        <v>5957</v>
      </c>
      <c r="B2304" t="s">
        <v>5958</v>
      </c>
      <c r="C2304" t="s">
        <v>5917</v>
      </c>
      <c r="D2304" t="s">
        <v>5917</v>
      </c>
      <c r="E2304" t="s">
        <v>5926</v>
      </c>
    </row>
    <row r="2305" spans="1:5" x14ac:dyDescent="0.2">
      <c r="A2305" t="s">
        <v>5959</v>
      </c>
      <c r="B2305" t="s">
        <v>5960</v>
      </c>
      <c r="C2305" t="s">
        <v>5917</v>
      </c>
      <c r="D2305" t="s">
        <v>5917</v>
      </c>
      <c r="E2305" t="s">
        <v>5921</v>
      </c>
    </row>
    <row r="2306" spans="1:5" x14ac:dyDescent="0.2">
      <c r="A2306" t="s">
        <v>5961</v>
      </c>
      <c r="B2306" t="s">
        <v>5962</v>
      </c>
      <c r="C2306" t="s">
        <v>5917</v>
      </c>
      <c r="D2306" t="s">
        <v>5917</v>
      </c>
      <c r="E2306" t="s">
        <v>5933</v>
      </c>
    </row>
    <row r="2307" spans="1:5" x14ac:dyDescent="0.2">
      <c r="A2307" t="s">
        <v>5963</v>
      </c>
      <c r="B2307" t="s">
        <v>5964</v>
      </c>
      <c r="C2307" t="s">
        <v>5917</v>
      </c>
      <c r="D2307" t="s">
        <v>5917</v>
      </c>
      <c r="E2307" t="s">
        <v>5918</v>
      </c>
    </row>
    <row r="2308" spans="1:5" x14ac:dyDescent="0.2">
      <c r="A2308" t="s">
        <v>5965</v>
      </c>
      <c r="B2308" t="s">
        <v>5966</v>
      </c>
      <c r="C2308" t="s">
        <v>5917</v>
      </c>
      <c r="D2308" t="s">
        <v>5917</v>
      </c>
      <c r="E2308" t="s">
        <v>5967</v>
      </c>
    </row>
    <row r="2309" spans="1:5" x14ac:dyDescent="0.2">
      <c r="A2309" t="s">
        <v>5968</v>
      </c>
      <c r="B2309" t="s">
        <v>5969</v>
      </c>
      <c r="C2309" t="s">
        <v>5917</v>
      </c>
      <c r="D2309" t="s">
        <v>5917</v>
      </c>
      <c r="E2309" t="s">
        <v>5970</v>
      </c>
    </row>
    <row r="2310" spans="1:5" x14ac:dyDescent="0.2">
      <c r="A2310" t="s">
        <v>5971</v>
      </c>
      <c r="B2310" t="s">
        <v>5972</v>
      </c>
      <c r="C2310" t="s">
        <v>5917</v>
      </c>
      <c r="D2310" t="s">
        <v>5917</v>
      </c>
      <c r="E2310" t="s">
        <v>5921</v>
      </c>
    </row>
    <row r="2311" spans="1:5" x14ac:dyDescent="0.2">
      <c r="A2311" t="s">
        <v>5973</v>
      </c>
      <c r="B2311" t="s">
        <v>5974</v>
      </c>
      <c r="C2311" t="s">
        <v>5917</v>
      </c>
      <c r="D2311" t="s">
        <v>5917</v>
      </c>
      <c r="E2311" t="s">
        <v>5921</v>
      </c>
    </row>
    <row r="2312" spans="1:5" x14ac:dyDescent="0.2">
      <c r="A2312" t="s">
        <v>5975</v>
      </c>
      <c r="B2312" t="s">
        <v>5976</v>
      </c>
      <c r="C2312" t="s">
        <v>5917</v>
      </c>
      <c r="D2312" t="s">
        <v>5917</v>
      </c>
      <c r="E2312" t="s">
        <v>5977</v>
      </c>
    </row>
    <row r="2313" spans="1:5" x14ac:dyDescent="0.2">
      <c r="A2313" t="s">
        <v>5978</v>
      </c>
      <c r="B2313" t="s">
        <v>5979</v>
      </c>
      <c r="C2313" t="s">
        <v>5917</v>
      </c>
      <c r="D2313" t="s">
        <v>5917</v>
      </c>
      <c r="E2313" t="s">
        <v>5980</v>
      </c>
    </row>
    <row r="2314" spans="1:5" x14ac:dyDescent="0.2">
      <c r="A2314" t="s">
        <v>5981</v>
      </c>
      <c r="B2314" t="s">
        <v>5982</v>
      </c>
      <c r="C2314" t="s">
        <v>5917</v>
      </c>
      <c r="D2314" t="s">
        <v>5917</v>
      </c>
      <c r="E2314" t="s">
        <v>5918</v>
      </c>
    </row>
    <row r="2315" spans="1:5" x14ac:dyDescent="0.2">
      <c r="A2315" t="s">
        <v>5983</v>
      </c>
      <c r="B2315" t="s">
        <v>5984</v>
      </c>
      <c r="C2315" t="s">
        <v>5917</v>
      </c>
      <c r="D2315" t="s">
        <v>5917</v>
      </c>
      <c r="E2315" t="s">
        <v>5936</v>
      </c>
    </row>
    <row r="2316" spans="1:5" x14ac:dyDescent="0.2">
      <c r="A2316" t="s">
        <v>5985</v>
      </c>
      <c r="B2316" t="s">
        <v>5986</v>
      </c>
      <c r="C2316" t="s">
        <v>5917</v>
      </c>
      <c r="D2316" t="s">
        <v>5917</v>
      </c>
      <c r="E2316" t="s">
        <v>5921</v>
      </c>
    </row>
    <row r="2317" spans="1:5" x14ac:dyDescent="0.2">
      <c r="A2317" t="s">
        <v>5987</v>
      </c>
      <c r="B2317" t="s">
        <v>5988</v>
      </c>
      <c r="C2317" t="s">
        <v>5917</v>
      </c>
      <c r="D2317" t="s">
        <v>5917</v>
      </c>
      <c r="E2317" t="s">
        <v>5933</v>
      </c>
    </row>
    <row r="2318" spans="1:5" x14ac:dyDescent="0.2">
      <c r="A2318" t="s">
        <v>5989</v>
      </c>
      <c r="B2318" t="s">
        <v>5990</v>
      </c>
      <c r="C2318" t="s">
        <v>5917</v>
      </c>
      <c r="D2318" t="s">
        <v>5917</v>
      </c>
      <c r="E2318" t="s">
        <v>5991</v>
      </c>
    </row>
    <row r="2319" spans="1:5" x14ac:dyDescent="0.2">
      <c r="A2319" t="s">
        <v>5992</v>
      </c>
      <c r="B2319" t="s">
        <v>5993</v>
      </c>
      <c r="C2319" t="s">
        <v>5917</v>
      </c>
      <c r="D2319" t="s">
        <v>5917</v>
      </c>
      <c r="E2319" t="s">
        <v>5994</v>
      </c>
    </row>
    <row r="2320" spans="1:5" x14ac:dyDescent="0.2">
      <c r="A2320" t="s">
        <v>5995</v>
      </c>
      <c r="B2320" t="s">
        <v>5996</v>
      </c>
      <c r="C2320" t="s">
        <v>5917</v>
      </c>
      <c r="D2320" t="s">
        <v>5917</v>
      </c>
      <c r="E2320" t="s">
        <v>5921</v>
      </c>
    </row>
    <row r="2321" spans="1:5" x14ac:dyDescent="0.2">
      <c r="A2321" t="s">
        <v>5997</v>
      </c>
      <c r="B2321" t="s">
        <v>5998</v>
      </c>
      <c r="C2321" t="s">
        <v>5917</v>
      </c>
      <c r="D2321" t="s">
        <v>5917</v>
      </c>
      <c r="E2321" t="s">
        <v>5999</v>
      </c>
    </row>
    <row r="2322" spans="1:5" x14ac:dyDescent="0.2">
      <c r="A2322" t="s">
        <v>6000</v>
      </c>
      <c r="B2322" t="s">
        <v>6001</v>
      </c>
      <c r="C2322" t="s">
        <v>5917</v>
      </c>
      <c r="D2322" t="s">
        <v>5917</v>
      </c>
      <c r="E2322" t="s">
        <v>5921</v>
      </c>
    </row>
    <row r="2323" spans="1:5" x14ac:dyDescent="0.2">
      <c r="A2323" t="s">
        <v>6002</v>
      </c>
      <c r="B2323" t="s">
        <v>6003</v>
      </c>
      <c r="C2323" t="s">
        <v>5917</v>
      </c>
      <c r="D2323" t="s">
        <v>5917</v>
      </c>
      <c r="E2323" t="s">
        <v>6004</v>
      </c>
    </row>
    <row r="2324" spans="1:5" x14ac:dyDescent="0.2">
      <c r="A2324" t="s">
        <v>6005</v>
      </c>
      <c r="B2324" t="s">
        <v>6006</v>
      </c>
      <c r="C2324" t="s">
        <v>5917</v>
      </c>
      <c r="D2324" t="s">
        <v>5917</v>
      </c>
      <c r="E2324" t="s">
        <v>6004</v>
      </c>
    </row>
    <row r="2325" spans="1:5" x14ac:dyDescent="0.2">
      <c r="A2325" t="s">
        <v>6007</v>
      </c>
      <c r="B2325" t="s">
        <v>6008</v>
      </c>
      <c r="C2325" t="s">
        <v>5917</v>
      </c>
      <c r="D2325" t="s">
        <v>5917</v>
      </c>
      <c r="E2325" t="s">
        <v>6009</v>
      </c>
    </row>
    <row r="2326" spans="1:5" x14ac:dyDescent="0.2">
      <c r="A2326" t="s">
        <v>6010</v>
      </c>
      <c r="B2326" t="s">
        <v>6011</v>
      </c>
      <c r="C2326" t="s">
        <v>5917</v>
      </c>
      <c r="D2326" t="s">
        <v>5917</v>
      </c>
      <c r="E2326" t="s">
        <v>5933</v>
      </c>
    </row>
    <row r="2327" spans="1:5" x14ac:dyDescent="0.2">
      <c r="A2327" t="s">
        <v>6012</v>
      </c>
      <c r="B2327" t="s">
        <v>6013</v>
      </c>
      <c r="C2327" t="s">
        <v>5917</v>
      </c>
      <c r="D2327" t="s">
        <v>5917</v>
      </c>
      <c r="E2327" t="s">
        <v>5926</v>
      </c>
    </row>
    <row r="2328" spans="1:5" x14ac:dyDescent="0.2">
      <c r="A2328" t="s">
        <v>6014</v>
      </c>
      <c r="B2328" t="s">
        <v>6015</v>
      </c>
      <c r="C2328" t="s">
        <v>5917</v>
      </c>
      <c r="D2328" t="s">
        <v>5917</v>
      </c>
      <c r="E2328" t="s">
        <v>6004</v>
      </c>
    </row>
    <row r="2329" spans="1:5" x14ac:dyDescent="0.2">
      <c r="A2329" t="s">
        <v>6016</v>
      </c>
      <c r="B2329" t="s">
        <v>6017</v>
      </c>
      <c r="C2329" t="s">
        <v>5917</v>
      </c>
      <c r="D2329" t="s">
        <v>5917</v>
      </c>
      <c r="E2329" t="s">
        <v>5918</v>
      </c>
    </row>
    <row r="2330" spans="1:5" x14ac:dyDescent="0.2">
      <c r="A2330" t="s">
        <v>6018</v>
      </c>
      <c r="B2330" t="s">
        <v>6019</v>
      </c>
      <c r="C2330" t="s">
        <v>5917</v>
      </c>
      <c r="D2330" t="s">
        <v>5917</v>
      </c>
      <c r="E2330" t="s">
        <v>6020</v>
      </c>
    </row>
    <row r="2331" spans="1:5" x14ac:dyDescent="0.2">
      <c r="A2331" t="s">
        <v>6021</v>
      </c>
      <c r="B2331" t="s">
        <v>6022</v>
      </c>
      <c r="C2331" t="s">
        <v>5917</v>
      </c>
      <c r="D2331" t="s">
        <v>5917</v>
      </c>
      <c r="E2331" t="s">
        <v>5933</v>
      </c>
    </row>
    <row r="2332" spans="1:5" x14ac:dyDescent="0.2">
      <c r="A2332" t="s">
        <v>6023</v>
      </c>
      <c r="B2332" t="s">
        <v>6024</v>
      </c>
      <c r="C2332" t="s">
        <v>5917</v>
      </c>
      <c r="D2332" t="s">
        <v>5917</v>
      </c>
      <c r="E2332" t="s">
        <v>6025</v>
      </c>
    </row>
    <row r="2333" spans="1:5" x14ac:dyDescent="0.2">
      <c r="A2333" t="s">
        <v>6026</v>
      </c>
      <c r="B2333" t="s">
        <v>6027</v>
      </c>
      <c r="C2333" t="s">
        <v>5917</v>
      </c>
      <c r="D2333" t="s">
        <v>5917</v>
      </c>
      <c r="E2333" t="s">
        <v>5921</v>
      </c>
    </row>
    <row r="2334" spans="1:5" x14ac:dyDescent="0.2">
      <c r="A2334" t="s">
        <v>6028</v>
      </c>
      <c r="B2334" t="s">
        <v>6029</v>
      </c>
      <c r="C2334" t="s">
        <v>5917</v>
      </c>
      <c r="D2334" t="s">
        <v>5917</v>
      </c>
      <c r="E2334" t="s">
        <v>6030</v>
      </c>
    </row>
    <row r="2335" spans="1:5" x14ac:dyDescent="0.2">
      <c r="A2335" t="s">
        <v>6031</v>
      </c>
      <c r="B2335" t="s">
        <v>6032</v>
      </c>
      <c r="C2335" t="s">
        <v>5917</v>
      </c>
      <c r="D2335" t="s">
        <v>5917</v>
      </c>
      <c r="E2335" t="s">
        <v>5933</v>
      </c>
    </row>
    <row r="2336" spans="1:5" x14ac:dyDescent="0.2">
      <c r="A2336" t="s">
        <v>6033</v>
      </c>
      <c r="B2336" t="s">
        <v>6034</v>
      </c>
      <c r="C2336" t="s">
        <v>5917</v>
      </c>
      <c r="D2336" t="s">
        <v>5917</v>
      </c>
      <c r="E2336" t="s">
        <v>6004</v>
      </c>
    </row>
    <row r="2337" spans="1:5" x14ac:dyDescent="0.2">
      <c r="A2337" t="s">
        <v>6035</v>
      </c>
      <c r="B2337" t="s">
        <v>6036</v>
      </c>
      <c r="C2337" t="s">
        <v>5917</v>
      </c>
      <c r="D2337" t="s">
        <v>5917</v>
      </c>
      <c r="E2337" t="s">
        <v>5926</v>
      </c>
    </row>
    <row r="2338" spans="1:5" x14ac:dyDescent="0.2">
      <c r="A2338" t="s">
        <v>6037</v>
      </c>
      <c r="B2338" t="s">
        <v>6038</v>
      </c>
      <c r="C2338" t="s">
        <v>5917</v>
      </c>
      <c r="D2338" t="s">
        <v>5917</v>
      </c>
      <c r="E2338" t="s">
        <v>5933</v>
      </c>
    </row>
    <row r="2339" spans="1:5" x14ac:dyDescent="0.2">
      <c r="A2339" t="s">
        <v>6039</v>
      </c>
      <c r="B2339" t="s">
        <v>6040</v>
      </c>
      <c r="C2339" t="s">
        <v>5917</v>
      </c>
      <c r="D2339" t="s">
        <v>5917</v>
      </c>
      <c r="E2339" t="s">
        <v>5933</v>
      </c>
    </row>
    <row r="2340" spans="1:5" x14ac:dyDescent="0.2">
      <c r="A2340" t="s">
        <v>6041</v>
      </c>
      <c r="B2340" t="s">
        <v>6042</v>
      </c>
      <c r="C2340" t="s">
        <v>5917</v>
      </c>
      <c r="D2340" t="s">
        <v>5917</v>
      </c>
      <c r="E2340" t="s">
        <v>5926</v>
      </c>
    </row>
    <row r="2341" spans="1:5" x14ac:dyDescent="0.2">
      <c r="A2341" t="s">
        <v>6043</v>
      </c>
      <c r="B2341" t="s">
        <v>6044</v>
      </c>
      <c r="C2341" t="s">
        <v>5917</v>
      </c>
      <c r="D2341" t="s">
        <v>5917</v>
      </c>
      <c r="E2341" t="s">
        <v>6004</v>
      </c>
    </row>
    <row r="2342" spans="1:5" x14ac:dyDescent="0.2">
      <c r="A2342" t="s">
        <v>6045</v>
      </c>
      <c r="B2342" t="s">
        <v>6046</v>
      </c>
      <c r="C2342" t="s">
        <v>5917</v>
      </c>
      <c r="D2342" t="s">
        <v>5917</v>
      </c>
      <c r="E2342" t="s">
        <v>5926</v>
      </c>
    </row>
    <row r="2343" spans="1:5" x14ac:dyDescent="0.2">
      <c r="A2343" t="s">
        <v>6047</v>
      </c>
      <c r="B2343" t="s">
        <v>6048</v>
      </c>
      <c r="C2343" t="s">
        <v>5917</v>
      </c>
      <c r="D2343" t="s">
        <v>5917</v>
      </c>
      <c r="E2343" t="s">
        <v>5918</v>
      </c>
    </row>
    <row r="2344" spans="1:5" x14ac:dyDescent="0.2">
      <c r="A2344" t="s">
        <v>6049</v>
      </c>
      <c r="B2344" t="s">
        <v>6050</v>
      </c>
      <c r="C2344" t="s">
        <v>5917</v>
      </c>
      <c r="D2344" t="s">
        <v>5917</v>
      </c>
      <c r="E2344" t="s">
        <v>6051</v>
      </c>
    </row>
    <row r="2345" spans="1:5" x14ac:dyDescent="0.2">
      <c r="A2345" t="s">
        <v>6052</v>
      </c>
      <c r="B2345" t="s">
        <v>6053</v>
      </c>
      <c r="C2345" t="s">
        <v>5917</v>
      </c>
      <c r="D2345" t="s">
        <v>5917</v>
      </c>
      <c r="E2345" t="s">
        <v>5926</v>
      </c>
    </row>
    <row r="2346" spans="1:5" x14ac:dyDescent="0.2">
      <c r="A2346" t="s">
        <v>6054</v>
      </c>
      <c r="B2346" t="s">
        <v>6055</v>
      </c>
      <c r="C2346" t="s">
        <v>5917</v>
      </c>
      <c r="D2346" t="s">
        <v>5917</v>
      </c>
      <c r="E2346" t="s">
        <v>5921</v>
      </c>
    </row>
    <row r="2347" spans="1:5" x14ac:dyDescent="0.2">
      <c r="A2347" t="s">
        <v>6056</v>
      </c>
      <c r="B2347" t="s">
        <v>6057</v>
      </c>
      <c r="C2347" t="s">
        <v>5917</v>
      </c>
      <c r="D2347" t="s">
        <v>5917</v>
      </c>
      <c r="E2347" t="s">
        <v>6004</v>
      </c>
    </row>
    <row r="2348" spans="1:5" x14ac:dyDescent="0.2">
      <c r="A2348" t="s">
        <v>6058</v>
      </c>
      <c r="B2348" t="s">
        <v>6059</v>
      </c>
      <c r="C2348" t="s">
        <v>5917</v>
      </c>
      <c r="D2348" t="s">
        <v>5917</v>
      </c>
      <c r="E2348" t="s">
        <v>6060</v>
      </c>
    </row>
    <row r="2349" spans="1:5" x14ac:dyDescent="0.2">
      <c r="A2349" t="s">
        <v>6061</v>
      </c>
      <c r="B2349" t="s">
        <v>6062</v>
      </c>
      <c r="C2349" t="s">
        <v>5917</v>
      </c>
      <c r="D2349" t="s">
        <v>5917</v>
      </c>
      <c r="E2349" t="s">
        <v>6004</v>
      </c>
    </row>
    <row r="2350" spans="1:5" x14ac:dyDescent="0.2">
      <c r="A2350" t="s">
        <v>6063</v>
      </c>
      <c r="B2350" t="s">
        <v>6064</v>
      </c>
      <c r="C2350" t="s">
        <v>5917</v>
      </c>
      <c r="D2350" t="s">
        <v>5917</v>
      </c>
      <c r="E2350" t="s">
        <v>6065</v>
      </c>
    </row>
    <row r="2351" spans="1:5" x14ac:dyDescent="0.2">
      <c r="A2351" t="s">
        <v>6066</v>
      </c>
      <c r="B2351" t="s">
        <v>6067</v>
      </c>
      <c r="C2351" t="s">
        <v>5917</v>
      </c>
      <c r="D2351" t="s">
        <v>5917</v>
      </c>
      <c r="E2351" t="s">
        <v>6068</v>
      </c>
    </row>
    <row r="2352" spans="1:5" x14ac:dyDescent="0.2">
      <c r="A2352" t="s">
        <v>6069</v>
      </c>
      <c r="B2352" t="s">
        <v>6070</v>
      </c>
      <c r="C2352" t="s">
        <v>5917</v>
      </c>
      <c r="D2352" t="s">
        <v>5917</v>
      </c>
      <c r="E2352" t="s">
        <v>5926</v>
      </c>
    </row>
    <row r="2353" spans="1:5" x14ac:dyDescent="0.2">
      <c r="A2353" t="s">
        <v>6071</v>
      </c>
      <c r="B2353" t="s">
        <v>6072</v>
      </c>
      <c r="C2353" t="s">
        <v>5917</v>
      </c>
      <c r="D2353" t="s">
        <v>5917</v>
      </c>
      <c r="E2353" t="s">
        <v>5926</v>
      </c>
    </row>
    <row r="2354" spans="1:5" x14ac:dyDescent="0.2">
      <c r="A2354" t="s">
        <v>6073</v>
      </c>
      <c r="B2354" t="s">
        <v>6074</v>
      </c>
      <c r="C2354" t="s">
        <v>5917</v>
      </c>
      <c r="D2354" t="e">
        <v>#N/A</v>
      </c>
      <c r="E2354" t="e">
        <v>#N/A</v>
      </c>
    </row>
    <row r="2355" spans="1:5" x14ac:dyDescent="0.2">
      <c r="A2355" t="s">
        <v>6075</v>
      </c>
      <c r="B2355" t="s">
        <v>6076</v>
      </c>
      <c r="C2355" t="s">
        <v>5917</v>
      </c>
      <c r="D2355" t="s">
        <v>5917</v>
      </c>
      <c r="E2355" t="s">
        <v>6077</v>
      </c>
    </row>
    <row r="2356" spans="1:5" x14ac:dyDescent="0.2">
      <c r="A2356" t="s">
        <v>6078</v>
      </c>
      <c r="B2356" t="s">
        <v>6079</v>
      </c>
      <c r="C2356" t="s">
        <v>5917</v>
      </c>
      <c r="D2356" t="s">
        <v>5917</v>
      </c>
      <c r="E2356" t="s">
        <v>5918</v>
      </c>
    </row>
    <row r="2357" spans="1:5" x14ac:dyDescent="0.2">
      <c r="A2357" t="s">
        <v>6080</v>
      </c>
      <c r="B2357" t="s">
        <v>6081</v>
      </c>
      <c r="C2357" t="s">
        <v>5917</v>
      </c>
      <c r="D2357" t="s">
        <v>5917</v>
      </c>
      <c r="E2357" t="s">
        <v>6082</v>
      </c>
    </row>
    <row r="2358" spans="1:5" x14ac:dyDescent="0.2">
      <c r="A2358" t="s">
        <v>6083</v>
      </c>
      <c r="B2358" t="s">
        <v>6084</v>
      </c>
      <c r="C2358" t="s">
        <v>5917</v>
      </c>
      <c r="D2358" t="s">
        <v>5917</v>
      </c>
      <c r="E2358" t="s">
        <v>5926</v>
      </c>
    </row>
    <row r="2359" spans="1:5" x14ac:dyDescent="0.2">
      <c r="A2359" t="s">
        <v>6085</v>
      </c>
      <c r="B2359" t="s">
        <v>6086</v>
      </c>
      <c r="C2359" t="s">
        <v>5917</v>
      </c>
      <c r="D2359" t="s">
        <v>5917</v>
      </c>
      <c r="E2359" t="s">
        <v>6087</v>
      </c>
    </row>
    <row r="2360" spans="1:5" x14ac:dyDescent="0.2">
      <c r="A2360" t="s">
        <v>6088</v>
      </c>
      <c r="B2360" t="s">
        <v>6089</v>
      </c>
      <c r="C2360" t="s">
        <v>5917</v>
      </c>
      <c r="D2360" t="s">
        <v>5917</v>
      </c>
      <c r="E2360" t="s">
        <v>6004</v>
      </c>
    </row>
    <row r="2361" spans="1:5" x14ac:dyDescent="0.2">
      <c r="A2361" t="s">
        <v>6090</v>
      </c>
      <c r="B2361" t="s">
        <v>6091</v>
      </c>
      <c r="C2361" t="s">
        <v>5917</v>
      </c>
      <c r="D2361" t="s">
        <v>5917</v>
      </c>
      <c r="E2361" t="s">
        <v>6092</v>
      </c>
    </row>
    <row r="2362" spans="1:5" x14ac:dyDescent="0.2">
      <c r="A2362" t="s">
        <v>6093</v>
      </c>
      <c r="B2362" t="s">
        <v>6094</v>
      </c>
      <c r="C2362" t="s">
        <v>5917</v>
      </c>
      <c r="D2362" t="s">
        <v>5917</v>
      </c>
      <c r="E2362" t="s">
        <v>5926</v>
      </c>
    </row>
    <row r="2363" spans="1:5" x14ac:dyDescent="0.2">
      <c r="A2363" t="s">
        <v>6095</v>
      </c>
      <c r="B2363" t="s">
        <v>6096</v>
      </c>
      <c r="C2363" t="s">
        <v>5917</v>
      </c>
      <c r="D2363" t="s">
        <v>5917</v>
      </c>
      <c r="E2363" t="s">
        <v>5921</v>
      </c>
    </row>
    <row r="2364" spans="1:5" x14ac:dyDescent="0.2">
      <c r="A2364" t="s">
        <v>6097</v>
      </c>
      <c r="B2364" t="s">
        <v>6098</v>
      </c>
      <c r="C2364" t="s">
        <v>5917</v>
      </c>
      <c r="D2364" t="s">
        <v>5917</v>
      </c>
      <c r="E2364" t="s">
        <v>6060</v>
      </c>
    </row>
    <row r="2365" spans="1:5" x14ac:dyDescent="0.2">
      <c r="A2365" t="s">
        <v>6099</v>
      </c>
      <c r="B2365" t="s">
        <v>6100</v>
      </c>
      <c r="C2365" t="s">
        <v>5917</v>
      </c>
      <c r="D2365" t="s">
        <v>5917</v>
      </c>
      <c r="E2365" t="s">
        <v>6101</v>
      </c>
    </row>
    <row r="2366" spans="1:5" x14ac:dyDescent="0.2">
      <c r="A2366" t="s">
        <v>6102</v>
      </c>
      <c r="B2366" t="s">
        <v>6103</v>
      </c>
      <c r="C2366" t="s">
        <v>5917</v>
      </c>
      <c r="D2366" t="s">
        <v>5917</v>
      </c>
      <c r="E2366" t="s">
        <v>5926</v>
      </c>
    </row>
    <row r="2367" spans="1:5" x14ac:dyDescent="0.2">
      <c r="A2367" t="s">
        <v>6104</v>
      </c>
      <c r="B2367" t="s">
        <v>6105</v>
      </c>
      <c r="C2367" t="s">
        <v>5917</v>
      </c>
      <c r="D2367" t="s">
        <v>5917</v>
      </c>
      <c r="E2367" t="s">
        <v>5918</v>
      </c>
    </row>
    <row r="2368" spans="1:5" x14ac:dyDescent="0.2">
      <c r="A2368" t="s">
        <v>6106</v>
      </c>
      <c r="B2368" t="s">
        <v>6107</v>
      </c>
      <c r="C2368" t="s">
        <v>5917</v>
      </c>
      <c r="D2368" t="s">
        <v>5917</v>
      </c>
      <c r="E2368" t="s">
        <v>5926</v>
      </c>
    </row>
    <row r="2369" spans="1:5" x14ac:dyDescent="0.2">
      <c r="A2369" t="s">
        <v>6108</v>
      </c>
      <c r="B2369" t="s">
        <v>6109</v>
      </c>
      <c r="C2369" t="s">
        <v>5917</v>
      </c>
      <c r="D2369" t="s">
        <v>5917</v>
      </c>
      <c r="E2369" t="s">
        <v>6110</v>
      </c>
    </row>
    <row r="2370" spans="1:5" x14ac:dyDescent="0.2">
      <c r="A2370" t="s">
        <v>6111</v>
      </c>
      <c r="B2370" t="s">
        <v>6112</v>
      </c>
      <c r="C2370" t="s">
        <v>5917</v>
      </c>
      <c r="D2370" t="s">
        <v>5917</v>
      </c>
      <c r="E2370" t="s">
        <v>5933</v>
      </c>
    </row>
    <row r="2371" spans="1:5" x14ac:dyDescent="0.2">
      <c r="A2371" t="s">
        <v>6113</v>
      </c>
      <c r="B2371" t="s">
        <v>6114</v>
      </c>
      <c r="C2371" t="s">
        <v>5917</v>
      </c>
      <c r="D2371" t="s">
        <v>5917</v>
      </c>
      <c r="E2371" t="s">
        <v>6004</v>
      </c>
    </row>
    <row r="2372" spans="1:5" x14ac:dyDescent="0.2">
      <c r="A2372" t="s">
        <v>6115</v>
      </c>
      <c r="B2372" t="s">
        <v>6116</v>
      </c>
      <c r="C2372" t="s">
        <v>5917</v>
      </c>
      <c r="D2372" t="s">
        <v>5917</v>
      </c>
      <c r="E2372" t="s">
        <v>6004</v>
      </c>
    </row>
    <row r="2373" spans="1:5" x14ac:dyDescent="0.2">
      <c r="A2373" t="s">
        <v>6117</v>
      </c>
      <c r="B2373" t="s">
        <v>6118</v>
      </c>
      <c r="C2373" t="s">
        <v>5917</v>
      </c>
      <c r="D2373" t="s">
        <v>5917</v>
      </c>
      <c r="E2373" t="s">
        <v>5921</v>
      </c>
    </row>
    <row r="2374" spans="1:5" x14ac:dyDescent="0.2">
      <c r="A2374" t="s">
        <v>6119</v>
      </c>
      <c r="B2374" t="s">
        <v>6120</v>
      </c>
      <c r="C2374" t="s">
        <v>5917</v>
      </c>
      <c r="D2374" t="s">
        <v>5917</v>
      </c>
      <c r="E2374" t="s">
        <v>5926</v>
      </c>
    </row>
    <row r="2375" spans="1:5" x14ac:dyDescent="0.2">
      <c r="A2375" t="s">
        <v>6121</v>
      </c>
      <c r="B2375" t="s">
        <v>6122</v>
      </c>
      <c r="C2375" t="s">
        <v>5917</v>
      </c>
      <c r="D2375" t="s">
        <v>5917</v>
      </c>
      <c r="E2375" t="s">
        <v>5921</v>
      </c>
    </row>
    <row r="2376" spans="1:5" x14ac:dyDescent="0.2">
      <c r="A2376" t="s">
        <v>6123</v>
      </c>
      <c r="B2376" t="s">
        <v>6124</v>
      </c>
      <c r="C2376" t="s">
        <v>5917</v>
      </c>
      <c r="D2376" t="s">
        <v>5917</v>
      </c>
      <c r="E2376" t="s">
        <v>6125</v>
      </c>
    </row>
    <row r="2377" spans="1:5" x14ac:dyDescent="0.2">
      <c r="A2377" t="s">
        <v>6126</v>
      </c>
      <c r="B2377" t="s">
        <v>6127</v>
      </c>
      <c r="C2377" t="s">
        <v>5917</v>
      </c>
      <c r="D2377" t="s">
        <v>5917</v>
      </c>
      <c r="E2377" t="s">
        <v>6077</v>
      </c>
    </row>
    <row r="2378" spans="1:5" x14ac:dyDescent="0.2">
      <c r="A2378" t="s">
        <v>6128</v>
      </c>
      <c r="B2378" t="s">
        <v>6129</v>
      </c>
      <c r="C2378" t="s">
        <v>5917</v>
      </c>
      <c r="D2378" t="s">
        <v>5917</v>
      </c>
      <c r="E2378" t="s">
        <v>5921</v>
      </c>
    </row>
    <row r="2379" spans="1:5" x14ac:dyDescent="0.2">
      <c r="A2379" t="s">
        <v>6130</v>
      </c>
      <c r="B2379" t="s">
        <v>6131</v>
      </c>
      <c r="C2379" t="s">
        <v>5917</v>
      </c>
      <c r="D2379" t="s">
        <v>5917</v>
      </c>
      <c r="E2379" t="s">
        <v>6132</v>
      </c>
    </row>
    <row r="2380" spans="1:5" x14ac:dyDescent="0.2">
      <c r="A2380" t="s">
        <v>6133</v>
      </c>
      <c r="B2380" t="s">
        <v>6134</v>
      </c>
      <c r="C2380" t="s">
        <v>5917</v>
      </c>
      <c r="D2380" t="s">
        <v>5917</v>
      </c>
      <c r="E2380" t="s">
        <v>5926</v>
      </c>
    </row>
    <row r="2381" spans="1:5" x14ac:dyDescent="0.2">
      <c r="A2381" t="s">
        <v>6135</v>
      </c>
      <c r="B2381" t="s">
        <v>6136</v>
      </c>
      <c r="C2381" t="s">
        <v>5917</v>
      </c>
      <c r="D2381" t="s">
        <v>5917</v>
      </c>
      <c r="E2381" t="s">
        <v>5921</v>
      </c>
    </row>
    <row r="2382" spans="1:5" x14ac:dyDescent="0.2">
      <c r="A2382" t="s">
        <v>6137</v>
      </c>
      <c r="B2382" t="s">
        <v>6138</v>
      </c>
      <c r="C2382" t="s">
        <v>5917</v>
      </c>
      <c r="D2382" t="s">
        <v>5917</v>
      </c>
      <c r="E2382" t="s">
        <v>5921</v>
      </c>
    </row>
    <row r="2383" spans="1:5" x14ac:dyDescent="0.2">
      <c r="A2383" t="s">
        <v>6139</v>
      </c>
      <c r="B2383" t="s">
        <v>6140</v>
      </c>
      <c r="C2383" t="s">
        <v>5917</v>
      </c>
      <c r="D2383" t="s">
        <v>5917</v>
      </c>
      <c r="E2383" t="s">
        <v>6141</v>
      </c>
    </row>
    <row r="2384" spans="1:5" x14ac:dyDescent="0.2">
      <c r="A2384" t="s">
        <v>6142</v>
      </c>
      <c r="B2384" t="s">
        <v>6143</v>
      </c>
      <c r="C2384" t="s">
        <v>5917</v>
      </c>
      <c r="D2384" t="s">
        <v>5917</v>
      </c>
      <c r="E2384" t="s">
        <v>5918</v>
      </c>
    </row>
    <row r="2385" spans="1:5" x14ac:dyDescent="0.2">
      <c r="A2385" t="s">
        <v>6144</v>
      </c>
      <c r="B2385" t="s">
        <v>6145</v>
      </c>
      <c r="C2385" t="s">
        <v>5917</v>
      </c>
      <c r="D2385" t="s">
        <v>5917</v>
      </c>
      <c r="E2385" t="s">
        <v>5918</v>
      </c>
    </row>
    <row r="2386" spans="1:5" x14ac:dyDescent="0.2">
      <c r="A2386" t="s">
        <v>6146</v>
      </c>
      <c r="B2386" t="s">
        <v>6147</v>
      </c>
      <c r="C2386" t="s">
        <v>5917</v>
      </c>
      <c r="D2386" t="s">
        <v>5917</v>
      </c>
      <c r="E2386" t="s">
        <v>5933</v>
      </c>
    </row>
    <row r="2387" spans="1:5" x14ac:dyDescent="0.2">
      <c r="A2387" t="s">
        <v>6148</v>
      </c>
      <c r="B2387" t="s">
        <v>6149</v>
      </c>
      <c r="C2387" t="s">
        <v>5917</v>
      </c>
      <c r="D2387" t="s">
        <v>5917</v>
      </c>
      <c r="E2387" t="s">
        <v>6004</v>
      </c>
    </row>
    <row r="2388" spans="1:5" x14ac:dyDescent="0.2">
      <c r="A2388" t="s">
        <v>6150</v>
      </c>
      <c r="B2388" t="s">
        <v>6151</v>
      </c>
      <c r="C2388" t="s">
        <v>5917</v>
      </c>
      <c r="D2388" t="s">
        <v>5917</v>
      </c>
      <c r="E2388" t="s">
        <v>6004</v>
      </c>
    </row>
    <row r="2389" spans="1:5" x14ac:dyDescent="0.2">
      <c r="A2389" t="s">
        <v>6152</v>
      </c>
      <c r="B2389" t="s">
        <v>6153</v>
      </c>
      <c r="C2389" t="s">
        <v>5917</v>
      </c>
      <c r="D2389" t="s">
        <v>5917</v>
      </c>
      <c r="E2389" t="s">
        <v>5933</v>
      </c>
    </row>
    <row r="2390" spans="1:5" x14ac:dyDescent="0.2">
      <c r="A2390" t="s">
        <v>6154</v>
      </c>
      <c r="B2390" t="s">
        <v>6155</v>
      </c>
      <c r="C2390" t="s">
        <v>5917</v>
      </c>
      <c r="D2390" t="s">
        <v>5917</v>
      </c>
      <c r="E2390" t="s">
        <v>5918</v>
      </c>
    </row>
    <row r="2391" spans="1:5" x14ac:dyDescent="0.2">
      <c r="A2391" t="s">
        <v>6156</v>
      </c>
      <c r="B2391" t="s">
        <v>6157</v>
      </c>
      <c r="C2391" t="s">
        <v>5917</v>
      </c>
      <c r="D2391" t="s">
        <v>5917</v>
      </c>
      <c r="E2391" t="s">
        <v>6158</v>
      </c>
    </row>
    <row r="2392" spans="1:5" x14ac:dyDescent="0.2">
      <c r="A2392" t="s">
        <v>6159</v>
      </c>
      <c r="B2392" t="s">
        <v>6160</v>
      </c>
      <c r="C2392" t="s">
        <v>5917</v>
      </c>
      <c r="D2392" t="s">
        <v>5917</v>
      </c>
      <c r="E2392" t="s">
        <v>5921</v>
      </c>
    </row>
    <row r="2393" spans="1:5" x14ac:dyDescent="0.2">
      <c r="A2393" t="s">
        <v>6161</v>
      </c>
      <c r="B2393" t="s">
        <v>6162</v>
      </c>
      <c r="C2393" t="s">
        <v>5917</v>
      </c>
      <c r="D2393" t="s">
        <v>5917</v>
      </c>
      <c r="E2393" t="s">
        <v>6004</v>
      </c>
    </row>
    <row r="2394" spans="1:5" x14ac:dyDescent="0.2">
      <c r="A2394" t="s">
        <v>6163</v>
      </c>
      <c r="B2394" t="s">
        <v>6164</v>
      </c>
      <c r="C2394" t="s">
        <v>5917</v>
      </c>
      <c r="D2394" t="s">
        <v>5917</v>
      </c>
      <c r="E2394" t="s">
        <v>6165</v>
      </c>
    </row>
    <row r="2395" spans="1:5" x14ac:dyDescent="0.2">
      <c r="A2395" t="s">
        <v>6166</v>
      </c>
      <c r="B2395" t="s">
        <v>6167</v>
      </c>
      <c r="C2395" t="s">
        <v>5917</v>
      </c>
      <c r="D2395" t="s">
        <v>5917</v>
      </c>
      <c r="E2395" t="s">
        <v>6168</v>
      </c>
    </row>
    <row r="2396" spans="1:5" x14ac:dyDescent="0.2">
      <c r="A2396" t="s">
        <v>6169</v>
      </c>
      <c r="B2396" t="s">
        <v>6170</v>
      </c>
      <c r="C2396" t="s">
        <v>5917</v>
      </c>
      <c r="D2396" t="s">
        <v>5917</v>
      </c>
      <c r="E2396" t="s">
        <v>5921</v>
      </c>
    </row>
    <row r="2397" spans="1:5" x14ac:dyDescent="0.2">
      <c r="A2397" t="s">
        <v>6171</v>
      </c>
      <c r="B2397" t="s">
        <v>6172</v>
      </c>
      <c r="C2397" t="s">
        <v>5917</v>
      </c>
      <c r="D2397" t="s">
        <v>5917</v>
      </c>
      <c r="E2397" t="s">
        <v>5933</v>
      </c>
    </row>
    <row r="2398" spans="1:5" x14ac:dyDescent="0.2">
      <c r="A2398" t="s">
        <v>6173</v>
      </c>
      <c r="B2398" t="s">
        <v>6174</v>
      </c>
      <c r="C2398" t="s">
        <v>5917</v>
      </c>
      <c r="D2398" t="s">
        <v>5917</v>
      </c>
      <c r="E2398" t="s">
        <v>5933</v>
      </c>
    </row>
    <row r="2399" spans="1:5" x14ac:dyDescent="0.2">
      <c r="A2399" t="s">
        <v>6175</v>
      </c>
      <c r="B2399" t="s">
        <v>6176</v>
      </c>
      <c r="C2399" t="s">
        <v>5917</v>
      </c>
      <c r="D2399" t="s">
        <v>5917</v>
      </c>
      <c r="E2399" t="s">
        <v>5921</v>
      </c>
    </row>
    <row r="2400" spans="1:5" x14ac:dyDescent="0.2">
      <c r="A2400" t="s">
        <v>6177</v>
      </c>
      <c r="B2400" t="s">
        <v>6178</v>
      </c>
      <c r="C2400" t="s">
        <v>5917</v>
      </c>
      <c r="D2400" t="s">
        <v>5917</v>
      </c>
      <c r="E2400" t="s">
        <v>5921</v>
      </c>
    </row>
    <row r="2401" spans="1:5" x14ac:dyDescent="0.2">
      <c r="A2401" t="s">
        <v>6179</v>
      </c>
      <c r="B2401" t="s">
        <v>6180</v>
      </c>
      <c r="C2401" t="s">
        <v>5917</v>
      </c>
      <c r="D2401" t="s">
        <v>5917</v>
      </c>
      <c r="E2401" t="s">
        <v>5933</v>
      </c>
    </row>
    <row r="2402" spans="1:5" x14ac:dyDescent="0.2">
      <c r="A2402" t="s">
        <v>6181</v>
      </c>
      <c r="B2402" t="s">
        <v>6182</v>
      </c>
      <c r="C2402" t="s">
        <v>5917</v>
      </c>
      <c r="D2402" t="s">
        <v>5917</v>
      </c>
      <c r="E2402" t="s">
        <v>5933</v>
      </c>
    </row>
    <row r="2403" spans="1:5" x14ac:dyDescent="0.2">
      <c r="A2403" t="s">
        <v>6183</v>
      </c>
      <c r="B2403" t="s">
        <v>6184</v>
      </c>
      <c r="C2403" t="s">
        <v>5917</v>
      </c>
      <c r="D2403" t="s">
        <v>5917</v>
      </c>
      <c r="E2403" t="s">
        <v>6185</v>
      </c>
    </row>
    <row r="2404" spans="1:5" x14ac:dyDescent="0.2">
      <c r="A2404" t="s">
        <v>6186</v>
      </c>
      <c r="B2404" t="s">
        <v>6187</v>
      </c>
      <c r="C2404" t="s">
        <v>5917</v>
      </c>
      <c r="D2404" t="s">
        <v>5917</v>
      </c>
      <c r="E2404" t="s">
        <v>6188</v>
      </c>
    </row>
    <row r="2405" spans="1:5" x14ac:dyDescent="0.2">
      <c r="A2405" t="s">
        <v>6189</v>
      </c>
      <c r="B2405" t="s">
        <v>6190</v>
      </c>
      <c r="C2405" t="s">
        <v>5917</v>
      </c>
      <c r="D2405" t="s">
        <v>5917</v>
      </c>
      <c r="E2405" t="s">
        <v>5967</v>
      </c>
    </row>
    <row r="2406" spans="1:5" x14ac:dyDescent="0.2">
      <c r="A2406" t="s">
        <v>6191</v>
      </c>
      <c r="B2406" t="s">
        <v>6192</v>
      </c>
      <c r="C2406" t="s">
        <v>5917</v>
      </c>
      <c r="D2406" t="s">
        <v>5917</v>
      </c>
      <c r="E2406" t="s">
        <v>5921</v>
      </c>
    </row>
    <row r="2407" spans="1:5" x14ac:dyDescent="0.2">
      <c r="A2407" t="s">
        <v>6193</v>
      </c>
      <c r="B2407" t="s">
        <v>6194</v>
      </c>
      <c r="C2407" t="s">
        <v>5917</v>
      </c>
      <c r="D2407" t="s">
        <v>5917</v>
      </c>
      <c r="E2407" t="s">
        <v>6132</v>
      </c>
    </row>
    <row r="2408" spans="1:5" x14ac:dyDescent="0.2">
      <c r="A2408" t="s">
        <v>6195</v>
      </c>
      <c r="B2408" t="s">
        <v>6196</v>
      </c>
      <c r="C2408" t="s">
        <v>5917</v>
      </c>
      <c r="D2408" t="s">
        <v>5917</v>
      </c>
      <c r="E2408" t="s">
        <v>5926</v>
      </c>
    </row>
    <row r="2409" spans="1:5" x14ac:dyDescent="0.2">
      <c r="A2409" t="s">
        <v>6197</v>
      </c>
      <c r="B2409" t="s">
        <v>6198</v>
      </c>
      <c r="C2409" t="s">
        <v>5917</v>
      </c>
      <c r="D2409" t="s">
        <v>5917</v>
      </c>
      <c r="E2409" t="s">
        <v>5933</v>
      </c>
    </row>
    <row r="2410" spans="1:5" x14ac:dyDescent="0.2">
      <c r="A2410" t="s">
        <v>6199</v>
      </c>
      <c r="B2410" t="s">
        <v>6200</v>
      </c>
      <c r="C2410" t="s">
        <v>5917</v>
      </c>
      <c r="D2410" t="s">
        <v>5917</v>
      </c>
      <c r="E2410" t="s">
        <v>5926</v>
      </c>
    </row>
    <row r="2411" spans="1:5" x14ac:dyDescent="0.2">
      <c r="A2411" t="s">
        <v>6201</v>
      </c>
      <c r="B2411" t="s">
        <v>6202</v>
      </c>
      <c r="C2411" t="s">
        <v>5917</v>
      </c>
      <c r="D2411" t="s">
        <v>5917</v>
      </c>
      <c r="E2411" t="s">
        <v>6004</v>
      </c>
    </row>
    <row r="2412" spans="1:5" x14ac:dyDescent="0.2">
      <c r="A2412" t="s">
        <v>6203</v>
      </c>
      <c r="B2412" t="s">
        <v>6204</v>
      </c>
      <c r="C2412" t="s">
        <v>5917</v>
      </c>
      <c r="D2412" t="s">
        <v>5917</v>
      </c>
      <c r="E2412" t="s">
        <v>5921</v>
      </c>
    </row>
    <row r="2413" spans="1:5" x14ac:dyDescent="0.2">
      <c r="A2413" t="s">
        <v>6205</v>
      </c>
      <c r="B2413" t="s">
        <v>6206</v>
      </c>
      <c r="C2413" t="s">
        <v>5917</v>
      </c>
      <c r="D2413" t="s">
        <v>5917</v>
      </c>
      <c r="E2413" t="s">
        <v>5970</v>
      </c>
    </row>
    <row r="2414" spans="1:5" x14ac:dyDescent="0.2">
      <c r="A2414" t="s">
        <v>6207</v>
      </c>
      <c r="B2414" t="s">
        <v>6208</v>
      </c>
      <c r="C2414" t="s">
        <v>5917</v>
      </c>
      <c r="D2414" t="s">
        <v>5917</v>
      </c>
      <c r="E2414" t="s">
        <v>5921</v>
      </c>
    </row>
    <row r="2415" spans="1:5" x14ac:dyDescent="0.2">
      <c r="A2415" t="s">
        <v>6209</v>
      </c>
      <c r="B2415" t="s">
        <v>6210</v>
      </c>
      <c r="C2415" t="s">
        <v>5917</v>
      </c>
      <c r="D2415" t="s">
        <v>5917</v>
      </c>
      <c r="E2415" t="s">
        <v>5926</v>
      </c>
    </row>
    <row r="2416" spans="1:5" x14ac:dyDescent="0.2">
      <c r="A2416" t="s">
        <v>6211</v>
      </c>
      <c r="B2416" t="s">
        <v>6212</v>
      </c>
      <c r="C2416" t="s">
        <v>5917</v>
      </c>
      <c r="D2416" t="s">
        <v>5917</v>
      </c>
      <c r="E2416" t="s">
        <v>5918</v>
      </c>
    </row>
    <row r="2417" spans="1:5" x14ac:dyDescent="0.2">
      <c r="A2417" t="s">
        <v>6213</v>
      </c>
      <c r="B2417" t="s">
        <v>6214</v>
      </c>
      <c r="C2417" t="s">
        <v>5917</v>
      </c>
      <c r="D2417" t="s">
        <v>5917</v>
      </c>
      <c r="E2417" t="s">
        <v>6215</v>
      </c>
    </row>
    <row r="2418" spans="1:5" x14ac:dyDescent="0.2">
      <c r="A2418" t="s">
        <v>6216</v>
      </c>
      <c r="B2418" t="s">
        <v>6217</v>
      </c>
      <c r="C2418" t="s">
        <v>5917</v>
      </c>
      <c r="D2418" t="s">
        <v>5917</v>
      </c>
      <c r="E2418" t="s">
        <v>6218</v>
      </c>
    </row>
    <row r="2419" spans="1:5" x14ac:dyDescent="0.2">
      <c r="A2419" t="s">
        <v>6219</v>
      </c>
      <c r="B2419" t="s">
        <v>6220</v>
      </c>
      <c r="C2419" t="s">
        <v>5917</v>
      </c>
      <c r="D2419" t="s">
        <v>5917</v>
      </c>
      <c r="E2419" t="s">
        <v>5926</v>
      </c>
    </row>
    <row r="2420" spans="1:5" x14ac:dyDescent="0.2">
      <c r="A2420" t="s">
        <v>6221</v>
      </c>
      <c r="B2420" t="s">
        <v>6222</v>
      </c>
      <c r="C2420" t="s">
        <v>5917</v>
      </c>
      <c r="D2420" t="s">
        <v>5917</v>
      </c>
      <c r="E2420" t="s">
        <v>6223</v>
      </c>
    </row>
    <row r="2421" spans="1:5" x14ac:dyDescent="0.2">
      <c r="A2421" t="s">
        <v>6224</v>
      </c>
      <c r="B2421" t="s">
        <v>6225</v>
      </c>
      <c r="C2421" t="s">
        <v>5917</v>
      </c>
      <c r="D2421" t="s">
        <v>5917</v>
      </c>
      <c r="E2421" t="s">
        <v>6092</v>
      </c>
    </row>
    <row r="2422" spans="1:5" x14ac:dyDescent="0.2">
      <c r="A2422" t="s">
        <v>6226</v>
      </c>
      <c r="B2422" t="s">
        <v>6227</v>
      </c>
      <c r="C2422" t="s">
        <v>5917</v>
      </c>
      <c r="D2422" t="s">
        <v>5917</v>
      </c>
      <c r="E2422" t="s">
        <v>5933</v>
      </c>
    </row>
    <row r="2423" spans="1:5" x14ac:dyDescent="0.2">
      <c r="A2423" t="s">
        <v>6228</v>
      </c>
      <c r="B2423" t="s">
        <v>6229</v>
      </c>
      <c r="C2423" t="s">
        <v>5917</v>
      </c>
      <c r="D2423" t="s">
        <v>5917</v>
      </c>
      <c r="E2423" t="s">
        <v>6077</v>
      </c>
    </row>
    <row r="2424" spans="1:5" x14ac:dyDescent="0.2">
      <c r="A2424" t="s">
        <v>6230</v>
      </c>
      <c r="B2424" t="s">
        <v>6231</v>
      </c>
      <c r="C2424" t="s">
        <v>5917</v>
      </c>
      <c r="D2424" t="s">
        <v>5917</v>
      </c>
      <c r="E2424" t="s">
        <v>6004</v>
      </c>
    </row>
    <row r="2425" spans="1:5" x14ac:dyDescent="0.2">
      <c r="A2425" t="s">
        <v>6232</v>
      </c>
      <c r="B2425" t="s">
        <v>6233</v>
      </c>
      <c r="C2425" t="s">
        <v>5917</v>
      </c>
      <c r="D2425" t="s">
        <v>5917</v>
      </c>
      <c r="E2425" t="s">
        <v>5926</v>
      </c>
    </row>
    <row r="2426" spans="1:5" x14ac:dyDescent="0.2">
      <c r="A2426" t="s">
        <v>6234</v>
      </c>
      <c r="B2426" t="s">
        <v>6235</v>
      </c>
      <c r="C2426" t="s">
        <v>5917</v>
      </c>
      <c r="D2426" t="s">
        <v>5917</v>
      </c>
      <c r="E2426" t="s">
        <v>5918</v>
      </c>
    </row>
    <row r="2427" spans="1:5" x14ac:dyDescent="0.2">
      <c r="A2427" t="s">
        <v>6236</v>
      </c>
      <c r="B2427" t="s">
        <v>6237</v>
      </c>
      <c r="C2427" t="s">
        <v>5917</v>
      </c>
      <c r="D2427" t="s">
        <v>5917</v>
      </c>
      <c r="E2427" t="s">
        <v>5918</v>
      </c>
    </row>
    <row r="2428" spans="1:5" x14ac:dyDescent="0.2">
      <c r="A2428" t="s">
        <v>6238</v>
      </c>
      <c r="B2428" t="s">
        <v>6239</v>
      </c>
      <c r="C2428" t="s">
        <v>5917</v>
      </c>
      <c r="D2428" t="s">
        <v>5917</v>
      </c>
      <c r="E2428" t="s">
        <v>5918</v>
      </c>
    </row>
    <row r="2429" spans="1:5" x14ac:dyDescent="0.2">
      <c r="A2429" t="s">
        <v>6240</v>
      </c>
      <c r="B2429" t="s">
        <v>6241</v>
      </c>
      <c r="C2429" t="s">
        <v>5917</v>
      </c>
      <c r="D2429" t="s">
        <v>5917</v>
      </c>
      <c r="E2429" t="s">
        <v>5933</v>
      </c>
    </row>
    <row r="2430" spans="1:5" x14ac:dyDescent="0.2">
      <c r="A2430" t="s">
        <v>6242</v>
      </c>
      <c r="B2430" t="s">
        <v>6243</v>
      </c>
      <c r="C2430" t="s">
        <v>5917</v>
      </c>
      <c r="D2430" t="s">
        <v>5917</v>
      </c>
      <c r="E2430" t="s">
        <v>5926</v>
      </c>
    </row>
    <row r="2431" spans="1:5" x14ac:dyDescent="0.2">
      <c r="A2431" t="s">
        <v>6244</v>
      </c>
      <c r="B2431" t="s">
        <v>6245</v>
      </c>
      <c r="C2431" t="s">
        <v>5917</v>
      </c>
      <c r="D2431" t="s">
        <v>5917</v>
      </c>
      <c r="E2431" t="s">
        <v>6246</v>
      </c>
    </row>
    <row r="2432" spans="1:5" x14ac:dyDescent="0.2">
      <c r="A2432" t="s">
        <v>6247</v>
      </c>
      <c r="B2432" t="s">
        <v>6248</v>
      </c>
      <c r="C2432" t="s">
        <v>5917</v>
      </c>
      <c r="D2432" t="s">
        <v>5917</v>
      </c>
      <c r="E2432" t="s">
        <v>5926</v>
      </c>
    </row>
    <row r="2433" spans="1:5" x14ac:dyDescent="0.2">
      <c r="A2433" t="s">
        <v>6249</v>
      </c>
      <c r="B2433" t="s">
        <v>6250</v>
      </c>
      <c r="C2433" t="s">
        <v>5917</v>
      </c>
      <c r="D2433" t="s">
        <v>5917</v>
      </c>
      <c r="E2433" t="s">
        <v>6251</v>
      </c>
    </row>
    <row r="2434" spans="1:5" x14ac:dyDescent="0.2">
      <c r="A2434" t="s">
        <v>6252</v>
      </c>
      <c r="B2434" t="s">
        <v>6253</v>
      </c>
      <c r="C2434" t="s">
        <v>5917</v>
      </c>
      <c r="D2434" t="s">
        <v>5917</v>
      </c>
      <c r="E2434" t="s">
        <v>6004</v>
      </c>
    </row>
    <row r="2435" spans="1:5" x14ac:dyDescent="0.2">
      <c r="A2435" t="s">
        <v>6254</v>
      </c>
      <c r="B2435" t="s">
        <v>6255</v>
      </c>
      <c r="C2435" t="s">
        <v>5917</v>
      </c>
      <c r="D2435" t="s">
        <v>5917</v>
      </c>
      <c r="E2435" t="s">
        <v>5933</v>
      </c>
    </row>
    <row r="2436" spans="1:5" x14ac:dyDescent="0.2">
      <c r="A2436" t="s">
        <v>6256</v>
      </c>
      <c r="B2436" t="s">
        <v>6257</v>
      </c>
      <c r="C2436" t="s">
        <v>5917</v>
      </c>
      <c r="D2436" t="s">
        <v>5917</v>
      </c>
      <c r="E2436" t="s">
        <v>6004</v>
      </c>
    </row>
    <row r="2437" spans="1:5" x14ac:dyDescent="0.2">
      <c r="A2437" t="s">
        <v>6258</v>
      </c>
      <c r="B2437" t="s">
        <v>6259</v>
      </c>
      <c r="C2437" t="s">
        <v>5917</v>
      </c>
      <c r="D2437" t="s">
        <v>5917</v>
      </c>
      <c r="E2437" t="s">
        <v>5926</v>
      </c>
    </row>
    <row r="2438" spans="1:5" x14ac:dyDescent="0.2">
      <c r="A2438" t="s">
        <v>6260</v>
      </c>
      <c r="B2438" t="s">
        <v>6261</v>
      </c>
      <c r="C2438" t="s">
        <v>5917</v>
      </c>
      <c r="D2438" t="s">
        <v>5917</v>
      </c>
      <c r="E2438" t="s">
        <v>5945</v>
      </c>
    </row>
    <row r="2439" spans="1:5" x14ac:dyDescent="0.2">
      <c r="A2439" t="s">
        <v>6262</v>
      </c>
      <c r="B2439" t="s">
        <v>6263</v>
      </c>
      <c r="C2439" t="s">
        <v>5917</v>
      </c>
      <c r="D2439" t="s">
        <v>5917</v>
      </c>
      <c r="E2439" t="s">
        <v>5918</v>
      </c>
    </row>
    <row r="2440" spans="1:5" x14ac:dyDescent="0.2">
      <c r="A2440" t="s">
        <v>6264</v>
      </c>
      <c r="B2440" t="s">
        <v>6265</v>
      </c>
      <c r="C2440" t="s">
        <v>5917</v>
      </c>
      <c r="D2440" t="s">
        <v>5917</v>
      </c>
      <c r="E2440" t="s">
        <v>5926</v>
      </c>
    </row>
    <row r="2441" spans="1:5" x14ac:dyDescent="0.2">
      <c r="A2441" t="s">
        <v>6266</v>
      </c>
      <c r="B2441" t="s">
        <v>6267</v>
      </c>
      <c r="C2441" t="s">
        <v>5917</v>
      </c>
      <c r="D2441" t="s">
        <v>5917</v>
      </c>
      <c r="E2441" t="s">
        <v>5933</v>
      </c>
    </row>
    <row r="2442" spans="1:5" x14ac:dyDescent="0.2">
      <c r="A2442" t="s">
        <v>6268</v>
      </c>
      <c r="B2442" t="s">
        <v>6269</v>
      </c>
      <c r="C2442" t="s">
        <v>5917</v>
      </c>
      <c r="D2442" t="s">
        <v>5917</v>
      </c>
      <c r="E2442" t="s">
        <v>5918</v>
      </c>
    </row>
    <row r="2443" spans="1:5" x14ac:dyDescent="0.2">
      <c r="A2443" t="s">
        <v>6270</v>
      </c>
      <c r="B2443" t="s">
        <v>6271</v>
      </c>
      <c r="C2443" t="s">
        <v>5917</v>
      </c>
      <c r="D2443" t="s">
        <v>5917</v>
      </c>
      <c r="E2443" t="s">
        <v>5918</v>
      </c>
    </row>
    <row r="2444" spans="1:5" x14ac:dyDescent="0.2">
      <c r="A2444" t="s">
        <v>6272</v>
      </c>
      <c r="B2444" t="s">
        <v>6273</v>
      </c>
      <c r="C2444" t="s">
        <v>5917</v>
      </c>
      <c r="D2444" t="s">
        <v>5917</v>
      </c>
      <c r="E2444" t="s">
        <v>5918</v>
      </c>
    </row>
    <row r="2445" spans="1:5" x14ac:dyDescent="0.2">
      <c r="A2445" t="s">
        <v>6274</v>
      </c>
      <c r="B2445" t="s">
        <v>6275</v>
      </c>
      <c r="C2445" t="s">
        <v>5917</v>
      </c>
      <c r="D2445" t="s">
        <v>5917</v>
      </c>
      <c r="E2445" t="s">
        <v>5918</v>
      </c>
    </row>
    <row r="2446" spans="1:5" x14ac:dyDescent="0.2">
      <c r="A2446" t="s">
        <v>6276</v>
      </c>
      <c r="B2446" t="s">
        <v>6277</v>
      </c>
      <c r="C2446" t="s">
        <v>5917</v>
      </c>
      <c r="D2446" t="s">
        <v>5917</v>
      </c>
      <c r="E2446" t="s">
        <v>5933</v>
      </c>
    </row>
    <row r="2447" spans="1:5" x14ac:dyDescent="0.2">
      <c r="A2447" t="s">
        <v>6278</v>
      </c>
      <c r="B2447" t="s">
        <v>6279</v>
      </c>
      <c r="C2447" t="s">
        <v>5917</v>
      </c>
      <c r="D2447" t="s">
        <v>5917</v>
      </c>
      <c r="E2447" t="s">
        <v>5918</v>
      </c>
    </row>
    <row r="2448" spans="1:5" x14ac:dyDescent="0.2">
      <c r="A2448" t="s">
        <v>6280</v>
      </c>
      <c r="B2448" t="s">
        <v>6281</v>
      </c>
      <c r="C2448" t="s">
        <v>5917</v>
      </c>
      <c r="D2448" t="s">
        <v>5917</v>
      </c>
      <c r="E2448" t="s">
        <v>5918</v>
      </c>
    </row>
    <row r="2449" spans="1:5" x14ac:dyDescent="0.2">
      <c r="A2449" t="s">
        <v>6282</v>
      </c>
      <c r="B2449" t="s">
        <v>6283</v>
      </c>
      <c r="C2449" t="s">
        <v>5917</v>
      </c>
      <c r="D2449" t="s">
        <v>5917</v>
      </c>
      <c r="E2449" t="s">
        <v>5926</v>
      </c>
    </row>
    <row r="2450" spans="1:5" x14ac:dyDescent="0.2">
      <c r="A2450" t="s">
        <v>6284</v>
      </c>
      <c r="B2450" t="s">
        <v>6285</v>
      </c>
      <c r="C2450" t="s">
        <v>5917</v>
      </c>
      <c r="D2450" t="s">
        <v>5917</v>
      </c>
      <c r="E2450" t="s">
        <v>6286</v>
      </c>
    </row>
    <row r="2451" spans="1:5" x14ac:dyDescent="0.2">
      <c r="A2451" t="s">
        <v>6287</v>
      </c>
      <c r="B2451" t="s">
        <v>6288</v>
      </c>
      <c r="C2451" t="s">
        <v>5917</v>
      </c>
      <c r="D2451" t="s">
        <v>5917</v>
      </c>
      <c r="E2451" t="s">
        <v>5918</v>
      </c>
    </row>
    <row r="2452" spans="1:5" x14ac:dyDescent="0.2">
      <c r="A2452" t="s">
        <v>6289</v>
      </c>
      <c r="B2452" t="s">
        <v>6290</v>
      </c>
      <c r="C2452" t="s">
        <v>5917</v>
      </c>
      <c r="D2452" t="s">
        <v>5917</v>
      </c>
      <c r="E2452" t="s">
        <v>5926</v>
      </c>
    </row>
    <row r="2453" spans="1:5" x14ac:dyDescent="0.2">
      <c r="A2453" t="s">
        <v>6291</v>
      </c>
      <c r="B2453" t="s">
        <v>6292</v>
      </c>
      <c r="C2453" t="s">
        <v>5917</v>
      </c>
      <c r="D2453" t="s">
        <v>5917</v>
      </c>
      <c r="E2453" t="s">
        <v>6101</v>
      </c>
    </row>
    <row r="2454" spans="1:5" x14ac:dyDescent="0.2">
      <c r="A2454" t="s">
        <v>6293</v>
      </c>
      <c r="B2454" t="s">
        <v>6294</v>
      </c>
      <c r="C2454" t="s">
        <v>5917</v>
      </c>
      <c r="D2454" t="s">
        <v>5917</v>
      </c>
      <c r="E2454" t="s">
        <v>5921</v>
      </c>
    </row>
    <row r="2455" spans="1:5" x14ac:dyDescent="0.2">
      <c r="A2455" t="s">
        <v>6295</v>
      </c>
      <c r="B2455" t="s">
        <v>6296</v>
      </c>
      <c r="C2455" t="s">
        <v>5917</v>
      </c>
      <c r="D2455" t="s">
        <v>5917</v>
      </c>
      <c r="E2455" t="s">
        <v>6297</v>
      </c>
    </row>
    <row r="2456" spans="1:5" x14ac:dyDescent="0.2">
      <c r="A2456" t="s">
        <v>6298</v>
      </c>
      <c r="B2456" t="s">
        <v>6299</v>
      </c>
      <c r="C2456" t="s">
        <v>5917</v>
      </c>
      <c r="D2456" t="s">
        <v>5917</v>
      </c>
      <c r="E2456" t="s">
        <v>6300</v>
      </c>
    </row>
    <row r="2457" spans="1:5" x14ac:dyDescent="0.2">
      <c r="A2457" t="s">
        <v>6301</v>
      </c>
      <c r="B2457" t="s">
        <v>6302</v>
      </c>
      <c r="C2457" t="s">
        <v>5917</v>
      </c>
      <c r="D2457" t="s">
        <v>5917</v>
      </c>
      <c r="E2457" t="s">
        <v>6110</v>
      </c>
    </row>
    <row r="2458" spans="1:5" x14ac:dyDescent="0.2">
      <c r="A2458" t="s">
        <v>6303</v>
      </c>
      <c r="B2458" t="s">
        <v>6304</v>
      </c>
      <c r="C2458" t="s">
        <v>5917</v>
      </c>
      <c r="D2458" t="s">
        <v>5917</v>
      </c>
      <c r="E2458" t="s">
        <v>6004</v>
      </c>
    </row>
    <row r="2459" spans="1:5" x14ac:dyDescent="0.2">
      <c r="A2459" t="s">
        <v>6305</v>
      </c>
      <c r="B2459" t="s">
        <v>6306</v>
      </c>
      <c r="C2459" t="s">
        <v>5917</v>
      </c>
      <c r="D2459" t="s">
        <v>5917</v>
      </c>
      <c r="E2459" t="s">
        <v>6307</v>
      </c>
    </row>
    <row r="2460" spans="1:5" x14ac:dyDescent="0.2">
      <c r="A2460" t="s">
        <v>6308</v>
      </c>
      <c r="B2460" t="s">
        <v>6309</v>
      </c>
      <c r="C2460" t="s">
        <v>5917</v>
      </c>
      <c r="D2460" t="s">
        <v>5917</v>
      </c>
      <c r="E2460" t="s">
        <v>5926</v>
      </c>
    </row>
    <row r="2461" spans="1:5" x14ac:dyDescent="0.2">
      <c r="A2461" t="s">
        <v>6310</v>
      </c>
      <c r="B2461" t="s">
        <v>6311</v>
      </c>
      <c r="C2461" t="s">
        <v>5917</v>
      </c>
      <c r="D2461" t="s">
        <v>5917</v>
      </c>
      <c r="E2461" t="s">
        <v>6312</v>
      </c>
    </row>
    <row r="2462" spans="1:5" x14ac:dyDescent="0.2">
      <c r="A2462" t="s">
        <v>6313</v>
      </c>
      <c r="B2462" t="s">
        <v>6314</v>
      </c>
      <c r="C2462" t="s">
        <v>5917</v>
      </c>
      <c r="D2462" t="s">
        <v>5917</v>
      </c>
      <c r="E2462" t="s">
        <v>6077</v>
      </c>
    </row>
    <row r="2463" spans="1:5" x14ac:dyDescent="0.2">
      <c r="A2463" t="s">
        <v>6315</v>
      </c>
      <c r="B2463" t="s">
        <v>6316</v>
      </c>
      <c r="C2463" t="s">
        <v>5917</v>
      </c>
      <c r="D2463" t="s">
        <v>5917</v>
      </c>
      <c r="E2463" t="s">
        <v>6317</v>
      </c>
    </row>
    <row r="2464" spans="1:5" x14ac:dyDescent="0.2">
      <c r="A2464" t="s">
        <v>6318</v>
      </c>
      <c r="B2464" t="s">
        <v>6319</v>
      </c>
      <c r="C2464" t="s">
        <v>5917</v>
      </c>
      <c r="D2464" t="s">
        <v>5917</v>
      </c>
      <c r="E2464" t="s">
        <v>5926</v>
      </c>
    </row>
    <row r="2465" spans="1:5" x14ac:dyDescent="0.2">
      <c r="A2465" t="s">
        <v>6320</v>
      </c>
      <c r="B2465" t="s">
        <v>6321</v>
      </c>
      <c r="C2465" t="s">
        <v>5917</v>
      </c>
      <c r="D2465" t="s">
        <v>5917</v>
      </c>
      <c r="E2465" t="s">
        <v>6004</v>
      </c>
    </row>
    <row r="2466" spans="1:5" x14ac:dyDescent="0.2">
      <c r="A2466" t="s">
        <v>6322</v>
      </c>
      <c r="B2466" t="s">
        <v>6323</v>
      </c>
      <c r="C2466" t="s">
        <v>5917</v>
      </c>
      <c r="D2466" t="s">
        <v>5917</v>
      </c>
      <c r="E2466" t="s">
        <v>6251</v>
      </c>
    </row>
    <row r="2467" spans="1:5" x14ac:dyDescent="0.2">
      <c r="A2467" t="s">
        <v>6324</v>
      </c>
      <c r="B2467" t="s">
        <v>6325</v>
      </c>
      <c r="C2467" t="s">
        <v>5917</v>
      </c>
      <c r="D2467" t="s">
        <v>5917</v>
      </c>
      <c r="E2467" t="s">
        <v>6168</v>
      </c>
    </row>
    <row r="2468" spans="1:5" x14ac:dyDescent="0.2">
      <c r="A2468" t="s">
        <v>6326</v>
      </c>
      <c r="B2468" t="s">
        <v>6327</v>
      </c>
      <c r="C2468" t="s">
        <v>5917</v>
      </c>
      <c r="D2468" t="s">
        <v>5917</v>
      </c>
      <c r="E2468" t="s">
        <v>5918</v>
      </c>
    </row>
    <row r="2469" spans="1:5" x14ac:dyDescent="0.2">
      <c r="A2469" t="s">
        <v>6328</v>
      </c>
      <c r="B2469" t="s">
        <v>6329</v>
      </c>
      <c r="C2469" t="s">
        <v>5917</v>
      </c>
      <c r="D2469" t="s">
        <v>5917</v>
      </c>
      <c r="E2469" t="s">
        <v>6004</v>
      </c>
    </row>
    <row r="2470" spans="1:5" x14ac:dyDescent="0.2">
      <c r="A2470" t="s">
        <v>6330</v>
      </c>
      <c r="B2470" t="s">
        <v>6331</v>
      </c>
      <c r="C2470" t="s">
        <v>5917</v>
      </c>
      <c r="D2470" t="e">
        <v>#N/A</v>
      </c>
      <c r="E2470" t="e">
        <v>#N/A</v>
      </c>
    </row>
    <row r="2471" spans="1:5" x14ac:dyDescent="0.2">
      <c r="A2471" t="s">
        <v>6332</v>
      </c>
      <c r="B2471" t="s">
        <v>6333</v>
      </c>
      <c r="C2471" t="s">
        <v>5917</v>
      </c>
      <c r="D2471" t="e">
        <v>#N/A</v>
      </c>
      <c r="E2471" t="e">
        <v>#N/A</v>
      </c>
    </row>
    <row r="2472" spans="1:5" x14ac:dyDescent="0.2">
      <c r="A2472" t="s">
        <v>6334</v>
      </c>
      <c r="B2472" t="s">
        <v>6335</v>
      </c>
      <c r="C2472" t="s">
        <v>5917</v>
      </c>
      <c r="D2472" t="e">
        <v>#N/A</v>
      </c>
      <c r="E2472" t="e">
        <v>#N/A</v>
      </c>
    </row>
    <row r="2473" spans="1:5" x14ac:dyDescent="0.2">
      <c r="A2473" t="s">
        <v>6336</v>
      </c>
      <c r="B2473" t="s">
        <v>6337</v>
      </c>
      <c r="C2473" t="s">
        <v>6338</v>
      </c>
      <c r="D2473" t="s">
        <v>6338</v>
      </c>
      <c r="E2473" t="s">
        <v>6339</v>
      </c>
    </row>
    <row r="2474" spans="1:5" x14ac:dyDescent="0.2">
      <c r="A2474" t="s">
        <v>6340</v>
      </c>
      <c r="B2474" t="s">
        <v>6341</v>
      </c>
      <c r="C2474" t="s">
        <v>6338</v>
      </c>
      <c r="D2474" t="s">
        <v>6338</v>
      </c>
      <c r="E2474" t="s">
        <v>6339</v>
      </c>
    </row>
    <row r="2475" spans="1:5" x14ac:dyDescent="0.2">
      <c r="A2475" t="s">
        <v>6342</v>
      </c>
      <c r="B2475" t="s">
        <v>6343</v>
      </c>
      <c r="C2475" t="s">
        <v>6338</v>
      </c>
      <c r="D2475" t="s">
        <v>6338</v>
      </c>
      <c r="E2475" t="s">
        <v>6344</v>
      </c>
    </row>
    <row r="2476" spans="1:5" x14ac:dyDescent="0.2">
      <c r="A2476" t="s">
        <v>6345</v>
      </c>
      <c r="B2476" t="s">
        <v>6346</v>
      </c>
      <c r="C2476" t="s">
        <v>6338</v>
      </c>
      <c r="D2476" t="s">
        <v>6338</v>
      </c>
      <c r="E2476" t="s">
        <v>6347</v>
      </c>
    </row>
    <row r="2477" spans="1:5" x14ac:dyDescent="0.2">
      <c r="A2477" t="s">
        <v>6348</v>
      </c>
      <c r="B2477" t="s">
        <v>6349</v>
      </c>
      <c r="C2477" t="s">
        <v>6338</v>
      </c>
      <c r="D2477" t="s">
        <v>6338</v>
      </c>
      <c r="E2477" t="s">
        <v>6347</v>
      </c>
    </row>
    <row r="2478" spans="1:5" x14ac:dyDescent="0.2">
      <c r="A2478" t="s">
        <v>6350</v>
      </c>
      <c r="B2478" t="s">
        <v>6351</v>
      </c>
      <c r="C2478" t="s">
        <v>6338</v>
      </c>
      <c r="D2478" t="s">
        <v>6338</v>
      </c>
      <c r="E2478" t="s">
        <v>6352</v>
      </c>
    </row>
    <row r="2479" spans="1:5" x14ac:dyDescent="0.2">
      <c r="A2479" t="s">
        <v>6353</v>
      </c>
      <c r="B2479" t="s">
        <v>6354</v>
      </c>
      <c r="C2479" t="s">
        <v>6338</v>
      </c>
      <c r="D2479" t="s">
        <v>6338</v>
      </c>
      <c r="E2479" t="s">
        <v>6339</v>
      </c>
    </row>
    <row r="2480" spans="1:5" x14ac:dyDescent="0.2">
      <c r="A2480" t="s">
        <v>6355</v>
      </c>
      <c r="B2480" t="s">
        <v>6356</v>
      </c>
      <c r="C2480" t="s">
        <v>6338</v>
      </c>
      <c r="D2480" t="s">
        <v>6338</v>
      </c>
      <c r="E2480" t="s">
        <v>6357</v>
      </c>
    </row>
    <row r="2481" spans="1:5" x14ac:dyDescent="0.2">
      <c r="A2481" t="s">
        <v>6358</v>
      </c>
      <c r="B2481" t="s">
        <v>6359</v>
      </c>
      <c r="C2481" t="s">
        <v>6338</v>
      </c>
      <c r="D2481" t="s">
        <v>6338</v>
      </c>
      <c r="E2481" t="s">
        <v>6347</v>
      </c>
    </row>
    <row r="2482" spans="1:5" x14ac:dyDescent="0.2">
      <c r="A2482" t="s">
        <v>6360</v>
      </c>
      <c r="B2482" t="s">
        <v>6361</v>
      </c>
      <c r="C2482" t="s">
        <v>6338</v>
      </c>
      <c r="D2482" t="s">
        <v>6338</v>
      </c>
      <c r="E2482" t="s">
        <v>6347</v>
      </c>
    </row>
    <row r="2483" spans="1:5" x14ac:dyDescent="0.2">
      <c r="A2483" t="s">
        <v>6362</v>
      </c>
      <c r="B2483" t="s">
        <v>6363</v>
      </c>
      <c r="C2483" t="s">
        <v>6338</v>
      </c>
      <c r="D2483" t="s">
        <v>6338</v>
      </c>
      <c r="E2483" t="s">
        <v>6347</v>
      </c>
    </row>
    <row r="2484" spans="1:5" x14ac:dyDescent="0.2">
      <c r="A2484" t="s">
        <v>6364</v>
      </c>
      <c r="B2484" t="s">
        <v>6365</v>
      </c>
      <c r="C2484" t="s">
        <v>6338</v>
      </c>
      <c r="D2484" t="s">
        <v>6338</v>
      </c>
      <c r="E2484" t="s">
        <v>6339</v>
      </c>
    </row>
    <row r="2485" spans="1:5" x14ac:dyDescent="0.2">
      <c r="A2485" t="s">
        <v>6366</v>
      </c>
      <c r="B2485" t="s">
        <v>6367</v>
      </c>
      <c r="C2485" t="s">
        <v>6338</v>
      </c>
      <c r="D2485" t="s">
        <v>6338</v>
      </c>
      <c r="E2485" t="s">
        <v>6357</v>
      </c>
    </row>
    <row r="2486" spans="1:5" x14ac:dyDescent="0.2">
      <c r="A2486" t="s">
        <v>6368</v>
      </c>
      <c r="B2486" t="s">
        <v>6369</v>
      </c>
      <c r="C2486" t="s">
        <v>6338</v>
      </c>
      <c r="D2486" t="s">
        <v>6338</v>
      </c>
      <c r="E2486" t="s">
        <v>6347</v>
      </c>
    </row>
    <row r="2487" spans="1:5" x14ac:dyDescent="0.2">
      <c r="A2487" t="s">
        <v>6370</v>
      </c>
      <c r="B2487" t="s">
        <v>6371</v>
      </c>
      <c r="C2487" t="s">
        <v>6338</v>
      </c>
      <c r="D2487" t="s">
        <v>6338</v>
      </c>
      <c r="E2487" t="s">
        <v>6372</v>
      </c>
    </row>
    <row r="2488" spans="1:5" x14ac:dyDescent="0.2">
      <c r="A2488" t="s">
        <v>6373</v>
      </c>
      <c r="B2488" t="s">
        <v>6374</v>
      </c>
      <c r="C2488" t="s">
        <v>6338</v>
      </c>
      <c r="D2488" t="s">
        <v>6338</v>
      </c>
      <c r="E2488" t="s">
        <v>6347</v>
      </c>
    </row>
    <row r="2489" spans="1:5" x14ac:dyDescent="0.2">
      <c r="A2489" t="s">
        <v>6375</v>
      </c>
      <c r="B2489" t="s">
        <v>6376</v>
      </c>
      <c r="C2489" t="s">
        <v>6338</v>
      </c>
      <c r="D2489" t="s">
        <v>6338</v>
      </c>
      <c r="E2489" t="s">
        <v>6347</v>
      </c>
    </row>
    <row r="2490" spans="1:5" x14ac:dyDescent="0.2">
      <c r="A2490" t="s">
        <v>6377</v>
      </c>
      <c r="B2490" t="s">
        <v>6378</v>
      </c>
      <c r="C2490" t="s">
        <v>6338</v>
      </c>
      <c r="D2490" t="s">
        <v>6338</v>
      </c>
      <c r="E2490" t="s">
        <v>6379</v>
      </c>
    </row>
    <row r="2491" spans="1:5" x14ac:dyDescent="0.2">
      <c r="A2491" t="s">
        <v>6380</v>
      </c>
      <c r="B2491" t="s">
        <v>6381</v>
      </c>
      <c r="C2491" t="s">
        <v>6338</v>
      </c>
      <c r="D2491" t="s">
        <v>6338</v>
      </c>
      <c r="E2491" t="s">
        <v>6347</v>
      </c>
    </row>
    <row r="2492" spans="1:5" x14ac:dyDescent="0.2">
      <c r="A2492" t="s">
        <v>6382</v>
      </c>
      <c r="B2492" t="s">
        <v>6383</v>
      </c>
      <c r="C2492" t="s">
        <v>6338</v>
      </c>
      <c r="D2492" t="s">
        <v>6338</v>
      </c>
      <c r="E2492" t="s">
        <v>6384</v>
      </c>
    </row>
    <row r="2493" spans="1:5" x14ac:dyDescent="0.2">
      <c r="A2493" t="s">
        <v>6385</v>
      </c>
      <c r="B2493" t="s">
        <v>6386</v>
      </c>
      <c r="C2493" t="s">
        <v>6338</v>
      </c>
      <c r="D2493" t="s">
        <v>6338</v>
      </c>
      <c r="E2493" t="s">
        <v>6339</v>
      </c>
    </row>
    <row r="2494" spans="1:5" x14ac:dyDescent="0.2">
      <c r="A2494" t="s">
        <v>6387</v>
      </c>
      <c r="B2494" t="s">
        <v>6388</v>
      </c>
      <c r="C2494" t="s">
        <v>6338</v>
      </c>
      <c r="D2494" t="s">
        <v>6338</v>
      </c>
      <c r="E2494" t="s">
        <v>6357</v>
      </c>
    </row>
    <row r="2495" spans="1:5" x14ac:dyDescent="0.2">
      <c r="A2495" t="s">
        <v>6389</v>
      </c>
      <c r="B2495" t="s">
        <v>6390</v>
      </c>
      <c r="C2495" t="s">
        <v>6338</v>
      </c>
      <c r="D2495" t="s">
        <v>6338</v>
      </c>
      <c r="E2495" t="s">
        <v>6347</v>
      </c>
    </row>
    <row r="2496" spans="1:5" x14ac:dyDescent="0.2">
      <c r="A2496" t="s">
        <v>6391</v>
      </c>
      <c r="B2496" t="s">
        <v>6392</v>
      </c>
      <c r="C2496" t="s">
        <v>6338</v>
      </c>
      <c r="D2496" t="s">
        <v>6338</v>
      </c>
      <c r="E2496" t="s">
        <v>6393</v>
      </c>
    </row>
    <row r="2497" spans="1:5" x14ac:dyDescent="0.2">
      <c r="A2497" t="s">
        <v>6394</v>
      </c>
      <c r="B2497" t="s">
        <v>6395</v>
      </c>
      <c r="C2497" t="s">
        <v>6338</v>
      </c>
      <c r="D2497" t="s">
        <v>6338</v>
      </c>
      <c r="E2497" t="s">
        <v>6396</v>
      </c>
    </row>
    <row r="2498" spans="1:5" x14ac:dyDescent="0.2">
      <c r="A2498" t="s">
        <v>6397</v>
      </c>
      <c r="B2498" t="s">
        <v>6398</v>
      </c>
      <c r="C2498" t="s">
        <v>6338</v>
      </c>
      <c r="D2498" t="s">
        <v>6338</v>
      </c>
      <c r="E2498" t="s">
        <v>6347</v>
      </c>
    </row>
    <row r="2499" spans="1:5" x14ac:dyDescent="0.2">
      <c r="A2499" t="s">
        <v>6399</v>
      </c>
      <c r="B2499" t="s">
        <v>6400</v>
      </c>
      <c r="C2499" t="s">
        <v>6338</v>
      </c>
      <c r="D2499" t="s">
        <v>6338</v>
      </c>
      <c r="E2499" t="s">
        <v>6352</v>
      </c>
    </row>
    <row r="2500" spans="1:5" x14ac:dyDescent="0.2">
      <c r="A2500" t="s">
        <v>6401</v>
      </c>
      <c r="B2500" t="s">
        <v>6402</v>
      </c>
      <c r="C2500" t="s">
        <v>6338</v>
      </c>
      <c r="D2500" t="s">
        <v>6338</v>
      </c>
      <c r="E2500" t="s">
        <v>6347</v>
      </c>
    </row>
    <row r="2501" spans="1:5" x14ac:dyDescent="0.2">
      <c r="A2501" t="s">
        <v>6403</v>
      </c>
      <c r="B2501" t="s">
        <v>6404</v>
      </c>
      <c r="C2501" t="s">
        <v>6338</v>
      </c>
      <c r="D2501" t="s">
        <v>6338</v>
      </c>
      <c r="E2501" t="s">
        <v>6357</v>
      </c>
    </row>
    <row r="2502" spans="1:5" x14ac:dyDescent="0.2">
      <c r="A2502" t="s">
        <v>6405</v>
      </c>
      <c r="B2502" t="s">
        <v>6406</v>
      </c>
      <c r="C2502" t="s">
        <v>6338</v>
      </c>
      <c r="D2502" t="s">
        <v>6338</v>
      </c>
      <c r="E2502" t="s">
        <v>6407</v>
      </c>
    </row>
    <row r="2503" spans="1:5" x14ac:dyDescent="0.2">
      <c r="A2503" t="s">
        <v>6408</v>
      </c>
      <c r="B2503" t="s">
        <v>6409</v>
      </c>
      <c r="C2503" t="s">
        <v>6338</v>
      </c>
      <c r="D2503" t="s">
        <v>6338</v>
      </c>
      <c r="E2503" t="s">
        <v>6339</v>
      </c>
    </row>
    <row r="2504" spans="1:5" x14ac:dyDescent="0.2">
      <c r="A2504" t="s">
        <v>6410</v>
      </c>
      <c r="B2504" t="s">
        <v>6411</v>
      </c>
      <c r="C2504" t="s">
        <v>6338</v>
      </c>
      <c r="D2504" t="s">
        <v>6338</v>
      </c>
      <c r="E2504" t="s">
        <v>6347</v>
      </c>
    </row>
    <row r="2505" spans="1:5" x14ac:dyDescent="0.2">
      <c r="A2505" t="s">
        <v>6412</v>
      </c>
      <c r="B2505" t="s">
        <v>6413</v>
      </c>
      <c r="C2505" t="s">
        <v>6338</v>
      </c>
      <c r="D2505" t="s">
        <v>6338</v>
      </c>
      <c r="E2505" t="s">
        <v>6347</v>
      </c>
    </row>
    <row r="2506" spans="1:5" x14ac:dyDescent="0.2">
      <c r="A2506" t="s">
        <v>6414</v>
      </c>
      <c r="B2506" t="s">
        <v>6415</v>
      </c>
      <c r="C2506" t="s">
        <v>6338</v>
      </c>
      <c r="D2506" t="s">
        <v>6338</v>
      </c>
      <c r="E2506" t="s">
        <v>6416</v>
      </c>
    </row>
    <row r="2507" spans="1:5" x14ac:dyDescent="0.2">
      <c r="A2507" t="s">
        <v>6417</v>
      </c>
      <c r="B2507" t="s">
        <v>6418</v>
      </c>
      <c r="C2507" t="s">
        <v>6338</v>
      </c>
      <c r="D2507" t="s">
        <v>6338</v>
      </c>
      <c r="E2507" t="s">
        <v>6419</v>
      </c>
    </row>
    <row r="2508" spans="1:5" x14ac:dyDescent="0.2">
      <c r="A2508" t="s">
        <v>6420</v>
      </c>
      <c r="B2508" t="s">
        <v>6421</v>
      </c>
      <c r="C2508" t="s">
        <v>6338</v>
      </c>
      <c r="D2508" t="s">
        <v>6338</v>
      </c>
      <c r="E2508" t="s">
        <v>6347</v>
      </c>
    </row>
    <row r="2509" spans="1:5" x14ac:dyDescent="0.2">
      <c r="A2509" t="s">
        <v>6422</v>
      </c>
      <c r="B2509" t="s">
        <v>6423</v>
      </c>
      <c r="C2509" t="s">
        <v>6338</v>
      </c>
      <c r="D2509" t="s">
        <v>6338</v>
      </c>
      <c r="E2509" t="s">
        <v>6339</v>
      </c>
    </row>
    <row r="2510" spans="1:5" x14ac:dyDescent="0.2">
      <c r="A2510" t="s">
        <v>6424</v>
      </c>
      <c r="B2510" t="s">
        <v>6425</v>
      </c>
      <c r="C2510" t="s">
        <v>6338</v>
      </c>
      <c r="D2510" t="s">
        <v>6338</v>
      </c>
      <c r="E2510" t="s">
        <v>6339</v>
      </c>
    </row>
    <row r="2511" spans="1:5" x14ac:dyDescent="0.2">
      <c r="A2511" t="s">
        <v>6426</v>
      </c>
      <c r="B2511" t="s">
        <v>6427</v>
      </c>
      <c r="C2511" t="s">
        <v>6338</v>
      </c>
      <c r="D2511" t="s">
        <v>6338</v>
      </c>
      <c r="E2511" t="s">
        <v>6352</v>
      </c>
    </row>
    <row r="2512" spans="1:5" x14ac:dyDescent="0.2">
      <c r="A2512" t="s">
        <v>6428</v>
      </c>
      <c r="B2512" t="s">
        <v>6429</v>
      </c>
      <c r="C2512" t="s">
        <v>6338</v>
      </c>
      <c r="D2512" t="s">
        <v>6338</v>
      </c>
      <c r="E2512" t="s">
        <v>6347</v>
      </c>
    </row>
    <row r="2513" spans="1:5" x14ac:dyDescent="0.2">
      <c r="A2513" t="s">
        <v>6430</v>
      </c>
      <c r="B2513" t="s">
        <v>6431</v>
      </c>
      <c r="C2513" t="s">
        <v>6338</v>
      </c>
      <c r="D2513" t="s">
        <v>6338</v>
      </c>
      <c r="E2513" t="s">
        <v>6347</v>
      </c>
    </row>
    <row r="2514" spans="1:5" x14ac:dyDescent="0.2">
      <c r="A2514" t="s">
        <v>6432</v>
      </c>
      <c r="B2514" t="s">
        <v>6433</v>
      </c>
      <c r="C2514" t="s">
        <v>6338</v>
      </c>
      <c r="D2514" t="s">
        <v>6338</v>
      </c>
      <c r="E2514" t="s">
        <v>6339</v>
      </c>
    </row>
    <row r="2515" spans="1:5" x14ac:dyDescent="0.2">
      <c r="A2515" t="s">
        <v>6434</v>
      </c>
      <c r="B2515" t="s">
        <v>6435</v>
      </c>
      <c r="C2515" t="s">
        <v>6338</v>
      </c>
      <c r="D2515" t="s">
        <v>6338</v>
      </c>
      <c r="E2515" t="s">
        <v>6357</v>
      </c>
    </row>
    <row r="2516" spans="1:5" x14ac:dyDescent="0.2">
      <c r="A2516" t="s">
        <v>6436</v>
      </c>
      <c r="B2516" t="s">
        <v>6437</v>
      </c>
      <c r="C2516" t="s">
        <v>6338</v>
      </c>
      <c r="D2516" t="s">
        <v>6338</v>
      </c>
      <c r="E2516" t="s">
        <v>6357</v>
      </c>
    </row>
    <row r="2517" spans="1:5" x14ac:dyDescent="0.2">
      <c r="A2517" t="s">
        <v>6438</v>
      </c>
      <c r="B2517" t="s">
        <v>6439</v>
      </c>
      <c r="C2517" t="s">
        <v>6338</v>
      </c>
      <c r="D2517" t="s">
        <v>6338</v>
      </c>
      <c r="E2517" t="s">
        <v>6339</v>
      </c>
    </row>
    <row r="2518" spans="1:5" x14ac:dyDescent="0.2">
      <c r="A2518" t="s">
        <v>6440</v>
      </c>
      <c r="B2518" t="s">
        <v>6441</v>
      </c>
      <c r="C2518" t="s">
        <v>6338</v>
      </c>
      <c r="D2518" t="s">
        <v>6338</v>
      </c>
      <c r="E2518" t="s">
        <v>6352</v>
      </c>
    </row>
    <row r="2519" spans="1:5" x14ac:dyDescent="0.2">
      <c r="A2519" t="s">
        <v>6442</v>
      </c>
      <c r="B2519" t="s">
        <v>6443</v>
      </c>
      <c r="C2519" t="s">
        <v>6338</v>
      </c>
      <c r="D2519" t="s">
        <v>6338</v>
      </c>
      <c r="E2519" t="s">
        <v>6339</v>
      </c>
    </row>
    <row r="2520" spans="1:5" x14ac:dyDescent="0.2">
      <c r="A2520" t="s">
        <v>6444</v>
      </c>
      <c r="B2520" t="s">
        <v>6445</v>
      </c>
      <c r="C2520" t="s">
        <v>6338</v>
      </c>
      <c r="D2520" t="s">
        <v>6338</v>
      </c>
      <c r="E2520" t="s">
        <v>6446</v>
      </c>
    </row>
    <row r="2521" spans="1:5" x14ac:dyDescent="0.2">
      <c r="A2521" t="s">
        <v>6447</v>
      </c>
      <c r="B2521" t="s">
        <v>6448</v>
      </c>
      <c r="C2521" t="s">
        <v>6338</v>
      </c>
      <c r="D2521" t="s">
        <v>6338</v>
      </c>
      <c r="E2521" t="s">
        <v>6449</v>
      </c>
    </row>
    <row r="2522" spans="1:5" x14ac:dyDescent="0.2">
      <c r="A2522" t="s">
        <v>6450</v>
      </c>
      <c r="B2522" t="s">
        <v>6451</v>
      </c>
      <c r="C2522" t="s">
        <v>6338</v>
      </c>
      <c r="D2522" t="s">
        <v>6338</v>
      </c>
      <c r="E2522" t="s">
        <v>6352</v>
      </c>
    </row>
    <row r="2523" spans="1:5" x14ac:dyDescent="0.2">
      <c r="A2523" t="s">
        <v>6452</v>
      </c>
      <c r="B2523" t="s">
        <v>6453</v>
      </c>
      <c r="C2523" t="s">
        <v>6338</v>
      </c>
      <c r="D2523" t="s">
        <v>6338</v>
      </c>
      <c r="E2523" t="s">
        <v>6454</v>
      </c>
    </row>
    <row r="2524" spans="1:5" x14ac:dyDescent="0.2">
      <c r="A2524" t="s">
        <v>6455</v>
      </c>
      <c r="B2524" t="s">
        <v>6456</v>
      </c>
      <c r="C2524" t="s">
        <v>6338</v>
      </c>
      <c r="D2524" t="s">
        <v>6338</v>
      </c>
      <c r="E2524" t="s">
        <v>6347</v>
      </c>
    </row>
    <row r="2525" spans="1:5" x14ac:dyDescent="0.2">
      <c r="A2525" t="s">
        <v>6457</v>
      </c>
      <c r="B2525" t="s">
        <v>6458</v>
      </c>
      <c r="C2525" t="s">
        <v>6338</v>
      </c>
      <c r="D2525" t="s">
        <v>6338</v>
      </c>
      <c r="E2525" t="s">
        <v>6339</v>
      </c>
    </row>
    <row r="2526" spans="1:5" x14ac:dyDescent="0.2">
      <c r="A2526" t="s">
        <v>6459</v>
      </c>
      <c r="B2526" t="s">
        <v>6460</v>
      </c>
      <c r="C2526" t="s">
        <v>6338</v>
      </c>
      <c r="D2526" t="s">
        <v>6338</v>
      </c>
      <c r="E2526" t="s">
        <v>6357</v>
      </c>
    </row>
    <row r="2527" spans="1:5" x14ac:dyDescent="0.2">
      <c r="A2527" t="s">
        <v>6461</v>
      </c>
      <c r="B2527" t="s">
        <v>6462</v>
      </c>
      <c r="C2527" t="s">
        <v>6338</v>
      </c>
      <c r="D2527" t="s">
        <v>6338</v>
      </c>
      <c r="E2527" t="s">
        <v>6352</v>
      </c>
    </row>
    <row r="2528" spans="1:5" x14ac:dyDescent="0.2">
      <c r="A2528" t="s">
        <v>6463</v>
      </c>
      <c r="B2528" t="s">
        <v>6464</v>
      </c>
      <c r="C2528" t="s">
        <v>6338</v>
      </c>
      <c r="D2528" t="s">
        <v>6338</v>
      </c>
      <c r="E2528" t="s">
        <v>6347</v>
      </c>
    </row>
    <row r="2529" spans="1:5" x14ac:dyDescent="0.2">
      <c r="A2529" t="s">
        <v>6465</v>
      </c>
      <c r="B2529" t="s">
        <v>6466</v>
      </c>
      <c r="C2529" t="s">
        <v>6338</v>
      </c>
      <c r="D2529" t="s">
        <v>6338</v>
      </c>
      <c r="E2529" t="s">
        <v>6347</v>
      </c>
    </row>
    <row r="2530" spans="1:5" x14ac:dyDescent="0.2">
      <c r="A2530" t="s">
        <v>6467</v>
      </c>
      <c r="B2530" t="s">
        <v>6468</v>
      </c>
      <c r="C2530" t="s">
        <v>6338</v>
      </c>
      <c r="D2530" t="s">
        <v>6338</v>
      </c>
      <c r="E2530" t="s">
        <v>6347</v>
      </c>
    </row>
    <row r="2531" spans="1:5" x14ac:dyDescent="0.2">
      <c r="A2531" t="s">
        <v>6469</v>
      </c>
      <c r="B2531" t="s">
        <v>6470</v>
      </c>
      <c r="C2531" t="s">
        <v>6338</v>
      </c>
      <c r="D2531" t="s">
        <v>6338</v>
      </c>
      <c r="E2531" t="s">
        <v>6471</v>
      </c>
    </row>
    <row r="2532" spans="1:5" x14ac:dyDescent="0.2">
      <c r="A2532" t="s">
        <v>6472</v>
      </c>
      <c r="B2532" t="s">
        <v>6473</v>
      </c>
      <c r="C2532" t="s">
        <v>6338</v>
      </c>
      <c r="D2532" t="s">
        <v>6338</v>
      </c>
      <c r="E2532" t="s">
        <v>6347</v>
      </c>
    </row>
    <row r="2533" spans="1:5" x14ac:dyDescent="0.2">
      <c r="A2533" t="s">
        <v>6474</v>
      </c>
      <c r="B2533" t="s">
        <v>6475</v>
      </c>
      <c r="C2533" t="s">
        <v>6338</v>
      </c>
      <c r="D2533" t="s">
        <v>6338</v>
      </c>
      <c r="E2533" t="s">
        <v>6347</v>
      </c>
    </row>
    <row r="2534" spans="1:5" x14ac:dyDescent="0.2">
      <c r="A2534" t="s">
        <v>6476</v>
      </c>
      <c r="B2534" t="s">
        <v>6477</v>
      </c>
      <c r="C2534" t="s">
        <v>6338</v>
      </c>
      <c r="D2534" t="s">
        <v>6338</v>
      </c>
      <c r="E2534" t="s">
        <v>6478</v>
      </c>
    </row>
    <row r="2535" spans="1:5" x14ac:dyDescent="0.2">
      <c r="A2535" t="s">
        <v>6479</v>
      </c>
      <c r="B2535" t="s">
        <v>6480</v>
      </c>
      <c r="C2535" t="s">
        <v>6338</v>
      </c>
      <c r="D2535" t="s">
        <v>6338</v>
      </c>
      <c r="E2535" t="s">
        <v>6481</v>
      </c>
    </row>
    <row r="2536" spans="1:5" x14ac:dyDescent="0.2">
      <c r="A2536" t="s">
        <v>6482</v>
      </c>
      <c r="B2536" t="s">
        <v>6483</v>
      </c>
      <c r="C2536" t="s">
        <v>6338</v>
      </c>
      <c r="D2536" t="s">
        <v>6338</v>
      </c>
      <c r="E2536" t="s">
        <v>6339</v>
      </c>
    </row>
    <row r="2537" spans="1:5" x14ac:dyDescent="0.2">
      <c r="A2537" t="s">
        <v>6484</v>
      </c>
      <c r="B2537" t="s">
        <v>6485</v>
      </c>
      <c r="C2537" t="s">
        <v>6338</v>
      </c>
      <c r="D2537" t="s">
        <v>6338</v>
      </c>
      <c r="E2537" t="s">
        <v>6486</v>
      </c>
    </row>
    <row r="2538" spans="1:5" x14ac:dyDescent="0.2">
      <c r="A2538" t="s">
        <v>6487</v>
      </c>
      <c r="B2538" t="s">
        <v>6488</v>
      </c>
      <c r="C2538" t="s">
        <v>6338</v>
      </c>
      <c r="D2538" t="s">
        <v>6338</v>
      </c>
      <c r="E2538" t="s">
        <v>6489</v>
      </c>
    </row>
    <row r="2539" spans="1:5" x14ac:dyDescent="0.2">
      <c r="A2539" t="s">
        <v>6490</v>
      </c>
      <c r="B2539" t="s">
        <v>6491</v>
      </c>
      <c r="C2539" t="s">
        <v>6338</v>
      </c>
      <c r="D2539" t="s">
        <v>6338</v>
      </c>
      <c r="E2539" t="s">
        <v>6492</v>
      </c>
    </row>
    <row r="2540" spans="1:5" x14ac:dyDescent="0.2">
      <c r="A2540" t="s">
        <v>6493</v>
      </c>
      <c r="B2540" t="s">
        <v>6494</v>
      </c>
      <c r="C2540" t="s">
        <v>6338</v>
      </c>
      <c r="D2540" t="s">
        <v>6338</v>
      </c>
      <c r="E2540" t="s">
        <v>6357</v>
      </c>
    </row>
    <row r="2541" spans="1:5" x14ac:dyDescent="0.2">
      <c r="A2541" t="s">
        <v>6495</v>
      </c>
      <c r="B2541" t="s">
        <v>6496</v>
      </c>
      <c r="C2541" t="s">
        <v>6338</v>
      </c>
      <c r="D2541" t="s">
        <v>6338</v>
      </c>
      <c r="E2541" t="s">
        <v>6347</v>
      </c>
    </row>
    <row r="2542" spans="1:5" x14ac:dyDescent="0.2">
      <c r="A2542" t="s">
        <v>6497</v>
      </c>
      <c r="B2542" t="s">
        <v>6498</v>
      </c>
      <c r="C2542" t="s">
        <v>6338</v>
      </c>
      <c r="D2542" t="s">
        <v>6338</v>
      </c>
      <c r="E2542" t="s">
        <v>6499</v>
      </c>
    </row>
    <row r="2543" spans="1:5" x14ac:dyDescent="0.2">
      <c r="A2543" t="s">
        <v>6500</v>
      </c>
      <c r="B2543" t="s">
        <v>6501</v>
      </c>
      <c r="C2543" t="s">
        <v>6338</v>
      </c>
      <c r="D2543" t="s">
        <v>6338</v>
      </c>
      <c r="E2543" t="s">
        <v>6352</v>
      </c>
    </row>
    <row r="2544" spans="1:5" x14ac:dyDescent="0.2">
      <c r="A2544" t="s">
        <v>6502</v>
      </c>
      <c r="B2544" t="s">
        <v>6503</v>
      </c>
      <c r="C2544" t="s">
        <v>6338</v>
      </c>
      <c r="D2544" t="s">
        <v>6338</v>
      </c>
      <c r="E2544" t="s">
        <v>6504</v>
      </c>
    </row>
    <row r="2545" spans="1:5" x14ac:dyDescent="0.2">
      <c r="A2545" t="s">
        <v>6505</v>
      </c>
      <c r="B2545" t="s">
        <v>6506</v>
      </c>
      <c r="C2545" t="s">
        <v>6338</v>
      </c>
      <c r="D2545" t="s">
        <v>6338</v>
      </c>
      <c r="E2545" t="s">
        <v>6507</v>
      </c>
    </row>
    <row r="2546" spans="1:5" x14ac:dyDescent="0.2">
      <c r="A2546" t="s">
        <v>6508</v>
      </c>
      <c r="B2546" t="s">
        <v>6509</v>
      </c>
      <c r="C2546" t="s">
        <v>6338</v>
      </c>
      <c r="D2546" t="s">
        <v>6338</v>
      </c>
      <c r="E2546" t="s">
        <v>6347</v>
      </c>
    </row>
    <row r="2547" spans="1:5" x14ac:dyDescent="0.2">
      <c r="A2547" t="s">
        <v>6510</v>
      </c>
      <c r="B2547" t="s">
        <v>6511</v>
      </c>
      <c r="C2547" t="s">
        <v>6338</v>
      </c>
      <c r="D2547" t="s">
        <v>6338</v>
      </c>
      <c r="E2547" t="s">
        <v>6499</v>
      </c>
    </row>
    <row r="2548" spans="1:5" x14ac:dyDescent="0.2">
      <c r="A2548" t="s">
        <v>6512</v>
      </c>
      <c r="B2548" t="s">
        <v>6513</v>
      </c>
      <c r="C2548" t="s">
        <v>6338</v>
      </c>
      <c r="D2548" t="s">
        <v>6338</v>
      </c>
      <c r="E2548" t="s">
        <v>6347</v>
      </c>
    </row>
    <row r="2549" spans="1:5" x14ac:dyDescent="0.2">
      <c r="A2549" t="s">
        <v>6514</v>
      </c>
      <c r="B2549" t="s">
        <v>6515</v>
      </c>
      <c r="C2549" t="s">
        <v>6338</v>
      </c>
      <c r="D2549" t="s">
        <v>6338</v>
      </c>
      <c r="E2549" t="s">
        <v>6347</v>
      </c>
    </row>
    <row r="2550" spans="1:5" x14ac:dyDescent="0.2">
      <c r="A2550" t="s">
        <v>6516</v>
      </c>
      <c r="B2550" t="s">
        <v>6517</v>
      </c>
      <c r="C2550" t="s">
        <v>6338</v>
      </c>
      <c r="D2550" t="s">
        <v>6338</v>
      </c>
      <c r="E2550" t="s">
        <v>6347</v>
      </c>
    </row>
    <row r="2551" spans="1:5" x14ac:dyDescent="0.2">
      <c r="A2551" t="s">
        <v>6518</v>
      </c>
      <c r="B2551" t="s">
        <v>6519</v>
      </c>
      <c r="C2551" t="s">
        <v>6338</v>
      </c>
      <c r="D2551" t="s">
        <v>6338</v>
      </c>
      <c r="E2551" t="s">
        <v>6347</v>
      </c>
    </row>
    <row r="2552" spans="1:5" x14ac:dyDescent="0.2">
      <c r="A2552" t="s">
        <v>6520</v>
      </c>
      <c r="B2552" t="s">
        <v>6521</v>
      </c>
      <c r="C2552" t="s">
        <v>6338</v>
      </c>
      <c r="D2552" t="s">
        <v>6338</v>
      </c>
      <c r="E2552" t="s">
        <v>6522</v>
      </c>
    </row>
    <row r="2553" spans="1:5" x14ac:dyDescent="0.2">
      <c r="A2553" t="s">
        <v>6523</v>
      </c>
      <c r="B2553" t="s">
        <v>6524</v>
      </c>
      <c r="C2553" t="s">
        <v>6338</v>
      </c>
      <c r="D2553" t="s">
        <v>6338</v>
      </c>
      <c r="E2553" t="s">
        <v>6525</v>
      </c>
    </row>
    <row r="2554" spans="1:5" x14ac:dyDescent="0.2">
      <c r="A2554" t="s">
        <v>6526</v>
      </c>
      <c r="B2554" t="s">
        <v>6527</v>
      </c>
      <c r="C2554" t="s">
        <v>6338</v>
      </c>
      <c r="D2554" t="s">
        <v>6338</v>
      </c>
      <c r="E2554" t="s">
        <v>6347</v>
      </c>
    </row>
    <row r="2555" spans="1:5" x14ac:dyDescent="0.2">
      <c r="A2555" t="s">
        <v>6528</v>
      </c>
      <c r="B2555" t="s">
        <v>6529</v>
      </c>
      <c r="C2555" t="s">
        <v>6338</v>
      </c>
      <c r="D2555" t="s">
        <v>6338</v>
      </c>
      <c r="E2555" t="s">
        <v>6379</v>
      </c>
    </row>
    <row r="2556" spans="1:5" x14ac:dyDescent="0.2">
      <c r="A2556" t="s">
        <v>6530</v>
      </c>
      <c r="B2556" t="s">
        <v>6531</v>
      </c>
      <c r="C2556" t="s">
        <v>6338</v>
      </c>
      <c r="D2556" t="s">
        <v>6338</v>
      </c>
      <c r="E2556" t="s">
        <v>6347</v>
      </c>
    </row>
    <row r="2557" spans="1:5" x14ac:dyDescent="0.2">
      <c r="A2557" t="s">
        <v>6532</v>
      </c>
      <c r="B2557" t="s">
        <v>6533</v>
      </c>
      <c r="C2557" t="s">
        <v>6338</v>
      </c>
      <c r="D2557" t="s">
        <v>6338</v>
      </c>
      <c r="E2557" t="s">
        <v>6339</v>
      </c>
    </row>
    <row r="2558" spans="1:5" x14ac:dyDescent="0.2">
      <c r="A2558" t="s">
        <v>6534</v>
      </c>
      <c r="B2558" t="s">
        <v>6535</v>
      </c>
      <c r="C2558" t="s">
        <v>6338</v>
      </c>
      <c r="D2558" t="s">
        <v>6338</v>
      </c>
      <c r="E2558" t="s">
        <v>6536</v>
      </c>
    </row>
    <row r="2559" spans="1:5" x14ac:dyDescent="0.2">
      <c r="A2559" t="s">
        <v>6537</v>
      </c>
      <c r="B2559" t="s">
        <v>6538</v>
      </c>
      <c r="C2559" t="s">
        <v>6338</v>
      </c>
      <c r="D2559" t="s">
        <v>6338</v>
      </c>
      <c r="E2559" t="s">
        <v>6539</v>
      </c>
    </row>
    <row r="2560" spans="1:5" x14ac:dyDescent="0.2">
      <c r="A2560" t="s">
        <v>6540</v>
      </c>
      <c r="B2560" t="s">
        <v>6541</v>
      </c>
      <c r="C2560" t="s">
        <v>6338</v>
      </c>
      <c r="D2560" t="s">
        <v>6338</v>
      </c>
      <c r="E2560" t="s">
        <v>6352</v>
      </c>
    </row>
    <row r="2561" spans="1:5" x14ac:dyDescent="0.2">
      <c r="A2561" t="s">
        <v>6542</v>
      </c>
      <c r="B2561" t="s">
        <v>6543</v>
      </c>
      <c r="C2561" t="s">
        <v>6338</v>
      </c>
      <c r="D2561" t="s">
        <v>6338</v>
      </c>
      <c r="E2561" t="s">
        <v>6352</v>
      </c>
    </row>
    <row r="2562" spans="1:5" x14ac:dyDescent="0.2">
      <c r="A2562" t="s">
        <v>6544</v>
      </c>
      <c r="B2562" t="s">
        <v>6545</v>
      </c>
      <c r="C2562" t="s">
        <v>6338</v>
      </c>
      <c r="D2562" t="s">
        <v>6338</v>
      </c>
      <c r="E2562" t="s">
        <v>6546</v>
      </c>
    </row>
    <row r="2563" spans="1:5" x14ac:dyDescent="0.2">
      <c r="A2563" t="s">
        <v>6547</v>
      </c>
      <c r="B2563" t="s">
        <v>6548</v>
      </c>
      <c r="C2563" t="s">
        <v>6338</v>
      </c>
      <c r="D2563" t="s">
        <v>6338</v>
      </c>
      <c r="E2563" t="s">
        <v>6347</v>
      </c>
    </row>
    <row r="2564" spans="1:5" x14ac:dyDescent="0.2">
      <c r="A2564" t="s">
        <v>6549</v>
      </c>
      <c r="B2564" t="s">
        <v>6550</v>
      </c>
      <c r="C2564" t="s">
        <v>6338</v>
      </c>
      <c r="D2564" t="s">
        <v>6338</v>
      </c>
      <c r="E2564" t="s">
        <v>6551</v>
      </c>
    </row>
    <row r="2565" spans="1:5" x14ac:dyDescent="0.2">
      <c r="A2565" t="s">
        <v>6552</v>
      </c>
      <c r="B2565" t="s">
        <v>6553</v>
      </c>
      <c r="C2565" t="s">
        <v>6338</v>
      </c>
      <c r="D2565" t="s">
        <v>6338</v>
      </c>
      <c r="E2565" t="s">
        <v>6357</v>
      </c>
    </row>
    <row r="2566" spans="1:5" x14ac:dyDescent="0.2">
      <c r="A2566" t="s">
        <v>6554</v>
      </c>
      <c r="B2566" t="s">
        <v>6555</v>
      </c>
      <c r="C2566" t="s">
        <v>6338</v>
      </c>
      <c r="D2566" t="s">
        <v>6338</v>
      </c>
      <c r="E2566" t="s">
        <v>6556</v>
      </c>
    </row>
    <row r="2567" spans="1:5" x14ac:dyDescent="0.2">
      <c r="A2567" t="s">
        <v>6557</v>
      </c>
      <c r="B2567" t="s">
        <v>6558</v>
      </c>
      <c r="C2567" t="s">
        <v>6338</v>
      </c>
      <c r="D2567" t="s">
        <v>6338</v>
      </c>
      <c r="E2567" t="s">
        <v>6559</v>
      </c>
    </row>
    <row r="2568" spans="1:5" x14ac:dyDescent="0.2">
      <c r="A2568" t="s">
        <v>6560</v>
      </c>
      <c r="B2568" t="s">
        <v>6561</v>
      </c>
      <c r="C2568" t="s">
        <v>6338</v>
      </c>
      <c r="D2568" t="s">
        <v>6338</v>
      </c>
      <c r="E2568" t="s">
        <v>6562</v>
      </c>
    </row>
    <row r="2569" spans="1:5" x14ac:dyDescent="0.2">
      <c r="A2569" t="s">
        <v>6563</v>
      </c>
      <c r="B2569" t="s">
        <v>6564</v>
      </c>
      <c r="C2569" t="s">
        <v>6338</v>
      </c>
      <c r="D2569" t="s">
        <v>6338</v>
      </c>
      <c r="E2569" t="s">
        <v>6339</v>
      </c>
    </row>
    <row r="2570" spans="1:5" x14ac:dyDescent="0.2">
      <c r="A2570" t="s">
        <v>6565</v>
      </c>
      <c r="B2570" t="s">
        <v>6566</v>
      </c>
      <c r="C2570" t="s">
        <v>6338</v>
      </c>
      <c r="D2570" t="s">
        <v>6338</v>
      </c>
      <c r="E2570" t="s">
        <v>6357</v>
      </c>
    </row>
    <row r="2571" spans="1:5" x14ac:dyDescent="0.2">
      <c r="A2571" t="s">
        <v>6567</v>
      </c>
      <c r="B2571" t="s">
        <v>6568</v>
      </c>
      <c r="C2571" t="s">
        <v>6338</v>
      </c>
      <c r="D2571" t="s">
        <v>6338</v>
      </c>
      <c r="E2571" t="s">
        <v>6569</v>
      </c>
    </row>
    <row r="2572" spans="1:5" x14ac:dyDescent="0.2">
      <c r="A2572" t="s">
        <v>6570</v>
      </c>
      <c r="B2572" t="s">
        <v>6571</v>
      </c>
      <c r="C2572" t="s">
        <v>6338</v>
      </c>
      <c r="D2572" t="s">
        <v>6338</v>
      </c>
      <c r="E2572" t="s">
        <v>6572</v>
      </c>
    </row>
    <row r="2573" spans="1:5" x14ac:dyDescent="0.2">
      <c r="A2573" t="s">
        <v>6573</v>
      </c>
      <c r="B2573" t="s">
        <v>6574</v>
      </c>
      <c r="C2573" t="s">
        <v>6338</v>
      </c>
      <c r="D2573" t="s">
        <v>6338</v>
      </c>
      <c r="E2573" t="s">
        <v>6339</v>
      </c>
    </row>
    <row r="2574" spans="1:5" x14ac:dyDescent="0.2">
      <c r="A2574" t="s">
        <v>6575</v>
      </c>
      <c r="B2574" t="s">
        <v>6576</v>
      </c>
      <c r="C2574" t="s">
        <v>6338</v>
      </c>
      <c r="D2574" t="s">
        <v>6338</v>
      </c>
      <c r="E2574" t="s">
        <v>6499</v>
      </c>
    </row>
    <row r="2575" spans="1:5" x14ac:dyDescent="0.2">
      <c r="A2575" t="s">
        <v>6577</v>
      </c>
      <c r="B2575" t="s">
        <v>6578</v>
      </c>
      <c r="C2575" t="s">
        <v>6338</v>
      </c>
      <c r="D2575" t="s">
        <v>6338</v>
      </c>
      <c r="E2575" t="s">
        <v>6357</v>
      </c>
    </row>
    <row r="2576" spans="1:5" x14ac:dyDescent="0.2">
      <c r="A2576" t="s">
        <v>6579</v>
      </c>
      <c r="B2576" t="s">
        <v>6580</v>
      </c>
      <c r="C2576" t="s">
        <v>6338</v>
      </c>
      <c r="D2576" t="s">
        <v>6338</v>
      </c>
      <c r="E2576" t="s">
        <v>6581</v>
      </c>
    </row>
    <row r="2577" spans="1:5" x14ac:dyDescent="0.2">
      <c r="A2577" t="s">
        <v>6582</v>
      </c>
      <c r="B2577" t="s">
        <v>6583</v>
      </c>
      <c r="C2577" t="s">
        <v>6338</v>
      </c>
      <c r="D2577" t="s">
        <v>6338</v>
      </c>
      <c r="E2577" t="s">
        <v>6352</v>
      </c>
    </row>
    <row r="2578" spans="1:5" x14ac:dyDescent="0.2">
      <c r="A2578" t="s">
        <v>6584</v>
      </c>
      <c r="B2578" t="s">
        <v>6585</v>
      </c>
      <c r="C2578" t="s">
        <v>6338</v>
      </c>
      <c r="D2578" t="s">
        <v>6338</v>
      </c>
      <c r="E2578" t="s">
        <v>6499</v>
      </c>
    </row>
    <row r="2579" spans="1:5" x14ac:dyDescent="0.2">
      <c r="A2579" t="s">
        <v>6586</v>
      </c>
      <c r="B2579" t="s">
        <v>6587</v>
      </c>
      <c r="C2579" t="s">
        <v>6338</v>
      </c>
      <c r="D2579" t="s">
        <v>6338</v>
      </c>
      <c r="E2579" t="s">
        <v>6588</v>
      </c>
    </row>
    <row r="2580" spans="1:5" x14ac:dyDescent="0.2">
      <c r="A2580" t="s">
        <v>6589</v>
      </c>
      <c r="B2580" t="s">
        <v>6590</v>
      </c>
      <c r="C2580" t="s">
        <v>6338</v>
      </c>
      <c r="D2580" t="s">
        <v>6338</v>
      </c>
      <c r="E2580" t="s">
        <v>6347</v>
      </c>
    </row>
    <row r="2581" spans="1:5" x14ac:dyDescent="0.2">
      <c r="A2581" t="s">
        <v>6591</v>
      </c>
      <c r="B2581" t="s">
        <v>6592</v>
      </c>
      <c r="C2581" t="s">
        <v>6338</v>
      </c>
      <c r="D2581" t="s">
        <v>6338</v>
      </c>
      <c r="E2581" t="s">
        <v>6593</v>
      </c>
    </row>
    <row r="2582" spans="1:5" x14ac:dyDescent="0.2">
      <c r="A2582" t="s">
        <v>6594</v>
      </c>
      <c r="B2582" t="s">
        <v>6595</v>
      </c>
      <c r="C2582" t="s">
        <v>6338</v>
      </c>
      <c r="D2582" t="s">
        <v>6338</v>
      </c>
      <c r="E2582" t="s">
        <v>6596</v>
      </c>
    </row>
    <row r="2583" spans="1:5" x14ac:dyDescent="0.2">
      <c r="A2583" t="s">
        <v>6597</v>
      </c>
      <c r="B2583" t="s">
        <v>6598</v>
      </c>
      <c r="C2583" t="s">
        <v>6338</v>
      </c>
      <c r="D2583" t="s">
        <v>6338</v>
      </c>
      <c r="E2583" t="s">
        <v>6357</v>
      </c>
    </row>
    <row r="2584" spans="1:5" x14ac:dyDescent="0.2">
      <c r="A2584" t="s">
        <v>6599</v>
      </c>
      <c r="B2584" t="s">
        <v>6600</v>
      </c>
      <c r="C2584" t="s">
        <v>6338</v>
      </c>
      <c r="D2584" t="s">
        <v>6338</v>
      </c>
      <c r="E2584" t="s">
        <v>6357</v>
      </c>
    </row>
    <row r="2585" spans="1:5" x14ac:dyDescent="0.2">
      <c r="A2585" t="s">
        <v>6601</v>
      </c>
      <c r="B2585" t="s">
        <v>6602</v>
      </c>
      <c r="C2585" t="s">
        <v>6338</v>
      </c>
      <c r="D2585" t="e">
        <v>#N/A</v>
      </c>
      <c r="E2585" t="e">
        <v>#N/A</v>
      </c>
    </row>
    <row r="2586" spans="1:5" x14ac:dyDescent="0.2">
      <c r="A2586" t="s">
        <v>6603</v>
      </c>
      <c r="B2586" t="s">
        <v>6604</v>
      </c>
      <c r="C2586" t="s">
        <v>6605</v>
      </c>
      <c r="D2586" t="s">
        <v>6605</v>
      </c>
      <c r="E2586" t="s">
        <v>6606</v>
      </c>
    </row>
    <row r="2587" spans="1:5" x14ac:dyDescent="0.2">
      <c r="A2587" t="s">
        <v>6607</v>
      </c>
      <c r="B2587" t="s">
        <v>6608</v>
      </c>
      <c r="C2587" t="s">
        <v>6605</v>
      </c>
      <c r="D2587" t="s">
        <v>6605</v>
      </c>
      <c r="E2587" t="s">
        <v>6609</v>
      </c>
    </row>
    <row r="2588" spans="1:5" x14ac:dyDescent="0.2">
      <c r="A2588" t="s">
        <v>6610</v>
      </c>
      <c r="B2588" t="s">
        <v>6611</v>
      </c>
      <c r="C2588" t="s">
        <v>6605</v>
      </c>
      <c r="D2588" t="s">
        <v>6605</v>
      </c>
      <c r="E2588" t="s">
        <v>6612</v>
      </c>
    </row>
    <row r="2589" spans="1:5" x14ac:dyDescent="0.2">
      <c r="A2589" t="s">
        <v>6613</v>
      </c>
      <c r="B2589" t="s">
        <v>6614</v>
      </c>
      <c r="C2589" t="s">
        <v>6605</v>
      </c>
      <c r="D2589" t="s">
        <v>6605</v>
      </c>
      <c r="E2589" t="s">
        <v>6615</v>
      </c>
    </row>
    <row r="2590" spans="1:5" x14ac:dyDescent="0.2">
      <c r="A2590" t="s">
        <v>6616</v>
      </c>
      <c r="B2590" t="s">
        <v>6617</v>
      </c>
      <c r="C2590" t="s">
        <v>6605</v>
      </c>
      <c r="D2590" t="s">
        <v>6605</v>
      </c>
      <c r="E2590" t="s">
        <v>6618</v>
      </c>
    </row>
    <row r="2591" spans="1:5" x14ac:dyDescent="0.2">
      <c r="A2591" t="s">
        <v>6619</v>
      </c>
      <c r="B2591" t="s">
        <v>6620</v>
      </c>
      <c r="C2591" t="s">
        <v>6605</v>
      </c>
      <c r="D2591" t="s">
        <v>6605</v>
      </c>
      <c r="E2591" t="s">
        <v>6621</v>
      </c>
    </row>
    <row r="2592" spans="1:5" x14ac:dyDescent="0.2">
      <c r="A2592" t="s">
        <v>6622</v>
      </c>
      <c r="B2592" t="s">
        <v>6623</v>
      </c>
      <c r="C2592" t="s">
        <v>6605</v>
      </c>
      <c r="D2592" t="s">
        <v>6605</v>
      </c>
      <c r="E2592" t="s">
        <v>6621</v>
      </c>
    </row>
    <row r="2593" spans="1:5" x14ac:dyDescent="0.2">
      <c r="A2593" t="s">
        <v>6624</v>
      </c>
      <c r="B2593" t="s">
        <v>6625</v>
      </c>
      <c r="C2593" t="s">
        <v>6605</v>
      </c>
      <c r="D2593" t="s">
        <v>6605</v>
      </c>
      <c r="E2593" t="s">
        <v>6621</v>
      </c>
    </row>
    <row r="2594" spans="1:5" x14ac:dyDescent="0.2">
      <c r="A2594" t="s">
        <v>6626</v>
      </c>
      <c r="B2594" t="s">
        <v>6627</v>
      </c>
      <c r="C2594" t="s">
        <v>6605</v>
      </c>
      <c r="D2594" t="s">
        <v>6605</v>
      </c>
      <c r="E2594" t="s">
        <v>6628</v>
      </c>
    </row>
    <row r="2595" spans="1:5" x14ac:dyDescent="0.2">
      <c r="A2595" t="s">
        <v>6629</v>
      </c>
      <c r="B2595" t="s">
        <v>6630</v>
      </c>
      <c r="C2595" t="s">
        <v>6605</v>
      </c>
      <c r="D2595" t="s">
        <v>6605</v>
      </c>
      <c r="E2595" t="s">
        <v>6631</v>
      </c>
    </row>
    <row r="2596" spans="1:5" x14ac:dyDescent="0.2">
      <c r="A2596" t="s">
        <v>6632</v>
      </c>
      <c r="B2596" t="s">
        <v>6633</v>
      </c>
      <c r="C2596" t="s">
        <v>6605</v>
      </c>
      <c r="D2596" t="s">
        <v>6605</v>
      </c>
      <c r="E2596" t="s">
        <v>6634</v>
      </c>
    </row>
    <row r="2597" spans="1:5" x14ac:dyDescent="0.2">
      <c r="A2597" t="s">
        <v>6635</v>
      </c>
      <c r="B2597" t="s">
        <v>6636</v>
      </c>
      <c r="C2597" t="s">
        <v>6605</v>
      </c>
      <c r="D2597" t="s">
        <v>6605</v>
      </c>
      <c r="E2597" t="s">
        <v>6637</v>
      </c>
    </row>
    <row r="2598" spans="1:5" x14ac:dyDescent="0.2">
      <c r="A2598" t="s">
        <v>6638</v>
      </c>
      <c r="B2598" t="s">
        <v>6639</v>
      </c>
      <c r="C2598" t="s">
        <v>6605</v>
      </c>
      <c r="D2598" t="s">
        <v>6605</v>
      </c>
      <c r="E2598" t="s">
        <v>6640</v>
      </c>
    </row>
    <row r="2599" spans="1:5" x14ac:dyDescent="0.2">
      <c r="A2599" t="s">
        <v>6641</v>
      </c>
      <c r="B2599" t="s">
        <v>6642</v>
      </c>
      <c r="C2599" t="s">
        <v>6605</v>
      </c>
      <c r="D2599" t="s">
        <v>6605</v>
      </c>
      <c r="E2599" t="s">
        <v>6621</v>
      </c>
    </row>
    <row r="2600" spans="1:5" x14ac:dyDescent="0.2">
      <c r="A2600" t="s">
        <v>6643</v>
      </c>
      <c r="B2600" t="s">
        <v>6644</v>
      </c>
      <c r="C2600" t="s">
        <v>6605</v>
      </c>
      <c r="D2600" t="s">
        <v>6605</v>
      </c>
      <c r="E2600" t="s">
        <v>6621</v>
      </c>
    </row>
    <row r="2601" spans="1:5" x14ac:dyDescent="0.2">
      <c r="A2601" t="s">
        <v>6645</v>
      </c>
      <c r="B2601" t="s">
        <v>6646</v>
      </c>
      <c r="C2601" t="s">
        <v>6605</v>
      </c>
      <c r="D2601" t="s">
        <v>6605</v>
      </c>
      <c r="E2601" t="s">
        <v>6647</v>
      </c>
    </row>
    <row r="2602" spans="1:5" x14ac:dyDescent="0.2">
      <c r="A2602" t="s">
        <v>6648</v>
      </c>
      <c r="B2602" t="s">
        <v>6649</v>
      </c>
      <c r="C2602" t="s">
        <v>6605</v>
      </c>
      <c r="D2602" t="s">
        <v>6605</v>
      </c>
      <c r="E2602" t="s">
        <v>6647</v>
      </c>
    </row>
    <row r="2603" spans="1:5" x14ac:dyDescent="0.2">
      <c r="A2603" t="s">
        <v>6650</v>
      </c>
      <c r="B2603" t="s">
        <v>6651</v>
      </c>
      <c r="C2603" t="s">
        <v>6605</v>
      </c>
      <c r="D2603" t="s">
        <v>6605</v>
      </c>
      <c r="E2603" t="s">
        <v>6652</v>
      </c>
    </row>
    <row r="2604" spans="1:5" x14ac:dyDescent="0.2">
      <c r="A2604" t="s">
        <v>6653</v>
      </c>
      <c r="B2604" t="s">
        <v>6654</v>
      </c>
      <c r="C2604" t="s">
        <v>6605</v>
      </c>
      <c r="D2604" t="s">
        <v>6605</v>
      </c>
      <c r="E2604" t="s">
        <v>6621</v>
      </c>
    </row>
    <row r="2605" spans="1:5" x14ac:dyDescent="0.2">
      <c r="A2605" t="s">
        <v>6655</v>
      </c>
      <c r="B2605" t="s">
        <v>6656</v>
      </c>
      <c r="C2605" t="s">
        <v>6605</v>
      </c>
      <c r="D2605" t="s">
        <v>6605</v>
      </c>
      <c r="E2605" t="s">
        <v>6647</v>
      </c>
    </row>
    <row r="2606" spans="1:5" x14ac:dyDescent="0.2">
      <c r="A2606" t="s">
        <v>6657</v>
      </c>
      <c r="B2606" t="s">
        <v>6658</v>
      </c>
      <c r="C2606" t="s">
        <v>6605</v>
      </c>
      <c r="D2606" t="s">
        <v>6605</v>
      </c>
      <c r="E2606" t="s">
        <v>6659</v>
      </c>
    </row>
    <row r="2607" spans="1:5" x14ac:dyDescent="0.2">
      <c r="A2607" t="s">
        <v>6660</v>
      </c>
      <c r="B2607" t="s">
        <v>6661</v>
      </c>
      <c r="C2607" t="s">
        <v>6605</v>
      </c>
      <c r="D2607" t="s">
        <v>6605</v>
      </c>
      <c r="E2607" t="s">
        <v>6662</v>
      </c>
    </row>
    <row r="2608" spans="1:5" x14ac:dyDescent="0.2">
      <c r="A2608" t="s">
        <v>6663</v>
      </c>
      <c r="B2608" t="s">
        <v>6664</v>
      </c>
      <c r="C2608" t="s">
        <v>6605</v>
      </c>
      <c r="D2608" t="s">
        <v>6605</v>
      </c>
      <c r="E2608" t="s">
        <v>6621</v>
      </c>
    </row>
    <row r="2609" spans="1:5" x14ac:dyDescent="0.2">
      <c r="A2609" t="s">
        <v>6665</v>
      </c>
      <c r="B2609" t="s">
        <v>6666</v>
      </c>
      <c r="C2609" t="s">
        <v>6605</v>
      </c>
      <c r="D2609" t="s">
        <v>6605</v>
      </c>
      <c r="E2609" t="s">
        <v>6667</v>
      </c>
    </row>
    <row r="2610" spans="1:5" x14ac:dyDescent="0.2">
      <c r="A2610" t="s">
        <v>6668</v>
      </c>
      <c r="B2610" t="s">
        <v>6669</v>
      </c>
      <c r="C2610" t="s">
        <v>6605</v>
      </c>
      <c r="D2610" t="s">
        <v>6605</v>
      </c>
      <c r="E2610" t="s">
        <v>6670</v>
      </c>
    </row>
    <row r="2611" spans="1:5" x14ac:dyDescent="0.2">
      <c r="A2611" t="s">
        <v>6671</v>
      </c>
      <c r="B2611" t="s">
        <v>6672</v>
      </c>
      <c r="C2611" t="s">
        <v>6605</v>
      </c>
      <c r="D2611" t="s">
        <v>6605</v>
      </c>
      <c r="E2611" t="s">
        <v>6647</v>
      </c>
    </row>
    <row r="2612" spans="1:5" x14ac:dyDescent="0.2">
      <c r="A2612" t="s">
        <v>6673</v>
      </c>
      <c r="B2612" t="s">
        <v>6674</v>
      </c>
      <c r="C2612" t="s">
        <v>6605</v>
      </c>
      <c r="D2612" t="s">
        <v>6605</v>
      </c>
      <c r="E2612" t="s">
        <v>6647</v>
      </c>
    </row>
    <row r="2613" spans="1:5" x14ac:dyDescent="0.2">
      <c r="A2613" t="s">
        <v>6675</v>
      </c>
      <c r="B2613" t="s">
        <v>6676</v>
      </c>
      <c r="C2613" t="s">
        <v>6605</v>
      </c>
      <c r="D2613" t="s">
        <v>6605</v>
      </c>
      <c r="E2613" t="s">
        <v>6677</v>
      </c>
    </row>
    <row r="2614" spans="1:5" x14ac:dyDescent="0.2">
      <c r="A2614" t="s">
        <v>6678</v>
      </c>
      <c r="B2614" t="s">
        <v>6679</v>
      </c>
      <c r="C2614" t="s">
        <v>6605</v>
      </c>
      <c r="D2614" t="s">
        <v>6605</v>
      </c>
      <c r="E2614" t="s">
        <v>6680</v>
      </c>
    </row>
    <row r="2615" spans="1:5" x14ac:dyDescent="0.2">
      <c r="A2615" t="s">
        <v>6681</v>
      </c>
      <c r="B2615" t="s">
        <v>6682</v>
      </c>
      <c r="C2615" t="s">
        <v>6605</v>
      </c>
      <c r="D2615" t="s">
        <v>6605</v>
      </c>
      <c r="E2615" t="s">
        <v>6683</v>
      </c>
    </row>
    <row r="2616" spans="1:5" x14ac:dyDescent="0.2">
      <c r="A2616" t="s">
        <v>6684</v>
      </c>
      <c r="B2616" t="s">
        <v>6685</v>
      </c>
      <c r="C2616" t="s">
        <v>6605</v>
      </c>
      <c r="D2616" t="s">
        <v>6605</v>
      </c>
      <c r="E2616" t="s">
        <v>6621</v>
      </c>
    </row>
    <row r="2617" spans="1:5" x14ac:dyDescent="0.2">
      <c r="A2617" t="s">
        <v>6686</v>
      </c>
      <c r="B2617" t="s">
        <v>6687</v>
      </c>
      <c r="C2617" t="s">
        <v>6605</v>
      </c>
      <c r="D2617" t="s">
        <v>6605</v>
      </c>
      <c r="E2617" t="s">
        <v>6667</v>
      </c>
    </row>
    <row r="2618" spans="1:5" x14ac:dyDescent="0.2">
      <c r="A2618" t="s">
        <v>6688</v>
      </c>
      <c r="B2618" t="s">
        <v>6689</v>
      </c>
      <c r="C2618" t="s">
        <v>6605</v>
      </c>
      <c r="D2618" t="s">
        <v>6605</v>
      </c>
      <c r="E2618" t="s">
        <v>6690</v>
      </c>
    </row>
    <row r="2619" spans="1:5" x14ac:dyDescent="0.2">
      <c r="A2619" t="s">
        <v>6691</v>
      </c>
      <c r="B2619" t="s">
        <v>6692</v>
      </c>
      <c r="C2619" t="s">
        <v>6605</v>
      </c>
      <c r="D2619" t="s">
        <v>6605</v>
      </c>
      <c r="E2619" t="s">
        <v>6667</v>
      </c>
    </row>
    <row r="2620" spans="1:5" x14ac:dyDescent="0.2">
      <c r="A2620" t="s">
        <v>6693</v>
      </c>
      <c r="B2620" t="s">
        <v>6694</v>
      </c>
      <c r="C2620" t="s">
        <v>6605</v>
      </c>
      <c r="D2620" t="s">
        <v>6605</v>
      </c>
      <c r="E2620" t="s">
        <v>6621</v>
      </c>
    </row>
    <row r="2621" spans="1:5" x14ac:dyDescent="0.2">
      <c r="A2621" t="s">
        <v>6695</v>
      </c>
      <c r="B2621" t="s">
        <v>6696</v>
      </c>
      <c r="C2621" t="s">
        <v>6605</v>
      </c>
      <c r="D2621" t="s">
        <v>6605</v>
      </c>
      <c r="E2621" t="s">
        <v>6697</v>
      </c>
    </row>
    <row r="2622" spans="1:5" x14ac:dyDescent="0.2">
      <c r="A2622" t="s">
        <v>6698</v>
      </c>
      <c r="B2622" t="s">
        <v>6699</v>
      </c>
      <c r="C2622" t="s">
        <v>6605</v>
      </c>
      <c r="D2622" t="s">
        <v>6605</v>
      </c>
      <c r="E2622" t="s">
        <v>6652</v>
      </c>
    </row>
    <row r="2623" spans="1:5" x14ac:dyDescent="0.2">
      <c r="A2623" t="s">
        <v>6700</v>
      </c>
      <c r="B2623" t="s">
        <v>6701</v>
      </c>
      <c r="C2623" t="s">
        <v>6605</v>
      </c>
      <c r="D2623" t="s">
        <v>6605</v>
      </c>
      <c r="E2623" t="s">
        <v>6621</v>
      </c>
    </row>
    <row r="2624" spans="1:5" x14ac:dyDescent="0.2">
      <c r="A2624" t="s">
        <v>6702</v>
      </c>
      <c r="B2624" t="s">
        <v>6703</v>
      </c>
      <c r="C2624" t="s">
        <v>6605</v>
      </c>
      <c r="D2624" t="s">
        <v>6605</v>
      </c>
      <c r="E2624" t="s">
        <v>6704</v>
      </c>
    </row>
    <row r="2625" spans="1:5" x14ac:dyDescent="0.2">
      <c r="A2625" t="s">
        <v>6705</v>
      </c>
      <c r="B2625" t="s">
        <v>6706</v>
      </c>
      <c r="C2625" t="s">
        <v>6605</v>
      </c>
      <c r="D2625" t="s">
        <v>6605</v>
      </c>
      <c r="E2625" t="s">
        <v>6667</v>
      </c>
    </row>
    <row r="2626" spans="1:5" x14ac:dyDescent="0.2">
      <c r="A2626" t="s">
        <v>6707</v>
      </c>
      <c r="B2626" t="s">
        <v>6708</v>
      </c>
      <c r="C2626" t="s">
        <v>6605</v>
      </c>
      <c r="D2626" t="s">
        <v>6605</v>
      </c>
      <c r="E2626" t="s">
        <v>6709</v>
      </c>
    </row>
    <row r="2627" spans="1:5" x14ac:dyDescent="0.2">
      <c r="A2627" t="s">
        <v>6710</v>
      </c>
      <c r="B2627" t="s">
        <v>6711</v>
      </c>
      <c r="C2627" t="s">
        <v>6605</v>
      </c>
      <c r="D2627" t="s">
        <v>6605</v>
      </c>
      <c r="E2627" t="s">
        <v>6647</v>
      </c>
    </row>
    <row r="2628" spans="1:5" x14ac:dyDescent="0.2">
      <c r="A2628" t="s">
        <v>6712</v>
      </c>
      <c r="B2628" t="s">
        <v>6713</v>
      </c>
      <c r="C2628" t="s">
        <v>6605</v>
      </c>
      <c r="D2628" t="s">
        <v>6605</v>
      </c>
      <c r="E2628" t="s">
        <v>6714</v>
      </c>
    </row>
    <row r="2629" spans="1:5" x14ac:dyDescent="0.2">
      <c r="A2629" t="s">
        <v>6715</v>
      </c>
      <c r="B2629" t="s">
        <v>6716</v>
      </c>
      <c r="C2629" t="s">
        <v>6605</v>
      </c>
      <c r="D2629" t="s">
        <v>6605</v>
      </c>
      <c r="E2629" t="s">
        <v>6621</v>
      </c>
    </row>
    <row r="2630" spans="1:5" x14ac:dyDescent="0.2">
      <c r="A2630" t="s">
        <v>6717</v>
      </c>
      <c r="B2630" t="s">
        <v>6718</v>
      </c>
      <c r="C2630" t="s">
        <v>6605</v>
      </c>
      <c r="D2630" t="s">
        <v>6605</v>
      </c>
      <c r="E2630" t="s">
        <v>6719</v>
      </c>
    </row>
    <row r="2631" spans="1:5" x14ac:dyDescent="0.2">
      <c r="A2631" t="s">
        <v>6720</v>
      </c>
      <c r="B2631" t="s">
        <v>6721</v>
      </c>
      <c r="C2631" t="s">
        <v>6605</v>
      </c>
      <c r="D2631" t="s">
        <v>6605</v>
      </c>
      <c r="E2631" t="s">
        <v>6722</v>
      </c>
    </row>
    <row r="2632" spans="1:5" x14ac:dyDescent="0.2">
      <c r="A2632" t="s">
        <v>6723</v>
      </c>
      <c r="B2632" t="s">
        <v>6724</v>
      </c>
      <c r="C2632" t="s">
        <v>6605</v>
      </c>
      <c r="D2632" t="s">
        <v>6605</v>
      </c>
      <c r="E2632" t="s">
        <v>6725</v>
      </c>
    </row>
    <row r="2633" spans="1:5" x14ac:dyDescent="0.2">
      <c r="A2633" t="s">
        <v>6726</v>
      </c>
      <c r="B2633" t="s">
        <v>6727</v>
      </c>
      <c r="C2633" t="s">
        <v>6605</v>
      </c>
      <c r="D2633" t="s">
        <v>6605</v>
      </c>
      <c r="E2633" t="s">
        <v>6728</v>
      </c>
    </row>
    <row r="2634" spans="1:5" x14ac:dyDescent="0.2">
      <c r="A2634" t="s">
        <v>6729</v>
      </c>
      <c r="B2634" t="s">
        <v>6730</v>
      </c>
      <c r="C2634" t="s">
        <v>6605</v>
      </c>
      <c r="D2634" t="s">
        <v>6605</v>
      </c>
      <c r="E2634" t="s">
        <v>6667</v>
      </c>
    </row>
    <row r="2635" spans="1:5" x14ac:dyDescent="0.2">
      <c r="A2635" t="s">
        <v>6731</v>
      </c>
      <c r="B2635" t="s">
        <v>6732</v>
      </c>
      <c r="C2635" t="s">
        <v>6605</v>
      </c>
      <c r="D2635" t="e">
        <v>#N/A</v>
      </c>
      <c r="E2635" t="e">
        <v>#N/A</v>
      </c>
    </row>
    <row r="2636" spans="1:5" x14ac:dyDescent="0.2">
      <c r="A2636" t="s">
        <v>6733</v>
      </c>
      <c r="B2636" t="s">
        <v>6734</v>
      </c>
      <c r="C2636" t="s">
        <v>6605</v>
      </c>
      <c r="D2636" t="s">
        <v>6605</v>
      </c>
      <c r="E2636" t="s">
        <v>6667</v>
      </c>
    </row>
    <row r="2637" spans="1:5" x14ac:dyDescent="0.2">
      <c r="A2637" t="s">
        <v>6735</v>
      </c>
      <c r="B2637" t="s">
        <v>6736</v>
      </c>
      <c r="C2637" t="s">
        <v>6605</v>
      </c>
      <c r="D2637" t="s">
        <v>6605</v>
      </c>
      <c r="E2637" t="s">
        <v>6647</v>
      </c>
    </row>
    <row r="2638" spans="1:5" x14ac:dyDescent="0.2">
      <c r="A2638" t="s">
        <v>6737</v>
      </c>
      <c r="B2638" t="s">
        <v>6738</v>
      </c>
      <c r="C2638" t="s">
        <v>6605</v>
      </c>
      <c r="D2638" t="s">
        <v>6605</v>
      </c>
      <c r="E2638" t="s">
        <v>6667</v>
      </c>
    </row>
    <row r="2639" spans="1:5" x14ac:dyDescent="0.2">
      <c r="A2639" t="s">
        <v>6739</v>
      </c>
      <c r="B2639" t="s">
        <v>6740</v>
      </c>
      <c r="C2639" t="s">
        <v>6605</v>
      </c>
      <c r="D2639" t="e">
        <v>#N/A</v>
      </c>
      <c r="E2639" t="e">
        <v>#N/A</v>
      </c>
    </row>
    <row r="2640" spans="1:5" x14ac:dyDescent="0.2">
      <c r="A2640" t="s">
        <v>6741</v>
      </c>
      <c r="B2640" t="s">
        <v>6742</v>
      </c>
      <c r="C2640" t="s">
        <v>6605</v>
      </c>
      <c r="D2640" t="s">
        <v>6605</v>
      </c>
      <c r="E2640" t="s">
        <v>6652</v>
      </c>
    </row>
    <row r="2641" spans="1:5" x14ac:dyDescent="0.2">
      <c r="A2641" t="s">
        <v>6743</v>
      </c>
      <c r="B2641" t="s">
        <v>6744</v>
      </c>
      <c r="C2641" t="s">
        <v>6605</v>
      </c>
      <c r="D2641" t="s">
        <v>6605</v>
      </c>
      <c r="E2641" t="s">
        <v>6621</v>
      </c>
    </row>
    <row r="2642" spans="1:5" x14ac:dyDescent="0.2">
      <c r="A2642" t="s">
        <v>6745</v>
      </c>
      <c r="B2642" t="s">
        <v>6746</v>
      </c>
      <c r="C2642" t="s">
        <v>6605</v>
      </c>
      <c r="D2642" t="s">
        <v>6605</v>
      </c>
      <c r="E2642" t="s">
        <v>6652</v>
      </c>
    </row>
    <row r="2643" spans="1:5" x14ac:dyDescent="0.2">
      <c r="A2643" t="s">
        <v>6747</v>
      </c>
      <c r="B2643" t="s">
        <v>6748</v>
      </c>
      <c r="C2643" t="s">
        <v>6605</v>
      </c>
      <c r="D2643" t="s">
        <v>6605</v>
      </c>
      <c r="E2643" t="s">
        <v>6749</v>
      </c>
    </row>
    <row r="2644" spans="1:5" x14ac:dyDescent="0.2">
      <c r="A2644" t="s">
        <v>6750</v>
      </c>
      <c r="B2644" t="s">
        <v>6751</v>
      </c>
      <c r="C2644" t="s">
        <v>6605</v>
      </c>
      <c r="D2644" t="s">
        <v>6605</v>
      </c>
      <c r="E2644" t="s">
        <v>6752</v>
      </c>
    </row>
    <row r="2645" spans="1:5" x14ac:dyDescent="0.2">
      <c r="A2645" t="s">
        <v>6753</v>
      </c>
      <c r="B2645" t="s">
        <v>6754</v>
      </c>
      <c r="C2645" t="s">
        <v>6605</v>
      </c>
      <c r="D2645" t="s">
        <v>6605</v>
      </c>
      <c r="E2645" t="s">
        <v>6755</v>
      </c>
    </row>
    <row r="2646" spans="1:5" x14ac:dyDescent="0.2">
      <c r="A2646" t="s">
        <v>6756</v>
      </c>
      <c r="B2646" t="s">
        <v>6757</v>
      </c>
      <c r="C2646" t="s">
        <v>6605</v>
      </c>
      <c r="D2646" t="s">
        <v>6605</v>
      </c>
      <c r="E2646" t="s">
        <v>6758</v>
      </c>
    </row>
    <row r="2647" spans="1:5" x14ac:dyDescent="0.2">
      <c r="A2647" t="s">
        <v>6759</v>
      </c>
      <c r="B2647" t="s">
        <v>6760</v>
      </c>
      <c r="C2647" t="s">
        <v>6605</v>
      </c>
      <c r="D2647" t="e">
        <v>#N/A</v>
      </c>
      <c r="E2647" t="e">
        <v>#N/A</v>
      </c>
    </row>
    <row r="2648" spans="1:5" x14ac:dyDescent="0.2">
      <c r="A2648" t="s">
        <v>6761</v>
      </c>
      <c r="B2648" t="s">
        <v>6762</v>
      </c>
      <c r="C2648" t="s">
        <v>6605</v>
      </c>
      <c r="D2648" t="e">
        <v>#N/A</v>
      </c>
      <c r="E2648" t="e">
        <v>#N/A</v>
      </c>
    </row>
    <row r="2649" spans="1:5" x14ac:dyDescent="0.2">
      <c r="A2649" t="s">
        <v>6763</v>
      </c>
      <c r="B2649" t="s">
        <v>6764</v>
      </c>
      <c r="C2649" t="s">
        <v>6605</v>
      </c>
      <c r="D2649" t="e">
        <v>#N/A</v>
      </c>
      <c r="E2649" t="e">
        <v>#N/A</v>
      </c>
    </row>
    <row r="2650" spans="1:5" x14ac:dyDescent="0.2">
      <c r="A2650" t="s">
        <v>6765</v>
      </c>
      <c r="B2650" t="s">
        <v>6766</v>
      </c>
      <c r="C2650" t="s">
        <v>6767</v>
      </c>
      <c r="D2650" t="s">
        <v>6767</v>
      </c>
      <c r="E2650" t="s">
        <v>6768</v>
      </c>
    </row>
    <row r="2651" spans="1:5" x14ac:dyDescent="0.2">
      <c r="A2651" t="s">
        <v>6769</v>
      </c>
      <c r="B2651" t="s">
        <v>6770</v>
      </c>
      <c r="C2651" t="s">
        <v>6767</v>
      </c>
      <c r="D2651" t="s">
        <v>6767</v>
      </c>
      <c r="E2651" t="s">
        <v>6771</v>
      </c>
    </row>
    <row r="2652" spans="1:5" x14ac:dyDescent="0.2">
      <c r="A2652" t="s">
        <v>6772</v>
      </c>
      <c r="B2652" t="s">
        <v>6773</v>
      </c>
      <c r="C2652" t="s">
        <v>6767</v>
      </c>
      <c r="D2652" t="s">
        <v>6767</v>
      </c>
      <c r="E2652" t="s">
        <v>6768</v>
      </c>
    </row>
    <row r="2653" spans="1:5" x14ac:dyDescent="0.2">
      <c r="A2653" t="s">
        <v>6774</v>
      </c>
      <c r="B2653" t="s">
        <v>6775</v>
      </c>
      <c r="C2653" t="s">
        <v>6767</v>
      </c>
      <c r="D2653" t="s">
        <v>6767</v>
      </c>
      <c r="E2653" t="s">
        <v>6776</v>
      </c>
    </row>
    <row r="2654" spans="1:5" x14ac:dyDescent="0.2">
      <c r="A2654" t="s">
        <v>6777</v>
      </c>
      <c r="B2654" t="s">
        <v>6778</v>
      </c>
      <c r="C2654" t="s">
        <v>6767</v>
      </c>
      <c r="D2654" t="s">
        <v>6767</v>
      </c>
      <c r="E2654" t="s">
        <v>6771</v>
      </c>
    </row>
    <row r="2655" spans="1:5" x14ac:dyDescent="0.2">
      <c r="A2655" t="s">
        <v>6779</v>
      </c>
      <c r="B2655" t="s">
        <v>6780</v>
      </c>
      <c r="C2655" t="s">
        <v>6767</v>
      </c>
      <c r="D2655" t="s">
        <v>6767</v>
      </c>
      <c r="E2655" t="s">
        <v>6781</v>
      </c>
    </row>
    <row r="2656" spans="1:5" x14ac:dyDescent="0.2">
      <c r="A2656" t="s">
        <v>6782</v>
      </c>
      <c r="B2656" t="s">
        <v>6783</v>
      </c>
      <c r="C2656" t="s">
        <v>6767</v>
      </c>
      <c r="D2656" t="s">
        <v>6767</v>
      </c>
      <c r="E2656" t="s">
        <v>6768</v>
      </c>
    </row>
    <row r="2657" spans="1:5" x14ac:dyDescent="0.2">
      <c r="A2657" t="s">
        <v>6784</v>
      </c>
      <c r="B2657" t="s">
        <v>6785</v>
      </c>
      <c r="C2657" t="s">
        <v>6767</v>
      </c>
      <c r="D2657" t="s">
        <v>6767</v>
      </c>
      <c r="E2657" t="s">
        <v>6786</v>
      </c>
    </row>
    <row r="2658" spans="1:5" x14ac:dyDescent="0.2">
      <c r="A2658" t="s">
        <v>6787</v>
      </c>
      <c r="B2658" t="s">
        <v>6788</v>
      </c>
      <c r="C2658" t="s">
        <v>6767</v>
      </c>
      <c r="D2658" t="s">
        <v>6767</v>
      </c>
      <c r="E2658" t="s">
        <v>6789</v>
      </c>
    </row>
    <row r="2659" spans="1:5" x14ac:dyDescent="0.2">
      <c r="A2659" t="s">
        <v>6790</v>
      </c>
      <c r="B2659" t="s">
        <v>6791</v>
      </c>
      <c r="C2659" t="s">
        <v>6767</v>
      </c>
      <c r="D2659" t="s">
        <v>6767</v>
      </c>
      <c r="E2659" t="s">
        <v>6792</v>
      </c>
    </row>
    <row r="2660" spans="1:5" x14ac:dyDescent="0.2">
      <c r="A2660" t="s">
        <v>6793</v>
      </c>
      <c r="B2660" t="s">
        <v>6794</v>
      </c>
      <c r="C2660" t="s">
        <v>6767</v>
      </c>
      <c r="D2660" t="s">
        <v>6767</v>
      </c>
      <c r="E2660" t="s">
        <v>6795</v>
      </c>
    </row>
    <row r="2661" spans="1:5" x14ac:dyDescent="0.2">
      <c r="A2661" t="s">
        <v>6796</v>
      </c>
      <c r="B2661" t="s">
        <v>6797</v>
      </c>
      <c r="C2661" t="s">
        <v>6767</v>
      </c>
      <c r="D2661" t="s">
        <v>6767</v>
      </c>
      <c r="E2661" t="s">
        <v>6798</v>
      </c>
    </row>
    <row r="2662" spans="1:5" x14ac:dyDescent="0.2">
      <c r="A2662" t="s">
        <v>6799</v>
      </c>
      <c r="B2662" t="s">
        <v>6800</v>
      </c>
      <c r="C2662" t="s">
        <v>6767</v>
      </c>
      <c r="D2662" t="s">
        <v>6767</v>
      </c>
      <c r="E2662" t="s">
        <v>6801</v>
      </c>
    </row>
    <row r="2663" spans="1:5" x14ac:dyDescent="0.2">
      <c r="A2663" t="s">
        <v>6802</v>
      </c>
      <c r="B2663" t="s">
        <v>6803</v>
      </c>
      <c r="C2663" t="s">
        <v>6767</v>
      </c>
      <c r="D2663" t="s">
        <v>6767</v>
      </c>
      <c r="E2663" t="s">
        <v>6771</v>
      </c>
    </row>
    <row r="2664" spans="1:5" x14ac:dyDescent="0.2">
      <c r="A2664" t="s">
        <v>6804</v>
      </c>
      <c r="B2664" t="s">
        <v>6805</v>
      </c>
      <c r="C2664" t="s">
        <v>6767</v>
      </c>
      <c r="D2664" t="s">
        <v>6767</v>
      </c>
      <c r="E2664" t="s">
        <v>6806</v>
      </c>
    </row>
    <row r="2665" spans="1:5" x14ac:dyDescent="0.2">
      <c r="A2665" t="s">
        <v>6807</v>
      </c>
      <c r="B2665" t="s">
        <v>6808</v>
      </c>
      <c r="C2665" t="s">
        <v>6767</v>
      </c>
      <c r="D2665" t="s">
        <v>6767</v>
      </c>
      <c r="E2665" t="s">
        <v>6768</v>
      </c>
    </row>
    <row r="2666" spans="1:5" x14ac:dyDescent="0.2">
      <c r="A2666" t="s">
        <v>6809</v>
      </c>
      <c r="B2666" t="s">
        <v>6810</v>
      </c>
      <c r="C2666" t="s">
        <v>6767</v>
      </c>
      <c r="D2666" t="s">
        <v>6767</v>
      </c>
      <c r="E2666" t="s">
        <v>6811</v>
      </c>
    </row>
    <row r="2667" spans="1:5" x14ac:dyDescent="0.2">
      <c r="A2667" t="s">
        <v>6812</v>
      </c>
      <c r="B2667" t="s">
        <v>6813</v>
      </c>
      <c r="C2667" t="s">
        <v>6767</v>
      </c>
      <c r="D2667" t="s">
        <v>6767</v>
      </c>
      <c r="E2667" t="s">
        <v>6814</v>
      </c>
    </row>
    <row r="2668" spans="1:5" x14ac:dyDescent="0.2">
      <c r="A2668" t="s">
        <v>6815</v>
      </c>
      <c r="B2668" t="s">
        <v>6816</v>
      </c>
      <c r="C2668" t="s">
        <v>6767</v>
      </c>
      <c r="D2668" t="s">
        <v>6767</v>
      </c>
      <c r="E2668" t="s">
        <v>6768</v>
      </c>
    </row>
    <row r="2669" spans="1:5" x14ac:dyDescent="0.2">
      <c r="A2669" t="s">
        <v>6817</v>
      </c>
      <c r="B2669" t="s">
        <v>6818</v>
      </c>
      <c r="C2669" t="s">
        <v>6767</v>
      </c>
      <c r="D2669" t="s">
        <v>6767</v>
      </c>
      <c r="E2669" t="s">
        <v>6771</v>
      </c>
    </row>
    <row r="2670" spans="1:5" x14ac:dyDescent="0.2">
      <c r="A2670" t="s">
        <v>6819</v>
      </c>
      <c r="B2670" t="s">
        <v>6820</v>
      </c>
      <c r="C2670" t="s">
        <v>6767</v>
      </c>
      <c r="D2670" t="s">
        <v>6767</v>
      </c>
      <c r="E2670" t="s">
        <v>6789</v>
      </c>
    </row>
    <row r="2671" spans="1:5" x14ac:dyDescent="0.2">
      <c r="A2671" t="s">
        <v>6821</v>
      </c>
      <c r="B2671" t="s">
        <v>6822</v>
      </c>
      <c r="C2671" t="s">
        <v>6767</v>
      </c>
      <c r="D2671" t="s">
        <v>6767</v>
      </c>
      <c r="E2671" t="s">
        <v>6823</v>
      </c>
    </row>
    <row r="2672" spans="1:5" x14ac:dyDescent="0.2">
      <c r="A2672" t="s">
        <v>6824</v>
      </c>
      <c r="B2672" t="s">
        <v>6825</v>
      </c>
      <c r="C2672" t="s">
        <v>6767</v>
      </c>
      <c r="D2672" t="s">
        <v>6767</v>
      </c>
      <c r="E2672" t="s">
        <v>6826</v>
      </c>
    </row>
    <row r="2673" spans="1:5" x14ac:dyDescent="0.2">
      <c r="A2673" t="s">
        <v>6827</v>
      </c>
      <c r="B2673" t="s">
        <v>6828</v>
      </c>
      <c r="C2673" t="s">
        <v>6767</v>
      </c>
      <c r="D2673" t="s">
        <v>6767</v>
      </c>
      <c r="E2673" t="s">
        <v>6768</v>
      </c>
    </row>
    <row r="2674" spans="1:5" x14ac:dyDescent="0.2">
      <c r="A2674" t="s">
        <v>6829</v>
      </c>
      <c r="B2674" t="s">
        <v>6830</v>
      </c>
      <c r="C2674" t="s">
        <v>6767</v>
      </c>
      <c r="D2674" t="s">
        <v>6767</v>
      </c>
      <c r="E2674" t="s">
        <v>6768</v>
      </c>
    </row>
    <row r="2675" spans="1:5" x14ac:dyDescent="0.2">
      <c r="A2675" t="s">
        <v>6831</v>
      </c>
      <c r="B2675" t="s">
        <v>6832</v>
      </c>
      <c r="C2675" t="s">
        <v>6767</v>
      </c>
      <c r="D2675" t="s">
        <v>6767</v>
      </c>
      <c r="E2675" t="s">
        <v>6833</v>
      </c>
    </row>
    <row r="2676" spans="1:5" x14ac:dyDescent="0.2">
      <c r="A2676" t="s">
        <v>6834</v>
      </c>
      <c r="B2676" t="s">
        <v>6835</v>
      </c>
      <c r="C2676" t="s">
        <v>6767</v>
      </c>
      <c r="D2676" t="s">
        <v>6767</v>
      </c>
      <c r="E2676" t="s">
        <v>6836</v>
      </c>
    </row>
    <row r="2677" spans="1:5" x14ac:dyDescent="0.2">
      <c r="A2677" t="s">
        <v>6837</v>
      </c>
      <c r="B2677" t="s">
        <v>6838</v>
      </c>
      <c r="C2677" t="s">
        <v>6767</v>
      </c>
      <c r="D2677" t="s">
        <v>6767</v>
      </c>
      <c r="E2677" t="s">
        <v>6839</v>
      </c>
    </row>
    <row r="2678" spans="1:5" x14ac:dyDescent="0.2">
      <c r="A2678" t="s">
        <v>6840</v>
      </c>
      <c r="B2678" t="s">
        <v>6841</v>
      </c>
      <c r="C2678" t="s">
        <v>6767</v>
      </c>
      <c r="D2678" t="s">
        <v>6767</v>
      </c>
      <c r="E2678" t="s">
        <v>6842</v>
      </c>
    </row>
    <row r="2679" spans="1:5" x14ac:dyDescent="0.2">
      <c r="A2679" t="s">
        <v>6843</v>
      </c>
      <c r="B2679" t="s">
        <v>6844</v>
      </c>
      <c r="C2679" t="s">
        <v>6767</v>
      </c>
      <c r="D2679" t="s">
        <v>6767</v>
      </c>
      <c r="E2679" t="s">
        <v>6789</v>
      </c>
    </row>
    <row r="2680" spans="1:5" x14ac:dyDescent="0.2">
      <c r="A2680" t="s">
        <v>6845</v>
      </c>
      <c r="B2680" t="s">
        <v>6846</v>
      </c>
      <c r="C2680" t="s">
        <v>6767</v>
      </c>
      <c r="D2680" t="s">
        <v>6767</v>
      </c>
      <c r="E2680" t="s">
        <v>6847</v>
      </c>
    </row>
    <row r="2681" spans="1:5" x14ac:dyDescent="0.2">
      <c r="A2681" t="s">
        <v>6848</v>
      </c>
      <c r="B2681" t="s">
        <v>6849</v>
      </c>
      <c r="C2681" t="s">
        <v>6767</v>
      </c>
      <c r="D2681" t="s">
        <v>6767</v>
      </c>
      <c r="E2681" t="s">
        <v>6850</v>
      </c>
    </row>
    <row r="2682" spans="1:5" x14ac:dyDescent="0.2">
      <c r="A2682" t="s">
        <v>6851</v>
      </c>
      <c r="B2682" t="s">
        <v>6852</v>
      </c>
      <c r="C2682" t="s">
        <v>6767</v>
      </c>
      <c r="D2682" t="s">
        <v>6767</v>
      </c>
      <c r="E2682" t="s">
        <v>6768</v>
      </c>
    </row>
    <row r="2683" spans="1:5" x14ac:dyDescent="0.2">
      <c r="A2683" t="s">
        <v>6853</v>
      </c>
      <c r="B2683" t="s">
        <v>6854</v>
      </c>
      <c r="C2683" t="s">
        <v>6767</v>
      </c>
      <c r="D2683" t="s">
        <v>6767</v>
      </c>
      <c r="E2683" t="s">
        <v>6789</v>
      </c>
    </row>
    <row r="2684" spans="1:5" x14ac:dyDescent="0.2">
      <c r="A2684" t="s">
        <v>6855</v>
      </c>
      <c r="B2684" t="s">
        <v>6856</v>
      </c>
      <c r="C2684" t="s">
        <v>6767</v>
      </c>
      <c r="D2684" t="s">
        <v>6767</v>
      </c>
      <c r="E2684" t="s">
        <v>6771</v>
      </c>
    </row>
    <row r="2685" spans="1:5" x14ac:dyDescent="0.2">
      <c r="A2685" t="s">
        <v>6857</v>
      </c>
      <c r="B2685" t="s">
        <v>6858</v>
      </c>
      <c r="C2685" t="s">
        <v>6767</v>
      </c>
      <c r="D2685" t="s">
        <v>6767</v>
      </c>
      <c r="E2685" t="s">
        <v>6814</v>
      </c>
    </row>
    <row r="2686" spans="1:5" x14ac:dyDescent="0.2">
      <c r="A2686" t="s">
        <v>6859</v>
      </c>
      <c r="B2686" t="s">
        <v>6860</v>
      </c>
      <c r="C2686" t="s">
        <v>6767</v>
      </c>
      <c r="D2686" t="s">
        <v>6767</v>
      </c>
      <c r="E2686" t="s">
        <v>6861</v>
      </c>
    </row>
    <row r="2687" spans="1:5" x14ac:dyDescent="0.2">
      <c r="A2687" t="s">
        <v>6862</v>
      </c>
      <c r="B2687" t="s">
        <v>6863</v>
      </c>
      <c r="C2687" t="s">
        <v>6767</v>
      </c>
      <c r="D2687" t="s">
        <v>6767</v>
      </c>
      <c r="E2687" t="s">
        <v>6864</v>
      </c>
    </row>
    <row r="2688" spans="1:5" x14ac:dyDescent="0.2">
      <c r="A2688" t="s">
        <v>6865</v>
      </c>
      <c r="B2688" t="s">
        <v>6866</v>
      </c>
      <c r="C2688" t="s">
        <v>6767</v>
      </c>
      <c r="D2688" t="s">
        <v>6767</v>
      </c>
      <c r="E2688" t="s">
        <v>6768</v>
      </c>
    </row>
    <row r="2689" spans="1:5" x14ac:dyDescent="0.2">
      <c r="A2689" t="s">
        <v>6867</v>
      </c>
      <c r="B2689" t="s">
        <v>6868</v>
      </c>
      <c r="C2689" t="s">
        <v>6767</v>
      </c>
      <c r="D2689" t="s">
        <v>6767</v>
      </c>
      <c r="E2689" t="s">
        <v>6869</v>
      </c>
    </row>
    <row r="2690" spans="1:5" x14ac:dyDescent="0.2">
      <c r="A2690" t="s">
        <v>6870</v>
      </c>
      <c r="B2690" t="s">
        <v>6871</v>
      </c>
      <c r="C2690" t="s">
        <v>6767</v>
      </c>
      <c r="D2690" t="s">
        <v>6767</v>
      </c>
      <c r="E2690" t="s">
        <v>6872</v>
      </c>
    </row>
    <row r="2691" spans="1:5" x14ac:dyDescent="0.2">
      <c r="A2691" t="s">
        <v>6873</v>
      </c>
      <c r="B2691" t="s">
        <v>6874</v>
      </c>
      <c r="C2691" t="s">
        <v>6767</v>
      </c>
      <c r="D2691" t="s">
        <v>6767</v>
      </c>
      <c r="E2691" t="s">
        <v>6875</v>
      </c>
    </row>
    <row r="2692" spans="1:5" x14ac:dyDescent="0.2">
      <c r="A2692" t="s">
        <v>6876</v>
      </c>
      <c r="B2692" t="s">
        <v>6877</v>
      </c>
      <c r="C2692" t="s">
        <v>6767</v>
      </c>
      <c r="D2692" t="s">
        <v>6767</v>
      </c>
      <c r="E2692" t="s">
        <v>6768</v>
      </c>
    </row>
    <row r="2693" spans="1:5" x14ac:dyDescent="0.2">
      <c r="A2693" t="s">
        <v>6878</v>
      </c>
      <c r="B2693" t="s">
        <v>6879</v>
      </c>
      <c r="C2693" t="s">
        <v>6767</v>
      </c>
      <c r="D2693" t="s">
        <v>6767</v>
      </c>
      <c r="E2693" t="s">
        <v>6768</v>
      </c>
    </row>
    <row r="2694" spans="1:5" x14ac:dyDescent="0.2">
      <c r="A2694" t="s">
        <v>6880</v>
      </c>
      <c r="B2694" t="s">
        <v>6881</v>
      </c>
      <c r="C2694" t="s">
        <v>6767</v>
      </c>
      <c r="D2694" t="s">
        <v>6767</v>
      </c>
      <c r="E2694" t="s">
        <v>6768</v>
      </c>
    </row>
    <row r="2695" spans="1:5" x14ac:dyDescent="0.2">
      <c r="A2695" t="s">
        <v>6882</v>
      </c>
      <c r="B2695" t="s">
        <v>6883</v>
      </c>
      <c r="C2695" t="s">
        <v>6767</v>
      </c>
      <c r="D2695" t="s">
        <v>6767</v>
      </c>
      <c r="E2695" t="s">
        <v>6884</v>
      </c>
    </row>
    <row r="2696" spans="1:5" x14ac:dyDescent="0.2">
      <c r="A2696" t="s">
        <v>6885</v>
      </c>
      <c r="B2696" t="s">
        <v>6886</v>
      </c>
      <c r="C2696" t="s">
        <v>6767</v>
      </c>
      <c r="D2696" t="s">
        <v>6767</v>
      </c>
      <c r="E2696" t="s">
        <v>6789</v>
      </c>
    </row>
    <row r="2697" spans="1:5" x14ac:dyDescent="0.2">
      <c r="A2697" t="s">
        <v>6887</v>
      </c>
      <c r="B2697" t="s">
        <v>6888</v>
      </c>
      <c r="C2697" t="s">
        <v>6767</v>
      </c>
      <c r="D2697" t="s">
        <v>6767</v>
      </c>
      <c r="E2697" t="s">
        <v>6814</v>
      </c>
    </row>
    <row r="2698" spans="1:5" x14ac:dyDescent="0.2">
      <c r="A2698" t="s">
        <v>6889</v>
      </c>
      <c r="B2698" t="s">
        <v>6890</v>
      </c>
      <c r="C2698" t="s">
        <v>6767</v>
      </c>
      <c r="D2698" t="s">
        <v>6767</v>
      </c>
      <c r="E2698" t="s">
        <v>6814</v>
      </c>
    </row>
    <row r="2699" spans="1:5" x14ac:dyDescent="0.2">
      <c r="A2699" t="s">
        <v>6891</v>
      </c>
      <c r="B2699" t="s">
        <v>6892</v>
      </c>
      <c r="C2699" t="s">
        <v>6767</v>
      </c>
      <c r="D2699" t="s">
        <v>6767</v>
      </c>
      <c r="E2699" t="s">
        <v>6771</v>
      </c>
    </row>
    <row r="2700" spans="1:5" x14ac:dyDescent="0.2">
      <c r="A2700" t="s">
        <v>6893</v>
      </c>
      <c r="B2700" t="s">
        <v>6894</v>
      </c>
      <c r="C2700" t="s">
        <v>6767</v>
      </c>
      <c r="D2700" t="s">
        <v>6767</v>
      </c>
      <c r="E2700" t="s">
        <v>6895</v>
      </c>
    </row>
    <row r="2701" spans="1:5" x14ac:dyDescent="0.2">
      <c r="A2701" t="s">
        <v>6896</v>
      </c>
      <c r="B2701" t="s">
        <v>6897</v>
      </c>
      <c r="C2701" t="s">
        <v>6767</v>
      </c>
      <c r="D2701" t="s">
        <v>6767</v>
      </c>
      <c r="E2701" t="s">
        <v>6898</v>
      </c>
    </row>
    <row r="2702" spans="1:5" x14ac:dyDescent="0.2">
      <c r="A2702" t="s">
        <v>6899</v>
      </c>
      <c r="B2702" t="s">
        <v>6900</v>
      </c>
      <c r="C2702" t="s">
        <v>6767</v>
      </c>
      <c r="D2702" t="s">
        <v>6767</v>
      </c>
      <c r="E2702" t="s">
        <v>6768</v>
      </c>
    </row>
    <row r="2703" spans="1:5" x14ac:dyDescent="0.2">
      <c r="A2703" t="s">
        <v>6901</v>
      </c>
      <c r="B2703" t="s">
        <v>6902</v>
      </c>
      <c r="C2703" t="s">
        <v>6767</v>
      </c>
      <c r="D2703" t="s">
        <v>6767</v>
      </c>
      <c r="E2703" t="s">
        <v>6903</v>
      </c>
    </row>
    <row r="2704" spans="1:5" x14ac:dyDescent="0.2">
      <c r="A2704" t="s">
        <v>6904</v>
      </c>
      <c r="B2704" t="s">
        <v>6905</v>
      </c>
      <c r="C2704" t="s">
        <v>6767</v>
      </c>
      <c r="D2704" t="s">
        <v>6767</v>
      </c>
      <c r="E2704" t="s">
        <v>6771</v>
      </c>
    </row>
    <row r="2705" spans="1:5" x14ac:dyDescent="0.2">
      <c r="A2705" t="s">
        <v>6906</v>
      </c>
      <c r="B2705" t="s">
        <v>6907</v>
      </c>
      <c r="C2705" t="s">
        <v>6767</v>
      </c>
      <c r="D2705" t="s">
        <v>6767</v>
      </c>
      <c r="E2705" t="s">
        <v>6908</v>
      </c>
    </row>
    <row r="2706" spans="1:5" x14ac:dyDescent="0.2">
      <c r="A2706" t="s">
        <v>6909</v>
      </c>
      <c r="B2706" t="s">
        <v>6910</v>
      </c>
      <c r="C2706" t="s">
        <v>6767</v>
      </c>
      <c r="D2706" t="s">
        <v>6767</v>
      </c>
      <c r="E2706" t="s">
        <v>6768</v>
      </c>
    </row>
    <row r="2707" spans="1:5" x14ac:dyDescent="0.2">
      <c r="A2707" t="s">
        <v>6911</v>
      </c>
      <c r="B2707" t="s">
        <v>6912</v>
      </c>
      <c r="C2707" t="s">
        <v>6767</v>
      </c>
      <c r="D2707" t="s">
        <v>6767</v>
      </c>
      <c r="E2707" t="s">
        <v>6913</v>
      </c>
    </row>
    <row r="2708" spans="1:5" x14ac:dyDescent="0.2">
      <c r="A2708" t="s">
        <v>6914</v>
      </c>
      <c r="B2708" t="s">
        <v>6915</v>
      </c>
      <c r="C2708" t="s">
        <v>6767</v>
      </c>
      <c r="D2708" t="s">
        <v>6767</v>
      </c>
      <c r="E2708" t="s">
        <v>6847</v>
      </c>
    </row>
    <row r="2709" spans="1:5" x14ac:dyDescent="0.2">
      <c r="A2709" t="s">
        <v>6916</v>
      </c>
      <c r="B2709" t="s">
        <v>6917</v>
      </c>
      <c r="C2709" t="s">
        <v>6767</v>
      </c>
      <c r="D2709" t="s">
        <v>6767</v>
      </c>
      <c r="E2709" t="s">
        <v>6768</v>
      </c>
    </row>
    <row r="2710" spans="1:5" x14ac:dyDescent="0.2">
      <c r="A2710" t="s">
        <v>6918</v>
      </c>
      <c r="B2710" t="s">
        <v>6919</v>
      </c>
      <c r="C2710" t="s">
        <v>6767</v>
      </c>
      <c r="D2710" t="s">
        <v>6767</v>
      </c>
      <c r="E2710" t="s">
        <v>6920</v>
      </c>
    </row>
    <row r="2711" spans="1:5" x14ac:dyDescent="0.2">
      <c r="A2711" t="s">
        <v>6921</v>
      </c>
      <c r="B2711" t="s">
        <v>6922</v>
      </c>
      <c r="C2711" t="s">
        <v>6767</v>
      </c>
      <c r="D2711" t="s">
        <v>6767</v>
      </c>
      <c r="E2711" t="s">
        <v>6814</v>
      </c>
    </row>
    <row r="2712" spans="1:5" x14ac:dyDescent="0.2">
      <c r="A2712" t="s">
        <v>6923</v>
      </c>
      <c r="B2712" t="s">
        <v>6924</v>
      </c>
      <c r="C2712" t="s">
        <v>6767</v>
      </c>
      <c r="D2712" t="s">
        <v>6767</v>
      </c>
      <c r="E2712" t="s">
        <v>6789</v>
      </c>
    </row>
    <row r="2713" spans="1:5" x14ac:dyDescent="0.2">
      <c r="A2713" t="s">
        <v>6925</v>
      </c>
      <c r="B2713" t="s">
        <v>6926</v>
      </c>
      <c r="C2713" t="s">
        <v>6767</v>
      </c>
      <c r="D2713" t="s">
        <v>6767</v>
      </c>
      <c r="E2713" t="s">
        <v>6908</v>
      </c>
    </row>
    <row r="2714" spans="1:5" x14ac:dyDescent="0.2">
      <c r="A2714" t="s">
        <v>6927</v>
      </c>
      <c r="B2714" t="s">
        <v>6928</v>
      </c>
      <c r="C2714" t="s">
        <v>6767</v>
      </c>
      <c r="D2714" t="s">
        <v>6767</v>
      </c>
      <c r="E2714" t="s">
        <v>6768</v>
      </c>
    </row>
    <row r="2715" spans="1:5" x14ac:dyDescent="0.2">
      <c r="A2715" t="s">
        <v>6929</v>
      </c>
      <c r="B2715" t="s">
        <v>6930</v>
      </c>
      <c r="C2715" t="s">
        <v>6767</v>
      </c>
      <c r="D2715" t="s">
        <v>6767</v>
      </c>
      <c r="E2715" t="s">
        <v>6931</v>
      </c>
    </row>
    <row r="2716" spans="1:5" x14ac:dyDescent="0.2">
      <c r="A2716" t="s">
        <v>6932</v>
      </c>
      <c r="B2716" t="s">
        <v>6933</v>
      </c>
      <c r="C2716" t="s">
        <v>6767</v>
      </c>
      <c r="D2716" t="s">
        <v>6767</v>
      </c>
      <c r="E2716" t="s">
        <v>6934</v>
      </c>
    </row>
    <row r="2717" spans="1:5" x14ac:dyDescent="0.2">
      <c r="A2717" t="s">
        <v>6935</v>
      </c>
      <c r="B2717" t="s">
        <v>6936</v>
      </c>
      <c r="C2717" t="s">
        <v>6767</v>
      </c>
      <c r="D2717" t="s">
        <v>6767</v>
      </c>
      <c r="E2717" t="s">
        <v>6789</v>
      </c>
    </row>
    <row r="2718" spans="1:5" x14ac:dyDescent="0.2">
      <c r="A2718" t="s">
        <v>6937</v>
      </c>
      <c r="B2718" t="s">
        <v>6938</v>
      </c>
      <c r="C2718" t="s">
        <v>6767</v>
      </c>
      <c r="D2718" t="s">
        <v>6767</v>
      </c>
      <c r="E2718" t="s">
        <v>6768</v>
      </c>
    </row>
    <row r="2719" spans="1:5" x14ac:dyDescent="0.2">
      <c r="A2719" t="s">
        <v>6939</v>
      </c>
      <c r="B2719" t="s">
        <v>6940</v>
      </c>
      <c r="C2719" t="s">
        <v>6767</v>
      </c>
      <c r="D2719" t="s">
        <v>6767</v>
      </c>
      <c r="E2719" t="s">
        <v>6768</v>
      </c>
    </row>
    <row r="2720" spans="1:5" x14ac:dyDescent="0.2">
      <c r="A2720" t="s">
        <v>6941</v>
      </c>
      <c r="B2720" t="s">
        <v>6942</v>
      </c>
      <c r="C2720" t="s">
        <v>6767</v>
      </c>
      <c r="D2720" t="e">
        <v>#N/A</v>
      </c>
      <c r="E2720" t="e">
        <v>#N/A</v>
      </c>
    </row>
    <row r="2721" spans="1:5" x14ac:dyDescent="0.2">
      <c r="A2721" t="s">
        <v>6943</v>
      </c>
      <c r="B2721" t="s">
        <v>6944</v>
      </c>
      <c r="C2721" t="s">
        <v>6767</v>
      </c>
      <c r="D2721" t="s">
        <v>6767</v>
      </c>
      <c r="E2721" t="s">
        <v>6945</v>
      </c>
    </row>
    <row r="2722" spans="1:5" x14ac:dyDescent="0.2">
      <c r="A2722" t="s">
        <v>6946</v>
      </c>
      <c r="B2722" t="s">
        <v>6947</v>
      </c>
      <c r="C2722" t="s">
        <v>6767</v>
      </c>
      <c r="D2722" t="s">
        <v>6767</v>
      </c>
      <c r="E2722" t="s">
        <v>6771</v>
      </c>
    </row>
    <row r="2723" spans="1:5" x14ac:dyDescent="0.2">
      <c r="A2723" t="s">
        <v>6948</v>
      </c>
      <c r="B2723" t="s">
        <v>6949</v>
      </c>
      <c r="C2723" t="s">
        <v>6767</v>
      </c>
      <c r="D2723" t="s">
        <v>6767</v>
      </c>
      <c r="E2723" t="s">
        <v>6950</v>
      </c>
    </row>
    <row r="2724" spans="1:5" x14ac:dyDescent="0.2">
      <c r="A2724" t="s">
        <v>6951</v>
      </c>
      <c r="B2724" t="s">
        <v>6952</v>
      </c>
      <c r="C2724" t="s">
        <v>6767</v>
      </c>
      <c r="D2724" t="s">
        <v>6767</v>
      </c>
      <c r="E2724" t="s">
        <v>6950</v>
      </c>
    </row>
    <row r="2725" spans="1:5" x14ac:dyDescent="0.2">
      <c r="A2725" t="s">
        <v>6953</v>
      </c>
      <c r="B2725" t="s">
        <v>6954</v>
      </c>
      <c r="C2725" t="s">
        <v>6767</v>
      </c>
      <c r="D2725" t="e">
        <v>#N/A</v>
      </c>
      <c r="E2725" t="e">
        <v>#N/A</v>
      </c>
    </row>
    <row r="2726" spans="1:5" x14ac:dyDescent="0.2">
      <c r="A2726" t="s">
        <v>6955</v>
      </c>
      <c r="B2726" t="s">
        <v>6956</v>
      </c>
      <c r="C2726" t="s">
        <v>6767</v>
      </c>
      <c r="D2726" t="s">
        <v>6767</v>
      </c>
      <c r="E2726" t="s">
        <v>6957</v>
      </c>
    </row>
    <row r="2727" spans="1:5" x14ac:dyDescent="0.2">
      <c r="A2727" t="s">
        <v>6958</v>
      </c>
      <c r="B2727" t="s">
        <v>6959</v>
      </c>
      <c r="C2727" t="s">
        <v>6767</v>
      </c>
      <c r="D2727" t="s">
        <v>6767</v>
      </c>
      <c r="E2727" t="s">
        <v>6847</v>
      </c>
    </row>
    <row r="2728" spans="1:5" x14ac:dyDescent="0.2">
      <c r="A2728" t="s">
        <v>6960</v>
      </c>
      <c r="B2728" t="s">
        <v>6961</v>
      </c>
      <c r="C2728" t="s">
        <v>6767</v>
      </c>
      <c r="D2728" t="s">
        <v>6767</v>
      </c>
      <c r="E2728" t="s">
        <v>6962</v>
      </c>
    </row>
    <row r="2729" spans="1:5" x14ac:dyDescent="0.2">
      <c r="A2729" t="s">
        <v>6963</v>
      </c>
      <c r="B2729" t="s">
        <v>6964</v>
      </c>
      <c r="C2729" t="s">
        <v>6767</v>
      </c>
      <c r="D2729" t="s">
        <v>6767</v>
      </c>
      <c r="E2729" t="s">
        <v>6789</v>
      </c>
    </row>
    <row r="2730" spans="1:5" x14ac:dyDescent="0.2">
      <c r="A2730" t="s">
        <v>6965</v>
      </c>
      <c r="B2730" t="s">
        <v>6966</v>
      </c>
      <c r="C2730" t="s">
        <v>6767</v>
      </c>
      <c r="D2730" t="s">
        <v>6767</v>
      </c>
      <c r="E2730" t="s">
        <v>6789</v>
      </c>
    </row>
    <row r="2731" spans="1:5" x14ac:dyDescent="0.2">
      <c r="A2731" t="s">
        <v>6967</v>
      </c>
      <c r="B2731" t="s">
        <v>6968</v>
      </c>
      <c r="C2731" t="s">
        <v>6767</v>
      </c>
      <c r="D2731" t="s">
        <v>6767</v>
      </c>
      <c r="E2731" t="s">
        <v>6771</v>
      </c>
    </row>
    <row r="2732" spans="1:5" x14ac:dyDescent="0.2">
      <c r="A2732" t="s">
        <v>6969</v>
      </c>
      <c r="B2732" t="s">
        <v>6970</v>
      </c>
      <c r="C2732" t="s">
        <v>6767</v>
      </c>
      <c r="D2732" t="s">
        <v>6767</v>
      </c>
      <c r="E2732" t="s">
        <v>6771</v>
      </c>
    </row>
    <row r="2733" spans="1:5" x14ac:dyDescent="0.2">
      <c r="A2733" t="s">
        <v>6971</v>
      </c>
      <c r="B2733" t="s">
        <v>6972</v>
      </c>
      <c r="C2733" t="s">
        <v>6767</v>
      </c>
      <c r="D2733" t="s">
        <v>6767</v>
      </c>
      <c r="E2733" t="s">
        <v>6973</v>
      </c>
    </row>
    <row r="2734" spans="1:5" x14ac:dyDescent="0.2">
      <c r="A2734" t="s">
        <v>6974</v>
      </c>
      <c r="B2734" t="s">
        <v>6975</v>
      </c>
      <c r="C2734" t="s">
        <v>6767</v>
      </c>
      <c r="D2734" t="s">
        <v>6767</v>
      </c>
      <c r="E2734" t="s">
        <v>6976</v>
      </c>
    </row>
    <row r="2735" spans="1:5" x14ac:dyDescent="0.2">
      <c r="A2735" t="s">
        <v>6977</v>
      </c>
      <c r="B2735" t="s">
        <v>6978</v>
      </c>
      <c r="C2735" t="s">
        <v>6767</v>
      </c>
      <c r="D2735" t="s">
        <v>6767</v>
      </c>
      <c r="E2735" t="s">
        <v>6979</v>
      </c>
    </row>
    <row r="2736" spans="1:5" x14ac:dyDescent="0.2">
      <c r="A2736" t="s">
        <v>6980</v>
      </c>
      <c r="B2736" t="s">
        <v>6981</v>
      </c>
      <c r="C2736" t="s">
        <v>6767</v>
      </c>
      <c r="D2736" t="s">
        <v>6767</v>
      </c>
      <c r="E2736" t="s">
        <v>6789</v>
      </c>
    </row>
    <row r="2737" spans="1:5" x14ac:dyDescent="0.2">
      <c r="A2737" t="s">
        <v>6982</v>
      </c>
      <c r="B2737" t="s">
        <v>6983</v>
      </c>
      <c r="C2737" t="s">
        <v>6767</v>
      </c>
      <c r="D2737" t="s">
        <v>6767</v>
      </c>
      <c r="E2737" t="s">
        <v>6984</v>
      </c>
    </row>
    <row r="2738" spans="1:5" x14ac:dyDescent="0.2">
      <c r="A2738" t="s">
        <v>6985</v>
      </c>
      <c r="B2738" t="s">
        <v>6986</v>
      </c>
      <c r="C2738" t="s">
        <v>6767</v>
      </c>
      <c r="D2738" t="s">
        <v>6767</v>
      </c>
      <c r="E2738" t="s">
        <v>6814</v>
      </c>
    </row>
    <row r="2739" spans="1:5" x14ac:dyDescent="0.2">
      <c r="A2739" t="s">
        <v>6987</v>
      </c>
      <c r="B2739" t="s">
        <v>6988</v>
      </c>
      <c r="C2739" t="s">
        <v>6767</v>
      </c>
      <c r="D2739" t="s">
        <v>6767</v>
      </c>
      <c r="E2739" t="s">
        <v>6789</v>
      </c>
    </row>
    <row r="2740" spans="1:5" x14ac:dyDescent="0.2">
      <c r="A2740" t="s">
        <v>6989</v>
      </c>
      <c r="B2740" t="s">
        <v>6990</v>
      </c>
      <c r="C2740" t="s">
        <v>6767</v>
      </c>
      <c r="D2740" t="s">
        <v>6767</v>
      </c>
      <c r="E2740" t="s">
        <v>6991</v>
      </c>
    </row>
    <row r="2741" spans="1:5" x14ac:dyDescent="0.2">
      <c r="A2741" t="s">
        <v>6992</v>
      </c>
      <c r="B2741" t="s">
        <v>6993</v>
      </c>
      <c r="C2741" t="s">
        <v>6767</v>
      </c>
      <c r="D2741" t="s">
        <v>6767</v>
      </c>
      <c r="E2741" t="s">
        <v>6814</v>
      </c>
    </row>
    <row r="2742" spans="1:5" x14ac:dyDescent="0.2">
      <c r="A2742" t="s">
        <v>6994</v>
      </c>
      <c r="B2742" t="s">
        <v>6995</v>
      </c>
      <c r="C2742" t="s">
        <v>6767</v>
      </c>
      <c r="D2742" t="s">
        <v>6767</v>
      </c>
      <c r="E2742" t="s">
        <v>6996</v>
      </c>
    </row>
    <row r="2743" spans="1:5" x14ac:dyDescent="0.2">
      <c r="A2743" t="s">
        <v>6997</v>
      </c>
      <c r="B2743" t="s">
        <v>6998</v>
      </c>
      <c r="C2743" t="s">
        <v>6767</v>
      </c>
      <c r="D2743" t="s">
        <v>6767</v>
      </c>
      <c r="E2743" t="s">
        <v>6789</v>
      </c>
    </row>
    <row r="2744" spans="1:5" x14ac:dyDescent="0.2">
      <c r="A2744" t="s">
        <v>6999</v>
      </c>
      <c r="B2744" t="s">
        <v>7000</v>
      </c>
      <c r="C2744" t="s">
        <v>6767</v>
      </c>
      <c r="D2744" t="s">
        <v>6767</v>
      </c>
      <c r="E2744" t="s">
        <v>7001</v>
      </c>
    </row>
    <row r="2745" spans="1:5" x14ac:dyDescent="0.2">
      <c r="A2745" t="s">
        <v>7002</v>
      </c>
      <c r="B2745" t="s">
        <v>7003</v>
      </c>
      <c r="C2745" t="s">
        <v>6767</v>
      </c>
      <c r="D2745" t="s">
        <v>6767</v>
      </c>
      <c r="E2745" t="s">
        <v>6768</v>
      </c>
    </row>
    <row r="2746" spans="1:5" x14ac:dyDescent="0.2">
      <c r="A2746" t="s">
        <v>7004</v>
      </c>
      <c r="B2746" t="s">
        <v>7005</v>
      </c>
      <c r="C2746" t="s">
        <v>6767</v>
      </c>
      <c r="D2746" t="s">
        <v>6767</v>
      </c>
      <c r="E2746" t="s">
        <v>6771</v>
      </c>
    </row>
    <row r="2747" spans="1:5" x14ac:dyDescent="0.2">
      <c r="A2747" t="s">
        <v>7006</v>
      </c>
      <c r="B2747" t="s">
        <v>7007</v>
      </c>
      <c r="C2747" t="s">
        <v>6767</v>
      </c>
      <c r="D2747" t="s">
        <v>6767</v>
      </c>
      <c r="E2747" t="s">
        <v>6847</v>
      </c>
    </row>
    <row r="2748" spans="1:5" x14ac:dyDescent="0.2">
      <c r="A2748" t="s">
        <v>7008</v>
      </c>
      <c r="B2748" t="s">
        <v>7009</v>
      </c>
      <c r="C2748" t="s">
        <v>6767</v>
      </c>
      <c r="D2748" t="s">
        <v>6767</v>
      </c>
      <c r="E2748" t="s">
        <v>7010</v>
      </c>
    </row>
    <row r="2749" spans="1:5" x14ac:dyDescent="0.2">
      <c r="A2749" t="s">
        <v>7011</v>
      </c>
      <c r="B2749" t="s">
        <v>7012</v>
      </c>
      <c r="C2749" t="s">
        <v>6767</v>
      </c>
      <c r="D2749" t="s">
        <v>6767</v>
      </c>
      <c r="E2749" t="s">
        <v>6768</v>
      </c>
    </row>
    <row r="2750" spans="1:5" x14ac:dyDescent="0.2">
      <c r="A2750" t="s">
        <v>7013</v>
      </c>
      <c r="B2750" t="s">
        <v>7014</v>
      </c>
      <c r="C2750" t="s">
        <v>6767</v>
      </c>
      <c r="D2750" t="s">
        <v>6767</v>
      </c>
      <c r="E2750" t="s">
        <v>6814</v>
      </c>
    </row>
    <row r="2751" spans="1:5" x14ac:dyDescent="0.2">
      <c r="A2751" t="s">
        <v>7015</v>
      </c>
      <c r="B2751" t="s">
        <v>7016</v>
      </c>
      <c r="C2751" t="s">
        <v>6767</v>
      </c>
      <c r="D2751" t="s">
        <v>6767</v>
      </c>
      <c r="E2751" t="s">
        <v>7017</v>
      </c>
    </row>
    <row r="2752" spans="1:5" x14ac:dyDescent="0.2">
      <c r="A2752" t="s">
        <v>7018</v>
      </c>
      <c r="B2752" t="s">
        <v>7019</v>
      </c>
      <c r="C2752" t="s">
        <v>6767</v>
      </c>
      <c r="D2752" t="s">
        <v>6767</v>
      </c>
      <c r="E2752" t="s">
        <v>6798</v>
      </c>
    </row>
    <row r="2753" spans="1:5" x14ac:dyDescent="0.2">
      <c r="A2753" t="s">
        <v>7020</v>
      </c>
      <c r="B2753" t="s">
        <v>7021</v>
      </c>
      <c r="C2753" t="s">
        <v>6767</v>
      </c>
      <c r="D2753" t="s">
        <v>6767</v>
      </c>
      <c r="E2753" t="s">
        <v>6789</v>
      </c>
    </row>
    <row r="2754" spans="1:5" x14ac:dyDescent="0.2">
      <c r="A2754" t="s">
        <v>7022</v>
      </c>
      <c r="B2754" t="s">
        <v>7023</v>
      </c>
      <c r="C2754" t="s">
        <v>6767</v>
      </c>
      <c r="D2754" t="s">
        <v>6767</v>
      </c>
      <c r="E2754" t="s">
        <v>7024</v>
      </c>
    </row>
    <row r="2755" spans="1:5" x14ac:dyDescent="0.2">
      <c r="A2755" t="s">
        <v>7025</v>
      </c>
      <c r="B2755" t="s">
        <v>7026</v>
      </c>
      <c r="C2755" t="s">
        <v>6767</v>
      </c>
      <c r="D2755" t="s">
        <v>6767</v>
      </c>
      <c r="E2755" t="s">
        <v>6789</v>
      </c>
    </row>
    <row r="2756" spans="1:5" x14ac:dyDescent="0.2">
      <c r="A2756" t="s">
        <v>7027</v>
      </c>
      <c r="B2756" t="s">
        <v>7028</v>
      </c>
      <c r="C2756" t="s">
        <v>6767</v>
      </c>
      <c r="D2756" t="s">
        <v>6767</v>
      </c>
      <c r="E2756" t="s">
        <v>6789</v>
      </c>
    </row>
    <row r="2757" spans="1:5" x14ac:dyDescent="0.2">
      <c r="A2757" t="s">
        <v>7029</v>
      </c>
      <c r="B2757" t="s">
        <v>7030</v>
      </c>
      <c r="C2757" t="s">
        <v>6767</v>
      </c>
      <c r="D2757" t="s">
        <v>6767</v>
      </c>
      <c r="E2757" t="s">
        <v>6789</v>
      </c>
    </row>
    <row r="2758" spans="1:5" x14ac:dyDescent="0.2">
      <c r="A2758" t="s">
        <v>7031</v>
      </c>
      <c r="B2758" t="s">
        <v>7032</v>
      </c>
      <c r="C2758" t="s">
        <v>6767</v>
      </c>
      <c r="D2758" t="s">
        <v>6767</v>
      </c>
      <c r="E2758" t="s">
        <v>6768</v>
      </c>
    </row>
    <row r="2759" spans="1:5" x14ac:dyDescent="0.2">
      <c r="A2759" t="s">
        <v>7033</v>
      </c>
      <c r="B2759" t="s">
        <v>7034</v>
      </c>
      <c r="C2759" t="s">
        <v>6767</v>
      </c>
      <c r="D2759" t="s">
        <v>6767</v>
      </c>
      <c r="E2759" t="s">
        <v>6771</v>
      </c>
    </row>
    <row r="2760" spans="1:5" x14ac:dyDescent="0.2">
      <c r="A2760" t="s">
        <v>7035</v>
      </c>
      <c r="B2760" t="s">
        <v>7036</v>
      </c>
      <c r="C2760" t="s">
        <v>6767</v>
      </c>
      <c r="D2760" t="s">
        <v>6767</v>
      </c>
      <c r="E2760" t="s">
        <v>7037</v>
      </c>
    </row>
    <row r="2761" spans="1:5" x14ac:dyDescent="0.2">
      <c r="A2761" t="s">
        <v>7038</v>
      </c>
      <c r="B2761" t="s">
        <v>7039</v>
      </c>
      <c r="C2761" t="s">
        <v>6767</v>
      </c>
      <c r="D2761" t="s">
        <v>6767</v>
      </c>
      <c r="E2761" t="s">
        <v>6768</v>
      </c>
    </row>
    <row r="2762" spans="1:5" x14ac:dyDescent="0.2">
      <c r="A2762" t="s">
        <v>7040</v>
      </c>
      <c r="B2762" t="s">
        <v>7041</v>
      </c>
      <c r="C2762" t="s">
        <v>6767</v>
      </c>
      <c r="D2762" t="s">
        <v>6767</v>
      </c>
      <c r="E2762" t="s">
        <v>7024</v>
      </c>
    </row>
    <row r="2763" spans="1:5" x14ac:dyDescent="0.2">
      <c r="A2763" t="s">
        <v>7042</v>
      </c>
      <c r="B2763" t="s">
        <v>7043</v>
      </c>
      <c r="C2763" t="s">
        <v>6767</v>
      </c>
      <c r="D2763" t="s">
        <v>6767</v>
      </c>
      <c r="E2763" t="s">
        <v>6768</v>
      </c>
    </row>
    <row r="2764" spans="1:5" x14ac:dyDescent="0.2">
      <c r="A2764" t="s">
        <v>7044</v>
      </c>
      <c r="B2764" t="s">
        <v>7045</v>
      </c>
      <c r="C2764" t="s">
        <v>6767</v>
      </c>
      <c r="D2764" t="s">
        <v>6767</v>
      </c>
      <c r="E2764" t="s">
        <v>6789</v>
      </c>
    </row>
    <row r="2765" spans="1:5" x14ac:dyDescent="0.2">
      <c r="A2765" t="s">
        <v>7046</v>
      </c>
      <c r="B2765" t="s">
        <v>7047</v>
      </c>
      <c r="C2765" t="s">
        <v>6767</v>
      </c>
      <c r="D2765" t="s">
        <v>6767</v>
      </c>
      <c r="E2765" t="s">
        <v>6771</v>
      </c>
    </row>
    <row r="2766" spans="1:5" x14ac:dyDescent="0.2">
      <c r="A2766" t="s">
        <v>7048</v>
      </c>
      <c r="B2766" t="s">
        <v>7049</v>
      </c>
      <c r="C2766" t="s">
        <v>4205</v>
      </c>
      <c r="D2766" t="s">
        <v>4205</v>
      </c>
      <c r="E2766" t="s">
        <v>7050</v>
      </c>
    </row>
    <row r="2767" spans="1:5" x14ac:dyDescent="0.2">
      <c r="A2767" t="s">
        <v>7051</v>
      </c>
      <c r="B2767" t="s">
        <v>7052</v>
      </c>
      <c r="C2767" t="s">
        <v>4205</v>
      </c>
      <c r="D2767" t="s">
        <v>4205</v>
      </c>
      <c r="E2767" t="s">
        <v>7053</v>
      </c>
    </row>
    <row r="2768" spans="1:5" x14ac:dyDescent="0.2">
      <c r="A2768" t="s">
        <v>7054</v>
      </c>
      <c r="B2768" t="s">
        <v>7055</v>
      </c>
      <c r="C2768" t="s">
        <v>4205</v>
      </c>
      <c r="D2768" t="s">
        <v>4205</v>
      </c>
      <c r="E2768" t="s">
        <v>7056</v>
      </c>
    </row>
    <row r="2769" spans="1:5" x14ac:dyDescent="0.2">
      <c r="A2769" t="s">
        <v>7057</v>
      </c>
      <c r="B2769" t="s">
        <v>7058</v>
      </c>
      <c r="C2769" t="s">
        <v>4205</v>
      </c>
      <c r="D2769" t="s">
        <v>4205</v>
      </c>
      <c r="E2769" t="s">
        <v>7059</v>
      </c>
    </row>
    <row r="2770" spans="1:5" x14ac:dyDescent="0.2">
      <c r="A2770" t="s">
        <v>7060</v>
      </c>
      <c r="B2770" t="s">
        <v>7061</v>
      </c>
      <c r="C2770" t="s">
        <v>4205</v>
      </c>
      <c r="D2770" t="s">
        <v>4205</v>
      </c>
      <c r="E2770" t="s">
        <v>7062</v>
      </c>
    </row>
    <row r="2771" spans="1:5" x14ac:dyDescent="0.2">
      <c r="A2771" t="s">
        <v>7063</v>
      </c>
      <c r="B2771" t="s">
        <v>7064</v>
      </c>
      <c r="C2771" t="s">
        <v>4205</v>
      </c>
      <c r="D2771" t="s">
        <v>4205</v>
      </c>
      <c r="E2771" t="s">
        <v>7065</v>
      </c>
    </row>
    <row r="2772" spans="1:5" x14ac:dyDescent="0.2">
      <c r="A2772" t="s">
        <v>7066</v>
      </c>
      <c r="B2772" t="s">
        <v>7067</v>
      </c>
      <c r="C2772" t="s">
        <v>4205</v>
      </c>
      <c r="D2772" t="s">
        <v>4205</v>
      </c>
      <c r="E2772" t="s">
        <v>7068</v>
      </c>
    </row>
    <row r="2773" spans="1:5" x14ac:dyDescent="0.2">
      <c r="A2773" t="s">
        <v>7069</v>
      </c>
      <c r="B2773" t="s">
        <v>7070</v>
      </c>
      <c r="C2773" t="s">
        <v>4205</v>
      </c>
      <c r="D2773" t="s">
        <v>4205</v>
      </c>
      <c r="E2773" t="s">
        <v>7071</v>
      </c>
    </row>
    <row r="2774" spans="1:5" x14ac:dyDescent="0.2">
      <c r="A2774" t="s">
        <v>7072</v>
      </c>
      <c r="B2774" t="s">
        <v>7073</v>
      </c>
      <c r="C2774" t="s">
        <v>4205</v>
      </c>
      <c r="D2774" t="s">
        <v>4205</v>
      </c>
      <c r="E2774" t="s">
        <v>7056</v>
      </c>
    </row>
    <row r="2775" spans="1:5" x14ac:dyDescent="0.2">
      <c r="A2775" t="s">
        <v>7074</v>
      </c>
      <c r="B2775" t="s">
        <v>7075</v>
      </c>
      <c r="C2775" t="s">
        <v>4205</v>
      </c>
      <c r="D2775" t="s">
        <v>4205</v>
      </c>
      <c r="E2775" t="s">
        <v>7076</v>
      </c>
    </row>
    <row r="2776" spans="1:5" x14ac:dyDescent="0.2">
      <c r="A2776" t="s">
        <v>7077</v>
      </c>
      <c r="B2776" t="s">
        <v>7078</v>
      </c>
      <c r="C2776" t="s">
        <v>4205</v>
      </c>
      <c r="D2776" t="s">
        <v>4205</v>
      </c>
      <c r="E2776" t="s">
        <v>7079</v>
      </c>
    </row>
    <row r="2777" spans="1:5" x14ac:dyDescent="0.2">
      <c r="A2777" t="s">
        <v>7080</v>
      </c>
      <c r="B2777" t="s">
        <v>7081</v>
      </c>
      <c r="C2777" t="s">
        <v>4205</v>
      </c>
      <c r="D2777" t="s">
        <v>4205</v>
      </c>
      <c r="E2777" t="s">
        <v>7082</v>
      </c>
    </row>
    <row r="2778" spans="1:5" x14ac:dyDescent="0.2">
      <c r="A2778" t="s">
        <v>7083</v>
      </c>
      <c r="B2778" t="s">
        <v>7084</v>
      </c>
      <c r="C2778" t="s">
        <v>4205</v>
      </c>
      <c r="D2778" t="s">
        <v>4205</v>
      </c>
      <c r="E2778" t="s">
        <v>7082</v>
      </c>
    </row>
    <row r="2779" spans="1:5" x14ac:dyDescent="0.2">
      <c r="A2779" t="s">
        <v>7085</v>
      </c>
      <c r="B2779" t="s">
        <v>7086</v>
      </c>
      <c r="C2779" t="s">
        <v>4205</v>
      </c>
      <c r="D2779" t="s">
        <v>4205</v>
      </c>
      <c r="E2779" t="s">
        <v>7087</v>
      </c>
    </row>
    <row r="2780" spans="1:5" x14ac:dyDescent="0.2">
      <c r="A2780" t="s">
        <v>7088</v>
      </c>
      <c r="B2780" t="s">
        <v>7089</v>
      </c>
      <c r="C2780" t="s">
        <v>4205</v>
      </c>
      <c r="D2780" t="s">
        <v>4205</v>
      </c>
      <c r="E2780" t="s">
        <v>7056</v>
      </c>
    </row>
    <row r="2781" spans="1:5" x14ac:dyDescent="0.2">
      <c r="A2781" t="s">
        <v>7090</v>
      </c>
      <c r="B2781" t="s">
        <v>7091</v>
      </c>
      <c r="C2781" t="s">
        <v>4205</v>
      </c>
      <c r="D2781" t="s">
        <v>4205</v>
      </c>
      <c r="E2781" t="s">
        <v>4206</v>
      </c>
    </row>
    <row r="2782" spans="1:5" x14ac:dyDescent="0.2">
      <c r="A2782" t="s">
        <v>7092</v>
      </c>
      <c r="B2782" t="s">
        <v>7093</v>
      </c>
      <c r="C2782" t="s">
        <v>4205</v>
      </c>
      <c r="D2782" t="s">
        <v>4205</v>
      </c>
      <c r="E2782" t="s">
        <v>7082</v>
      </c>
    </row>
    <row r="2783" spans="1:5" x14ac:dyDescent="0.2">
      <c r="A2783" t="s">
        <v>7094</v>
      </c>
      <c r="B2783" t="s">
        <v>7095</v>
      </c>
      <c r="C2783" t="s">
        <v>4205</v>
      </c>
      <c r="D2783" t="s">
        <v>4205</v>
      </c>
      <c r="E2783" t="s">
        <v>7076</v>
      </c>
    </row>
    <row r="2784" spans="1:5" x14ac:dyDescent="0.2">
      <c r="A2784" t="s">
        <v>7096</v>
      </c>
      <c r="B2784" t="s">
        <v>7097</v>
      </c>
      <c r="C2784" t="s">
        <v>4205</v>
      </c>
      <c r="D2784" t="s">
        <v>4205</v>
      </c>
      <c r="E2784" t="s">
        <v>7098</v>
      </c>
    </row>
    <row r="2785" spans="1:5" x14ac:dyDescent="0.2">
      <c r="A2785" t="s">
        <v>7099</v>
      </c>
      <c r="B2785" t="s">
        <v>7100</v>
      </c>
      <c r="C2785" t="s">
        <v>4205</v>
      </c>
      <c r="D2785" t="s">
        <v>4205</v>
      </c>
      <c r="E2785" t="s">
        <v>7101</v>
      </c>
    </row>
    <row r="2786" spans="1:5" x14ac:dyDescent="0.2">
      <c r="A2786" t="s">
        <v>2240</v>
      </c>
      <c r="B2786" t="s">
        <v>7102</v>
      </c>
      <c r="C2786" t="s">
        <v>4205</v>
      </c>
      <c r="D2786" t="s">
        <v>2203</v>
      </c>
      <c r="E2786" t="s">
        <v>2242</v>
      </c>
    </row>
    <row r="2787" spans="1:5" x14ac:dyDescent="0.2">
      <c r="A2787" t="s">
        <v>7103</v>
      </c>
      <c r="B2787" t="s">
        <v>7104</v>
      </c>
      <c r="C2787" t="s">
        <v>4205</v>
      </c>
      <c r="D2787" t="s">
        <v>4205</v>
      </c>
      <c r="E2787" t="s">
        <v>7105</v>
      </c>
    </row>
    <row r="2788" spans="1:5" x14ac:dyDescent="0.2">
      <c r="A2788" t="s">
        <v>7106</v>
      </c>
      <c r="B2788" t="s">
        <v>7107</v>
      </c>
      <c r="C2788" t="s">
        <v>4205</v>
      </c>
      <c r="D2788" t="s">
        <v>4205</v>
      </c>
      <c r="E2788" t="s">
        <v>7059</v>
      </c>
    </row>
    <row r="2789" spans="1:5" x14ac:dyDescent="0.2">
      <c r="A2789" t="s">
        <v>7108</v>
      </c>
      <c r="B2789" t="s">
        <v>7109</v>
      </c>
      <c r="C2789" t="s">
        <v>4205</v>
      </c>
      <c r="D2789" t="s">
        <v>4205</v>
      </c>
      <c r="E2789" t="s">
        <v>7076</v>
      </c>
    </row>
    <row r="2790" spans="1:5" x14ac:dyDescent="0.2">
      <c r="A2790" t="s">
        <v>7110</v>
      </c>
      <c r="B2790" t="s">
        <v>7111</v>
      </c>
      <c r="C2790" t="s">
        <v>4205</v>
      </c>
      <c r="D2790" t="s">
        <v>4205</v>
      </c>
      <c r="E2790" t="s">
        <v>7112</v>
      </c>
    </row>
    <row r="2791" spans="1:5" x14ac:dyDescent="0.2">
      <c r="A2791" t="s">
        <v>7113</v>
      </c>
      <c r="B2791" t="s">
        <v>7114</v>
      </c>
      <c r="C2791" t="s">
        <v>4205</v>
      </c>
      <c r="D2791" t="s">
        <v>4205</v>
      </c>
      <c r="E2791" t="s">
        <v>7115</v>
      </c>
    </row>
    <row r="2792" spans="1:5" x14ac:dyDescent="0.2">
      <c r="A2792" t="s">
        <v>7116</v>
      </c>
      <c r="B2792" t="s">
        <v>7117</v>
      </c>
      <c r="C2792" t="s">
        <v>4205</v>
      </c>
      <c r="D2792" t="s">
        <v>4205</v>
      </c>
      <c r="E2792" t="s">
        <v>7082</v>
      </c>
    </row>
    <row r="2793" spans="1:5" x14ac:dyDescent="0.2">
      <c r="A2793" t="s">
        <v>7118</v>
      </c>
      <c r="B2793" t="s">
        <v>7119</v>
      </c>
      <c r="C2793" t="s">
        <v>4205</v>
      </c>
      <c r="D2793" t="s">
        <v>4205</v>
      </c>
      <c r="E2793" t="s">
        <v>7076</v>
      </c>
    </row>
    <row r="2794" spans="1:5" x14ac:dyDescent="0.2">
      <c r="A2794" t="s">
        <v>7120</v>
      </c>
      <c r="B2794" t="s">
        <v>7121</v>
      </c>
      <c r="C2794" t="s">
        <v>4205</v>
      </c>
      <c r="D2794" t="s">
        <v>4205</v>
      </c>
      <c r="E2794" t="s">
        <v>7122</v>
      </c>
    </row>
    <row r="2795" spans="1:5" x14ac:dyDescent="0.2">
      <c r="A2795" t="s">
        <v>7123</v>
      </c>
      <c r="B2795" t="s">
        <v>7124</v>
      </c>
      <c r="C2795" t="s">
        <v>4205</v>
      </c>
      <c r="D2795" t="s">
        <v>4205</v>
      </c>
      <c r="E2795" t="s">
        <v>7115</v>
      </c>
    </row>
    <row r="2796" spans="1:5" x14ac:dyDescent="0.2">
      <c r="A2796" t="s">
        <v>7125</v>
      </c>
      <c r="B2796" t="s">
        <v>7126</v>
      </c>
      <c r="C2796" t="s">
        <v>4205</v>
      </c>
      <c r="D2796" t="s">
        <v>4205</v>
      </c>
      <c r="E2796" t="s">
        <v>7127</v>
      </c>
    </row>
    <row r="2797" spans="1:5" x14ac:dyDescent="0.2">
      <c r="A2797" t="s">
        <v>7128</v>
      </c>
      <c r="B2797" t="s">
        <v>7129</v>
      </c>
      <c r="C2797" t="s">
        <v>4205</v>
      </c>
      <c r="D2797" t="s">
        <v>4205</v>
      </c>
      <c r="E2797" t="s">
        <v>7076</v>
      </c>
    </row>
    <row r="2798" spans="1:5" x14ac:dyDescent="0.2">
      <c r="A2798" t="s">
        <v>7130</v>
      </c>
      <c r="B2798" t="s">
        <v>7131</v>
      </c>
      <c r="C2798" t="s">
        <v>4205</v>
      </c>
      <c r="D2798" t="s">
        <v>4205</v>
      </c>
      <c r="E2798" t="s">
        <v>7132</v>
      </c>
    </row>
    <row r="2799" spans="1:5" x14ac:dyDescent="0.2">
      <c r="A2799" t="s">
        <v>7133</v>
      </c>
      <c r="B2799" t="s">
        <v>7134</v>
      </c>
      <c r="C2799" t="s">
        <v>4205</v>
      </c>
      <c r="D2799" t="s">
        <v>4205</v>
      </c>
      <c r="E2799" t="s">
        <v>7135</v>
      </c>
    </row>
    <row r="2800" spans="1:5" x14ac:dyDescent="0.2">
      <c r="A2800" t="s">
        <v>7136</v>
      </c>
      <c r="B2800" t="s">
        <v>7137</v>
      </c>
      <c r="C2800" t="s">
        <v>4205</v>
      </c>
      <c r="D2800" t="s">
        <v>4205</v>
      </c>
      <c r="E2800" t="s">
        <v>7059</v>
      </c>
    </row>
    <row r="2801" spans="1:5" x14ac:dyDescent="0.2">
      <c r="A2801" t="s">
        <v>7138</v>
      </c>
      <c r="B2801" t="s">
        <v>7139</v>
      </c>
      <c r="C2801" t="s">
        <v>4205</v>
      </c>
      <c r="D2801" t="s">
        <v>4205</v>
      </c>
      <c r="E2801" t="s">
        <v>7140</v>
      </c>
    </row>
    <row r="2802" spans="1:5" x14ac:dyDescent="0.2">
      <c r="A2802" t="s">
        <v>7141</v>
      </c>
      <c r="B2802" t="s">
        <v>7142</v>
      </c>
      <c r="C2802" t="s">
        <v>4205</v>
      </c>
      <c r="D2802" t="s">
        <v>4205</v>
      </c>
      <c r="E2802" t="s">
        <v>7098</v>
      </c>
    </row>
    <row r="2803" spans="1:5" x14ac:dyDescent="0.2">
      <c r="A2803" t="s">
        <v>7143</v>
      </c>
      <c r="B2803" t="s">
        <v>7144</v>
      </c>
      <c r="C2803" t="s">
        <v>4205</v>
      </c>
      <c r="D2803" t="s">
        <v>4205</v>
      </c>
      <c r="E2803" t="s">
        <v>7056</v>
      </c>
    </row>
    <row r="2804" spans="1:5" x14ac:dyDescent="0.2">
      <c r="A2804" t="s">
        <v>7145</v>
      </c>
      <c r="B2804" t="s">
        <v>7146</v>
      </c>
      <c r="C2804" t="s">
        <v>4205</v>
      </c>
      <c r="D2804" t="s">
        <v>4205</v>
      </c>
      <c r="E2804" t="s">
        <v>7076</v>
      </c>
    </row>
    <row r="2805" spans="1:5" x14ac:dyDescent="0.2">
      <c r="A2805" t="s">
        <v>7147</v>
      </c>
      <c r="B2805" t="s">
        <v>7148</v>
      </c>
      <c r="C2805" t="s">
        <v>4205</v>
      </c>
      <c r="D2805" t="s">
        <v>4205</v>
      </c>
      <c r="E2805" t="s">
        <v>4206</v>
      </c>
    </row>
    <row r="2806" spans="1:5" x14ac:dyDescent="0.2">
      <c r="A2806" t="s">
        <v>7149</v>
      </c>
      <c r="B2806" t="s">
        <v>7150</v>
      </c>
      <c r="C2806" t="s">
        <v>4205</v>
      </c>
      <c r="D2806" t="s">
        <v>4205</v>
      </c>
      <c r="E2806" t="s">
        <v>7151</v>
      </c>
    </row>
    <row r="2807" spans="1:5" x14ac:dyDescent="0.2">
      <c r="A2807" t="s">
        <v>7152</v>
      </c>
      <c r="B2807" t="s">
        <v>7153</v>
      </c>
      <c r="C2807" t="s">
        <v>4205</v>
      </c>
      <c r="D2807" t="s">
        <v>4205</v>
      </c>
      <c r="E2807" t="s">
        <v>7154</v>
      </c>
    </row>
    <row r="2808" spans="1:5" x14ac:dyDescent="0.2">
      <c r="A2808" t="s">
        <v>7155</v>
      </c>
      <c r="B2808" t="s">
        <v>7156</v>
      </c>
      <c r="C2808" t="s">
        <v>4205</v>
      </c>
      <c r="D2808" t="s">
        <v>4205</v>
      </c>
      <c r="E2808" t="s">
        <v>4206</v>
      </c>
    </row>
    <row r="2809" spans="1:5" x14ac:dyDescent="0.2">
      <c r="A2809" t="s">
        <v>7157</v>
      </c>
      <c r="B2809" t="s">
        <v>7158</v>
      </c>
      <c r="C2809" t="s">
        <v>4205</v>
      </c>
      <c r="D2809" t="s">
        <v>4205</v>
      </c>
      <c r="E2809" t="s">
        <v>7159</v>
      </c>
    </row>
    <row r="2810" spans="1:5" x14ac:dyDescent="0.2">
      <c r="A2810" t="s">
        <v>7160</v>
      </c>
      <c r="B2810" t="s">
        <v>7161</v>
      </c>
      <c r="C2810" t="s">
        <v>4205</v>
      </c>
      <c r="D2810" t="s">
        <v>4205</v>
      </c>
      <c r="E2810" t="s">
        <v>7059</v>
      </c>
    </row>
    <row r="2811" spans="1:5" x14ac:dyDescent="0.2">
      <c r="A2811" t="s">
        <v>7162</v>
      </c>
      <c r="B2811" t="s">
        <v>7163</v>
      </c>
      <c r="C2811" t="s">
        <v>4205</v>
      </c>
      <c r="D2811" t="s">
        <v>4205</v>
      </c>
      <c r="E2811" t="s">
        <v>7059</v>
      </c>
    </row>
    <row r="2812" spans="1:5" x14ac:dyDescent="0.2">
      <c r="A2812" t="s">
        <v>7164</v>
      </c>
      <c r="B2812" t="s">
        <v>7165</v>
      </c>
      <c r="C2812" t="s">
        <v>4205</v>
      </c>
      <c r="D2812" t="s">
        <v>4205</v>
      </c>
      <c r="E2812" t="s">
        <v>7166</v>
      </c>
    </row>
    <row r="2813" spans="1:5" x14ac:dyDescent="0.2">
      <c r="A2813" t="s">
        <v>7167</v>
      </c>
      <c r="B2813" t="s">
        <v>7168</v>
      </c>
      <c r="C2813" t="s">
        <v>4205</v>
      </c>
      <c r="D2813" t="s">
        <v>4205</v>
      </c>
      <c r="E2813" t="s">
        <v>7166</v>
      </c>
    </row>
    <row r="2814" spans="1:5" x14ac:dyDescent="0.2">
      <c r="A2814" t="s">
        <v>7169</v>
      </c>
      <c r="B2814" t="s">
        <v>7170</v>
      </c>
      <c r="C2814" t="s">
        <v>4205</v>
      </c>
      <c r="D2814" t="s">
        <v>4205</v>
      </c>
      <c r="E2814" t="s">
        <v>7059</v>
      </c>
    </row>
    <row r="2815" spans="1:5" x14ac:dyDescent="0.2">
      <c r="A2815" t="s">
        <v>7171</v>
      </c>
      <c r="B2815" t="s">
        <v>7172</v>
      </c>
      <c r="C2815" t="s">
        <v>4205</v>
      </c>
      <c r="D2815" t="s">
        <v>4205</v>
      </c>
      <c r="E2815" t="s">
        <v>7173</v>
      </c>
    </row>
    <row r="2816" spans="1:5" x14ac:dyDescent="0.2">
      <c r="A2816" t="s">
        <v>7174</v>
      </c>
      <c r="B2816" t="s">
        <v>7175</v>
      </c>
      <c r="C2816" t="s">
        <v>4205</v>
      </c>
      <c r="D2816" t="s">
        <v>4205</v>
      </c>
      <c r="E2816" t="s">
        <v>7076</v>
      </c>
    </row>
    <row r="2817" spans="1:5" x14ac:dyDescent="0.2">
      <c r="A2817" t="s">
        <v>7176</v>
      </c>
      <c r="B2817" t="s">
        <v>7177</v>
      </c>
      <c r="C2817" t="s">
        <v>4205</v>
      </c>
      <c r="D2817" t="s">
        <v>4205</v>
      </c>
      <c r="E2817" t="s">
        <v>7178</v>
      </c>
    </row>
    <row r="2818" spans="1:5" x14ac:dyDescent="0.2">
      <c r="A2818" t="s">
        <v>7179</v>
      </c>
      <c r="B2818" t="s">
        <v>7180</v>
      </c>
      <c r="C2818" t="s">
        <v>4205</v>
      </c>
      <c r="D2818" t="s">
        <v>4205</v>
      </c>
      <c r="E2818" t="s">
        <v>7181</v>
      </c>
    </row>
    <row r="2819" spans="1:5" x14ac:dyDescent="0.2">
      <c r="A2819" t="s">
        <v>7182</v>
      </c>
      <c r="B2819" t="s">
        <v>7183</v>
      </c>
      <c r="C2819" t="s">
        <v>4205</v>
      </c>
      <c r="D2819" t="s">
        <v>4205</v>
      </c>
      <c r="E2819" t="s">
        <v>7076</v>
      </c>
    </row>
    <row r="2820" spans="1:5" x14ac:dyDescent="0.2">
      <c r="A2820" t="s">
        <v>7184</v>
      </c>
      <c r="B2820" t="s">
        <v>7185</v>
      </c>
      <c r="C2820" t="s">
        <v>4205</v>
      </c>
      <c r="D2820" t="s">
        <v>4205</v>
      </c>
      <c r="E2820" t="s">
        <v>7056</v>
      </c>
    </row>
    <row r="2821" spans="1:5" x14ac:dyDescent="0.2">
      <c r="A2821" t="s">
        <v>7186</v>
      </c>
      <c r="B2821" t="s">
        <v>7187</v>
      </c>
      <c r="C2821" t="s">
        <v>4205</v>
      </c>
      <c r="D2821" t="s">
        <v>4205</v>
      </c>
      <c r="E2821" t="s">
        <v>7115</v>
      </c>
    </row>
    <row r="2822" spans="1:5" x14ac:dyDescent="0.2">
      <c r="A2822" t="s">
        <v>7188</v>
      </c>
      <c r="B2822" t="s">
        <v>7189</v>
      </c>
      <c r="C2822" t="s">
        <v>4205</v>
      </c>
      <c r="D2822" t="s">
        <v>4205</v>
      </c>
      <c r="E2822" t="s">
        <v>7190</v>
      </c>
    </row>
    <row r="2823" spans="1:5" x14ac:dyDescent="0.2">
      <c r="A2823" t="s">
        <v>7191</v>
      </c>
      <c r="B2823" t="s">
        <v>7192</v>
      </c>
      <c r="C2823" t="s">
        <v>4205</v>
      </c>
      <c r="D2823" t="s">
        <v>4205</v>
      </c>
      <c r="E2823" t="s">
        <v>7193</v>
      </c>
    </row>
    <row r="2824" spans="1:5" x14ac:dyDescent="0.2">
      <c r="A2824" t="s">
        <v>7194</v>
      </c>
      <c r="B2824" t="s">
        <v>7195</v>
      </c>
      <c r="C2824" t="s">
        <v>4205</v>
      </c>
      <c r="D2824" t="s">
        <v>4205</v>
      </c>
      <c r="E2824" t="s">
        <v>7076</v>
      </c>
    </row>
    <row r="2825" spans="1:5" x14ac:dyDescent="0.2">
      <c r="A2825" t="s">
        <v>7196</v>
      </c>
      <c r="B2825" t="s">
        <v>7197</v>
      </c>
      <c r="C2825" t="s">
        <v>4205</v>
      </c>
      <c r="D2825" t="s">
        <v>4205</v>
      </c>
      <c r="E2825" t="s">
        <v>7056</v>
      </c>
    </row>
    <row r="2826" spans="1:5" x14ac:dyDescent="0.2">
      <c r="A2826" t="s">
        <v>7198</v>
      </c>
      <c r="B2826" t="s">
        <v>7199</v>
      </c>
      <c r="C2826" t="s">
        <v>4205</v>
      </c>
      <c r="D2826" t="s">
        <v>4205</v>
      </c>
      <c r="E2826" t="s">
        <v>7200</v>
      </c>
    </row>
    <row r="2827" spans="1:5" x14ac:dyDescent="0.2">
      <c r="A2827" t="s">
        <v>7201</v>
      </c>
      <c r="B2827" t="s">
        <v>7202</v>
      </c>
      <c r="C2827" t="s">
        <v>4205</v>
      </c>
      <c r="D2827" t="s">
        <v>4205</v>
      </c>
      <c r="E2827" t="s">
        <v>7203</v>
      </c>
    </row>
    <row r="2828" spans="1:5" x14ac:dyDescent="0.2">
      <c r="A2828" t="s">
        <v>7204</v>
      </c>
      <c r="B2828" t="s">
        <v>7205</v>
      </c>
      <c r="C2828" t="s">
        <v>4205</v>
      </c>
      <c r="D2828" t="s">
        <v>4205</v>
      </c>
      <c r="E2828" t="s">
        <v>7206</v>
      </c>
    </row>
    <row r="2829" spans="1:5" x14ac:dyDescent="0.2">
      <c r="A2829" t="s">
        <v>4203</v>
      </c>
      <c r="B2829" t="s">
        <v>7207</v>
      </c>
      <c r="C2829" t="s">
        <v>4205</v>
      </c>
      <c r="D2829" t="s">
        <v>4205</v>
      </c>
      <c r="E2829" t="s">
        <v>4206</v>
      </c>
    </row>
    <row r="2830" spans="1:5" x14ac:dyDescent="0.2">
      <c r="A2830" t="s">
        <v>7208</v>
      </c>
      <c r="B2830" t="s">
        <v>7209</v>
      </c>
      <c r="C2830" t="s">
        <v>4205</v>
      </c>
      <c r="D2830" t="s">
        <v>4205</v>
      </c>
      <c r="E2830" t="s">
        <v>7181</v>
      </c>
    </row>
    <row r="2831" spans="1:5" x14ac:dyDescent="0.2">
      <c r="A2831" t="s">
        <v>7210</v>
      </c>
      <c r="B2831" t="s">
        <v>7211</v>
      </c>
      <c r="C2831" t="s">
        <v>4205</v>
      </c>
      <c r="D2831" t="s">
        <v>4205</v>
      </c>
      <c r="E2831" t="s">
        <v>7181</v>
      </c>
    </row>
    <row r="2832" spans="1:5" x14ac:dyDescent="0.2">
      <c r="A2832" t="s">
        <v>7212</v>
      </c>
      <c r="B2832" t="s">
        <v>7213</v>
      </c>
      <c r="C2832" t="s">
        <v>4205</v>
      </c>
      <c r="D2832" t="s">
        <v>4205</v>
      </c>
      <c r="E2832" t="s">
        <v>7159</v>
      </c>
    </row>
    <row r="2833" spans="1:5" x14ac:dyDescent="0.2">
      <c r="A2833" t="s">
        <v>7214</v>
      </c>
      <c r="B2833" t="s">
        <v>7215</v>
      </c>
      <c r="C2833" t="s">
        <v>4205</v>
      </c>
      <c r="D2833" t="s">
        <v>4205</v>
      </c>
      <c r="E2833" t="s">
        <v>7190</v>
      </c>
    </row>
    <row r="2834" spans="1:5" x14ac:dyDescent="0.2">
      <c r="A2834" t="s">
        <v>7216</v>
      </c>
      <c r="B2834" t="s">
        <v>7217</v>
      </c>
      <c r="C2834" t="s">
        <v>4205</v>
      </c>
      <c r="D2834" t="s">
        <v>4205</v>
      </c>
      <c r="E2834" t="s">
        <v>7115</v>
      </c>
    </row>
    <row r="2835" spans="1:5" x14ac:dyDescent="0.2">
      <c r="A2835" t="s">
        <v>7218</v>
      </c>
      <c r="B2835" t="s">
        <v>7219</v>
      </c>
      <c r="C2835" t="s">
        <v>4205</v>
      </c>
      <c r="D2835" t="s">
        <v>4205</v>
      </c>
      <c r="E2835" t="s">
        <v>4206</v>
      </c>
    </row>
    <row r="2836" spans="1:5" x14ac:dyDescent="0.2">
      <c r="A2836" t="s">
        <v>7220</v>
      </c>
      <c r="B2836" t="s">
        <v>7221</v>
      </c>
      <c r="C2836" t="s">
        <v>4205</v>
      </c>
      <c r="D2836" t="s">
        <v>4205</v>
      </c>
      <c r="E2836" t="s">
        <v>7076</v>
      </c>
    </row>
    <row r="2837" spans="1:5" x14ac:dyDescent="0.2">
      <c r="A2837" t="s">
        <v>7222</v>
      </c>
      <c r="B2837" t="s">
        <v>7223</v>
      </c>
      <c r="C2837" t="s">
        <v>4205</v>
      </c>
      <c r="D2837" t="s">
        <v>4205</v>
      </c>
      <c r="E2837" t="s">
        <v>7224</v>
      </c>
    </row>
    <row r="2838" spans="1:5" x14ac:dyDescent="0.2">
      <c r="A2838" t="s">
        <v>7225</v>
      </c>
      <c r="B2838" t="s">
        <v>7226</v>
      </c>
      <c r="C2838" t="s">
        <v>4205</v>
      </c>
      <c r="D2838" t="s">
        <v>4205</v>
      </c>
      <c r="E2838" t="s">
        <v>7227</v>
      </c>
    </row>
    <row r="2839" spans="1:5" x14ac:dyDescent="0.2">
      <c r="A2839" t="s">
        <v>7228</v>
      </c>
      <c r="B2839" t="s">
        <v>7229</v>
      </c>
      <c r="C2839" t="s">
        <v>4205</v>
      </c>
      <c r="D2839" t="s">
        <v>4205</v>
      </c>
      <c r="E2839" t="s">
        <v>7230</v>
      </c>
    </row>
    <row r="2840" spans="1:5" x14ac:dyDescent="0.2">
      <c r="A2840" t="s">
        <v>7231</v>
      </c>
      <c r="B2840" t="s">
        <v>7232</v>
      </c>
      <c r="C2840" t="s">
        <v>4205</v>
      </c>
      <c r="D2840" t="s">
        <v>4205</v>
      </c>
      <c r="E2840" t="s">
        <v>7233</v>
      </c>
    </row>
    <row r="2841" spans="1:5" x14ac:dyDescent="0.2">
      <c r="A2841" t="s">
        <v>7234</v>
      </c>
      <c r="B2841" t="s">
        <v>7235</v>
      </c>
      <c r="C2841" t="s">
        <v>4205</v>
      </c>
      <c r="D2841" t="s">
        <v>4205</v>
      </c>
      <c r="E2841" t="s">
        <v>7236</v>
      </c>
    </row>
    <row r="2842" spans="1:5" x14ac:dyDescent="0.2">
      <c r="A2842" t="s">
        <v>7237</v>
      </c>
      <c r="B2842" t="s">
        <v>7238</v>
      </c>
      <c r="C2842" t="s">
        <v>4205</v>
      </c>
      <c r="D2842" t="s">
        <v>4205</v>
      </c>
      <c r="E2842" t="s">
        <v>7239</v>
      </c>
    </row>
    <row r="2843" spans="1:5" x14ac:dyDescent="0.2">
      <c r="A2843" t="s">
        <v>7240</v>
      </c>
      <c r="B2843" t="s">
        <v>7241</v>
      </c>
      <c r="C2843" t="s">
        <v>4205</v>
      </c>
      <c r="D2843" t="s">
        <v>4205</v>
      </c>
      <c r="E2843" t="s">
        <v>7056</v>
      </c>
    </row>
    <row r="2844" spans="1:5" x14ac:dyDescent="0.2">
      <c r="A2844" t="s">
        <v>7242</v>
      </c>
      <c r="B2844" t="s">
        <v>7243</v>
      </c>
      <c r="C2844" t="s">
        <v>4205</v>
      </c>
      <c r="D2844" t="s">
        <v>4205</v>
      </c>
      <c r="E2844" t="s">
        <v>7056</v>
      </c>
    </row>
    <row r="2845" spans="1:5" x14ac:dyDescent="0.2">
      <c r="A2845" t="s">
        <v>7244</v>
      </c>
      <c r="B2845" t="s">
        <v>7245</v>
      </c>
      <c r="C2845" t="s">
        <v>4205</v>
      </c>
      <c r="D2845" t="s">
        <v>4205</v>
      </c>
      <c r="E2845" t="s">
        <v>7076</v>
      </c>
    </row>
    <row r="2846" spans="1:5" x14ac:dyDescent="0.2">
      <c r="A2846" t="s">
        <v>7246</v>
      </c>
      <c r="B2846" t="s">
        <v>7247</v>
      </c>
      <c r="C2846" t="s">
        <v>4205</v>
      </c>
      <c r="D2846" t="s">
        <v>4205</v>
      </c>
      <c r="E2846" t="s">
        <v>7076</v>
      </c>
    </row>
    <row r="2847" spans="1:5" x14ac:dyDescent="0.2">
      <c r="A2847" t="s">
        <v>7248</v>
      </c>
      <c r="B2847" t="s">
        <v>7249</v>
      </c>
      <c r="C2847" t="s">
        <v>4205</v>
      </c>
      <c r="D2847" t="s">
        <v>4205</v>
      </c>
      <c r="E2847" t="s">
        <v>7250</v>
      </c>
    </row>
    <row r="2848" spans="1:5" x14ac:dyDescent="0.2">
      <c r="A2848" t="s">
        <v>7251</v>
      </c>
      <c r="B2848" t="s">
        <v>7252</v>
      </c>
      <c r="C2848" t="s">
        <v>4205</v>
      </c>
      <c r="D2848" t="s">
        <v>4205</v>
      </c>
      <c r="E2848" t="s">
        <v>7076</v>
      </c>
    </row>
    <row r="2849" spans="1:5" x14ac:dyDescent="0.2">
      <c r="A2849" t="s">
        <v>7253</v>
      </c>
      <c r="B2849" t="s">
        <v>7254</v>
      </c>
      <c r="C2849" t="s">
        <v>4205</v>
      </c>
      <c r="D2849" t="s">
        <v>4205</v>
      </c>
      <c r="E2849" t="s">
        <v>7115</v>
      </c>
    </row>
    <row r="2850" spans="1:5" x14ac:dyDescent="0.2">
      <c r="A2850" t="s">
        <v>7255</v>
      </c>
      <c r="B2850" t="s">
        <v>7256</v>
      </c>
      <c r="C2850" t="s">
        <v>4205</v>
      </c>
      <c r="D2850" t="s">
        <v>4205</v>
      </c>
      <c r="E2850" t="s">
        <v>7056</v>
      </c>
    </row>
    <row r="2851" spans="1:5" x14ac:dyDescent="0.2">
      <c r="A2851" t="s">
        <v>7257</v>
      </c>
      <c r="B2851" t="s">
        <v>7258</v>
      </c>
      <c r="C2851" t="s">
        <v>4205</v>
      </c>
      <c r="D2851" t="s">
        <v>4205</v>
      </c>
      <c r="E2851" t="s">
        <v>7259</v>
      </c>
    </row>
    <row r="2852" spans="1:5" x14ac:dyDescent="0.2">
      <c r="A2852" t="s">
        <v>7260</v>
      </c>
      <c r="B2852" t="s">
        <v>7261</v>
      </c>
      <c r="C2852" t="s">
        <v>4205</v>
      </c>
      <c r="D2852" t="s">
        <v>4205</v>
      </c>
      <c r="E2852" t="s">
        <v>4206</v>
      </c>
    </row>
    <row r="2853" spans="1:5" x14ac:dyDescent="0.2">
      <c r="A2853" t="s">
        <v>7262</v>
      </c>
      <c r="B2853" t="s">
        <v>7263</v>
      </c>
      <c r="C2853" t="s">
        <v>4205</v>
      </c>
      <c r="D2853" t="s">
        <v>4205</v>
      </c>
      <c r="E2853" t="s">
        <v>7264</v>
      </c>
    </row>
    <row r="2854" spans="1:5" x14ac:dyDescent="0.2">
      <c r="A2854" t="s">
        <v>7265</v>
      </c>
      <c r="B2854" t="s">
        <v>7266</v>
      </c>
      <c r="C2854" t="s">
        <v>4205</v>
      </c>
      <c r="D2854" t="s">
        <v>4205</v>
      </c>
      <c r="E2854" t="s">
        <v>7267</v>
      </c>
    </row>
    <row r="2855" spans="1:5" x14ac:dyDescent="0.2">
      <c r="A2855" t="s">
        <v>7268</v>
      </c>
      <c r="B2855" t="s">
        <v>7269</v>
      </c>
      <c r="C2855" t="s">
        <v>4205</v>
      </c>
      <c r="D2855" t="s">
        <v>4205</v>
      </c>
      <c r="E2855" t="s">
        <v>7076</v>
      </c>
    </row>
    <row r="2856" spans="1:5" x14ac:dyDescent="0.2">
      <c r="A2856" t="s">
        <v>7270</v>
      </c>
      <c r="B2856" t="s">
        <v>7271</v>
      </c>
      <c r="C2856" t="s">
        <v>4205</v>
      </c>
      <c r="D2856" t="s">
        <v>4205</v>
      </c>
      <c r="E2856" t="s">
        <v>7190</v>
      </c>
    </row>
    <row r="2857" spans="1:5" x14ac:dyDescent="0.2">
      <c r="A2857" t="s">
        <v>7272</v>
      </c>
      <c r="B2857" t="s">
        <v>7273</v>
      </c>
      <c r="C2857" t="s">
        <v>4205</v>
      </c>
      <c r="D2857" t="s">
        <v>4205</v>
      </c>
      <c r="E2857" t="s">
        <v>7056</v>
      </c>
    </row>
    <row r="2858" spans="1:5" x14ac:dyDescent="0.2">
      <c r="A2858" t="s">
        <v>7274</v>
      </c>
      <c r="B2858" t="s">
        <v>7275</v>
      </c>
      <c r="C2858" t="s">
        <v>4205</v>
      </c>
      <c r="D2858" t="s">
        <v>4205</v>
      </c>
      <c r="E2858" t="s">
        <v>7276</v>
      </c>
    </row>
    <row r="2859" spans="1:5" x14ac:dyDescent="0.2">
      <c r="A2859" t="s">
        <v>7277</v>
      </c>
      <c r="B2859" t="s">
        <v>7278</v>
      </c>
      <c r="C2859" t="s">
        <v>4205</v>
      </c>
      <c r="D2859" t="s">
        <v>4205</v>
      </c>
      <c r="E2859" t="s">
        <v>4206</v>
      </c>
    </row>
    <row r="2860" spans="1:5" x14ac:dyDescent="0.2">
      <c r="A2860" t="s">
        <v>7279</v>
      </c>
      <c r="B2860" t="s">
        <v>7280</v>
      </c>
      <c r="C2860" t="s">
        <v>4205</v>
      </c>
      <c r="D2860" t="s">
        <v>4205</v>
      </c>
      <c r="E2860" t="s">
        <v>7281</v>
      </c>
    </row>
    <row r="2861" spans="1:5" x14ac:dyDescent="0.2">
      <c r="A2861" t="s">
        <v>7282</v>
      </c>
      <c r="B2861" t="s">
        <v>7283</v>
      </c>
      <c r="C2861" t="s">
        <v>4205</v>
      </c>
      <c r="D2861" t="s">
        <v>4205</v>
      </c>
      <c r="E2861" t="s">
        <v>7059</v>
      </c>
    </row>
    <row r="2862" spans="1:5" x14ac:dyDescent="0.2">
      <c r="A2862" t="s">
        <v>7284</v>
      </c>
      <c r="B2862" t="s">
        <v>7285</v>
      </c>
      <c r="C2862" t="s">
        <v>4205</v>
      </c>
      <c r="D2862" t="s">
        <v>4205</v>
      </c>
      <c r="E2862" t="s">
        <v>7076</v>
      </c>
    </row>
    <row r="2863" spans="1:5" x14ac:dyDescent="0.2">
      <c r="A2863" t="s">
        <v>7286</v>
      </c>
      <c r="B2863" t="s">
        <v>7287</v>
      </c>
      <c r="C2863" t="s">
        <v>4205</v>
      </c>
      <c r="D2863" t="s">
        <v>4205</v>
      </c>
      <c r="E2863" t="s">
        <v>7076</v>
      </c>
    </row>
    <row r="2864" spans="1:5" x14ac:dyDescent="0.2">
      <c r="A2864" t="s">
        <v>7288</v>
      </c>
      <c r="B2864" t="s">
        <v>7289</v>
      </c>
      <c r="C2864" t="s">
        <v>4205</v>
      </c>
      <c r="D2864" t="s">
        <v>4205</v>
      </c>
      <c r="E2864" t="s">
        <v>7059</v>
      </c>
    </row>
    <row r="2865" spans="1:5" x14ac:dyDescent="0.2">
      <c r="A2865" t="s">
        <v>7290</v>
      </c>
      <c r="B2865" t="s">
        <v>7291</v>
      </c>
      <c r="C2865" t="s">
        <v>4205</v>
      </c>
      <c r="D2865" t="s">
        <v>4205</v>
      </c>
      <c r="E2865" t="s">
        <v>7115</v>
      </c>
    </row>
    <row r="2866" spans="1:5" x14ac:dyDescent="0.2">
      <c r="A2866" t="s">
        <v>7292</v>
      </c>
      <c r="B2866" t="s">
        <v>7293</v>
      </c>
      <c r="C2866" t="s">
        <v>4205</v>
      </c>
      <c r="D2866" t="s">
        <v>4205</v>
      </c>
      <c r="E2866" t="s">
        <v>7294</v>
      </c>
    </row>
    <row r="2867" spans="1:5" x14ac:dyDescent="0.2">
      <c r="A2867" t="s">
        <v>7295</v>
      </c>
      <c r="B2867" t="s">
        <v>7296</v>
      </c>
      <c r="C2867" t="s">
        <v>4205</v>
      </c>
      <c r="D2867" t="s">
        <v>4205</v>
      </c>
      <c r="E2867" t="s">
        <v>7059</v>
      </c>
    </row>
    <row r="2868" spans="1:5" x14ac:dyDescent="0.2">
      <c r="A2868" t="s">
        <v>7297</v>
      </c>
      <c r="B2868" t="s">
        <v>7298</v>
      </c>
      <c r="C2868" t="s">
        <v>4205</v>
      </c>
      <c r="D2868" t="s">
        <v>4205</v>
      </c>
      <c r="E2868" t="s">
        <v>4206</v>
      </c>
    </row>
    <row r="2869" spans="1:5" x14ac:dyDescent="0.2">
      <c r="A2869" t="s">
        <v>7299</v>
      </c>
      <c r="B2869" t="s">
        <v>7300</v>
      </c>
      <c r="C2869" t="s">
        <v>4205</v>
      </c>
      <c r="D2869" t="s">
        <v>4205</v>
      </c>
      <c r="E2869" t="s">
        <v>7076</v>
      </c>
    </row>
    <row r="2870" spans="1:5" x14ac:dyDescent="0.2">
      <c r="A2870" t="s">
        <v>1033</v>
      </c>
      <c r="B2870" t="s">
        <v>7301</v>
      </c>
      <c r="C2870" t="s">
        <v>4205</v>
      </c>
      <c r="D2870" t="s">
        <v>513</v>
      </c>
      <c r="E2870" t="s">
        <v>523</v>
      </c>
    </row>
    <row r="2871" spans="1:5" x14ac:dyDescent="0.2">
      <c r="A2871" t="s">
        <v>7302</v>
      </c>
      <c r="B2871" t="s">
        <v>7303</v>
      </c>
      <c r="C2871" t="s">
        <v>4205</v>
      </c>
      <c r="D2871" t="s">
        <v>4205</v>
      </c>
      <c r="E2871" t="s">
        <v>7059</v>
      </c>
    </row>
    <row r="2872" spans="1:5" x14ac:dyDescent="0.2">
      <c r="A2872" t="s">
        <v>7304</v>
      </c>
      <c r="B2872" t="s">
        <v>7305</v>
      </c>
      <c r="C2872" t="s">
        <v>4205</v>
      </c>
      <c r="D2872" t="s">
        <v>4205</v>
      </c>
      <c r="E2872" t="s">
        <v>7076</v>
      </c>
    </row>
    <row r="2873" spans="1:5" x14ac:dyDescent="0.2">
      <c r="A2873" t="s">
        <v>7306</v>
      </c>
      <c r="B2873" t="s">
        <v>7307</v>
      </c>
      <c r="C2873" t="s">
        <v>4205</v>
      </c>
      <c r="D2873" t="s">
        <v>4205</v>
      </c>
      <c r="E2873" t="s">
        <v>7059</v>
      </c>
    </row>
    <row r="2874" spans="1:5" x14ac:dyDescent="0.2">
      <c r="A2874" t="s">
        <v>7308</v>
      </c>
      <c r="B2874" t="s">
        <v>7309</v>
      </c>
      <c r="C2874" t="s">
        <v>4205</v>
      </c>
      <c r="D2874" t="s">
        <v>4205</v>
      </c>
      <c r="E2874" t="s">
        <v>7135</v>
      </c>
    </row>
    <row r="2875" spans="1:5" x14ac:dyDescent="0.2">
      <c r="A2875" t="s">
        <v>7310</v>
      </c>
      <c r="B2875" t="s">
        <v>7311</v>
      </c>
      <c r="C2875" t="s">
        <v>4205</v>
      </c>
      <c r="D2875" t="s">
        <v>4205</v>
      </c>
      <c r="E2875" t="s">
        <v>7076</v>
      </c>
    </row>
    <row r="2876" spans="1:5" x14ac:dyDescent="0.2">
      <c r="A2876" t="s">
        <v>7312</v>
      </c>
      <c r="B2876" t="s">
        <v>7313</v>
      </c>
      <c r="C2876" t="s">
        <v>4205</v>
      </c>
      <c r="D2876" t="s">
        <v>4205</v>
      </c>
      <c r="E2876" t="s">
        <v>7314</v>
      </c>
    </row>
    <row r="2877" spans="1:5" x14ac:dyDescent="0.2">
      <c r="A2877" t="s">
        <v>7315</v>
      </c>
      <c r="B2877" t="s">
        <v>7316</v>
      </c>
      <c r="C2877" t="s">
        <v>4205</v>
      </c>
      <c r="D2877" t="s">
        <v>4205</v>
      </c>
      <c r="E2877" t="s">
        <v>7059</v>
      </c>
    </row>
    <row r="2878" spans="1:5" x14ac:dyDescent="0.2">
      <c r="A2878" t="s">
        <v>7317</v>
      </c>
      <c r="B2878" t="s">
        <v>7318</v>
      </c>
      <c r="C2878" t="s">
        <v>4205</v>
      </c>
      <c r="D2878" t="e">
        <v>#N/A</v>
      </c>
      <c r="E2878" t="e">
        <v>#N/A</v>
      </c>
    </row>
    <row r="2879" spans="1:5" x14ac:dyDescent="0.2">
      <c r="A2879" t="s">
        <v>7319</v>
      </c>
      <c r="B2879" t="s">
        <v>7320</v>
      </c>
      <c r="C2879" t="s">
        <v>4205</v>
      </c>
      <c r="D2879" t="s">
        <v>4205</v>
      </c>
      <c r="E2879" t="s">
        <v>7321</v>
      </c>
    </row>
    <row r="2880" spans="1:5" x14ac:dyDescent="0.2">
      <c r="A2880" t="s">
        <v>7322</v>
      </c>
      <c r="B2880" t="s">
        <v>7323</v>
      </c>
      <c r="C2880" t="s">
        <v>4205</v>
      </c>
      <c r="D2880" t="s">
        <v>4205</v>
      </c>
      <c r="E2880" t="s">
        <v>7324</v>
      </c>
    </row>
    <row r="2881" spans="1:5" x14ac:dyDescent="0.2">
      <c r="A2881" t="s">
        <v>7325</v>
      </c>
      <c r="B2881" t="s">
        <v>7326</v>
      </c>
      <c r="C2881" t="s">
        <v>4205</v>
      </c>
      <c r="D2881" t="s">
        <v>4205</v>
      </c>
      <c r="E2881" t="s">
        <v>7059</v>
      </c>
    </row>
    <row r="2882" spans="1:5" x14ac:dyDescent="0.2">
      <c r="A2882" t="s">
        <v>7327</v>
      </c>
      <c r="B2882" t="s">
        <v>7328</v>
      </c>
      <c r="C2882" t="s">
        <v>4205</v>
      </c>
      <c r="D2882" t="s">
        <v>4205</v>
      </c>
      <c r="E2882" t="s">
        <v>7059</v>
      </c>
    </row>
    <row r="2883" spans="1:5" x14ac:dyDescent="0.2">
      <c r="A2883" t="s">
        <v>7329</v>
      </c>
      <c r="B2883" t="s">
        <v>7330</v>
      </c>
      <c r="C2883" t="s">
        <v>4205</v>
      </c>
      <c r="D2883" t="s">
        <v>4205</v>
      </c>
      <c r="E2883" t="s">
        <v>7331</v>
      </c>
    </row>
    <row r="2884" spans="1:5" x14ac:dyDescent="0.2">
      <c r="A2884" t="s">
        <v>7332</v>
      </c>
      <c r="B2884" t="s">
        <v>7333</v>
      </c>
      <c r="C2884" t="s">
        <v>4205</v>
      </c>
      <c r="D2884" t="s">
        <v>4205</v>
      </c>
      <c r="E2884" t="s">
        <v>7334</v>
      </c>
    </row>
    <row r="2885" spans="1:5" x14ac:dyDescent="0.2">
      <c r="A2885" t="s">
        <v>7335</v>
      </c>
      <c r="B2885" t="s">
        <v>7336</v>
      </c>
      <c r="C2885" t="s">
        <v>4205</v>
      </c>
      <c r="D2885" t="s">
        <v>4205</v>
      </c>
      <c r="E2885" t="s">
        <v>7082</v>
      </c>
    </row>
    <row r="2886" spans="1:5" x14ac:dyDescent="0.2">
      <c r="A2886" t="s">
        <v>7337</v>
      </c>
      <c r="B2886" t="s">
        <v>7338</v>
      </c>
      <c r="C2886" t="s">
        <v>4205</v>
      </c>
      <c r="D2886" t="s">
        <v>4205</v>
      </c>
      <c r="E2886" t="s">
        <v>7076</v>
      </c>
    </row>
    <row r="2887" spans="1:5" x14ac:dyDescent="0.2">
      <c r="A2887" t="s">
        <v>7339</v>
      </c>
      <c r="B2887" t="s">
        <v>7340</v>
      </c>
      <c r="C2887" t="s">
        <v>4205</v>
      </c>
      <c r="D2887" t="s">
        <v>4205</v>
      </c>
      <c r="E2887" t="s">
        <v>7076</v>
      </c>
    </row>
    <row r="2888" spans="1:5" x14ac:dyDescent="0.2">
      <c r="A2888" t="s">
        <v>7341</v>
      </c>
      <c r="B2888" t="s">
        <v>7342</v>
      </c>
      <c r="C2888" t="s">
        <v>4205</v>
      </c>
      <c r="D2888" t="s">
        <v>4205</v>
      </c>
      <c r="E2888" t="s">
        <v>7076</v>
      </c>
    </row>
    <row r="2889" spans="1:5" x14ac:dyDescent="0.2">
      <c r="A2889" t="s">
        <v>7343</v>
      </c>
      <c r="B2889" t="s">
        <v>7344</v>
      </c>
      <c r="C2889" t="s">
        <v>4205</v>
      </c>
      <c r="D2889" t="s">
        <v>4205</v>
      </c>
      <c r="E2889" t="s">
        <v>7056</v>
      </c>
    </row>
    <row r="2890" spans="1:5" x14ac:dyDescent="0.2">
      <c r="A2890" t="s">
        <v>7345</v>
      </c>
      <c r="B2890" t="s">
        <v>7346</v>
      </c>
      <c r="C2890" t="s">
        <v>4205</v>
      </c>
      <c r="D2890" t="s">
        <v>4205</v>
      </c>
      <c r="E2890" t="s">
        <v>7056</v>
      </c>
    </row>
    <row r="2891" spans="1:5" x14ac:dyDescent="0.2">
      <c r="A2891" t="s">
        <v>7347</v>
      </c>
      <c r="B2891" t="s">
        <v>7348</v>
      </c>
      <c r="C2891" t="s">
        <v>4205</v>
      </c>
      <c r="D2891" t="s">
        <v>4205</v>
      </c>
      <c r="E2891" t="s">
        <v>7159</v>
      </c>
    </row>
    <row r="2892" spans="1:5" x14ac:dyDescent="0.2">
      <c r="A2892" t="s">
        <v>7349</v>
      </c>
      <c r="B2892" t="s">
        <v>7350</v>
      </c>
      <c r="C2892" t="s">
        <v>4205</v>
      </c>
      <c r="D2892" t="s">
        <v>4205</v>
      </c>
      <c r="E2892" t="s">
        <v>7351</v>
      </c>
    </row>
    <row r="2893" spans="1:5" x14ac:dyDescent="0.2">
      <c r="A2893" t="s">
        <v>7352</v>
      </c>
      <c r="B2893" t="s">
        <v>7353</v>
      </c>
      <c r="C2893" t="s">
        <v>4205</v>
      </c>
      <c r="D2893" t="s">
        <v>4205</v>
      </c>
      <c r="E2893" t="s">
        <v>7264</v>
      </c>
    </row>
    <row r="2894" spans="1:5" x14ac:dyDescent="0.2">
      <c r="A2894" t="s">
        <v>7354</v>
      </c>
      <c r="B2894" t="s">
        <v>7355</v>
      </c>
      <c r="C2894" t="s">
        <v>4205</v>
      </c>
      <c r="D2894" t="s">
        <v>4205</v>
      </c>
      <c r="E2894" t="s">
        <v>7059</v>
      </c>
    </row>
    <row r="2895" spans="1:5" x14ac:dyDescent="0.2">
      <c r="A2895" t="s">
        <v>7356</v>
      </c>
      <c r="B2895" t="s">
        <v>7357</v>
      </c>
      <c r="C2895" t="s">
        <v>4205</v>
      </c>
      <c r="D2895" t="s">
        <v>4205</v>
      </c>
      <c r="E2895" t="s">
        <v>7076</v>
      </c>
    </row>
    <row r="2896" spans="1:5" x14ac:dyDescent="0.2">
      <c r="A2896" t="s">
        <v>7358</v>
      </c>
      <c r="B2896" t="s">
        <v>7359</v>
      </c>
      <c r="C2896" t="s">
        <v>4205</v>
      </c>
      <c r="D2896" t="s">
        <v>4205</v>
      </c>
      <c r="E2896" t="s">
        <v>7294</v>
      </c>
    </row>
    <row r="2897" spans="1:5" x14ac:dyDescent="0.2">
      <c r="A2897" t="s">
        <v>7360</v>
      </c>
      <c r="B2897" t="s">
        <v>7361</v>
      </c>
      <c r="C2897" t="s">
        <v>4205</v>
      </c>
      <c r="D2897" t="s">
        <v>4205</v>
      </c>
      <c r="E2897" t="s">
        <v>7362</v>
      </c>
    </row>
    <row r="2898" spans="1:5" x14ac:dyDescent="0.2">
      <c r="A2898" t="s">
        <v>7363</v>
      </c>
      <c r="B2898" t="s">
        <v>7364</v>
      </c>
      <c r="C2898" t="s">
        <v>4205</v>
      </c>
      <c r="D2898" t="s">
        <v>4205</v>
      </c>
      <c r="E2898" t="s">
        <v>7181</v>
      </c>
    </row>
    <row r="2899" spans="1:5" x14ac:dyDescent="0.2">
      <c r="A2899" t="s">
        <v>7365</v>
      </c>
      <c r="B2899" t="s">
        <v>7366</v>
      </c>
      <c r="C2899" t="s">
        <v>4205</v>
      </c>
      <c r="D2899" t="s">
        <v>4205</v>
      </c>
      <c r="E2899" t="s">
        <v>7056</v>
      </c>
    </row>
    <row r="2900" spans="1:5" x14ac:dyDescent="0.2">
      <c r="A2900" t="s">
        <v>7367</v>
      </c>
      <c r="B2900" t="s">
        <v>7368</v>
      </c>
      <c r="C2900" t="s">
        <v>4205</v>
      </c>
      <c r="D2900" t="s">
        <v>4205</v>
      </c>
      <c r="E2900" t="s">
        <v>7369</v>
      </c>
    </row>
    <row r="2901" spans="1:5" x14ac:dyDescent="0.2">
      <c r="A2901" t="s">
        <v>7370</v>
      </c>
      <c r="B2901" t="s">
        <v>7371</v>
      </c>
      <c r="C2901" t="s">
        <v>4205</v>
      </c>
      <c r="D2901" t="s">
        <v>4205</v>
      </c>
      <c r="E2901" t="s">
        <v>7267</v>
      </c>
    </row>
    <row r="2902" spans="1:5" x14ac:dyDescent="0.2">
      <c r="A2902" t="s">
        <v>7372</v>
      </c>
      <c r="B2902" t="s">
        <v>7373</v>
      </c>
      <c r="C2902" t="s">
        <v>4205</v>
      </c>
      <c r="D2902" t="s">
        <v>4205</v>
      </c>
      <c r="E2902" t="s">
        <v>7056</v>
      </c>
    </row>
    <row r="2903" spans="1:5" x14ac:dyDescent="0.2">
      <c r="A2903" t="s">
        <v>7374</v>
      </c>
      <c r="B2903" t="s">
        <v>7375</v>
      </c>
      <c r="C2903" t="s">
        <v>4205</v>
      </c>
      <c r="D2903" t="s">
        <v>4205</v>
      </c>
      <c r="E2903" t="s">
        <v>7056</v>
      </c>
    </row>
    <row r="2904" spans="1:5" x14ac:dyDescent="0.2">
      <c r="A2904" t="s">
        <v>7376</v>
      </c>
      <c r="B2904" t="s">
        <v>7377</v>
      </c>
      <c r="C2904" t="s">
        <v>4205</v>
      </c>
      <c r="D2904" t="s">
        <v>4205</v>
      </c>
      <c r="E2904" t="s">
        <v>7115</v>
      </c>
    </row>
    <row r="2905" spans="1:5" x14ac:dyDescent="0.2">
      <c r="A2905" t="s">
        <v>7378</v>
      </c>
      <c r="B2905" t="s">
        <v>7379</v>
      </c>
      <c r="C2905" t="s">
        <v>4205</v>
      </c>
      <c r="D2905" t="s">
        <v>4205</v>
      </c>
      <c r="E2905" t="s">
        <v>7380</v>
      </c>
    </row>
    <row r="2906" spans="1:5" x14ac:dyDescent="0.2">
      <c r="A2906" t="s">
        <v>7381</v>
      </c>
      <c r="B2906" t="s">
        <v>7382</v>
      </c>
      <c r="C2906" t="s">
        <v>4205</v>
      </c>
      <c r="D2906" t="s">
        <v>4205</v>
      </c>
      <c r="E2906" t="s">
        <v>7383</v>
      </c>
    </row>
    <row r="2907" spans="1:5" x14ac:dyDescent="0.2">
      <c r="A2907" t="s">
        <v>7384</v>
      </c>
      <c r="B2907" t="s">
        <v>7385</v>
      </c>
      <c r="C2907" t="s">
        <v>4205</v>
      </c>
      <c r="D2907" t="e">
        <v>#N/A</v>
      </c>
      <c r="E2907" t="e">
        <v>#N/A</v>
      </c>
    </row>
    <row r="2908" spans="1:5" x14ac:dyDescent="0.2">
      <c r="A2908" t="s">
        <v>7386</v>
      </c>
      <c r="B2908" t="s">
        <v>7387</v>
      </c>
      <c r="C2908" t="s">
        <v>4205</v>
      </c>
      <c r="D2908" t="e">
        <v>#N/A</v>
      </c>
      <c r="E2908" t="e">
        <v>#N/A</v>
      </c>
    </row>
    <row r="2909" spans="1:5" x14ac:dyDescent="0.2">
      <c r="A2909" t="s">
        <v>7388</v>
      </c>
      <c r="B2909" t="s">
        <v>7389</v>
      </c>
      <c r="C2909" t="s">
        <v>4205</v>
      </c>
      <c r="D2909" t="e">
        <v>#N/A</v>
      </c>
      <c r="E2909" t="e">
        <v>#N/A</v>
      </c>
    </row>
    <row r="2910" spans="1:5" x14ac:dyDescent="0.2">
      <c r="A2910" t="s">
        <v>7390</v>
      </c>
      <c r="B2910" t="s">
        <v>7391</v>
      </c>
      <c r="C2910" t="s">
        <v>4205</v>
      </c>
      <c r="D2910" t="e">
        <v>#N/A</v>
      </c>
      <c r="E2910" t="e">
        <v>#N/A</v>
      </c>
    </row>
    <row r="2911" spans="1:5" x14ac:dyDescent="0.2">
      <c r="A2911" t="s">
        <v>7392</v>
      </c>
      <c r="B2911" t="s">
        <v>7393</v>
      </c>
      <c r="C2911" t="s">
        <v>4205</v>
      </c>
      <c r="D2911" t="e">
        <v>#N/A</v>
      </c>
      <c r="E2911" t="e">
        <v>#N/A</v>
      </c>
    </row>
    <row r="2912" spans="1:5" x14ac:dyDescent="0.2">
      <c r="A2912" t="s">
        <v>7394</v>
      </c>
      <c r="B2912" t="s">
        <v>7395</v>
      </c>
      <c r="C2912" t="s">
        <v>4205</v>
      </c>
      <c r="D2912" t="e">
        <v>#N/A</v>
      </c>
      <c r="E2912" t="e">
        <v>#N/A</v>
      </c>
    </row>
    <row r="2913" spans="1:5" x14ac:dyDescent="0.2">
      <c r="A2913" t="s">
        <v>7396</v>
      </c>
      <c r="B2913" t="s">
        <v>7397</v>
      </c>
      <c r="C2913" t="s">
        <v>4205</v>
      </c>
      <c r="D2913" t="e">
        <v>#N/A</v>
      </c>
      <c r="E2913" t="e">
        <v>#N/A</v>
      </c>
    </row>
    <row r="2914" spans="1:5" x14ac:dyDescent="0.2">
      <c r="A2914" t="s">
        <v>7398</v>
      </c>
      <c r="B2914" t="s">
        <v>7399</v>
      </c>
      <c r="C2914" t="s">
        <v>4205</v>
      </c>
      <c r="D2914" t="e">
        <v>#N/A</v>
      </c>
      <c r="E2914" t="e">
        <v>#N/A</v>
      </c>
    </row>
    <row r="2915" spans="1:5" x14ac:dyDescent="0.2">
      <c r="A2915" t="s">
        <v>7400</v>
      </c>
      <c r="B2915" t="s">
        <v>7401</v>
      </c>
      <c r="C2915" t="s">
        <v>4205</v>
      </c>
      <c r="D2915" t="e">
        <v>#N/A</v>
      </c>
      <c r="E2915" t="e">
        <v>#N/A</v>
      </c>
    </row>
    <row r="2916" spans="1:5" x14ac:dyDescent="0.2">
      <c r="A2916" t="s">
        <v>7402</v>
      </c>
      <c r="B2916" t="s">
        <v>7403</v>
      </c>
      <c r="C2916" t="s">
        <v>4205</v>
      </c>
      <c r="D2916" t="e">
        <v>#N/A</v>
      </c>
      <c r="E2916" t="e">
        <v>#N/A</v>
      </c>
    </row>
    <row r="2917" spans="1:5" x14ac:dyDescent="0.2">
      <c r="A2917" t="s">
        <v>7404</v>
      </c>
      <c r="B2917" t="s">
        <v>7405</v>
      </c>
      <c r="C2917" t="s">
        <v>4205</v>
      </c>
      <c r="D2917" t="e">
        <v>#N/A</v>
      </c>
      <c r="E2917" t="e">
        <v>#N/A</v>
      </c>
    </row>
    <row r="2918" spans="1:5" x14ac:dyDescent="0.2">
      <c r="A2918" t="s">
        <v>7406</v>
      </c>
      <c r="B2918" t="s">
        <v>7407</v>
      </c>
      <c r="C2918" t="s">
        <v>4205</v>
      </c>
      <c r="D2918" t="e">
        <v>#N/A</v>
      </c>
      <c r="E2918" t="e">
        <v>#N/A</v>
      </c>
    </row>
    <row r="2919" spans="1:5" x14ac:dyDescent="0.2">
      <c r="A2919" t="s">
        <v>7408</v>
      </c>
      <c r="B2919" t="s">
        <v>7409</v>
      </c>
      <c r="C2919" t="s">
        <v>4205</v>
      </c>
      <c r="D2919" t="e">
        <v>#N/A</v>
      </c>
      <c r="E2919" t="e">
        <v>#N/A</v>
      </c>
    </row>
    <row r="2920" spans="1:5" x14ac:dyDescent="0.2">
      <c r="A2920" t="s">
        <v>7410</v>
      </c>
      <c r="B2920" t="s">
        <v>7411</v>
      </c>
      <c r="C2920" t="s">
        <v>4205</v>
      </c>
      <c r="D2920" t="e">
        <v>#N/A</v>
      </c>
      <c r="E2920" t="e">
        <v>#N/A</v>
      </c>
    </row>
    <row r="2921" spans="1:5" x14ac:dyDescent="0.2">
      <c r="A2921" t="s">
        <v>7412</v>
      </c>
      <c r="B2921" t="s">
        <v>7413</v>
      </c>
      <c r="C2921" t="s">
        <v>4205</v>
      </c>
      <c r="D2921" t="e">
        <v>#N/A</v>
      </c>
      <c r="E2921" t="e">
        <v>#N/A</v>
      </c>
    </row>
    <row r="2922" spans="1:5" x14ac:dyDescent="0.2">
      <c r="A2922" t="s">
        <v>7414</v>
      </c>
      <c r="B2922" t="s">
        <v>7415</v>
      </c>
      <c r="C2922" t="s">
        <v>4205</v>
      </c>
      <c r="D2922" t="e">
        <v>#N/A</v>
      </c>
      <c r="E2922" t="e">
        <v>#N/A</v>
      </c>
    </row>
    <row r="2923" spans="1:5" x14ac:dyDescent="0.2">
      <c r="A2923" t="s">
        <v>7416</v>
      </c>
      <c r="B2923" t="s">
        <v>7417</v>
      </c>
      <c r="C2923" t="s">
        <v>4205</v>
      </c>
      <c r="D2923" t="e">
        <v>#N/A</v>
      </c>
      <c r="E2923" t="e">
        <v>#N/A</v>
      </c>
    </row>
    <row r="2924" spans="1:5" x14ac:dyDescent="0.2">
      <c r="A2924" t="s">
        <v>7418</v>
      </c>
      <c r="B2924" t="s">
        <v>7419</v>
      </c>
      <c r="C2924" t="s">
        <v>4205</v>
      </c>
      <c r="D2924" t="e">
        <v>#N/A</v>
      </c>
      <c r="E2924" t="e">
        <v>#N/A</v>
      </c>
    </row>
    <row r="2925" spans="1:5" x14ac:dyDescent="0.2">
      <c r="A2925" t="s">
        <v>7420</v>
      </c>
      <c r="B2925" t="s">
        <v>7421</v>
      </c>
      <c r="C2925" t="s">
        <v>4205</v>
      </c>
      <c r="D2925" t="e">
        <v>#N/A</v>
      </c>
      <c r="E2925" t="e">
        <v>#N/A</v>
      </c>
    </row>
    <row r="2926" spans="1:5" x14ac:dyDescent="0.2">
      <c r="A2926" t="s">
        <v>7422</v>
      </c>
      <c r="B2926" t="s">
        <v>7423</v>
      </c>
      <c r="C2926" t="s">
        <v>4205</v>
      </c>
      <c r="D2926" t="e">
        <v>#N/A</v>
      </c>
      <c r="E2926" t="e">
        <v>#N/A</v>
      </c>
    </row>
    <row r="2927" spans="1:5" x14ac:dyDescent="0.2">
      <c r="A2927" t="s">
        <v>7424</v>
      </c>
      <c r="B2927" t="s">
        <v>7425</v>
      </c>
      <c r="C2927" t="s">
        <v>4205</v>
      </c>
      <c r="D2927" t="e">
        <v>#N/A</v>
      </c>
      <c r="E2927" t="e">
        <v>#N/A</v>
      </c>
    </row>
    <row r="2928" spans="1:5" x14ac:dyDescent="0.2">
      <c r="A2928" t="s">
        <v>7426</v>
      </c>
      <c r="B2928" t="s">
        <v>7427</v>
      </c>
      <c r="C2928" t="s">
        <v>4205</v>
      </c>
      <c r="D2928" t="e">
        <v>#N/A</v>
      </c>
      <c r="E2928" t="e">
        <v>#N/A</v>
      </c>
    </row>
    <row r="2929" spans="1:5" x14ac:dyDescent="0.2">
      <c r="A2929" t="s">
        <v>7428</v>
      </c>
      <c r="B2929" t="s">
        <v>7429</v>
      </c>
      <c r="C2929" t="s">
        <v>4205</v>
      </c>
      <c r="D2929" t="e">
        <v>#N/A</v>
      </c>
      <c r="E2929" t="e">
        <v>#N/A</v>
      </c>
    </row>
    <row r="2930" spans="1:5" x14ac:dyDescent="0.2">
      <c r="A2930" t="s">
        <v>7430</v>
      </c>
      <c r="B2930" t="s">
        <v>7431</v>
      </c>
      <c r="C2930" t="s">
        <v>4205</v>
      </c>
      <c r="D2930" t="e">
        <v>#N/A</v>
      </c>
      <c r="E2930" t="e">
        <v>#N/A</v>
      </c>
    </row>
    <row r="2931" spans="1:5" x14ac:dyDescent="0.2">
      <c r="A2931" t="s">
        <v>7432</v>
      </c>
      <c r="B2931" t="s">
        <v>7433</v>
      </c>
      <c r="C2931" t="s">
        <v>4205</v>
      </c>
      <c r="D2931" t="e">
        <v>#N/A</v>
      </c>
      <c r="E2931" t="e">
        <v>#N/A</v>
      </c>
    </row>
    <row r="2932" spans="1:5" x14ac:dyDescent="0.2">
      <c r="A2932" t="s">
        <v>7434</v>
      </c>
      <c r="B2932" t="s">
        <v>7435</v>
      </c>
      <c r="C2932" t="s">
        <v>7436</v>
      </c>
      <c r="D2932" t="s">
        <v>7436</v>
      </c>
      <c r="E2932" t="s">
        <v>7437</v>
      </c>
    </row>
    <row r="2933" spans="1:5" x14ac:dyDescent="0.2">
      <c r="A2933" t="s">
        <v>7438</v>
      </c>
      <c r="B2933" t="s">
        <v>7439</v>
      </c>
      <c r="C2933" t="s">
        <v>7436</v>
      </c>
      <c r="D2933" t="s">
        <v>7436</v>
      </c>
      <c r="E2933" t="s">
        <v>7440</v>
      </c>
    </row>
    <row r="2934" spans="1:5" x14ac:dyDescent="0.2">
      <c r="A2934" t="s">
        <v>7441</v>
      </c>
      <c r="B2934" t="s">
        <v>7442</v>
      </c>
      <c r="C2934" t="s">
        <v>7436</v>
      </c>
      <c r="D2934" t="s">
        <v>7436</v>
      </c>
      <c r="E2934" t="s">
        <v>7443</v>
      </c>
    </row>
    <row r="2935" spans="1:5" x14ac:dyDescent="0.2">
      <c r="A2935" t="s">
        <v>7444</v>
      </c>
      <c r="B2935" t="s">
        <v>7445</v>
      </c>
      <c r="C2935" t="s">
        <v>7436</v>
      </c>
      <c r="D2935" t="s">
        <v>7436</v>
      </c>
      <c r="E2935" t="s">
        <v>7446</v>
      </c>
    </row>
    <row r="2936" spans="1:5" x14ac:dyDescent="0.2">
      <c r="A2936" t="s">
        <v>7447</v>
      </c>
      <c r="B2936" t="s">
        <v>7448</v>
      </c>
      <c r="C2936" t="s">
        <v>7436</v>
      </c>
      <c r="D2936" t="s">
        <v>7436</v>
      </c>
      <c r="E2936" t="s">
        <v>7449</v>
      </c>
    </row>
    <row r="2937" spans="1:5" x14ac:dyDescent="0.2">
      <c r="A2937" t="s">
        <v>7450</v>
      </c>
      <c r="B2937" t="s">
        <v>7451</v>
      </c>
      <c r="C2937" t="s">
        <v>7436</v>
      </c>
      <c r="D2937" t="s">
        <v>7436</v>
      </c>
      <c r="E2937" t="s">
        <v>7452</v>
      </c>
    </row>
    <row r="2938" spans="1:5" x14ac:dyDescent="0.2">
      <c r="A2938" t="s">
        <v>7453</v>
      </c>
      <c r="B2938" t="s">
        <v>7454</v>
      </c>
      <c r="C2938" t="s">
        <v>7436</v>
      </c>
      <c r="D2938" t="s">
        <v>7436</v>
      </c>
      <c r="E2938" t="s">
        <v>7443</v>
      </c>
    </row>
    <row r="2939" spans="1:5" x14ac:dyDescent="0.2">
      <c r="A2939" t="s">
        <v>7455</v>
      </c>
      <c r="B2939" t="s">
        <v>7456</v>
      </c>
      <c r="C2939" t="s">
        <v>7436</v>
      </c>
      <c r="D2939" t="s">
        <v>7436</v>
      </c>
      <c r="E2939" t="s">
        <v>7446</v>
      </c>
    </row>
    <row r="2940" spans="1:5" x14ac:dyDescent="0.2">
      <c r="A2940" t="s">
        <v>7457</v>
      </c>
      <c r="B2940" t="s">
        <v>7458</v>
      </c>
      <c r="C2940" t="s">
        <v>7436</v>
      </c>
      <c r="D2940" t="s">
        <v>7436</v>
      </c>
      <c r="E2940" t="s">
        <v>7446</v>
      </c>
    </row>
    <row r="2941" spans="1:5" x14ac:dyDescent="0.2">
      <c r="A2941" t="s">
        <v>7459</v>
      </c>
      <c r="B2941" t="s">
        <v>7460</v>
      </c>
      <c r="C2941" t="s">
        <v>7436</v>
      </c>
      <c r="D2941" t="s">
        <v>7436</v>
      </c>
      <c r="E2941" t="s">
        <v>7446</v>
      </c>
    </row>
    <row r="2942" spans="1:5" x14ac:dyDescent="0.2">
      <c r="A2942" t="s">
        <v>7461</v>
      </c>
      <c r="B2942" t="s">
        <v>7462</v>
      </c>
      <c r="C2942" t="s">
        <v>7436</v>
      </c>
      <c r="D2942" t="s">
        <v>7436</v>
      </c>
      <c r="E2942" t="s">
        <v>7463</v>
      </c>
    </row>
    <row r="2943" spans="1:5" x14ac:dyDescent="0.2">
      <c r="A2943" t="s">
        <v>7464</v>
      </c>
      <c r="B2943" t="s">
        <v>7465</v>
      </c>
      <c r="C2943" t="s">
        <v>7436</v>
      </c>
      <c r="D2943" t="s">
        <v>7436</v>
      </c>
      <c r="E2943" t="s">
        <v>7466</v>
      </c>
    </row>
    <row r="2944" spans="1:5" x14ac:dyDescent="0.2">
      <c r="A2944" t="s">
        <v>7467</v>
      </c>
      <c r="B2944" t="s">
        <v>7468</v>
      </c>
      <c r="C2944" t="s">
        <v>7436</v>
      </c>
      <c r="D2944" t="s">
        <v>7436</v>
      </c>
      <c r="E2944" t="s">
        <v>7469</v>
      </c>
    </row>
    <row r="2945" spans="1:5" x14ac:dyDescent="0.2">
      <c r="A2945" t="s">
        <v>7470</v>
      </c>
      <c r="B2945" t="s">
        <v>7471</v>
      </c>
      <c r="C2945" t="s">
        <v>7436</v>
      </c>
      <c r="D2945" t="e">
        <v>#N/A</v>
      </c>
      <c r="E2945" t="e">
        <v>#N/A</v>
      </c>
    </row>
    <row r="2946" spans="1:5" x14ac:dyDescent="0.2">
      <c r="A2946" t="s">
        <v>7472</v>
      </c>
      <c r="B2946" t="s">
        <v>7473</v>
      </c>
      <c r="C2946" t="s">
        <v>7436</v>
      </c>
      <c r="D2946" t="s">
        <v>7436</v>
      </c>
      <c r="E2946" t="s">
        <v>7474</v>
      </c>
    </row>
    <row r="2947" spans="1:5" x14ac:dyDescent="0.2">
      <c r="A2947" t="s">
        <v>7475</v>
      </c>
      <c r="B2947" t="s">
        <v>7476</v>
      </c>
      <c r="C2947" t="s">
        <v>7436</v>
      </c>
      <c r="D2947" t="s">
        <v>7436</v>
      </c>
      <c r="E2947" t="s">
        <v>7477</v>
      </c>
    </row>
    <row r="2948" spans="1:5" x14ac:dyDescent="0.2">
      <c r="A2948" t="s">
        <v>7478</v>
      </c>
      <c r="B2948" t="s">
        <v>7479</v>
      </c>
      <c r="C2948" t="s">
        <v>7436</v>
      </c>
      <c r="D2948" t="s">
        <v>7436</v>
      </c>
      <c r="E2948" t="s">
        <v>7480</v>
      </c>
    </row>
    <row r="2949" spans="1:5" x14ac:dyDescent="0.2">
      <c r="A2949" t="s">
        <v>7481</v>
      </c>
      <c r="B2949" t="s">
        <v>7482</v>
      </c>
      <c r="C2949" t="s">
        <v>7436</v>
      </c>
      <c r="D2949" t="s">
        <v>7436</v>
      </c>
      <c r="E2949" t="s">
        <v>7483</v>
      </c>
    </row>
    <row r="2950" spans="1:5" x14ac:dyDescent="0.2">
      <c r="A2950" t="s">
        <v>7484</v>
      </c>
      <c r="B2950" t="s">
        <v>7485</v>
      </c>
      <c r="C2950" t="s">
        <v>7436</v>
      </c>
      <c r="D2950" t="s">
        <v>7436</v>
      </c>
      <c r="E2950" t="s">
        <v>7486</v>
      </c>
    </row>
    <row r="2951" spans="1:5" x14ac:dyDescent="0.2">
      <c r="A2951" t="s">
        <v>7487</v>
      </c>
      <c r="B2951" t="s">
        <v>7488</v>
      </c>
      <c r="C2951" t="s">
        <v>7436</v>
      </c>
      <c r="D2951" t="s">
        <v>7436</v>
      </c>
      <c r="E2951" t="s">
        <v>7489</v>
      </c>
    </row>
    <row r="2952" spans="1:5" x14ac:dyDescent="0.2">
      <c r="A2952" t="s">
        <v>7490</v>
      </c>
      <c r="B2952" t="s">
        <v>7491</v>
      </c>
      <c r="C2952" t="s">
        <v>7436</v>
      </c>
      <c r="D2952" t="s">
        <v>7436</v>
      </c>
      <c r="E2952" t="s">
        <v>7477</v>
      </c>
    </row>
    <row r="2953" spans="1:5" x14ac:dyDescent="0.2">
      <c r="A2953" t="s">
        <v>7492</v>
      </c>
      <c r="B2953" t="s">
        <v>7493</v>
      </c>
      <c r="C2953" t="s">
        <v>7436</v>
      </c>
      <c r="D2953" t="s">
        <v>7436</v>
      </c>
      <c r="E2953" t="s">
        <v>7494</v>
      </c>
    </row>
    <row r="2954" spans="1:5" x14ac:dyDescent="0.2">
      <c r="A2954" t="s">
        <v>7495</v>
      </c>
      <c r="B2954" t="s">
        <v>7496</v>
      </c>
      <c r="C2954" t="s">
        <v>7436</v>
      </c>
      <c r="D2954" t="s">
        <v>7436</v>
      </c>
      <c r="E2954" t="s">
        <v>7437</v>
      </c>
    </row>
    <row r="2955" spans="1:5" x14ac:dyDescent="0.2">
      <c r="A2955" t="s">
        <v>7497</v>
      </c>
      <c r="B2955" t="s">
        <v>7498</v>
      </c>
      <c r="C2955" t="s">
        <v>7436</v>
      </c>
      <c r="D2955" t="s">
        <v>7436</v>
      </c>
      <c r="E2955" t="s">
        <v>7449</v>
      </c>
    </row>
    <row r="2956" spans="1:5" x14ac:dyDescent="0.2">
      <c r="A2956" t="s">
        <v>7499</v>
      </c>
      <c r="B2956" t="s">
        <v>7500</v>
      </c>
      <c r="C2956" t="s">
        <v>7436</v>
      </c>
      <c r="D2956" t="s">
        <v>7436</v>
      </c>
      <c r="E2956" t="s">
        <v>7501</v>
      </c>
    </row>
    <row r="2957" spans="1:5" x14ac:dyDescent="0.2">
      <c r="A2957" t="s">
        <v>7502</v>
      </c>
      <c r="B2957" t="s">
        <v>7503</v>
      </c>
      <c r="C2957" t="s">
        <v>7436</v>
      </c>
      <c r="D2957" t="s">
        <v>7436</v>
      </c>
      <c r="E2957" t="s">
        <v>7469</v>
      </c>
    </row>
    <row r="2958" spans="1:5" x14ac:dyDescent="0.2">
      <c r="A2958" t="s">
        <v>7504</v>
      </c>
      <c r="B2958" t="s">
        <v>7505</v>
      </c>
      <c r="C2958" t="s">
        <v>7436</v>
      </c>
      <c r="D2958" t="s">
        <v>7436</v>
      </c>
      <c r="E2958" t="s">
        <v>7506</v>
      </c>
    </row>
    <row r="2959" spans="1:5" x14ac:dyDescent="0.2">
      <c r="A2959" t="s">
        <v>7507</v>
      </c>
      <c r="B2959" t="s">
        <v>7508</v>
      </c>
      <c r="C2959" t="s">
        <v>7436</v>
      </c>
      <c r="D2959" t="s">
        <v>7436</v>
      </c>
      <c r="E2959" t="s">
        <v>7449</v>
      </c>
    </row>
    <row r="2960" spans="1:5" x14ac:dyDescent="0.2">
      <c r="A2960" t="s">
        <v>7509</v>
      </c>
      <c r="B2960" t="s">
        <v>7510</v>
      </c>
      <c r="C2960" t="s">
        <v>7436</v>
      </c>
      <c r="D2960" t="s">
        <v>7436</v>
      </c>
      <c r="E2960" t="s">
        <v>7443</v>
      </c>
    </row>
    <row r="2961" spans="1:5" x14ac:dyDescent="0.2">
      <c r="A2961" t="s">
        <v>7511</v>
      </c>
      <c r="B2961" t="s">
        <v>7512</v>
      </c>
      <c r="C2961" t="s">
        <v>7436</v>
      </c>
      <c r="D2961" t="e">
        <v>#N/A</v>
      </c>
      <c r="E2961" t="e">
        <v>#N/A</v>
      </c>
    </row>
    <row r="2962" spans="1:5" x14ac:dyDescent="0.2">
      <c r="A2962" t="s">
        <v>7513</v>
      </c>
      <c r="B2962" t="s">
        <v>7514</v>
      </c>
      <c r="C2962" t="s">
        <v>7436</v>
      </c>
      <c r="D2962" t="s">
        <v>7436</v>
      </c>
      <c r="E2962" t="s">
        <v>7469</v>
      </c>
    </row>
    <row r="2963" spans="1:5" x14ac:dyDescent="0.2">
      <c r="A2963" t="s">
        <v>7515</v>
      </c>
      <c r="B2963" t="s">
        <v>7516</v>
      </c>
      <c r="C2963" t="s">
        <v>7436</v>
      </c>
      <c r="D2963" t="s">
        <v>7436</v>
      </c>
      <c r="E2963" t="s">
        <v>7477</v>
      </c>
    </row>
    <row r="2964" spans="1:5" x14ac:dyDescent="0.2">
      <c r="A2964" t="s">
        <v>7517</v>
      </c>
      <c r="B2964" t="s">
        <v>7518</v>
      </c>
      <c r="C2964" t="s">
        <v>7436</v>
      </c>
      <c r="D2964" t="s">
        <v>7436</v>
      </c>
      <c r="E2964" t="s">
        <v>7469</v>
      </c>
    </row>
    <row r="2965" spans="1:5" x14ac:dyDescent="0.2">
      <c r="A2965" t="s">
        <v>7519</v>
      </c>
      <c r="B2965" t="s">
        <v>7520</v>
      </c>
      <c r="C2965" t="s">
        <v>7436</v>
      </c>
      <c r="D2965" t="s">
        <v>7436</v>
      </c>
      <c r="E2965" t="s">
        <v>7469</v>
      </c>
    </row>
    <row r="2966" spans="1:5" x14ac:dyDescent="0.2">
      <c r="A2966" t="s">
        <v>7521</v>
      </c>
      <c r="B2966" t="s">
        <v>7522</v>
      </c>
      <c r="C2966" t="s">
        <v>7436</v>
      </c>
      <c r="D2966" t="s">
        <v>7436</v>
      </c>
      <c r="E2966" t="s">
        <v>7523</v>
      </c>
    </row>
    <row r="2967" spans="1:5" x14ac:dyDescent="0.2">
      <c r="A2967" t="s">
        <v>7524</v>
      </c>
      <c r="B2967" t="s">
        <v>7525</v>
      </c>
      <c r="C2967" t="s">
        <v>7436</v>
      </c>
      <c r="D2967" t="s">
        <v>7436</v>
      </c>
      <c r="E2967" t="s">
        <v>7526</v>
      </c>
    </row>
    <row r="2968" spans="1:5" x14ac:dyDescent="0.2">
      <c r="A2968" t="s">
        <v>7527</v>
      </c>
      <c r="B2968" t="s">
        <v>7528</v>
      </c>
      <c r="C2968" t="s">
        <v>7436</v>
      </c>
      <c r="D2968" t="s">
        <v>7436</v>
      </c>
      <c r="E2968" t="s">
        <v>7477</v>
      </c>
    </row>
    <row r="2969" spans="1:5" x14ac:dyDescent="0.2">
      <c r="A2969" t="s">
        <v>7529</v>
      </c>
      <c r="B2969" t="s">
        <v>7530</v>
      </c>
      <c r="C2969" t="s">
        <v>7436</v>
      </c>
      <c r="D2969" t="s">
        <v>7436</v>
      </c>
      <c r="E2969" t="s">
        <v>7531</v>
      </c>
    </row>
    <row r="2970" spans="1:5" x14ac:dyDescent="0.2">
      <c r="A2970" t="s">
        <v>7532</v>
      </c>
      <c r="B2970" t="s">
        <v>7533</v>
      </c>
      <c r="C2970" t="s">
        <v>7436</v>
      </c>
      <c r="D2970" t="s">
        <v>7436</v>
      </c>
      <c r="E2970" t="s">
        <v>7534</v>
      </c>
    </row>
    <row r="2971" spans="1:5" x14ac:dyDescent="0.2">
      <c r="A2971" t="s">
        <v>7535</v>
      </c>
      <c r="B2971" t="s">
        <v>7536</v>
      </c>
      <c r="C2971" t="s">
        <v>7436</v>
      </c>
      <c r="D2971" t="s">
        <v>7436</v>
      </c>
      <c r="E2971" t="s">
        <v>7537</v>
      </c>
    </row>
    <row r="2972" spans="1:5" x14ac:dyDescent="0.2">
      <c r="A2972" t="s">
        <v>7538</v>
      </c>
      <c r="B2972" t="s">
        <v>7539</v>
      </c>
      <c r="C2972" t="s">
        <v>7436</v>
      </c>
      <c r="D2972" t="s">
        <v>7436</v>
      </c>
      <c r="E2972" t="s">
        <v>7443</v>
      </c>
    </row>
    <row r="2973" spans="1:5" x14ac:dyDescent="0.2">
      <c r="A2973" t="s">
        <v>7540</v>
      </c>
      <c r="B2973" t="s">
        <v>7541</v>
      </c>
      <c r="C2973" t="s">
        <v>7436</v>
      </c>
      <c r="D2973" t="s">
        <v>7436</v>
      </c>
      <c r="E2973" t="s">
        <v>7449</v>
      </c>
    </row>
    <row r="2974" spans="1:5" x14ac:dyDescent="0.2">
      <c r="A2974" t="s">
        <v>7542</v>
      </c>
      <c r="B2974" t="s">
        <v>7543</v>
      </c>
      <c r="C2974" t="s">
        <v>7436</v>
      </c>
      <c r="D2974" t="s">
        <v>7436</v>
      </c>
      <c r="E2974" t="s">
        <v>7544</v>
      </c>
    </row>
    <row r="2975" spans="1:5" x14ac:dyDescent="0.2">
      <c r="A2975" t="s">
        <v>7545</v>
      </c>
      <c r="B2975" t="s">
        <v>7546</v>
      </c>
      <c r="C2975" t="s">
        <v>7436</v>
      </c>
      <c r="D2975" t="s">
        <v>7436</v>
      </c>
      <c r="E2975" t="s">
        <v>7547</v>
      </c>
    </row>
    <row r="2976" spans="1:5" x14ac:dyDescent="0.2">
      <c r="A2976" t="s">
        <v>7548</v>
      </c>
      <c r="B2976" t="s">
        <v>7549</v>
      </c>
      <c r="C2976" t="s">
        <v>7436</v>
      </c>
      <c r="D2976" t="s">
        <v>7436</v>
      </c>
      <c r="E2976" t="s">
        <v>7550</v>
      </c>
    </row>
    <row r="2977" spans="1:5" x14ac:dyDescent="0.2">
      <c r="A2977" t="s">
        <v>7551</v>
      </c>
      <c r="B2977" t="s">
        <v>7552</v>
      </c>
      <c r="C2977" t="s">
        <v>7436</v>
      </c>
      <c r="D2977" t="s">
        <v>7436</v>
      </c>
      <c r="E2977" t="s">
        <v>7469</v>
      </c>
    </row>
    <row r="2978" spans="1:5" x14ac:dyDescent="0.2">
      <c r="A2978" t="s">
        <v>7553</v>
      </c>
      <c r="B2978" t="s">
        <v>7554</v>
      </c>
      <c r="C2978" t="s">
        <v>7436</v>
      </c>
      <c r="D2978" t="s">
        <v>7436</v>
      </c>
      <c r="E2978" t="s">
        <v>7449</v>
      </c>
    </row>
    <row r="2979" spans="1:5" x14ac:dyDescent="0.2">
      <c r="A2979" t="s">
        <v>7555</v>
      </c>
      <c r="B2979" t="s">
        <v>7556</v>
      </c>
      <c r="C2979" t="s">
        <v>7436</v>
      </c>
      <c r="D2979" t="s">
        <v>7436</v>
      </c>
      <c r="E2979" t="s">
        <v>7557</v>
      </c>
    </row>
    <row r="2980" spans="1:5" x14ac:dyDescent="0.2">
      <c r="A2980" t="s">
        <v>7558</v>
      </c>
      <c r="B2980" t="s">
        <v>7559</v>
      </c>
      <c r="C2980" t="s">
        <v>7436</v>
      </c>
      <c r="D2980" t="s">
        <v>7436</v>
      </c>
      <c r="E2980" t="s">
        <v>7449</v>
      </c>
    </row>
    <row r="2981" spans="1:5" x14ac:dyDescent="0.2">
      <c r="A2981" t="s">
        <v>7560</v>
      </c>
      <c r="B2981" t="s">
        <v>7561</v>
      </c>
      <c r="C2981" t="s">
        <v>7436</v>
      </c>
      <c r="D2981" t="s">
        <v>7436</v>
      </c>
      <c r="E2981" t="s">
        <v>7562</v>
      </c>
    </row>
    <row r="2982" spans="1:5" x14ac:dyDescent="0.2">
      <c r="A2982" t="s">
        <v>7563</v>
      </c>
      <c r="B2982" t="s">
        <v>7564</v>
      </c>
      <c r="C2982" t="s">
        <v>7436</v>
      </c>
      <c r="D2982" t="s">
        <v>7436</v>
      </c>
      <c r="E2982" t="s">
        <v>7477</v>
      </c>
    </row>
    <row r="2983" spans="1:5" x14ac:dyDescent="0.2">
      <c r="A2983" t="s">
        <v>7565</v>
      </c>
      <c r="B2983" t="s">
        <v>7566</v>
      </c>
      <c r="C2983" t="s">
        <v>7436</v>
      </c>
      <c r="D2983" t="e">
        <v>#N/A</v>
      </c>
      <c r="E2983" t="e">
        <v>#N/A</v>
      </c>
    </row>
    <row r="2984" spans="1:5" x14ac:dyDescent="0.2">
      <c r="A2984" t="s">
        <v>7567</v>
      </c>
      <c r="B2984" t="s">
        <v>7568</v>
      </c>
      <c r="C2984" t="s">
        <v>7436</v>
      </c>
      <c r="D2984" t="s">
        <v>7436</v>
      </c>
      <c r="E2984" t="s">
        <v>7569</v>
      </c>
    </row>
    <row r="2985" spans="1:5" x14ac:dyDescent="0.2">
      <c r="A2985" t="s">
        <v>7570</v>
      </c>
      <c r="B2985" t="s">
        <v>7571</v>
      </c>
      <c r="C2985" t="s">
        <v>7436</v>
      </c>
      <c r="D2985" t="s">
        <v>7436</v>
      </c>
      <c r="E2985" t="s">
        <v>7477</v>
      </c>
    </row>
    <row r="2986" spans="1:5" x14ac:dyDescent="0.2">
      <c r="A2986" t="s">
        <v>7572</v>
      </c>
      <c r="B2986" t="s">
        <v>7573</v>
      </c>
      <c r="C2986" t="s">
        <v>7436</v>
      </c>
      <c r="D2986" t="s">
        <v>7436</v>
      </c>
      <c r="E2986" t="s">
        <v>7443</v>
      </c>
    </row>
    <row r="2987" spans="1:5" x14ac:dyDescent="0.2">
      <c r="A2987" t="s">
        <v>7574</v>
      </c>
      <c r="B2987" t="s">
        <v>7575</v>
      </c>
      <c r="C2987" t="s">
        <v>7436</v>
      </c>
      <c r="D2987" t="s">
        <v>7436</v>
      </c>
      <c r="E2987" t="s">
        <v>7443</v>
      </c>
    </row>
    <row r="2988" spans="1:5" x14ac:dyDescent="0.2">
      <c r="A2988" t="s">
        <v>7576</v>
      </c>
      <c r="B2988" t="s">
        <v>7577</v>
      </c>
      <c r="C2988" t="s">
        <v>7436</v>
      </c>
      <c r="D2988" t="s">
        <v>7436</v>
      </c>
      <c r="E2988" t="s">
        <v>7437</v>
      </c>
    </row>
    <row r="2989" spans="1:5" x14ac:dyDescent="0.2">
      <c r="A2989" t="s">
        <v>7578</v>
      </c>
      <c r="B2989" t="s">
        <v>7579</v>
      </c>
      <c r="C2989" t="s">
        <v>7436</v>
      </c>
      <c r="D2989" t="s">
        <v>7436</v>
      </c>
      <c r="E2989" t="s">
        <v>7580</v>
      </c>
    </row>
    <row r="2990" spans="1:5" x14ac:dyDescent="0.2">
      <c r="A2990" t="s">
        <v>7581</v>
      </c>
      <c r="B2990" t="s">
        <v>7582</v>
      </c>
      <c r="C2990" t="s">
        <v>7436</v>
      </c>
      <c r="D2990" t="s">
        <v>7436</v>
      </c>
      <c r="E2990" t="s">
        <v>7583</v>
      </c>
    </row>
    <row r="2991" spans="1:5" x14ac:dyDescent="0.2">
      <c r="A2991" t="s">
        <v>7584</v>
      </c>
      <c r="B2991" t="s">
        <v>7585</v>
      </c>
      <c r="C2991" t="s">
        <v>7436</v>
      </c>
      <c r="D2991" t="s">
        <v>7436</v>
      </c>
      <c r="E2991" t="s">
        <v>7586</v>
      </c>
    </row>
    <row r="2992" spans="1:5" x14ac:dyDescent="0.2">
      <c r="A2992" t="s">
        <v>7587</v>
      </c>
      <c r="B2992" t="s">
        <v>7588</v>
      </c>
      <c r="C2992" t="s">
        <v>7436</v>
      </c>
      <c r="D2992" t="s">
        <v>7436</v>
      </c>
      <c r="E2992" t="s">
        <v>7446</v>
      </c>
    </row>
    <row r="2993" spans="1:5" x14ac:dyDescent="0.2">
      <c r="A2993" t="s">
        <v>7589</v>
      </c>
      <c r="B2993" t="s">
        <v>7590</v>
      </c>
      <c r="C2993" t="s">
        <v>7436</v>
      </c>
      <c r="D2993" t="s">
        <v>7436</v>
      </c>
      <c r="E2993" t="s">
        <v>7437</v>
      </c>
    </row>
    <row r="2994" spans="1:5" x14ac:dyDescent="0.2">
      <c r="A2994" t="s">
        <v>7591</v>
      </c>
      <c r="B2994" t="s">
        <v>7592</v>
      </c>
      <c r="C2994" t="s">
        <v>7436</v>
      </c>
      <c r="D2994" t="s">
        <v>7436</v>
      </c>
      <c r="E2994" t="s">
        <v>7449</v>
      </c>
    </row>
    <row r="2995" spans="1:5" x14ac:dyDescent="0.2">
      <c r="A2995" t="s">
        <v>7593</v>
      </c>
      <c r="B2995" t="s">
        <v>7594</v>
      </c>
      <c r="C2995" t="s">
        <v>7436</v>
      </c>
      <c r="D2995" t="s">
        <v>7436</v>
      </c>
      <c r="E2995" t="s">
        <v>7595</v>
      </c>
    </row>
    <row r="2996" spans="1:5" x14ac:dyDescent="0.2">
      <c r="A2996" t="s">
        <v>7596</v>
      </c>
      <c r="B2996" t="s">
        <v>7597</v>
      </c>
      <c r="C2996" t="s">
        <v>7436</v>
      </c>
      <c r="D2996" t="s">
        <v>7436</v>
      </c>
      <c r="E2996" t="s">
        <v>7443</v>
      </c>
    </row>
    <row r="2997" spans="1:5" x14ac:dyDescent="0.2">
      <c r="A2997" t="s">
        <v>7598</v>
      </c>
      <c r="B2997" t="s">
        <v>7599</v>
      </c>
      <c r="C2997" t="s">
        <v>7436</v>
      </c>
      <c r="D2997" t="s">
        <v>7436</v>
      </c>
      <c r="E2997" t="s">
        <v>7446</v>
      </c>
    </row>
    <row r="2998" spans="1:5" x14ac:dyDescent="0.2">
      <c r="A2998" t="s">
        <v>7600</v>
      </c>
      <c r="B2998" t="s">
        <v>7601</v>
      </c>
      <c r="C2998" t="s">
        <v>7436</v>
      </c>
      <c r="D2998" t="s">
        <v>7436</v>
      </c>
      <c r="E2998" t="s">
        <v>7602</v>
      </c>
    </row>
    <row r="2999" spans="1:5" x14ac:dyDescent="0.2">
      <c r="A2999" t="s">
        <v>7603</v>
      </c>
      <c r="B2999" t="s">
        <v>7604</v>
      </c>
      <c r="C2999" t="s">
        <v>7436</v>
      </c>
      <c r="D2999" t="s">
        <v>7436</v>
      </c>
      <c r="E2999" t="s">
        <v>7605</v>
      </c>
    </row>
    <row r="3000" spans="1:5" x14ac:dyDescent="0.2">
      <c r="A3000" t="s">
        <v>7606</v>
      </c>
      <c r="B3000" t="s">
        <v>7607</v>
      </c>
      <c r="C3000" t="s">
        <v>7436</v>
      </c>
      <c r="D3000" t="s">
        <v>7436</v>
      </c>
      <c r="E3000" t="s">
        <v>7608</v>
      </c>
    </row>
    <row r="3001" spans="1:5" x14ac:dyDescent="0.2">
      <c r="A3001" t="s">
        <v>7609</v>
      </c>
      <c r="B3001" t="s">
        <v>7610</v>
      </c>
      <c r="C3001" t="s">
        <v>7436</v>
      </c>
      <c r="D3001" t="s">
        <v>7436</v>
      </c>
      <c r="E3001" t="s">
        <v>7611</v>
      </c>
    </row>
    <row r="3002" spans="1:5" x14ac:dyDescent="0.2">
      <c r="A3002" t="s">
        <v>7612</v>
      </c>
      <c r="B3002" t="s">
        <v>7613</v>
      </c>
      <c r="C3002" t="s">
        <v>7436</v>
      </c>
      <c r="D3002" t="s">
        <v>7436</v>
      </c>
      <c r="E3002" t="s">
        <v>7614</v>
      </c>
    </row>
    <row r="3003" spans="1:5" x14ac:dyDescent="0.2">
      <c r="A3003" t="s">
        <v>7615</v>
      </c>
      <c r="B3003" t="s">
        <v>7616</v>
      </c>
      <c r="C3003" t="s">
        <v>7436</v>
      </c>
      <c r="D3003" t="s">
        <v>7436</v>
      </c>
      <c r="E3003" t="s">
        <v>7617</v>
      </c>
    </row>
    <row r="3004" spans="1:5" x14ac:dyDescent="0.2">
      <c r="A3004" t="s">
        <v>7618</v>
      </c>
      <c r="B3004" t="s">
        <v>7619</v>
      </c>
      <c r="C3004" t="s">
        <v>7436</v>
      </c>
      <c r="D3004" t="s">
        <v>7436</v>
      </c>
      <c r="E3004" t="s">
        <v>7620</v>
      </c>
    </row>
    <row r="3005" spans="1:5" x14ac:dyDescent="0.2">
      <c r="A3005" t="s">
        <v>7621</v>
      </c>
      <c r="B3005" t="s">
        <v>7622</v>
      </c>
      <c r="C3005" t="s">
        <v>7436</v>
      </c>
      <c r="D3005" t="s">
        <v>7436</v>
      </c>
      <c r="E3005" t="s">
        <v>7449</v>
      </c>
    </row>
    <row r="3006" spans="1:5" x14ac:dyDescent="0.2">
      <c r="A3006" t="s">
        <v>7623</v>
      </c>
      <c r="B3006" t="s">
        <v>7624</v>
      </c>
      <c r="C3006" t="s">
        <v>7436</v>
      </c>
      <c r="D3006" t="s">
        <v>7436</v>
      </c>
      <c r="E3006" t="s">
        <v>7443</v>
      </c>
    </row>
    <row r="3007" spans="1:5" x14ac:dyDescent="0.2">
      <c r="A3007" t="s">
        <v>7625</v>
      </c>
      <c r="B3007" t="s">
        <v>7626</v>
      </c>
      <c r="C3007" t="s">
        <v>7436</v>
      </c>
      <c r="D3007" t="s">
        <v>7436</v>
      </c>
      <c r="E3007" t="s">
        <v>7627</v>
      </c>
    </row>
    <row r="3008" spans="1:5" x14ac:dyDescent="0.2">
      <c r="A3008" t="s">
        <v>7628</v>
      </c>
      <c r="B3008" t="s">
        <v>7629</v>
      </c>
      <c r="C3008" t="s">
        <v>7436</v>
      </c>
      <c r="D3008" t="s">
        <v>7436</v>
      </c>
      <c r="E3008" t="s">
        <v>7630</v>
      </c>
    </row>
    <row r="3009" spans="1:5" x14ac:dyDescent="0.2">
      <c r="A3009" t="s">
        <v>7631</v>
      </c>
      <c r="B3009" t="s">
        <v>7632</v>
      </c>
      <c r="C3009" t="s">
        <v>7436</v>
      </c>
      <c r="D3009" t="s">
        <v>7436</v>
      </c>
      <c r="E3009" t="s">
        <v>7469</v>
      </c>
    </row>
    <row r="3010" spans="1:5" x14ac:dyDescent="0.2">
      <c r="A3010" t="s">
        <v>7633</v>
      </c>
      <c r="B3010" t="s">
        <v>7634</v>
      </c>
      <c r="C3010" t="s">
        <v>7436</v>
      </c>
      <c r="D3010" t="s">
        <v>7436</v>
      </c>
      <c r="E3010" t="s">
        <v>7437</v>
      </c>
    </row>
    <row r="3011" spans="1:5" x14ac:dyDescent="0.2">
      <c r="A3011" t="s">
        <v>7635</v>
      </c>
      <c r="B3011" t="s">
        <v>7636</v>
      </c>
      <c r="C3011" t="s">
        <v>7436</v>
      </c>
      <c r="D3011" t="s">
        <v>7436</v>
      </c>
      <c r="E3011" t="s">
        <v>7449</v>
      </c>
    </row>
    <row r="3012" spans="1:5" x14ac:dyDescent="0.2">
      <c r="A3012" t="s">
        <v>7637</v>
      </c>
      <c r="B3012" t="s">
        <v>7638</v>
      </c>
      <c r="C3012" t="s">
        <v>7436</v>
      </c>
      <c r="D3012" t="s">
        <v>7436</v>
      </c>
      <c r="E3012" t="s">
        <v>7639</v>
      </c>
    </row>
    <row r="3013" spans="1:5" x14ac:dyDescent="0.2">
      <c r="A3013" t="s">
        <v>7640</v>
      </c>
      <c r="B3013" t="s">
        <v>7641</v>
      </c>
      <c r="C3013" t="s">
        <v>7436</v>
      </c>
      <c r="D3013" t="s">
        <v>7436</v>
      </c>
      <c r="E3013" t="s">
        <v>7642</v>
      </c>
    </row>
    <row r="3014" spans="1:5" x14ac:dyDescent="0.2">
      <c r="A3014" t="s">
        <v>7643</v>
      </c>
      <c r="B3014" t="s">
        <v>7644</v>
      </c>
      <c r="C3014" t="s">
        <v>7436</v>
      </c>
      <c r="D3014" t="s">
        <v>7436</v>
      </c>
      <c r="E3014" t="s">
        <v>7477</v>
      </c>
    </row>
    <row r="3015" spans="1:5" x14ac:dyDescent="0.2">
      <c r="A3015" t="s">
        <v>7645</v>
      </c>
      <c r="B3015" t="s">
        <v>7646</v>
      </c>
      <c r="C3015" t="s">
        <v>7436</v>
      </c>
      <c r="D3015" t="s">
        <v>7436</v>
      </c>
      <c r="E3015" t="s">
        <v>7477</v>
      </c>
    </row>
    <row r="3016" spans="1:5" x14ac:dyDescent="0.2">
      <c r="A3016" t="s">
        <v>7647</v>
      </c>
      <c r="B3016" t="s">
        <v>7648</v>
      </c>
      <c r="C3016" t="s">
        <v>7436</v>
      </c>
      <c r="D3016" t="s">
        <v>7436</v>
      </c>
      <c r="E3016" t="s">
        <v>7446</v>
      </c>
    </row>
    <row r="3017" spans="1:5" x14ac:dyDescent="0.2">
      <c r="A3017" t="s">
        <v>7649</v>
      </c>
      <c r="B3017" t="s">
        <v>7650</v>
      </c>
      <c r="C3017" t="s">
        <v>7436</v>
      </c>
      <c r="D3017" t="s">
        <v>7436</v>
      </c>
      <c r="E3017" t="s">
        <v>7437</v>
      </c>
    </row>
    <row r="3018" spans="1:5" x14ac:dyDescent="0.2">
      <c r="A3018" t="s">
        <v>7651</v>
      </c>
      <c r="B3018" t="s">
        <v>7652</v>
      </c>
      <c r="C3018" t="s">
        <v>7436</v>
      </c>
      <c r="D3018" t="s">
        <v>7436</v>
      </c>
      <c r="E3018" t="s">
        <v>7653</v>
      </c>
    </row>
    <row r="3019" spans="1:5" x14ac:dyDescent="0.2">
      <c r="A3019" t="s">
        <v>7654</v>
      </c>
      <c r="B3019" t="s">
        <v>7655</v>
      </c>
      <c r="C3019" t="s">
        <v>7436</v>
      </c>
      <c r="D3019" t="s">
        <v>7436</v>
      </c>
      <c r="E3019" t="s">
        <v>7477</v>
      </c>
    </row>
    <row r="3020" spans="1:5" x14ac:dyDescent="0.2">
      <c r="A3020" t="s">
        <v>7656</v>
      </c>
      <c r="B3020" t="s">
        <v>7657</v>
      </c>
      <c r="C3020" t="s">
        <v>7436</v>
      </c>
      <c r="D3020" t="s">
        <v>7436</v>
      </c>
      <c r="E3020" t="s">
        <v>7658</v>
      </c>
    </row>
    <row r="3021" spans="1:5" x14ac:dyDescent="0.2">
      <c r="A3021" t="s">
        <v>7659</v>
      </c>
      <c r="B3021" t="s">
        <v>7660</v>
      </c>
      <c r="C3021" t="s">
        <v>7436</v>
      </c>
      <c r="D3021" t="s">
        <v>7436</v>
      </c>
      <c r="E3021" t="s">
        <v>7449</v>
      </c>
    </row>
    <row r="3022" spans="1:5" x14ac:dyDescent="0.2">
      <c r="A3022" t="s">
        <v>7661</v>
      </c>
      <c r="B3022" t="s">
        <v>7662</v>
      </c>
      <c r="C3022" t="s">
        <v>7436</v>
      </c>
      <c r="D3022" t="s">
        <v>7436</v>
      </c>
      <c r="E3022" t="s">
        <v>7663</v>
      </c>
    </row>
    <row r="3023" spans="1:5" x14ac:dyDescent="0.2">
      <c r="A3023" t="s">
        <v>7664</v>
      </c>
      <c r="B3023" t="s">
        <v>7665</v>
      </c>
      <c r="C3023" t="s">
        <v>7436</v>
      </c>
      <c r="D3023" t="s">
        <v>7436</v>
      </c>
      <c r="E3023" t="s">
        <v>7446</v>
      </c>
    </row>
    <row r="3024" spans="1:5" x14ac:dyDescent="0.2">
      <c r="A3024" t="s">
        <v>7666</v>
      </c>
      <c r="B3024" t="s">
        <v>7667</v>
      </c>
      <c r="C3024" t="s">
        <v>7436</v>
      </c>
      <c r="D3024" t="s">
        <v>7436</v>
      </c>
      <c r="E3024" t="s">
        <v>7449</v>
      </c>
    </row>
    <row r="3025" spans="1:5" x14ac:dyDescent="0.2">
      <c r="A3025" t="s">
        <v>7668</v>
      </c>
      <c r="B3025" t="s">
        <v>7669</v>
      </c>
      <c r="C3025" t="s">
        <v>7436</v>
      </c>
      <c r="D3025" t="s">
        <v>7436</v>
      </c>
      <c r="E3025" t="s">
        <v>7670</v>
      </c>
    </row>
    <row r="3026" spans="1:5" x14ac:dyDescent="0.2">
      <c r="A3026" t="s">
        <v>7671</v>
      </c>
      <c r="B3026" t="s">
        <v>7672</v>
      </c>
      <c r="C3026" t="s">
        <v>7436</v>
      </c>
      <c r="D3026" t="s">
        <v>7436</v>
      </c>
      <c r="E3026" t="s">
        <v>7673</v>
      </c>
    </row>
    <row r="3027" spans="1:5" x14ac:dyDescent="0.2">
      <c r="A3027" t="s">
        <v>7674</v>
      </c>
      <c r="B3027" t="s">
        <v>7675</v>
      </c>
      <c r="C3027" t="s">
        <v>7436</v>
      </c>
      <c r="D3027" t="s">
        <v>7436</v>
      </c>
      <c r="E3027" t="s">
        <v>7676</v>
      </c>
    </row>
    <row r="3028" spans="1:5" x14ac:dyDescent="0.2">
      <c r="A3028" t="s">
        <v>7677</v>
      </c>
      <c r="B3028" t="s">
        <v>7678</v>
      </c>
      <c r="C3028" t="s">
        <v>7436</v>
      </c>
      <c r="D3028" t="s">
        <v>7436</v>
      </c>
      <c r="E3028" t="s">
        <v>7679</v>
      </c>
    </row>
    <row r="3029" spans="1:5" x14ac:dyDescent="0.2">
      <c r="A3029" t="s">
        <v>7680</v>
      </c>
      <c r="B3029" t="s">
        <v>7681</v>
      </c>
      <c r="C3029" t="s">
        <v>7436</v>
      </c>
      <c r="D3029" t="s">
        <v>7436</v>
      </c>
      <c r="E3029" t="s">
        <v>7446</v>
      </c>
    </row>
    <row r="3030" spans="1:5" x14ac:dyDescent="0.2">
      <c r="A3030" t="s">
        <v>7682</v>
      </c>
      <c r="B3030" t="s">
        <v>7683</v>
      </c>
      <c r="C3030" t="s">
        <v>7684</v>
      </c>
      <c r="D3030" t="s">
        <v>7684</v>
      </c>
      <c r="E3030" t="s">
        <v>7685</v>
      </c>
    </row>
    <row r="3031" spans="1:5" x14ac:dyDescent="0.2">
      <c r="A3031" t="s">
        <v>7686</v>
      </c>
      <c r="B3031" t="s">
        <v>7687</v>
      </c>
      <c r="C3031" t="s">
        <v>7684</v>
      </c>
      <c r="D3031" t="s">
        <v>7684</v>
      </c>
      <c r="E3031" t="s">
        <v>7685</v>
      </c>
    </row>
    <row r="3032" spans="1:5" x14ac:dyDescent="0.2">
      <c r="A3032" t="s">
        <v>7688</v>
      </c>
      <c r="B3032" t="s">
        <v>7689</v>
      </c>
      <c r="C3032" t="s">
        <v>7684</v>
      </c>
      <c r="D3032" t="s">
        <v>7684</v>
      </c>
      <c r="E3032" t="s">
        <v>7690</v>
      </c>
    </row>
    <row r="3033" spans="1:5" x14ac:dyDescent="0.2">
      <c r="A3033" t="s">
        <v>7691</v>
      </c>
      <c r="B3033" t="s">
        <v>7692</v>
      </c>
      <c r="C3033" t="s">
        <v>7684</v>
      </c>
      <c r="D3033" t="s">
        <v>7684</v>
      </c>
      <c r="E3033" t="s">
        <v>7693</v>
      </c>
    </row>
    <row r="3034" spans="1:5" x14ac:dyDescent="0.2">
      <c r="A3034" t="s">
        <v>7694</v>
      </c>
      <c r="B3034" t="s">
        <v>7695</v>
      </c>
      <c r="C3034" t="s">
        <v>7684</v>
      </c>
      <c r="D3034" t="s">
        <v>7684</v>
      </c>
      <c r="E3034" t="s">
        <v>7696</v>
      </c>
    </row>
    <row r="3035" spans="1:5" x14ac:dyDescent="0.2">
      <c r="A3035" t="s">
        <v>7697</v>
      </c>
      <c r="B3035" t="s">
        <v>7698</v>
      </c>
      <c r="C3035" t="s">
        <v>7684</v>
      </c>
      <c r="D3035" t="s">
        <v>7684</v>
      </c>
      <c r="E3035" t="s">
        <v>7699</v>
      </c>
    </row>
    <row r="3036" spans="1:5" x14ac:dyDescent="0.2">
      <c r="A3036" t="s">
        <v>7700</v>
      </c>
      <c r="B3036" t="s">
        <v>7701</v>
      </c>
      <c r="C3036" t="s">
        <v>7684</v>
      </c>
      <c r="D3036" t="s">
        <v>7684</v>
      </c>
      <c r="E3036" t="s">
        <v>7702</v>
      </c>
    </row>
    <row r="3037" spans="1:5" x14ac:dyDescent="0.2">
      <c r="A3037" t="s">
        <v>7703</v>
      </c>
      <c r="B3037" t="s">
        <v>7704</v>
      </c>
      <c r="C3037" t="s">
        <v>7684</v>
      </c>
      <c r="D3037" t="s">
        <v>7684</v>
      </c>
      <c r="E3037" t="s">
        <v>7705</v>
      </c>
    </row>
    <row r="3038" spans="1:5" x14ac:dyDescent="0.2">
      <c r="A3038" t="s">
        <v>7706</v>
      </c>
      <c r="B3038" t="s">
        <v>7707</v>
      </c>
      <c r="C3038" t="s">
        <v>7684</v>
      </c>
      <c r="D3038" t="s">
        <v>7684</v>
      </c>
      <c r="E3038" t="s">
        <v>7708</v>
      </c>
    </row>
    <row r="3039" spans="1:5" x14ac:dyDescent="0.2">
      <c r="A3039" t="s">
        <v>7709</v>
      </c>
      <c r="B3039" t="s">
        <v>7710</v>
      </c>
      <c r="C3039" t="s">
        <v>7684</v>
      </c>
      <c r="D3039" t="s">
        <v>7684</v>
      </c>
      <c r="E3039" t="s">
        <v>7685</v>
      </c>
    </row>
    <row r="3040" spans="1:5" x14ac:dyDescent="0.2">
      <c r="A3040" t="s">
        <v>7711</v>
      </c>
      <c r="B3040" t="s">
        <v>7712</v>
      </c>
      <c r="C3040" t="s">
        <v>7684</v>
      </c>
      <c r="D3040" t="s">
        <v>7684</v>
      </c>
      <c r="E3040" t="s">
        <v>7713</v>
      </c>
    </row>
    <row r="3041" spans="1:5" x14ac:dyDescent="0.2">
      <c r="A3041" t="s">
        <v>7714</v>
      </c>
      <c r="B3041" t="s">
        <v>7715</v>
      </c>
      <c r="C3041" t="s">
        <v>7684</v>
      </c>
      <c r="D3041" t="s">
        <v>7684</v>
      </c>
      <c r="E3041" t="s">
        <v>7716</v>
      </c>
    </row>
    <row r="3042" spans="1:5" x14ac:dyDescent="0.2">
      <c r="A3042" t="s">
        <v>7717</v>
      </c>
      <c r="B3042" t="s">
        <v>7718</v>
      </c>
      <c r="C3042" t="s">
        <v>7684</v>
      </c>
      <c r="D3042" t="s">
        <v>7684</v>
      </c>
      <c r="E3042" t="s">
        <v>7719</v>
      </c>
    </row>
    <row r="3043" spans="1:5" x14ac:dyDescent="0.2">
      <c r="A3043" t="s">
        <v>7720</v>
      </c>
      <c r="B3043" t="s">
        <v>7721</v>
      </c>
      <c r="C3043" t="s">
        <v>7684</v>
      </c>
      <c r="D3043" t="s">
        <v>7684</v>
      </c>
      <c r="E3043" t="s">
        <v>7722</v>
      </c>
    </row>
    <row r="3044" spans="1:5" x14ac:dyDescent="0.2">
      <c r="A3044" t="s">
        <v>7723</v>
      </c>
      <c r="B3044" t="s">
        <v>7724</v>
      </c>
      <c r="C3044" t="s">
        <v>7684</v>
      </c>
      <c r="D3044" t="s">
        <v>7684</v>
      </c>
      <c r="E3044" t="s">
        <v>7716</v>
      </c>
    </row>
    <row r="3045" spans="1:5" x14ac:dyDescent="0.2">
      <c r="A3045" t="s">
        <v>7725</v>
      </c>
      <c r="B3045" t="s">
        <v>7726</v>
      </c>
      <c r="C3045" t="s">
        <v>7684</v>
      </c>
      <c r="D3045" t="s">
        <v>7684</v>
      </c>
      <c r="E3045" t="s">
        <v>7696</v>
      </c>
    </row>
    <row r="3046" spans="1:5" x14ac:dyDescent="0.2">
      <c r="A3046" t="s">
        <v>7727</v>
      </c>
      <c r="B3046" t="s">
        <v>7728</v>
      </c>
      <c r="C3046" t="s">
        <v>7684</v>
      </c>
      <c r="D3046" t="s">
        <v>7684</v>
      </c>
      <c r="E3046" t="s">
        <v>7729</v>
      </c>
    </row>
    <row r="3047" spans="1:5" x14ac:dyDescent="0.2">
      <c r="A3047" t="s">
        <v>7730</v>
      </c>
      <c r="B3047" t="s">
        <v>7731</v>
      </c>
      <c r="C3047" t="s">
        <v>7684</v>
      </c>
      <c r="D3047" t="s">
        <v>7684</v>
      </c>
      <c r="E3047" t="s">
        <v>7729</v>
      </c>
    </row>
    <row r="3048" spans="1:5" x14ac:dyDescent="0.2">
      <c r="A3048" t="s">
        <v>7732</v>
      </c>
      <c r="B3048" t="s">
        <v>7733</v>
      </c>
      <c r="C3048" t="s">
        <v>7684</v>
      </c>
      <c r="D3048" t="s">
        <v>7684</v>
      </c>
      <c r="E3048" t="s">
        <v>7729</v>
      </c>
    </row>
    <row r="3049" spans="1:5" x14ac:dyDescent="0.2">
      <c r="A3049" t="s">
        <v>7734</v>
      </c>
      <c r="B3049" t="s">
        <v>7735</v>
      </c>
      <c r="C3049" t="s">
        <v>7684</v>
      </c>
      <c r="D3049" t="s">
        <v>7684</v>
      </c>
      <c r="E3049" t="s">
        <v>7736</v>
      </c>
    </row>
    <row r="3050" spans="1:5" x14ac:dyDescent="0.2">
      <c r="A3050" t="s">
        <v>7737</v>
      </c>
      <c r="B3050" t="s">
        <v>7738</v>
      </c>
      <c r="C3050" t="s">
        <v>7684</v>
      </c>
      <c r="D3050" t="s">
        <v>7684</v>
      </c>
      <c r="E3050" t="s">
        <v>7685</v>
      </c>
    </row>
    <row r="3051" spans="1:5" x14ac:dyDescent="0.2">
      <c r="A3051" t="s">
        <v>7739</v>
      </c>
      <c r="B3051" t="s">
        <v>7740</v>
      </c>
      <c r="C3051" t="s">
        <v>7684</v>
      </c>
      <c r="D3051" t="s">
        <v>7684</v>
      </c>
      <c r="E3051" t="s">
        <v>7741</v>
      </c>
    </row>
    <row r="3052" spans="1:5" x14ac:dyDescent="0.2">
      <c r="A3052" t="s">
        <v>7742</v>
      </c>
      <c r="B3052" t="s">
        <v>7743</v>
      </c>
      <c r="C3052" t="s">
        <v>7684</v>
      </c>
      <c r="D3052" t="s">
        <v>7684</v>
      </c>
      <c r="E3052" t="s">
        <v>7716</v>
      </c>
    </row>
    <row r="3053" spans="1:5" x14ac:dyDescent="0.2">
      <c r="A3053" t="s">
        <v>7744</v>
      </c>
      <c r="B3053" t="s">
        <v>7745</v>
      </c>
      <c r="C3053" t="s">
        <v>7684</v>
      </c>
      <c r="D3053" t="s">
        <v>7684</v>
      </c>
      <c r="E3053" t="s">
        <v>7746</v>
      </c>
    </row>
    <row r="3054" spans="1:5" x14ac:dyDescent="0.2">
      <c r="A3054" t="s">
        <v>7747</v>
      </c>
      <c r="B3054" t="s">
        <v>7748</v>
      </c>
      <c r="C3054" t="s">
        <v>7684</v>
      </c>
      <c r="D3054" t="s">
        <v>7684</v>
      </c>
      <c r="E3054" t="s">
        <v>7685</v>
      </c>
    </row>
    <row r="3055" spans="1:5" x14ac:dyDescent="0.2">
      <c r="A3055" t="s">
        <v>7749</v>
      </c>
      <c r="B3055" t="s">
        <v>7750</v>
      </c>
      <c r="C3055" t="s">
        <v>7684</v>
      </c>
      <c r="D3055" t="s">
        <v>7684</v>
      </c>
      <c r="E3055" t="s">
        <v>7696</v>
      </c>
    </row>
    <row r="3056" spans="1:5" x14ac:dyDescent="0.2">
      <c r="A3056" t="s">
        <v>7751</v>
      </c>
      <c r="B3056" t="s">
        <v>7752</v>
      </c>
      <c r="C3056" t="s">
        <v>7684</v>
      </c>
      <c r="D3056" t="s">
        <v>7684</v>
      </c>
      <c r="E3056" t="s">
        <v>7753</v>
      </c>
    </row>
    <row r="3057" spans="1:5" x14ac:dyDescent="0.2">
      <c r="A3057" t="s">
        <v>7754</v>
      </c>
      <c r="B3057" t="s">
        <v>7755</v>
      </c>
      <c r="C3057" t="s">
        <v>7684</v>
      </c>
      <c r="D3057" t="s">
        <v>7684</v>
      </c>
      <c r="E3057" t="s">
        <v>7741</v>
      </c>
    </row>
    <row r="3058" spans="1:5" x14ac:dyDescent="0.2">
      <c r="A3058" t="s">
        <v>7756</v>
      </c>
      <c r="B3058" t="s">
        <v>7757</v>
      </c>
      <c r="C3058" t="s">
        <v>7684</v>
      </c>
      <c r="D3058" t="s">
        <v>7684</v>
      </c>
      <c r="E3058" t="s">
        <v>7741</v>
      </c>
    </row>
    <row r="3059" spans="1:5" x14ac:dyDescent="0.2">
      <c r="A3059" t="s">
        <v>7758</v>
      </c>
      <c r="B3059" t="s">
        <v>7759</v>
      </c>
      <c r="C3059" t="s">
        <v>7684</v>
      </c>
      <c r="D3059" t="s">
        <v>7684</v>
      </c>
      <c r="E3059" t="s">
        <v>7760</v>
      </c>
    </row>
    <row r="3060" spans="1:5" x14ac:dyDescent="0.2">
      <c r="A3060" t="s">
        <v>7761</v>
      </c>
      <c r="B3060" t="s">
        <v>7762</v>
      </c>
      <c r="C3060" t="s">
        <v>7684</v>
      </c>
      <c r="D3060" t="s">
        <v>7684</v>
      </c>
      <c r="E3060" t="s">
        <v>7729</v>
      </c>
    </row>
    <row r="3061" spans="1:5" x14ac:dyDescent="0.2">
      <c r="A3061" t="s">
        <v>7763</v>
      </c>
      <c r="B3061" t="s">
        <v>7764</v>
      </c>
      <c r="C3061" t="s">
        <v>7684</v>
      </c>
      <c r="D3061" t="s">
        <v>7684</v>
      </c>
      <c r="E3061" t="s">
        <v>7765</v>
      </c>
    </row>
    <row r="3062" spans="1:5" x14ac:dyDescent="0.2">
      <c r="A3062" t="s">
        <v>7766</v>
      </c>
      <c r="B3062" t="s">
        <v>7767</v>
      </c>
      <c r="C3062" t="s">
        <v>7684</v>
      </c>
      <c r="D3062" t="s">
        <v>7684</v>
      </c>
      <c r="E3062" t="s">
        <v>7696</v>
      </c>
    </row>
    <row r="3063" spans="1:5" x14ac:dyDescent="0.2">
      <c r="A3063" t="s">
        <v>7768</v>
      </c>
      <c r="B3063" t="s">
        <v>7769</v>
      </c>
      <c r="C3063" t="s">
        <v>7684</v>
      </c>
      <c r="D3063" t="s">
        <v>7684</v>
      </c>
      <c r="E3063" t="s">
        <v>7770</v>
      </c>
    </row>
    <row r="3064" spans="1:5" x14ac:dyDescent="0.2">
      <c r="A3064" t="s">
        <v>7771</v>
      </c>
      <c r="B3064" t="s">
        <v>7772</v>
      </c>
      <c r="C3064" t="s">
        <v>7684</v>
      </c>
      <c r="D3064" t="s">
        <v>7684</v>
      </c>
      <c r="E3064" t="s">
        <v>7773</v>
      </c>
    </row>
    <row r="3065" spans="1:5" x14ac:dyDescent="0.2">
      <c r="A3065" t="s">
        <v>7774</v>
      </c>
      <c r="B3065" t="s">
        <v>7775</v>
      </c>
      <c r="C3065" t="s">
        <v>7684</v>
      </c>
      <c r="D3065" t="s">
        <v>7684</v>
      </c>
      <c r="E3065" t="s">
        <v>7729</v>
      </c>
    </row>
    <row r="3066" spans="1:5" x14ac:dyDescent="0.2">
      <c r="A3066" t="s">
        <v>7776</v>
      </c>
      <c r="B3066" t="s">
        <v>7777</v>
      </c>
      <c r="C3066" t="s">
        <v>7684</v>
      </c>
      <c r="D3066" t="s">
        <v>7684</v>
      </c>
      <c r="E3066" t="s">
        <v>7741</v>
      </c>
    </row>
    <row r="3067" spans="1:5" x14ac:dyDescent="0.2">
      <c r="A3067" t="s">
        <v>7778</v>
      </c>
      <c r="B3067" t="s">
        <v>7779</v>
      </c>
      <c r="C3067" t="s">
        <v>7684</v>
      </c>
      <c r="D3067" t="s">
        <v>7684</v>
      </c>
      <c r="E3067" t="s">
        <v>7780</v>
      </c>
    </row>
    <row r="3068" spans="1:5" x14ac:dyDescent="0.2">
      <c r="A3068" t="s">
        <v>7781</v>
      </c>
      <c r="B3068" t="s">
        <v>7782</v>
      </c>
      <c r="C3068" t="s">
        <v>7684</v>
      </c>
      <c r="D3068" t="s">
        <v>7684</v>
      </c>
      <c r="E3068" t="s">
        <v>7783</v>
      </c>
    </row>
    <row r="3069" spans="1:5" x14ac:dyDescent="0.2">
      <c r="A3069" t="s">
        <v>7784</v>
      </c>
      <c r="B3069" t="s">
        <v>7785</v>
      </c>
      <c r="C3069" t="s">
        <v>7684</v>
      </c>
      <c r="D3069" t="s">
        <v>7684</v>
      </c>
      <c r="E3069" t="s">
        <v>7716</v>
      </c>
    </row>
    <row r="3070" spans="1:5" x14ac:dyDescent="0.2">
      <c r="A3070" t="s">
        <v>7786</v>
      </c>
      <c r="B3070" t="s">
        <v>7787</v>
      </c>
      <c r="C3070" t="s">
        <v>7684</v>
      </c>
      <c r="D3070" t="s">
        <v>7684</v>
      </c>
      <c r="E3070" t="s">
        <v>7722</v>
      </c>
    </row>
    <row r="3071" spans="1:5" x14ac:dyDescent="0.2">
      <c r="A3071" t="s">
        <v>7788</v>
      </c>
      <c r="B3071" t="s">
        <v>7789</v>
      </c>
      <c r="C3071" t="s">
        <v>7684</v>
      </c>
      <c r="D3071" t="s">
        <v>7684</v>
      </c>
      <c r="E3071" t="s">
        <v>7722</v>
      </c>
    </row>
    <row r="3072" spans="1:5" x14ac:dyDescent="0.2">
      <c r="A3072" t="s">
        <v>7790</v>
      </c>
      <c r="B3072" t="s">
        <v>7791</v>
      </c>
      <c r="C3072" t="s">
        <v>7684</v>
      </c>
      <c r="D3072" t="s">
        <v>7684</v>
      </c>
      <c r="E3072" t="s">
        <v>7792</v>
      </c>
    </row>
    <row r="3073" spans="1:5" x14ac:dyDescent="0.2">
      <c r="A3073" t="s">
        <v>7793</v>
      </c>
      <c r="B3073" t="s">
        <v>7794</v>
      </c>
      <c r="C3073" t="s">
        <v>7684</v>
      </c>
      <c r="D3073" t="s">
        <v>7684</v>
      </c>
      <c r="E3073" t="s">
        <v>7741</v>
      </c>
    </row>
    <row r="3074" spans="1:5" x14ac:dyDescent="0.2">
      <c r="A3074" t="s">
        <v>7795</v>
      </c>
      <c r="B3074" t="s">
        <v>7796</v>
      </c>
      <c r="C3074" t="s">
        <v>7684</v>
      </c>
      <c r="D3074" t="s">
        <v>7684</v>
      </c>
      <c r="E3074" t="s">
        <v>7722</v>
      </c>
    </row>
    <row r="3075" spans="1:5" x14ac:dyDescent="0.2">
      <c r="A3075" t="s">
        <v>7797</v>
      </c>
      <c r="B3075" t="s">
        <v>7798</v>
      </c>
      <c r="C3075" t="s">
        <v>7684</v>
      </c>
      <c r="D3075" t="s">
        <v>7684</v>
      </c>
      <c r="E3075" t="s">
        <v>7799</v>
      </c>
    </row>
    <row r="3076" spans="1:5" x14ac:dyDescent="0.2">
      <c r="A3076" t="s">
        <v>7800</v>
      </c>
      <c r="B3076" t="s">
        <v>7801</v>
      </c>
      <c r="C3076" t="s">
        <v>7684</v>
      </c>
      <c r="D3076" t="s">
        <v>7684</v>
      </c>
      <c r="E3076" t="s">
        <v>7690</v>
      </c>
    </row>
    <row r="3077" spans="1:5" x14ac:dyDescent="0.2">
      <c r="A3077" t="s">
        <v>7802</v>
      </c>
      <c r="B3077" t="s">
        <v>7803</v>
      </c>
      <c r="C3077" t="s">
        <v>7684</v>
      </c>
      <c r="D3077" t="s">
        <v>7684</v>
      </c>
      <c r="E3077" t="s">
        <v>7729</v>
      </c>
    </row>
    <row r="3078" spans="1:5" x14ac:dyDescent="0.2">
      <c r="A3078" t="s">
        <v>7804</v>
      </c>
      <c r="B3078" t="s">
        <v>7805</v>
      </c>
      <c r="C3078" t="s">
        <v>7684</v>
      </c>
      <c r="D3078" t="s">
        <v>7684</v>
      </c>
      <c r="E3078" t="s">
        <v>7806</v>
      </c>
    </row>
    <row r="3079" spans="1:5" x14ac:dyDescent="0.2">
      <c r="A3079" t="s">
        <v>7807</v>
      </c>
      <c r="B3079" t="s">
        <v>7808</v>
      </c>
      <c r="C3079" t="s">
        <v>7684</v>
      </c>
      <c r="D3079" t="s">
        <v>7684</v>
      </c>
      <c r="E3079" t="s">
        <v>7809</v>
      </c>
    </row>
    <row r="3080" spans="1:5" x14ac:dyDescent="0.2">
      <c r="A3080" t="s">
        <v>7810</v>
      </c>
      <c r="B3080" t="s">
        <v>7811</v>
      </c>
      <c r="C3080" t="s">
        <v>7684</v>
      </c>
      <c r="D3080" t="s">
        <v>7684</v>
      </c>
      <c r="E3080" t="s">
        <v>7812</v>
      </c>
    </row>
    <row r="3081" spans="1:5" x14ac:dyDescent="0.2">
      <c r="A3081" t="s">
        <v>7813</v>
      </c>
      <c r="B3081" t="s">
        <v>7814</v>
      </c>
      <c r="C3081" t="s">
        <v>7684</v>
      </c>
      <c r="D3081" t="s">
        <v>7684</v>
      </c>
      <c r="E3081" t="s">
        <v>7815</v>
      </c>
    </row>
    <row r="3082" spans="1:5" x14ac:dyDescent="0.2">
      <c r="A3082" t="s">
        <v>7816</v>
      </c>
      <c r="B3082" t="s">
        <v>7817</v>
      </c>
      <c r="C3082" t="s">
        <v>7684</v>
      </c>
      <c r="D3082" t="s">
        <v>7684</v>
      </c>
      <c r="E3082" t="s">
        <v>7818</v>
      </c>
    </row>
    <row r="3083" spans="1:5" x14ac:dyDescent="0.2">
      <c r="A3083" t="s">
        <v>7819</v>
      </c>
      <c r="B3083" t="s">
        <v>7820</v>
      </c>
      <c r="C3083" t="s">
        <v>7684</v>
      </c>
      <c r="D3083" t="s">
        <v>7684</v>
      </c>
      <c r="E3083" t="s">
        <v>7729</v>
      </c>
    </row>
    <row r="3084" spans="1:5" x14ac:dyDescent="0.2">
      <c r="A3084" t="s">
        <v>7821</v>
      </c>
      <c r="B3084" t="s">
        <v>7822</v>
      </c>
      <c r="C3084" t="s">
        <v>7684</v>
      </c>
      <c r="D3084" t="s">
        <v>7684</v>
      </c>
      <c r="E3084" t="s">
        <v>7729</v>
      </c>
    </row>
    <row r="3085" spans="1:5" x14ac:dyDescent="0.2">
      <c r="A3085" t="s">
        <v>7823</v>
      </c>
      <c r="B3085" t="s">
        <v>7824</v>
      </c>
      <c r="C3085" t="s">
        <v>7684</v>
      </c>
      <c r="D3085" t="s">
        <v>7684</v>
      </c>
      <c r="E3085" t="s">
        <v>7825</v>
      </c>
    </row>
    <row r="3086" spans="1:5" x14ac:dyDescent="0.2">
      <c r="A3086" t="s">
        <v>7826</v>
      </c>
      <c r="B3086" t="s">
        <v>7827</v>
      </c>
      <c r="C3086" t="s">
        <v>7684</v>
      </c>
      <c r="D3086" t="s">
        <v>7684</v>
      </c>
      <c r="E3086" t="s">
        <v>7825</v>
      </c>
    </row>
    <row r="3087" spans="1:5" x14ac:dyDescent="0.2">
      <c r="A3087" t="s">
        <v>7828</v>
      </c>
      <c r="B3087" t="s">
        <v>7829</v>
      </c>
      <c r="C3087" t="s">
        <v>7684</v>
      </c>
      <c r="D3087" t="s">
        <v>7684</v>
      </c>
      <c r="E3087" t="s">
        <v>7716</v>
      </c>
    </row>
    <row r="3088" spans="1:5" x14ac:dyDescent="0.2">
      <c r="A3088" t="s">
        <v>7830</v>
      </c>
      <c r="B3088" t="s">
        <v>7831</v>
      </c>
      <c r="C3088" t="s">
        <v>7684</v>
      </c>
      <c r="D3088" t="s">
        <v>7684</v>
      </c>
      <c r="E3088" t="s">
        <v>7741</v>
      </c>
    </row>
    <row r="3089" spans="1:5" x14ac:dyDescent="0.2">
      <c r="A3089" t="s">
        <v>7832</v>
      </c>
      <c r="B3089" t="s">
        <v>7833</v>
      </c>
      <c r="C3089" t="s">
        <v>7684</v>
      </c>
      <c r="D3089" t="s">
        <v>7684</v>
      </c>
      <c r="E3089" t="s">
        <v>7716</v>
      </c>
    </row>
    <row r="3090" spans="1:5" x14ac:dyDescent="0.2">
      <c r="A3090" t="s">
        <v>7834</v>
      </c>
      <c r="B3090" t="s">
        <v>7835</v>
      </c>
      <c r="C3090" t="s">
        <v>7684</v>
      </c>
      <c r="D3090" t="s">
        <v>7684</v>
      </c>
      <c r="E3090" t="s">
        <v>7836</v>
      </c>
    </row>
    <row r="3091" spans="1:5" x14ac:dyDescent="0.2">
      <c r="A3091" t="s">
        <v>7837</v>
      </c>
      <c r="B3091" t="s">
        <v>7838</v>
      </c>
      <c r="C3091" t="s">
        <v>7684</v>
      </c>
      <c r="D3091" t="s">
        <v>7684</v>
      </c>
      <c r="E3091" t="s">
        <v>7839</v>
      </c>
    </row>
    <row r="3092" spans="1:5" x14ac:dyDescent="0.2">
      <c r="A3092" t="s">
        <v>7840</v>
      </c>
      <c r="B3092" t="s">
        <v>7841</v>
      </c>
      <c r="C3092" t="s">
        <v>7684</v>
      </c>
      <c r="D3092" t="s">
        <v>7684</v>
      </c>
      <c r="E3092" t="s">
        <v>7696</v>
      </c>
    </row>
    <row r="3093" spans="1:5" x14ac:dyDescent="0.2">
      <c r="A3093" t="s">
        <v>7842</v>
      </c>
      <c r="B3093" t="s">
        <v>7843</v>
      </c>
      <c r="C3093" t="s">
        <v>7684</v>
      </c>
      <c r="D3093" t="s">
        <v>7684</v>
      </c>
      <c r="E3093" t="s">
        <v>7844</v>
      </c>
    </row>
    <row r="3094" spans="1:5" x14ac:dyDescent="0.2">
      <c r="A3094" t="s">
        <v>7845</v>
      </c>
      <c r="B3094" t="s">
        <v>7846</v>
      </c>
      <c r="C3094" t="s">
        <v>7684</v>
      </c>
      <c r="D3094" t="s">
        <v>7684</v>
      </c>
      <c r="E3094" t="s">
        <v>7847</v>
      </c>
    </row>
    <row r="3095" spans="1:5" x14ac:dyDescent="0.2">
      <c r="A3095" t="s">
        <v>7848</v>
      </c>
      <c r="B3095" t="s">
        <v>7849</v>
      </c>
      <c r="C3095" t="s">
        <v>7684</v>
      </c>
      <c r="D3095" t="s">
        <v>7684</v>
      </c>
      <c r="E3095" t="s">
        <v>7722</v>
      </c>
    </row>
    <row r="3096" spans="1:5" x14ac:dyDescent="0.2">
      <c r="A3096" t="s">
        <v>7850</v>
      </c>
      <c r="B3096" t="s">
        <v>7851</v>
      </c>
      <c r="C3096" t="s">
        <v>7684</v>
      </c>
      <c r="D3096" t="s">
        <v>7684</v>
      </c>
      <c r="E3096" t="s">
        <v>7722</v>
      </c>
    </row>
    <row r="3097" spans="1:5" x14ac:dyDescent="0.2">
      <c r="A3097" t="s">
        <v>7852</v>
      </c>
      <c r="B3097" t="s">
        <v>7853</v>
      </c>
      <c r="C3097" t="s">
        <v>7684</v>
      </c>
      <c r="D3097" t="s">
        <v>7684</v>
      </c>
      <c r="E3097" t="s">
        <v>7854</v>
      </c>
    </row>
    <row r="3098" spans="1:5" x14ac:dyDescent="0.2">
      <c r="A3098" t="s">
        <v>7855</v>
      </c>
      <c r="B3098" t="s">
        <v>7856</v>
      </c>
      <c r="C3098" t="s">
        <v>7684</v>
      </c>
      <c r="D3098" t="s">
        <v>7684</v>
      </c>
      <c r="E3098" t="s">
        <v>7857</v>
      </c>
    </row>
    <row r="3099" spans="1:5" x14ac:dyDescent="0.2">
      <c r="A3099" t="s">
        <v>7858</v>
      </c>
      <c r="B3099" t="s">
        <v>7859</v>
      </c>
      <c r="C3099" t="s">
        <v>7684</v>
      </c>
      <c r="D3099" t="s">
        <v>7684</v>
      </c>
      <c r="E3099" t="s">
        <v>7860</v>
      </c>
    </row>
    <row r="3100" spans="1:5" x14ac:dyDescent="0.2">
      <c r="A3100" t="s">
        <v>7861</v>
      </c>
      <c r="B3100" t="s">
        <v>7862</v>
      </c>
      <c r="C3100" t="s">
        <v>7684</v>
      </c>
      <c r="D3100" t="s">
        <v>7684</v>
      </c>
      <c r="E3100" t="s">
        <v>7741</v>
      </c>
    </row>
    <row r="3101" spans="1:5" x14ac:dyDescent="0.2">
      <c r="A3101" t="s">
        <v>7863</v>
      </c>
      <c r="B3101" t="s">
        <v>7864</v>
      </c>
      <c r="C3101" t="s">
        <v>7684</v>
      </c>
      <c r="D3101" t="s">
        <v>7684</v>
      </c>
      <c r="E3101" t="s">
        <v>7685</v>
      </c>
    </row>
    <row r="3102" spans="1:5" x14ac:dyDescent="0.2">
      <c r="A3102" t="s">
        <v>7865</v>
      </c>
      <c r="B3102" t="s">
        <v>7866</v>
      </c>
      <c r="C3102" t="s">
        <v>7684</v>
      </c>
      <c r="D3102" t="s">
        <v>7684</v>
      </c>
      <c r="E3102" t="s">
        <v>7716</v>
      </c>
    </row>
    <row r="3103" spans="1:5" x14ac:dyDescent="0.2">
      <c r="A3103" t="s">
        <v>7867</v>
      </c>
      <c r="B3103" t="s">
        <v>7868</v>
      </c>
      <c r="C3103" t="s">
        <v>7684</v>
      </c>
      <c r="D3103" t="s">
        <v>7684</v>
      </c>
      <c r="E3103" t="s">
        <v>7716</v>
      </c>
    </row>
    <row r="3104" spans="1:5" x14ac:dyDescent="0.2">
      <c r="A3104" t="s">
        <v>7869</v>
      </c>
      <c r="B3104" t="s">
        <v>7870</v>
      </c>
      <c r="C3104" t="s">
        <v>7684</v>
      </c>
      <c r="D3104" t="s">
        <v>7684</v>
      </c>
      <c r="E3104" t="s">
        <v>7871</v>
      </c>
    </row>
    <row r="3105" spans="1:5" x14ac:dyDescent="0.2">
      <c r="A3105" t="s">
        <v>7872</v>
      </c>
      <c r="B3105" t="s">
        <v>7873</v>
      </c>
      <c r="C3105" t="s">
        <v>7684</v>
      </c>
      <c r="D3105" t="s">
        <v>7684</v>
      </c>
      <c r="E3105" t="s">
        <v>7741</v>
      </c>
    </row>
    <row r="3106" spans="1:5" x14ac:dyDescent="0.2">
      <c r="A3106" t="s">
        <v>7874</v>
      </c>
      <c r="B3106" t="s">
        <v>7875</v>
      </c>
      <c r="C3106" t="s">
        <v>7684</v>
      </c>
      <c r="D3106" t="s">
        <v>7684</v>
      </c>
      <c r="E3106" t="s">
        <v>7854</v>
      </c>
    </row>
    <row r="3107" spans="1:5" x14ac:dyDescent="0.2">
      <c r="A3107" t="s">
        <v>7876</v>
      </c>
      <c r="B3107" t="s">
        <v>7877</v>
      </c>
      <c r="C3107" t="s">
        <v>7684</v>
      </c>
      <c r="D3107" t="s">
        <v>7684</v>
      </c>
      <c r="E3107" t="s">
        <v>7878</v>
      </c>
    </row>
    <row r="3108" spans="1:5" x14ac:dyDescent="0.2">
      <c r="A3108" t="s">
        <v>7879</v>
      </c>
      <c r="B3108" t="s">
        <v>7880</v>
      </c>
      <c r="C3108" t="s">
        <v>7684</v>
      </c>
      <c r="D3108" t="s">
        <v>7684</v>
      </c>
      <c r="E3108" t="s">
        <v>7881</v>
      </c>
    </row>
    <row r="3109" spans="1:5" x14ac:dyDescent="0.2">
      <c r="A3109" t="s">
        <v>7882</v>
      </c>
      <c r="B3109" t="s">
        <v>7883</v>
      </c>
      <c r="C3109" t="s">
        <v>7684</v>
      </c>
      <c r="D3109" t="s">
        <v>7684</v>
      </c>
      <c r="E3109" t="s">
        <v>7741</v>
      </c>
    </row>
    <row r="3110" spans="1:5" x14ac:dyDescent="0.2">
      <c r="A3110" t="s">
        <v>7884</v>
      </c>
      <c r="B3110" t="s">
        <v>7885</v>
      </c>
      <c r="C3110" t="s">
        <v>7684</v>
      </c>
      <c r="D3110" t="s">
        <v>7684</v>
      </c>
      <c r="E3110" t="s">
        <v>7722</v>
      </c>
    </row>
    <row r="3111" spans="1:5" x14ac:dyDescent="0.2">
      <c r="A3111" t="s">
        <v>7886</v>
      </c>
      <c r="B3111" t="s">
        <v>7887</v>
      </c>
      <c r="C3111" t="s">
        <v>7684</v>
      </c>
      <c r="D3111" t="s">
        <v>7684</v>
      </c>
      <c r="E3111" t="s">
        <v>7888</v>
      </c>
    </row>
    <row r="3112" spans="1:5" x14ac:dyDescent="0.2">
      <c r="A3112" t="s">
        <v>7889</v>
      </c>
      <c r="B3112" t="s">
        <v>7890</v>
      </c>
      <c r="C3112" t="s">
        <v>7684</v>
      </c>
      <c r="D3112" t="s">
        <v>7684</v>
      </c>
      <c r="E3112" t="s">
        <v>7696</v>
      </c>
    </row>
    <row r="3113" spans="1:5" x14ac:dyDescent="0.2">
      <c r="A3113" t="s">
        <v>7891</v>
      </c>
      <c r="B3113" t="s">
        <v>7892</v>
      </c>
      <c r="C3113" t="s">
        <v>7684</v>
      </c>
      <c r="D3113" t="s">
        <v>7684</v>
      </c>
      <c r="E3113" t="s">
        <v>7893</v>
      </c>
    </row>
    <row r="3114" spans="1:5" x14ac:dyDescent="0.2">
      <c r="A3114" t="s">
        <v>7894</v>
      </c>
      <c r="B3114" t="s">
        <v>7895</v>
      </c>
      <c r="C3114" t="s">
        <v>7684</v>
      </c>
      <c r="D3114" t="s">
        <v>7684</v>
      </c>
      <c r="E3114" t="s">
        <v>7729</v>
      </c>
    </row>
    <row r="3115" spans="1:5" x14ac:dyDescent="0.2">
      <c r="A3115" t="s">
        <v>7896</v>
      </c>
      <c r="B3115" t="s">
        <v>7897</v>
      </c>
      <c r="C3115" t="s">
        <v>7684</v>
      </c>
      <c r="D3115" t="s">
        <v>7684</v>
      </c>
      <c r="E3115" t="s">
        <v>7729</v>
      </c>
    </row>
    <row r="3116" spans="1:5" x14ac:dyDescent="0.2">
      <c r="A3116" t="s">
        <v>7898</v>
      </c>
      <c r="B3116" t="s">
        <v>7899</v>
      </c>
      <c r="C3116" t="s">
        <v>7684</v>
      </c>
      <c r="D3116" t="s">
        <v>7684</v>
      </c>
      <c r="E3116" t="s">
        <v>7722</v>
      </c>
    </row>
    <row r="3117" spans="1:5" x14ac:dyDescent="0.2">
      <c r="A3117" t="s">
        <v>7900</v>
      </c>
      <c r="B3117" t="s">
        <v>7901</v>
      </c>
      <c r="C3117" t="s">
        <v>7684</v>
      </c>
      <c r="D3117" t="s">
        <v>7684</v>
      </c>
      <c r="E3117" t="s">
        <v>7854</v>
      </c>
    </row>
    <row r="3118" spans="1:5" x14ac:dyDescent="0.2">
      <c r="A3118" t="s">
        <v>7902</v>
      </c>
      <c r="B3118" t="s">
        <v>7903</v>
      </c>
      <c r="C3118" t="s">
        <v>7684</v>
      </c>
      <c r="D3118" t="s">
        <v>7684</v>
      </c>
      <c r="E3118" t="s">
        <v>7904</v>
      </c>
    </row>
    <row r="3119" spans="1:5" x14ac:dyDescent="0.2">
      <c r="A3119" t="s">
        <v>7905</v>
      </c>
      <c r="B3119" t="s">
        <v>7906</v>
      </c>
      <c r="C3119" t="s">
        <v>7684</v>
      </c>
      <c r="D3119" t="s">
        <v>7684</v>
      </c>
      <c r="E3119" t="s">
        <v>7685</v>
      </c>
    </row>
    <row r="3120" spans="1:5" x14ac:dyDescent="0.2">
      <c r="A3120" t="s">
        <v>7907</v>
      </c>
      <c r="B3120" t="s">
        <v>7908</v>
      </c>
      <c r="C3120" t="s">
        <v>7684</v>
      </c>
      <c r="D3120" t="s">
        <v>7684</v>
      </c>
      <c r="E3120" t="s">
        <v>7722</v>
      </c>
    </row>
    <row r="3121" spans="1:5" x14ac:dyDescent="0.2">
      <c r="A3121" t="s">
        <v>7909</v>
      </c>
      <c r="B3121" t="s">
        <v>7910</v>
      </c>
      <c r="C3121" t="s">
        <v>7684</v>
      </c>
      <c r="D3121" t="s">
        <v>7684</v>
      </c>
      <c r="E3121" t="s">
        <v>7716</v>
      </c>
    </row>
    <row r="3122" spans="1:5" x14ac:dyDescent="0.2">
      <c r="A3122" t="s">
        <v>7911</v>
      </c>
      <c r="B3122" t="s">
        <v>7912</v>
      </c>
      <c r="C3122" t="s">
        <v>7684</v>
      </c>
      <c r="D3122" t="s">
        <v>7684</v>
      </c>
      <c r="E3122" t="s">
        <v>7913</v>
      </c>
    </row>
    <row r="3123" spans="1:5" x14ac:dyDescent="0.2">
      <c r="A3123" t="s">
        <v>7914</v>
      </c>
      <c r="B3123" t="s">
        <v>7915</v>
      </c>
      <c r="C3123" t="s">
        <v>7684</v>
      </c>
      <c r="D3123" t="s">
        <v>7684</v>
      </c>
      <c r="E3123" t="s">
        <v>7916</v>
      </c>
    </row>
    <row r="3124" spans="1:5" x14ac:dyDescent="0.2">
      <c r="A3124" t="s">
        <v>7917</v>
      </c>
      <c r="B3124" t="s">
        <v>7918</v>
      </c>
      <c r="C3124" t="s">
        <v>7684</v>
      </c>
      <c r="D3124" t="s">
        <v>7684</v>
      </c>
      <c r="E3124" t="s">
        <v>7722</v>
      </c>
    </row>
    <row r="3125" spans="1:5" x14ac:dyDescent="0.2">
      <c r="A3125" t="s">
        <v>7919</v>
      </c>
      <c r="B3125" t="s">
        <v>7920</v>
      </c>
      <c r="C3125" t="s">
        <v>7684</v>
      </c>
      <c r="D3125" t="s">
        <v>7684</v>
      </c>
      <c r="E3125" t="s">
        <v>7921</v>
      </c>
    </row>
    <row r="3126" spans="1:5" x14ac:dyDescent="0.2">
      <c r="A3126" t="s">
        <v>7922</v>
      </c>
      <c r="B3126" t="s">
        <v>7923</v>
      </c>
      <c r="C3126" t="s">
        <v>7684</v>
      </c>
      <c r="D3126" t="s">
        <v>7684</v>
      </c>
      <c r="E3126" t="s">
        <v>7722</v>
      </c>
    </row>
    <row r="3127" spans="1:5" x14ac:dyDescent="0.2">
      <c r="A3127" t="s">
        <v>7924</v>
      </c>
      <c r="B3127" t="s">
        <v>7925</v>
      </c>
      <c r="C3127" t="s">
        <v>7684</v>
      </c>
      <c r="D3127" t="s">
        <v>7684</v>
      </c>
      <c r="E3127" t="s">
        <v>7696</v>
      </c>
    </row>
    <row r="3128" spans="1:5" x14ac:dyDescent="0.2">
      <c r="A3128" t="s">
        <v>7926</v>
      </c>
      <c r="B3128" t="s">
        <v>7927</v>
      </c>
      <c r="C3128" t="s">
        <v>7684</v>
      </c>
      <c r="D3128" t="s">
        <v>7684</v>
      </c>
      <c r="E3128" t="s">
        <v>7928</v>
      </c>
    </row>
    <row r="3129" spans="1:5" x14ac:dyDescent="0.2">
      <c r="A3129" t="s">
        <v>7929</v>
      </c>
      <c r="B3129" t="s">
        <v>7930</v>
      </c>
      <c r="C3129" t="s">
        <v>7684</v>
      </c>
      <c r="D3129" t="s">
        <v>7684</v>
      </c>
      <c r="E3129" t="s">
        <v>7722</v>
      </c>
    </row>
    <row r="3130" spans="1:5" x14ac:dyDescent="0.2">
      <c r="A3130" t="s">
        <v>7931</v>
      </c>
      <c r="B3130" t="s">
        <v>7932</v>
      </c>
      <c r="C3130" t="s">
        <v>7684</v>
      </c>
      <c r="D3130" t="s">
        <v>7684</v>
      </c>
      <c r="E3130" t="s">
        <v>7729</v>
      </c>
    </row>
    <row r="3131" spans="1:5" x14ac:dyDescent="0.2">
      <c r="A3131" t="s">
        <v>7933</v>
      </c>
      <c r="B3131" t="s">
        <v>7934</v>
      </c>
      <c r="C3131" t="s">
        <v>7684</v>
      </c>
      <c r="D3131" t="s">
        <v>7684</v>
      </c>
      <c r="E3131" t="s">
        <v>7741</v>
      </c>
    </row>
    <row r="3132" spans="1:5" x14ac:dyDescent="0.2">
      <c r="A3132" t="s">
        <v>7935</v>
      </c>
      <c r="B3132" t="s">
        <v>7936</v>
      </c>
      <c r="C3132" t="s">
        <v>7684</v>
      </c>
      <c r="D3132" t="s">
        <v>7684</v>
      </c>
      <c r="E3132" t="s">
        <v>7937</v>
      </c>
    </row>
    <row r="3133" spans="1:5" x14ac:dyDescent="0.2">
      <c r="A3133" t="s">
        <v>7938</v>
      </c>
      <c r="B3133" t="s">
        <v>7939</v>
      </c>
      <c r="C3133" t="s">
        <v>7684</v>
      </c>
      <c r="D3133" t="s">
        <v>7684</v>
      </c>
      <c r="E3133" t="s">
        <v>7940</v>
      </c>
    </row>
    <row r="3134" spans="1:5" x14ac:dyDescent="0.2">
      <c r="A3134" t="s">
        <v>7941</v>
      </c>
      <c r="B3134" t="s">
        <v>7942</v>
      </c>
      <c r="C3134" t="s">
        <v>7684</v>
      </c>
      <c r="D3134" t="s">
        <v>7684</v>
      </c>
      <c r="E3134" t="s">
        <v>7729</v>
      </c>
    </row>
    <row r="3135" spans="1:5" x14ac:dyDescent="0.2">
      <c r="A3135" t="s">
        <v>7943</v>
      </c>
      <c r="B3135" t="s">
        <v>7944</v>
      </c>
      <c r="C3135" t="s">
        <v>7684</v>
      </c>
      <c r="D3135" t="s">
        <v>7684</v>
      </c>
      <c r="E3135" t="s">
        <v>7741</v>
      </c>
    </row>
    <row r="3136" spans="1:5" x14ac:dyDescent="0.2">
      <c r="A3136" t="s">
        <v>7945</v>
      </c>
      <c r="B3136" t="s">
        <v>7946</v>
      </c>
      <c r="C3136" t="s">
        <v>7684</v>
      </c>
      <c r="D3136" t="s">
        <v>7684</v>
      </c>
      <c r="E3136" t="s">
        <v>7716</v>
      </c>
    </row>
    <row r="3137" spans="1:5" x14ac:dyDescent="0.2">
      <c r="A3137" t="s">
        <v>7947</v>
      </c>
      <c r="B3137" t="s">
        <v>7948</v>
      </c>
      <c r="C3137" t="s">
        <v>7684</v>
      </c>
      <c r="D3137" t="s">
        <v>7684</v>
      </c>
      <c r="E3137" t="s">
        <v>7685</v>
      </c>
    </row>
    <row r="3138" spans="1:5" x14ac:dyDescent="0.2">
      <c r="A3138" t="s">
        <v>7949</v>
      </c>
      <c r="B3138" t="s">
        <v>7950</v>
      </c>
      <c r="C3138" t="s">
        <v>7684</v>
      </c>
      <c r="D3138" t="s">
        <v>7684</v>
      </c>
      <c r="E3138" t="s">
        <v>7729</v>
      </c>
    </row>
    <row r="3139" spans="1:5" x14ac:dyDescent="0.2">
      <c r="A3139" t="s">
        <v>7951</v>
      </c>
      <c r="B3139" t="s">
        <v>7952</v>
      </c>
      <c r="C3139" t="s">
        <v>7684</v>
      </c>
      <c r="D3139" t="e">
        <v>#N/A</v>
      </c>
      <c r="E3139" t="e">
        <v>#N/A</v>
      </c>
    </row>
    <row r="3140" spans="1:5" x14ac:dyDescent="0.2">
      <c r="A3140" t="s">
        <v>7953</v>
      </c>
      <c r="B3140" t="s">
        <v>7954</v>
      </c>
      <c r="C3140" t="s">
        <v>7684</v>
      </c>
      <c r="D3140" t="e">
        <v>#N/A</v>
      </c>
      <c r="E3140" t="e">
        <v>#N/A</v>
      </c>
    </row>
    <row r="3141" spans="1:5" x14ac:dyDescent="0.2">
      <c r="A3141" t="s">
        <v>7955</v>
      </c>
      <c r="B3141" t="s">
        <v>7956</v>
      </c>
      <c r="C3141" t="s">
        <v>7684</v>
      </c>
      <c r="D3141" t="e">
        <v>#N/A</v>
      </c>
      <c r="E3141" t="e">
        <v>#N/A</v>
      </c>
    </row>
    <row r="3142" spans="1:5" x14ac:dyDescent="0.2">
      <c r="A3142" t="s">
        <v>7957</v>
      </c>
      <c r="B3142" t="s">
        <v>7958</v>
      </c>
      <c r="C3142" t="s">
        <v>7684</v>
      </c>
      <c r="D3142" t="e">
        <v>#N/A</v>
      </c>
      <c r="E3142" t="e">
        <v>#N/A</v>
      </c>
    </row>
    <row r="3143" spans="1:5" x14ac:dyDescent="0.2">
      <c r="A3143" t="s">
        <v>7959</v>
      </c>
      <c r="B3143" t="s">
        <v>7960</v>
      </c>
      <c r="C3143" t="s">
        <v>7684</v>
      </c>
      <c r="D3143" t="e">
        <v>#N/A</v>
      </c>
      <c r="E3143" t="e">
        <v>#N/A</v>
      </c>
    </row>
    <row r="3144" spans="1:5" x14ac:dyDescent="0.2">
      <c r="A3144" t="s">
        <v>7961</v>
      </c>
      <c r="B3144" t="s">
        <v>7962</v>
      </c>
      <c r="C3144" t="s">
        <v>7963</v>
      </c>
      <c r="D3144" t="s">
        <v>7963</v>
      </c>
      <c r="E3144" t="s">
        <v>7964</v>
      </c>
    </row>
    <row r="3145" spans="1:5" x14ac:dyDescent="0.2">
      <c r="A3145" t="s">
        <v>7965</v>
      </c>
      <c r="B3145" t="s">
        <v>7966</v>
      </c>
      <c r="C3145" t="s">
        <v>7963</v>
      </c>
      <c r="D3145" t="s">
        <v>7963</v>
      </c>
      <c r="E3145" t="s">
        <v>7967</v>
      </c>
    </row>
    <row r="3146" spans="1:5" x14ac:dyDescent="0.2">
      <c r="A3146" t="s">
        <v>7968</v>
      </c>
      <c r="B3146" t="s">
        <v>7969</v>
      </c>
      <c r="C3146" t="s">
        <v>7963</v>
      </c>
      <c r="D3146" t="s">
        <v>7963</v>
      </c>
      <c r="E3146" t="s">
        <v>7970</v>
      </c>
    </row>
    <row r="3147" spans="1:5" x14ac:dyDescent="0.2">
      <c r="A3147" t="s">
        <v>7971</v>
      </c>
      <c r="B3147" t="s">
        <v>7972</v>
      </c>
      <c r="C3147" t="s">
        <v>7963</v>
      </c>
      <c r="D3147" t="s">
        <v>7963</v>
      </c>
      <c r="E3147" t="s">
        <v>7973</v>
      </c>
    </row>
    <row r="3148" spans="1:5" x14ac:dyDescent="0.2">
      <c r="A3148" t="s">
        <v>7974</v>
      </c>
      <c r="B3148" t="s">
        <v>7975</v>
      </c>
      <c r="C3148" t="s">
        <v>7963</v>
      </c>
      <c r="D3148" t="s">
        <v>7963</v>
      </c>
      <c r="E3148" t="s">
        <v>7976</v>
      </c>
    </row>
    <row r="3149" spans="1:5" x14ac:dyDescent="0.2">
      <c r="A3149" t="s">
        <v>7977</v>
      </c>
      <c r="B3149" t="s">
        <v>7978</v>
      </c>
      <c r="C3149" t="s">
        <v>7963</v>
      </c>
      <c r="D3149" t="s">
        <v>7963</v>
      </c>
      <c r="E3149" t="s">
        <v>7979</v>
      </c>
    </row>
    <row r="3150" spans="1:5" x14ac:dyDescent="0.2">
      <c r="A3150" t="s">
        <v>7980</v>
      </c>
      <c r="B3150" t="s">
        <v>7981</v>
      </c>
      <c r="C3150" t="s">
        <v>7963</v>
      </c>
      <c r="D3150" t="s">
        <v>7963</v>
      </c>
      <c r="E3150" t="s">
        <v>7982</v>
      </c>
    </row>
    <row r="3151" spans="1:5" x14ac:dyDescent="0.2">
      <c r="A3151" t="s">
        <v>7983</v>
      </c>
      <c r="B3151" t="s">
        <v>7984</v>
      </c>
      <c r="C3151" t="s">
        <v>7963</v>
      </c>
      <c r="D3151" t="s">
        <v>7963</v>
      </c>
      <c r="E3151" t="s">
        <v>7985</v>
      </c>
    </row>
    <row r="3152" spans="1:5" x14ac:dyDescent="0.2">
      <c r="A3152" t="s">
        <v>7986</v>
      </c>
      <c r="B3152" t="s">
        <v>7987</v>
      </c>
      <c r="C3152" t="s">
        <v>7963</v>
      </c>
      <c r="D3152" t="s">
        <v>7963</v>
      </c>
      <c r="E3152" t="s">
        <v>7988</v>
      </c>
    </row>
    <row r="3153" spans="1:5" x14ac:dyDescent="0.2">
      <c r="A3153" t="s">
        <v>7989</v>
      </c>
      <c r="B3153" t="s">
        <v>7990</v>
      </c>
      <c r="C3153" t="s">
        <v>7963</v>
      </c>
      <c r="D3153" t="s">
        <v>7963</v>
      </c>
      <c r="E3153" t="s">
        <v>7973</v>
      </c>
    </row>
    <row r="3154" spans="1:5" x14ac:dyDescent="0.2">
      <c r="A3154" t="s">
        <v>7991</v>
      </c>
      <c r="B3154" t="s">
        <v>7992</v>
      </c>
      <c r="C3154" t="s">
        <v>7963</v>
      </c>
      <c r="D3154" t="s">
        <v>7963</v>
      </c>
      <c r="E3154" t="s">
        <v>7993</v>
      </c>
    </row>
    <row r="3155" spans="1:5" x14ac:dyDescent="0.2">
      <c r="A3155" t="s">
        <v>7994</v>
      </c>
      <c r="B3155" t="s">
        <v>7995</v>
      </c>
      <c r="C3155" t="s">
        <v>7963</v>
      </c>
      <c r="D3155" t="s">
        <v>7963</v>
      </c>
      <c r="E3155" t="s">
        <v>7982</v>
      </c>
    </row>
    <row r="3156" spans="1:5" x14ac:dyDescent="0.2">
      <c r="A3156" t="s">
        <v>7996</v>
      </c>
      <c r="B3156" t="s">
        <v>7997</v>
      </c>
      <c r="C3156" t="s">
        <v>7963</v>
      </c>
      <c r="D3156" t="s">
        <v>7963</v>
      </c>
      <c r="E3156" t="s">
        <v>7988</v>
      </c>
    </row>
    <row r="3157" spans="1:5" x14ac:dyDescent="0.2">
      <c r="A3157" t="s">
        <v>7998</v>
      </c>
      <c r="B3157" t="s">
        <v>7999</v>
      </c>
      <c r="C3157" t="s">
        <v>7963</v>
      </c>
      <c r="D3157" t="s">
        <v>7963</v>
      </c>
      <c r="E3157" t="s">
        <v>7982</v>
      </c>
    </row>
    <row r="3158" spans="1:5" x14ac:dyDescent="0.2">
      <c r="A3158" t="s">
        <v>8000</v>
      </c>
      <c r="B3158" t="s">
        <v>8001</v>
      </c>
      <c r="C3158" t="s">
        <v>7963</v>
      </c>
      <c r="D3158" t="s">
        <v>7963</v>
      </c>
      <c r="E3158" t="s">
        <v>8002</v>
      </c>
    </row>
    <row r="3159" spans="1:5" x14ac:dyDescent="0.2">
      <c r="A3159" t="s">
        <v>8003</v>
      </c>
      <c r="B3159" t="s">
        <v>8004</v>
      </c>
      <c r="C3159" t="s">
        <v>7963</v>
      </c>
      <c r="D3159" t="s">
        <v>7963</v>
      </c>
      <c r="E3159" t="s">
        <v>7982</v>
      </c>
    </row>
    <row r="3160" spans="1:5" x14ac:dyDescent="0.2">
      <c r="A3160" t="s">
        <v>8005</v>
      </c>
      <c r="B3160" t="s">
        <v>8006</v>
      </c>
      <c r="C3160" t="s">
        <v>7963</v>
      </c>
      <c r="D3160" t="s">
        <v>7963</v>
      </c>
      <c r="E3160" t="s">
        <v>7982</v>
      </c>
    </row>
    <row r="3161" spans="1:5" x14ac:dyDescent="0.2">
      <c r="A3161" t="s">
        <v>8007</v>
      </c>
      <c r="B3161" t="s">
        <v>8008</v>
      </c>
      <c r="C3161" t="s">
        <v>7963</v>
      </c>
      <c r="D3161" t="s">
        <v>7963</v>
      </c>
      <c r="E3161" t="s">
        <v>7988</v>
      </c>
    </row>
    <row r="3162" spans="1:5" x14ac:dyDescent="0.2">
      <c r="A3162" t="s">
        <v>8009</v>
      </c>
      <c r="B3162" t="s">
        <v>8010</v>
      </c>
      <c r="C3162" t="s">
        <v>7963</v>
      </c>
      <c r="D3162" t="s">
        <v>7963</v>
      </c>
      <c r="E3162" t="s">
        <v>8011</v>
      </c>
    </row>
    <row r="3163" spans="1:5" x14ac:dyDescent="0.2">
      <c r="A3163" t="s">
        <v>8012</v>
      </c>
      <c r="B3163" t="s">
        <v>8013</v>
      </c>
      <c r="C3163" t="s">
        <v>7963</v>
      </c>
      <c r="D3163" t="s">
        <v>7963</v>
      </c>
      <c r="E3163" t="s">
        <v>7973</v>
      </c>
    </row>
    <row r="3164" spans="1:5" x14ac:dyDescent="0.2">
      <c r="A3164" t="s">
        <v>8014</v>
      </c>
      <c r="B3164" t="s">
        <v>8015</v>
      </c>
      <c r="C3164" t="s">
        <v>7963</v>
      </c>
      <c r="D3164" t="s">
        <v>7963</v>
      </c>
      <c r="E3164" t="s">
        <v>7988</v>
      </c>
    </row>
    <row r="3165" spans="1:5" x14ac:dyDescent="0.2">
      <c r="A3165" t="s">
        <v>8016</v>
      </c>
      <c r="B3165" t="s">
        <v>8017</v>
      </c>
      <c r="C3165" t="s">
        <v>7963</v>
      </c>
      <c r="D3165" t="s">
        <v>7963</v>
      </c>
      <c r="E3165" t="s">
        <v>7988</v>
      </c>
    </row>
    <row r="3166" spans="1:5" x14ac:dyDescent="0.2">
      <c r="A3166" t="s">
        <v>8018</v>
      </c>
      <c r="B3166" t="s">
        <v>8019</v>
      </c>
      <c r="C3166" t="s">
        <v>7963</v>
      </c>
      <c r="D3166" t="s">
        <v>7963</v>
      </c>
      <c r="E3166" t="s">
        <v>8020</v>
      </c>
    </row>
    <row r="3167" spans="1:5" x14ac:dyDescent="0.2">
      <c r="A3167" t="s">
        <v>8021</v>
      </c>
      <c r="B3167" t="s">
        <v>8022</v>
      </c>
      <c r="C3167" t="s">
        <v>7963</v>
      </c>
      <c r="D3167" t="s">
        <v>7963</v>
      </c>
      <c r="E3167" t="s">
        <v>7988</v>
      </c>
    </row>
    <row r="3168" spans="1:5" x14ac:dyDescent="0.2">
      <c r="A3168" t="s">
        <v>8023</v>
      </c>
      <c r="B3168" t="s">
        <v>8024</v>
      </c>
      <c r="C3168" t="s">
        <v>7963</v>
      </c>
      <c r="D3168" t="s">
        <v>7963</v>
      </c>
      <c r="E3168" t="s">
        <v>7988</v>
      </c>
    </row>
    <row r="3169" spans="1:5" x14ac:dyDescent="0.2">
      <c r="A3169" t="s">
        <v>8025</v>
      </c>
      <c r="B3169" t="s">
        <v>8026</v>
      </c>
      <c r="C3169" t="s">
        <v>7963</v>
      </c>
      <c r="D3169" t="s">
        <v>7963</v>
      </c>
      <c r="E3169" t="s">
        <v>7988</v>
      </c>
    </row>
    <row r="3170" spans="1:5" x14ac:dyDescent="0.2">
      <c r="A3170" t="s">
        <v>8027</v>
      </c>
      <c r="B3170" t="s">
        <v>8028</v>
      </c>
      <c r="C3170" t="s">
        <v>7963</v>
      </c>
      <c r="D3170" t="s">
        <v>7963</v>
      </c>
      <c r="E3170" t="s">
        <v>7982</v>
      </c>
    </row>
    <row r="3171" spans="1:5" x14ac:dyDescent="0.2">
      <c r="A3171" t="s">
        <v>8029</v>
      </c>
      <c r="B3171" t="s">
        <v>8030</v>
      </c>
      <c r="C3171" t="s">
        <v>7963</v>
      </c>
      <c r="D3171" t="s">
        <v>7963</v>
      </c>
      <c r="E3171" t="s">
        <v>7982</v>
      </c>
    </row>
    <row r="3172" spans="1:5" x14ac:dyDescent="0.2">
      <c r="A3172" t="s">
        <v>8031</v>
      </c>
      <c r="B3172" t="s">
        <v>8032</v>
      </c>
      <c r="C3172" t="s">
        <v>7963</v>
      </c>
      <c r="D3172" t="s">
        <v>7963</v>
      </c>
      <c r="E3172" t="s">
        <v>7993</v>
      </c>
    </row>
    <row r="3173" spans="1:5" x14ac:dyDescent="0.2">
      <c r="A3173" t="s">
        <v>8033</v>
      </c>
      <c r="B3173" t="s">
        <v>8034</v>
      </c>
      <c r="C3173" t="s">
        <v>7963</v>
      </c>
      <c r="D3173" t="s">
        <v>7963</v>
      </c>
      <c r="E3173" t="s">
        <v>8035</v>
      </c>
    </row>
    <row r="3174" spans="1:5" x14ac:dyDescent="0.2">
      <c r="A3174" t="s">
        <v>8036</v>
      </c>
      <c r="B3174" t="s">
        <v>8037</v>
      </c>
      <c r="C3174" t="s">
        <v>7963</v>
      </c>
      <c r="D3174" t="s">
        <v>7963</v>
      </c>
      <c r="E3174" t="s">
        <v>7993</v>
      </c>
    </row>
    <row r="3175" spans="1:5" x14ac:dyDescent="0.2">
      <c r="A3175" t="s">
        <v>8038</v>
      </c>
      <c r="B3175" t="s">
        <v>8039</v>
      </c>
      <c r="C3175" t="s">
        <v>7963</v>
      </c>
      <c r="D3175" t="s">
        <v>7963</v>
      </c>
      <c r="E3175" t="s">
        <v>8040</v>
      </c>
    </row>
    <row r="3176" spans="1:5" x14ac:dyDescent="0.2">
      <c r="A3176" t="s">
        <v>8041</v>
      </c>
      <c r="B3176" t="s">
        <v>8042</v>
      </c>
      <c r="C3176" t="s">
        <v>7963</v>
      </c>
      <c r="D3176" t="s">
        <v>7963</v>
      </c>
      <c r="E3176" t="s">
        <v>8043</v>
      </c>
    </row>
    <row r="3177" spans="1:5" x14ac:dyDescent="0.2">
      <c r="A3177" t="s">
        <v>8044</v>
      </c>
      <c r="B3177" t="s">
        <v>8045</v>
      </c>
      <c r="C3177" t="s">
        <v>7963</v>
      </c>
      <c r="D3177" t="s">
        <v>7963</v>
      </c>
      <c r="E3177" t="s">
        <v>7988</v>
      </c>
    </row>
    <row r="3178" spans="1:5" x14ac:dyDescent="0.2">
      <c r="A3178" t="s">
        <v>8046</v>
      </c>
      <c r="B3178" t="s">
        <v>8047</v>
      </c>
      <c r="C3178" t="s">
        <v>7963</v>
      </c>
      <c r="D3178" t="s">
        <v>7963</v>
      </c>
      <c r="E3178" t="s">
        <v>7988</v>
      </c>
    </row>
    <row r="3179" spans="1:5" x14ac:dyDescent="0.2">
      <c r="A3179" t="s">
        <v>8048</v>
      </c>
      <c r="B3179" t="s">
        <v>8049</v>
      </c>
      <c r="C3179" t="s">
        <v>7963</v>
      </c>
      <c r="D3179" t="s">
        <v>7963</v>
      </c>
      <c r="E3179" t="s">
        <v>7973</v>
      </c>
    </row>
    <row r="3180" spans="1:5" x14ac:dyDescent="0.2">
      <c r="A3180" t="s">
        <v>8050</v>
      </c>
      <c r="B3180" t="s">
        <v>8051</v>
      </c>
      <c r="C3180" t="s">
        <v>7963</v>
      </c>
      <c r="D3180" t="s">
        <v>7963</v>
      </c>
      <c r="E3180" t="s">
        <v>7982</v>
      </c>
    </row>
    <row r="3181" spans="1:5" x14ac:dyDescent="0.2">
      <c r="A3181" t="s">
        <v>8052</v>
      </c>
      <c r="B3181" t="s">
        <v>8053</v>
      </c>
      <c r="C3181" t="s">
        <v>7963</v>
      </c>
      <c r="D3181" t="s">
        <v>7963</v>
      </c>
      <c r="E3181" t="s">
        <v>7982</v>
      </c>
    </row>
    <row r="3182" spans="1:5" x14ac:dyDescent="0.2">
      <c r="A3182" t="s">
        <v>8054</v>
      </c>
      <c r="B3182" t="s">
        <v>8055</v>
      </c>
      <c r="C3182" t="s">
        <v>7963</v>
      </c>
      <c r="D3182" t="s">
        <v>7963</v>
      </c>
      <c r="E3182" t="s">
        <v>8056</v>
      </c>
    </row>
    <row r="3183" spans="1:5" x14ac:dyDescent="0.2">
      <c r="A3183" t="s">
        <v>8057</v>
      </c>
      <c r="B3183" t="s">
        <v>8058</v>
      </c>
      <c r="C3183" t="s">
        <v>7963</v>
      </c>
      <c r="D3183" t="s">
        <v>7963</v>
      </c>
      <c r="E3183" t="s">
        <v>7988</v>
      </c>
    </row>
    <row r="3184" spans="1:5" x14ac:dyDescent="0.2">
      <c r="A3184" t="s">
        <v>8059</v>
      </c>
      <c r="B3184" t="s">
        <v>8060</v>
      </c>
      <c r="C3184" t="s">
        <v>7963</v>
      </c>
      <c r="D3184" t="s">
        <v>7963</v>
      </c>
      <c r="E3184" t="s">
        <v>8061</v>
      </c>
    </row>
    <row r="3185" spans="1:5" x14ac:dyDescent="0.2">
      <c r="A3185" t="s">
        <v>8062</v>
      </c>
      <c r="B3185" t="s">
        <v>8063</v>
      </c>
      <c r="C3185" t="s">
        <v>7963</v>
      </c>
      <c r="D3185" t="s">
        <v>7963</v>
      </c>
      <c r="E3185" t="s">
        <v>8064</v>
      </c>
    </row>
    <row r="3186" spans="1:5" x14ac:dyDescent="0.2">
      <c r="A3186" t="s">
        <v>8065</v>
      </c>
      <c r="B3186" t="s">
        <v>8066</v>
      </c>
      <c r="C3186" t="s">
        <v>7963</v>
      </c>
      <c r="D3186" t="s">
        <v>7963</v>
      </c>
      <c r="E3186" t="s">
        <v>8067</v>
      </c>
    </row>
    <row r="3187" spans="1:5" x14ac:dyDescent="0.2">
      <c r="A3187" t="s">
        <v>8068</v>
      </c>
      <c r="B3187" t="s">
        <v>8069</v>
      </c>
      <c r="C3187" t="s">
        <v>7963</v>
      </c>
      <c r="D3187" t="s">
        <v>7963</v>
      </c>
      <c r="E3187" t="s">
        <v>7988</v>
      </c>
    </row>
    <row r="3188" spans="1:5" x14ac:dyDescent="0.2">
      <c r="A3188" t="s">
        <v>8070</v>
      </c>
      <c r="B3188" t="s">
        <v>8071</v>
      </c>
      <c r="C3188" t="s">
        <v>7963</v>
      </c>
      <c r="D3188" t="s">
        <v>7963</v>
      </c>
      <c r="E3188" t="s">
        <v>7973</v>
      </c>
    </row>
    <row r="3189" spans="1:5" x14ac:dyDescent="0.2">
      <c r="A3189" t="s">
        <v>8072</v>
      </c>
      <c r="B3189" t="s">
        <v>8073</v>
      </c>
      <c r="C3189" t="s">
        <v>7963</v>
      </c>
      <c r="D3189" t="s">
        <v>7963</v>
      </c>
      <c r="E3189" t="s">
        <v>8074</v>
      </c>
    </row>
    <row r="3190" spans="1:5" x14ac:dyDescent="0.2">
      <c r="A3190" t="s">
        <v>8075</v>
      </c>
      <c r="B3190" t="s">
        <v>8076</v>
      </c>
      <c r="C3190" t="s">
        <v>7963</v>
      </c>
      <c r="D3190" t="s">
        <v>7963</v>
      </c>
      <c r="E3190" t="s">
        <v>7993</v>
      </c>
    </row>
    <row r="3191" spans="1:5" x14ac:dyDescent="0.2">
      <c r="A3191" t="s">
        <v>8077</v>
      </c>
      <c r="B3191" t="s">
        <v>8078</v>
      </c>
      <c r="C3191" t="s">
        <v>7963</v>
      </c>
      <c r="D3191" t="s">
        <v>7963</v>
      </c>
      <c r="E3191" t="s">
        <v>7973</v>
      </c>
    </row>
    <row r="3192" spans="1:5" x14ac:dyDescent="0.2">
      <c r="A3192" t="s">
        <v>8079</v>
      </c>
      <c r="B3192" t="s">
        <v>8080</v>
      </c>
      <c r="C3192" t="s">
        <v>7963</v>
      </c>
      <c r="D3192" t="s">
        <v>7963</v>
      </c>
      <c r="E3192" t="s">
        <v>8081</v>
      </c>
    </row>
    <row r="3193" spans="1:5" x14ac:dyDescent="0.2">
      <c r="A3193" t="s">
        <v>8082</v>
      </c>
      <c r="B3193" t="s">
        <v>8083</v>
      </c>
      <c r="C3193" t="s">
        <v>7963</v>
      </c>
      <c r="D3193" t="s">
        <v>7963</v>
      </c>
      <c r="E3193" t="s">
        <v>7993</v>
      </c>
    </row>
    <row r="3194" spans="1:5" x14ac:dyDescent="0.2">
      <c r="A3194" t="s">
        <v>8084</v>
      </c>
      <c r="B3194" t="s">
        <v>8085</v>
      </c>
      <c r="C3194" t="s">
        <v>7963</v>
      </c>
      <c r="D3194" t="s">
        <v>7963</v>
      </c>
      <c r="E3194" t="s">
        <v>7988</v>
      </c>
    </row>
    <row r="3195" spans="1:5" x14ac:dyDescent="0.2">
      <c r="A3195" t="s">
        <v>8086</v>
      </c>
      <c r="B3195" t="s">
        <v>8087</v>
      </c>
      <c r="C3195" t="s">
        <v>7963</v>
      </c>
      <c r="D3195" t="s">
        <v>7963</v>
      </c>
      <c r="E3195" t="s">
        <v>7982</v>
      </c>
    </row>
    <row r="3196" spans="1:5" x14ac:dyDescent="0.2">
      <c r="A3196" t="s">
        <v>8088</v>
      </c>
      <c r="B3196" t="s">
        <v>8089</v>
      </c>
      <c r="C3196" t="s">
        <v>7963</v>
      </c>
      <c r="D3196" t="s">
        <v>7963</v>
      </c>
      <c r="E3196" t="s">
        <v>7982</v>
      </c>
    </row>
    <row r="3197" spans="1:5" x14ac:dyDescent="0.2">
      <c r="A3197" t="s">
        <v>8090</v>
      </c>
      <c r="B3197" t="s">
        <v>8091</v>
      </c>
      <c r="C3197" t="s">
        <v>7963</v>
      </c>
      <c r="D3197" t="s">
        <v>7963</v>
      </c>
      <c r="E3197" t="s">
        <v>7982</v>
      </c>
    </row>
    <row r="3198" spans="1:5" x14ac:dyDescent="0.2">
      <c r="A3198" t="s">
        <v>8092</v>
      </c>
      <c r="B3198" t="s">
        <v>8093</v>
      </c>
      <c r="C3198" t="s">
        <v>7963</v>
      </c>
      <c r="D3198" t="s">
        <v>7963</v>
      </c>
      <c r="E3198" t="s">
        <v>7988</v>
      </c>
    </row>
    <row r="3199" spans="1:5" x14ac:dyDescent="0.2">
      <c r="A3199" t="s">
        <v>8094</v>
      </c>
      <c r="B3199" t="s">
        <v>8095</v>
      </c>
      <c r="C3199" t="s">
        <v>7963</v>
      </c>
      <c r="D3199" t="s">
        <v>7963</v>
      </c>
      <c r="E3199" t="s">
        <v>7993</v>
      </c>
    </row>
    <row r="3200" spans="1:5" x14ac:dyDescent="0.2">
      <c r="A3200" t="s">
        <v>8096</v>
      </c>
      <c r="B3200" t="s">
        <v>8097</v>
      </c>
      <c r="C3200" t="s">
        <v>7963</v>
      </c>
      <c r="D3200" t="e">
        <v>#N/A</v>
      </c>
      <c r="E3200" t="e">
        <v>#N/A</v>
      </c>
    </row>
    <row r="3201" spans="1:5" x14ac:dyDescent="0.2">
      <c r="A3201" t="s">
        <v>8098</v>
      </c>
      <c r="B3201" t="s">
        <v>8099</v>
      </c>
      <c r="C3201" t="s">
        <v>7963</v>
      </c>
      <c r="D3201" t="s">
        <v>7963</v>
      </c>
      <c r="E3201" t="s">
        <v>8100</v>
      </c>
    </row>
    <row r="3202" spans="1:5" x14ac:dyDescent="0.2">
      <c r="A3202" t="s">
        <v>8101</v>
      </c>
      <c r="B3202" t="s">
        <v>8102</v>
      </c>
      <c r="C3202" t="s">
        <v>7963</v>
      </c>
      <c r="D3202" t="e">
        <v>#N/A</v>
      </c>
      <c r="E3202" t="e">
        <v>#N/A</v>
      </c>
    </row>
    <row r="3203" spans="1:5" x14ac:dyDescent="0.2">
      <c r="A3203" t="s">
        <v>8103</v>
      </c>
      <c r="B3203" t="s">
        <v>8104</v>
      </c>
      <c r="C3203" t="s">
        <v>7963</v>
      </c>
      <c r="D3203" t="e">
        <v>#N/A</v>
      </c>
      <c r="E3203" t="e">
        <v>#N/A</v>
      </c>
    </row>
    <row r="3204" spans="1:5" x14ac:dyDescent="0.2">
      <c r="A3204" t="s">
        <v>8105</v>
      </c>
      <c r="B3204" t="s">
        <v>8106</v>
      </c>
      <c r="C3204" t="s">
        <v>7963</v>
      </c>
      <c r="D3204" t="e">
        <v>#N/A</v>
      </c>
      <c r="E3204" t="e">
        <v>#N/A</v>
      </c>
    </row>
    <row r="3205" spans="1:5" x14ac:dyDescent="0.2">
      <c r="A3205" t="s">
        <v>8107</v>
      </c>
      <c r="B3205" t="s">
        <v>8108</v>
      </c>
      <c r="C3205" t="s">
        <v>8109</v>
      </c>
      <c r="D3205" t="s">
        <v>8109</v>
      </c>
      <c r="E3205" t="s">
        <v>8110</v>
      </c>
    </row>
    <row r="3206" spans="1:5" x14ac:dyDescent="0.2">
      <c r="A3206" t="s">
        <v>8111</v>
      </c>
      <c r="B3206" t="s">
        <v>8112</v>
      </c>
      <c r="C3206" t="s">
        <v>8109</v>
      </c>
      <c r="D3206" t="s">
        <v>8109</v>
      </c>
      <c r="E3206" t="s">
        <v>8110</v>
      </c>
    </row>
    <row r="3207" spans="1:5" x14ac:dyDescent="0.2">
      <c r="A3207" t="s">
        <v>8113</v>
      </c>
      <c r="B3207" t="s">
        <v>8114</v>
      </c>
      <c r="C3207" t="s">
        <v>8109</v>
      </c>
      <c r="D3207" t="s">
        <v>8109</v>
      </c>
      <c r="E3207" t="s">
        <v>8115</v>
      </c>
    </row>
    <row r="3208" spans="1:5" x14ac:dyDescent="0.2">
      <c r="A3208" t="s">
        <v>8116</v>
      </c>
      <c r="B3208" t="s">
        <v>8117</v>
      </c>
      <c r="C3208" t="s">
        <v>8109</v>
      </c>
      <c r="D3208" t="s">
        <v>8109</v>
      </c>
      <c r="E3208" t="s">
        <v>8110</v>
      </c>
    </row>
    <row r="3209" spans="1:5" x14ac:dyDescent="0.2">
      <c r="A3209" t="s">
        <v>8118</v>
      </c>
      <c r="B3209" t="s">
        <v>8119</v>
      </c>
      <c r="C3209" t="s">
        <v>8109</v>
      </c>
      <c r="D3209" t="s">
        <v>8109</v>
      </c>
      <c r="E3209" t="s">
        <v>8110</v>
      </c>
    </row>
    <row r="3210" spans="1:5" x14ac:dyDescent="0.2">
      <c r="A3210" t="s">
        <v>8120</v>
      </c>
      <c r="B3210" t="s">
        <v>8121</v>
      </c>
      <c r="C3210" t="s">
        <v>8109</v>
      </c>
      <c r="D3210" t="s">
        <v>8109</v>
      </c>
      <c r="E3210" t="s">
        <v>8122</v>
      </c>
    </row>
    <row r="3211" spans="1:5" x14ac:dyDescent="0.2">
      <c r="A3211" t="s">
        <v>8123</v>
      </c>
      <c r="B3211" t="s">
        <v>8124</v>
      </c>
      <c r="C3211" t="s">
        <v>8109</v>
      </c>
      <c r="D3211" t="s">
        <v>8109</v>
      </c>
      <c r="E3211" t="s">
        <v>8125</v>
      </c>
    </row>
    <row r="3212" spans="1:5" x14ac:dyDescent="0.2">
      <c r="A3212" t="s">
        <v>8126</v>
      </c>
      <c r="B3212" t="s">
        <v>8127</v>
      </c>
      <c r="C3212" t="s">
        <v>8109</v>
      </c>
      <c r="D3212" t="s">
        <v>8109</v>
      </c>
      <c r="E3212" t="s">
        <v>8110</v>
      </c>
    </row>
    <row r="3213" spans="1:5" x14ac:dyDescent="0.2">
      <c r="A3213" t="s">
        <v>8128</v>
      </c>
      <c r="B3213" t="s">
        <v>8129</v>
      </c>
      <c r="C3213" t="s">
        <v>8109</v>
      </c>
      <c r="D3213" t="s">
        <v>8109</v>
      </c>
      <c r="E3213" t="s">
        <v>8130</v>
      </c>
    </row>
    <row r="3214" spans="1:5" x14ac:dyDescent="0.2">
      <c r="A3214" t="s">
        <v>8131</v>
      </c>
      <c r="B3214" t="s">
        <v>8132</v>
      </c>
      <c r="C3214" t="s">
        <v>8109</v>
      </c>
      <c r="D3214" t="s">
        <v>8109</v>
      </c>
      <c r="E3214" t="s">
        <v>8110</v>
      </c>
    </row>
    <row r="3215" spans="1:5" x14ac:dyDescent="0.2">
      <c r="A3215" t="s">
        <v>8133</v>
      </c>
      <c r="B3215" t="s">
        <v>8134</v>
      </c>
      <c r="C3215" t="s">
        <v>8109</v>
      </c>
      <c r="D3215" t="s">
        <v>8109</v>
      </c>
      <c r="E3215" t="s">
        <v>8110</v>
      </c>
    </row>
    <row r="3216" spans="1:5" x14ac:dyDescent="0.2">
      <c r="A3216" t="s">
        <v>8135</v>
      </c>
      <c r="B3216" t="s">
        <v>8136</v>
      </c>
      <c r="C3216" t="s">
        <v>8109</v>
      </c>
      <c r="D3216" t="s">
        <v>8109</v>
      </c>
      <c r="E3216" t="s">
        <v>8137</v>
      </c>
    </row>
    <row r="3217" spans="1:5" x14ac:dyDescent="0.2">
      <c r="A3217" t="s">
        <v>8138</v>
      </c>
      <c r="B3217" t="s">
        <v>8139</v>
      </c>
      <c r="C3217" t="s">
        <v>8109</v>
      </c>
      <c r="D3217" t="s">
        <v>8109</v>
      </c>
      <c r="E3217" t="s">
        <v>8110</v>
      </c>
    </row>
    <row r="3218" spans="1:5" x14ac:dyDescent="0.2">
      <c r="A3218" t="s">
        <v>8140</v>
      </c>
      <c r="B3218" t="s">
        <v>8141</v>
      </c>
      <c r="C3218" t="s">
        <v>8109</v>
      </c>
      <c r="D3218" t="s">
        <v>8109</v>
      </c>
      <c r="E3218" t="s">
        <v>8142</v>
      </c>
    </row>
    <row r="3219" spans="1:5" x14ac:dyDescent="0.2">
      <c r="A3219" t="s">
        <v>8143</v>
      </c>
      <c r="B3219" t="s">
        <v>8144</v>
      </c>
      <c r="C3219" t="s">
        <v>8109</v>
      </c>
      <c r="D3219" t="s">
        <v>8109</v>
      </c>
      <c r="E3219" t="s">
        <v>8145</v>
      </c>
    </row>
    <row r="3220" spans="1:5" x14ac:dyDescent="0.2">
      <c r="A3220" t="s">
        <v>8146</v>
      </c>
      <c r="B3220" t="s">
        <v>8147</v>
      </c>
      <c r="C3220" t="s">
        <v>8109</v>
      </c>
      <c r="D3220" t="s">
        <v>8109</v>
      </c>
      <c r="E3220" t="s">
        <v>8145</v>
      </c>
    </row>
    <row r="3221" spans="1:5" x14ac:dyDescent="0.2">
      <c r="A3221" t="s">
        <v>8148</v>
      </c>
      <c r="B3221" t="s">
        <v>8149</v>
      </c>
      <c r="C3221" t="s">
        <v>8109</v>
      </c>
      <c r="D3221" t="s">
        <v>8109</v>
      </c>
      <c r="E3221" t="s">
        <v>8150</v>
      </c>
    </row>
    <row r="3222" spans="1:5" x14ac:dyDescent="0.2">
      <c r="A3222" t="s">
        <v>8151</v>
      </c>
      <c r="B3222" t="s">
        <v>8152</v>
      </c>
      <c r="C3222" t="s">
        <v>8109</v>
      </c>
      <c r="D3222" t="s">
        <v>8109</v>
      </c>
      <c r="E3222" t="s">
        <v>8110</v>
      </c>
    </row>
    <row r="3223" spans="1:5" x14ac:dyDescent="0.2">
      <c r="A3223" t="s">
        <v>8153</v>
      </c>
      <c r="B3223" t="s">
        <v>8154</v>
      </c>
      <c r="C3223" t="s">
        <v>8109</v>
      </c>
      <c r="D3223" t="s">
        <v>8109</v>
      </c>
      <c r="E3223" t="s">
        <v>8155</v>
      </c>
    </row>
    <row r="3224" spans="1:5" x14ac:dyDescent="0.2">
      <c r="A3224" t="s">
        <v>8156</v>
      </c>
      <c r="B3224" t="s">
        <v>8157</v>
      </c>
      <c r="C3224" t="s">
        <v>8109</v>
      </c>
      <c r="D3224" t="s">
        <v>8109</v>
      </c>
      <c r="E3224" t="s">
        <v>8158</v>
      </c>
    </row>
    <row r="3225" spans="1:5" x14ac:dyDescent="0.2">
      <c r="A3225" t="s">
        <v>8159</v>
      </c>
      <c r="B3225" t="s">
        <v>8160</v>
      </c>
      <c r="C3225" t="s">
        <v>8109</v>
      </c>
      <c r="D3225" t="s">
        <v>8109</v>
      </c>
      <c r="E3225" t="s">
        <v>8161</v>
      </c>
    </row>
    <row r="3226" spans="1:5" x14ac:dyDescent="0.2">
      <c r="A3226" t="s">
        <v>8162</v>
      </c>
      <c r="B3226" t="s">
        <v>8163</v>
      </c>
      <c r="C3226" t="s">
        <v>8109</v>
      </c>
      <c r="D3226" t="s">
        <v>8109</v>
      </c>
      <c r="E3226" t="s">
        <v>8164</v>
      </c>
    </row>
    <row r="3227" spans="1:5" x14ac:dyDescent="0.2">
      <c r="A3227" t="s">
        <v>8165</v>
      </c>
      <c r="B3227" t="s">
        <v>8166</v>
      </c>
      <c r="C3227" t="s">
        <v>8109</v>
      </c>
      <c r="D3227" t="s">
        <v>8109</v>
      </c>
      <c r="E3227" t="s">
        <v>8167</v>
      </c>
    </row>
    <row r="3228" spans="1:5" x14ac:dyDescent="0.2">
      <c r="A3228" t="s">
        <v>8168</v>
      </c>
      <c r="B3228" t="s">
        <v>8169</v>
      </c>
      <c r="C3228" t="s">
        <v>8109</v>
      </c>
      <c r="D3228" t="s">
        <v>8109</v>
      </c>
      <c r="E3228" t="s">
        <v>8170</v>
      </c>
    </row>
    <row r="3229" spans="1:5" x14ac:dyDescent="0.2">
      <c r="A3229" t="s">
        <v>8171</v>
      </c>
      <c r="B3229" t="s">
        <v>8172</v>
      </c>
      <c r="C3229" t="s">
        <v>8109</v>
      </c>
      <c r="D3229" t="s">
        <v>8109</v>
      </c>
      <c r="E3229" t="s">
        <v>8150</v>
      </c>
    </row>
    <row r="3230" spans="1:5" x14ac:dyDescent="0.2">
      <c r="A3230" t="s">
        <v>8173</v>
      </c>
      <c r="B3230" t="s">
        <v>8174</v>
      </c>
      <c r="C3230" t="s">
        <v>8109</v>
      </c>
      <c r="D3230" t="s">
        <v>8109</v>
      </c>
      <c r="E3230" t="s">
        <v>8175</v>
      </c>
    </row>
    <row r="3231" spans="1:5" x14ac:dyDescent="0.2">
      <c r="A3231" t="s">
        <v>8176</v>
      </c>
      <c r="B3231" t="s">
        <v>8177</v>
      </c>
      <c r="C3231" t="s">
        <v>8109</v>
      </c>
      <c r="D3231" t="s">
        <v>8109</v>
      </c>
      <c r="E3231" t="s">
        <v>8178</v>
      </c>
    </row>
    <row r="3232" spans="1:5" x14ac:dyDescent="0.2">
      <c r="A3232" t="s">
        <v>8179</v>
      </c>
      <c r="B3232" t="s">
        <v>8180</v>
      </c>
      <c r="C3232" t="s">
        <v>8109</v>
      </c>
      <c r="D3232" t="s">
        <v>8109</v>
      </c>
      <c r="E3232" t="s">
        <v>8150</v>
      </c>
    </row>
    <row r="3233" spans="1:5" x14ac:dyDescent="0.2">
      <c r="A3233" t="s">
        <v>8181</v>
      </c>
      <c r="B3233" t="s">
        <v>8182</v>
      </c>
      <c r="C3233" t="s">
        <v>8109</v>
      </c>
      <c r="D3233" t="s">
        <v>8109</v>
      </c>
      <c r="E3233" t="s">
        <v>8150</v>
      </c>
    </row>
    <row r="3234" spans="1:5" x14ac:dyDescent="0.2">
      <c r="A3234" t="s">
        <v>8183</v>
      </c>
      <c r="B3234" t="s">
        <v>8184</v>
      </c>
      <c r="C3234" t="s">
        <v>8109</v>
      </c>
      <c r="D3234" t="s">
        <v>8109</v>
      </c>
      <c r="E3234" t="s">
        <v>8185</v>
      </c>
    </row>
    <row r="3235" spans="1:5" x14ac:dyDescent="0.2">
      <c r="A3235" t="s">
        <v>8186</v>
      </c>
      <c r="B3235" t="s">
        <v>8187</v>
      </c>
      <c r="C3235" t="s">
        <v>8109</v>
      </c>
      <c r="D3235" t="s">
        <v>8109</v>
      </c>
      <c r="E3235" t="s">
        <v>8145</v>
      </c>
    </row>
    <row r="3236" spans="1:5" x14ac:dyDescent="0.2">
      <c r="A3236" t="s">
        <v>8188</v>
      </c>
      <c r="B3236" t="s">
        <v>8189</v>
      </c>
      <c r="C3236" t="s">
        <v>8109</v>
      </c>
      <c r="D3236" t="s">
        <v>8109</v>
      </c>
      <c r="E3236" t="s">
        <v>8150</v>
      </c>
    </row>
    <row r="3237" spans="1:5" x14ac:dyDescent="0.2">
      <c r="A3237" t="s">
        <v>8190</v>
      </c>
      <c r="B3237" t="s">
        <v>8191</v>
      </c>
      <c r="C3237" t="s">
        <v>8109</v>
      </c>
      <c r="D3237" t="s">
        <v>8109</v>
      </c>
      <c r="E3237" t="s">
        <v>8145</v>
      </c>
    </row>
    <row r="3238" spans="1:5" x14ac:dyDescent="0.2">
      <c r="A3238" t="s">
        <v>8192</v>
      </c>
      <c r="B3238" t="s">
        <v>8193</v>
      </c>
      <c r="C3238" t="s">
        <v>8109</v>
      </c>
      <c r="D3238" t="s">
        <v>8109</v>
      </c>
      <c r="E3238" t="s">
        <v>8194</v>
      </c>
    </row>
    <row r="3239" spans="1:5" x14ac:dyDescent="0.2">
      <c r="A3239" t="s">
        <v>8195</v>
      </c>
      <c r="B3239" t="s">
        <v>8196</v>
      </c>
      <c r="C3239" t="s">
        <v>8109</v>
      </c>
      <c r="D3239" t="s">
        <v>8109</v>
      </c>
      <c r="E3239" t="s">
        <v>8197</v>
      </c>
    </row>
    <row r="3240" spans="1:5" x14ac:dyDescent="0.2">
      <c r="A3240" t="s">
        <v>8198</v>
      </c>
      <c r="B3240" t="s">
        <v>8199</v>
      </c>
      <c r="C3240" t="s">
        <v>8109</v>
      </c>
      <c r="D3240" t="s">
        <v>8109</v>
      </c>
      <c r="E3240" t="s">
        <v>8145</v>
      </c>
    </row>
    <row r="3241" spans="1:5" x14ac:dyDescent="0.2">
      <c r="A3241" t="s">
        <v>8200</v>
      </c>
      <c r="B3241" t="s">
        <v>8201</v>
      </c>
      <c r="C3241" t="s">
        <v>8109</v>
      </c>
      <c r="D3241" t="s">
        <v>8109</v>
      </c>
      <c r="E3241" t="s">
        <v>8150</v>
      </c>
    </row>
    <row r="3242" spans="1:5" x14ac:dyDescent="0.2">
      <c r="A3242" t="s">
        <v>8202</v>
      </c>
      <c r="B3242" t="s">
        <v>8203</v>
      </c>
      <c r="C3242" t="s">
        <v>8109</v>
      </c>
      <c r="D3242" t="s">
        <v>8109</v>
      </c>
      <c r="E3242" t="s">
        <v>8150</v>
      </c>
    </row>
    <row r="3243" spans="1:5" x14ac:dyDescent="0.2">
      <c r="A3243" t="s">
        <v>8204</v>
      </c>
      <c r="B3243" t="s">
        <v>8205</v>
      </c>
      <c r="C3243" t="s">
        <v>8109</v>
      </c>
      <c r="D3243" t="s">
        <v>8109</v>
      </c>
      <c r="E3243" t="s">
        <v>8206</v>
      </c>
    </row>
    <row r="3244" spans="1:5" x14ac:dyDescent="0.2">
      <c r="A3244" t="s">
        <v>8207</v>
      </c>
      <c r="B3244" t="s">
        <v>8208</v>
      </c>
      <c r="C3244" t="s">
        <v>8109</v>
      </c>
      <c r="D3244" t="s">
        <v>8109</v>
      </c>
      <c r="E3244" t="s">
        <v>8145</v>
      </c>
    </row>
    <row r="3245" spans="1:5" x14ac:dyDescent="0.2">
      <c r="A3245" t="s">
        <v>8209</v>
      </c>
      <c r="B3245" t="s">
        <v>8210</v>
      </c>
      <c r="C3245" t="s">
        <v>8109</v>
      </c>
      <c r="D3245" t="s">
        <v>8109</v>
      </c>
      <c r="E3245" t="s">
        <v>8211</v>
      </c>
    </row>
    <row r="3246" spans="1:5" x14ac:dyDescent="0.2">
      <c r="A3246" t="s">
        <v>8212</v>
      </c>
      <c r="B3246" t="s">
        <v>8213</v>
      </c>
      <c r="C3246" t="s">
        <v>8109</v>
      </c>
      <c r="D3246" t="s">
        <v>8109</v>
      </c>
      <c r="E3246" t="s">
        <v>8214</v>
      </c>
    </row>
    <row r="3247" spans="1:5" x14ac:dyDescent="0.2">
      <c r="A3247" t="s">
        <v>8215</v>
      </c>
      <c r="B3247" t="s">
        <v>8216</v>
      </c>
      <c r="C3247" t="s">
        <v>8109</v>
      </c>
      <c r="D3247" t="s">
        <v>8109</v>
      </c>
      <c r="E3247" t="s">
        <v>8211</v>
      </c>
    </row>
    <row r="3248" spans="1:5" x14ac:dyDescent="0.2">
      <c r="A3248" t="s">
        <v>8217</v>
      </c>
      <c r="B3248" t="s">
        <v>8218</v>
      </c>
      <c r="C3248" t="s">
        <v>8109</v>
      </c>
      <c r="D3248" t="s">
        <v>8109</v>
      </c>
      <c r="E3248" t="s">
        <v>8150</v>
      </c>
    </row>
    <row r="3249" spans="1:5" x14ac:dyDescent="0.2">
      <c r="A3249" t="s">
        <v>8219</v>
      </c>
      <c r="B3249" t="s">
        <v>8220</v>
      </c>
      <c r="C3249" t="s">
        <v>8109</v>
      </c>
      <c r="D3249" t="s">
        <v>8109</v>
      </c>
      <c r="E3249" t="s">
        <v>8221</v>
      </c>
    </row>
    <row r="3250" spans="1:5" x14ac:dyDescent="0.2">
      <c r="A3250" t="s">
        <v>8222</v>
      </c>
      <c r="B3250" t="s">
        <v>8223</v>
      </c>
      <c r="C3250" t="s">
        <v>8109</v>
      </c>
      <c r="D3250" t="s">
        <v>8109</v>
      </c>
      <c r="E3250" t="s">
        <v>8211</v>
      </c>
    </row>
    <row r="3251" spans="1:5" x14ac:dyDescent="0.2">
      <c r="A3251" t="s">
        <v>8224</v>
      </c>
      <c r="B3251" t="s">
        <v>8225</v>
      </c>
      <c r="C3251" t="s">
        <v>8109</v>
      </c>
      <c r="D3251" t="s">
        <v>8109</v>
      </c>
      <c r="E3251" t="s">
        <v>8150</v>
      </c>
    </row>
    <row r="3252" spans="1:5" x14ac:dyDescent="0.2">
      <c r="A3252" t="s">
        <v>8226</v>
      </c>
      <c r="B3252" t="s">
        <v>8227</v>
      </c>
      <c r="C3252" t="s">
        <v>8109</v>
      </c>
      <c r="D3252" t="s">
        <v>8109</v>
      </c>
      <c r="E3252" t="s">
        <v>8228</v>
      </c>
    </row>
    <row r="3253" spans="1:5" x14ac:dyDescent="0.2">
      <c r="A3253" t="s">
        <v>8229</v>
      </c>
      <c r="B3253" t="s">
        <v>8230</v>
      </c>
      <c r="C3253" t="s">
        <v>8109</v>
      </c>
      <c r="D3253" t="s">
        <v>8109</v>
      </c>
      <c r="E3253" t="s">
        <v>8145</v>
      </c>
    </row>
    <row r="3254" spans="1:5" x14ac:dyDescent="0.2">
      <c r="A3254" t="s">
        <v>8231</v>
      </c>
      <c r="B3254" t="s">
        <v>8232</v>
      </c>
      <c r="C3254" t="s">
        <v>8109</v>
      </c>
      <c r="D3254" t="s">
        <v>8109</v>
      </c>
      <c r="E3254" t="s">
        <v>8233</v>
      </c>
    </row>
    <row r="3255" spans="1:5" x14ac:dyDescent="0.2">
      <c r="A3255" t="s">
        <v>8234</v>
      </c>
      <c r="B3255" t="s">
        <v>8235</v>
      </c>
      <c r="C3255" t="s">
        <v>8109</v>
      </c>
      <c r="D3255" t="s">
        <v>8109</v>
      </c>
      <c r="E3255" t="s">
        <v>8236</v>
      </c>
    </row>
    <row r="3256" spans="1:5" x14ac:dyDescent="0.2">
      <c r="A3256" t="s">
        <v>8237</v>
      </c>
      <c r="B3256" t="s">
        <v>8238</v>
      </c>
      <c r="C3256" t="s">
        <v>8109</v>
      </c>
      <c r="D3256" t="s">
        <v>8109</v>
      </c>
      <c r="E3256" t="s">
        <v>8150</v>
      </c>
    </row>
    <row r="3257" spans="1:5" x14ac:dyDescent="0.2">
      <c r="A3257" t="s">
        <v>8239</v>
      </c>
      <c r="B3257" t="s">
        <v>8240</v>
      </c>
      <c r="C3257" t="s">
        <v>8109</v>
      </c>
      <c r="D3257" t="s">
        <v>8109</v>
      </c>
      <c r="E3257" t="s">
        <v>8241</v>
      </c>
    </row>
    <row r="3258" spans="1:5" x14ac:dyDescent="0.2">
      <c r="A3258" t="s">
        <v>8242</v>
      </c>
      <c r="B3258" t="s">
        <v>8243</v>
      </c>
      <c r="C3258" t="s">
        <v>8109</v>
      </c>
      <c r="D3258" t="s">
        <v>8109</v>
      </c>
      <c r="E3258" t="s">
        <v>8145</v>
      </c>
    </row>
    <row r="3259" spans="1:5" x14ac:dyDescent="0.2">
      <c r="A3259" t="s">
        <v>8244</v>
      </c>
      <c r="B3259" t="s">
        <v>8245</v>
      </c>
      <c r="C3259" t="s">
        <v>8109</v>
      </c>
      <c r="D3259" t="s">
        <v>8109</v>
      </c>
      <c r="E3259" t="s">
        <v>8246</v>
      </c>
    </row>
    <row r="3260" spans="1:5" x14ac:dyDescent="0.2">
      <c r="A3260" t="s">
        <v>8247</v>
      </c>
      <c r="B3260" t="s">
        <v>8248</v>
      </c>
      <c r="C3260" t="s">
        <v>8109</v>
      </c>
      <c r="D3260" t="s">
        <v>8109</v>
      </c>
      <c r="E3260" t="s">
        <v>8249</v>
      </c>
    </row>
    <row r="3261" spans="1:5" x14ac:dyDescent="0.2">
      <c r="A3261" t="s">
        <v>8250</v>
      </c>
      <c r="B3261" t="s">
        <v>8251</v>
      </c>
      <c r="C3261" t="s">
        <v>8109</v>
      </c>
      <c r="D3261" t="s">
        <v>8109</v>
      </c>
      <c r="E3261" t="s">
        <v>8211</v>
      </c>
    </row>
    <row r="3262" spans="1:5" x14ac:dyDescent="0.2">
      <c r="A3262" t="s">
        <v>8252</v>
      </c>
      <c r="B3262" t="s">
        <v>8253</v>
      </c>
      <c r="C3262" t="s">
        <v>8109</v>
      </c>
      <c r="D3262" t="s">
        <v>8109</v>
      </c>
      <c r="E3262" t="s">
        <v>8145</v>
      </c>
    </row>
    <row r="3263" spans="1:5" x14ac:dyDescent="0.2">
      <c r="A3263" t="s">
        <v>8254</v>
      </c>
      <c r="B3263" t="s">
        <v>8255</v>
      </c>
      <c r="C3263" t="s">
        <v>8109</v>
      </c>
      <c r="D3263" t="s">
        <v>8109</v>
      </c>
      <c r="E3263" t="s">
        <v>8256</v>
      </c>
    </row>
    <row r="3264" spans="1:5" x14ac:dyDescent="0.2">
      <c r="A3264" t="s">
        <v>8257</v>
      </c>
      <c r="B3264" t="s">
        <v>8258</v>
      </c>
      <c r="C3264" t="s">
        <v>8109</v>
      </c>
      <c r="D3264" t="s">
        <v>8109</v>
      </c>
      <c r="E3264" t="s">
        <v>8211</v>
      </c>
    </row>
    <row r="3265" spans="1:5" x14ac:dyDescent="0.2">
      <c r="A3265" t="s">
        <v>8259</v>
      </c>
      <c r="B3265" t="s">
        <v>8260</v>
      </c>
      <c r="C3265" t="s">
        <v>8109</v>
      </c>
      <c r="D3265" t="s">
        <v>8109</v>
      </c>
      <c r="E3265" t="s">
        <v>8261</v>
      </c>
    </row>
    <row r="3266" spans="1:5" x14ac:dyDescent="0.2">
      <c r="A3266" t="s">
        <v>8262</v>
      </c>
      <c r="B3266" t="s">
        <v>8263</v>
      </c>
      <c r="C3266" t="s">
        <v>8109</v>
      </c>
      <c r="D3266" t="s">
        <v>8109</v>
      </c>
      <c r="E3266" t="s">
        <v>8264</v>
      </c>
    </row>
    <row r="3267" spans="1:5" x14ac:dyDescent="0.2">
      <c r="A3267" t="s">
        <v>8265</v>
      </c>
      <c r="B3267" t="s">
        <v>8266</v>
      </c>
      <c r="C3267" t="s">
        <v>8109</v>
      </c>
      <c r="D3267" t="s">
        <v>8109</v>
      </c>
      <c r="E3267" t="s">
        <v>8267</v>
      </c>
    </row>
    <row r="3268" spans="1:5" x14ac:dyDescent="0.2">
      <c r="A3268" t="s">
        <v>8268</v>
      </c>
      <c r="B3268" t="s">
        <v>8269</v>
      </c>
      <c r="C3268" t="s">
        <v>8109</v>
      </c>
      <c r="D3268" t="s">
        <v>8109</v>
      </c>
      <c r="E3268" t="s">
        <v>8270</v>
      </c>
    </row>
    <row r="3269" spans="1:5" x14ac:dyDescent="0.2">
      <c r="A3269" t="s">
        <v>8271</v>
      </c>
      <c r="B3269" t="s">
        <v>8272</v>
      </c>
      <c r="C3269" t="s">
        <v>8109</v>
      </c>
      <c r="D3269" t="s">
        <v>8109</v>
      </c>
      <c r="E3269" t="s">
        <v>8267</v>
      </c>
    </row>
    <row r="3270" spans="1:5" x14ac:dyDescent="0.2">
      <c r="A3270" t="s">
        <v>8273</v>
      </c>
      <c r="B3270" t="s">
        <v>8274</v>
      </c>
      <c r="C3270" t="s">
        <v>8109</v>
      </c>
      <c r="D3270" t="s">
        <v>8109</v>
      </c>
      <c r="E3270" t="s">
        <v>8275</v>
      </c>
    </row>
    <row r="3271" spans="1:5" x14ac:dyDescent="0.2">
      <c r="A3271" t="s">
        <v>8276</v>
      </c>
      <c r="B3271" t="s">
        <v>8277</v>
      </c>
      <c r="C3271" t="s">
        <v>8109</v>
      </c>
      <c r="D3271" t="s">
        <v>8109</v>
      </c>
      <c r="E3271" t="s">
        <v>8278</v>
      </c>
    </row>
    <row r="3272" spans="1:5" x14ac:dyDescent="0.2">
      <c r="A3272" t="s">
        <v>8279</v>
      </c>
      <c r="B3272" t="s">
        <v>8280</v>
      </c>
      <c r="C3272" t="s">
        <v>8109</v>
      </c>
      <c r="D3272" t="s">
        <v>8109</v>
      </c>
      <c r="E3272" t="s">
        <v>8145</v>
      </c>
    </row>
    <row r="3273" spans="1:5" x14ac:dyDescent="0.2">
      <c r="A3273" t="s">
        <v>8281</v>
      </c>
      <c r="B3273" t="s">
        <v>8282</v>
      </c>
      <c r="C3273" t="s">
        <v>8109</v>
      </c>
      <c r="D3273" t="s">
        <v>8109</v>
      </c>
      <c r="E3273" t="s">
        <v>8283</v>
      </c>
    </row>
    <row r="3274" spans="1:5" x14ac:dyDescent="0.2">
      <c r="A3274" t="s">
        <v>8284</v>
      </c>
      <c r="B3274" t="s">
        <v>8285</v>
      </c>
      <c r="C3274" t="s">
        <v>8109</v>
      </c>
      <c r="D3274" t="s">
        <v>8109</v>
      </c>
      <c r="E3274" t="s">
        <v>8267</v>
      </c>
    </row>
    <row r="3275" spans="1:5" x14ac:dyDescent="0.2">
      <c r="A3275" t="s">
        <v>8286</v>
      </c>
      <c r="B3275" t="s">
        <v>8287</v>
      </c>
      <c r="C3275" t="s">
        <v>8109</v>
      </c>
      <c r="D3275" t="s">
        <v>8109</v>
      </c>
      <c r="E3275" t="s">
        <v>8267</v>
      </c>
    </row>
    <row r="3276" spans="1:5" x14ac:dyDescent="0.2">
      <c r="A3276" t="s">
        <v>8288</v>
      </c>
      <c r="B3276" t="s">
        <v>8289</v>
      </c>
      <c r="C3276" t="s">
        <v>8109</v>
      </c>
      <c r="D3276" t="s">
        <v>8109</v>
      </c>
      <c r="E3276" t="s">
        <v>8267</v>
      </c>
    </row>
    <row r="3277" spans="1:5" x14ac:dyDescent="0.2">
      <c r="A3277" t="s">
        <v>8290</v>
      </c>
      <c r="B3277" t="s">
        <v>8291</v>
      </c>
      <c r="C3277" t="s">
        <v>8109</v>
      </c>
      <c r="D3277" t="s">
        <v>8109</v>
      </c>
      <c r="E3277" t="s">
        <v>8292</v>
      </c>
    </row>
    <row r="3278" spans="1:5" x14ac:dyDescent="0.2">
      <c r="A3278" t="s">
        <v>8293</v>
      </c>
      <c r="B3278" t="s">
        <v>8294</v>
      </c>
      <c r="C3278" t="s">
        <v>8109</v>
      </c>
      <c r="D3278" t="s">
        <v>8109</v>
      </c>
      <c r="E3278" t="s">
        <v>8267</v>
      </c>
    </row>
    <row r="3279" spans="1:5" x14ac:dyDescent="0.2">
      <c r="A3279" t="s">
        <v>8295</v>
      </c>
      <c r="B3279" t="s">
        <v>8296</v>
      </c>
      <c r="C3279" t="s">
        <v>8109</v>
      </c>
      <c r="D3279" t="s">
        <v>8109</v>
      </c>
      <c r="E3279" t="s">
        <v>8267</v>
      </c>
    </row>
    <row r="3280" spans="1:5" x14ac:dyDescent="0.2">
      <c r="A3280" t="s">
        <v>8297</v>
      </c>
      <c r="B3280" t="s">
        <v>8298</v>
      </c>
      <c r="C3280" t="s">
        <v>8109</v>
      </c>
      <c r="D3280" t="s">
        <v>8109</v>
      </c>
      <c r="E3280" t="s">
        <v>8299</v>
      </c>
    </row>
    <row r="3281" spans="1:5" x14ac:dyDescent="0.2">
      <c r="A3281" t="s">
        <v>8300</v>
      </c>
      <c r="B3281" t="s">
        <v>8301</v>
      </c>
      <c r="C3281" t="s">
        <v>8109</v>
      </c>
      <c r="D3281" t="s">
        <v>8109</v>
      </c>
      <c r="E3281" t="s">
        <v>8145</v>
      </c>
    </row>
    <row r="3282" spans="1:5" x14ac:dyDescent="0.2">
      <c r="A3282" t="s">
        <v>8302</v>
      </c>
      <c r="B3282" t="s">
        <v>8303</v>
      </c>
      <c r="C3282" t="s">
        <v>8109</v>
      </c>
      <c r="D3282" t="s">
        <v>8109</v>
      </c>
      <c r="E3282" t="s">
        <v>8267</v>
      </c>
    </row>
    <row r="3283" spans="1:5" x14ac:dyDescent="0.2">
      <c r="A3283" t="s">
        <v>8304</v>
      </c>
      <c r="B3283" t="s">
        <v>8305</v>
      </c>
      <c r="C3283" t="s">
        <v>8109</v>
      </c>
      <c r="D3283" t="s">
        <v>8109</v>
      </c>
      <c r="E3283" t="s">
        <v>8306</v>
      </c>
    </row>
    <row r="3284" spans="1:5" x14ac:dyDescent="0.2">
      <c r="A3284" t="s">
        <v>8307</v>
      </c>
      <c r="B3284" t="s">
        <v>8308</v>
      </c>
      <c r="C3284" t="s">
        <v>8109</v>
      </c>
      <c r="D3284" t="s">
        <v>8109</v>
      </c>
      <c r="E3284" t="s">
        <v>8309</v>
      </c>
    </row>
    <row r="3285" spans="1:5" x14ac:dyDescent="0.2">
      <c r="A3285" t="s">
        <v>8310</v>
      </c>
      <c r="B3285" t="s">
        <v>8311</v>
      </c>
      <c r="C3285" t="s">
        <v>8109</v>
      </c>
      <c r="D3285" t="s">
        <v>8109</v>
      </c>
      <c r="E3285" t="s">
        <v>8312</v>
      </c>
    </row>
    <row r="3286" spans="1:5" x14ac:dyDescent="0.2">
      <c r="A3286" t="s">
        <v>8313</v>
      </c>
      <c r="B3286" t="s">
        <v>8314</v>
      </c>
      <c r="C3286" t="s">
        <v>8109</v>
      </c>
      <c r="D3286" t="s">
        <v>8109</v>
      </c>
      <c r="E3286" t="s">
        <v>8267</v>
      </c>
    </row>
    <row r="3287" spans="1:5" x14ac:dyDescent="0.2">
      <c r="A3287" t="s">
        <v>8315</v>
      </c>
      <c r="B3287" t="s">
        <v>8316</v>
      </c>
      <c r="C3287" t="s">
        <v>8109</v>
      </c>
      <c r="D3287" t="s">
        <v>8109</v>
      </c>
      <c r="E3287" t="s">
        <v>8145</v>
      </c>
    </row>
    <row r="3288" spans="1:5" x14ac:dyDescent="0.2">
      <c r="A3288" t="s">
        <v>8317</v>
      </c>
      <c r="B3288" t="s">
        <v>8318</v>
      </c>
      <c r="C3288" t="s">
        <v>8109</v>
      </c>
      <c r="D3288" t="s">
        <v>8109</v>
      </c>
      <c r="E3288" t="s">
        <v>8319</v>
      </c>
    </row>
    <row r="3289" spans="1:5" x14ac:dyDescent="0.2">
      <c r="A3289" t="s">
        <v>8320</v>
      </c>
      <c r="B3289" t="s">
        <v>8321</v>
      </c>
      <c r="C3289" t="s">
        <v>8109</v>
      </c>
      <c r="D3289" t="s">
        <v>8109</v>
      </c>
      <c r="E3289" t="s">
        <v>8322</v>
      </c>
    </row>
    <row r="3290" spans="1:5" x14ac:dyDescent="0.2">
      <c r="A3290" t="s">
        <v>8323</v>
      </c>
      <c r="B3290" t="s">
        <v>8324</v>
      </c>
      <c r="C3290" t="s">
        <v>8109</v>
      </c>
      <c r="D3290" t="s">
        <v>8109</v>
      </c>
      <c r="E3290" t="s">
        <v>8325</v>
      </c>
    </row>
    <row r="3291" spans="1:5" x14ac:dyDescent="0.2">
      <c r="A3291" t="s">
        <v>8326</v>
      </c>
      <c r="B3291" t="s">
        <v>8327</v>
      </c>
      <c r="C3291" t="s">
        <v>8109</v>
      </c>
      <c r="D3291" t="s">
        <v>8109</v>
      </c>
      <c r="E3291" t="s">
        <v>8211</v>
      </c>
    </row>
    <row r="3292" spans="1:5" x14ac:dyDescent="0.2">
      <c r="A3292" t="s">
        <v>8328</v>
      </c>
      <c r="B3292" t="s">
        <v>8329</v>
      </c>
      <c r="C3292" t="s">
        <v>8109</v>
      </c>
      <c r="D3292" t="s">
        <v>8109</v>
      </c>
      <c r="E3292" t="s">
        <v>8267</v>
      </c>
    </row>
    <row r="3293" spans="1:5" x14ac:dyDescent="0.2">
      <c r="A3293" t="s">
        <v>8330</v>
      </c>
      <c r="B3293" t="s">
        <v>8331</v>
      </c>
      <c r="C3293" t="s">
        <v>8109</v>
      </c>
      <c r="D3293" t="s">
        <v>8109</v>
      </c>
      <c r="E3293" t="s">
        <v>8267</v>
      </c>
    </row>
    <row r="3294" spans="1:5" x14ac:dyDescent="0.2">
      <c r="A3294" t="s">
        <v>8332</v>
      </c>
      <c r="B3294" t="s">
        <v>8333</v>
      </c>
      <c r="C3294" t="s">
        <v>8109</v>
      </c>
      <c r="D3294" t="s">
        <v>8109</v>
      </c>
      <c r="E3294" t="s">
        <v>8334</v>
      </c>
    </row>
    <row r="3295" spans="1:5" x14ac:dyDescent="0.2">
      <c r="A3295" t="s">
        <v>8335</v>
      </c>
      <c r="B3295" t="s">
        <v>8336</v>
      </c>
      <c r="C3295" t="s">
        <v>8109</v>
      </c>
      <c r="D3295" t="s">
        <v>8109</v>
      </c>
      <c r="E3295" t="s">
        <v>8145</v>
      </c>
    </row>
    <row r="3296" spans="1:5" x14ac:dyDescent="0.2">
      <c r="A3296" t="s">
        <v>8337</v>
      </c>
      <c r="B3296" t="s">
        <v>8338</v>
      </c>
      <c r="C3296" t="s">
        <v>8109</v>
      </c>
      <c r="D3296" t="s">
        <v>8109</v>
      </c>
      <c r="E3296" t="s">
        <v>8211</v>
      </c>
    </row>
    <row r="3297" spans="1:5" x14ac:dyDescent="0.2">
      <c r="A3297" t="s">
        <v>8339</v>
      </c>
      <c r="B3297" t="s">
        <v>8340</v>
      </c>
      <c r="C3297" t="s">
        <v>8109</v>
      </c>
      <c r="D3297" t="s">
        <v>8109</v>
      </c>
      <c r="E3297" t="s">
        <v>8341</v>
      </c>
    </row>
    <row r="3298" spans="1:5" x14ac:dyDescent="0.2">
      <c r="A3298" t="s">
        <v>8342</v>
      </c>
      <c r="B3298" t="s">
        <v>8343</v>
      </c>
      <c r="C3298" t="s">
        <v>8109</v>
      </c>
      <c r="D3298" t="e">
        <v>#N/A</v>
      </c>
      <c r="E3298" t="e">
        <v>#N/A</v>
      </c>
    </row>
    <row r="3299" spans="1:5" x14ac:dyDescent="0.2">
      <c r="A3299" t="s">
        <v>8344</v>
      </c>
      <c r="B3299" t="s">
        <v>8345</v>
      </c>
      <c r="C3299" t="s">
        <v>8346</v>
      </c>
      <c r="D3299" t="s">
        <v>8346</v>
      </c>
      <c r="E3299" t="s">
        <v>8347</v>
      </c>
    </row>
    <row r="3300" spans="1:5" x14ac:dyDescent="0.2">
      <c r="A3300" t="s">
        <v>8348</v>
      </c>
      <c r="B3300" t="s">
        <v>8349</v>
      </c>
      <c r="C3300" t="s">
        <v>8346</v>
      </c>
      <c r="D3300" t="s">
        <v>8346</v>
      </c>
      <c r="E3300" t="s">
        <v>8350</v>
      </c>
    </row>
    <row r="3301" spans="1:5" x14ac:dyDescent="0.2">
      <c r="A3301" t="s">
        <v>8351</v>
      </c>
      <c r="B3301" t="s">
        <v>8352</v>
      </c>
      <c r="C3301" t="s">
        <v>8346</v>
      </c>
      <c r="D3301" t="s">
        <v>8346</v>
      </c>
      <c r="E3301" t="s">
        <v>8350</v>
      </c>
    </row>
    <row r="3302" spans="1:5" x14ac:dyDescent="0.2">
      <c r="A3302" t="s">
        <v>8353</v>
      </c>
      <c r="B3302" t="s">
        <v>8354</v>
      </c>
      <c r="C3302" t="s">
        <v>8346</v>
      </c>
      <c r="D3302" t="s">
        <v>8346</v>
      </c>
      <c r="E3302" t="s">
        <v>8350</v>
      </c>
    </row>
    <row r="3303" spans="1:5" x14ac:dyDescent="0.2">
      <c r="A3303" t="s">
        <v>8355</v>
      </c>
      <c r="B3303" t="s">
        <v>8356</v>
      </c>
      <c r="C3303" t="s">
        <v>8346</v>
      </c>
      <c r="D3303" t="s">
        <v>8346</v>
      </c>
      <c r="E3303" t="s">
        <v>8357</v>
      </c>
    </row>
    <row r="3304" spans="1:5" x14ac:dyDescent="0.2">
      <c r="A3304" t="s">
        <v>8358</v>
      </c>
      <c r="B3304" t="s">
        <v>8359</v>
      </c>
      <c r="C3304" t="s">
        <v>8346</v>
      </c>
      <c r="D3304" t="s">
        <v>8346</v>
      </c>
      <c r="E3304" t="s">
        <v>8360</v>
      </c>
    </row>
    <row r="3305" spans="1:5" x14ac:dyDescent="0.2">
      <c r="A3305" t="s">
        <v>8361</v>
      </c>
      <c r="B3305" t="s">
        <v>8362</v>
      </c>
      <c r="C3305" t="s">
        <v>8346</v>
      </c>
      <c r="D3305" t="s">
        <v>8346</v>
      </c>
      <c r="E3305" t="s">
        <v>8363</v>
      </c>
    </row>
    <row r="3306" spans="1:5" x14ac:dyDescent="0.2">
      <c r="A3306" t="s">
        <v>8364</v>
      </c>
      <c r="B3306" t="s">
        <v>8365</v>
      </c>
      <c r="C3306" t="s">
        <v>8346</v>
      </c>
      <c r="D3306" t="s">
        <v>8346</v>
      </c>
      <c r="E3306" t="s">
        <v>8366</v>
      </c>
    </row>
    <row r="3307" spans="1:5" x14ac:dyDescent="0.2">
      <c r="A3307" t="s">
        <v>8367</v>
      </c>
      <c r="B3307" t="s">
        <v>8368</v>
      </c>
      <c r="C3307" t="s">
        <v>8346</v>
      </c>
      <c r="D3307" t="s">
        <v>8346</v>
      </c>
      <c r="E3307" t="s">
        <v>8347</v>
      </c>
    </row>
    <row r="3308" spans="1:5" x14ac:dyDescent="0.2">
      <c r="A3308" t="s">
        <v>8369</v>
      </c>
      <c r="B3308" t="s">
        <v>8370</v>
      </c>
      <c r="C3308" t="s">
        <v>8346</v>
      </c>
      <c r="D3308" t="s">
        <v>8346</v>
      </c>
      <c r="E3308" t="s">
        <v>8350</v>
      </c>
    </row>
    <row r="3309" spans="1:5" x14ac:dyDescent="0.2">
      <c r="A3309" t="s">
        <v>8371</v>
      </c>
      <c r="B3309" t="s">
        <v>8372</v>
      </c>
      <c r="C3309" t="s">
        <v>8346</v>
      </c>
      <c r="D3309" t="s">
        <v>8346</v>
      </c>
      <c r="E3309" t="s">
        <v>8373</v>
      </c>
    </row>
    <row r="3310" spans="1:5" x14ac:dyDescent="0.2">
      <c r="A3310" t="s">
        <v>8374</v>
      </c>
      <c r="B3310" t="s">
        <v>8375</v>
      </c>
      <c r="C3310" t="s">
        <v>8346</v>
      </c>
      <c r="D3310" t="s">
        <v>8346</v>
      </c>
      <c r="E3310" t="s">
        <v>8376</v>
      </c>
    </row>
    <row r="3311" spans="1:5" x14ac:dyDescent="0.2">
      <c r="A3311" t="s">
        <v>8377</v>
      </c>
      <c r="B3311" t="s">
        <v>8378</v>
      </c>
      <c r="C3311" t="s">
        <v>8346</v>
      </c>
      <c r="D3311" t="s">
        <v>8346</v>
      </c>
      <c r="E3311" t="s">
        <v>8347</v>
      </c>
    </row>
    <row r="3312" spans="1:5" x14ac:dyDescent="0.2">
      <c r="A3312" t="s">
        <v>8379</v>
      </c>
      <c r="B3312" t="s">
        <v>8380</v>
      </c>
      <c r="C3312" t="s">
        <v>8346</v>
      </c>
      <c r="D3312" t="s">
        <v>8346</v>
      </c>
      <c r="E3312" t="s">
        <v>8381</v>
      </c>
    </row>
    <row r="3313" spans="1:5" x14ac:dyDescent="0.2">
      <c r="A3313" t="s">
        <v>8382</v>
      </c>
      <c r="B3313" t="s">
        <v>8383</v>
      </c>
      <c r="C3313" t="s">
        <v>8346</v>
      </c>
      <c r="D3313" t="s">
        <v>8346</v>
      </c>
      <c r="E3313" t="s">
        <v>8347</v>
      </c>
    </row>
    <row r="3314" spans="1:5" x14ac:dyDescent="0.2">
      <c r="A3314" t="s">
        <v>8384</v>
      </c>
      <c r="B3314" t="s">
        <v>8385</v>
      </c>
      <c r="C3314" t="s">
        <v>8346</v>
      </c>
      <c r="D3314" t="s">
        <v>8346</v>
      </c>
      <c r="E3314" t="s">
        <v>8386</v>
      </c>
    </row>
    <row r="3315" spans="1:5" x14ac:dyDescent="0.2">
      <c r="A3315" t="s">
        <v>8387</v>
      </c>
      <c r="B3315" t="s">
        <v>8388</v>
      </c>
      <c r="C3315" t="s">
        <v>8346</v>
      </c>
      <c r="D3315" t="s">
        <v>8346</v>
      </c>
      <c r="E3315" t="s">
        <v>8389</v>
      </c>
    </row>
    <row r="3316" spans="1:5" x14ac:dyDescent="0.2">
      <c r="A3316" t="s">
        <v>8390</v>
      </c>
      <c r="B3316" t="s">
        <v>8391</v>
      </c>
      <c r="C3316" t="s">
        <v>8346</v>
      </c>
      <c r="D3316" t="s">
        <v>8346</v>
      </c>
      <c r="E3316" t="s">
        <v>8347</v>
      </c>
    </row>
    <row r="3317" spans="1:5" x14ac:dyDescent="0.2">
      <c r="A3317" t="s">
        <v>8392</v>
      </c>
      <c r="B3317" t="s">
        <v>8393</v>
      </c>
      <c r="C3317" t="s">
        <v>8346</v>
      </c>
      <c r="D3317" t="s">
        <v>8346</v>
      </c>
      <c r="E3317" t="s">
        <v>8394</v>
      </c>
    </row>
    <row r="3318" spans="1:5" x14ac:dyDescent="0.2">
      <c r="A3318" t="s">
        <v>8395</v>
      </c>
      <c r="B3318" t="s">
        <v>8396</v>
      </c>
      <c r="C3318" t="s">
        <v>8346</v>
      </c>
      <c r="D3318" t="s">
        <v>8346</v>
      </c>
      <c r="E3318" t="s">
        <v>8347</v>
      </c>
    </row>
    <row r="3319" spans="1:5" x14ac:dyDescent="0.2">
      <c r="A3319" t="s">
        <v>8397</v>
      </c>
      <c r="B3319" t="s">
        <v>8398</v>
      </c>
      <c r="C3319" t="s">
        <v>8346</v>
      </c>
      <c r="D3319" t="s">
        <v>8346</v>
      </c>
      <c r="E3319" t="s">
        <v>8389</v>
      </c>
    </row>
    <row r="3320" spans="1:5" x14ac:dyDescent="0.2">
      <c r="A3320" t="s">
        <v>8399</v>
      </c>
      <c r="B3320" t="s">
        <v>8400</v>
      </c>
      <c r="C3320" t="s">
        <v>8346</v>
      </c>
      <c r="D3320" t="s">
        <v>8346</v>
      </c>
      <c r="E3320" t="s">
        <v>8347</v>
      </c>
    </row>
    <row r="3321" spans="1:5" x14ac:dyDescent="0.2">
      <c r="A3321" t="s">
        <v>8401</v>
      </c>
      <c r="B3321" t="s">
        <v>8402</v>
      </c>
      <c r="C3321" t="s">
        <v>8346</v>
      </c>
      <c r="D3321" t="s">
        <v>8346</v>
      </c>
      <c r="E3321" t="s">
        <v>8403</v>
      </c>
    </row>
    <row r="3322" spans="1:5" x14ac:dyDescent="0.2">
      <c r="A3322" t="s">
        <v>8404</v>
      </c>
      <c r="B3322" t="s">
        <v>8405</v>
      </c>
      <c r="C3322" t="s">
        <v>8346</v>
      </c>
      <c r="D3322" t="s">
        <v>8346</v>
      </c>
      <c r="E3322" t="s">
        <v>8406</v>
      </c>
    </row>
    <row r="3323" spans="1:5" x14ac:dyDescent="0.2">
      <c r="A3323" t="s">
        <v>8407</v>
      </c>
      <c r="B3323" t="s">
        <v>8408</v>
      </c>
      <c r="C3323" t="s">
        <v>8346</v>
      </c>
      <c r="D3323" t="s">
        <v>8346</v>
      </c>
      <c r="E3323" t="s">
        <v>8409</v>
      </c>
    </row>
    <row r="3324" spans="1:5" x14ac:dyDescent="0.2">
      <c r="A3324" t="s">
        <v>8410</v>
      </c>
      <c r="B3324" t="s">
        <v>8411</v>
      </c>
      <c r="C3324" t="s">
        <v>8346</v>
      </c>
      <c r="D3324" t="s">
        <v>8346</v>
      </c>
      <c r="E3324" t="s">
        <v>8412</v>
      </c>
    </row>
    <row r="3325" spans="1:5" x14ac:dyDescent="0.2">
      <c r="A3325" t="s">
        <v>8413</v>
      </c>
      <c r="B3325" t="s">
        <v>8414</v>
      </c>
      <c r="C3325" t="s">
        <v>8346</v>
      </c>
      <c r="D3325" t="s">
        <v>8346</v>
      </c>
      <c r="E3325" t="s">
        <v>8347</v>
      </c>
    </row>
    <row r="3326" spans="1:5" x14ac:dyDescent="0.2">
      <c r="A3326" t="s">
        <v>8415</v>
      </c>
      <c r="B3326" t="s">
        <v>8416</v>
      </c>
      <c r="C3326" t="s">
        <v>8346</v>
      </c>
      <c r="D3326" t="s">
        <v>8346</v>
      </c>
      <c r="E3326" t="s">
        <v>8389</v>
      </c>
    </row>
    <row r="3327" spans="1:5" x14ac:dyDescent="0.2">
      <c r="A3327" t="s">
        <v>8417</v>
      </c>
      <c r="B3327" t="s">
        <v>8418</v>
      </c>
      <c r="C3327" t="s">
        <v>8346</v>
      </c>
      <c r="D3327" t="s">
        <v>8346</v>
      </c>
      <c r="E3327" t="s">
        <v>8419</v>
      </c>
    </row>
    <row r="3328" spans="1:5" x14ac:dyDescent="0.2">
      <c r="A3328" t="s">
        <v>8420</v>
      </c>
      <c r="B3328" t="s">
        <v>8421</v>
      </c>
      <c r="C3328" t="s">
        <v>8346</v>
      </c>
      <c r="D3328" t="s">
        <v>8346</v>
      </c>
      <c r="E3328" t="s">
        <v>8347</v>
      </c>
    </row>
    <row r="3329" spans="1:5" x14ac:dyDescent="0.2">
      <c r="A3329" t="s">
        <v>8422</v>
      </c>
      <c r="B3329" t="s">
        <v>8423</v>
      </c>
      <c r="C3329" t="s">
        <v>8346</v>
      </c>
      <c r="D3329" t="s">
        <v>8346</v>
      </c>
      <c r="E3329" t="s">
        <v>8347</v>
      </c>
    </row>
    <row r="3330" spans="1:5" x14ac:dyDescent="0.2">
      <c r="A3330" t="s">
        <v>8424</v>
      </c>
      <c r="B3330" t="s">
        <v>8425</v>
      </c>
      <c r="C3330" t="s">
        <v>8346</v>
      </c>
      <c r="D3330" t="s">
        <v>8346</v>
      </c>
      <c r="E3330" t="s">
        <v>8389</v>
      </c>
    </row>
    <row r="3331" spans="1:5" x14ac:dyDescent="0.2">
      <c r="A3331" t="s">
        <v>8426</v>
      </c>
      <c r="B3331" t="s">
        <v>8427</v>
      </c>
      <c r="C3331" t="s">
        <v>8346</v>
      </c>
      <c r="D3331" t="s">
        <v>8346</v>
      </c>
      <c r="E3331" t="s">
        <v>8428</v>
      </c>
    </row>
    <row r="3332" spans="1:5" x14ac:dyDescent="0.2">
      <c r="A3332" t="s">
        <v>8429</v>
      </c>
      <c r="B3332" t="s">
        <v>8430</v>
      </c>
      <c r="C3332" t="s">
        <v>8346</v>
      </c>
      <c r="D3332" t="s">
        <v>8346</v>
      </c>
      <c r="E3332" t="s">
        <v>8431</v>
      </c>
    </row>
    <row r="3333" spans="1:5" x14ac:dyDescent="0.2">
      <c r="A3333" t="s">
        <v>8432</v>
      </c>
      <c r="B3333" t="s">
        <v>8433</v>
      </c>
      <c r="C3333" t="s">
        <v>8346</v>
      </c>
      <c r="D3333" t="s">
        <v>8346</v>
      </c>
      <c r="E3333" t="s">
        <v>8434</v>
      </c>
    </row>
    <row r="3334" spans="1:5" x14ac:dyDescent="0.2">
      <c r="A3334" t="s">
        <v>8435</v>
      </c>
      <c r="B3334" t="s">
        <v>8436</v>
      </c>
      <c r="C3334" t="s">
        <v>8346</v>
      </c>
      <c r="D3334" t="e">
        <v>#N/A</v>
      </c>
      <c r="E3334" t="e">
        <v>#N/A</v>
      </c>
    </row>
    <row r="3335" spans="1:5" x14ac:dyDescent="0.2">
      <c r="A3335" t="s">
        <v>8437</v>
      </c>
      <c r="B3335" t="s">
        <v>8438</v>
      </c>
      <c r="C3335" t="s">
        <v>8346</v>
      </c>
      <c r="D3335" t="s">
        <v>8346</v>
      </c>
      <c r="E3335" t="s">
        <v>8439</v>
      </c>
    </row>
    <row r="3336" spans="1:5" x14ac:dyDescent="0.2">
      <c r="A3336" t="s">
        <v>8440</v>
      </c>
      <c r="B3336" t="s">
        <v>8441</v>
      </c>
      <c r="C3336" t="s">
        <v>8346</v>
      </c>
      <c r="D3336" t="s">
        <v>8346</v>
      </c>
      <c r="E3336" t="s">
        <v>8442</v>
      </c>
    </row>
    <row r="3337" spans="1:5" x14ac:dyDescent="0.2">
      <c r="A3337" t="s">
        <v>8443</v>
      </c>
      <c r="B3337" t="s">
        <v>8444</v>
      </c>
      <c r="C3337" t="s">
        <v>8346</v>
      </c>
      <c r="D3337" t="s">
        <v>8346</v>
      </c>
      <c r="E3337" t="s">
        <v>8445</v>
      </c>
    </row>
    <row r="3338" spans="1:5" x14ac:dyDescent="0.2">
      <c r="A3338" t="s">
        <v>8446</v>
      </c>
      <c r="B3338" t="s">
        <v>8447</v>
      </c>
      <c r="C3338" t="s">
        <v>8346</v>
      </c>
      <c r="D3338" t="s">
        <v>8346</v>
      </c>
      <c r="E3338" t="s">
        <v>8386</v>
      </c>
    </row>
    <row r="3339" spans="1:5" x14ac:dyDescent="0.2">
      <c r="A3339" t="s">
        <v>8448</v>
      </c>
      <c r="B3339" t="s">
        <v>8449</v>
      </c>
      <c r="C3339" t="s">
        <v>8346</v>
      </c>
      <c r="D3339" t="s">
        <v>8346</v>
      </c>
      <c r="E3339" t="s">
        <v>8347</v>
      </c>
    </row>
    <row r="3340" spans="1:5" x14ac:dyDescent="0.2">
      <c r="A3340" t="s">
        <v>8450</v>
      </c>
      <c r="B3340" t="s">
        <v>8451</v>
      </c>
      <c r="C3340" t="s">
        <v>8346</v>
      </c>
      <c r="D3340" t="s">
        <v>8346</v>
      </c>
      <c r="E3340" t="s">
        <v>8452</v>
      </c>
    </row>
    <row r="3341" spans="1:5" x14ac:dyDescent="0.2">
      <c r="A3341" t="s">
        <v>8453</v>
      </c>
      <c r="B3341" t="s">
        <v>8454</v>
      </c>
      <c r="C3341" t="s">
        <v>8346</v>
      </c>
      <c r="D3341" t="s">
        <v>8346</v>
      </c>
      <c r="E3341" t="s">
        <v>8389</v>
      </c>
    </row>
    <row r="3342" spans="1:5" x14ac:dyDescent="0.2">
      <c r="A3342" t="s">
        <v>8455</v>
      </c>
      <c r="B3342" t="s">
        <v>8456</v>
      </c>
      <c r="C3342" t="s">
        <v>8346</v>
      </c>
      <c r="D3342" t="s">
        <v>8346</v>
      </c>
      <c r="E3342" t="s">
        <v>8457</v>
      </c>
    </row>
    <row r="3343" spans="1:5" x14ac:dyDescent="0.2">
      <c r="A3343" t="s">
        <v>8458</v>
      </c>
      <c r="B3343" t="s">
        <v>8459</v>
      </c>
      <c r="C3343" t="s">
        <v>8460</v>
      </c>
      <c r="D3343" t="s">
        <v>8460</v>
      </c>
      <c r="E3343" t="s">
        <v>8461</v>
      </c>
    </row>
    <row r="3344" spans="1:5" x14ac:dyDescent="0.2">
      <c r="A3344" t="s">
        <v>8462</v>
      </c>
      <c r="B3344" t="s">
        <v>8463</v>
      </c>
      <c r="C3344" t="s">
        <v>8460</v>
      </c>
      <c r="D3344" t="s">
        <v>8460</v>
      </c>
      <c r="E3344" t="s">
        <v>8464</v>
      </c>
    </row>
    <row r="3345" spans="1:5" x14ac:dyDescent="0.2">
      <c r="A3345" t="s">
        <v>8465</v>
      </c>
      <c r="B3345" t="s">
        <v>8466</v>
      </c>
      <c r="C3345" t="s">
        <v>8460</v>
      </c>
      <c r="D3345" t="s">
        <v>8460</v>
      </c>
      <c r="E3345" t="s">
        <v>8467</v>
      </c>
    </row>
    <row r="3346" spans="1:5" x14ac:dyDescent="0.2">
      <c r="A3346" t="s">
        <v>8468</v>
      </c>
      <c r="B3346" t="s">
        <v>8469</v>
      </c>
      <c r="C3346" t="s">
        <v>8460</v>
      </c>
      <c r="D3346" t="s">
        <v>8460</v>
      </c>
      <c r="E3346" t="s">
        <v>8470</v>
      </c>
    </row>
    <row r="3347" spans="1:5" x14ac:dyDescent="0.2">
      <c r="A3347" t="s">
        <v>8471</v>
      </c>
      <c r="B3347" t="s">
        <v>8472</v>
      </c>
      <c r="C3347" t="s">
        <v>8460</v>
      </c>
      <c r="D3347" t="s">
        <v>8460</v>
      </c>
      <c r="E3347" t="s">
        <v>8473</v>
      </c>
    </row>
    <row r="3348" spans="1:5" x14ac:dyDescent="0.2">
      <c r="A3348" t="s">
        <v>8474</v>
      </c>
      <c r="B3348" t="s">
        <v>8475</v>
      </c>
      <c r="C3348" t="s">
        <v>8460</v>
      </c>
      <c r="D3348" t="s">
        <v>8460</v>
      </c>
      <c r="E3348" t="s">
        <v>8467</v>
      </c>
    </row>
    <row r="3349" spans="1:5" x14ac:dyDescent="0.2">
      <c r="A3349" t="s">
        <v>8476</v>
      </c>
      <c r="B3349" t="s">
        <v>8477</v>
      </c>
      <c r="C3349" t="s">
        <v>8460</v>
      </c>
      <c r="D3349" t="s">
        <v>8460</v>
      </c>
      <c r="E3349" t="s">
        <v>8467</v>
      </c>
    </row>
    <row r="3350" spans="1:5" x14ac:dyDescent="0.2">
      <c r="A3350" t="s">
        <v>8478</v>
      </c>
      <c r="B3350" t="s">
        <v>8479</v>
      </c>
      <c r="C3350" t="s">
        <v>8460</v>
      </c>
      <c r="D3350" t="s">
        <v>8460</v>
      </c>
      <c r="E3350" t="s">
        <v>8480</v>
      </c>
    </row>
    <row r="3351" spans="1:5" x14ac:dyDescent="0.2">
      <c r="A3351" t="s">
        <v>8481</v>
      </c>
      <c r="B3351" t="s">
        <v>8482</v>
      </c>
      <c r="C3351" t="s">
        <v>8460</v>
      </c>
      <c r="D3351" t="s">
        <v>8460</v>
      </c>
      <c r="E3351" t="s">
        <v>8483</v>
      </c>
    </row>
    <row r="3352" spans="1:5" x14ac:dyDescent="0.2">
      <c r="A3352" t="s">
        <v>8484</v>
      </c>
      <c r="B3352" t="s">
        <v>8485</v>
      </c>
      <c r="C3352" t="s">
        <v>8460</v>
      </c>
      <c r="D3352" t="s">
        <v>8460</v>
      </c>
      <c r="E3352" t="s">
        <v>8486</v>
      </c>
    </row>
    <row r="3353" spans="1:5" x14ac:dyDescent="0.2">
      <c r="A3353" t="s">
        <v>8487</v>
      </c>
      <c r="B3353" t="s">
        <v>8488</v>
      </c>
      <c r="C3353" t="s">
        <v>8460</v>
      </c>
      <c r="D3353" t="s">
        <v>8460</v>
      </c>
      <c r="E3353" t="s">
        <v>8489</v>
      </c>
    </row>
    <row r="3354" spans="1:5" x14ac:dyDescent="0.2">
      <c r="A3354" t="s">
        <v>8490</v>
      </c>
      <c r="B3354" t="s">
        <v>8491</v>
      </c>
      <c r="C3354" t="s">
        <v>8460</v>
      </c>
      <c r="D3354" t="s">
        <v>8460</v>
      </c>
      <c r="E3354" t="s">
        <v>8486</v>
      </c>
    </row>
    <row r="3355" spans="1:5" x14ac:dyDescent="0.2">
      <c r="A3355" t="s">
        <v>8492</v>
      </c>
      <c r="B3355" t="s">
        <v>8493</v>
      </c>
      <c r="C3355" t="s">
        <v>8460</v>
      </c>
      <c r="D3355" t="s">
        <v>8460</v>
      </c>
      <c r="E3355" t="s">
        <v>8494</v>
      </c>
    </row>
    <row r="3356" spans="1:5" x14ac:dyDescent="0.2">
      <c r="A3356" t="s">
        <v>8495</v>
      </c>
      <c r="B3356" t="s">
        <v>8496</v>
      </c>
      <c r="C3356" t="s">
        <v>8460</v>
      </c>
      <c r="D3356" t="s">
        <v>8460</v>
      </c>
      <c r="E3356" t="s">
        <v>8497</v>
      </c>
    </row>
    <row r="3357" spans="1:5" x14ac:dyDescent="0.2">
      <c r="A3357" t="s">
        <v>8498</v>
      </c>
      <c r="B3357" t="s">
        <v>8499</v>
      </c>
      <c r="C3357" t="s">
        <v>8460</v>
      </c>
      <c r="D3357" t="s">
        <v>8460</v>
      </c>
      <c r="E3357" t="s">
        <v>8467</v>
      </c>
    </row>
    <row r="3358" spans="1:5" x14ac:dyDescent="0.2">
      <c r="A3358" t="s">
        <v>8500</v>
      </c>
      <c r="B3358" t="s">
        <v>8501</v>
      </c>
      <c r="C3358" t="s">
        <v>8460</v>
      </c>
      <c r="D3358" t="s">
        <v>8460</v>
      </c>
      <c r="E3358" t="s">
        <v>8494</v>
      </c>
    </row>
    <row r="3359" spans="1:5" x14ac:dyDescent="0.2">
      <c r="A3359" t="s">
        <v>8502</v>
      </c>
      <c r="B3359" t="s">
        <v>8503</v>
      </c>
      <c r="C3359" t="s">
        <v>8460</v>
      </c>
      <c r="D3359" t="s">
        <v>8460</v>
      </c>
      <c r="E3359" t="s">
        <v>8504</v>
      </c>
    </row>
    <row r="3360" spans="1:5" x14ac:dyDescent="0.2">
      <c r="A3360" t="s">
        <v>8505</v>
      </c>
      <c r="B3360" t="s">
        <v>8506</v>
      </c>
      <c r="C3360" t="s">
        <v>8460</v>
      </c>
      <c r="D3360" t="s">
        <v>8460</v>
      </c>
      <c r="E3360" t="s">
        <v>8494</v>
      </c>
    </row>
    <row r="3361" spans="1:5" x14ac:dyDescent="0.2">
      <c r="A3361" t="s">
        <v>8507</v>
      </c>
      <c r="B3361" t="s">
        <v>8508</v>
      </c>
      <c r="C3361" t="s">
        <v>8460</v>
      </c>
      <c r="D3361" t="s">
        <v>8460</v>
      </c>
      <c r="E3361" t="s">
        <v>8509</v>
      </c>
    </row>
    <row r="3362" spans="1:5" x14ac:dyDescent="0.2">
      <c r="A3362" t="s">
        <v>8510</v>
      </c>
      <c r="B3362" t="s">
        <v>8511</v>
      </c>
      <c r="C3362" t="s">
        <v>8460</v>
      </c>
      <c r="D3362" t="s">
        <v>8460</v>
      </c>
      <c r="E3362" t="s">
        <v>8494</v>
      </c>
    </row>
    <row r="3363" spans="1:5" x14ac:dyDescent="0.2">
      <c r="A3363" t="s">
        <v>8512</v>
      </c>
      <c r="B3363" t="s">
        <v>8513</v>
      </c>
      <c r="C3363" t="s">
        <v>8460</v>
      </c>
      <c r="D3363" t="s">
        <v>8460</v>
      </c>
      <c r="E3363" t="s">
        <v>8467</v>
      </c>
    </row>
    <row r="3364" spans="1:5" x14ac:dyDescent="0.2">
      <c r="A3364" t="s">
        <v>8514</v>
      </c>
      <c r="B3364" t="s">
        <v>8515</v>
      </c>
      <c r="C3364" t="s">
        <v>8460</v>
      </c>
      <c r="D3364" t="s">
        <v>8460</v>
      </c>
      <c r="E3364" t="s">
        <v>8486</v>
      </c>
    </row>
    <row r="3365" spans="1:5" x14ac:dyDescent="0.2">
      <c r="A3365" t="s">
        <v>8516</v>
      </c>
      <c r="B3365" t="s">
        <v>8517</v>
      </c>
      <c r="C3365" t="s">
        <v>8460</v>
      </c>
      <c r="D3365" t="s">
        <v>8460</v>
      </c>
      <c r="E3365" t="s">
        <v>8494</v>
      </c>
    </row>
    <row r="3366" spans="1:5" x14ac:dyDescent="0.2">
      <c r="A3366" t="s">
        <v>8518</v>
      </c>
      <c r="B3366" t="s">
        <v>8519</v>
      </c>
      <c r="C3366" t="s">
        <v>8460</v>
      </c>
      <c r="D3366" t="s">
        <v>8460</v>
      </c>
      <c r="E3366" t="s">
        <v>8520</v>
      </c>
    </row>
    <row r="3367" spans="1:5" x14ac:dyDescent="0.2">
      <c r="A3367" t="s">
        <v>8521</v>
      </c>
      <c r="B3367" t="s">
        <v>8522</v>
      </c>
      <c r="C3367" t="s">
        <v>8460</v>
      </c>
      <c r="D3367" t="s">
        <v>8460</v>
      </c>
      <c r="E3367" t="s">
        <v>8486</v>
      </c>
    </row>
    <row r="3368" spans="1:5" x14ac:dyDescent="0.2">
      <c r="A3368" t="s">
        <v>8523</v>
      </c>
      <c r="B3368" t="s">
        <v>8524</v>
      </c>
      <c r="C3368" t="s">
        <v>8460</v>
      </c>
      <c r="D3368" t="s">
        <v>8460</v>
      </c>
      <c r="E3368" t="s">
        <v>8467</v>
      </c>
    </row>
    <row r="3369" spans="1:5" x14ac:dyDescent="0.2">
      <c r="A3369" t="s">
        <v>8525</v>
      </c>
      <c r="B3369" t="s">
        <v>8526</v>
      </c>
      <c r="C3369" t="s">
        <v>8460</v>
      </c>
      <c r="D3369" t="s">
        <v>8460</v>
      </c>
      <c r="E3369" t="s">
        <v>8486</v>
      </c>
    </row>
    <row r="3370" spans="1:5" x14ac:dyDescent="0.2">
      <c r="A3370" t="s">
        <v>8527</v>
      </c>
      <c r="B3370" t="s">
        <v>8528</v>
      </c>
      <c r="C3370" t="s">
        <v>8460</v>
      </c>
      <c r="D3370" t="s">
        <v>8460</v>
      </c>
      <c r="E3370" t="s">
        <v>8483</v>
      </c>
    </row>
    <row r="3371" spans="1:5" x14ac:dyDescent="0.2">
      <c r="A3371" t="s">
        <v>8529</v>
      </c>
      <c r="B3371" t="s">
        <v>8530</v>
      </c>
      <c r="C3371" t="s">
        <v>8460</v>
      </c>
      <c r="D3371" t="s">
        <v>8460</v>
      </c>
      <c r="E3371" t="s">
        <v>8483</v>
      </c>
    </row>
    <row r="3372" spans="1:5" x14ac:dyDescent="0.2">
      <c r="A3372" t="s">
        <v>8531</v>
      </c>
      <c r="B3372" t="s">
        <v>8532</v>
      </c>
      <c r="C3372" t="s">
        <v>8460</v>
      </c>
      <c r="D3372" t="s">
        <v>8460</v>
      </c>
      <c r="E3372" t="s">
        <v>8533</v>
      </c>
    </row>
    <row r="3373" spans="1:5" x14ac:dyDescent="0.2">
      <c r="A3373" t="s">
        <v>8534</v>
      </c>
      <c r="B3373" t="s">
        <v>8535</v>
      </c>
      <c r="C3373" t="s">
        <v>8460</v>
      </c>
      <c r="D3373" t="s">
        <v>8460</v>
      </c>
      <c r="E3373" t="s">
        <v>8467</v>
      </c>
    </row>
    <row r="3374" spans="1:5" x14ac:dyDescent="0.2">
      <c r="A3374" t="s">
        <v>8536</v>
      </c>
      <c r="B3374" t="s">
        <v>8537</v>
      </c>
      <c r="C3374" t="s">
        <v>8460</v>
      </c>
      <c r="D3374" t="s">
        <v>8460</v>
      </c>
      <c r="E3374" t="s">
        <v>8538</v>
      </c>
    </row>
    <row r="3375" spans="1:5" x14ac:dyDescent="0.2">
      <c r="A3375" t="s">
        <v>8539</v>
      </c>
      <c r="B3375" t="s">
        <v>8540</v>
      </c>
      <c r="C3375" t="s">
        <v>8460</v>
      </c>
      <c r="D3375" t="s">
        <v>8460</v>
      </c>
      <c r="E3375" t="s">
        <v>8467</v>
      </c>
    </row>
    <row r="3376" spans="1:5" x14ac:dyDescent="0.2">
      <c r="A3376" t="s">
        <v>8541</v>
      </c>
      <c r="B3376" t="s">
        <v>8542</v>
      </c>
      <c r="C3376" t="s">
        <v>8460</v>
      </c>
      <c r="D3376" t="s">
        <v>8460</v>
      </c>
      <c r="E3376" t="s">
        <v>8494</v>
      </c>
    </row>
    <row r="3377" spans="1:5" x14ac:dyDescent="0.2">
      <c r="A3377" t="s">
        <v>8543</v>
      </c>
      <c r="B3377" t="s">
        <v>8544</v>
      </c>
      <c r="C3377" t="s">
        <v>8460</v>
      </c>
      <c r="D3377" t="s">
        <v>8460</v>
      </c>
      <c r="E3377" t="s">
        <v>8545</v>
      </c>
    </row>
    <row r="3378" spans="1:5" x14ac:dyDescent="0.2">
      <c r="A3378" t="s">
        <v>8546</v>
      </c>
      <c r="B3378" t="s">
        <v>8547</v>
      </c>
      <c r="C3378" t="s">
        <v>8460</v>
      </c>
      <c r="D3378" t="s">
        <v>8460</v>
      </c>
      <c r="E3378" t="s">
        <v>8548</v>
      </c>
    </row>
    <row r="3379" spans="1:5" x14ac:dyDescent="0.2">
      <c r="A3379" t="s">
        <v>8549</v>
      </c>
      <c r="B3379" t="s">
        <v>8550</v>
      </c>
      <c r="C3379" t="s">
        <v>8460</v>
      </c>
      <c r="D3379" t="s">
        <v>8460</v>
      </c>
      <c r="E3379" t="s">
        <v>8551</v>
      </c>
    </row>
    <row r="3380" spans="1:5" x14ac:dyDescent="0.2">
      <c r="A3380" t="s">
        <v>8552</v>
      </c>
      <c r="B3380" t="s">
        <v>8553</v>
      </c>
      <c r="C3380" t="s">
        <v>8460</v>
      </c>
      <c r="D3380" t="s">
        <v>8460</v>
      </c>
      <c r="E3380" t="s">
        <v>8483</v>
      </c>
    </row>
    <row r="3381" spans="1:5" x14ac:dyDescent="0.2">
      <c r="A3381" t="s">
        <v>8554</v>
      </c>
      <c r="B3381" t="s">
        <v>8555</v>
      </c>
      <c r="C3381" t="s">
        <v>8460</v>
      </c>
      <c r="D3381" t="s">
        <v>8460</v>
      </c>
      <c r="E3381" t="s">
        <v>8494</v>
      </c>
    </row>
    <row r="3382" spans="1:5" x14ac:dyDescent="0.2">
      <c r="A3382" t="s">
        <v>8556</v>
      </c>
      <c r="B3382" t="s">
        <v>8557</v>
      </c>
      <c r="C3382" t="s">
        <v>8460</v>
      </c>
      <c r="D3382" t="s">
        <v>8460</v>
      </c>
      <c r="E3382" t="s">
        <v>8494</v>
      </c>
    </row>
    <row r="3383" spans="1:5" x14ac:dyDescent="0.2">
      <c r="A3383" t="s">
        <v>8558</v>
      </c>
      <c r="B3383" t="s">
        <v>8559</v>
      </c>
      <c r="C3383" t="s">
        <v>8460</v>
      </c>
      <c r="D3383" t="s">
        <v>8460</v>
      </c>
      <c r="E3383" t="s">
        <v>8486</v>
      </c>
    </row>
    <row r="3384" spans="1:5" x14ac:dyDescent="0.2">
      <c r="A3384" t="s">
        <v>8560</v>
      </c>
      <c r="B3384" t="s">
        <v>8561</v>
      </c>
      <c r="C3384" t="s">
        <v>8460</v>
      </c>
      <c r="D3384" t="s">
        <v>8460</v>
      </c>
      <c r="E3384" t="s">
        <v>8467</v>
      </c>
    </row>
    <row r="3385" spans="1:5" x14ac:dyDescent="0.2">
      <c r="A3385" t="s">
        <v>8562</v>
      </c>
      <c r="B3385" t="s">
        <v>8563</v>
      </c>
      <c r="C3385" t="s">
        <v>8460</v>
      </c>
      <c r="D3385" t="s">
        <v>8460</v>
      </c>
      <c r="E3385" t="s">
        <v>8494</v>
      </c>
    </row>
    <row r="3386" spans="1:5" x14ac:dyDescent="0.2">
      <c r="A3386" t="s">
        <v>8564</v>
      </c>
      <c r="B3386" t="s">
        <v>8565</v>
      </c>
      <c r="C3386" t="s">
        <v>8460</v>
      </c>
      <c r="D3386" t="s">
        <v>8460</v>
      </c>
      <c r="E3386" t="s">
        <v>8494</v>
      </c>
    </row>
    <row r="3387" spans="1:5" x14ac:dyDescent="0.2">
      <c r="A3387" t="s">
        <v>8566</v>
      </c>
      <c r="B3387" t="s">
        <v>8567</v>
      </c>
      <c r="C3387" t="s">
        <v>8460</v>
      </c>
      <c r="D3387" t="s">
        <v>8460</v>
      </c>
      <c r="E3387" t="s">
        <v>8568</v>
      </c>
    </row>
    <row r="3388" spans="1:5" x14ac:dyDescent="0.2">
      <c r="A3388" t="s">
        <v>8569</v>
      </c>
      <c r="B3388" t="s">
        <v>8570</v>
      </c>
      <c r="C3388" t="s">
        <v>8460</v>
      </c>
      <c r="D3388" t="s">
        <v>8460</v>
      </c>
      <c r="E3388" t="s">
        <v>8467</v>
      </c>
    </row>
    <row r="3389" spans="1:5" x14ac:dyDescent="0.2">
      <c r="A3389" t="s">
        <v>8571</v>
      </c>
      <c r="B3389" t="s">
        <v>8572</v>
      </c>
      <c r="C3389" t="s">
        <v>8460</v>
      </c>
      <c r="D3389" t="s">
        <v>8460</v>
      </c>
      <c r="E3389" t="s">
        <v>8486</v>
      </c>
    </row>
    <row r="3390" spans="1:5" x14ac:dyDescent="0.2">
      <c r="A3390" t="s">
        <v>8573</v>
      </c>
      <c r="B3390" t="s">
        <v>8574</v>
      </c>
      <c r="C3390" t="s">
        <v>8460</v>
      </c>
      <c r="D3390" t="s">
        <v>8460</v>
      </c>
      <c r="E3390" t="s">
        <v>8494</v>
      </c>
    </row>
    <row r="3391" spans="1:5" x14ac:dyDescent="0.2">
      <c r="A3391" t="s">
        <v>8575</v>
      </c>
      <c r="B3391" t="s">
        <v>8576</v>
      </c>
      <c r="C3391" t="s">
        <v>8460</v>
      </c>
      <c r="D3391" t="s">
        <v>8460</v>
      </c>
      <c r="E3391" t="s">
        <v>8486</v>
      </c>
    </row>
    <row r="3392" spans="1:5" x14ac:dyDescent="0.2">
      <c r="A3392" t="s">
        <v>8577</v>
      </c>
      <c r="B3392" t="s">
        <v>8578</v>
      </c>
      <c r="C3392" t="s">
        <v>8460</v>
      </c>
      <c r="D3392" t="s">
        <v>8460</v>
      </c>
      <c r="E3392" t="s">
        <v>8486</v>
      </c>
    </row>
    <row r="3393" spans="1:5" x14ac:dyDescent="0.2">
      <c r="A3393" t="s">
        <v>8579</v>
      </c>
      <c r="B3393" t="s">
        <v>8580</v>
      </c>
      <c r="C3393" t="s">
        <v>8460</v>
      </c>
      <c r="D3393" t="s">
        <v>8460</v>
      </c>
      <c r="E3393" t="s">
        <v>8581</v>
      </c>
    </row>
    <row r="3394" spans="1:5" x14ac:dyDescent="0.2">
      <c r="A3394" t="s">
        <v>8582</v>
      </c>
      <c r="B3394" t="s">
        <v>8583</v>
      </c>
      <c r="C3394" t="s">
        <v>8460</v>
      </c>
      <c r="D3394" t="s">
        <v>8460</v>
      </c>
      <c r="E3394" t="s">
        <v>8584</v>
      </c>
    </row>
    <row r="3395" spans="1:5" x14ac:dyDescent="0.2">
      <c r="A3395" t="s">
        <v>8585</v>
      </c>
      <c r="B3395" t="s">
        <v>8586</v>
      </c>
      <c r="C3395" t="s">
        <v>8460</v>
      </c>
      <c r="D3395" t="s">
        <v>8460</v>
      </c>
      <c r="E3395" t="s">
        <v>8587</v>
      </c>
    </row>
    <row r="3396" spans="1:5" x14ac:dyDescent="0.2">
      <c r="A3396" t="s">
        <v>8588</v>
      </c>
      <c r="B3396" t="s">
        <v>8589</v>
      </c>
      <c r="C3396" t="s">
        <v>8460</v>
      </c>
      <c r="D3396" t="s">
        <v>8460</v>
      </c>
      <c r="E3396" t="s">
        <v>8590</v>
      </c>
    </row>
    <row r="3397" spans="1:5" x14ac:dyDescent="0.2">
      <c r="A3397" t="s">
        <v>8591</v>
      </c>
      <c r="B3397" t="s">
        <v>8592</v>
      </c>
      <c r="C3397" t="s">
        <v>8460</v>
      </c>
      <c r="D3397" t="s">
        <v>8460</v>
      </c>
      <c r="E3397" t="s">
        <v>8593</v>
      </c>
    </row>
    <row r="3398" spans="1:5" x14ac:dyDescent="0.2">
      <c r="A3398" t="s">
        <v>8594</v>
      </c>
      <c r="B3398" t="s">
        <v>8595</v>
      </c>
      <c r="C3398" t="s">
        <v>8460</v>
      </c>
      <c r="D3398" t="s">
        <v>8460</v>
      </c>
      <c r="E3398" t="s">
        <v>8596</v>
      </c>
    </row>
    <row r="3399" spans="1:5" x14ac:dyDescent="0.2">
      <c r="A3399" t="s">
        <v>8597</v>
      </c>
      <c r="B3399" t="s">
        <v>8598</v>
      </c>
      <c r="C3399" t="s">
        <v>8460</v>
      </c>
      <c r="D3399" t="s">
        <v>8460</v>
      </c>
      <c r="E3399" t="s">
        <v>8599</v>
      </c>
    </row>
    <row r="3400" spans="1:5" x14ac:dyDescent="0.2">
      <c r="A3400" t="s">
        <v>8600</v>
      </c>
      <c r="B3400" t="s">
        <v>8601</v>
      </c>
      <c r="C3400" t="s">
        <v>8460</v>
      </c>
      <c r="D3400" t="s">
        <v>8460</v>
      </c>
      <c r="E3400" t="s">
        <v>8467</v>
      </c>
    </row>
    <row r="3401" spans="1:5" x14ac:dyDescent="0.2">
      <c r="A3401" t="s">
        <v>8602</v>
      </c>
      <c r="B3401" t="s">
        <v>8603</v>
      </c>
      <c r="C3401" t="s">
        <v>8460</v>
      </c>
      <c r="D3401" t="s">
        <v>8460</v>
      </c>
      <c r="E3401" t="s">
        <v>8486</v>
      </c>
    </row>
    <row r="3402" spans="1:5" x14ac:dyDescent="0.2">
      <c r="A3402" t="s">
        <v>8604</v>
      </c>
      <c r="B3402" t="s">
        <v>8605</v>
      </c>
      <c r="C3402" t="s">
        <v>8460</v>
      </c>
      <c r="D3402" t="s">
        <v>8460</v>
      </c>
      <c r="E3402" t="s">
        <v>8606</v>
      </c>
    </row>
    <row r="3403" spans="1:5" x14ac:dyDescent="0.2">
      <c r="A3403" t="s">
        <v>8607</v>
      </c>
      <c r="B3403" t="s">
        <v>8608</v>
      </c>
      <c r="C3403" t="s">
        <v>8460</v>
      </c>
      <c r="D3403" t="s">
        <v>8460</v>
      </c>
      <c r="E3403" t="s">
        <v>8609</v>
      </c>
    </row>
    <row r="3404" spans="1:5" x14ac:dyDescent="0.2">
      <c r="A3404" t="s">
        <v>8610</v>
      </c>
      <c r="B3404" t="s">
        <v>8611</v>
      </c>
      <c r="C3404" t="s">
        <v>8460</v>
      </c>
      <c r="D3404" t="s">
        <v>8460</v>
      </c>
      <c r="E3404" t="s">
        <v>8612</v>
      </c>
    </row>
    <row r="3405" spans="1:5" x14ac:dyDescent="0.2">
      <c r="A3405" t="s">
        <v>8613</v>
      </c>
      <c r="B3405" t="s">
        <v>8614</v>
      </c>
      <c r="C3405" t="s">
        <v>8460</v>
      </c>
      <c r="D3405" t="s">
        <v>8460</v>
      </c>
      <c r="E3405" t="s">
        <v>8467</v>
      </c>
    </row>
    <row r="3406" spans="1:5" x14ac:dyDescent="0.2">
      <c r="A3406" t="s">
        <v>8615</v>
      </c>
      <c r="B3406" t="s">
        <v>8616</v>
      </c>
      <c r="C3406" t="s">
        <v>8460</v>
      </c>
      <c r="D3406" t="s">
        <v>8460</v>
      </c>
      <c r="E3406" t="s">
        <v>8486</v>
      </c>
    </row>
    <row r="3407" spans="1:5" x14ac:dyDescent="0.2">
      <c r="A3407" t="s">
        <v>8617</v>
      </c>
      <c r="B3407" t="s">
        <v>8618</v>
      </c>
      <c r="C3407" t="s">
        <v>8460</v>
      </c>
      <c r="D3407" t="s">
        <v>8460</v>
      </c>
      <c r="E3407" t="s">
        <v>8619</v>
      </c>
    </row>
    <row r="3408" spans="1:5" x14ac:dyDescent="0.2">
      <c r="A3408" t="s">
        <v>8620</v>
      </c>
      <c r="B3408" t="s">
        <v>8621</v>
      </c>
      <c r="C3408" t="s">
        <v>8460</v>
      </c>
      <c r="D3408" t="s">
        <v>8460</v>
      </c>
      <c r="E3408" t="s">
        <v>8467</v>
      </c>
    </row>
    <row r="3409" spans="1:5" x14ac:dyDescent="0.2">
      <c r="A3409" t="s">
        <v>8622</v>
      </c>
      <c r="B3409" t="s">
        <v>8623</v>
      </c>
      <c r="C3409" t="s">
        <v>8460</v>
      </c>
      <c r="D3409" t="s">
        <v>8460</v>
      </c>
      <c r="E3409" t="s">
        <v>8467</v>
      </c>
    </row>
    <row r="3410" spans="1:5" x14ac:dyDescent="0.2">
      <c r="A3410" t="s">
        <v>8624</v>
      </c>
      <c r="B3410" t="s">
        <v>8625</v>
      </c>
      <c r="C3410" t="s">
        <v>8460</v>
      </c>
      <c r="D3410" t="s">
        <v>8460</v>
      </c>
      <c r="E3410" t="s">
        <v>8483</v>
      </c>
    </row>
    <row r="3411" spans="1:5" x14ac:dyDescent="0.2">
      <c r="A3411" t="s">
        <v>8626</v>
      </c>
      <c r="B3411" t="s">
        <v>8627</v>
      </c>
      <c r="C3411" t="s">
        <v>8460</v>
      </c>
      <c r="D3411" t="s">
        <v>8460</v>
      </c>
      <c r="E3411" t="s">
        <v>8483</v>
      </c>
    </row>
    <row r="3412" spans="1:5" x14ac:dyDescent="0.2">
      <c r="A3412" t="s">
        <v>8628</v>
      </c>
      <c r="B3412" t="s">
        <v>8629</v>
      </c>
      <c r="C3412" t="s">
        <v>8460</v>
      </c>
      <c r="D3412" t="s">
        <v>8460</v>
      </c>
      <c r="E3412" t="s">
        <v>8483</v>
      </c>
    </row>
    <row r="3413" spans="1:5" x14ac:dyDescent="0.2">
      <c r="A3413" t="s">
        <v>8630</v>
      </c>
      <c r="B3413" t="s">
        <v>8631</v>
      </c>
      <c r="C3413" t="s">
        <v>8460</v>
      </c>
      <c r="D3413" t="s">
        <v>8460</v>
      </c>
      <c r="E3413" t="s">
        <v>8494</v>
      </c>
    </row>
    <row r="3414" spans="1:5" x14ac:dyDescent="0.2">
      <c r="A3414" t="s">
        <v>8632</v>
      </c>
      <c r="B3414" t="s">
        <v>8633</v>
      </c>
      <c r="C3414" t="s">
        <v>8460</v>
      </c>
      <c r="D3414" t="s">
        <v>8460</v>
      </c>
      <c r="E3414" t="s">
        <v>8494</v>
      </c>
    </row>
    <row r="3415" spans="1:5" x14ac:dyDescent="0.2">
      <c r="A3415" t="s">
        <v>8634</v>
      </c>
      <c r="B3415" t="s">
        <v>8635</v>
      </c>
      <c r="C3415" t="s">
        <v>8460</v>
      </c>
      <c r="D3415" t="s">
        <v>8460</v>
      </c>
      <c r="E3415" t="s">
        <v>8636</v>
      </c>
    </row>
    <row r="3416" spans="1:5" x14ac:dyDescent="0.2">
      <c r="A3416" t="s">
        <v>8637</v>
      </c>
      <c r="B3416" t="s">
        <v>8638</v>
      </c>
      <c r="C3416" t="s">
        <v>8460</v>
      </c>
      <c r="D3416" t="s">
        <v>8460</v>
      </c>
      <c r="E3416" t="s">
        <v>8494</v>
      </c>
    </row>
    <row r="3417" spans="1:5" x14ac:dyDescent="0.2">
      <c r="A3417" t="s">
        <v>8639</v>
      </c>
      <c r="B3417" t="s">
        <v>8640</v>
      </c>
      <c r="C3417" t="s">
        <v>8460</v>
      </c>
      <c r="D3417" t="s">
        <v>8460</v>
      </c>
      <c r="E3417" t="s">
        <v>8467</v>
      </c>
    </row>
    <row r="3418" spans="1:5" x14ac:dyDescent="0.2">
      <c r="A3418" t="s">
        <v>8641</v>
      </c>
      <c r="B3418" t="s">
        <v>8642</v>
      </c>
      <c r="C3418" t="s">
        <v>8460</v>
      </c>
      <c r="D3418" t="s">
        <v>8460</v>
      </c>
      <c r="E3418" t="s">
        <v>8494</v>
      </c>
    </row>
    <row r="3419" spans="1:5" x14ac:dyDescent="0.2">
      <c r="A3419" t="s">
        <v>8643</v>
      </c>
      <c r="B3419" t="s">
        <v>8644</v>
      </c>
      <c r="C3419" t="s">
        <v>8460</v>
      </c>
      <c r="D3419" t="s">
        <v>8460</v>
      </c>
      <c r="E3419" t="s">
        <v>8467</v>
      </c>
    </row>
    <row r="3420" spans="1:5" x14ac:dyDescent="0.2">
      <c r="A3420" t="s">
        <v>8645</v>
      </c>
      <c r="B3420" t="s">
        <v>8646</v>
      </c>
      <c r="C3420" t="s">
        <v>8460</v>
      </c>
      <c r="D3420" t="s">
        <v>8460</v>
      </c>
      <c r="E3420" t="s">
        <v>8486</v>
      </c>
    </row>
    <row r="3421" spans="1:5" x14ac:dyDescent="0.2">
      <c r="A3421" t="s">
        <v>8647</v>
      </c>
      <c r="B3421" t="s">
        <v>8648</v>
      </c>
      <c r="C3421" t="s">
        <v>8460</v>
      </c>
      <c r="D3421" t="s">
        <v>8460</v>
      </c>
      <c r="E3421" t="s">
        <v>8486</v>
      </c>
    </row>
    <row r="3422" spans="1:5" x14ac:dyDescent="0.2">
      <c r="A3422" t="s">
        <v>8649</v>
      </c>
      <c r="B3422" t="s">
        <v>8650</v>
      </c>
      <c r="C3422" t="s">
        <v>8460</v>
      </c>
      <c r="D3422" t="s">
        <v>8460</v>
      </c>
      <c r="E3422" t="s">
        <v>8467</v>
      </c>
    </row>
    <row r="3423" spans="1:5" x14ac:dyDescent="0.2">
      <c r="A3423" t="s">
        <v>8651</v>
      </c>
      <c r="B3423" t="s">
        <v>8652</v>
      </c>
      <c r="C3423" t="s">
        <v>8460</v>
      </c>
      <c r="D3423" t="s">
        <v>8460</v>
      </c>
      <c r="E3423" t="s">
        <v>8483</v>
      </c>
    </row>
    <row r="3424" spans="1:5" x14ac:dyDescent="0.2">
      <c r="A3424" t="s">
        <v>8653</v>
      </c>
      <c r="B3424" t="s">
        <v>8654</v>
      </c>
      <c r="C3424" t="s">
        <v>8460</v>
      </c>
      <c r="D3424" t="s">
        <v>8460</v>
      </c>
      <c r="E3424" t="s">
        <v>8655</v>
      </c>
    </row>
    <row r="3425" spans="1:5" x14ac:dyDescent="0.2">
      <c r="A3425" t="s">
        <v>8656</v>
      </c>
      <c r="B3425" t="s">
        <v>8657</v>
      </c>
      <c r="C3425" t="s">
        <v>8460</v>
      </c>
      <c r="D3425" t="s">
        <v>8460</v>
      </c>
      <c r="E3425" t="s">
        <v>8658</v>
      </c>
    </row>
    <row r="3426" spans="1:5" x14ac:dyDescent="0.2">
      <c r="A3426" t="s">
        <v>8659</v>
      </c>
      <c r="B3426" t="s">
        <v>8660</v>
      </c>
      <c r="C3426" t="s">
        <v>8460</v>
      </c>
      <c r="D3426" t="s">
        <v>8460</v>
      </c>
      <c r="E3426" t="s">
        <v>8661</v>
      </c>
    </row>
    <row r="3427" spans="1:5" x14ac:dyDescent="0.2">
      <c r="A3427" t="s">
        <v>8662</v>
      </c>
      <c r="B3427" t="s">
        <v>8663</v>
      </c>
      <c r="C3427" t="s">
        <v>8460</v>
      </c>
      <c r="D3427" t="s">
        <v>8460</v>
      </c>
      <c r="E3427" t="s">
        <v>8467</v>
      </c>
    </row>
    <row r="3428" spans="1:5" x14ac:dyDescent="0.2">
      <c r="A3428" t="s">
        <v>8664</v>
      </c>
      <c r="B3428" t="s">
        <v>8665</v>
      </c>
      <c r="C3428" t="s">
        <v>8460</v>
      </c>
      <c r="D3428" t="s">
        <v>8460</v>
      </c>
      <c r="E3428" t="s">
        <v>8666</v>
      </c>
    </row>
    <row r="3429" spans="1:5" x14ac:dyDescent="0.2">
      <c r="A3429" t="s">
        <v>8667</v>
      </c>
      <c r="B3429" t="s">
        <v>8668</v>
      </c>
      <c r="C3429" t="s">
        <v>8460</v>
      </c>
      <c r="D3429" t="s">
        <v>8460</v>
      </c>
      <c r="E3429" t="s">
        <v>8669</v>
      </c>
    </row>
    <row r="3430" spans="1:5" x14ac:dyDescent="0.2">
      <c r="A3430" t="s">
        <v>8670</v>
      </c>
      <c r="B3430" t="s">
        <v>8671</v>
      </c>
      <c r="C3430" t="s">
        <v>8460</v>
      </c>
      <c r="D3430" t="s">
        <v>8460</v>
      </c>
      <c r="E3430" t="s">
        <v>8494</v>
      </c>
    </row>
    <row r="3431" spans="1:5" x14ac:dyDescent="0.2">
      <c r="A3431" t="s">
        <v>8672</v>
      </c>
      <c r="B3431" t="s">
        <v>8673</v>
      </c>
      <c r="C3431" t="s">
        <v>8460</v>
      </c>
      <c r="D3431" t="s">
        <v>8460</v>
      </c>
      <c r="E3431" t="s">
        <v>8467</v>
      </c>
    </row>
    <row r="3432" spans="1:5" x14ac:dyDescent="0.2">
      <c r="A3432" t="s">
        <v>8674</v>
      </c>
      <c r="B3432" t="s">
        <v>8675</v>
      </c>
      <c r="C3432" t="s">
        <v>8460</v>
      </c>
      <c r="D3432" t="s">
        <v>8460</v>
      </c>
      <c r="E3432" t="s">
        <v>8486</v>
      </c>
    </row>
    <row r="3433" spans="1:5" x14ac:dyDescent="0.2">
      <c r="A3433" t="s">
        <v>8676</v>
      </c>
      <c r="B3433" t="s">
        <v>8677</v>
      </c>
      <c r="C3433" t="s">
        <v>8460</v>
      </c>
      <c r="D3433" t="s">
        <v>8460</v>
      </c>
      <c r="E3433" t="s">
        <v>8483</v>
      </c>
    </row>
    <row r="3434" spans="1:5" x14ac:dyDescent="0.2">
      <c r="A3434" t="s">
        <v>8678</v>
      </c>
      <c r="B3434" t="s">
        <v>8679</v>
      </c>
      <c r="C3434" t="s">
        <v>8460</v>
      </c>
      <c r="D3434" t="s">
        <v>8460</v>
      </c>
      <c r="E3434" t="s">
        <v>8486</v>
      </c>
    </row>
    <row r="3435" spans="1:5" x14ac:dyDescent="0.2">
      <c r="A3435" t="s">
        <v>8680</v>
      </c>
      <c r="B3435" t="s">
        <v>8681</v>
      </c>
      <c r="C3435" t="s">
        <v>8460</v>
      </c>
      <c r="D3435" t="s">
        <v>8460</v>
      </c>
      <c r="E3435" t="s">
        <v>8486</v>
      </c>
    </row>
    <row r="3436" spans="1:5" x14ac:dyDescent="0.2">
      <c r="A3436" t="s">
        <v>8682</v>
      </c>
      <c r="B3436" t="s">
        <v>8683</v>
      </c>
      <c r="C3436" t="s">
        <v>8460</v>
      </c>
      <c r="D3436" t="s">
        <v>8460</v>
      </c>
      <c r="E3436" t="s">
        <v>8494</v>
      </c>
    </row>
    <row r="3437" spans="1:5" x14ac:dyDescent="0.2">
      <c r="A3437" t="s">
        <v>8684</v>
      </c>
      <c r="B3437" t="s">
        <v>8685</v>
      </c>
      <c r="C3437" t="s">
        <v>8460</v>
      </c>
      <c r="D3437" t="s">
        <v>8460</v>
      </c>
      <c r="E3437" t="s">
        <v>8494</v>
      </c>
    </row>
    <row r="3438" spans="1:5" x14ac:dyDescent="0.2">
      <c r="A3438" t="s">
        <v>8686</v>
      </c>
      <c r="B3438" t="s">
        <v>8687</v>
      </c>
      <c r="C3438" t="s">
        <v>8460</v>
      </c>
      <c r="D3438" t="s">
        <v>8460</v>
      </c>
      <c r="E3438" t="s">
        <v>8494</v>
      </c>
    </row>
    <row r="3439" spans="1:5" x14ac:dyDescent="0.2">
      <c r="A3439" t="s">
        <v>8688</v>
      </c>
      <c r="B3439" t="s">
        <v>8689</v>
      </c>
      <c r="C3439" t="s">
        <v>8460</v>
      </c>
      <c r="D3439" t="s">
        <v>8460</v>
      </c>
      <c r="E3439" t="s">
        <v>8486</v>
      </c>
    </row>
    <row r="3440" spans="1:5" x14ac:dyDescent="0.2">
      <c r="A3440" t="s">
        <v>8690</v>
      </c>
      <c r="B3440" t="s">
        <v>8691</v>
      </c>
      <c r="C3440" t="s">
        <v>8460</v>
      </c>
      <c r="D3440" t="s">
        <v>8460</v>
      </c>
      <c r="E3440" t="s">
        <v>8494</v>
      </c>
    </row>
    <row r="3441" spans="1:5" x14ac:dyDescent="0.2">
      <c r="A3441" t="s">
        <v>8692</v>
      </c>
      <c r="B3441" t="s">
        <v>8693</v>
      </c>
      <c r="C3441" t="s">
        <v>8460</v>
      </c>
      <c r="D3441" t="s">
        <v>8460</v>
      </c>
      <c r="E3441" t="s">
        <v>8494</v>
      </c>
    </row>
    <row r="3442" spans="1:5" x14ac:dyDescent="0.2">
      <c r="A3442" t="s">
        <v>8694</v>
      </c>
      <c r="B3442" t="s">
        <v>8695</v>
      </c>
      <c r="C3442" t="s">
        <v>8460</v>
      </c>
      <c r="D3442" t="s">
        <v>8460</v>
      </c>
      <c r="E3442" t="s">
        <v>8483</v>
      </c>
    </row>
    <row r="3443" spans="1:5" x14ac:dyDescent="0.2">
      <c r="A3443" t="s">
        <v>8696</v>
      </c>
      <c r="B3443" t="s">
        <v>8697</v>
      </c>
      <c r="C3443" t="s">
        <v>8460</v>
      </c>
      <c r="D3443" t="s">
        <v>8460</v>
      </c>
      <c r="E3443" t="s">
        <v>8467</v>
      </c>
    </row>
    <row r="3444" spans="1:5" x14ac:dyDescent="0.2">
      <c r="A3444" t="s">
        <v>8698</v>
      </c>
      <c r="B3444" t="s">
        <v>8699</v>
      </c>
      <c r="C3444" t="s">
        <v>8460</v>
      </c>
      <c r="D3444" t="e">
        <v>#N/A</v>
      </c>
      <c r="E3444" t="e">
        <v>#N/A</v>
      </c>
    </row>
    <row r="3445" spans="1:5" x14ac:dyDescent="0.2">
      <c r="A3445" t="s">
        <v>8700</v>
      </c>
      <c r="B3445" t="s">
        <v>8701</v>
      </c>
      <c r="C3445" t="s">
        <v>8702</v>
      </c>
      <c r="D3445" t="s">
        <v>8702</v>
      </c>
      <c r="E3445" t="s">
        <v>8703</v>
      </c>
    </row>
    <row r="3446" spans="1:5" x14ac:dyDescent="0.2">
      <c r="A3446" t="s">
        <v>8704</v>
      </c>
      <c r="B3446" t="s">
        <v>8705</v>
      </c>
      <c r="C3446" t="s">
        <v>8702</v>
      </c>
      <c r="D3446" t="s">
        <v>8702</v>
      </c>
      <c r="E3446" t="s">
        <v>8706</v>
      </c>
    </row>
    <row r="3447" spans="1:5" x14ac:dyDescent="0.2">
      <c r="A3447" t="s">
        <v>8707</v>
      </c>
      <c r="B3447" t="s">
        <v>8708</v>
      </c>
      <c r="C3447" t="s">
        <v>8702</v>
      </c>
      <c r="D3447" t="s">
        <v>8702</v>
      </c>
      <c r="E3447" t="s">
        <v>8709</v>
      </c>
    </row>
    <row r="3448" spans="1:5" x14ac:dyDescent="0.2">
      <c r="A3448" t="s">
        <v>8710</v>
      </c>
      <c r="B3448" t="s">
        <v>8711</v>
      </c>
      <c r="C3448" t="s">
        <v>8702</v>
      </c>
      <c r="D3448" t="s">
        <v>8702</v>
      </c>
      <c r="E3448" t="s">
        <v>8712</v>
      </c>
    </row>
    <row r="3449" spans="1:5" x14ac:dyDescent="0.2">
      <c r="A3449" t="s">
        <v>8713</v>
      </c>
      <c r="B3449" t="s">
        <v>8714</v>
      </c>
      <c r="C3449" t="s">
        <v>8702</v>
      </c>
      <c r="D3449" t="s">
        <v>8702</v>
      </c>
      <c r="E3449" t="s">
        <v>8715</v>
      </c>
    </row>
    <row r="3450" spans="1:5" x14ac:dyDescent="0.2">
      <c r="A3450" t="s">
        <v>8716</v>
      </c>
      <c r="B3450" t="s">
        <v>8717</v>
      </c>
      <c r="C3450" t="s">
        <v>8702</v>
      </c>
      <c r="D3450" t="s">
        <v>8702</v>
      </c>
      <c r="E3450" t="s">
        <v>8718</v>
      </c>
    </row>
    <row r="3451" spans="1:5" x14ac:dyDescent="0.2">
      <c r="A3451" t="s">
        <v>8719</v>
      </c>
      <c r="B3451" t="s">
        <v>8720</v>
      </c>
      <c r="C3451" t="s">
        <v>8702</v>
      </c>
      <c r="D3451" t="s">
        <v>8702</v>
      </c>
      <c r="E3451" t="s">
        <v>8721</v>
      </c>
    </row>
    <row r="3452" spans="1:5" x14ac:dyDescent="0.2">
      <c r="A3452" t="s">
        <v>8722</v>
      </c>
      <c r="B3452" t="s">
        <v>8723</v>
      </c>
      <c r="C3452" t="s">
        <v>8702</v>
      </c>
      <c r="D3452" t="s">
        <v>8702</v>
      </c>
      <c r="E3452" t="s">
        <v>8724</v>
      </c>
    </row>
    <row r="3453" spans="1:5" x14ac:dyDescent="0.2">
      <c r="A3453" t="s">
        <v>8725</v>
      </c>
      <c r="B3453" t="s">
        <v>8726</v>
      </c>
      <c r="C3453" t="s">
        <v>8702</v>
      </c>
      <c r="D3453" t="s">
        <v>8702</v>
      </c>
      <c r="E3453" t="s">
        <v>8727</v>
      </c>
    </row>
    <row r="3454" spans="1:5" x14ac:dyDescent="0.2">
      <c r="A3454" t="s">
        <v>8728</v>
      </c>
      <c r="B3454" t="s">
        <v>8729</v>
      </c>
      <c r="C3454" t="s">
        <v>8702</v>
      </c>
      <c r="D3454" t="s">
        <v>8702</v>
      </c>
      <c r="E3454" t="s">
        <v>8730</v>
      </c>
    </row>
    <row r="3455" spans="1:5" x14ac:dyDescent="0.2">
      <c r="A3455" t="s">
        <v>8731</v>
      </c>
      <c r="B3455" t="s">
        <v>8732</v>
      </c>
      <c r="C3455" t="s">
        <v>8702</v>
      </c>
      <c r="D3455" t="s">
        <v>8702</v>
      </c>
      <c r="E3455" t="s">
        <v>8730</v>
      </c>
    </row>
    <row r="3456" spans="1:5" x14ac:dyDescent="0.2">
      <c r="A3456" t="s">
        <v>8733</v>
      </c>
      <c r="B3456" t="s">
        <v>8734</v>
      </c>
      <c r="C3456" t="s">
        <v>8702</v>
      </c>
      <c r="D3456" t="s">
        <v>8702</v>
      </c>
      <c r="E3456" t="s">
        <v>8735</v>
      </c>
    </row>
    <row r="3457" spans="1:5" x14ac:dyDescent="0.2">
      <c r="A3457" t="s">
        <v>8736</v>
      </c>
      <c r="B3457" t="s">
        <v>8737</v>
      </c>
      <c r="C3457" t="s">
        <v>8702</v>
      </c>
      <c r="D3457" t="s">
        <v>8702</v>
      </c>
      <c r="E3457" t="s">
        <v>8724</v>
      </c>
    </row>
    <row r="3458" spans="1:5" x14ac:dyDescent="0.2">
      <c r="A3458" t="s">
        <v>8738</v>
      </c>
      <c r="B3458" t="s">
        <v>8739</v>
      </c>
      <c r="C3458" t="s">
        <v>8702</v>
      </c>
      <c r="D3458" t="s">
        <v>8702</v>
      </c>
      <c r="E3458" t="s">
        <v>8724</v>
      </c>
    </row>
    <row r="3459" spans="1:5" x14ac:dyDescent="0.2">
      <c r="A3459" t="s">
        <v>8740</v>
      </c>
      <c r="B3459" t="s">
        <v>8741</v>
      </c>
      <c r="C3459" t="s">
        <v>8702</v>
      </c>
      <c r="D3459" t="s">
        <v>8702</v>
      </c>
      <c r="E3459" t="s">
        <v>8742</v>
      </c>
    </row>
    <row r="3460" spans="1:5" x14ac:dyDescent="0.2">
      <c r="A3460" t="s">
        <v>8743</v>
      </c>
      <c r="B3460" t="s">
        <v>8744</v>
      </c>
      <c r="C3460" t="s">
        <v>8702</v>
      </c>
      <c r="D3460" t="s">
        <v>8702</v>
      </c>
      <c r="E3460" t="s">
        <v>8745</v>
      </c>
    </row>
    <row r="3461" spans="1:5" x14ac:dyDescent="0.2">
      <c r="A3461" t="s">
        <v>8746</v>
      </c>
      <c r="B3461" t="s">
        <v>8747</v>
      </c>
      <c r="C3461" t="s">
        <v>8702</v>
      </c>
      <c r="D3461" t="s">
        <v>8702</v>
      </c>
      <c r="E3461" t="s">
        <v>8748</v>
      </c>
    </row>
    <row r="3462" spans="1:5" x14ac:dyDescent="0.2">
      <c r="A3462" t="s">
        <v>8749</v>
      </c>
      <c r="B3462" t="s">
        <v>8750</v>
      </c>
      <c r="C3462" t="s">
        <v>8702</v>
      </c>
      <c r="D3462" t="s">
        <v>8702</v>
      </c>
      <c r="E3462" t="s">
        <v>8724</v>
      </c>
    </row>
    <row r="3463" spans="1:5" x14ac:dyDescent="0.2">
      <c r="A3463" t="s">
        <v>8751</v>
      </c>
      <c r="B3463" t="s">
        <v>8752</v>
      </c>
      <c r="C3463" t="s">
        <v>8702</v>
      </c>
      <c r="D3463" t="s">
        <v>8702</v>
      </c>
      <c r="E3463" t="s">
        <v>8753</v>
      </c>
    </row>
    <row r="3464" spans="1:5" x14ac:dyDescent="0.2">
      <c r="A3464" t="s">
        <v>8754</v>
      </c>
      <c r="B3464" t="s">
        <v>8755</v>
      </c>
      <c r="C3464" t="s">
        <v>8702</v>
      </c>
      <c r="D3464" t="s">
        <v>8702</v>
      </c>
      <c r="E3464" t="s">
        <v>8756</v>
      </c>
    </row>
    <row r="3465" spans="1:5" x14ac:dyDescent="0.2">
      <c r="A3465" t="s">
        <v>8757</v>
      </c>
      <c r="B3465" t="s">
        <v>8758</v>
      </c>
      <c r="C3465" t="s">
        <v>8702</v>
      </c>
      <c r="D3465" t="s">
        <v>8702</v>
      </c>
      <c r="E3465" t="s">
        <v>8724</v>
      </c>
    </row>
    <row r="3466" spans="1:5" x14ac:dyDescent="0.2">
      <c r="A3466" t="s">
        <v>8759</v>
      </c>
      <c r="B3466" t="s">
        <v>8760</v>
      </c>
      <c r="C3466" t="s">
        <v>8702</v>
      </c>
      <c r="D3466" t="s">
        <v>8702</v>
      </c>
      <c r="E3466" t="s">
        <v>8761</v>
      </c>
    </row>
    <row r="3467" spans="1:5" x14ac:dyDescent="0.2">
      <c r="A3467" t="s">
        <v>8762</v>
      </c>
      <c r="B3467" t="s">
        <v>8763</v>
      </c>
      <c r="C3467" t="s">
        <v>8702</v>
      </c>
      <c r="D3467" t="s">
        <v>8702</v>
      </c>
      <c r="E3467" t="s">
        <v>8724</v>
      </c>
    </row>
    <row r="3468" spans="1:5" x14ac:dyDescent="0.2">
      <c r="A3468" t="s">
        <v>8764</v>
      </c>
      <c r="B3468" t="s">
        <v>8765</v>
      </c>
      <c r="C3468" t="s">
        <v>8702</v>
      </c>
      <c r="D3468" t="s">
        <v>8702</v>
      </c>
      <c r="E3468" t="s">
        <v>8742</v>
      </c>
    </row>
    <row r="3469" spans="1:5" x14ac:dyDescent="0.2">
      <c r="A3469" t="s">
        <v>8766</v>
      </c>
      <c r="B3469" t="s">
        <v>8767</v>
      </c>
      <c r="C3469" t="s">
        <v>8702</v>
      </c>
      <c r="D3469" t="s">
        <v>8702</v>
      </c>
      <c r="E3469" t="s">
        <v>8730</v>
      </c>
    </row>
    <row r="3470" spans="1:5" x14ac:dyDescent="0.2">
      <c r="A3470" t="s">
        <v>8768</v>
      </c>
      <c r="B3470" t="s">
        <v>8769</v>
      </c>
      <c r="C3470" t="s">
        <v>8702</v>
      </c>
      <c r="D3470" t="s">
        <v>8702</v>
      </c>
      <c r="E3470" t="s">
        <v>8724</v>
      </c>
    </row>
    <row r="3471" spans="1:5" x14ac:dyDescent="0.2">
      <c r="A3471" t="s">
        <v>8770</v>
      </c>
      <c r="B3471" t="s">
        <v>8771</v>
      </c>
      <c r="C3471" t="s">
        <v>8702</v>
      </c>
      <c r="D3471" t="s">
        <v>8702</v>
      </c>
      <c r="E3471" t="s">
        <v>8772</v>
      </c>
    </row>
    <row r="3472" spans="1:5" x14ac:dyDescent="0.2">
      <c r="A3472" t="s">
        <v>8773</v>
      </c>
      <c r="B3472" t="s">
        <v>8774</v>
      </c>
      <c r="C3472" t="s">
        <v>8702</v>
      </c>
      <c r="D3472" t="s">
        <v>8702</v>
      </c>
      <c r="E3472" t="s">
        <v>8775</v>
      </c>
    </row>
    <row r="3473" spans="1:5" x14ac:dyDescent="0.2">
      <c r="A3473" t="s">
        <v>8776</v>
      </c>
      <c r="B3473" t="s">
        <v>8777</v>
      </c>
      <c r="C3473" t="s">
        <v>8702</v>
      </c>
      <c r="D3473" t="s">
        <v>8702</v>
      </c>
      <c r="E3473" t="s">
        <v>8730</v>
      </c>
    </row>
    <row r="3474" spans="1:5" x14ac:dyDescent="0.2">
      <c r="A3474" t="s">
        <v>8778</v>
      </c>
      <c r="B3474" t="s">
        <v>8779</v>
      </c>
      <c r="C3474" t="s">
        <v>8702</v>
      </c>
      <c r="D3474" t="s">
        <v>8702</v>
      </c>
      <c r="E3474" t="s">
        <v>8780</v>
      </c>
    </row>
    <row r="3475" spans="1:5" x14ac:dyDescent="0.2">
      <c r="A3475" t="s">
        <v>8781</v>
      </c>
      <c r="B3475" t="s">
        <v>8782</v>
      </c>
      <c r="C3475" t="s">
        <v>8702</v>
      </c>
      <c r="D3475" t="s">
        <v>8702</v>
      </c>
      <c r="E3475" t="s">
        <v>8724</v>
      </c>
    </row>
    <row r="3476" spans="1:5" x14ac:dyDescent="0.2">
      <c r="A3476" t="s">
        <v>8783</v>
      </c>
      <c r="B3476" t="s">
        <v>8784</v>
      </c>
      <c r="C3476" t="s">
        <v>8702</v>
      </c>
      <c r="D3476" t="s">
        <v>8702</v>
      </c>
      <c r="E3476" t="s">
        <v>8742</v>
      </c>
    </row>
    <row r="3477" spans="1:5" x14ac:dyDescent="0.2">
      <c r="A3477" t="s">
        <v>8785</v>
      </c>
      <c r="B3477" t="s">
        <v>8786</v>
      </c>
      <c r="C3477" t="s">
        <v>8702</v>
      </c>
      <c r="D3477" t="s">
        <v>8702</v>
      </c>
      <c r="E3477" t="s">
        <v>8742</v>
      </c>
    </row>
    <row r="3478" spans="1:5" x14ac:dyDescent="0.2">
      <c r="A3478" t="s">
        <v>8787</v>
      </c>
      <c r="B3478" t="s">
        <v>8788</v>
      </c>
      <c r="C3478" t="s">
        <v>8702</v>
      </c>
      <c r="D3478" t="s">
        <v>8702</v>
      </c>
      <c r="E3478" t="s">
        <v>8730</v>
      </c>
    </row>
    <row r="3479" spans="1:5" x14ac:dyDescent="0.2">
      <c r="A3479" t="s">
        <v>8789</v>
      </c>
      <c r="B3479" t="s">
        <v>8790</v>
      </c>
      <c r="C3479" t="s">
        <v>8702</v>
      </c>
      <c r="D3479" t="s">
        <v>8702</v>
      </c>
      <c r="E3479" t="s">
        <v>8791</v>
      </c>
    </row>
    <row r="3480" spans="1:5" x14ac:dyDescent="0.2">
      <c r="A3480" t="s">
        <v>8792</v>
      </c>
      <c r="B3480" t="s">
        <v>8793</v>
      </c>
      <c r="C3480" t="s">
        <v>8702</v>
      </c>
      <c r="D3480" t="s">
        <v>8702</v>
      </c>
      <c r="E3480" t="s">
        <v>8724</v>
      </c>
    </row>
    <row r="3481" spans="1:5" x14ac:dyDescent="0.2">
      <c r="A3481" t="s">
        <v>8794</v>
      </c>
      <c r="B3481" t="s">
        <v>8795</v>
      </c>
      <c r="C3481" t="s">
        <v>8702</v>
      </c>
      <c r="D3481" t="s">
        <v>8702</v>
      </c>
      <c r="E3481" t="s">
        <v>8796</v>
      </c>
    </row>
    <row r="3482" spans="1:5" x14ac:dyDescent="0.2">
      <c r="A3482" t="s">
        <v>8797</v>
      </c>
      <c r="B3482" t="s">
        <v>8798</v>
      </c>
      <c r="C3482" t="s">
        <v>8702</v>
      </c>
      <c r="D3482" t="s">
        <v>8702</v>
      </c>
      <c r="E3482" t="s">
        <v>8742</v>
      </c>
    </row>
    <row r="3483" spans="1:5" x14ac:dyDescent="0.2">
      <c r="A3483" t="s">
        <v>8799</v>
      </c>
      <c r="B3483" t="s">
        <v>8800</v>
      </c>
      <c r="C3483" t="s">
        <v>8702</v>
      </c>
      <c r="D3483" t="s">
        <v>8702</v>
      </c>
      <c r="E3483" t="s">
        <v>8801</v>
      </c>
    </row>
    <row r="3484" spans="1:5" x14ac:dyDescent="0.2">
      <c r="A3484" t="s">
        <v>8802</v>
      </c>
      <c r="B3484" t="s">
        <v>8803</v>
      </c>
      <c r="C3484" t="s">
        <v>8702</v>
      </c>
      <c r="D3484" t="s">
        <v>8702</v>
      </c>
      <c r="E3484" t="s">
        <v>8724</v>
      </c>
    </row>
    <row r="3485" spans="1:5" x14ac:dyDescent="0.2">
      <c r="A3485" t="s">
        <v>8804</v>
      </c>
      <c r="B3485" t="s">
        <v>8805</v>
      </c>
      <c r="C3485" t="s">
        <v>8702</v>
      </c>
      <c r="D3485" t="s">
        <v>8702</v>
      </c>
      <c r="E3485" t="s">
        <v>8730</v>
      </c>
    </row>
    <row r="3486" spans="1:5" x14ac:dyDescent="0.2">
      <c r="A3486" t="s">
        <v>8806</v>
      </c>
      <c r="B3486" t="s">
        <v>8807</v>
      </c>
      <c r="C3486" t="s">
        <v>8702</v>
      </c>
      <c r="D3486" t="s">
        <v>8702</v>
      </c>
      <c r="E3486" t="s">
        <v>8724</v>
      </c>
    </row>
    <row r="3487" spans="1:5" x14ac:dyDescent="0.2">
      <c r="A3487" t="s">
        <v>8808</v>
      </c>
      <c r="B3487" t="s">
        <v>8809</v>
      </c>
      <c r="C3487" t="s">
        <v>8702</v>
      </c>
      <c r="D3487" t="s">
        <v>8702</v>
      </c>
      <c r="E3487" t="s">
        <v>8810</v>
      </c>
    </row>
    <row r="3488" spans="1:5" x14ac:dyDescent="0.2">
      <c r="A3488" t="s">
        <v>8811</v>
      </c>
      <c r="B3488" t="s">
        <v>8812</v>
      </c>
      <c r="C3488" t="s">
        <v>8702</v>
      </c>
      <c r="D3488" t="s">
        <v>8702</v>
      </c>
      <c r="E3488" t="s">
        <v>8813</v>
      </c>
    </row>
    <row r="3489" spans="1:5" x14ac:dyDescent="0.2">
      <c r="A3489" t="s">
        <v>8814</v>
      </c>
      <c r="B3489" t="s">
        <v>8815</v>
      </c>
      <c r="C3489" t="s">
        <v>8702</v>
      </c>
      <c r="D3489" t="s">
        <v>8702</v>
      </c>
      <c r="E3489" t="s">
        <v>8816</v>
      </c>
    </row>
    <row r="3490" spans="1:5" x14ac:dyDescent="0.2">
      <c r="A3490" t="s">
        <v>8817</v>
      </c>
      <c r="B3490" t="s">
        <v>8818</v>
      </c>
      <c r="C3490" t="s">
        <v>8702</v>
      </c>
      <c r="D3490" t="s">
        <v>8702</v>
      </c>
      <c r="E3490" t="s">
        <v>8742</v>
      </c>
    </row>
    <row r="3491" spans="1:5" x14ac:dyDescent="0.2">
      <c r="A3491" t="s">
        <v>8819</v>
      </c>
      <c r="B3491" t="s">
        <v>8820</v>
      </c>
      <c r="C3491" t="s">
        <v>8702</v>
      </c>
      <c r="D3491" t="s">
        <v>8702</v>
      </c>
      <c r="E3491" t="s">
        <v>8724</v>
      </c>
    </row>
    <row r="3492" spans="1:5" x14ac:dyDescent="0.2">
      <c r="A3492" t="s">
        <v>8821</v>
      </c>
      <c r="B3492" t="s">
        <v>8822</v>
      </c>
      <c r="C3492" t="s">
        <v>8702</v>
      </c>
      <c r="D3492" t="s">
        <v>8702</v>
      </c>
      <c r="E3492" t="s">
        <v>8730</v>
      </c>
    </row>
    <row r="3493" spans="1:5" x14ac:dyDescent="0.2">
      <c r="A3493" t="s">
        <v>8823</v>
      </c>
      <c r="B3493" t="s">
        <v>8824</v>
      </c>
      <c r="C3493" t="s">
        <v>8702</v>
      </c>
      <c r="D3493" t="s">
        <v>8702</v>
      </c>
      <c r="E3493" t="s">
        <v>8724</v>
      </c>
    </row>
    <row r="3494" spans="1:5" x14ac:dyDescent="0.2">
      <c r="A3494" t="s">
        <v>8825</v>
      </c>
      <c r="B3494" t="s">
        <v>8826</v>
      </c>
      <c r="C3494" t="s">
        <v>8702</v>
      </c>
      <c r="D3494" t="s">
        <v>8702</v>
      </c>
      <c r="E3494" t="s">
        <v>8827</v>
      </c>
    </row>
    <row r="3495" spans="1:5" x14ac:dyDescent="0.2">
      <c r="A3495" t="s">
        <v>8828</v>
      </c>
      <c r="B3495" t="s">
        <v>8829</v>
      </c>
      <c r="C3495" t="s">
        <v>507</v>
      </c>
      <c r="D3495" t="s">
        <v>507</v>
      </c>
      <c r="E3495" t="s">
        <v>8830</v>
      </c>
    </row>
    <row r="3496" spans="1:5" x14ac:dyDescent="0.2">
      <c r="A3496" t="s">
        <v>8831</v>
      </c>
      <c r="B3496" t="s">
        <v>8832</v>
      </c>
      <c r="C3496" t="s">
        <v>507</v>
      </c>
      <c r="D3496" t="s">
        <v>507</v>
      </c>
      <c r="E3496" t="s">
        <v>8833</v>
      </c>
    </row>
    <row r="3497" spans="1:5" x14ac:dyDescent="0.2">
      <c r="A3497" t="s">
        <v>8834</v>
      </c>
      <c r="B3497" t="s">
        <v>8835</v>
      </c>
      <c r="C3497" t="s">
        <v>507</v>
      </c>
      <c r="D3497" t="s">
        <v>507</v>
      </c>
      <c r="E3497" t="s">
        <v>8836</v>
      </c>
    </row>
    <row r="3498" spans="1:5" x14ac:dyDescent="0.2">
      <c r="A3498" t="s">
        <v>8837</v>
      </c>
      <c r="B3498" t="s">
        <v>8838</v>
      </c>
      <c r="C3498" t="s">
        <v>507</v>
      </c>
      <c r="D3498" t="s">
        <v>507</v>
      </c>
      <c r="E3498" t="s">
        <v>8839</v>
      </c>
    </row>
    <row r="3499" spans="1:5" x14ac:dyDescent="0.2">
      <c r="A3499" t="s">
        <v>8840</v>
      </c>
      <c r="B3499" t="s">
        <v>8841</v>
      </c>
      <c r="C3499" t="s">
        <v>507</v>
      </c>
      <c r="D3499" t="s">
        <v>507</v>
      </c>
      <c r="E3499" t="s">
        <v>8842</v>
      </c>
    </row>
    <row r="3500" spans="1:5" x14ac:dyDescent="0.2">
      <c r="A3500" t="s">
        <v>8843</v>
      </c>
      <c r="B3500" t="s">
        <v>8844</v>
      </c>
      <c r="C3500" t="s">
        <v>507</v>
      </c>
      <c r="D3500" t="s">
        <v>507</v>
      </c>
      <c r="E3500" t="s">
        <v>8845</v>
      </c>
    </row>
    <row r="3501" spans="1:5" x14ac:dyDescent="0.2">
      <c r="A3501" t="s">
        <v>8846</v>
      </c>
      <c r="B3501" t="s">
        <v>8847</v>
      </c>
      <c r="C3501" t="s">
        <v>507</v>
      </c>
      <c r="D3501" t="s">
        <v>507</v>
      </c>
      <c r="E3501" t="s">
        <v>8848</v>
      </c>
    </row>
    <row r="3502" spans="1:5" x14ac:dyDescent="0.2">
      <c r="A3502" t="s">
        <v>8849</v>
      </c>
      <c r="B3502" t="s">
        <v>8850</v>
      </c>
      <c r="C3502" t="s">
        <v>507</v>
      </c>
      <c r="D3502" t="s">
        <v>507</v>
      </c>
      <c r="E3502" t="s">
        <v>8851</v>
      </c>
    </row>
    <row r="3503" spans="1:5" x14ac:dyDescent="0.2">
      <c r="A3503" t="s">
        <v>8852</v>
      </c>
      <c r="B3503" t="s">
        <v>8853</v>
      </c>
      <c r="C3503" t="s">
        <v>507</v>
      </c>
      <c r="D3503" t="s">
        <v>507</v>
      </c>
      <c r="E3503" t="s">
        <v>8854</v>
      </c>
    </row>
    <row r="3504" spans="1:5" x14ac:dyDescent="0.2">
      <c r="A3504" t="s">
        <v>8855</v>
      </c>
      <c r="B3504" t="s">
        <v>8856</v>
      </c>
      <c r="C3504" t="s">
        <v>507</v>
      </c>
      <c r="D3504" t="s">
        <v>507</v>
      </c>
      <c r="E3504" t="s">
        <v>8857</v>
      </c>
    </row>
    <row r="3505" spans="1:5" x14ac:dyDescent="0.2">
      <c r="A3505" t="s">
        <v>8858</v>
      </c>
      <c r="B3505" t="s">
        <v>8859</v>
      </c>
      <c r="C3505" t="s">
        <v>507</v>
      </c>
      <c r="D3505" t="s">
        <v>507</v>
      </c>
      <c r="E3505" t="s">
        <v>8851</v>
      </c>
    </row>
    <row r="3506" spans="1:5" x14ac:dyDescent="0.2">
      <c r="A3506" t="s">
        <v>8860</v>
      </c>
      <c r="B3506" t="s">
        <v>8861</v>
      </c>
      <c r="C3506" t="s">
        <v>507</v>
      </c>
      <c r="D3506" t="s">
        <v>507</v>
      </c>
      <c r="E3506" t="s">
        <v>8862</v>
      </c>
    </row>
    <row r="3507" spans="1:5" x14ac:dyDescent="0.2">
      <c r="A3507" t="s">
        <v>8863</v>
      </c>
      <c r="B3507" t="s">
        <v>8864</v>
      </c>
      <c r="C3507" t="s">
        <v>507</v>
      </c>
      <c r="D3507" t="s">
        <v>507</v>
      </c>
      <c r="E3507" t="s">
        <v>8865</v>
      </c>
    </row>
    <row r="3508" spans="1:5" x14ac:dyDescent="0.2">
      <c r="A3508" t="s">
        <v>8866</v>
      </c>
      <c r="B3508" t="s">
        <v>8867</v>
      </c>
      <c r="C3508" t="s">
        <v>507</v>
      </c>
      <c r="D3508" t="s">
        <v>507</v>
      </c>
      <c r="E3508" t="s">
        <v>8868</v>
      </c>
    </row>
    <row r="3509" spans="1:5" x14ac:dyDescent="0.2">
      <c r="A3509" t="s">
        <v>8869</v>
      </c>
      <c r="B3509" t="s">
        <v>8870</v>
      </c>
      <c r="C3509" t="s">
        <v>507</v>
      </c>
      <c r="D3509" t="s">
        <v>507</v>
      </c>
      <c r="E3509" t="s">
        <v>8865</v>
      </c>
    </row>
    <row r="3510" spans="1:5" x14ac:dyDescent="0.2">
      <c r="A3510" t="s">
        <v>8871</v>
      </c>
      <c r="B3510" t="s">
        <v>8872</v>
      </c>
      <c r="C3510" t="s">
        <v>507</v>
      </c>
      <c r="D3510" t="s">
        <v>507</v>
      </c>
      <c r="E3510" t="s">
        <v>8865</v>
      </c>
    </row>
    <row r="3511" spans="1:5" x14ac:dyDescent="0.2">
      <c r="A3511" t="s">
        <v>8873</v>
      </c>
      <c r="B3511" t="s">
        <v>8874</v>
      </c>
      <c r="C3511" t="s">
        <v>507</v>
      </c>
      <c r="D3511" t="s">
        <v>507</v>
      </c>
      <c r="E3511" t="s">
        <v>8851</v>
      </c>
    </row>
    <row r="3512" spans="1:5" x14ac:dyDescent="0.2">
      <c r="A3512" t="s">
        <v>8875</v>
      </c>
      <c r="B3512" t="s">
        <v>8876</v>
      </c>
      <c r="C3512" t="s">
        <v>507</v>
      </c>
      <c r="D3512" t="s">
        <v>507</v>
      </c>
      <c r="E3512" t="s">
        <v>8862</v>
      </c>
    </row>
    <row r="3513" spans="1:5" x14ac:dyDescent="0.2">
      <c r="A3513" t="s">
        <v>8877</v>
      </c>
      <c r="B3513" t="s">
        <v>8878</v>
      </c>
      <c r="C3513" t="s">
        <v>507</v>
      </c>
      <c r="D3513" t="s">
        <v>507</v>
      </c>
      <c r="E3513" t="s">
        <v>8851</v>
      </c>
    </row>
    <row r="3514" spans="1:5" x14ac:dyDescent="0.2">
      <c r="A3514" t="s">
        <v>8879</v>
      </c>
      <c r="B3514" t="s">
        <v>8880</v>
      </c>
      <c r="C3514" t="s">
        <v>507</v>
      </c>
      <c r="D3514" t="s">
        <v>507</v>
      </c>
      <c r="E3514" t="s">
        <v>8833</v>
      </c>
    </row>
    <row r="3515" spans="1:5" x14ac:dyDescent="0.2">
      <c r="A3515" t="s">
        <v>8881</v>
      </c>
      <c r="B3515" t="s">
        <v>8882</v>
      </c>
      <c r="C3515" t="s">
        <v>507</v>
      </c>
      <c r="D3515" t="s">
        <v>507</v>
      </c>
      <c r="E3515" t="s">
        <v>8833</v>
      </c>
    </row>
    <row r="3516" spans="1:5" x14ac:dyDescent="0.2">
      <c r="A3516" t="s">
        <v>8883</v>
      </c>
      <c r="B3516" t="s">
        <v>8884</v>
      </c>
      <c r="C3516" t="s">
        <v>507</v>
      </c>
      <c r="D3516" t="s">
        <v>507</v>
      </c>
      <c r="E3516" t="s">
        <v>8885</v>
      </c>
    </row>
    <row r="3517" spans="1:5" x14ac:dyDescent="0.2">
      <c r="A3517" t="s">
        <v>8886</v>
      </c>
      <c r="B3517" t="s">
        <v>8887</v>
      </c>
      <c r="C3517" t="s">
        <v>507</v>
      </c>
      <c r="D3517" t="s">
        <v>507</v>
      </c>
      <c r="E3517" t="s">
        <v>8888</v>
      </c>
    </row>
    <row r="3518" spans="1:5" x14ac:dyDescent="0.2">
      <c r="A3518" t="s">
        <v>8889</v>
      </c>
      <c r="B3518" t="s">
        <v>8890</v>
      </c>
      <c r="C3518" t="s">
        <v>507</v>
      </c>
      <c r="D3518" t="s">
        <v>507</v>
      </c>
      <c r="E3518" t="s">
        <v>8862</v>
      </c>
    </row>
    <row r="3519" spans="1:5" x14ac:dyDescent="0.2">
      <c r="A3519" t="s">
        <v>8891</v>
      </c>
      <c r="B3519" t="s">
        <v>8892</v>
      </c>
      <c r="C3519" t="s">
        <v>507</v>
      </c>
      <c r="D3519" t="s">
        <v>507</v>
      </c>
      <c r="E3519" t="s">
        <v>8893</v>
      </c>
    </row>
    <row r="3520" spans="1:5" x14ac:dyDescent="0.2">
      <c r="A3520" t="s">
        <v>8894</v>
      </c>
      <c r="B3520" t="s">
        <v>8895</v>
      </c>
      <c r="C3520" t="s">
        <v>507</v>
      </c>
      <c r="D3520" t="s">
        <v>507</v>
      </c>
      <c r="E3520" t="s">
        <v>8896</v>
      </c>
    </row>
    <row r="3521" spans="1:5" x14ac:dyDescent="0.2">
      <c r="A3521" t="s">
        <v>8897</v>
      </c>
      <c r="B3521" t="s">
        <v>8898</v>
      </c>
      <c r="C3521" t="s">
        <v>507</v>
      </c>
      <c r="D3521" t="s">
        <v>507</v>
      </c>
      <c r="E3521" t="s">
        <v>8862</v>
      </c>
    </row>
    <row r="3522" spans="1:5" x14ac:dyDescent="0.2">
      <c r="A3522" t="s">
        <v>8899</v>
      </c>
      <c r="B3522" t="s">
        <v>8900</v>
      </c>
      <c r="C3522" t="s">
        <v>507</v>
      </c>
      <c r="D3522" t="s">
        <v>507</v>
      </c>
      <c r="E3522" t="s">
        <v>8901</v>
      </c>
    </row>
    <row r="3523" spans="1:5" x14ac:dyDescent="0.2">
      <c r="A3523" t="s">
        <v>8902</v>
      </c>
      <c r="B3523" t="s">
        <v>8903</v>
      </c>
      <c r="C3523" t="s">
        <v>507</v>
      </c>
      <c r="D3523" t="s">
        <v>507</v>
      </c>
      <c r="E3523" t="s">
        <v>8848</v>
      </c>
    </row>
    <row r="3524" spans="1:5" x14ac:dyDescent="0.2">
      <c r="A3524" t="s">
        <v>8904</v>
      </c>
      <c r="B3524" t="s">
        <v>8905</v>
      </c>
      <c r="C3524" t="s">
        <v>507</v>
      </c>
      <c r="D3524" t="s">
        <v>507</v>
      </c>
      <c r="E3524" t="s">
        <v>8865</v>
      </c>
    </row>
    <row r="3525" spans="1:5" x14ac:dyDescent="0.2">
      <c r="A3525" t="s">
        <v>8906</v>
      </c>
      <c r="B3525" t="s">
        <v>8907</v>
      </c>
      <c r="C3525" t="s">
        <v>507</v>
      </c>
      <c r="D3525" t="s">
        <v>507</v>
      </c>
      <c r="E3525" t="s">
        <v>8865</v>
      </c>
    </row>
    <row r="3526" spans="1:5" x14ac:dyDescent="0.2">
      <c r="A3526" t="s">
        <v>8908</v>
      </c>
      <c r="B3526" t="s">
        <v>8909</v>
      </c>
      <c r="C3526" t="s">
        <v>507</v>
      </c>
      <c r="D3526" t="s">
        <v>507</v>
      </c>
      <c r="E3526" t="s">
        <v>8862</v>
      </c>
    </row>
    <row r="3527" spans="1:5" x14ac:dyDescent="0.2">
      <c r="A3527" t="s">
        <v>8910</v>
      </c>
      <c r="B3527" t="s">
        <v>8911</v>
      </c>
      <c r="C3527" t="s">
        <v>507</v>
      </c>
      <c r="D3527" t="s">
        <v>507</v>
      </c>
      <c r="E3527" t="s">
        <v>8848</v>
      </c>
    </row>
    <row r="3528" spans="1:5" x14ac:dyDescent="0.2">
      <c r="A3528" t="s">
        <v>8912</v>
      </c>
      <c r="B3528" t="s">
        <v>8913</v>
      </c>
      <c r="C3528" t="s">
        <v>507</v>
      </c>
      <c r="D3528" t="s">
        <v>507</v>
      </c>
      <c r="E3528" t="s">
        <v>8833</v>
      </c>
    </row>
    <row r="3529" spans="1:5" x14ac:dyDescent="0.2">
      <c r="A3529" t="s">
        <v>8914</v>
      </c>
      <c r="B3529" t="s">
        <v>8915</v>
      </c>
      <c r="C3529" t="s">
        <v>507</v>
      </c>
      <c r="D3529" t="s">
        <v>507</v>
      </c>
      <c r="E3529" t="s">
        <v>8848</v>
      </c>
    </row>
    <row r="3530" spans="1:5" x14ac:dyDescent="0.2">
      <c r="A3530" t="s">
        <v>8916</v>
      </c>
      <c r="B3530" t="s">
        <v>8917</v>
      </c>
      <c r="C3530" t="s">
        <v>507</v>
      </c>
      <c r="D3530" t="s">
        <v>507</v>
      </c>
      <c r="E3530" t="s">
        <v>8918</v>
      </c>
    </row>
    <row r="3531" spans="1:5" x14ac:dyDescent="0.2">
      <c r="A3531" t="s">
        <v>8919</v>
      </c>
      <c r="B3531" t="s">
        <v>8920</v>
      </c>
      <c r="C3531" t="s">
        <v>507</v>
      </c>
      <c r="D3531" t="s">
        <v>507</v>
      </c>
      <c r="E3531" t="s">
        <v>8865</v>
      </c>
    </row>
    <row r="3532" spans="1:5" x14ac:dyDescent="0.2">
      <c r="A3532" t="s">
        <v>8921</v>
      </c>
      <c r="B3532" t="s">
        <v>8922</v>
      </c>
      <c r="C3532" t="s">
        <v>507</v>
      </c>
      <c r="D3532" t="s">
        <v>507</v>
      </c>
      <c r="E3532" t="s">
        <v>8833</v>
      </c>
    </row>
    <row r="3533" spans="1:5" x14ac:dyDescent="0.2">
      <c r="A3533" t="s">
        <v>8923</v>
      </c>
      <c r="B3533" t="s">
        <v>8924</v>
      </c>
      <c r="C3533" t="s">
        <v>507</v>
      </c>
      <c r="D3533" t="s">
        <v>507</v>
      </c>
      <c r="E3533" t="s">
        <v>8925</v>
      </c>
    </row>
    <row r="3534" spans="1:5" x14ac:dyDescent="0.2">
      <c r="A3534" t="s">
        <v>8926</v>
      </c>
      <c r="B3534" t="s">
        <v>8927</v>
      </c>
      <c r="C3534" t="s">
        <v>507</v>
      </c>
      <c r="D3534" t="s">
        <v>507</v>
      </c>
      <c r="E3534" t="s">
        <v>8833</v>
      </c>
    </row>
    <row r="3535" spans="1:5" x14ac:dyDescent="0.2">
      <c r="A3535" t="s">
        <v>8928</v>
      </c>
      <c r="B3535" t="s">
        <v>8929</v>
      </c>
      <c r="C3535" t="s">
        <v>507</v>
      </c>
      <c r="D3535" t="s">
        <v>507</v>
      </c>
      <c r="E3535" t="s">
        <v>8930</v>
      </c>
    </row>
    <row r="3536" spans="1:5" x14ac:dyDescent="0.2">
      <c r="A3536" t="s">
        <v>8931</v>
      </c>
      <c r="B3536" t="s">
        <v>8932</v>
      </c>
      <c r="C3536" t="s">
        <v>507</v>
      </c>
      <c r="D3536" t="s">
        <v>507</v>
      </c>
      <c r="E3536" t="s">
        <v>8851</v>
      </c>
    </row>
    <row r="3537" spans="1:5" x14ac:dyDescent="0.2">
      <c r="A3537" t="s">
        <v>8933</v>
      </c>
      <c r="B3537" t="s">
        <v>8934</v>
      </c>
      <c r="C3537" t="s">
        <v>507</v>
      </c>
      <c r="D3537" t="s">
        <v>507</v>
      </c>
      <c r="E3537" t="s">
        <v>8848</v>
      </c>
    </row>
    <row r="3538" spans="1:5" x14ac:dyDescent="0.2">
      <c r="A3538" t="s">
        <v>8935</v>
      </c>
      <c r="B3538" t="s">
        <v>8936</v>
      </c>
      <c r="C3538" t="s">
        <v>507</v>
      </c>
      <c r="D3538" t="s">
        <v>507</v>
      </c>
      <c r="E3538" t="s">
        <v>8937</v>
      </c>
    </row>
    <row r="3539" spans="1:5" x14ac:dyDescent="0.2">
      <c r="A3539" t="s">
        <v>8938</v>
      </c>
      <c r="B3539" t="s">
        <v>8939</v>
      </c>
      <c r="C3539" t="s">
        <v>507</v>
      </c>
      <c r="D3539" t="s">
        <v>507</v>
      </c>
      <c r="E3539" t="s">
        <v>8940</v>
      </c>
    </row>
    <row r="3540" spans="1:5" x14ac:dyDescent="0.2">
      <c r="A3540" t="s">
        <v>8941</v>
      </c>
      <c r="B3540" t="s">
        <v>8942</v>
      </c>
      <c r="C3540" t="s">
        <v>507</v>
      </c>
      <c r="D3540" t="s">
        <v>507</v>
      </c>
      <c r="E3540" t="s">
        <v>8851</v>
      </c>
    </row>
    <row r="3541" spans="1:5" x14ac:dyDescent="0.2">
      <c r="A3541" t="s">
        <v>8943</v>
      </c>
      <c r="B3541" t="s">
        <v>8944</v>
      </c>
      <c r="C3541" t="s">
        <v>507</v>
      </c>
      <c r="D3541" t="s">
        <v>507</v>
      </c>
      <c r="E3541" t="s">
        <v>8945</v>
      </c>
    </row>
    <row r="3542" spans="1:5" x14ac:dyDescent="0.2">
      <c r="A3542" t="s">
        <v>8946</v>
      </c>
      <c r="B3542" t="s">
        <v>8947</v>
      </c>
      <c r="C3542" t="s">
        <v>507</v>
      </c>
      <c r="D3542" t="s">
        <v>507</v>
      </c>
      <c r="E3542" t="s">
        <v>8862</v>
      </c>
    </row>
    <row r="3543" spans="1:5" x14ac:dyDescent="0.2">
      <c r="A3543" t="s">
        <v>8948</v>
      </c>
      <c r="B3543" t="s">
        <v>8949</v>
      </c>
      <c r="C3543" t="s">
        <v>507</v>
      </c>
      <c r="D3543" t="s">
        <v>507</v>
      </c>
      <c r="E3543" t="s">
        <v>8862</v>
      </c>
    </row>
    <row r="3544" spans="1:5" x14ac:dyDescent="0.2">
      <c r="A3544" t="s">
        <v>8950</v>
      </c>
      <c r="B3544" t="s">
        <v>8951</v>
      </c>
      <c r="C3544" t="s">
        <v>507</v>
      </c>
      <c r="D3544" t="s">
        <v>507</v>
      </c>
      <c r="E3544" t="s">
        <v>8865</v>
      </c>
    </row>
    <row r="3545" spans="1:5" x14ac:dyDescent="0.2">
      <c r="A3545" t="s">
        <v>8952</v>
      </c>
      <c r="B3545" t="s">
        <v>8953</v>
      </c>
      <c r="C3545" t="s">
        <v>507</v>
      </c>
      <c r="D3545" t="s">
        <v>507</v>
      </c>
      <c r="E3545" t="s">
        <v>8862</v>
      </c>
    </row>
    <row r="3546" spans="1:5" x14ac:dyDescent="0.2">
      <c r="A3546" t="s">
        <v>8954</v>
      </c>
      <c r="B3546" t="s">
        <v>8955</v>
      </c>
      <c r="C3546" t="s">
        <v>507</v>
      </c>
      <c r="D3546" t="s">
        <v>507</v>
      </c>
      <c r="E3546" t="s">
        <v>8956</v>
      </c>
    </row>
    <row r="3547" spans="1:5" x14ac:dyDescent="0.2">
      <c r="A3547" t="s">
        <v>8957</v>
      </c>
      <c r="B3547" t="s">
        <v>8958</v>
      </c>
      <c r="C3547" t="s">
        <v>507</v>
      </c>
      <c r="D3547" t="s">
        <v>507</v>
      </c>
      <c r="E3547" t="s">
        <v>8851</v>
      </c>
    </row>
    <row r="3548" spans="1:5" x14ac:dyDescent="0.2">
      <c r="A3548" t="s">
        <v>8959</v>
      </c>
      <c r="B3548" t="s">
        <v>8960</v>
      </c>
      <c r="C3548" t="s">
        <v>507</v>
      </c>
      <c r="D3548" t="s">
        <v>507</v>
      </c>
      <c r="E3548" t="s">
        <v>8961</v>
      </c>
    </row>
    <row r="3549" spans="1:5" x14ac:dyDescent="0.2">
      <c r="A3549" t="s">
        <v>8962</v>
      </c>
      <c r="B3549" t="s">
        <v>8963</v>
      </c>
      <c r="C3549" t="s">
        <v>507</v>
      </c>
      <c r="D3549" t="s">
        <v>507</v>
      </c>
      <c r="E3549" t="s">
        <v>8964</v>
      </c>
    </row>
    <row r="3550" spans="1:5" x14ac:dyDescent="0.2">
      <c r="A3550" t="s">
        <v>8965</v>
      </c>
      <c r="B3550" t="s">
        <v>8966</v>
      </c>
      <c r="C3550" t="s">
        <v>507</v>
      </c>
      <c r="D3550" t="s">
        <v>507</v>
      </c>
      <c r="E3550" t="s">
        <v>8967</v>
      </c>
    </row>
    <row r="3551" spans="1:5" x14ac:dyDescent="0.2">
      <c r="A3551" t="s">
        <v>8968</v>
      </c>
      <c r="B3551" t="s">
        <v>8969</v>
      </c>
      <c r="C3551" t="s">
        <v>507</v>
      </c>
      <c r="D3551" t="s">
        <v>507</v>
      </c>
      <c r="E3551" t="s">
        <v>8848</v>
      </c>
    </row>
    <row r="3552" spans="1:5" x14ac:dyDescent="0.2">
      <c r="A3552" t="s">
        <v>8970</v>
      </c>
      <c r="B3552" t="s">
        <v>8971</v>
      </c>
      <c r="C3552" t="s">
        <v>507</v>
      </c>
      <c r="D3552" t="s">
        <v>507</v>
      </c>
      <c r="E3552" t="s">
        <v>8862</v>
      </c>
    </row>
    <row r="3553" spans="1:5" x14ac:dyDescent="0.2">
      <c r="A3553" t="s">
        <v>8972</v>
      </c>
      <c r="B3553" t="s">
        <v>8973</v>
      </c>
      <c r="C3553" t="s">
        <v>507</v>
      </c>
      <c r="D3553" t="s">
        <v>507</v>
      </c>
      <c r="E3553" t="s">
        <v>8851</v>
      </c>
    </row>
    <row r="3554" spans="1:5" x14ac:dyDescent="0.2">
      <c r="A3554" t="s">
        <v>8974</v>
      </c>
      <c r="B3554" t="s">
        <v>8975</v>
      </c>
      <c r="C3554" t="s">
        <v>507</v>
      </c>
      <c r="D3554" t="s">
        <v>507</v>
      </c>
      <c r="E3554" t="s">
        <v>8865</v>
      </c>
    </row>
    <row r="3555" spans="1:5" x14ac:dyDescent="0.2">
      <c r="A3555" t="s">
        <v>8976</v>
      </c>
      <c r="B3555" t="s">
        <v>8977</v>
      </c>
      <c r="C3555" t="s">
        <v>507</v>
      </c>
      <c r="D3555" t="s">
        <v>507</v>
      </c>
      <c r="E3555" t="s">
        <v>8978</v>
      </c>
    </row>
    <row r="3556" spans="1:5" x14ac:dyDescent="0.2">
      <c r="A3556" t="s">
        <v>8979</v>
      </c>
      <c r="B3556" t="s">
        <v>8980</v>
      </c>
      <c r="C3556" t="s">
        <v>507</v>
      </c>
      <c r="D3556" t="s">
        <v>507</v>
      </c>
      <c r="E3556" t="s">
        <v>8981</v>
      </c>
    </row>
    <row r="3557" spans="1:5" x14ac:dyDescent="0.2">
      <c r="A3557" t="s">
        <v>8982</v>
      </c>
      <c r="B3557" t="s">
        <v>8983</v>
      </c>
      <c r="C3557" t="s">
        <v>507</v>
      </c>
      <c r="D3557" t="s">
        <v>507</v>
      </c>
      <c r="E3557" t="s">
        <v>8862</v>
      </c>
    </row>
    <row r="3558" spans="1:5" x14ac:dyDescent="0.2">
      <c r="A3558" t="s">
        <v>8984</v>
      </c>
      <c r="B3558" t="s">
        <v>8985</v>
      </c>
      <c r="C3558" t="s">
        <v>507</v>
      </c>
      <c r="D3558" t="s">
        <v>507</v>
      </c>
      <c r="E3558" t="s">
        <v>8986</v>
      </c>
    </row>
    <row r="3559" spans="1:5" x14ac:dyDescent="0.2">
      <c r="A3559" t="s">
        <v>8987</v>
      </c>
      <c r="B3559" t="s">
        <v>8988</v>
      </c>
      <c r="C3559" t="s">
        <v>507</v>
      </c>
      <c r="D3559" t="s">
        <v>507</v>
      </c>
      <c r="E3559" t="s">
        <v>8862</v>
      </c>
    </row>
    <row r="3560" spans="1:5" x14ac:dyDescent="0.2">
      <c r="A3560" t="s">
        <v>8989</v>
      </c>
      <c r="B3560" t="s">
        <v>8990</v>
      </c>
      <c r="C3560" t="s">
        <v>507</v>
      </c>
      <c r="D3560" t="s">
        <v>507</v>
      </c>
      <c r="E3560" t="s">
        <v>8991</v>
      </c>
    </row>
    <row r="3561" spans="1:5" x14ac:dyDescent="0.2">
      <c r="A3561" t="s">
        <v>8992</v>
      </c>
      <c r="B3561" t="s">
        <v>8993</v>
      </c>
      <c r="C3561" t="s">
        <v>507</v>
      </c>
      <c r="D3561" t="s">
        <v>507</v>
      </c>
      <c r="E3561" t="s">
        <v>8994</v>
      </c>
    </row>
    <row r="3562" spans="1:5" x14ac:dyDescent="0.2">
      <c r="A3562" t="s">
        <v>8995</v>
      </c>
      <c r="B3562" t="s">
        <v>8996</v>
      </c>
      <c r="C3562" t="s">
        <v>507</v>
      </c>
      <c r="D3562" t="s">
        <v>507</v>
      </c>
      <c r="E3562" t="s">
        <v>8997</v>
      </c>
    </row>
    <row r="3563" spans="1:5" x14ac:dyDescent="0.2">
      <c r="A3563" t="s">
        <v>8998</v>
      </c>
      <c r="B3563" t="s">
        <v>8999</v>
      </c>
      <c r="C3563" t="s">
        <v>507</v>
      </c>
      <c r="D3563" t="s">
        <v>507</v>
      </c>
      <c r="E3563" t="s">
        <v>9000</v>
      </c>
    </row>
    <row r="3564" spans="1:5" x14ac:dyDescent="0.2">
      <c r="A3564" t="s">
        <v>9001</v>
      </c>
      <c r="B3564" t="s">
        <v>9002</v>
      </c>
      <c r="C3564" t="s">
        <v>507</v>
      </c>
      <c r="D3564" t="s">
        <v>507</v>
      </c>
      <c r="E3564" t="s">
        <v>9003</v>
      </c>
    </row>
    <row r="3565" spans="1:5" x14ac:dyDescent="0.2">
      <c r="A3565" t="s">
        <v>9004</v>
      </c>
      <c r="B3565" t="s">
        <v>9005</v>
      </c>
      <c r="C3565" t="s">
        <v>507</v>
      </c>
      <c r="D3565" t="s">
        <v>507</v>
      </c>
      <c r="E3565" t="s">
        <v>8851</v>
      </c>
    </row>
    <row r="3566" spans="1:5" x14ac:dyDescent="0.2">
      <c r="A3566" t="s">
        <v>9006</v>
      </c>
      <c r="B3566" t="s">
        <v>9007</v>
      </c>
      <c r="C3566" t="s">
        <v>507</v>
      </c>
      <c r="D3566" t="s">
        <v>507</v>
      </c>
      <c r="E3566" t="s">
        <v>8851</v>
      </c>
    </row>
    <row r="3567" spans="1:5" x14ac:dyDescent="0.2">
      <c r="A3567" t="s">
        <v>9008</v>
      </c>
      <c r="B3567" t="s">
        <v>9009</v>
      </c>
      <c r="C3567" t="s">
        <v>507</v>
      </c>
      <c r="D3567" t="s">
        <v>507</v>
      </c>
      <c r="E3567" t="s">
        <v>9010</v>
      </c>
    </row>
    <row r="3568" spans="1:5" x14ac:dyDescent="0.2">
      <c r="A3568" t="s">
        <v>9011</v>
      </c>
      <c r="B3568" t="s">
        <v>9012</v>
      </c>
      <c r="C3568" t="s">
        <v>507</v>
      </c>
      <c r="D3568" t="s">
        <v>507</v>
      </c>
      <c r="E3568" t="s">
        <v>8851</v>
      </c>
    </row>
    <row r="3569" spans="1:5" x14ac:dyDescent="0.2">
      <c r="A3569" t="s">
        <v>9013</v>
      </c>
      <c r="B3569" t="s">
        <v>9014</v>
      </c>
      <c r="C3569" t="s">
        <v>507</v>
      </c>
      <c r="D3569" t="s">
        <v>507</v>
      </c>
      <c r="E3569" t="s">
        <v>8848</v>
      </c>
    </row>
    <row r="3570" spans="1:5" x14ac:dyDescent="0.2">
      <c r="A3570" t="s">
        <v>9015</v>
      </c>
      <c r="B3570" t="s">
        <v>9016</v>
      </c>
      <c r="C3570" t="s">
        <v>507</v>
      </c>
      <c r="D3570" t="s">
        <v>507</v>
      </c>
      <c r="E3570" t="s">
        <v>8851</v>
      </c>
    </row>
    <row r="3571" spans="1:5" x14ac:dyDescent="0.2">
      <c r="A3571" t="s">
        <v>9017</v>
      </c>
      <c r="B3571" t="s">
        <v>9018</v>
      </c>
      <c r="C3571" t="s">
        <v>507</v>
      </c>
      <c r="D3571" t="s">
        <v>507</v>
      </c>
      <c r="E3571" t="s">
        <v>8848</v>
      </c>
    </row>
    <row r="3572" spans="1:5" x14ac:dyDescent="0.2">
      <c r="A3572" t="s">
        <v>9019</v>
      </c>
      <c r="B3572" t="s">
        <v>9020</v>
      </c>
      <c r="C3572" t="s">
        <v>507</v>
      </c>
      <c r="D3572" t="s">
        <v>507</v>
      </c>
      <c r="E3572" t="s">
        <v>8833</v>
      </c>
    </row>
    <row r="3573" spans="1:5" x14ac:dyDescent="0.2">
      <c r="A3573" t="s">
        <v>9021</v>
      </c>
      <c r="B3573" t="s">
        <v>9022</v>
      </c>
      <c r="C3573" t="s">
        <v>507</v>
      </c>
      <c r="D3573" t="s">
        <v>507</v>
      </c>
      <c r="E3573" t="s">
        <v>8851</v>
      </c>
    </row>
    <row r="3574" spans="1:5" x14ac:dyDescent="0.2">
      <c r="A3574" t="s">
        <v>9023</v>
      </c>
      <c r="B3574" t="s">
        <v>9024</v>
      </c>
      <c r="C3574" t="s">
        <v>507</v>
      </c>
      <c r="D3574" t="s">
        <v>507</v>
      </c>
      <c r="E3574" t="s">
        <v>8848</v>
      </c>
    </row>
    <row r="3575" spans="1:5" x14ac:dyDescent="0.2">
      <c r="A3575" t="s">
        <v>9025</v>
      </c>
      <c r="B3575" t="s">
        <v>9026</v>
      </c>
      <c r="C3575" t="s">
        <v>507</v>
      </c>
      <c r="D3575" t="s">
        <v>507</v>
      </c>
      <c r="E3575" t="s">
        <v>8833</v>
      </c>
    </row>
    <row r="3576" spans="1:5" x14ac:dyDescent="0.2">
      <c r="A3576" t="s">
        <v>9027</v>
      </c>
      <c r="B3576" t="s">
        <v>9028</v>
      </c>
      <c r="C3576" t="s">
        <v>507</v>
      </c>
      <c r="D3576" t="s">
        <v>507</v>
      </c>
      <c r="E3576" t="s">
        <v>8848</v>
      </c>
    </row>
    <row r="3577" spans="1:5" x14ac:dyDescent="0.2">
      <c r="A3577" t="s">
        <v>9029</v>
      </c>
      <c r="B3577" t="s">
        <v>9030</v>
      </c>
      <c r="C3577" t="s">
        <v>507</v>
      </c>
      <c r="D3577" t="s">
        <v>507</v>
      </c>
      <c r="E3577" t="s">
        <v>9031</v>
      </c>
    </row>
    <row r="3578" spans="1:5" x14ac:dyDescent="0.2">
      <c r="A3578" t="s">
        <v>9032</v>
      </c>
      <c r="B3578" t="s">
        <v>9033</v>
      </c>
      <c r="C3578" t="s">
        <v>507</v>
      </c>
      <c r="D3578" t="s">
        <v>507</v>
      </c>
      <c r="E3578" t="s">
        <v>8865</v>
      </c>
    </row>
    <row r="3579" spans="1:5" x14ac:dyDescent="0.2">
      <c r="A3579" t="s">
        <v>9034</v>
      </c>
      <c r="B3579" t="s">
        <v>9035</v>
      </c>
      <c r="C3579" t="s">
        <v>507</v>
      </c>
      <c r="D3579" t="s">
        <v>507</v>
      </c>
      <c r="E3579" t="s">
        <v>8833</v>
      </c>
    </row>
    <row r="3580" spans="1:5" x14ac:dyDescent="0.2">
      <c r="A3580" t="s">
        <v>9036</v>
      </c>
      <c r="B3580" t="s">
        <v>9037</v>
      </c>
      <c r="C3580" t="s">
        <v>507</v>
      </c>
      <c r="D3580" t="s">
        <v>507</v>
      </c>
      <c r="E3580" t="s">
        <v>8940</v>
      </c>
    </row>
    <row r="3581" spans="1:5" x14ac:dyDescent="0.2">
      <c r="A3581" t="s">
        <v>9038</v>
      </c>
      <c r="B3581" t="s">
        <v>9039</v>
      </c>
      <c r="C3581" t="s">
        <v>507</v>
      </c>
      <c r="D3581" t="s">
        <v>507</v>
      </c>
      <c r="E3581" t="s">
        <v>8862</v>
      </c>
    </row>
    <row r="3582" spans="1:5" x14ac:dyDescent="0.2">
      <c r="A3582" t="s">
        <v>9040</v>
      </c>
      <c r="B3582" t="s">
        <v>9041</v>
      </c>
      <c r="C3582" t="s">
        <v>507</v>
      </c>
      <c r="D3582" t="s">
        <v>507</v>
      </c>
      <c r="E3582" t="s">
        <v>9042</v>
      </c>
    </row>
    <row r="3583" spans="1:5" x14ac:dyDescent="0.2">
      <c r="A3583" t="s">
        <v>9043</v>
      </c>
      <c r="B3583" t="s">
        <v>9044</v>
      </c>
      <c r="C3583" t="s">
        <v>507</v>
      </c>
      <c r="D3583" t="s">
        <v>507</v>
      </c>
      <c r="E3583" t="s">
        <v>8862</v>
      </c>
    </row>
    <row r="3584" spans="1:5" x14ac:dyDescent="0.2">
      <c r="A3584" t="s">
        <v>9045</v>
      </c>
      <c r="B3584" t="s">
        <v>9046</v>
      </c>
      <c r="C3584" t="s">
        <v>507</v>
      </c>
      <c r="D3584" t="s">
        <v>507</v>
      </c>
      <c r="E3584" t="s">
        <v>8862</v>
      </c>
    </row>
    <row r="3585" spans="1:5" x14ac:dyDescent="0.2">
      <c r="A3585" t="s">
        <v>9047</v>
      </c>
      <c r="B3585" t="s">
        <v>9048</v>
      </c>
      <c r="C3585" t="s">
        <v>507</v>
      </c>
      <c r="D3585" t="s">
        <v>507</v>
      </c>
      <c r="E3585" t="s">
        <v>8833</v>
      </c>
    </row>
    <row r="3586" spans="1:5" x14ac:dyDescent="0.2">
      <c r="A3586" t="s">
        <v>9049</v>
      </c>
      <c r="B3586" t="s">
        <v>9050</v>
      </c>
      <c r="C3586" t="s">
        <v>507</v>
      </c>
      <c r="D3586" t="s">
        <v>507</v>
      </c>
      <c r="E3586" t="s">
        <v>8865</v>
      </c>
    </row>
    <row r="3587" spans="1:5" x14ac:dyDescent="0.2">
      <c r="A3587" t="s">
        <v>9051</v>
      </c>
      <c r="B3587" t="s">
        <v>9052</v>
      </c>
      <c r="C3587" t="s">
        <v>507</v>
      </c>
      <c r="D3587" t="s">
        <v>507</v>
      </c>
      <c r="E3587" t="s">
        <v>8851</v>
      </c>
    </row>
    <row r="3588" spans="1:5" x14ac:dyDescent="0.2">
      <c r="A3588" t="s">
        <v>9053</v>
      </c>
      <c r="B3588" t="s">
        <v>9054</v>
      </c>
      <c r="C3588" t="s">
        <v>507</v>
      </c>
      <c r="D3588" t="s">
        <v>507</v>
      </c>
      <c r="E3588" t="s">
        <v>8851</v>
      </c>
    </row>
    <row r="3589" spans="1:5" x14ac:dyDescent="0.2">
      <c r="A3589" t="s">
        <v>9055</v>
      </c>
      <c r="B3589" t="s">
        <v>9056</v>
      </c>
      <c r="C3589" t="s">
        <v>507</v>
      </c>
      <c r="D3589" t="s">
        <v>507</v>
      </c>
      <c r="E3589" t="s">
        <v>9057</v>
      </c>
    </row>
    <row r="3590" spans="1:5" x14ac:dyDescent="0.2">
      <c r="A3590" t="s">
        <v>9058</v>
      </c>
      <c r="B3590" t="s">
        <v>9059</v>
      </c>
      <c r="C3590" t="s">
        <v>507</v>
      </c>
      <c r="D3590" t="s">
        <v>507</v>
      </c>
      <c r="E3590" t="s">
        <v>9060</v>
      </c>
    </row>
    <row r="3591" spans="1:5" x14ac:dyDescent="0.2">
      <c r="A3591" t="s">
        <v>9061</v>
      </c>
      <c r="B3591" t="s">
        <v>9062</v>
      </c>
      <c r="C3591" t="s">
        <v>507</v>
      </c>
      <c r="D3591" t="s">
        <v>507</v>
      </c>
      <c r="E3591" t="s">
        <v>8888</v>
      </c>
    </row>
    <row r="3592" spans="1:5" x14ac:dyDescent="0.2">
      <c r="A3592" t="s">
        <v>9063</v>
      </c>
      <c r="B3592" t="s">
        <v>9064</v>
      </c>
      <c r="C3592" t="s">
        <v>507</v>
      </c>
      <c r="D3592" t="s">
        <v>507</v>
      </c>
      <c r="E3592" t="s">
        <v>8848</v>
      </c>
    </row>
    <row r="3593" spans="1:5" x14ac:dyDescent="0.2">
      <c r="A3593" t="s">
        <v>9065</v>
      </c>
      <c r="B3593" t="s">
        <v>9066</v>
      </c>
      <c r="C3593" t="s">
        <v>507</v>
      </c>
      <c r="D3593" t="s">
        <v>507</v>
      </c>
      <c r="E3593" t="s">
        <v>9067</v>
      </c>
    </row>
    <row r="3594" spans="1:5" x14ac:dyDescent="0.2">
      <c r="A3594" t="s">
        <v>9068</v>
      </c>
      <c r="B3594" t="s">
        <v>9069</v>
      </c>
      <c r="C3594" t="s">
        <v>507</v>
      </c>
      <c r="D3594" t="s">
        <v>507</v>
      </c>
      <c r="E3594" t="s">
        <v>8851</v>
      </c>
    </row>
    <row r="3595" spans="1:5" x14ac:dyDescent="0.2">
      <c r="A3595" t="s">
        <v>9070</v>
      </c>
      <c r="B3595" t="s">
        <v>9071</v>
      </c>
      <c r="C3595" t="s">
        <v>507</v>
      </c>
      <c r="D3595" t="s">
        <v>507</v>
      </c>
      <c r="E3595" t="s">
        <v>8851</v>
      </c>
    </row>
    <row r="3596" spans="1:5" x14ac:dyDescent="0.2">
      <c r="A3596" t="s">
        <v>9072</v>
      </c>
      <c r="B3596" t="s">
        <v>9073</v>
      </c>
      <c r="C3596" t="s">
        <v>507</v>
      </c>
      <c r="D3596" t="s">
        <v>507</v>
      </c>
      <c r="E3596" t="s">
        <v>8865</v>
      </c>
    </row>
    <row r="3597" spans="1:5" x14ac:dyDescent="0.2">
      <c r="A3597" t="s">
        <v>9074</v>
      </c>
      <c r="B3597" t="s">
        <v>9075</v>
      </c>
      <c r="C3597" t="s">
        <v>507</v>
      </c>
      <c r="D3597" t="s">
        <v>507</v>
      </c>
      <c r="E3597" t="s">
        <v>8833</v>
      </c>
    </row>
    <row r="3598" spans="1:5" x14ac:dyDescent="0.2">
      <c r="A3598" t="s">
        <v>9076</v>
      </c>
      <c r="B3598" t="s">
        <v>9077</v>
      </c>
      <c r="C3598" t="s">
        <v>507</v>
      </c>
      <c r="D3598" t="s">
        <v>507</v>
      </c>
      <c r="E3598" t="s">
        <v>8848</v>
      </c>
    </row>
    <row r="3599" spans="1:5" x14ac:dyDescent="0.2">
      <c r="A3599" t="s">
        <v>9078</v>
      </c>
      <c r="B3599" t="s">
        <v>9079</v>
      </c>
      <c r="C3599" t="s">
        <v>507</v>
      </c>
      <c r="D3599" t="s">
        <v>507</v>
      </c>
      <c r="E3599" t="s">
        <v>9080</v>
      </c>
    </row>
    <row r="3600" spans="1:5" x14ac:dyDescent="0.2">
      <c r="A3600" t="s">
        <v>9081</v>
      </c>
      <c r="B3600" t="s">
        <v>9082</v>
      </c>
      <c r="C3600" t="s">
        <v>507</v>
      </c>
      <c r="D3600" t="s">
        <v>507</v>
      </c>
      <c r="E3600" t="s">
        <v>8833</v>
      </c>
    </row>
    <row r="3601" spans="1:5" x14ac:dyDescent="0.2">
      <c r="A3601" t="s">
        <v>9083</v>
      </c>
      <c r="B3601" t="s">
        <v>9084</v>
      </c>
      <c r="C3601" t="s">
        <v>507</v>
      </c>
      <c r="D3601" t="s">
        <v>507</v>
      </c>
      <c r="E3601" t="s">
        <v>8848</v>
      </c>
    </row>
    <row r="3602" spans="1:5" x14ac:dyDescent="0.2">
      <c r="A3602" t="s">
        <v>9085</v>
      </c>
      <c r="B3602" t="s">
        <v>9086</v>
      </c>
      <c r="C3602" t="s">
        <v>507</v>
      </c>
      <c r="D3602" t="s">
        <v>507</v>
      </c>
      <c r="E3602" t="s">
        <v>8833</v>
      </c>
    </row>
    <row r="3603" spans="1:5" x14ac:dyDescent="0.2">
      <c r="A3603" t="s">
        <v>9087</v>
      </c>
      <c r="B3603" t="s">
        <v>9088</v>
      </c>
      <c r="C3603" t="s">
        <v>507</v>
      </c>
      <c r="D3603" t="s">
        <v>507</v>
      </c>
      <c r="E3603" t="s">
        <v>8848</v>
      </c>
    </row>
    <row r="3604" spans="1:5" x14ac:dyDescent="0.2">
      <c r="A3604" t="s">
        <v>9089</v>
      </c>
      <c r="B3604" t="s">
        <v>9090</v>
      </c>
      <c r="C3604" t="s">
        <v>507</v>
      </c>
      <c r="D3604" t="s">
        <v>507</v>
      </c>
      <c r="E3604" t="s">
        <v>8865</v>
      </c>
    </row>
    <row r="3605" spans="1:5" x14ac:dyDescent="0.2">
      <c r="A3605" t="s">
        <v>9091</v>
      </c>
      <c r="B3605" t="s">
        <v>9092</v>
      </c>
      <c r="C3605" t="s">
        <v>507</v>
      </c>
      <c r="D3605" t="s">
        <v>507</v>
      </c>
      <c r="E3605" t="s">
        <v>9093</v>
      </c>
    </row>
    <row r="3606" spans="1:5" x14ac:dyDescent="0.2">
      <c r="A3606" t="s">
        <v>9094</v>
      </c>
      <c r="B3606" t="s">
        <v>9095</v>
      </c>
      <c r="C3606" t="s">
        <v>507</v>
      </c>
      <c r="D3606" t="s">
        <v>507</v>
      </c>
      <c r="E3606" t="s">
        <v>9096</v>
      </c>
    </row>
    <row r="3607" spans="1:5" x14ac:dyDescent="0.2">
      <c r="A3607" t="s">
        <v>9097</v>
      </c>
      <c r="B3607" t="s">
        <v>9098</v>
      </c>
      <c r="C3607" t="s">
        <v>507</v>
      </c>
      <c r="D3607" t="s">
        <v>507</v>
      </c>
      <c r="E3607" t="s">
        <v>8862</v>
      </c>
    </row>
    <row r="3608" spans="1:5" x14ac:dyDescent="0.2">
      <c r="A3608" t="s">
        <v>9099</v>
      </c>
      <c r="B3608" t="s">
        <v>9100</v>
      </c>
      <c r="C3608" t="s">
        <v>507</v>
      </c>
      <c r="D3608" t="s">
        <v>507</v>
      </c>
      <c r="E3608" t="s">
        <v>8851</v>
      </c>
    </row>
    <row r="3609" spans="1:5" x14ac:dyDescent="0.2">
      <c r="A3609" t="s">
        <v>9101</v>
      </c>
      <c r="B3609" t="s">
        <v>9102</v>
      </c>
      <c r="C3609" t="s">
        <v>507</v>
      </c>
      <c r="D3609" t="s">
        <v>507</v>
      </c>
      <c r="E3609" t="s">
        <v>9103</v>
      </c>
    </row>
    <row r="3610" spans="1:5" x14ac:dyDescent="0.2">
      <c r="A3610" t="s">
        <v>9104</v>
      </c>
      <c r="B3610" t="s">
        <v>9105</v>
      </c>
      <c r="C3610" t="s">
        <v>507</v>
      </c>
      <c r="D3610" t="s">
        <v>507</v>
      </c>
      <c r="E3610" t="s">
        <v>8848</v>
      </c>
    </row>
    <row r="3611" spans="1:5" x14ac:dyDescent="0.2">
      <c r="A3611" t="s">
        <v>9106</v>
      </c>
      <c r="B3611" t="s">
        <v>9107</v>
      </c>
      <c r="C3611" t="s">
        <v>507</v>
      </c>
      <c r="D3611" t="s">
        <v>507</v>
      </c>
      <c r="E3611" t="s">
        <v>8851</v>
      </c>
    </row>
    <row r="3612" spans="1:5" x14ac:dyDescent="0.2">
      <c r="A3612" t="s">
        <v>9108</v>
      </c>
      <c r="B3612" t="s">
        <v>9109</v>
      </c>
      <c r="C3612" t="s">
        <v>507</v>
      </c>
      <c r="D3612" t="s">
        <v>507</v>
      </c>
      <c r="E3612" t="s">
        <v>8862</v>
      </c>
    </row>
    <row r="3613" spans="1:5" x14ac:dyDescent="0.2">
      <c r="A3613" t="s">
        <v>9110</v>
      </c>
      <c r="B3613" t="s">
        <v>9111</v>
      </c>
      <c r="C3613" t="s">
        <v>507</v>
      </c>
      <c r="D3613" t="s">
        <v>507</v>
      </c>
      <c r="E3613" t="s">
        <v>8862</v>
      </c>
    </row>
    <row r="3614" spans="1:5" x14ac:dyDescent="0.2">
      <c r="A3614" t="s">
        <v>9112</v>
      </c>
      <c r="B3614" t="s">
        <v>9113</v>
      </c>
      <c r="C3614" t="s">
        <v>507</v>
      </c>
      <c r="D3614" t="s">
        <v>507</v>
      </c>
      <c r="E3614" t="s">
        <v>9114</v>
      </c>
    </row>
    <row r="3615" spans="1:5" x14ac:dyDescent="0.2">
      <c r="A3615" t="s">
        <v>9115</v>
      </c>
      <c r="B3615" t="s">
        <v>9116</v>
      </c>
      <c r="C3615" t="s">
        <v>507</v>
      </c>
      <c r="D3615" t="s">
        <v>507</v>
      </c>
      <c r="E3615" t="s">
        <v>8851</v>
      </c>
    </row>
    <row r="3616" spans="1:5" x14ac:dyDescent="0.2">
      <c r="A3616" t="s">
        <v>506</v>
      </c>
      <c r="B3616" t="s">
        <v>9117</v>
      </c>
      <c r="C3616" t="s">
        <v>507</v>
      </c>
      <c r="D3616" t="s">
        <v>507</v>
      </c>
      <c r="E3616" t="s">
        <v>9118</v>
      </c>
    </row>
    <row r="3617" spans="1:5" x14ac:dyDescent="0.2">
      <c r="A3617" t="s">
        <v>9119</v>
      </c>
      <c r="B3617" t="s">
        <v>9120</v>
      </c>
      <c r="C3617" t="s">
        <v>507</v>
      </c>
      <c r="D3617" t="s">
        <v>507</v>
      </c>
      <c r="E3617" t="s">
        <v>8865</v>
      </c>
    </row>
    <row r="3618" spans="1:5" x14ac:dyDescent="0.2">
      <c r="A3618" t="s">
        <v>9121</v>
      </c>
      <c r="B3618" t="s">
        <v>9122</v>
      </c>
      <c r="C3618" t="s">
        <v>507</v>
      </c>
      <c r="D3618" t="s">
        <v>507</v>
      </c>
      <c r="E3618" t="s">
        <v>8862</v>
      </c>
    </row>
    <row r="3619" spans="1:5" x14ac:dyDescent="0.2">
      <c r="A3619" t="s">
        <v>9123</v>
      </c>
      <c r="B3619" t="s">
        <v>9124</v>
      </c>
      <c r="C3619" t="s">
        <v>507</v>
      </c>
      <c r="D3619" t="s">
        <v>507</v>
      </c>
      <c r="E3619" t="s">
        <v>8833</v>
      </c>
    </row>
    <row r="3620" spans="1:5" x14ac:dyDescent="0.2">
      <c r="A3620" t="s">
        <v>9125</v>
      </c>
      <c r="B3620" t="s">
        <v>9126</v>
      </c>
      <c r="C3620" t="s">
        <v>507</v>
      </c>
      <c r="D3620" t="s">
        <v>507</v>
      </c>
      <c r="E3620" t="s">
        <v>8940</v>
      </c>
    </row>
    <row r="3621" spans="1:5" x14ac:dyDescent="0.2">
      <c r="A3621" t="s">
        <v>9127</v>
      </c>
      <c r="B3621" t="s">
        <v>9128</v>
      </c>
      <c r="C3621" t="s">
        <v>507</v>
      </c>
      <c r="D3621" t="s">
        <v>507</v>
      </c>
      <c r="E3621" t="s">
        <v>8848</v>
      </c>
    </row>
    <row r="3622" spans="1:5" x14ac:dyDescent="0.2">
      <c r="A3622" t="s">
        <v>9129</v>
      </c>
      <c r="B3622" t="s">
        <v>9130</v>
      </c>
      <c r="C3622" t="s">
        <v>507</v>
      </c>
      <c r="D3622" t="s">
        <v>507</v>
      </c>
      <c r="E3622" t="s">
        <v>8833</v>
      </c>
    </row>
    <row r="3623" spans="1:5" x14ac:dyDescent="0.2">
      <c r="A3623" t="s">
        <v>9131</v>
      </c>
      <c r="B3623" t="s">
        <v>9132</v>
      </c>
      <c r="C3623" t="s">
        <v>507</v>
      </c>
      <c r="D3623" t="s">
        <v>507</v>
      </c>
      <c r="E3623" t="s">
        <v>8865</v>
      </c>
    </row>
    <row r="3624" spans="1:5" x14ac:dyDescent="0.2">
      <c r="A3624" t="s">
        <v>9133</v>
      </c>
      <c r="B3624" t="s">
        <v>9134</v>
      </c>
      <c r="C3624" t="s">
        <v>507</v>
      </c>
      <c r="D3624" t="s">
        <v>507</v>
      </c>
      <c r="E3624" t="s">
        <v>8848</v>
      </c>
    </row>
    <row r="3625" spans="1:5" x14ac:dyDescent="0.2">
      <c r="A3625" t="s">
        <v>9135</v>
      </c>
      <c r="B3625" t="s">
        <v>9136</v>
      </c>
      <c r="C3625" t="s">
        <v>507</v>
      </c>
      <c r="D3625" t="e">
        <v>#N/A</v>
      </c>
      <c r="E3625" t="e">
        <v>#N/A</v>
      </c>
    </row>
    <row r="3626" spans="1:5" x14ac:dyDescent="0.2">
      <c r="A3626" t="s">
        <v>9137</v>
      </c>
      <c r="B3626" t="s">
        <v>9138</v>
      </c>
      <c r="C3626" t="s">
        <v>507</v>
      </c>
      <c r="D3626" t="s">
        <v>7963</v>
      </c>
      <c r="E3626" t="s">
        <v>9139</v>
      </c>
    </row>
    <row r="3627" spans="1:5" x14ac:dyDescent="0.2">
      <c r="A3627" t="s">
        <v>9140</v>
      </c>
      <c r="B3627" t="s">
        <v>9141</v>
      </c>
      <c r="C3627" t="s">
        <v>507</v>
      </c>
      <c r="D3627" t="e">
        <v>#N/A</v>
      </c>
      <c r="E3627" t="e">
        <v>#N/A</v>
      </c>
    </row>
    <row r="3628" spans="1:5" x14ac:dyDescent="0.2">
      <c r="A3628" t="s">
        <v>9142</v>
      </c>
      <c r="B3628" t="s">
        <v>9143</v>
      </c>
      <c r="C3628" t="s">
        <v>507</v>
      </c>
      <c r="D3628" t="e">
        <v>#N/A</v>
      </c>
      <c r="E3628" t="e">
        <v>#N/A</v>
      </c>
    </row>
    <row r="3629" spans="1:5" x14ac:dyDescent="0.2">
      <c r="A3629" t="s">
        <v>9144</v>
      </c>
      <c r="B3629" t="s">
        <v>9145</v>
      </c>
      <c r="C3629" t="s">
        <v>9146</v>
      </c>
      <c r="D3629" t="s">
        <v>9146</v>
      </c>
      <c r="E3629" t="s">
        <v>9147</v>
      </c>
    </row>
    <row r="3630" spans="1:5" x14ac:dyDescent="0.2">
      <c r="A3630" t="s">
        <v>9148</v>
      </c>
      <c r="B3630" t="s">
        <v>9149</v>
      </c>
      <c r="C3630" t="s">
        <v>9146</v>
      </c>
      <c r="D3630" t="s">
        <v>9146</v>
      </c>
      <c r="E3630" t="s">
        <v>9150</v>
      </c>
    </row>
    <row r="3631" spans="1:5" x14ac:dyDescent="0.2">
      <c r="A3631" t="s">
        <v>9151</v>
      </c>
      <c r="B3631" t="s">
        <v>9152</v>
      </c>
      <c r="C3631" t="s">
        <v>9146</v>
      </c>
      <c r="D3631" t="s">
        <v>9146</v>
      </c>
      <c r="E3631" t="s">
        <v>9147</v>
      </c>
    </row>
    <row r="3632" spans="1:5" x14ac:dyDescent="0.2">
      <c r="A3632" t="s">
        <v>9153</v>
      </c>
      <c r="B3632" t="s">
        <v>9154</v>
      </c>
      <c r="C3632" t="s">
        <v>9146</v>
      </c>
      <c r="D3632" t="s">
        <v>9146</v>
      </c>
      <c r="E3632" t="s">
        <v>9147</v>
      </c>
    </row>
    <row r="3633" spans="1:5" x14ac:dyDescent="0.2">
      <c r="A3633" t="s">
        <v>9155</v>
      </c>
      <c r="B3633" t="s">
        <v>9156</v>
      </c>
      <c r="C3633" t="s">
        <v>9146</v>
      </c>
      <c r="D3633" t="s">
        <v>9146</v>
      </c>
      <c r="E3633" t="s">
        <v>9157</v>
      </c>
    </row>
    <row r="3634" spans="1:5" x14ac:dyDescent="0.2">
      <c r="A3634" t="s">
        <v>9158</v>
      </c>
      <c r="B3634" t="s">
        <v>9159</v>
      </c>
      <c r="C3634" t="s">
        <v>9146</v>
      </c>
      <c r="D3634" t="s">
        <v>9146</v>
      </c>
      <c r="E3634" t="s">
        <v>9147</v>
      </c>
    </row>
    <row r="3635" spans="1:5" x14ac:dyDescent="0.2">
      <c r="A3635" t="s">
        <v>9160</v>
      </c>
      <c r="B3635" t="s">
        <v>9161</v>
      </c>
      <c r="C3635" t="s">
        <v>9146</v>
      </c>
      <c r="D3635" t="s">
        <v>9146</v>
      </c>
      <c r="E3635" t="s">
        <v>9162</v>
      </c>
    </row>
    <row r="3636" spans="1:5" x14ac:dyDescent="0.2">
      <c r="A3636" t="s">
        <v>9163</v>
      </c>
      <c r="B3636" t="s">
        <v>9164</v>
      </c>
      <c r="C3636" t="s">
        <v>9146</v>
      </c>
      <c r="D3636" t="s">
        <v>9146</v>
      </c>
      <c r="E3636" t="s">
        <v>9157</v>
      </c>
    </row>
    <row r="3637" spans="1:5" x14ac:dyDescent="0.2">
      <c r="A3637" t="s">
        <v>9165</v>
      </c>
      <c r="B3637" t="s">
        <v>9166</v>
      </c>
      <c r="C3637" t="s">
        <v>9146</v>
      </c>
      <c r="D3637" t="s">
        <v>9146</v>
      </c>
      <c r="E3637" t="s">
        <v>9167</v>
      </c>
    </row>
    <row r="3638" spans="1:5" x14ac:dyDescent="0.2">
      <c r="A3638" t="s">
        <v>9168</v>
      </c>
      <c r="B3638" t="s">
        <v>9169</v>
      </c>
      <c r="C3638" t="s">
        <v>9146</v>
      </c>
      <c r="D3638" t="s">
        <v>9146</v>
      </c>
      <c r="E3638" t="s">
        <v>9147</v>
      </c>
    </row>
    <row r="3639" spans="1:5" x14ac:dyDescent="0.2">
      <c r="A3639" t="s">
        <v>9170</v>
      </c>
      <c r="B3639" t="s">
        <v>9171</v>
      </c>
      <c r="C3639" t="s">
        <v>9146</v>
      </c>
      <c r="D3639" t="s">
        <v>9146</v>
      </c>
      <c r="E3639" t="s">
        <v>9172</v>
      </c>
    </row>
    <row r="3640" spans="1:5" x14ac:dyDescent="0.2">
      <c r="A3640" t="s">
        <v>9173</v>
      </c>
      <c r="B3640" t="s">
        <v>9174</v>
      </c>
      <c r="C3640" t="s">
        <v>9146</v>
      </c>
      <c r="D3640" t="s">
        <v>9146</v>
      </c>
      <c r="E3640" t="s">
        <v>9175</v>
      </c>
    </row>
    <row r="3641" spans="1:5" x14ac:dyDescent="0.2">
      <c r="A3641" t="s">
        <v>9176</v>
      </c>
      <c r="B3641" t="s">
        <v>9177</v>
      </c>
      <c r="C3641" t="s">
        <v>9146</v>
      </c>
      <c r="D3641" t="s">
        <v>9146</v>
      </c>
      <c r="E3641" t="s">
        <v>9147</v>
      </c>
    </row>
    <row r="3642" spans="1:5" x14ac:dyDescent="0.2">
      <c r="A3642" t="s">
        <v>9178</v>
      </c>
      <c r="B3642" t="s">
        <v>9179</v>
      </c>
      <c r="C3642" t="s">
        <v>9146</v>
      </c>
      <c r="D3642" t="s">
        <v>9146</v>
      </c>
      <c r="E3642" t="s">
        <v>9147</v>
      </c>
    </row>
    <row r="3643" spans="1:5" x14ac:dyDescent="0.2">
      <c r="A3643" t="s">
        <v>9180</v>
      </c>
      <c r="B3643" t="s">
        <v>9181</v>
      </c>
      <c r="C3643" t="s">
        <v>9146</v>
      </c>
      <c r="D3643" t="s">
        <v>9146</v>
      </c>
      <c r="E3643" t="s">
        <v>9172</v>
      </c>
    </row>
    <row r="3644" spans="1:5" x14ac:dyDescent="0.2">
      <c r="A3644" t="s">
        <v>9182</v>
      </c>
      <c r="B3644" t="s">
        <v>9183</v>
      </c>
      <c r="C3644" t="s">
        <v>9146</v>
      </c>
      <c r="D3644" t="s">
        <v>9146</v>
      </c>
      <c r="E3644" t="s">
        <v>9184</v>
      </c>
    </row>
    <row r="3645" spans="1:5" x14ac:dyDescent="0.2">
      <c r="A3645" t="s">
        <v>9185</v>
      </c>
      <c r="B3645" t="s">
        <v>9186</v>
      </c>
      <c r="C3645" t="s">
        <v>9146</v>
      </c>
      <c r="D3645" t="s">
        <v>9146</v>
      </c>
      <c r="E3645" t="s">
        <v>9187</v>
      </c>
    </row>
    <row r="3646" spans="1:5" x14ac:dyDescent="0.2">
      <c r="A3646" t="s">
        <v>9188</v>
      </c>
      <c r="B3646" t="s">
        <v>9189</v>
      </c>
      <c r="C3646" t="s">
        <v>9146</v>
      </c>
      <c r="D3646" t="s">
        <v>9146</v>
      </c>
      <c r="E3646" t="s">
        <v>9190</v>
      </c>
    </row>
    <row r="3647" spans="1:5" x14ac:dyDescent="0.2">
      <c r="A3647" t="s">
        <v>9191</v>
      </c>
      <c r="B3647" t="s">
        <v>9192</v>
      </c>
      <c r="C3647" t="s">
        <v>9146</v>
      </c>
      <c r="D3647" t="s">
        <v>9146</v>
      </c>
      <c r="E3647" t="s">
        <v>9147</v>
      </c>
    </row>
    <row r="3648" spans="1:5" x14ac:dyDescent="0.2">
      <c r="A3648" t="s">
        <v>9193</v>
      </c>
      <c r="B3648" t="s">
        <v>9194</v>
      </c>
      <c r="C3648" t="s">
        <v>9146</v>
      </c>
      <c r="D3648" t="s">
        <v>9146</v>
      </c>
      <c r="E3648" t="s">
        <v>9147</v>
      </c>
    </row>
    <row r="3649" spans="1:5" x14ac:dyDescent="0.2">
      <c r="A3649" t="s">
        <v>9195</v>
      </c>
      <c r="B3649" t="s">
        <v>9196</v>
      </c>
      <c r="C3649" t="s">
        <v>9146</v>
      </c>
      <c r="D3649" t="s">
        <v>9146</v>
      </c>
      <c r="E3649" t="s">
        <v>9147</v>
      </c>
    </row>
    <row r="3650" spans="1:5" x14ac:dyDescent="0.2">
      <c r="A3650" t="s">
        <v>9197</v>
      </c>
      <c r="B3650" t="s">
        <v>9198</v>
      </c>
      <c r="C3650" t="s">
        <v>9146</v>
      </c>
      <c r="D3650" t="s">
        <v>9146</v>
      </c>
      <c r="E3650" t="s">
        <v>9147</v>
      </c>
    </row>
    <row r="3651" spans="1:5" x14ac:dyDescent="0.2">
      <c r="A3651" t="s">
        <v>9199</v>
      </c>
      <c r="B3651" t="s">
        <v>9200</v>
      </c>
      <c r="C3651" t="s">
        <v>9146</v>
      </c>
      <c r="D3651" t="s">
        <v>9146</v>
      </c>
      <c r="E3651" t="s">
        <v>9201</v>
      </c>
    </row>
    <row r="3652" spans="1:5" x14ac:dyDescent="0.2">
      <c r="A3652" t="s">
        <v>9202</v>
      </c>
      <c r="B3652" t="s">
        <v>9203</v>
      </c>
      <c r="C3652" t="s">
        <v>9146</v>
      </c>
      <c r="D3652" t="s">
        <v>9146</v>
      </c>
      <c r="E3652" t="s">
        <v>9147</v>
      </c>
    </row>
    <row r="3653" spans="1:5" x14ac:dyDescent="0.2">
      <c r="A3653" t="s">
        <v>9204</v>
      </c>
      <c r="B3653" t="s">
        <v>9205</v>
      </c>
      <c r="C3653" t="s">
        <v>9146</v>
      </c>
      <c r="D3653" t="s">
        <v>9146</v>
      </c>
      <c r="E3653" t="s">
        <v>9147</v>
      </c>
    </row>
    <row r="3654" spans="1:5" x14ac:dyDescent="0.2">
      <c r="A3654" t="s">
        <v>9206</v>
      </c>
      <c r="B3654" t="s">
        <v>9207</v>
      </c>
      <c r="C3654" t="s">
        <v>9208</v>
      </c>
      <c r="D3654" t="s">
        <v>9208</v>
      </c>
      <c r="E3654" t="s">
        <v>9209</v>
      </c>
    </row>
    <row r="3655" spans="1:5" x14ac:dyDescent="0.2">
      <c r="A3655" t="s">
        <v>9210</v>
      </c>
      <c r="B3655" t="s">
        <v>9211</v>
      </c>
      <c r="C3655" t="s">
        <v>9208</v>
      </c>
      <c r="D3655" t="s">
        <v>9208</v>
      </c>
      <c r="E3655" t="s">
        <v>9212</v>
      </c>
    </row>
    <row r="3656" spans="1:5" x14ac:dyDescent="0.2">
      <c r="A3656" t="s">
        <v>9213</v>
      </c>
      <c r="B3656" t="s">
        <v>9214</v>
      </c>
      <c r="C3656" t="s">
        <v>9208</v>
      </c>
      <c r="D3656" t="s">
        <v>9208</v>
      </c>
      <c r="E3656" t="s">
        <v>9215</v>
      </c>
    </row>
    <row r="3657" spans="1:5" x14ac:dyDescent="0.2">
      <c r="A3657" t="s">
        <v>9216</v>
      </c>
      <c r="B3657" t="s">
        <v>9217</v>
      </c>
      <c r="C3657" t="s">
        <v>9208</v>
      </c>
      <c r="D3657" t="e">
        <v>#N/A</v>
      </c>
      <c r="E3657" t="e">
        <v>#N/A</v>
      </c>
    </row>
    <row r="3658" spans="1:5" x14ac:dyDescent="0.2">
      <c r="A3658" t="s">
        <v>9218</v>
      </c>
      <c r="B3658" t="s">
        <v>9219</v>
      </c>
      <c r="C3658" t="s">
        <v>9208</v>
      </c>
      <c r="D3658" t="s">
        <v>9208</v>
      </c>
      <c r="E3658" t="s">
        <v>9220</v>
      </c>
    </row>
    <row r="3659" spans="1:5" x14ac:dyDescent="0.2">
      <c r="A3659" t="s">
        <v>9221</v>
      </c>
      <c r="B3659" t="s">
        <v>9222</v>
      </c>
      <c r="C3659" t="s">
        <v>9208</v>
      </c>
      <c r="D3659" t="s">
        <v>9208</v>
      </c>
      <c r="E3659" t="s">
        <v>9223</v>
      </c>
    </row>
    <row r="3660" spans="1:5" x14ac:dyDescent="0.2">
      <c r="A3660" t="s">
        <v>9224</v>
      </c>
      <c r="B3660" t="s">
        <v>9225</v>
      </c>
      <c r="C3660" t="s">
        <v>9226</v>
      </c>
      <c r="D3660" t="s">
        <v>9226</v>
      </c>
      <c r="E3660" t="s">
        <v>9227</v>
      </c>
    </row>
    <row r="3661" spans="1:5" x14ac:dyDescent="0.2">
      <c r="A3661" t="s">
        <v>9228</v>
      </c>
      <c r="B3661" t="s">
        <v>9229</v>
      </c>
      <c r="C3661" t="s">
        <v>9226</v>
      </c>
      <c r="D3661" t="s">
        <v>9226</v>
      </c>
      <c r="E3661" t="s">
        <v>9227</v>
      </c>
    </row>
    <row r="3662" spans="1:5" x14ac:dyDescent="0.2">
      <c r="A3662" t="s">
        <v>9230</v>
      </c>
      <c r="B3662" t="s">
        <v>9231</v>
      </c>
      <c r="C3662" t="s">
        <v>9226</v>
      </c>
      <c r="D3662" t="s">
        <v>9226</v>
      </c>
      <c r="E3662" t="s">
        <v>9227</v>
      </c>
    </row>
    <row r="3663" spans="1:5" x14ac:dyDescent="0.2">
      <c r="A3663" t="s">
        <v>9232</v>
      </c>
      <c r="B3663" t="s">
        <v>9233</v>
      </c>
      <c r="C3663" t="s">
        <v>9226</v>
      </c>
      <c r="D3663" t="s">
        <v>9226</v>
      </c>
      <c r="E3663" t="s">
        <v>9234</v>
      </c>
    </row>
    <row r="3664" spans="1:5" x14ac:dyDescent="0.2">
      <c r="A3664" t="s">
        <v>9235</v>
      </c>
      <c r="B3664" t="s">
        <v>9236</v>
      </c>
      <c r="C3664" t="s">
        <v>9226</v>
      </c>
      <c r="D3664" t="s">
        <v>9226</v>
      </c>
      <c r="E3664" t="s">
        <v>9237</v>
      </c>
    </row>
    <row r="3665" spans="1:5" x14ac:dyDescent="0.2">
      <c r="A3665" t="s">
        <v>9238</v>
      </c>
      <c r="B3665" t="s">
        <v>9239</v>
      </c>
      <c r="C3665" t="s">
        <v>9226</v>
      </c>
      <c r="D3665" t="s">
        <v>9226</v>
      </c>
      <c r="E3665" t="s">
        <v>9240</v>
      </c>
    </row>
    <row r="3666" spans="1:5" x14ac:dyDescent="0.2">
      <c r="A3666" t="s">
        <v>9241</v>
      </c>
      <c r="B3666" t="s">
        <v>9242</v>
      </c>
      <c r="C3666" t="s">
        <v>9226</v>
      </c>
      <c r="D3666" t="s">
        <v>9226</v>
      </c>
      <c r="E3666" t="s">
        <v>9227</v>
      </c>
    </row>
    <row r="3667" spans="1:5" x14ac:dyDescent="0.2">
      <c r="A3667" t="s">
        <v>9243</v>
      </c>
      <c r="B3667" t="s">
        <v>9244</v>
      </c>
      <c r="C3667" t="s">
        <v>9226</v>
      </c>
      <c r="D3667" t="s">
        <v>9226</v>
      </c>
      <c r="E3667" t="s">
        <v>9227</v>
      </c>
    </row>
    <row r="3668" spans="1:5" x14ac:dyDescent="0.2">
      <c r="A3668" t="s">
        <v>9245</v>
      </c>
      <c r="B3668" t="s">
        <v>9246</v>
      </c>
      <c r="C3668" t="s">
        <v>9226</v>
      </c>
      <c r="D3668" t="s">
        <v>9226</v>
      </c>
      <c r="E3668" t="s">
        <v>9247</v>
      </c>
    </row>
    <row r="3669" spans="1:5" x14ac:dyDescent="0.2">
      <c r="A3669" t="s">
        <v>9248</v>
      </c>
      <c r="B3669" t="s">
        <v>9249</v>
      </c>
      <c r="C3669" t="s">
        <v>9226</v>
      </c>
      <c r="D3669" t="s">
        <v>9226</v>
      </c>
      <c r="E3669" t="s">
        <v>9250</v>
      </c>
    </row>
    <row r="3670" spans="1:5" x14ac:dyDescent="0.2">
      <c r="A3670" t="s">
        <v>9251</v>
      </c>
      <c r="B3670" t="s">
        <v>9252</v>
      </c>
      <c r="C3670" t="s">
        <v>9226</v>
      </c>
      <c r="D3670" t="s">
        <v>9226</v>
      </c>
      <c r="E3670" t="s">
        <v>9253</v>
      </c>
    </row>
    <row r="3671" spans="1:5" x14ac:dyDescent="0.2">
      <c r="A3671" t="s">
        <v>9254</v>
      </c>
      <c r="B3671" t="s">
        <v>9255</v>
      </c>
      <c r="C3671" t="s">
        <v>9226</v>
      </c>
      <c r="D3671" t="s">
        <v>9226</v>
      </c>
      <c r="E3671" t="s">
        <v>9256</v>
      </c>
    </row>
    <row r="3672" spans="1:5" x14ac:dyDescent="0.2">
      <c r="A3672" t="s">
        <v>9257</v>
      </c>
      <c r="B3672" t="s">
        <v>9258</v>
      </c>
      <c r="C3672" t="s">
        <v>9226</v>
      </c>
      <c r="D3672" t="s">
        <v>9226</v>
      </c>
      <c r="E3672" t="s">
        <v>9227</v>
      </c>
    </row>
    <row r="3673" spans="1:5" x14ac:dyDescent="0.2">
      <c r="A3673" t="s">
        <v>9259</v>
      </c>
      <c r="B3673" t="s">
        <v>9260</v>
      </c>
      <c r="C3673" t="s">
        <v>9226</v>
      </c>
      <c r="D3673" t="s">
        <v>9226</v>
      </c>
      <c r="E3673" t="s">
        <v>9261</v>
      </c>
    </row>
    <row r="3674" spans="1:5" x14ac:dyDescent="0.2">
      <c r="A3674" t="s">
        <v>9262</v>
      </c>
      <c r="B3674" t="s">
        <v>9263</v>
      </c>
      <c r="C3674" t="s">
        <v>9226</v>
      </c>
      <c r="D3674" t="s">
        <v>9226</v>
      </c>
      <c r="E3674" t="s">
        <v>9261</v>
      </c>
    </row>
    <row r="3675" spans="1:5" x14ac:dyDescent="0.2">
      <c r="A3675" t="s">
        <v>9264</v>
      </c>
      <c r="B3675" t="s">
        <v>9265</v>
      </c>
      <c r="C3675" t="s">
        <v>9226</v>
      </c>
      <c r="D3675" t="s">
        <v>9226</v>
      </c>
      <c r="E3675" t="s">
        <v>9261</v>
      </c>
    </row>
    <row r="3676" spans="1:5" x14ac:dyDescent="0.2">
      <c r="A3676" t="s">
        <v>9266</v>
      </c>
      <c r="B3676" t="s">
        <v>9267</v>
      </c>
      <c r="C3676" t="s">
        <v>9226</v>
      </c>
      <c r="D3676" t="s">
        <v>9226</v>
      </c>
      <c r="E3676" t="s">
        <v>9268</v>
      </c>
    </row>
    <row r="3677" spans="1:5" x14ac:dyDescent="0.2">
      <c r="A3677" t="s">
        <v>9269</v>
      </c>
      <c r="B3677" t="s">
        <v>9270</v>
      </c>
      <c r="C3677" t="s">
        <v>9226</v>
      </c>
      <c r="D3677" t="s">
        <v>9226</v>
      </c>
      <c r="E3677" t="s">
        <v>9271</v>
      </c>
    </row>
    <row r="3678" spans="1:5" x14ac:dyDescent="0.2">
      <c r="A3678" t="s">
        <v>9272</v>
      </c>
      <c r="B3678" t="s">
        <v>9273</v>
      </c>
      <c r="C3678" t="s">
        <v>9226</v>
      </c>
      <c r="D3678" t="s">
        <v>9226</v>
      </c>
      <c r="E3678" t="s">
        <v>9274</v>
      </c>
    </row>
    <row r="3679" spans="1:5" x14ac:dyDescent="0.2">
      <c r="A3679" t="s">
        <v>9275</v>
      </c>
      <c r="B3679" t="s">
        <v>9276</v>
      </c>
      <c r="C3679" t="s">
        <v>9226</v>
      </c>
      <c r="D3679" t="s">
        <v>9226</v>
      </c>
      <c r="E3679" t="s">
        <v>9277</v>
      </c>
    </row>
    <row r="3680" spans="1:5" x14ac:dyDescent="0.2">
      <c r="A3680" t="s">
        <v>9278</v>
      </c>
      <c r="B3680" t="s">
        <v>9279</v>
      </c>
      <c r="C3680" t="s">
        <v>9226</v>
      </c>
      <c r="D3680" t="s">
        <v>9226</v>
      </c>
      <c r="E3680" t="s">
        <v>9227</v>
      </c>
    </row>
    <row r="3681" spans="1:5" x14ac:dyDescent="0.2">
      <c r="A3681" t="s">
        <v>9280</v>
      </c>
      <c r="B3681" t="s">
        <v>9281</v>
      </c>
      <c r="C3681" t="s">
        <v>9226</v>
      </c>
      <c r="D3681" t="s">
        <v>9226</v>
      </c>
      <c r="E3681" t="s">
        <v>9261</v>
      </c>
    </row>
    <row r="3682" spans="1:5" x14ac:dyDescent="0.2">
      <c r="A3682" t="s">
        <v>9282</v>
      </c>
      <c r="B3682" t="s">
        <v>9283</v>
      </c>
      <c r="C3682" t="s">
        <v>9226</v>
      </c>
      <c r="D3682" t="s">
        <v>9226</v>
      </c>
      <c r="E3682" t="s">
        <v>9227</v>
      </c>
    </row>
    <row r="3683" spans="1:5" x14ac:dyDescent="0.2">
      <c r="A3683" t="s">
        <v>9284</v>
      </c>
      <c r="B3683" t="s">
        <v>9285</v>
      </c>
      <c r="C3683" t="s">
        <v>9226</v>
      </c>
      <c r="D3683" t="s">
        <v>9226</v>
      </c>
      <c r="E3683" t="s">
        <v>9286</v>
      </c>
    </row>
    <row r="3684" spans="1:5" x14ac:dyDescent="0.2">
      <c r="A3684" t="s">
        <v>9287</v>
      </c>
      <c r="B3684" t="s">
        <v>9288</v>
      </c>
      <c r="C3684" t="s">
        <v>9226</v>
      </c>
      <c r="D3684" t="s">
        <v>9226</v>
      </c>
      <c r="E3684" t="s">
        <v>9289</v>
      </c>
    </row>
    <row r="3685" spans="1:5" x14ac:dyDescent="0.2">
      <c r="A3685" t="s">
        <v>9290</v>
      </c>
      <c r="B3685" t="s">
        <v>9291</v>
      </c>
      <c r="C3685" t="s">
        <v>9226</v>
      </c>
      <c r="D3685" t="s">
        <v>9226</v>
      </c>
      <c r="E3685" t="s">
        <v>9227</v>
      </c>
    </row>
    <row r="3686" spans="1:5" x14ac:dyDescent="0.2">
      <c r="A3686" t="s">
        <v>9292</v>
      </c>
      <c r="B3686" t="s">
        <v>9293</v>
      </c>
      <c r="C3686" t="s">
        <v>9226</v>
      </c>
      <c r="D3686" t="s">
        <v>9226</v>
      </c>
      <c r="E3686" t="s">
        <v>9261</v>
      </c>
    </row>
    <row r="3687" spans="1:5" x14ac:dyDescent="0.2">
      <c r="A3687" t="s">
        <v>9294</v>
      </c>
      <c r="B3687" t="s">
        <v>9295</v>
      </c>
      <c r="C3687" t="s">
        <v>9226</v>
      </c>
      <c r="D3687" t="s">
        <v>9226</v>
      </c>
      <c r="E3687" t="s">
        <v>9296</v>
      </c>
    </row>
    <row r="3688" spans="1:5" x14ac:dyDescent="0.2">
      <c r="A3688" t="s">
        <v>9297</v>
      </c>
      <c r="B3688" t="s">
        <v>9298</v>
      </c>
      <c r="C3688" t="s">
        <v>9226</v>
      </c>
      <c r="D3688" t="s">
        <v>9226</v>
      </c>
      <c r="E3688" t="s">
        <v>9299</v>
      </c>
    </row>
    <row r="3689" spans="1:5" x14ac:dyDescent="0.2">
      <c r="A3689" t="s">
        <v>9300</v>
      </c>
      <c r="B3689" t="s">
        <v>9301</v>
      </c>
      <c r="C3689" t="s">
        <v>9226</v>
      </c>
      <c r="D3689" t="s">
        <v>9226</v>
      </c>
      <c r="E3689" t="s">
        <v>9227</v>
      </c>
    </row>
    <row r="3690" spans="1:5" x14ac:dyDescent="0.2">
      <c r="A3690" t="s">
        <v>9302</v>
      </c>
      <c r="B3690" t="s">
        <v>9303</v>
      </c>
      <c r="C3690" t="s">
        <v>9226</v>
      </c>
      <c r="D3690" t="s">
        <v>9226</v>
      </c>
      <c r="E3690" t="s">
        <v>9227</v>
      </c>
    </row>
    <row r="3691" spans="1:5" x14ac:dyDescent="0.2">
      <c r="A3691" t="s">
        <v>9304</v>
      </c>
      <c r="B3691" t="s">
        <v>9305</v>
      </c>
      <c r="C3691" t="s">
        <v>9226</v>
      </c>
      <c r="D3691" t="s">
        <v>9226</v>
      </c>
      <c r="E3691" t="s">
        <v>9306</v>
      </c>
    </row>
    <row r="3692" spans="1:5" x14ac:dyDescent="0.2">
      <c r="A3692" t="s">
        <v>9307</v>
      </c>
      <c r="B3692" t="s">
        <v>9308</v>
      </c>
      <c r="C3692" t="s">
        <v>9226</v>
      </c>
      <c r="D3692" t="s">
        <v>9226</v>
      </c>
      <c r="E3692" t="s">
        <v>9309</v>
      </c>
    </row>
    <row r="3693" spans="1:5" x14ac:dyDescent="0.2">
      <c r="A3693" t="s">
        <v>9310</v>
      </c>
      <c r="B3693" t="s">
        <v>9311</v>
      </c>
      <c r="C3693" t="s">
        <v>9226</v>
      </c>
      <c r="D3693" t="s">
        <v>9226</v>
      </c>
      <c r="E3693" t="s">
        <v>9227</v>
      </c>
    </row>
    <row r="3694" spans="1:5" x14ac:dyDescent="0.2">
      <c r="A3694" t="s">
        <v>9312</v>
      </c>
      <c r="B3694" t="s">
        <v>9313</v>
      </c>
      <c r="C3694" t="s">
        <v>9226</v>
      </c>
      <c r="D3694" t="s">
        <v>9226</v>
      </c>
      <c r="E3694" t="s">
        <v>9314</v>
      </c>
    </row>
    <row r="3695" spans="1:5" x14ac:dyDescent="0.2">
      <c r="A3695" t="s">
        <v>9315</v>
      </c>
      <c r="B3695" t="s">
        <v>9316</v>
      </c>
      <c r="C3695" t="s">
        <v>9226</v>
      </c>
      <c r="D3695" t="s">
        <v>9226</v>
      </c>
      <c r="E3695" t="s">
        <v>9227</v>
      </c>
    </row>
    <row r="3696" spans="1:5" x14ac:dyDescent="0.2">
      <c r="A3696" t="s">
        <v>9317</v>
      </c>
      <c r="B3696" t="s">
        <v>9318</v>
      </c>
      <c r="C3696" t="s">
        <v>9226</v>
      </c>
      <c r="D3696" t="s">
        <v>9226</v>
      </c>
      <c r="E3696" t="s">
        <v>9319</v>
      </c>
    </row>
    <row r="3697" spans="1:5" x14ac:dyDescent="0.2">
      <c r="A3697" t="s">
        <v>9320</v>
      </c>
      <c r="B3697" t="s">
        <v>9321</v>
      </c>
      <c r="C3697" t="s">
        <v>9226</v>
      </c>
      <c r="D3697" t="s">
        <v>9226</v>
      </c>
      <c r="E3697" t="s">
        <v>9227</v>
      </c>
    </row>
    <row r="3698" spans="1:5" x14ac:dyDescent="0.2">
      <c r="A3698" t="s">
        <v>9322</v>
      </c>
      <c r="B3698" t="s">
        <v>9323</v>
      </c>
      <c r="C3698" t="s">
        <v>9226</v>
      </c>
      <c r="D3698" t="s">
        <v>9226</v>
      </c>
      <c r="E3698" t="s">
        <v>9227</v>
      </c>
    </row>
    <row r="3699" spans="1:5" x14ac:dyDescent="0.2">
      <c r="A3699" t="s">
        <v>9324</v>
      </c>
      <c r="B3699" t="s">
        <v>9325</v>
      </c>
      <c r="C3699" t="s">
        <v>9226</v>
      </c>
      <c r="D3699" t="s">
        <v>9226</v>
      </c>
      <c r="E3699" t="s">
        <v>9261</v>
      </c>
    </row>
    <row r="3700" spans="1:5" x14ac:dyDescent="0.2">
      <c r="A3700" t="s">
        <v>9326</v>
      </c>
      <c r="B3700" t="s">
        <v>9327</v>
      </c>
      <c r="C3700" t="s">
        <v>9226</v>
      </c>
      <c r="D3700" t="s">
        <v>9226</v>
      </c>
      <c r="E3700" t="s">
        <v>9227</v>
      </c>
    </row>
    <row r="3701" spans="1:5" x14ac:dyDescent="0.2">
      <c r="A3701" t="s">
        <v>9328</v>
      </c>
      <c r="B3701" t="s">
        <v>9329</v>
      </c>
      <c r="C3701" t="s">
        <v>9226</v>
      </c>
      <c r="D3701" t="s">
        <v>9226</v>
      </c>
      <c r="E3701" t="s">
        <v>9261</v>
      </c>
    </row>
    <row r="3702" spans="1:5" x14ac:dyDescent="0.2">
      <c r="A3702" t="s">
        <v>9330</v>
      </c>
      <c r="B3702" t="s">
        <v>9331</v>
      </c>
      <c r="C3702" t="s">
        <v>9226</v>
      </c>
      <c r="D3702" t="s">
        <v>9226</v>
      </c>
      <c r="E3702" t="s">
        <v>9227</v>
      </c>
    </row>
    <row r="3703" spans="1:5" x14ac:dyDescent="0.2">
      <c r="A3703" t="s">
        <v>9332</v>
      </c>
      <c r="B3703" t="s">
        <v>9333</v>
      </c>
      <c r="C3703" t="s">
        <v>9226</v>
      </c>
      <c r="D3703" t="s">
        <v>9226</v>
      </c>
      <c r="E3703" t="s">
        <v>9261</v>
      </c>
    </row>
    <row r="3704" spans="1:5" x14ac:dyDescent="0.2">
      <c r="A3704" t="s">
        <v>9334</v>
      </c>
      <c r="B3704" t="s">
        <v>9335</v>
      </c>
      <c r="C3704" t="s">
        <v>9226</v>
      </c>
      <c r="D3704" t="s">
        <v>9226</v>
      </c>
      <c r="E3704" t="s">
        <v>9227</v>
      </c>
    </row>
    <row r="3705" spans="1:5" x14ac:dyDescent="0.2">
      <c r="A3705" t="s">
        <v>9336</v>
      </c>
      <c r="B3705" t="s">
        <v>9337</v>
      </c>
      <c r="C3705" t="s">
        <v>9226</v>
      </c>
      <c r="D3705" t="e">
        <v>#N/A</v>
      </c>
      <c r="E3705" t="e">
        <v>#N/A</v>
      </c>
    </row>
    <row r="3706" spans="1:5" x14ac:dyDescent="0.2">
      <c r="A3706" t="s">
        <v>9338</v>
      </c>
      <c r="B3706" t="s">
        <v>9339</v>
      </c>
      <c r="C3706" t="s">
        <v>9340</v>
      </c>
      <c r="D3706" t="s">
        <v>9340</v>
      </c>
      <c r="E3706" t="s">
        <v>9341</v>
      </c>
    </row>
    <row r="3707" spans="1:5" x14ac:dyDescent="0.2">
      <c r="A3707" t="s">
        <v>9342</v>
      </c>
      <c r="B3707" t="s">
        <v>9343</v>
      </c>
      <c r="C3707" t="s">
        <v>9340</v>
      </c>
      <c r="D3707" t="s">
        <v>9340</v>
      </c>
      <c r="E3707" t="s">
        <v>9344</v>
      </c>
    </row>
    <row r="3708" spans="1:5" x14ac:dyDescent="0.2">
      <c r="A3708" t="s">
        <v>9345</v>
      </c>
      <c r="B3708" t="s">
        <v>9346</v>
      </c>
      <c r="C3708" t="s">
        <v>9340</v>
      </c>
      <c r="D3708" t="s">
        <v>9340</v>
      </c>
      <c r="E3708" t="s">
        <v>9347</v>
      </c>
    </row>
    <row r="3709" spans="1:5" x14ac:dyDescent="0.2">
      <c r="A3709" t="s">
        <v>9348</v>
      </c>
      <c r="B3709" t="s">
        <v>9349</v>
      </c>
      <c r="C3709" t="s">
        <v>9340</v>
      </c>
      <c r="D3709" t="s">
        <v>9340</v>
      </c>
      <c r="E3709" t="s">
        <v>9350</v>
      </c>
    </row>
    <row r="3710" spans="1:5" x14ac:dyDescent="0.2">
      <c r="A3710" t="s">
        <v>9351</v>
      </c>
      <c r="B3710" t="s">
        <v>9352</v>
      </c>
      <c r="C3710" t="s">
        <v>9340</v>
      </c>
      <c r="D3710" t="s">
        <v>9340</v>
      </c>
      <c r="E3710" t="s">
        <v>9353</v>
      </c>
    </row>
    <row r="3711" spans="1:5" x14ac:dyDescent="0.2">
      <c r="A3711" t="s">
        <v>9354</v>
      </c>
      <c r="B3711" t="s">
        <v>9355</v>
      </c>
      <c r="C3711" t="s">
        <v>9340</v>
      </c>
      <c r="D3711" t="s">
        <v>9340</v>
      </c>
      <c r="E3711" t="s">
        <v>9356</v>
      </c>
    </row>
    <row r="3712" spans="1:5" x14ac:dyDescent="0.2">
      <c r="A3712" t="s">
        <v>9357</v>
      </c>
      <c r="B3712" t="s">
        <v>9358</v>
      </c>
      <c r="C3712" t="s">
        <v>9340</v>
      </c>
      <c r="D3712" t="s">
        <v>9340</v>
      </c>
      <c r="E3712" t="s">
        <v>9359</v>
      </c>
    </row>
    <row r="3713" spans="1:5" x14ac:dyDescent="0.2">
      <c r="A3713" t="s">
        <v>9360</v>
      </c>
      <c r="B3713" t="s">
        <v>9361</v>
      </c>
      <c r="C3713" t="s">
        <v>9340</v>
      </c>
      <c r="D3713" t="s">
        <v>9340</v>
      </c>
      <c r="E3713" t="s">
        <v>9353</v>
      </c>
    </row>
    <row r="3714" spans="1:5" x14ac:dyDescent="0.2">
      <c r="A3714" t="s">
        <v>9362</v>
      </c>
      <c r="B3714" t="s">
        <v>9363</v>
      </c>
      <c r="C3714" t="s">
        <v>9340</v>
      </c>
      <c r="D3714" t="s">
        <v>9340</v>
      </c>
      <c r="E3714" t="s">
        <v>9364</v>
      </c>
    </row>
    <row r="3715" spans="1:5" x14ac:dyDescent="0.2">
      <c r="A3715" t="s">
        <v>9365</v>
      </c>
      <c r="B3715" t="s">
        <v>9366</v>
      </c>
      <c r="C3715" t="s">
        <v>9340</v>
      </c>
      <c r="D3715" t="s">
        <v>9340</v>
      </c>
      <c r="E3715" t="s">
        <v>9367</v>
      </c>
    </row>
    <row r="3716" spans="1:5" x14ac:dyDescent="0.2">
      <c r="A3716" t="s">
        <v>9368</v>
      </c>
      <c r="B3716" t="s">
        <v>9369</v>
      </c>
      <c r="C3716" t="s">
        <v>9340</v>
      </c>
      <c r="D3716" t="s">
        <v>9340</v>
      </c>
      <c r="E3716" t="s">
        <v>9370</v>
      </c>
    </row>
    <row r="3717" spans="1:5" x14ac:dyDescent="0.2">
      <c r="A3717" t="s">
        <v>9371</v>
      </c>
      <c r="B3717" t="s">
        <v>9372</v>
      </c>
      <c r="C3717" t="s">
        <v>9340</v>
      </c>
      <c r="D3717" t="s">
        <v>9340</v>
      </c>
      <c r="E3717" t="s">
        <v>9373</v>
      </c>
    </row>
    <row r="3718" spans="1:5" x14ac:dyDescent="0.2">
      <c r="A3718" t="s">
        <v>9374</v>
      </c>
      <c r="B3718" t="s">
        <v>9375</v>
      </c>
      <c r="C3718" t="s">
        <v>9340</v>
      </c>
      <c r="D3718" t="s">
        <v>9340</v>
      </c>
      <c r="E3718" t="s">
        <v>9376</v>
      </c>
    </row>
    <row r="3719" spans="1:5" x14ac:dyDescent="0.2">
      <c r="A3719" t="s">
        <v>9377</v>
      </c>
      <c r="B3719" t="s">
        <v>9378</v>
      </c>
      <c r="C3719" t="s">
        <v>9340</v>
      </c>
      <c r="D3719" t="s">
        <v>9340</v>
      </c>
      <c r="E3719" t="s">
        <v>9379</v>
      </c>
    </row>
    <row r="3720" spans="1:5" x14ac:dyDescent="0.2">
      <c r="A3720" t="s">
        <v>9380</v>
      </c>
      <c r="B3720" t="s">
        <v>9381</v>
      </c>
      <c r="C3720" t="s">
        <v>9340</v>
      </c>
      <c r="D3720" t="s">
        <v>9340</v>
      </c>
      <c r="E3720" t="s">
        <v>9382</v>
      </c>
    </row>
    <row r="3721" spans="1:5" x14ac:dyDescent="0.2">
      <c r="A3721" t="s">
        <v>9383</v>
      </c>
      <c r="B3721" t="s">
        <v>9384</v>
      </c>
      <c r="C3721" t="s">
        <v>9340</v>
      </c>
      <c r="D3721" t="s">
        <v>9340</v>
      </c>
      <c r="E3721" t="s">
        <v>9385</v>
      </c>
    </row>
    <row r="3722" spans="1:5" x14ac:dyDescent="0.2">
      <c r="A3722" t="s">
        <v>9386</v>
      </c>
      <c r="B3722" t="s">
        <v>9387</v>
      </c>
      <c r="C3722" t="s">
        <v>9340</v>
      </c>
      <c r="D3722" t="s">
        <v>9340</v>
      </c>
      <c r="E3722" t="s">
        <v>9388</v>
      </c>
    </row>
    <row r="3723" spans="1:5" x14ac:dyDescent="0.2">
      <c r="A3723" t="s">
        <v>9389</v>
      </c>
      <c r="B3723" t="s">
        <v>9390</v>
      </c>
      <c r="C3723" t="s">
        <v>9340</v>
      </c>
      <c r="D3723" t="s">
        <v>9340</v>
      </c>
      <c r="E3723" t="s">
        <v>9391</v>
      </c>
    </row>
    <row r="3724" spans="1:5" x14ac:dyDescent="0.2">
      <c r="A3724" t="s">
        <v>9392</v>
      </c>
      <c r="B3724" t="s">
        <v>9393</v>
      </c>
      <c r="C3724" t="s">
        <v>9340</v>
      </c>
      <c r="D3724" t="s">
        <v>9340</v>
      </c>
      <c r="E3724" t="s">
        <v>9394</v>
      </c>
    </row>
    <row r="3725" spans="1:5" x14ac:dyDescent="0.2">
      <c r="A3725" t="s">
        <v>9395</v>
      </c>
      <c r="B3725" t="s">
        <v>9396</v>
      </c>
      <c r="C3725" t="s">
        <v>9340</v>
      </c>
      <c r="D3725" t="s">
        <v>9340</v>
      </c>
      <c r="E3725" t="s">
        <v>9397</v>
      </c>
    </row>
    <row r="3726" spans="1:5" x14ac:dyDescent="0.2">
      <c r="A3726" t="s">
        <v>9398</v>
      </c>
      <c r="B3726" t="s">
        <v>9399</v>
      </c>
      <c r="C3726" t="s">
        <v>9340</v>
      </c>
      <c r="D3726" t="s">
        <v>9340</v>
      </c>
      <c r="E3726" t="s">
        <v>9385</v>
      </c>
    </row>
    <row r="3727" spans="1:5" x14ac:dyDescent="0.2">
      <c r="A3727" t="s">
        <v>9400</v>
      </c>
      <c r="B3727" t="s">
        <v>9401</v>
      </c>
      <c r="C3727" t="s">
        <v>9340</v>
      </c>
      <c r="D3727" t="s">
        <v>9340</v>
      </c>
      <c r="E3727" t="s">
        <v>9402</v>
      </c>
    </row>
    <row r="3728" spans="1:5" x14ac:dyDescent="0.2">
      <c r="A3728" t="s">
        <v>9403</v>
      </c>
      <c r="B3728" t="s">
        <v>9404</v>
      </c>
      <c r="C3728" t="s">
        <v>9340</v>
      </c>
      <c r="D3728" t="s">
        <v>9340</v>
      </c>
      <c r="E3728" t="s">
        <v>9405</v>
      </c>
    </row>
    <row r="3729" spans="1:5" x14ac:dyDescent="0.2">
      <c r="A3729" t="s">
        <v>9406</v>
      </c>
      <c r="B3729" t="s">
        <v>9407</v>
      </c>
      <c r="C3729" t="s">
        <v>9340</v>
      </c>
      <c r="D3729" t="s">
        <v>9340</v>
      </c>
      <c r="E3729" t="s">
        <v>9408</v>
      </c>
    </row>
    <row r="3730" spans="1:5" x14ac:dyDescent="0.2">
      <c r="A3730" t="s">
        <v>9409</v>
      </c>
      <c r="B3730" t="s">
        <v>9410</v>
      </c>
      <c r="C3730" t="s">
        <v>9340</v>
      </c>
      <c r="D3730" t="s">
        <v>9340</v>
      </c>
      <c r="E3730" t="s">
        <v>9411</v>
      </c>
    </row>
    <row r="3731" spans="1:5" x14ac:dyDescent="0.2">
      <c r="A3731" t="s">
        <v>9412</v>
      </c>
      <c r="B3731" t="s">
        <v>9413</v>
      </c>
      <c r="C3731" t="s">
        <v>9340</v>
      </c>
      <c r="D3731" t="s">
        <v>9340</v>
      </c>
      <c r="E3731" t="s">
        <v>9414</v>
      </c>
    </row>
    <row r="3732" spans="1:5" x14ac:dyDescent="0.2">
      <c r="A3732" t="s">
        <v>9415</v>
      </c>
      <c r="B3732" t="s">
        <v>9416</v>
      </c>
      <c r="C3732" t="s">
        <v>9340</v>
      </c>
      <c r="D3732" t="s">
        <v>9340</v>
      </c>
      <c r="E3732" t="s">
        <v>9417</v>
      </c>
    </row>
    <row r="3733" spans="1:5" x14ac:dyDescent="0.2">
      <c r="A3733" t="s">
        <v>9418</v>
      </c>
      <c r="B3733" t="s">
        <v>9419</v>
      </c>
      <c r="C3733" t="s">
        <v>9340</v>
      </c>
      <c r="D3733" t="s">
        <v>9340</v>
      </c>
      <c r="E3733" t="s">
        <v>9385</v>
      </c>
    </row>
    <row r="3734" spans="1:5" x14ac:dyDescent="0.2">
      <c r="A3734" t="s">
        <v>9420</v>
      </c>
      <c r="B3734" t="s">
        <v>9421</v>
      </c>
      <c r="C3734" t="s">
        <v>9340</v>
      </c>
      <c r="D3734" t="s">
        <v>9340</v>
      </c>
      <c r="E3734" t="s">
        <v>9422</v>
      </c>
    </row>
    <row r="3735" spans="1:5" x14ac:dyDescent="0.2">
      <c r="A3735" t="s">
        <v>9423</v>
      </c>
      <c r="B3735" t="s">
        <v>9424</v>
      </c>
      <c r="C3735" t="s">
        <v>9340</v>
      </c>
      <c r="D3735" t="s">
        <v>9340</v>
      </c>
      <c r="E3735" t="s">
        <v>9425</v>
      </c>
    </row>
    <row r="3736" spans="1:5" x14ac:dyDescent="0.2">
      <c r="A3736" t="s">
        <v>9426</v>
      </c>
      <c r="B3736" t="s">
        <v>9427</v>
      </c>
      <c r="C3736" t="s">
        <v>9340</v>
      </c>
      <c r="D3736" t="s">
        <v>9340</v>
      </c>
      <c r="E3736" t="s">
        <v>9428</v>
      </c>
    </row>
    <row r="3737" spans="1:5" x14ac:dyDescent="0.2">
      <c r="A3737" t="s">
        <v>9429</v>
      </c>
      <c r="B3737" t="s">
        <v>9430</v>
      </c>
      <c r="C3737" t="s">
        <v>9340</v>
      </c>
      <c r="D3737" t="s">
        <v>9340</v>
      </c>
      <c r="E3737" t="s">
        <v>9431</v>
      </c>
    </row>
    <row r="3738" spans="1:5" x14ac:dyDescent="0.2">
      <c r="A3738" t="s">
        <v>9432</v>
      </c>
      <c r="B3738" t="s">
        <v>9433</v>
      </c>
      <c r="C3738" t="s">
        <v>9340</v>
      </c>
      <c r="D3738" t="s">
        <v>9340</v>
      </c>
      <c r="E3738" t="s">
        <v>9434</v>
      </c>
    </row>
    <row r="3739" spans="1:5" x14ac:dyDescent="0.2">
      <c r="A3739" t="s">
        <v>9435</v>
      </c>
      <c r="B3739" t="s">
        <v>9436</v>
      </c>
      <c r="C3739" t="s">
        <v>9340</v>
      </c>
      <c r="D3739" t="s">
        <v>9340</v>
      </c>
      <c r="E3739" t="s">
        <v>9431</v>
      </c>
    </row>
    <row r="3740" spans="1:5" x14ac:dyDescent="0.2">
      <c r="A3740" t="s">
        <v>9437</v>
      </c>
      <c r="B3740" t="s">
        <v>9438</v>
      </c>
      <c r="C3740" t="s">
        <v>9340</v>
      </c>
      <c r="D3740" t="s">
        <v>9340</v>
      </c>
      <c r="E3740" t="s">
        <v>9439</v>
      </c>
    </row>
    <row r="3741" spans="1:5" x14ac:dyDescent="0.2">
      <c r="A3741" t="s">
        <v>9440</v>
      </c>
      <c r="B3741" t="s">
        <v>9441</v>
      </c>
      <c r="C3741" t="s">
        <v>9340</v>
      </c>
      <c r="D3741" t="s">
        <v>9340</v>
      </c>
      <c r="E3741" t="s">
        <v>9442</v>
      </c>
    </row>
    <row r="3742" spans="1:5" x14ac:dyDescent="0.2">
      <c r="A3742" t="s">
        <v>9443</v>
      </c>
      <c r="B3742" t="s">
        <v>9444</v>
      </c>
      <c r="C3742" t="s">
        <v>9340</v>
      </c>
      <c r="D3742" t="s">
        <v>9340</v>
      </c>
      <c r="E3742" t="s">
        <v>9445</v>
      </c>
    </row>
    <row r="3743" spans="1:5" x14ac:dyDescent="0.2">
      <c r="A3743" t="s">
        <v>9446</v>
      </c>
      <c r="B3743" t="s">
        <v>9447</v>
      </c>
      <c r="C3743" t="s">
        <v>9340</v>
      </c>
      <c r="D3743" t="s">
        <v>9340</v>
      </c>
      <c r="E3743" t="s">
        <v>9448</v>
      </c>
    </row>
    <row r="3744" spans="1:5" x14ac:dyDescent="0.2">
      <c r="A3744" t="s">
        <v>9449</v>
      </c>
      <c r="B3744" t="s">
        <v>9450</v>
      </c>
      <c r="C3744" t="s">
        <v>9340</v>
      </c>
      <c r="D3744" t="s">
        <v>9340</v>
      </c>
      <c r="E3744" t="s">
        <v>9451</v>
      </c>
    </row>
    <row r="3745" spans="1:5" x14ac:dyDescent="0.2">
      <c r="A3745" t="s">
        <v>9452</v>
      </c>
      <c r="B3745" t="s">
        <v>9453</v>
      </c>
      <c r="C3745" t="s">
        <v>9340</v>
      </c>
      <c r="D3745" t="s">
        <v>9340</v>
      </c>
      <c r="E3745" t="s">
        <v>9431</v>
      </c>
    </row>
    <row r="3746" spans="1:5" x14ac:dyDescent="0.2">
      <c r="A3746" t="s">
        <v>9454</v>
      </c>
      <c r="B3746" t="s">
        <v>9455</v>
      </c>
      <c r="C3746" t="s">
        <v>9340</v>
      </c>
      <c r="D3746" t="s">
        <v>9340</v>
      </c>
      <c r="E3746" t="s">
        <v>9456</v>
      </c>
    </row>
    <row r="3747" spans="1:5" x14ac:dyDescent="0.2">
      <c r="A3747" t="s">
        <v>9457</v>
      </c>
      <c r="B3747" t="s">
        <v>9458</v>
      </c>
      <c r="C3747" t="s">
        <v>9340</v>
      </c>
      <c r="D3747" t="e">
        <v>#N/A</v>
      </c>
      <c r="E3747" t="e">
        <v>#N/A</v>
      </c>
    </row>
    <row r="3748" spans="1:5" x14ac:dyDescent="0.2">
      <c r="A3748" t="s">
        <v>9459</v>
      </c>
      <c r="B3748" t="s">
        <v>9460</v>
      </c>
      <c r="C3748" t="s">
        <v>9340</v>
      </c>
      <c r="D3748" t="e">
        <v>#N/A</v>
      </c>
      <c r="E3748" t="e">
        <v>#N/A</v>
      </c>
    </row>
    <row r="3749" spans="1:5" x14ac:dyDescent="0.2">
      <c r="A3749" t="s">
        <v>9461</v>
      </c>
      <c r="B3749" t="s">
        <v>9462</v>
      </c>
      <c r="C3749" t="s">
        <v>9340</v>
      </c>
      <c r="D3749" t="e">
        <v>#N/A</v>
      </c>
      <c r="E3749" t="e">
        <v>#N/A</v>
      </c>
    </row>
    <row r="3750" spans="1:5" x14ac:dyDescent="0.2">
      <c r="A3750" t="s">
        <v>9463</v>
      </c>
      <c r="B3750" t="s">
        <v>9464</v>
      </c>
      <c r="C3750" t="s">
        <v>9465</v>
      </c>
      <c r="D3750" t="s">
        <v>9465</v>
      </c>
      <c r="E3750" t="s">
        <v>9466</v>
      </c>
    </row>
    <row r="3751" spans="1:5" x14ac:dyDescent="0.2">
      <c r="A3751" t="s">
        <v>9467</v>
      </c>
      <c r="B3751" t="s">
        <v>9468</v>
      </c>
      <c r="C3751" t="s">
        <v>9465</v>
      </c>
      <c r="D3751" t="s">
        <v>9465</v>
      </c>
      <c r="E3751" t="s">
        <v>9469</v>
      </c>
    </row>
    <row r="3752" spans="1:5" x14ac:dyDescent="0.2">
      <c r="A3752" t="s">
        <v>9470</v>
      </c>
      <c r="B3752" t="s">
        <v>9471</v>
      </c>
      <c r="C3752" t="s">
        <v>9465</v>
      </c>
      <c r="D3752" t="s">
        <v>9465</v>
      </c>
      <c r="E3752" t="s">
        <v>9472</v>
      </c>
    </row>
    <row r="3753" spans="1:5" x14ac:dyDescent="0.2">
      <c r="A3753" t="s">
        <v>9473</v>
      </c>
      <c r="B3753" t="s">
        <v>9474</v>
      </c>
      <c r="C3753" t="s">
        <v>9465</v>
      </c>
      <c r="D3753" t="s">
        <v>9465</v>
      </c>
      <c r="E3753" t="s">
        <v>9475</v>
      </c>
    </row>
    <row r="3754" spans="1:5" x14ac:dyDescent="0.2">
      <c r="A3754" t="s">
        <v>9476</v>
      </c>
      <c r="B3754" t="s">
        <v>9477</v>
      </c>
      <c r="C3754" t="s">
        <v>9465</v>
      </c>
      <c r="D3754" t="s">
        <v>9465</v>
      </c>
      <c r="E3754" t="s">
        <v>9478</v>
      </c>
    </row>
    <row r="3755" spans="1:5" x14ac:dyDescent="0.2">
      <c r="A3755" t="s">
        <v>9479</v>
      </c>
      <c r="B3755" t="s">
        <v>9480</v>
      </c>
      <c r="C3755" t="s">
        <v>9465</v>
      </c>
      <c r="D3755" t="s">
        <v>9465</v>
      </c>
      <c r="E3755" t="s">
        <v>9481</v>
      </c>
    </row>
    <row r="3756" spans="1:5" x14ac:dyDescent="0.2">
      <c r="A3756" t="s">
        <v>9482</v>
      </c>
      <c r="B3756" t="s">
        <v>9483</v>
      </c>
      <c r="C3756" t="s">
        <v>9465</v>
      </c>
      <c r="D3756" t="s">
        <v>9465</v>
      </c>
      <c r="E3756" t="s">
        <v>9484</v>
      </c>
    </row>
    <row r="3757" spans="1:5" x14ac:dyDescent="0.2">
      <c r="A3757" t="s">
        <v>9485</v>
      </c>
      <c r="B3757" t="s">
        <v>9486</v>
      </c>
      <c r="C3757" t="s">
        <v>9465</v>
      </c>
      <c r="D3757" t="s">
        <v>9465</v>
      </c>
      <c r="E3757" t="s">
        <v>9487</v>
      </c>
    </row>
    <row r="3758" spans="1:5" x14ac:dyDescent="0.2">
      <c r="A3758" t="s">
        <v>9488</v>
      </c>
      <c r="B3758" t="s">
        <v>9489</v>
      </c>
      <c r="C3758" t="s">
        <v>9465</v>
      </c>
      <c r="D3758" t="s">
        <v>9465</v>
      </c>
      <c r="E3758" t="s">
        <v>9490</v>
      </c>
    </row>
    <row r="3759" spans="1:5" x14ac:dyDescent="0.2">
      <c r="A3759" t="s">
        <v>9491</v>
      </c>
      <c r="B3759" t="s">
        <v>9492</v>
      </c>
      <c r="C3759" t="s">
        <v>9465</v>
      </c>
      <c r="D3759" t="s">
        <v>9465</v>
      </c>
      <c r="E3759" t="s">
        <v>9493</v>
      </c>
    </row>
    <row r="3760" spans="1:5" x14ac:dyDescent="0.2">
      <c r="A3760" t="s">
        <v>9494</v>
      </c>
      <c r="B3760" t="s">
        <v>9495</v>
      </c>
      <c r="C3760" t="s">
        <v>9465</v>
      </c>
      <c r="D3760" t="s">
        <v>9465</v>
      </c>
      <c r="E3760" t="s">
        <v>9496</v>
      </c>
    </row>
    <row r="3761" spans="1:5" x14ac:dyDescent="0.2">
      <c r="A3761" t="s">
        <v>9497</v>
      </c>
      <c r="B3761" t="s">
        <v>9498</v>
      </c>
      <c r="C3761" t="s">
        <v>9465</v>
      </c>
      <c r="D3761" t="s">
        <v>9465</v>
      </c>
      <c r="E3761" t="s">
        <v>9499</v>
      </c>
    </row>
    <row r="3762" spans="1:5" x14ac:dyDescent="0.2">
      <c r="A3762" t="s">
        <v>9500</v>
      </c>
      <c r="B3762" t="s">
        <v>9501</v>
      </c>
      <c r="C3762" t="s">
        <v>9465</v>
      </c>
      <c r="D3762" t="s">
        <v>9465</v>
      </c>
      <c r="E3762" t="s">
        <v>9502</v>
      </c>
    </row>
    <row r="3763" spans="1:5" x14ac:dyDescent="0.2">
      <c r="A3763" t="s">
        <v>9503</v>
      </c>
      <c r="B3763" t="s">
        <v>9504</v>
      </c>
      <c r="C3763" t="s">
        <v>9465</v>
      </c>
      <c r="D3763" t="s">
        <v>9465</v>
      </c>
      <c r="E3763" t="s">
        <v>9505</v>
      </c>
    </row>
    <row r="3764" spans="1:5" x14ac:dyDescent="0.2">
      <c r="A3764" t="s">
        <v>9506</v>
      </c>
      <c r="B3764" t="s">
        <v>9507</v>
      </c>
      <c r="C3764" t="s">
        <v>9465</v>
      </c>
      <c r="D3764" t="s">
        <v>9465</v>
      </c>
      <c r="E3764" t="s">
        <v>9508</v>
      </c>
    </row>
    <row r="3765" spans="1:5" x14ac:dyDescent="0.2">
      <c r="A3765" t="s">
        <v>9509</v>
      </c>
      <c r="B3765" t="s">
        <v>9510</v>
      </c>
      <c r="C3765" t="s">
        <v>9465</v>
      </c>
      <c r="D3765" t="s">
        <v>9465</v>
      </c>
      <c r="E3765" t="s">
        <v>9511</v>
      </c>
    </row>
    <row r="3766" spans="1:5" x14ac:dyDescent="0.2">
      <c r="A3766" t="s">
        <v>9512</v>
      </c>
      <c r="B3766" t="s">
        <v>9513</v>
      </c>
      <c r="C3766" t="s">
        <v>9465</v>
      </c>
      <c r="D3766" t="s">
        <v>9465</v>
      </c>
      <c r="E3766" t="s">
        <v>9514</v>
      </c>
    </row>
    <row r="3767" spans="1:5" x14ac:dyDescent="0.2">
      <c r="A3767" t="s">
        <v>9515</v>
      </c>
      <c r="B3767" t="s">
        <v>9516</v>
      </c>
      <c r="C3767" t="s">
        <v>9465</v>
      </c>
      <c r="D3767" t="s">
        <v>9465</v>
      </c>
      <c r="E3767" t="s">
        <v>9517</v>
      </c>
    </row>
    <row r="3768" spans="1:5" x14ac:dyDescent="0.2">
      <c r="A3768" t="s">
        <v>9518</v>
      </c>
      <c r="B3768" t="s">
        <v>9519</v>
      </c>
      <c r="C3768" t="s">
        <v>9465</v>
      </c>
      <c r="D3768" t="s">
        <v>9465</v>
      </c>
      <c r="E3768" t="s">
        <v>9520</v>
      </c>
    </row>
    <row r="3769" spans="1:5" x14ac:dyDescent="0.2">
      <c r="A3769" t="s">
        <v>9521</v>
      </c>
      <c r="B3769" t="s">
        <v>9522</v>
      </c>
      <c r="C3769" t="s">
        <v>9465</v>
      </c>
      <c r="D3769" t="s">
        <v>9465</v>
      </c>
      <c r="E3769" t="s">
        <v>9523</v>
      </c>
    </row>
    <row r="3770" spans="1:5" x14ac:dyDescent="0.2">
      <c r="A3770" t="s">
        <v>9524</v>
      </c>
      <c r="B3770" t="s">
        <v>9525</v>
      </c>
      <c r="C3770" t="s">
        <v>9465</v>
      </c>
      <c r="D3770" t="s">
        <v>9465</v>
      </c>
      <c r="E3770" t="s">
        <v>9526</v>
      </c>
    </row>
    <row r="3771" spans="1:5" x14ac:dyDescent="0.2">
      <c r="A3771" t="s">
        <v>9527</v>
      </c>
      <c r="B3771" t="s">
        <v>9528</v>
      </c>
      <c r="C3771" t="s">
        <v>9465</v>
      </c>
      <c r="D3771" t="s">
        <v>9465</v>
      </c>
      <c r="E3771" t="s">
        <v>9529</v>
      </c>
    </row>
    <row r="3772" spans="1:5" x14ac:dyDescent="0.2">
      <c r="A3772" t="s">
        <v>9530</v>
      </c>
      <c r="B3772" t="s">
        <v>9531</v>
      </c>
      <c r="C3772" t="s">
        <v>9465</v>
      </c>
      <c r="D3772" t="s">
        <v>9465</v>
      </c>
      <c r="E3772" t="s">
        <v>9532</v>
      </c>
    </row>
    <row r="3773" spans="1:5" x14ac:dyDescent="0.2">
      <c r="A3773" t="s">
        <v>9533</v>
      </c>
      <c r="B3773" t="s">
        <v>9534</v>
      </c>
      <c r="C3773" t="s">
        <v>9465</v>
      </c>
      <c r="D3773" t="s">
        <v>9465</v>
      </c>
      <c r="E3773" t="s">
        <v>9535</v>
      </c>
    </row>
    <row r="3774" spans="1:5" x14ac:dyDescent="0.2">
      <c r="A3774" t="s">
        <v>9536</v>
      </c>
      <c r="B3774" t="s">
        <v>9537</v>
      </c>
      <c r="C3774" t="s">
        <v>9465</v>
      </c>
      <c r="D3774" t="s">
        <v>9465</v>
      </c>
      <c r="E3774" t="s">
        <v>9538</v>
      </c>
    </row>
    <row r="3775" spans="1:5" x14ac:dyDescent="0.2">
      <c r="A3775" t="s">
        <v>9539</v>
      </c>
      <c r="B3775" t="s">
        <v>9540</v>
      </c>
      <c r="C3775" t="s">
        <v>9465</v>
      </c>
      <c r="D3775" t="s">
        <v>9465</v>
      </c>
      <c r="E3775" t="s">
        <v>9541</v>
      </c>
    </row>
    <row r="3776" spans="1:5" x14ac:dyDescent="0.2">
      <c r="A3776" t="s">
        <v>9542</v>
      </c>
      <c r="B3776" t="s">
        <v>9543</v>
      </c>
      <c r="C3776" t="s">
        <v>9465</v>
      </c>
      <c r="D3776" t="s">
        <v>9465</v>
      </c>
      <c r="E3776" t="s">
        <v>9466</v>
      </c>
    </row>
    <row r="3777" spans="1:5" x14ac:dyDescent="0.2">
      <c r="A3777" t="s">
        <v>9544</v>
      </c>
      <c r="B3777" t="s">
        <v>9545</v>
      </c>
      <c r="C3777" t="s">
        <v>9465</v>
      </c>
      <c r="D3777" t="s">
        <v>9465</v>
      </c>
      <c r="E3777" t="s">
        <v>9546</v>
      </c>
    </row>
    <row r="3778" spans="1:5" x14ac:dyDescent="0.2">
      <c r="A3778" t="s">
        <v>9547</v>
      </c>
      <c r="B3778" t="s">
        <v>9548</v>
      </c>
      <c r="C3778" t="s">
        <v>9465</v>
      </c>
      <c r="D3778" t="e">
        <v>#N/A</v>
      </c>
      <c r="E3778" t="e">
        <v>#N/A</v>
      </c>
    </row>
    <row r="3779" spans="1:5" x14ac:dyDescent="0.2">
      <c r="A3779" t="s">
        <v>9549</v>
      </c>
      <c r="B3779" t="s">
        <v>9550</v>
      </c>
      <c r="C3779" t="s">
        <v>9465</v>
      </c>
      <c r="D3779" t="s">
        <v>9465</v>
      </c>
      <c r="E3779" t="s">
        <v>9551</v>
      </c>
    </row>
    <row r="3780" spans="1:5" x14ac:dyDescent="0.2">
      <c r="A3780" t="s">
        <v>9552</v>
      </c>
      <c r="B3780" t="s">
        <v>9553</v>
      </c>
      <c r="C3780" t="s">
        <v>9465</v>
      </c>
      <c r="D3780" t="s">
        <v>9465</v>
      </c>
      <c r="E3780" t="s">
        <v>9554</v>
      </c>
    </row>
    <row r="3781" spans="1:5" x14ac:dyDescent="0.2">
      <c r="A3781" t="s">
        <v>9555</v>
      </c>
      <c r="B3781" t="s">
        <v>9556</v>
      </c>
      <c r="C3781" t="s">
        <v>9465</v>
      </c>
      <c r="D3781" t="s">
        <v>9465</v>
      </c>
      <c r="E3781" t="s">
        <v>9557</v>
      </c>
    </row>
    <row r="3782" spans="1:5" x14ac:dyDescent="0.2">
      <c r="A3782" t="s">
        <v>9558</v>
      </c>
      <c r="B3782" t="s">
        <v>9559</v>
      </c>
      <c r="C3782" t="s">
        <v>9465</v>
      </c>
      <c r="D3782" t="s">
        <v>9465</v>
      </c>
      <c r="E3782" t="s">
        <v>9560</v>
      </c>
    </row>
    <row r="3783" spans="1:5" x14ac:dyDescent="0.2">
      <c r="A3783" t="s">
        <v>9561</v>
      </c>
      <c r="B3783" t="s">
        <v>9562</v>
      </c>
      <c r="C3783" t="s">
        <v>9465</v>
      </c>
      <c r="D3783" t="s">
        <v>9465</v>
      </c>
      <c r="E3783" t="s">
        <v>9466</v>
      </c>
    </row>
    <row r="3784" spans="1:5" x14ac:dyDescent="0.2">
      <c r="A3784" t="s">
        <v>9563</v>
      </c>
      <c r="B3784" t="s">
        <v>9564</v>
      </c>
      <c r="C3784" t="s">
        <v>9465</v>
      </c>
      <c r="D3784" t="s">
        <v>9465</v>
      </c>
      <c r="E3784" t="s">
        <v>9565</v>
      </c>
    </row>
    <row r="3785" spans="1:5" x14ac:dyDescent="0.2">
      <c r="A3785" t="s">
        <v>9566</v>
      </c>
      <c r="B3785" t="s">
        <v>9567</v>
      </c>
      <c r="C3785" t="s">
        <v>9465</v>
      </c>
      <c r="D3785" t="s">
        <v>9465</v>
      </c>
      <c r="E3785" t="s">
        <v>9568</v>
      </c>
    </row>
    <row r="3786" spans="1:5" x14ac:dyDescent="0.2">
      <c r="A3786" t="s">
        <v>9569</v>
      </c>
      <c r="B3786" t="s">
        <v>9570</v>
      </c>
      <c r="C3786" t="s">
        <v>9465</v>
      </c>
      <c r="D3786" t="s">
        <v>9465</v>
      </c>
      <c r="E3786" t="s">
        <v>9551</v>
      </c>
    </row>
    <row r="3787" spans="1:5" x14ac:dyDescent="0.2">
      <c r="A3787" t="s">
        <v>9571</v>
      </c>
      <c r="B3787" t="s">
        <v>9572</v>
      </c>
      <c r="C3787" t="s">
        <v>9465</v>
      </c>
      <c r="D3787" t="s">
        <v>9465</v>
      </c>
      <c r="E3787" t="s">
        <v>9466</v>
      </c>
    </row>
    <row r="3788" spans="1:5" x14ac:dyDescent="0.2">
      <c r="A3788" t="s">
        <v>9573</v>
      </c>
      <c r="B3788" t="s">
        <v>9574</v>
      </c>
      <c r="C3788" t="s">
        <v>9465</v>
      </c>
      <c r="D3788" t="s">
        <v>9465</v>
      </c>
      <c r="E3788" t="s">
        <v>9575</v>
      </c>
    </row>
    <row r="3789" spans="1:5" x14ac:dyDescent="0.2">
      <c r="A3789" t="s">
        <v>9576</v>
      </c>
      <c r="B3789" t="s">
        <v>9577</v>
      </c>
      <c r="C3789" t="s">
        <v>9465</v>
      </c>
      <c r="D3789" t="s">
        <v>9465</v>
      </c>
      <c r="E3789" t="s">
        <v>9575</v>
      </c>
    </row>
    <row r="3790" spans="1:5" x14ac:dyDescent="0.2">
      <c r="A3790" t="s">
        <v>9578</v>
      </c>
      <c r="B3790" t="s">
        <v>9579</v>
      </c>
      <c r="C3790" t="s">
        <v>9465</v>
      </c>
      <c r="D3790" t="s">
        <v>9465</v>
      </c>
      <c r="E3790" t="s">
        <v>9575</v>
      </c>
    </row>
    <row r="3791" spans="1:5" x14ac:dyDescent="0.2">
      <c r="A3791" t="s">
        <v>9580</v>
      </c>
      <c r="B3791" t="s">
        <v>9581</v>
      </c>
      <c r="C3791" t="s">
        <v>9465</v>
      </c>
      <c r="D3791" t="e">
        <v>#N/A</v>
      </c>
      <c r="E3791" t="e">
        <v>#N/A</v>
      </c>
    </row>
    <row r="3792" spans="1:5" x14ac:dyDescent="0.2">
      <c r="A3792" t="s">
        <v>9582</v>
      </c>
      <c r="B3792" t="s">
        <v>9583</v>
      </c>
      <c r="C3792" t="s">
        <v>9584</v>
      </c>
      <c r="D3792" t="s">
        <v>9584</v>
      </c>
      <c r="E3792" t="s">
        <v>9585</v>
      </c>
    </row>
    <row r="3793" spans="1:5" x14ac:dyDescent="0.2">
      <c r="A3793" t="s">
        <v>9586</v>
      </c>
      <c r="B3793" t="s">
        <v>9587</v>
      </c>
      <c r="C3793" t="s">
        <v>9584</v>
      </c>
      <c r="D3793" t="s">
        <v>9584</v>
      </c>
      <c r="E3793" t="s">
        <v>9585</v>
      </c>
    </row>
    <row r="3794" spans="1:5" x14ac:dyDescent="0.2">
      <c r="A3794" t="s">
        <v>9588</v>
      </c>
      <c r="B3794" t="s">
        <v>9589</v>
      </c>
      <c r="C3794" t="s">
        <v>9584</v>
      </c>
      <c r="D3794" t="s">
        <v>9584</v>
      </c>
      <c r="E3794" t="s">
        <v>9590</v>
      </c>
    </row>
    <row r="3795" spans="1:5" x14ac:dyDescent="0.2">
      <c r="A3795" t="s">
        <v>9591</v>
      </c>
      <c r="B3795" t="s">
        <v>9592</v>
      </c>
      <c r="C3795" t="s">
        <v>9584</v>
      </c>
      <c r="D3795" t="s">
        <v>9584</v>
      </c>
      <c r="E3795" t="s">
        <v>9593</v>
      </c>
    </row>
    <row r="3796" spans="1:5" x14ac:dyDescent="0.2">
      <c r="A3796" t="s">
        <v>9594</v>
      </c>
      <c r="B3796" t="s">
        <v>9595</v>
      </c>
      <c r="C3796" t="s">
        <v>9584</v>
      </c>
      <c r="D3796" t="s">
        <v>9584</v>
      </c>
      <c r="E3796" t="s">
        <v>9596</v>
      </c>
    </row>
    <row r="3797" spans="1:5" x14ac:dyDescent="0.2">
      <c r="A3797" t="s">
        <v>9597</v>
      </c>
      <c r="B3797" t="s">
        <v>9598</v>
      </c>
      <c r="C3797" t="s">
        <v>9584</v>
      </c>
      <c r="D3797" t="s">
        <v>9584</v>
      </c>
      <c r="E3797" t="s">
        <v>9599</v>
      </c>
    </row>
    <row r="3798" spans="1:5" x14ac:dyDescent="0.2">
      <c r="A3798" t="s">
        <v>9600</v>
      </c>
      <c r="B3798" t="s">
        <v>9601</v>
      </c>
      <c r="C3798" t="s">
        <v>9584</v>
      </c>
      <c r="D3798" t="s">
        <v>9584</v>
      </c>
      <c r="E3798" t="s">
        <v>9602</v>
      </c>
    </row>
    <row r="3799" spans="1:5" x14ac:dyDescent="0.2">
      <c r="A3799" t="s">
        <v>9603</v>
      </c>
      <c r="B3799" t="s">
        <v>9604</v>
      </c>
      <c r="C3799" t="s">
        <v>9584</v>
      </c>
      <c r="D3799" t="s">
        <v>9584</v>
      </c>
      <c r="E3799" t="s">
        <v>9605</v>
      </c>
    </row>
    <row r="3800" spans="1:5" x14ac:dyDescent="0.2">
      <c r="A3800" t="s">
        <v>9606</v>
      </c>
      <c r="B3800" t="s">
        <v>9607</v>
      </c>
      <c r="C3800" t="s">
        <v>9584</v>
      </c>
      <c r="D3800" t="s">
        <v>9584</v>
      </c>
      <c r="E3800" t="s">
        <v>9608</v>
      </c>
    </row>
    <row r="3801" spans="1:5" x14ac:dyDescent="0.2">
      <c r="A3801" t="s">
        <v>9609</v>
      </c>
      <c r="B3801" t="s">
        <v>9610</v>
      </c>
      <c r="C3801" t="s">
        <v>9584</v>
      </c>
      <c r="D3801" t="s">
        <v>9584</v>
      </c>
      <c r="E3801" t="s">
        <v>9611</v>
      </c>
    </row>
    <row r="3802" spans="1:5" x14ac:dyDescent="0.2">
      <c r="A3802" t="s">
        <v>9612</v>
      </c>
      <c r="B3802" t="s">
        <v>9613</v>
      </c>
      <c r="C3802" t="s">
        <v>9584</v>
      </c>
      <c r="D3802" t="s">
        <v>9584</v>
      </c>
      <c r="E3802" t="s">
        <v>9614</v>
      </c>
    </row>
    <row r="3803" spans="1:5" x14ac:dyDescent="0.2">
      <c r="A3803" t="s">
        <v>9615</v>
      </c>
      <c r="B3803" t="s">
        <v>9616</v>
      </c>
      <c r="C3803" t="s">
        <v>9584</v>
      </c>
      <c r="D3803" t="s">
        <v>9584</v>
      </c>
      <c r="E3803" t="s">
        <v>9617</v>
      </c>
    </row>
    <row r="3804" spans="1:5" x14ac:dyDescent="0.2">
      <c r="A3804" t="s">
        <v>9618</v>
      </c>
      <c r="B3804" t="s">
        <v>9619</v>
      </c>
      <c r="C3804" t="s">
        <v>9584</v>
      </c>
      <c r="D3804" t="s">
        <v>9584</v>
      </c>
      <c r="E3804" t="s">
        <v>9620</v>
      </c>
    </row>
    <row r="3805" spans="1:5" x14ac:dyDescent="0.2">
      <c r="A3805" t="s">
        <v>9621</v>
      </c>
      <c r="B3805" t="s">
        <v>9622</v>
      </c>
      <c r="C3805" t="s">
        <v>9584</v>
      </c>
      <c r="D3805" t="s">
        <v>9584</v>
      </c>
      <c r="E3805" t="s">
        <v>9623</v>
      </c>
    </row>
    <row r="3806" spans="1:5" x14ac:dyDescent="0.2">
      <c r="A3806" t="s">
        <v>9624</v>
      </c>
      <c r="B3806" t="s">
        <v>9625</v>
      </c>
      <c r="C3806" t="s">
        <v>9584</v>
      </c>
      <c r="D3806" t="s">
        <v>9584</v>
      </c>
      <c r="E3806" t="s">
        <v>9626</v>
      </c>
    </row>
    <row r="3807" spans="1:5" x14ac:dyDescent="0.2">
      <c r="A3807" t="s">
        <v>9627</v>
      </c>
      <c r="B3807" t="s">
        <v>9628</v>
      </c>
      <c r="C3807" t="s">
        <v>9584</v>
      </c>
      <c r="D3807" t="s">
        <v>9584</v>
      </c>
      <c r="E3807" t="s">
        <v>9629</v>
      </c>
    </row>
    <row r="3808" spans="1:5" x14ac:dyDescent="0.2">
      <c r="A3808" t="s">
        <v>9630</v>
      </c>
      <c r="B3808" t="s">
        <v>9631</v>
      </c>
      <c r="C3808" t="s">
        <v>9584</v>
      </c>
      <c r="D3808" t="s">
        <v>9584</v>
      </c>
      <c r="E3808" t="s">
        <v>9632</v>
      </c>
    </row>
    <row r="3809" spans="1:5" x14ac:dyDescent="0.2">
      <c r="A3809" t="s">
        <v>9633</v>
      </c>
      <c r="B3809" t="s">
        <v>9634</v>
      </c>
      <c r="C3809" t="s">
        <v>9584</v>
      </c>
      <c r="D3809" t="s">
        <v>9584</v>
      </c>
      <c r="E3809" t="s">
        <v>9635</v>
      </c>
    </row>
    <row r="3810" spans="1:5" x14ac:dyDescent="0.2">
      <c r="A3810" t="s">
        <v>9636</v>
      </c>
      <c r="B3810" t="s">
        <v>9637</v>
      </c>
      <c r="C3810" t="s">
        <v>9584</v>
      </c>
      <c r="D3810" t="s">
        <v>9584</v>
      </c>
      <c r="E3810" t="s">
        <v>9638</v>
      </c>
    </row>
    <row r="3811" spans="1:5" x14ac:dyDescent="0.2">
      <c r="A3811" t="s">
        <v>9639</v>
      </c>
      <c r="B3811" t="s">
        <v>9640</v>
      </c>
      <c r="C3811" t="s">
        <v>9584</v>
      </c>
      <c r="D3811" t="s">
        <v>9584</v>
      </c>
      <c r="E3811" t="s">
        <v>9641</v>
      </c>
    </row>
    <row r="3812" spans="1:5" x14ac:dyDescent="0.2">
      <c r="A3812" t="s">
        <v>9642</v>
      </c>
      <c r="B3812" t="s">
        <v>9643</v>
      </c>
      <c r="C3812" t="s">
        <v>9584</v>
      </c>
      <c r="D3812" t="s">
        <v>9584</v>
      </c>
      <c r="E3812" t="s">
        <v>9644</v>
      </c>
    </row>
    <row r="3813" spans="1:5" x14ac:dyDescent="0.2">
      <c r="A3813" t="s">
        <v>9645</v>
      </c>
      <c r="B3813" t="s">
        <v>9646</v>
      </c>
      <c r="C3813" t="s">
        <v>9584</v>
      </c>
      <c r="D3813" t="s">
        <v>9584</v>
      </c>
      <c r="E3813" t="s">
        <v>9647</v>
      </c>
    </row>
    <row r="3814" spans="1:5" x14ac:dyDescent="0.2">
      <c r="A3814" t="s">
        <v>9648</v>
      </c>
      <c r="B3814" t="s">
        <v>9649</v>
      </c>
      <c r="C3814" t="s">
        <v>9584</v>
      </c>
      <c r="D3814" t="s">
        <v>9584</v>
      </c>
      <c r="E3814" t="s">
        <v>9650</v>
      </c>
    </row>
    <row r="3815" spans="1:5" x14ac:dyDescent="0.2">
      <c r="A3815" t="s">
        <v>9651</v>
      </c>
      <c r="B3815" t="s">
        <v>9652</v>
      </c>
      <c r="C3815" t="s">
        <v>9584</v>
      </c>
      <c r="D3815" t="s">
        <v>9584</v>
      </c>
      <c r="E3815" t="s">
        <v>9653</v>
      </c>
    </row>
    <row r="3816" spans="1:5" x14ac:dyDescent="0.2">
      <c r="A3816" t="s">
        <v>9654</v>
      </c>
      <c r="B3816" t="s">
        <v>9655</v>
      </c>
      <c r="C3816" t="s">
        <v>9584</v>
      </c>
      <c r="D3816" t="s">
        <v>9584</v>
      </c>
      <c r="E3816" t="s">
        <v>9656</v>
      </c>
    </row>
    <row r="3817" spans="1:5" x14ac:dyDescent="0.2">
      <c r="A3817" t="s">
        <v>9657</v>
      </c>
      <c r="B3817" t="s">
        <v>9658</v>
      </c>
      <c r="C3817" t="s">
        <v>9584</v>
      </c>
      <c r="D3817" t="s">
        <v>9584</v>
      </c>
      <c r="E3817" t="s">
        <v>9659</v>
      </c>
    </row>
    <row r="3818" spans="1:5" x14ac:dyDescent="0.2">
      <c r="A3818" t="s">
        <v>9660</v>
      </c>
      <c r="B3818" t="s">
        <v>9661</v>
      </c>
      <c r="C3818" t="s">
        <v>9584</v>
      </c>
      <c r="D3818" t="s">
        <v>9584</v>
      </c>
      <c r="E3818" t="s">
        <v>9662</v>
      </c>
    </row>
    <row r="3819" spans="1:5" x14ac:dyDescent="0.2">
      <c r="A3819" t="s">
        <v>9663</v>
      </c>
      <c r="B3819" t="s">
        <v>9664</v>
      </c>
      <c r="C3819" t="s">
        <v>9584</v>
      </c>
      <c r="D3819" t="s">
        <v>9584</v>
      </c>
      <c r="E3819" t="s">
        <v>9665</v>
      </c>
    </row>
    <row r="3820" spans="1:5" x14ac:dyDescent="0.2">
      <c r="A3820" t="s">
        <v>9666</v>
      </c>
      <c r="B3820" t="s">
        <v>9667</v>
      </c>
      <c r="C3820" t="s">
        <v>9584</v>
      </c>
      <c r="D3820" t="s">
        <v>9584</v>
      </c>
      <c r="E3820" t="s">
        <v>9668</v>
      </c>
    </row>
    <row r="3821" spans="1:5" x14ac:dyDescent="0.2">
      <c r="A3821" t="s">
        <v>9669</v>
      </c>
      <c r="B3821" t="s">
        <v>9670</v>
      </c>
      <c r="C3821" t="s">
        <v>9584</v>
      </c>
      <c r="D3821" t="s">
        <v>9584</v>
      </c>
      <c r="E3821" t="s">
        <v>9671</v>
      </c>
    </row>
    <row r="3822" spans="1:5" x14ac:dyDescent="0.2">
      <c r="A3822" t="s">
        <v>9672</v>
      </c>
      <c r="B3822" t="s">
        <v>9673</v>
      </c>
      <c r="C3822" t="s">
        <v>9584</v>
      </c>
      <c r="D3822" t="s">
        <v>9584</v>
      </c>
      <c r="E3822" t="s">
        <v>9674</v>
      </c>
    </row>
    <row r="3823" spans="1:5" x14ac:dyDescent="0.2">
      <c r="A3823" t="s">
        <v>9675</v>
      </c>
      <c r="B3823" t="s">
        <v>9676</v>
      </c>
      <c r="C3823" t="s">
        <v>9584</v>
      </c>
      <c r="D3823" t="s">
        <v>9584</v>
      </c>
      <c r="E3823" t="s">
        <v>9677</v>
      </c>
    </row>
    <row r="3824" spans="1:5" x14ac:dyDescent="0.2">
      <c r="A3824" t="s">
        <v>9678</v>
      </c>
      <c r="B3824" t="s">
        <v>9679</v>
      </c>
      <c r="C3824" t="s">
        <v>9584</v>
      </c>
      <c r="D3824" t="s">
        <v>9584</v>
      </c>
      <c r="E3824" t="s">
        <v>9680</v>
      </c>
    </row>
    <row r="3825" spans="1:5" x14ac:dyDescent="0.2">
      <c r="A3825" t="s">
        <v>9681</v>
      </c>
      <c r="B3825" t="s">
        <v>9682</v>
      </c>
      <c r="C3825" t="s">
        <v>9584</v>
      </c>
      <c r="D3825" t="s">
        <v>9584</v>
      </c>
      <c r="E3825" t="s">
        <v>9683</v>
      </c>
    </row>
    <row r="3826" spans="1:5" x14ac:dyDescent="0.2">
      <c r="A3826" t="s">
        <v>9684</v>
      </c>
      <c r="B3826" t="s">
        <v>9685</v>
      </c>
      <c r="C3826" t="s">
        <v>9584</v>
      </c>
      <c r="D3826" t="s">
        <v>9584</v>
      </c>
      <c r="E3826" t="s">
        <v>9686</v>
      </c>
    </row>
    <row r="3827" spans="1:5" x14ac:dyDescent="0.2">
      <c r="A3827" t="s">
        <v>9687</v>
      </c>
      <c r="B3827" t="s">
        <v>9688</v>
      </c>
      <c r="C3827" t="s">
        <v>9584</v>
      </c>
      <c r="D3827" t="s">
        <v>9584</v>
      </c>
      <c r="E3827" t="s">
        <v>9689</v>
      </c>
    </row>
    <row r="3828" spans="1:5" x14ac:dyDescent="0.2">
      <c r="A3828" t="s">
        <v>9690</v>
      </c>
      <c r="B3828" t="s">
        <v>9691</v>
      </c>
      <c r="C3828" t="s">
        <v>9584</v>
      </c>
      <c r="D3828" t="s">
        <v>9584</v>
      </c>
      <c r="E3828" t="s">
        <v>9692</v>
      </c>
    </row>
    <row r="3829" spans="1:5" x14ac:dyDescent="0.2">
      <c r="A3829" t="s">
        <v>9693</v>
      </c>
      <c r="B3829" t="s">
        <v>9694</v>
      </c>
      <c r="C3829" t="s">
        <v>9584</v>
      </c>
      <c r="D3829" t="s">
        <v>9584</v>
      </c>
      <c r="E3829" t="s">
        <v>9695</v>
      </c>
    </row>
    <row r="3830" spans="1:5" x14ac:dyDescent="0.2">
      <c r="A3830" t="s">
        <v>9696</v>
      </c>
      <c r="B3830" t="s">
        <v>9697</v>
      </c>
      <c r="C3830" t="s">
        <v>9584</v>
      </c>
      <c r="D3830" t="s">
        <v>9584</v>
      </c>
      <c r="E3830" t="s">
        <v>9585</v>
      </c>
    </row>
    <row r="3831" spans="1:5" x14ac:dyDescent="0.2">
      <c r="A3831" t="s">
        <v>9698</v>
      </c>
      <c r="B3831" t="s">
        <v>9699</v>
      </c>
      <c r="C3831" t="s">
        <v>9584</v>
      </c>
      <c r="D3831" t="s">
        <v>9584</v>
      </c>
      <c r="E3831" t="s">
        <v>9700</v>
      </c>
    </row>
    <row r="3832" spans="1:5" x14ac:dyDescent="0.2">
      <c r="A3832" t="s">
        <v>9701</v>
      </c>
      <c r="B3832" t="s">
        <v>9702</v>
      </c>
      <c r="C3832" t="s">
        <v>9584</v>
      </c>
      <c r="D3832" t="s">
        <v>9584</v>
      </c>
      <c r="E3832" t="s">
        <v>9703</v>
      </c>
    </row>
    <row r="3833" spans="1:5" x14ac:dyDescent="0.2">
      <c r="A3833" t="s">
        <v>9704</v>
      </c>
      <c r="B3833" t="s">
        <v>9705</v>
      </c>
      <c r="C3833" t="s">
        <v>9584</v>
      </c>
      <c r="D3833" t="s">
        <v>9584</v>
      </c>
      <c r="E3833" t="s">
        <v>9706</v>
      </c>
    </row>
    <row r="3834" spans="1:5" x14ac:dyDescent="0.2">
      <c r="A3834" t="s">
        <v>9707</v>
      </c>
      <c r="B3834" t="s">
        <v>9708</v>
      </c>
      <c r="C3834" t="s">
        <v>9584</v>
      </c>
      <c r="D3834" t="s">
        <v>9584</v>
      </c>
      <c r="E3834" t="s">
        <v>9709</v>
      </c>
    </row>
    <row r="3835" spans="1:5" x14ac:dyDescent="0.2">
      <c r="A3835" t="s">
        <v>9710</v>
      </c>
      <c r="B3835" t="s">
        <v>9711</v>
      </c>
      <c r="C3835" t="s">
        <v>9584</v>
      </c>
      <c r="D3835" t="s">
        <v>9584</v>
      </c>
      <c r="E3835" t="s">
        <v>9712</v>
      </c>
    </row>
    <row r="3836" spans="1:5" x14ac:dyDescent="0.2">
      <c r="A3836" t="s">
        <v>9713</v>
      </c>
      <c r="B3836" t="s">
        <v>9714</v>
      </c>
      <c r="C3836" t="s">
        <v>9584</v>
      </c>
      <c r="D3836" t="s">
        <v>9584</v>
      </c>
      <c r="E3836" t="s">
        <v>9715</v>
      </c>
    </row>
    <row r="3837" spans="1:5" x14ac:dyDescent="0.2">
      <c r="A3837" t="s">
        <v>9716</v>
      </c>
      <c r="B3837" t="s">
        <v>9717</v>
      </c>
      <c r="C3837" t="s">
        <v>9584</v>
      </c>
      <c r="D3837" t="s">
        <v>9584</v>
      </c>
      <c r="E3837" t="s">
        <v>9718</v>
      </c>
    </row>
    <row r="3838" spans="1:5" x14ac:dyDescent="0.2">
      <c r="A3838" t="s">
        <v>9719</v>
      </c>
      <c r="B3838" t="s">
        <v>9720</v>
      </c>
      <c r="C3838" t="s">
        <v>9584</v>
      </c>
      <c r="D3838" t="s">
        <v>9584</v>
      </c>
      <c r="E3838" t="s">
        <v>9721</v>
      </c>
    </row>
    <row r="3839" spans="1:5" x14ac:dyDescent="0.2">
      <c r="A3839" t="s">
        <v>9722</v>
      </c>
      <c r="B3839" t="s">
        <v>9723</v>
      </c>
      <c r="C3839" t="s">
        <v>9724</v>
      </c>
      <c r="D3839" t="s">
        <v>9724</v>
      </c>
      <c r="E3839" t="s">
        <v>9725</v>
      </c>
    </row>
    <row r="3840" spans="1:5" x14ac:dyDescent="0.2">
      <c r="A3840" t="s">
        <v>9726</v>
      </c>
      <c r="B3840" t="s">
        <v>9727</v>
      </c>
      <c r="C3840" t="s">
        <v>9724</v>
      </c>
      <c r="D3840" t="s">
        <v>9724</v>
      </c>
      <c r="E3840" t="s">
        <v>9728</v>
      </c>
    </row>
    <row r="3841" spans="1:5" x14ac:dyDescent="0.2">
      <c r="A3841" t="s">
        <v>9729</v>
      </c>
      <c r="B3841" t="s">
        <v>9730</v>
      </c>
      <c r="C3841" t="s">
        <v>9724</v>
      </c>
      <c r="D3841" t="s">
        <v>9724</v>
      </c>
      <c r="E3841" t="s">
        <v>9731</v>
      </c>
    </row>
    <row r="3842" spans="1:5" x14ac:dyDescent="0.2">
      <c r="A3842" t="s">
        <v>9732</v>
      </c>
      <c r="B3842" t="s">
        <v>9733</v>
      </c>
      <c r="C3842" t="s">
        <v>9724</v>
      </c>
      <c r="D3842" t="s">
        <v>9724</v>
      </c>
      <c r="E3842" t="s">
        <v>9734</v>
      </c>
    </row>
    <row r="3843" spans="1:5" x14ac:dyDescent="0.2">
      <c r="A3843" t="s">
        <v>9735</v>
      </c>
      <c r="B3843" t="s">
        <v>9736</v>
      </c>
      <c r="C3843" t="s">
        <v>9724</v>
      </c>
      <c r="D3843" t="s">
        <v>9724</v>
      </c>
      <c r="E3843" t="s">
        <v>9737</v>
      </c>
    </row>
    <row r="3844" spans="1:5" x14ac:dyDescent="0.2">
      <c r="A3844" t="s">
        <v>9738</v>
      </c>
      <c r="B3844" t="s">
        <v>9739</v>
      </c>
      <c r="C3844" t="s">
        <v>9724</v>
      </c>
      <c r="D3844" t="s">
        <v>9724</v>
      </c>
      <c r="E3844" t="s">
        <v>9740</v>
      </c>
    </row>
    <row r="3845" spans="1:5" x14ac:dyDescent="0.2">
      <c r="A3845" t="s">
        <v>9741</v>
      </c>
      <c r="B3845" t="s">
        <v>9742</v>
      </c>
      <c r="C3845" t="s">
        <v>9724</v>
      </c>
      <c r="D3845" t="s">
        <v>9724</v>
      </c>
      <c r="E3845" t="s">
        <v>9743</v>
      </c>
    </row>
    <row r="3846" spans="1:5" x14ac:dyDescent="0.2">
      <c r="A3846" t="s">
        <v>9744</v>
      </c>
      <c r="B3846" t="s">
        <v>9745</v>
      </c>
      <c r="C3846" t="s">
        <v>9724</v>
      </c>
      <c r="D3846" t="s">
        <v>9724</v>
      </c>
      <c r="E3846" t="s">
        <v>9746</v>
      </c>
    </row>
    <row r="3847" spans="1:5" x14ac:dyDescent="0.2">
      <c r="A3847" t="s">
        <v>9747</v>
      </c>
      <c r="B3847" t="s">
        <v>9748</v>
      </c>
      <c r="C3847" t="s">
        <v>9724</v>
      </c>
      <c r="D3847" t="s">
        <v>9724</v>
      </c>
      <c r="E3847" t="s">
        <v>9749</v>
      </c>
    </row>
    <row r="3848" spans="1:5" x14ac:dyDescent="0.2">
      <c r="A3848" t="s">
        <v>9750</v>
      </c>
      <c r="B3848" t="s">
        <v>9751</v>
      </c>
      <c r="C3848" t="s">
        <v>9724</v>
      </c>
      <c r="D3848" t="s">
        <v>9724</v>
      </c>
      <c r="E3848" t="s">
        <v>9752</v>
      </c>
    </row>
    <row r="3849" spans="1:5" x14ac:dyDescent="0.2">
      <c r="A3849" t="s">
        <v>9753</v>
      </c>
      <c r="B3849" t="s">
        <v>9754</v>
      </c>
      <c r="C3849" t="s">
        <v>9724</v>
      </c>
      <c r="D3849" t="s">
        <v>9724</v>
      </c>
      <c r="E3849" t="s">
        <v>9755</v>
      </c>
    </row>
    <row r="3850" spans="1:5" x14ac:dyDescent="0.2">
      <c r="A3850" t="s">
        <v>9756</v>
      </c>
      <c r="B3850" t="s">
        <v>9757</v>
      </c>
      <c r="C3850" t="s">
        <v>9724</v>
      </c>
      <c r="D3850" t="s">
        <v>9724</v>
      </c>
      <c r="E3850" t="s">
        <v>9758</v>
      </c>
    </row>
    <row r="3851" spans="1:5" x14ac:dyDescent="0.2">
      <c r="A3851" t="s">
        <v>9759</v>
      </c>
      <c r="B3851" t="s">
        <v>9760</v>
      </c>
      <c r="C3851" t="s">
        <v>9724</v>
      </c>
      <c r="D3851" t="s">
        <v>9724</v>
      </c>
      <c r="E3851" t="s">
        <v>9761</v>
      </c>
    </row>
    <row r="3852" spans="1:5" x14ac:dyDescent="0.2">
      <c r="A3852" t="s">
        <v>9762</v>
      </c>
      <c r="B3852" t="s">
        <v>9763</v>
      </c>
      <c r="C3852" t="s">
        <v>9724</v>
      </c>
      <c r="D3852" t="s">
        <v>9724</v>
      </c>
      <c r="E3852" t="s">
        <v>9764</v>
      </c>
    </row>
    <row r="3853" spans="1:5" x14ac:dyDescent="0.2">
      <c r="A3853" t="s">
        <v>9765</v>
      </c>
      <c r="B3853" t="s">
        <v>9766</v>
      </c>
      <c r="C3853" t="s">
        <v>9724</v>
      </c>
      <c r="D3853" t="s">
        <v>9724</v>
      </c>
      <c r="E3853" t="s">
        <v>9767</v>
      </c>
    </row>
    <row r="3854" spans="1:5" x14ac:dyDescent="0.2">
      <c r="A3854" t="s">
        <v>9768</v>
      </c>
      <c r="B3854" t="s">
        <v>9769</v>
      </c>
      <c r="C3854" t="s">
        <v>9724</v>
      </c>
      <c r="D3854" t="s">
        <v>9724</v>
      </c>
      <c r="E3854" t="s">
        <v>9728</v>
      </c>
    </row>
    <row r="3855" spans="1:5" x14ac:dyDescent="0.2">
      <c r="A3855" t="s">
        <v>9770</v>
      </c>
      <c r="B3855" t="s">
        <v>9771</v>
      </c>
      <c r="C3855" t="s">
        <v>9724</v>
      </c>
      <c r="D3855" t="s">
        <v>9724</v>
      </c>
      <c r="E3855" t="s">
        <v>9772</v>
      </c>
    </row>
    <row r="3856" spans="1:5" x14ac:dyDescent="0.2">
      <c r="A3856" t="s">
        <v>9773</v>
      </c>
      <c r="B3856" t="s">
        <v>9774</v>
      </c>
      <c r="C3856" t="s">
        <v>9724</v>
      </c>
      <c r="D3856" t="s">
        <v>9724</v>
      </c>
      <c r="E3856" t="s">
        <v>9775</v>
      </c>
    </row>
    <row r="3857" spans="1:5" x14ac:dyDescent="0.2">
      <c r="A3857" t="s">
        <v>9776</v>
      </c>
      <c r="B3857" t="s">
        <v>9777</v>
      </c>
      <c r="C3857" t="s">
        <v>9724</v>
      </c>
      <c r="D3857" t="s">
        <v>9724</v>
      </c>
      <c r="E3857" t="s">
        <v>9778</v>
      </c>
    </row>
    <row r="3858" spans="1:5" x14ac:dyDescent="0.2">
      <c r="A3858" t="s">
        <v>9779</v>
      </c>
      <c r="B3858" t="s">
        <v>9780</v>
      </c>
      <c r="C3858" t="s">
        <v>9724</v>
      </c>
      <c r="D3858" t="s">
        <v>9724</v>
      </c>
      <c r="E3858" t="s">
        <v>9781</v>
      </c>
    </row>
    <row r="3859" spans="1:5" x14ac:dyDescent="0.2">
      <c r="A3859" t="s">
        <v>9782</v>
      </c>
      <c r="B3859" t="s">
        <v>9783</v>
      </c>
      <c r="C3859" t="s">
        <v>9724</v>
      </c>
      <c r="D3859" t="s">
        <v>9724</v>
      </c>
      <c r="E3859" t="s">
        <v>9784</v>
      </c>
    </row>
    <row r="3860" spans="1:5" x14ac:dyDescent="0.2">
      <c r="A3860" t="s">
        <v>9785</v>
      </c>
      <c r="B3860" t="s">
        <v>9786</v>
      </c>
      <c r="C3860" t="s">
        <v>9724</v>
      </c>
      <c r="D3860" t="s">
        <v>9724</v>
      </c>
      <c r="E3860" t="s">
        <v>9787</v>
      </c>
    </row>
    <row r="3861" spans="1:5" x14ac:dyDescent="0.2">
      <c r="A3861" t="s">
        <v>9788</v>
      </c>
      <c r="B3861" t="s">
        <v>9789</v>
      </c>
      <c r="C3861" t="s">
        <v>9724</v>
      </c>
      <c r="D3861" t="s">
        <v>9724</v>
      </c>
      <c r="E3861" t="s">
        <v>9790</v>
      </c>
    </row>
    <row r="3862" spans="1:5" x14ac:dyDescent="0.2">
      <c r="A3862" t="s">
        <v>9791</v>
      </c>
      <c r="B3862" t="s">
        <v>9792</v>
      </c>
      <c r="C3862" t="s">
        <v>9724</v>
      </c>
      <c r="D3862" t="s">
        <v>9724</v>
      </c>
      <c r="E3862" t="s">
        <v>9793</v>
      </c>
    </row>
    <row r="3863" spans="1:5" x14ac:dyDescent="0.2">
      <c r="A3863" t="s">
        <v>9794</v>
      </c>
      <c r="B3863" t="s">
        <v>9795</v>
      </c>
      <c r="C3863" t="s">
        <v>9724</v>
      </c>
      <c r="D3863" t="s">
        <v>9724</v>
      </c>
      <c r="E3863" t="s">
        <v>9796</v>
      </c>
    </row>
    <row r="3864" spans="1:5" x14ac:dyDescent="0.2">
      <c r="A3864" t="s">
        <v>9797</v>
      </c>
      <c r="B3864" t="s">
        <v>9798</v>
      </c>
      <c r="C3864" t="s">
        <v>9724</v>
      </c>
      <c r="D3864" t="s">
        <v>9724</v>
      </c>
      <c r="E3864" t="s">
        <v>9799</v>
      </c>
    </row>
    <row r="3865" spans="1:5" x14ac:dyDescent="0.2">
      <c r="A3865" t="s">
        <v>9800</v>
      </c>
      <c r="B3865" t="s">
        <v>9801</v>
      </c>
      <c r="C3865" t="s">
        <v>9724</v>
      </c>
      <c r="D3865" t="s">
        <v>9724</v>
      </c>
      <c r="E3865" t="s">
        <v>9764</v>
      </c>
    </row>
    <row r="3866" spans="1:5" x14ac:dyDescent="0.2">
      <c r="A3866" t="s">
        <v>9802</v>
      </c>
      <c r="B3866" t="s">
        <v>9803</v>
      </c>
      <c r="C3866" t="s">
        <v>9724</v>
      </c>
      <c r="D3866" t="s">
        <v>9724</v>
      </c>
      <c r="E3866" t="s">
        <v>9804</v>
      </c>
    </row>
    <row r="3867" spans="1:5" x14ac:dyDescent="0.2">
      <c r="A3867" t="s">
        <v>9805</v>
      </c>
      <c r="B3867" t="s">
        <v>9806</v>
      </c>
      <c r="C3867" t="s">
        <v>9724</v>
      </c>
      <c r="D3867" t="s">
        <v>9724</v>
      </c>
      <c r="E3867" t="s">
        <v>9807</v>
      </c>
    </row>
    <row r="3868" spans="1:5" x14ac:dyDescent="0.2">
      <c r="A3868" t="s">
        <v>9808</v>
      </c>
      <c r="B3868" t="s">
        <v>9809</v>
      </c>
      <c r="C3868" t="s">
        <v>9724</v>
      </c>
      <c r="D3868" t="s">
        <v>9724</v>
      </c>
      <c r="E3868" t="s">
        <v>9728</v>
      </c>
    </row>
    <row r="3869" spans="1:5" x14ac:dyDescent="0.2">
      <c r="A3869" t="s">
        <v>9810</v>
      </c>
      <c r="B3869" t="s">
        <v>9811</v>
      </c>
      <c r="C3869" t="s">
        <v>9724</v>
      </c>
      <c r="D3869" t="s">
        <v>9724</v>
      </c>
      <c r="E3869" t="s">
        <v>9812</v>
      </c>
    </row>
    <row r="3870" spans="1:5" x14ac:dyDescent="0.2">
      <c r="A3870" t="s">
        <v>9813</v>
      </c>
      <c r="B3870" t="s">
        <v>9814</v>
      </c>
      <c r="C3870" t="s">
        <v>9724</v>
      </c>
      <c r="D3870" t="s">
        <v>9724</v>
      </c>
      <c r="E3870" t="s">
        <v>9815</v>
      </c>
    </row>
    <row r="3871" spans="1:5" x14ac:dyDescent="0.2">
      <c r="A3871" t="s">
        <v>9816</v>
      </c>
      <c r="B3871" t="s">
        <v>9817</v>
      </c>
      <c r="C3871" t="s">
        <v>9724</v>
      </c>
      <c r="D3871" t="s">
        <v>9724</v>
      </c>
      <c r="E3871" t="s">
        <v>9818</v>
      </c>
    </row>
    <row r="3872" spans="1:5" x14ac:dyDescent="0.2">
      <c r="A3872" t="s">
        <v>9819</v>
      </c>
      <c r="B3872" t="s">
        <v>9820</v>
      </c>
      <c r="C3872" t="s">
        <v>9724</v>
      </c>
      <c r="D3872" t="s">
        <v>9724</v>
      </c>
      <c r="E3872" t="s">
        <v>9821</v>
      </c>
    </row>
    <row r="3873" spans="1:5" x14ac:dyDescent="0.2">
      <c r="A3873" t="s">
        <v>9822</v>
      </c>
      <c r="B3873" t="s">
        <v>9823</v>
      </c>
      <c r="C3873" t="s">
        <v>9724</v>
      </c>
      <c r="D3873" t="s">
        <v>9724</v>
      </c>
      <c r="E3873" t="s">
        <v>9824</v>
      </c>
    </row>
    <row r="3874" spans="1:5" x14ac:dyDescent="0.2">
      <c r="A3874" t="s">
        <v>9825</v>
      </c>
      <c r="B3874" t="s">
        <v>9826</v>
      </c>
      <c r="C3874" t="s">
        <v>9724</v>
      </c>
      <c r="D3874" t="s">
        <v>9724</v>
      </c>
      <c r="E3874" t="s">
        <v>9827</v>
      </c>
    </row>
    <row r="3875" spans="1:5" x14ac:dyDescent="0.2">
      <c r="A3875" t="s">
        <v>9828</v>
      </c>
      <c r="B3875" t="s">
        <v>9829</v>
      </c>
      <c r="C3875" t="s">
        <v>9724</v>
      </c>
      <c r="D3875" t="s">
        <v>9724</v>
      </c>
      <c r="E3875" t="s">
        <v>9728</v>
      </c>
    </row>
    <row r="3876" spans="1:5" x14ac:dyDescent="0.2">
      <c r="A3876" t="s">
        <v>9830</v>
      </c>
      <c r="B3876" t="s">
        <v>9831</v>
      </c>
      <c r="C3876" t="s">
        <v>9724</v>
      </c>
      <c r="D3876" t="s">
        <v>9724</v>
      </c>
      <c r="E3876" t="s">
        <v>9728</v>
      </c>
    </row>
    <row r="3877" spans="1:5" x14ac:dyDescent="0.2">
      <c r="A3877" t="s">
        <v>9832</v>
      </c>
      <c r="B3877" t="s">
        <v>9833</v>
      </c>
      <c r="C3877" t="s">
        <v>9724</v>
      </c>
      <c r="D3877" t="s">
        <v>9724</v>
      </c>
      <c r="E3877" t="s">
        <v>9834</v>
      </c>
    </row>
    <row r="3878" spans="1:5" x14ac:dyDescent="0.2">
      <c r="A3878" t="s">
        <v>9835</v>
      </c>
      <c r="B3878" t="s">
        <v>9836</v>
      </c>
      <c r="C3878" t="s">
        <v>9724</v>
      </c>
      <c r="D3878" t="s">
        <v>9724</v>
      </c>
      <c r="E3878" t="s">
        <v>9837</v>
      </c>
    </row>
    <row r="3879" spans="1:5" x14ac:dyDescent="0.2">
      <c r="A3879" t="s">
        <v>9838</v>
      </c>
      <c r="B3879" t="s">
        <v>9839</v>
      </c>
      <c r="C3879" t="s">
        <v>9724</v>
      </c>
      <c r="D3879" t="s">
        <v>9724</v>
      </c>
      <c r="E3879" t="s">
        <v>9840</v>
      </c>
    </row>
    <row r="3880" spans="1:5" x14ac:dyDescent="0.2">
      <c r="A3880" t="s">
        <v>9841</v>
      </c>
      <c r="B3880" t="s">
        <v>9842</v>
      </c>
      <c r="C3880" t="s">
        <v>9724</v>
      </c>
      <c r="D3880" t="s">
        <v>9724</v>
      </c>
      <c r="E3880" t="s">
        <v>9843</v>
      </c>
    </row>
    <row r="3881" spans="1:5" x14ac:dyDescent="0.2">
      <c r="A3881" t="s">
        <v>9844</v>
      </c>
      <c r="B3881" t="s">
        <v>9845</v>
      </c>
      <c r="C3881" t="s">
        <v>9724</v>
      </c>
      <c r="D3881" t="s">
        <v>9724</v>
      </c>
      <c r="E3881" t="s">
        <v>9846</v>
      </c>
    </row>
    <row r="3882" spans="1:5" x14ac:dyDescent="0.2">
      <c r="A3882" t="s">
        <v>9847</v>
      </c>
      <c r="B3882" t="s">
        <v>9848</v>
      </c>
      <c r="C3882" t="s">
        <v>9724</v>
      </c>
      <c r="D3882" t="s">
        <v>9724</v>
      </c>
      <c r="E3882" t="s">
        <v>9734</v>
      </c>
    </row>
    <row r="3883" spans="1:5" x14ac:dyDescent="0.2">
      <c r="A3883" t="s">
        <v>9849</v>
      </c>
      <c r="B3883" t="s">
        <v>9850</v>
      </c>
      <c r="C3883" t="s">
        <v>9724</v>
      </c>
      <c r="D3883" t="s">
        <v>9724</v>
      </c>
      <c r="E3883" t="s">
        <v>9851</v>
      </c>
    </row>
    <row r="3884" spans="1:5" x14ac:dyDescent="0.2">
      <c r="A3884" t="s">
        <v>9852</v>
      </c>
      <c r="B3884" t="s">
        <v>9853</v>
      </c>
      <c r="C3884" t="s">
        <v>9724</v>
      </c>
      <c r="D3884" t="s">
        <v>9724</v>
      </c>
      <c r="E3884" t="s">
        <v>9854</v>
      </c>
    </row>
    <row r="3885" spans="1:5" x14ac:dyDescent="0.2">
      <c r="A3885" t="s">
        <v>9855</v>
      </c>
      <c r="B3885" t="s">
        <v>9856</v>
      </c>
      <c r="C3885" t="s">
        <v>9724</v>
      </c>
      <c r="D3885" t="s">
        <v>9724</v>
      </c>
      <c r="E3885" t="s">
        <v>9857</v>
      </c>
    </row>
    <row r="3886" spans="1:5" x14ac:dyDescent="0.2">
      <c r="A3886" t="s">
        <v>9858</v>
      </c>
      <c r="B3886" t="s">
        <v>9859</v>
      </c>
      <c r="C3886" t="s">
        <v>9724</v>
      </c>
      <c r="D3886" t="s">
        <v>9724</v>
      </c>
      <c r="E3886" t="s">
        <v>9860</v>
      </c>
    </row>
    <row r="3887" spans="1:5" x14ac:dyDescent="0.2">
      <c r="A3887" t="s">
        <v>9861</v>
      </c>
      <c r="B3887" t="s">
        <v>9862</v>
      </c>
      <c r="C3887" t="s">
        <v>9724</v>
      </c>
      <c r="D3887" t="s">
        <v>9724</v>
      </c>
      <c r="E3887" t="s">
        <v>9863</v>
      </c>
    </row>
    <row r="3888" spans="1:5" x14ac:dyDescent="0.2">
      <c r="A3888" t="s">
        <v>9864</v>
      </c>
      <c r="B3888" t="s">
        <v>9865</v>
      </c>
      <c r="C3888" t="s">
        <v>9724</v>
      </c>
      <c r="D3888" t="s">
        <v>9724</v>
      </c>
      <c r="E3888" t="s">
        <v>9866</v>
      </c>
    </row>
    <row r="3889" spans="1:5" x14ac:dyDescent="0.2">
      <c r="A3889" t="s">
        <v>9867</v>
      </c>
      <c r="B3889" t="s">
        <v>9868</v>
      </c>
      <c r="C3889" t="s">
        <v>9724</v>
      </c>
      <c r="D3889" t="s">
        <v>9724</v>
      </c>
      <c r="E3889" t="s">
        <v>9869</v>
      </c>
    </row>
    <row r="3890" spans="1:5" x14ac:dyDescent="0.2">
      <c r="A3890" t="s">
        <v>9870</v>
      </c>
      <c r="B3890" t="s">
        <v>9871</v>
      </c>
      <c r="C3890" t="s">
        <v>9724</v>
      </c>
      <c r="D3890" t="s">
        <v>9724</v>
      </c>
      <c r="E3890" t="s">
        <v>9872</v>
      </c>
    </row>
    <row r="3891" spans="1:5" x14ac:dyDescent="0.2">
      <c r="A3891" t="s">
        <v>9873</v>
      </c>
      <c r="B3891" t="s">
        <v>9874</v>
      </c>
      <c r="C3891" t="s">
        <v>9724</v>
      </c>
      <c r="D3891" t="s">
        <v>9724</v>
      </c>
      <c r="E3891" t="s">
        <v>9875</v>
      </c>
    </row>
    <row r="3892" spans="1:5" x14ac:dyDescent="0.2">
      <c r="A3892" t="s">
        <v>9876</v>
      </c>
      <c r="B3892" t="s">
        <v>9877</v>
      </c>
      <c r="C3892" t="s">
        <v>9724</v>
      </c>
      <c r="D3892" t="e">
        <v>#N/A</v>
      </c>
      <c r="E3892" t="e">
        <v>#N/A</v>
      </c>
    </row>
    <row r="3893" spans="1:5" x14ac:dyDescent="0.2">
      <c r="A3893" t="s">
        <v>9878</v>
      </c>
      <c r="B3893" t="s">
        <v>9879</v>
      </c>
      <c r="C3893" t="s">
        <v>9724</v>
      </c>
      <c r="D3893" t="e">
        <v>#N/A</v>
      </c>
      <c r="E3893" t="e">
        <v>#N/A</v>
      </c>
    </row>
    <row r="3894" spans="1:5" x14ac:dyDescent="0.2">
      <c r="A3894" t="s">
        <v>9880</v>
      </c>
      <c r="B3894" t="s">
        <v>9881</v>
      </c>
      <c r="C3894" t="s">
        <v>9882</v>
      </c>
      <c r="D3894" t="s">
        <v>9882</v>
      </c>
      <c r="E3894" t="s">
        <v>9883</v>
      </c>
    </row>
    <row r="3895" spans="1:5" x14ac:dyDescent="0.2">
      <c r="A3895" t="s">
        <v>9884</v>
      </c>
      <c r="B3895" t="s">
        <v>9885</v>
      </c>
      <c r="C3895" t="s">
        <v>9882</v>
      </c>
      <c r="D3895" t="s">
        <v>9882</v>
      </c>
      <c r="E3895" t="s">
        <v>9886</v>
      </c>
    </row>
    <row r="3896" spans="1:5" x14ac:dyDescent="0.2">
      <c r="A3896" t="s">
        <v>9887</v>
      </c>
      <c r="B3896" t="s">
        <v>9888</v>
      </c>
      <c r="C3896" t="s">
        <v>9882</v>
      </c>
      <c r="D3896" t="s">
        <v>9882</v>
      </c>
      <c r="E3896" t="s">
        <v>9889</v>
      </c>
    </row>
    <row r="3897" spans="1:5" x14ac:dyDescent="0.2">
      <c r="A3897" t="s">
        <v>9890</v>
      </c>
      <c r="B3897" t="s">
        <v>9891</v>
      </c>
      <c r="C3897" t="s">
        <v>9882</v>
      </c>
      <c r="D3897" t="s">
        <v>9882</v>
      </c>
      <c r="E3897" t="s">
        <v>9892</v>
      </c>
    </row>
    <row r="3898" spans="1:5" x14ac:dyDescent="0.2">
      <c r="A3898" t="s">
        <v>9893</v>
      </c>
      <c r="B3898" t="s">
        <v>9894</v>
      </c>
      <c r="C3898" t="s">
        <v>9882</v>
      </c>
      <c r="D3898" t="s">
        <v>9882</v>
      </c>
      <c r="E3898" t="s">
        <v>9895</v>
      </c>
    </row>
    <row r="3899" spans="1:5" x14ac:dyDescent="0.2">
      <c r="A3899" t="s">
        <v>9896</v>
      </c>
      <c r="B3899" t="s">
        <v>9897</v>
      </c>
      <c r="C3899" t="s">
        <v>9882</v>
      </c>
      <c r="D3899" t="s">
        <v>9882</v>
      </c>
      <c r="E3899" t="s">
        <v>9898</v>
      </c>
    </row>
    <row r="3900" spans="1:5" x14ac:dyDescent="0.2">
      <c r="A3900" t="s">
        <v>9899</v>
      </c>
      <c r="B3900" t="s">
        <v>9900</v>
      </c>
      <c r="C3900" t="s">
        <v>9882</v>
      </c>
      <c r="D3900" t="s">
        <v>9882</v>
      </c>
      <c r="E3900" t="s">
        <v>9901</v>
      </c>
    </row>
    <row r="3901" spans="1:5" x14ac:dyDescent="0.2">
      <c r="A3901" t="s">
        <v>9902</v>
      </c>
      <c r="B3901" t="s">
        <v>9903</v>
      </c>
      <c r="C3901" t="s">
        <v>9882</v>
      </c>
      <c r="D3901" t="s">
        <v>9882</v>
      </c>
      <c r="E3901" t="s">
        <v>9904</v>
      </c>
    </row>
    <row r="3902" spans="1:5" x14ac:dyDescent="0.2">
      <c r="A3902" t="s">
        <v>9905</v>
      </c>
      <c r="B3902" t="s">
        <v>9906</v>
      </c>
      <c r="C3902" t="s">
        <v>9882</v>
      </c>
      <c r="D3902" t="s">
        <v>9882</v>
      </c>
      <c r="E3902" t="s">
        <v>9907</v>
      </c>
    </row>
    <row r="3903" spans="1:5" x14ac:dyDescent="0.2">
      <c r="A3903" t="s">
        <v>9908</v>
      </c>
      <c r="B3903" t="s">
        <v>9909</v>
      </c>
      <c r="C3903" t="s">
        <v>9882</v>
      </c>
      <c r="D3903" t="s">
        <v>9882</v>
      </c>
      <c r="E3903" t="s">
        <v>9910</v>
      </c>
    </row>
    <row r="3904" spans="1:5" x14ac:dyDescent="0.2">
      <c r="A3904" t="s">
        <v>9911</v>
      </c>
      <c r="B3904" t="s">
        <v>9912</v>
      </c>
      <c r="C3904" t="s">
        <v>9882</v>
      </c>
      <c r="D3904" t="s">
        <v>9882</v>
      </c>
      <c r="E3904" t="s">
        <v>9913</v>
      </c>
    </row>
    <row r="3905" spans="1:5" x14ac:dyDescent="0.2">
      <c r="A3905" t="s">
        <v>9914</v>
      </c>
      <c r="B3905" t="s">
        <v>9915</v>
      </c>
      <c r="C3905" t="s">
        <v>9882</v>
      </c>
      <c r="D3905" t="s">
        <v>9882</v>
      </c>
      <c r="E3905" t="s">
        <v>9910</v>
      </c>
    </row>
    <row r="3906" spans="1:5" x14ac:dyDescent="0.2">
      <c r="A3906" t="s">
        <v>9916</v>
      </c>
      <c r="B3906" t="s">
        <v>9917</v>
      </c>
      <c r="C3906" t="s">
        <v>9882</v>
      </c>
      <c r="D3906" t="s">
        <v>9882</v>
      </c>
      <c r="E3906" t="s">
        <v>9918</v>
      </c>
    </row>
    <row r="3907" spans="1:5" x14ac:dyDescent="0.2">
      <c r="A3907" t="s">
        <v>9919</v>
      </c>
      <c r="B3907" t="s">
        <v>9920</v>
      </c>
      <c r="C3907" t="s">
        <v>9882</v>
      </c>
      <c r="D3907" t="s">
        <v>9882</v>
      </c>
      <c r="E3907" t="s">
        <v>9921</v>
      </c>
    </row>
    <row r="3908" spans="1:5" x14ac:dyDescent="0.2">
      <c r="A3908" t="s">
        <v>9922</v>
      </c>
      <c r="B3908" t="s">
        <v>9923</v>
      </c>
      <c r="C3908" t="s">
        <v>9882</v>
      </c>
      <c r="D3908" t="s">
        <v>9882</v>
      </c>
      <c r="E3908" t="s">
        <v>9924</v>
      </c>
    </row>
    <row r="3909" spans="1:5" x14ac:dyDescent="0.2">
      <c r="A3909" t="s">
        <v>9925</v>
      </c>
      <c r="B3909" t="s">
        <v>9926</v>
      </c>
      <c r="C3909" t="s">
        <v>9882</v>
      </c>
      <c r="D3909" t="s">
        <v>9882</v>
      </c>
      <c r="E3909" t="s">
        <v>9927</v>
      </c>
    </row>
    <row r="3910" spans="1:5" x14ac:dyDescent="0.2">
      <c r="A3910" t="s">
        <v>9928</v>
      </c>
      <c r="B3910" t="s">
        <v>9929</v>
      </c>
      <c r="C3910" t="s">
        <v>9882</v>
      </c>
      <c r="D3910" t="s">
        <v>9882</v>
      </c>
      <c r="E3910" t="s">
        <v>9910</v>
      </c>
    </row>
    <row r="3911" spans="1:5" x14ac:dyDescent="0.2">
      <c r="A3911" t="s">
        <v>9930</v>
      </c>
      <c r="B3911" t="s">
        <v>9931</v>
      </c>
      <c r="C3911" t="s">
        <v>9882</v>
      </c>
      <c r="D3911" t="e">
        <v>#N/A</v>
      </c>
      <c r="E3911" t="e">
        <v>#N/A</v>
      </c>
    </row>
    <row r="3912" spans="1:5" x14ac:dyDescent="0.2">
      <c r="A3912" t="s">
        <v>9932</v>
      </c>
      <c r="B3912" t="s">
        <v>9933</v>
      </c>
      <c r="C3912" t="s">
        <v>9882</v>
      </c>
      <c r="D3912" t="e">
        <v>#N/A</v>
      </c>
      <c r="E3912" t="e">
        <v>#N/A</v>
      </c>
    </row>
    <row r="3913" spans="1:5" x14ac:dyDescent="0.2">
      <c r="A3913" t="s">
        <v>9934</v>
      </c>
      <c r="B3913" t="s">
        <v>9935</v>
      </c>
      <c r="C3913" t="s">
        <v>9882</v>
      </c>
      <c r="D3913" t="e">
        <v>#N/A</v>
      </c>
      <c r="E3913" t="e">
        <v>#N/A</v>
      </c>
    </row>
    <row r="3914" spans="1:5" x14ac:dyDescent="0.2">
      <c r="A3914" t="s">
        <v>9936</v>
      </c>
      <c r="B3914" t="s">
        <v>9937</v>
      </c>
      <c r="C3914" t="s">
        <v>9882</v>
      </c>
      <c r="D3914" t="e">
        <v>#N/A</v>
      </c>
      <c r="E3914" t="e">
        <v>#N/A</v>
      </c>
    </row>
    <row r="3915" spans="1:5" x14ac:dyDescent="0.2">
      <c r="A3915" t="s">
        <v>9938</v>
      </c>
      <c r="B3915" t="s">
        <v>9939</v>
      </c>
      <c r="C3915" t="s">
        <v>9940</v>
      </c>
      <c r="D3915" t="s">
        <v>9940</v>
      </c>
      <c r="E3915" t="s">
        <v>9941</v>
      </c>
    </row>
    <row r="3916" spans="1:5" x14ac:dyDescent="0.2">
      <c r="A3916" t="s">
        <v>9942</v>
      </c>
      <c r="B3916" t="s">
        <v>9943</v>
      </c>
      <c r="C3916" t="s">
        <v>9940</v>
      </c>
      <c r="D3916" t="s">
        <v>9940</v>
      </c>
      <c r="E3916" t="s">
        <v>9944</v>
      </c>
    </row>
    <row r="3917" spans="1:5" x14ac:dyDescent="0.2">
      <c r="A3917" t="s">
        <v>9945</v>
      </c>
      <c r="B3917" t="s">
        <v>9946</v>
      </c>
      <c r="C3917" t="s">
        <v>9940</v>
      </c>
      <c r="D3917" t="s">
        <v>9940</v>
      </c>
      <c r="E3917" t="s">
        <v>9947</v>
      </c>
    </row>
    <row r="3918" spans="1:5" x14ac:dyDescent="0.2">
      <c r="A3918" t="s">
        <v>9948</v>
      </c>
      <c r="B3918" t="s">
        <v>9949</v>
      </c>
      <c r="C3918" t="s">
        <v>9940</v>
      </c>
      <c r="D3918" t="s">
        <v>9940</v>
      </c>
      <c r="E3918" t="s">
        <v>9950</v>
      </c>
    </row>
    <row r="3919" spans="1:5" x14ac:dyDescent="0.2">
      <c r="A3919" t="s">
        <v>9951</v>
      </c>
      <c r="B3919" t="s">
        <v>9952</v>
      </c>
      <c r="C3919" t="s">
        <v>9940</v>
      </c>
      <c r="D3919" t="s">
        <v>9940</v>
      </c>
      <c r="E3919" t="s">
        <v>9947</v>
      </c>
    </row>
    <row r="3920" spans="1:5" x14ac:dyDescent="0.2">
      <c r="A3920" t="s">
        <v>9953</v>
      </c>
      <c r="B3920" t="s">
        <v>9954</v>
      </c>
      <c r="C3920" t="s">
        <v>9940</v>
      </c>
      <c r="D3920" t="s">
        <v>9940</v>
      </c>
      <c r="E3920" t="s">
        <v>9955</v>
      </c>
    </row>
    <row r="3921" spans="1:5" x14ac:dyDescent="0.2">
      <c r="A3921" t="s">
        <v>9956</v>
      </c>
      <c r="B3921" t="s">
        <v>9957</v>
      </c>
      <c r="C3921" t="s">
        <v>9940</v>
      </c>
      <c r="D3921" t="s">
        <v>9940</v>
      </c>
      <c r="E3921" t="s">
        <v>9958</v>
      </c>
    </row>
    <row r="3922" spans="1:5" x14ac:dyDescent="0.2">
      <c r="A3922" t="s">
        <v>9959</v>
      </c>
      <c r="B3922" t="s">
        <v>9960</v>
      </c>
      <c r="C3922" t="s">
        <v>9940</v>
      </c>
      <c r="D3922" t="s">
        <v>9940</v>
      </c>
      <c r="E3922" t="s">
        <v>9961</v>
      </c>
    </row>
    <row r="3923" spans="1:5" x14ac:dyDescent="0.2">
      <c r="A3923" t="s">
        <v>9962</v>
      </c>
      <c r="B3923" t="s">
        <v>9963</v>
      </c>
      <c r="C3923" t="s">
        <v>9940</v>
      </c>
      <c r="D3923" t="s">
        <v>9940</v>
      </c>
      <c r="E3923" t="s">
        <v>9947</v>
      </c>
    </row>
    <row r="3924" spans="1:5" x14ac:dyDescent="0.2">
      <c r="A3924" t="s">
        <v>9964</v>
      </c>
      <c r="B3924" t="s">
        <v>9965</v>
      </c>
      <c r="C3924" t="s">
        <v>9940</v>
      </c>
      <c r="D3924" t="s">
        <v>9940</v>
      </c>
      <c r="E3924" t="s">
        <v>9966</v>
      </c>
    </row>
    <row r="3925" spans="1:5" x14ac:dyDescent="0.2">
      <c r="A3925" t="s">
        <v>9967</v>
      </c>
      <c r="B3925" t="s">
        <v>9968</v>
      </c>
      <c r="C3925" t="s">
        <v>9940</v>
      </c>
      <c r="D3925" t="s">
        <v>9940</v>
      </c>
      <c r="E3925" t="s">
        <v>9947</v>
      </c>
    </row>
    <row r="3926" spans="1:5" x14ac:dyDescent="0.2">
      <c r="A3926" t="s">
        <v>9969</v>
      </c>
      <c r="B3926" t="s">
        <v>9970</v>
      </c>
      <c r="C3926" t="s">
        <v>9940</v>
      </c>
      <c r="D3926" t="s">
        <v>9940</v>
      </c>
      <c r="E3926" t="s">
        <v>9971</v>
      </c>
    </row>
    <row r="3927" spans="1:5" x14ac:dyDescent="0.2">
      <c r="A3927" t="s">
        <v>9972</v>
      </c>
      <c r="B3927" t="s">
        <v>9973</v>
      </c>
      <c r="C3927" t="s">
        <v>9940</v>
      </c>
      <c r="D3927" t="s">
        <v>9940</v>
      </c>
      <c r="E3927" t="s">
        <v>9974</v>
      </c>
    </row>
    <row r="3928" spans="1:5" x14ac:dyDescent="0.2">
      <c r="A3928" t="s">
        <v>9975</v>
      </c>
      <c r="B3928" t="s">
        <v>9976</v>
      </c>
      <c r="C3928" t="s">
        <v>9940</v>
      </c>
      <c r="D3928" t="s">
        <v>9940</v>
      </c>
      <c r="E3928" t="s">
        <v>9977</v>
      </c>
    </row>
    <row r="3929" spans="1:5" x14ac:dyDescent="0.2">
      <c r="A3929" t="s">
        <v>9978</v>
      </c>
      <c r="B3929" t="s">
        <v>9979</v>
      </c>
      <c r="C3929" t="s">
        <v>9940</v>
      </c>
      <c r="D3929" t="s">
        <v>9940</v>
      </c>
      <c r="E3929" t="s">
        <v>9980</v>
      </c>
    </row>
    <row r="3930" spans="1:5" x14ac:dyDescent="0.2">
      <c r="A3930" t="s">
        <v>9981</v>
      </c>
      <c r="B3930" t="s">
        <v>9982</v>
      </c>
      <c r="C3930" t="s">
        <v>9940</v>
      </c>
      <c r="D3930" t="s">
        <v>9940</v>
      </c>
      <c r="E3930" t="s">
        <v>9983</v>
      </c>
    </row>
    <row r="3931" spans="1:5" x14ac:dyDescent="0.2">
      <c r="A3931" t="s">
        <v>9984</v>
      </c>
      <c r="B3931" t="s">
        <v>9985</v>
      </c>
      <c r="C3931" t="s">
        <v>9940</v>
      </c>
      <c r="D3931" t="s">
        <v>9940</v>
      </c>
      <c r="E3931" t="s">
        <v>9986</v>
      </c>
    </row>
    <row r="3932" spans="1:5" x14ac:dyDescent="0.2">
      <c r="A3932" t="s">
        <v>9987</v>
      </c>
      <c r="B3932" t="s">
        <v>9988</v>
      </c>
      <c r="C3932" t="s">
        <v>9940</v>
      </c>
      <c r="D3932" t="s">
        <v>9940</v>
      </c>
      <c r="E3932" t="s">
        <v>9989</v>
      </c>
    </row>
    <row r="3933" spans="1:5" x14ac:dyDescent="0.2">
      <c r="A3933" t="s">
        <v>9990</v>
      </c>
      <c r="B3933" t="s">
        <v>9991</v>
      </c>
      <c r="C3933" t="s">
        <v>9992</v>
      </c>
      <c r="D3933" t="s">
        <v>9992</v>
      </c>
      <c r="E3933" t="s">
        <v>9993</v>
      </c>
    </row>
    <row r="3934" spans="1:5" x14ac:dyDescent="0.2">
      <c r="A3934" t="s">
        <v>9994</v>
      </c>
      <c r="B3934" t="s">
        <v>9995</v>
      </c>
      <c r="C3934" t="s">
        <v>9992</v>
      </c>
      <c r="D3934" t="s">
        <v>9992</v>
      </c>
      <c r="E3934" t="s">
        <v>9996</v>
      </c>
    </row>
    <row r="3935" spans="1:5" x14ac:dyDescent="0.2">
      <c r="A3935" t="s">
        <v>9997</v>
      </c>
      <c r="B3935" t="s">
        <v>9998</v>
      </c>
      <c r="C3935" t="s">
        <v>9992</v>
      </c>
      <c r="D3935" t="s">
        <v>9992</v>
      </c>
      <c r="E3935" t="s">
        <v>9999</v>
      </c>
    </row>
    <row r="3936" spans="1:5" x14ac:dyDescent="0.2">
      <c r="A3936" t="s">
        <v>10000</v>
      </c>
      <c r="B3936" t="s">
        <v>10001</v>
      </c>
      <c r="C3936" t="s">
        <v>9992</v>
      </c>
      <c r="D3936" t="s">
        <v>9992</v>
      </c>
      <c r="E3936" t="s">
        <v>10002</v>
      </c>
    </row>
    <row r="3937" spans="1:5" x14ac:dyDescent="0.2">
      <c r="A3937" t="s">
        <v>10003</v>
      </c>
      <c r="B3937" t="s">
        <v>10004</v>
      </c>
      <c r="C3937" t="s">
        <v>9992</v>
      </c>
      <c r="D3937" t="s">
        <v>9992</v>
      </c>
      <c r="E3937" t="s">
        <v>10005</v>
      </c>
    </row>
    <row r="3938" spans="1:5" x14ac:dyDescent="0.2">
      <c r="A3938" t="s">
        <v>10006</v>
      </c>
      <c r="B3938" t="s">
        <v>10007</v>
      </c>
      <c r="C3938" t="s">
        <v>9992</v>
      </c>
      <c r="D3938" t="s">
        <v>9992</v>
      </c>
      <c r="E3938" t="s">
        <v>10008</v>
      </c>
    </row>
    <row r="3939" spans="1:5" x14ac:dyDescent="0.2">
      <c r="A3939" t="s">
        <v>10009</v>
      </c>
      <c r="B3939" t="s">
        <v>10010</v>
      </c>
      <c r="C3939" t="s">
        <v>9992</v>
      </c>
      <c r="D3939" t="s">
        <v>9992</v>
      </c>
      <c r="E3939" t="s">
        <v>10011</v>
      </c>
    </row>
    <row r="3940" spans="1:5" x14ac:dyDescent="0.2">
      <c r="A3940" t="s">
        <v>10012</v>
      </c>
      <c r="B3940" t="s">
        <v>10013</v>
      </c>
      <c r="C3940" t="s">
        <v>9992</v>
      </c>
      <c r="D3940" t="s">
        <v>9992</v>
      </c>
      <c r="E3940" t="s">
        <v>10014</v>
      </c>
    </row>
    <row r="3941" spans="1:5" x14ac:dyDescent="0.2">
      <c r="A3941" t="s">
        <v>10015</v>
      </c>
      <c r="B3941" t="s">
        <v>10016</v>
      </c>
      <c r="C3941" t="s">
        <v>9992</v>
      </c>
      <c r="D3941" t="s">
        <v>9992</v>
      </c>
      <c r="E3941" t="s">
        <v>10017</v>
      </c>
    </row>
    <row r="3942" spans="1:5" x14ac:dyDescent="0.2">
      <c r="A3942" t="s">
        <v>10018</v>
      </c>
      <c r="B3942" t="s">
        <v>10019</v>
      </c>
      <c r="C3942" t="s">
        <v>9992</v>
      </c>
      <c r="D3942" t="s">
        <v>9992</v>
      </c>
      <c r="E3942" t="s">
        <v>10020</v>
      </c>
    </row>
    <row r="3943" spans="1:5" x14ac:dyDescent="0.2">
      <c r="A3943" t="s">
        <v>10021</v>
      </c>
      <c r="B3943" t="s">
        <v>10022</v>
      </c>
      <c r="C3943" t="s">
        <v>9992</v>
      </c>
      <c r="D3943" t="s">
        <v>9992</v>
      </c>
      <c r="E3943" t="s">
        <v>10023</v>
      </c>
    </row>
    <row r="3944" spans="1:5" x14ac:dyDescent="0.2">
      <c r="A3944" t="s">
        <v>10024</v>
      </c>
      <c r="B3944" t="s">
        <v>10025</v>
      </c>
      <c r="C3944" t="s">
        <v>9992</v>
      </c>
      <c r="D3944" t="s">
        <v>9992</v>
      </c>
      <c r="E3944" t="s">
        <v>10026</v>
      </c>
    </row>
    <row r="3945" spans="1:5" x14ac:dyDescent="0.2">
      <c r="A3945" t="s">
        <v>10027</v>
      </c>
      <c r="B3945" t="s">
        <v>10028</v>
      </c>
      <c r="C3945" t="s">
        <v>9992</v>
      </c>
      <c r="D3945" t="s">
        <v>9992</v>
      </c>
      <c r="E3945" t="s">
        <v>10029</v>
      </c>
    </row>
    <row r="3946" spans="1:5" x14ac:dyDescent="0.2">
      <c r="A3946" t="s">
        <v>10030</v>
      </c>
      <c r="B3946" t="s">
        <v>10031</v>
      </c>
      <c r="C3946" t="s">
        <v>9992</v>
      </c>
      <c r="D3946" t="s">
        <v>9992</v>
      </c>
      <c r="E3946" t="s">
        <v>10032</v>
      </c>
    </row>
    <row r="3947" spans="1:5" x14ac:dyDescent="0.2">
      <c r="A3947" t="s">
        <v>10033</v>
      </c>
      <c r="B3947" t="s">
        <v>10034</v>
      </c>
      <c r="C3947" t="s">
        <v>9992</v>
      </c>
      <c r="D3947" t="s">
        <v>9992</v>
      </c>
      <c r="E3947" t="s">
        <v>10035</v>
      </c>
    </row>
    <row r="3948" spans="1:5" x14ac:dyDescent="0.2">
      <c r="A3948" t="s">
        <v>10036</v>
      </c>
      <c r="B3948" t="s">
        <v>10037</v>
      </c>
      <c r="C3948" t="s">
        <v>9992</v>
      </c>
      <c r="D3948" t="s">
        <v>9992</v>
      </c>
      <c r="E3948" t="s">
        <v>10038</v>
      </c>
    </row>
    <row r="3949" spans="1:5" x14ac:dyDescent="0.2">
      <c r="A3949" t="s">
        <v>10039</v>
      </c>
      <c r="B3949" t="s">
        <v>10040</v>
      </c>
      <c r="C3949" t="s">
        <v>9992</v>
      </c>
      <c r="D3949" t="s">
        <v>9992</v>
      </c>
      <c r="E3949" t="s">
        <v>10041</v>
      </c>
    </row>
    <row r="3950" spans="1:5" x14ac:dyDescent="0.2">
      <c r="A3950" t="s">
        <v>10042</v>
      </c>
      <c r="B3950" t="s">
        <v>10043</v>
      </c>
      <c r="C3950" t="s">
        <v>9992</v>
      </c>
      <c r="D3950" t="s">
        <v>9992</v>
      </c>
      <c r="E3950" t="s">
        <v>10032</v>
      </c>
    </row>
    <row r="3951" spans="1:5" x14ac:dyDescent="0.2">
      <c r="A3951" t="s">
        <v>10044</v>
      </c>
      <c r="B3951" t="s">
        <v>10045</v>
      </c>
      <c r="C3951" t="s">
        <v>9992</v>
      </c>
      <c r="D3951" t="s">
        <v>9992</v>
      </c>
      <c r="E3951" t="s">
        <v>10023</v>
      </c>
    </row>
    <row r="3952" spans="1:5" x14ac:dyDescent="0.2">
      <c r="A3952" t="s">
        <v>10046</v>
      </c>
      <c r="B3952" t="s">
        <v>10047</v>
      </c>
      <c r="C3952" t="s">
        <v>9992</v>
      </c>
      <c r="D3952" t="s">
        <v>9992</v>
      </c>
      <c r="E3952" t="s">
        <v>10048</v>
      </c>
    </row>
    <row r="3953" spans="1:5" x14ac:dyDescent="0.2">
      <c r="A3953" t="s">
        <v>10049</v>
      </c>
      <c r="B3953" t="s">
        <v>10050</v>
      </c>
      <c r="C3953" t="s">
        <v>9992</v>
      </c>
      <c r="D3953" t="s">
        <v>9992</v>
      </c>
      <c r="E3953" t="s">
        <v>10023</v>
      </c>
    </row>
    <row r="3954" spans="1:5" x14ac:dyDescent="0.2">
      <c r="A3954" t="s">
        <v>10051</v>
      </c>
      <c r="B3954" t="s">
        <v>10052</v>
      </c>
      <c r="C3954" t="s">
        <v>9992</v>
      </c>
      <c r="D3954" t="s">
        <v>9992</v>
      </c>
      <c r="E3954" t="s">
        <v>10053</v>
      </c>
    </row>
    <row r="3955" spans="1:5" x14ac:dyDescent="0.2">
      <c r="A3955" t="s">
        <v>10054</v>
      </c>
      <c r="B3955" t="s">
        <v>10055</v>
      </c>
      <c r="C3955" t="s">
        <v>9992</v>
      </c>
      <c r="D3955" t="s">
        <v>9992</v>
      </c>
      <c r="E3955" t="s">
        <v>10032</v>
      </c>
    </row>
    <row r="3956" spans="1:5" x14ac:dyDescent="0.2">
      <c r="A3956" t="s">
        <v>10056</v>
      </c>
      <c r="B3956" t="s">
        <v>10057</v>
      </c>
      <c r="C3956" t="s">
        <v>9992</v>
      </c>
      <c r="D3956" t="s">
        <v>9992</v>
      </c>
      <c r="E3956" t="s">
        <v>9999</v>
      </c>
    </row>
    <row r="3957" spans="1:5" x14ac:dyDescent="0.2">
      <c r="A3957" t="s">
        <v>10058</v>
      </c>
      <c r="B3957" t="s">
        <v>10059</v>
      </c>
      <c r="C3957" t="s">
        <v>9992</v>
      </c>
      <c r="D3957" t="s">
        <v>9992</v>
      </c>
      <c r="E3957" t="s">
        <v>10060</v>
      </c>
    </row>
    <row r="3958" spans="1:5" x14ac:dyDescent="0.2">
      <c r="A3958" t="s">
        <v>10061</v>
      </c>
      <c r="B3958" t="s">
        <v>10062</v>
      </c>
      <c r="C3958" t="s">
        <v>9992</v>
      </c>
      <c r="D3958" t="s">
        <v>9992</v>
      </c>
      <c r="E3958" t="s">
        <v>10063</v>
      </c>
    </row>
    <row r="3959" spans="1:5" x14ac:dyDescent="0.2">
      <c r="A3959" t="s">
        <v>10064</v>
      </c>
      <c r="B3959" t="s">
        <v>10065</v>
      </c>
      <c r="C3959" t="s">
        <v>9992</v>
      </c>
      <c r="D3959" t="s">
        <v>9992</v>
      </c>
      <c r="E3959" t="s">
        <v>10066</v>
      </c>
    </row>
    <row r="3960" spans="1:5" x14ac:dyDescent="0.2">
      <c r="A3960" t="s">
        <v>10067</v>
      </c>
      <c r="B3960" t="s">
        <v>10068</v>
      </c>
      <c r="C3960" t="s">
        <v>9992</v>
      </c>
      <c r="D3960" t="s">
        <v>9992</v>
      </c>
      <c r="E3960" t="s">
        <v>9999</v>
      </c>
    </row>
    <row r="3961" spans="1:5" x14ac:dyDescent="0.2">
      <c r="A3961" t="s">
        <v>10069</v>
      </c>
      <c r="B3961" t="s">
        <v>10070</v>
      </c>
      <c r="C3961" t="s">
        <v>9992</v>
      </c>
      <c r="D3961" t="s">
        <v>9992</v>
      </c>
      <c r="E3961" t="s">
        <v>10071</v>
      </c>
    </row>
    <row r="3962" spans="1:5" x14ac:dyDescent="0.2">
      <c r="A3962" t="s">
        <v>10072</v>
      </c>
      <c r="B3962" t="s">
        <v>10073</v>
      </c>
      <c r="C3962" t="s">
        <v>9992</v>
      </c>
      <c r="D3962" t="s">
        <v>9992</v>
      </c>
      <c r="E3962" t="s">
        <v>10074</v>
      </c>
    </row>
    <row r="3963" spans="1:5" x14ac:dyDescent="0.2">
      <c r="A3963" t="s">
        <v>10075</v>
      </c>
      <c r="B3963" t="s">
        <v>10076</v>
      </c>
      <c r="C3963" t="s">
        <v>10077</v>
      </c>
      <c r="D3963" t="s">
        <v>10077</v>
      </c>
      <c r="E3963" t="s">
        <v>10078</v>
      </c>
    </row>
    <row r="3964" spans="1:5" x14ac:dyDescent="0.2">
      <c r="A3964" t="s">
        <v>10079</v>
      </c>
      <c r="B3964" t="s">
        <v>10080</v>
      </c>
      <c r="C3964" t="s">
        <v>10077</v>
      </c>
      <c r="D3964" t="s">
        <v>10077</v>
      </c>
      <c r="E3964" t="s">
        <v>10081</v>
      </c>
    </row>
    <row r="3965" spans="1:5" x14ac:dyDescent="0.2">
      <c r="A3965" t="s">
        <v>10082</v>
      </c>
      <c r="B3965" t="s">
        <v>10083</v>
      </c>
      <c r="C3965" t="s">
        <v>10077</v>
      </c>
      <c r="D3965" t="s">
        <v>10077</v>
      </c>
      <c r="E3965" t="s">
        <v>10084</v>
      </c>
    </row>
    <row r="3966" spans="1:5" x14ac:dyDescent="0.2">
      <c r="A3966" t="s">
        <v>10085</v>
      </c>
      <c r="B3966" t="s">
        <v>10086</v>
      </c>
      <c r="C3966" t="s">
        <v>10077</v>
      </c>
      <c r="D3966" t="s">
        <v>10077</v>
      </c>
      <c r="E3966" t="s">
        <v>10087</v>
      </c>
    </row>
    <row r="3967" spans="1:5" x14ac:dyDescent="0.2">
      <c r="A3967" t="s">
        <v>10088</v>
      </c>
      <c r="B3967" t="s">
        <v>10089</v>
      </c>
      <c r="C3967" t="s">
        <v>10077</v>
      </c>
      <c r="D3967" t="s">
        <v>10077</v>
      </c>
      <c r="E3967" t="s">
        <v>10090</v>
      </c>
    </row>
    <row r="3968" spans="1:5" x14ac:dyDescent="0.2">
      <c r="A3968" t="s">
        <v>10091</v>
      </c>
      <c r="B3968" t="s">
        <v>10092</v>
      </c>
      <c r="C3968" t="s">
        <v>10077</v>
      </c>
      <c r="D3968" t="s">
        <v>10077</v>
      </c>
      <c r="E3968" t="s">
        <v>10093</v>
      </c>
    </row>
    <row r="3969" spans="1:5" x14ac:dyDescent="0.2">
      <c r="A3969" t="s">
        <v>10094</v>
      </c>
      <c r="B3969" t="s">
        <v>10095</v>
      </c>
      <c r="C3969" t="s">
        <v>10077</v>
      </c>
      <c r="D3969" t="s">
        <v>10077</v>
      </c>
      <c r="E3969" t="s">
        <v>10096</v>
      </c>
    </row>
    <row r="3970" spans="1:5" x14ac:dyDescent="0.2">
      <c r="A3970" t="s">
        <v>10097</v>
      </c>
      <c r="B3970" t="s">
        <v>10098</v>
      </c>
      <c r="C3970" t="s">
        <v>10077</v>
      </c>
      <c r="D3970" t="s">
        <v>10077</v>
      </c>
      <c r="E3970" t="s">
        <v>10099</v>
      </c>
    </row>
    <row r="3971" spans="1:5" x14ac:dyDescent="0.2">
      <c r="A3971" t="s">
        <v>10100</v>
      </c>
      <c r="B3971" t="s">
        <v>10101</v>
      </c>
      <c r="C3971" t="s">
        <v>10077</v>
      </c>
      <c r="D3971" t="s">
        <v>10077</v>
      </c>
      <c r="E3971" t="s">
        <v>10102</v>
      </c>
    </row>
    <row r="3972" spans="1:5" x14ac:dyDescent="0.2">
      <c r="A3972" t="s">
        <v>10103</v>
      </c>
      <c r="B3972" t="s">
        <v>10104</v>
      </c>
      <c r="C3972" t="s">
        <v>10077</v>
      </c>
      <c r="D3972" t="s">
        <v>10077</v>
      </c>
      <c r="E3972" t="s">
        <v>10105</v>
      </c>
    </row>
    <row r="3973" spans="1:5" x14ac:dyDescent="0.2">
      <c r="A3973" t="s">
        <v>10106</v>
      </c>
      <c r="B3973" t="s">
        <v>10107</v>
      </c>
      <c r="C3973" t="s">
        <v>10077</v>
      </c>
      <c r="D3973" t="s">
        <v>10077</v>
      </c>
      <c r="E3973" t="s">
        <v>10108</v>
      </c>
    </row>
    <row r="3974" spans="1:5" x14ac:dyDescent="0.2">
      <c r="A3974" t="s">
        <v>10109</v>
      </c>
      <c r="B3974" t="s">
        <v>10110</v>
      </c>
      <c r="C3974" t="s">
        <v>10077</v>
      </c>
      <c r="D3974" t="s">
        <v>10077</v>
      </c>
      <c r="E3974" t="s">
        <v>10087</v>
      </c>
    </row>
    <row r="3975" spans="1:5" x14ac:dyDescent="0.2">
      <c r="A3975" t="s">
        <v>10111</v>
      </c>
      <c r="B3975" t="s">
        <v>10112</v>
      </c>
      <c r="C3975" t="s">
        <v>10077</v>
      </c>
      <c r="D3975" t="s">
        <v>10077</v>
      </c>
      <c r="E3975" t="s">
        <v>10096</v>
      </c>
    </row>
    <row r="3976" spans="1:5" x14ac:dyDescent="0.2">
      <c r="A3976" t="s">
        <v>10113</v>
      </c>
      <c r="B3976" t="s">
        <v>10114</v>
      </c>
      <c r="C3976" t="s">
        <v>10077</v>
      </c>
      <c r="D3976" t="s">
        <v>10077</v>
      </c>
      <c r="E3976" t="s">
        <v>10087</v>
      </c>
    </row>
    <row r="3977" spans="1:5" x14ac:dyDescent="0.2">
      <c r="A3977" t="s">
        <v>10115</v>
      </c>
      <c r="B3977" t="s">
        <v>10116</v>
      </c>
      <c r="C3977" t="s">
        <v>10077</v>
      </c>
      <c r="D3977" t="s">
        <v>10077</v>
      </c>
      <c r="E3977" t="s">
        <v>10117</v>
      </c>
    </row>
    <row r="3978" spans="1:5" x14ac:dyDescent="0.2">
      <c r="A3978" t="s">
        <v>10118</v>
      </c>
      <c r="B3978" t="s">
        <v>10119</v>
      </c>
      <c r="C3978" t="s">
        <v>10077</v>
      </c>
      <c r="D3978" t="s">
        <v>10077</v>
      </c>
      <c r="E3978" t="s">
        <v>10120</v>
      </c>
    </row>
    <row r="3979" spans="1:5" x14ac:dyDescent="0.2">
      <c r="A3979" t="s">
        <v>10121</v>
      </c>
      <c r="B3979" t="s">
        <v>10122</v>
      </c>
      <c r="C3979" t="s">
        <v>10077</v>
      </c>
      <c r="D3979" t="s">
        <v>10077</v>
      </c>
      <c r="E3979" t="s">
        <v>10099</v>
      </c>
    </row>
    <row r="3980" spans="1:5" x14ac:dyDescent="0.2">
      <c r="A3980" t="s">
        <v>10123</v>
      </c>
      <c r="B3980" t="s">
        <v>10124</v>
      </c>
      <c r="C3980" t="s">
        <v>10077</v>
      </c>
      <c r="D3980" t="s">
        <v>10077</v>
      </c>
      <c r="E3980" t="s">
        <v>10084</v>
      </c>
    </row>
    <row r="3981" spans="1:5" x14ac:dyDescent="0.2">
      <c r="A3981" t="s">
        <v>10125</v>
      </c>
      <c r="B3981" t="s">
        <v>10126</v>
      </c>
      <c r="C3981" t="s">
        <v>10077</v>
      </c>
      <c r="D3981" t="s">
        <v>10077</v>
      </c>
      <c r="E3981" t="s">
        <v>10127</v>
      </c>
    </row>
    <row r="3982" spans="1:5" x14ac:dyDescent="0.2">
      <c r="A3982" t="s">
        <v>10128</v>
      </c>
      <c r="B3982" t="s">
        <v>10129</v>
      </c>
      <c r="C3982" t="s">
        <v>10077</v>
      </c>
      <c r="D3982" t="s">
        <v>10077</v>
      </c>
      <c r="E3982" t="s">
        <v>10087</v>
      </c>
    </row>
    <row r="3983" spans="1:5" x14ac:dyDescent="0.2">
      <c r="A3983" t="s">
        <v>10130</v>
      </c>
      <c r="B3983" t="s">
        <v>10131</v>
      </c>
      <c r="C3983" t="s">
        <v>10077</v>
      </c>
      <c r="D3983" t="s">
        <v>10077</v>
      </c>
      <c r="E3983" t="s">
        <v>10132</v>
      </c>
    </row>
    <row r="3984" spans="1:5" x14ac:dyDescent="0.2">
      <c r="A3984" t="s">
        <v>10133</v>
      </c>
      <c r="B3984" t="s">
        <v>10134</v>
      </c>
      <c r="C3984" t="s">
        <v>10077</v>
      </c>
      <c r="D3984" t="s">
        <v>10077</v>
      </c>
      <c r="E3984" t="s">
        <v>10135</v>
      </c>
    </row>
    <row r="3985" spans="1:5" x14ac:dyDescent="0.2">
      <c r="A3985" t="s">
        <v>10136</v>
      </c>
      <c r="B3985" t="s">
        <v>10137</v>
      </c>
      <c r="C3985" t="s">
        <v>10077</v>
      </c>
      <c r="D3985" t="s">
        <v>10077</v>
      </c>
      <c r="E3985" t="s">
        <v>10087</v>
      </c>
    </row>
    <row r="3986" spans="1:5" x14ac:dyDescent="0.2">
      <c r="A3986" t="s">
        <v>10138</v>
      </c>
      <c r="B3986" t="s">
        <v>10139</v>
      </c>
      <c r="C3986" t="s">
        <v>10077</v>
      </c>
      <c r="D3986" t="s">
        <v>10077</v>
      </c>
      <c r="E3986" t="s">
        <v>10140</v>
      </c>
    </row>
    <row r="3987" spans="1:5" x14ac:dyDescent="0.2">
      <c r="A3987" t="s">
        <v>10141</v>
      </c>
      <c r="B3987" t="s">
        <v>10142</v>
      </c>
      <c r="C3987" t="s">
        <v>10077</v>
      </c>
      <c r="D3987" t="s">
        <v>10077</v>
      </c>
      <c r="E3987" t="s">
        <v>10143</v>
      </c>
    </row>
    <row r="3988" spans="1:5" x14ac:dyDescent="0.2">
      <c r="A3988" t="s">
        <v>10144</v>
      </c>
      <c r="B3988" t="s">
        <v>10145</v>
      </c>
      <c r="C3988" t="s">
        <v>10077</v>
      </c>
      <c r="D3988" t="s">
        <v>10077</v>
      </c>
      <c r="E3988" t="s">
        <v>10146</v>
      </c>
    </row>
    <row r="3989" spans="1:5" x14ac:dyDescent="0.2">
      <c r="A3989" t="s">
        <v>10147</v>
      </c>
      <c r="B3989" t="s">
        <v>10148</v>
      </c>
      <c r="C3989" t="s">
        <v>10077</v>
      </c>
      <c r="D3989" t="s">
        <v>10077</v>
      </c>
      <c r="E3989" t="s">
        <v>10099</v>
      </c>
    </row>
    <row r="3990" spans="1:5" x14ac:dyDescent="0.2">
      <c r="A3990" t="s">
        <v>10149</v>
      </c>
      <c r="B3990" t="s">
        <v>10150</v>
      </c>
      <c r="C3990" t="s">
        <v>10077</v>
      </c>
      <c r="D3990" t="s">
        <v>10077</v>
      </c>
      <c r="E3990" t="s">
        <v>10146</v>
      </c>
    </row>
    <row r="3991" spans="1:5" x14ac:dyDescent="0.2">
      <c r="A3991" t="s">
        <v>10151</v>
      </c>
      <c r="B3991" t="s">
        <v>10152</v>
      </c>
      <c r="C3991" t="s">
        <v>10077</v>
      </c>
      <c r="D3991" t="s">
        <v>10077</v>
      </c>
      <c r="E3991" t="s">
        <v>10153</v>
      </c>
    </row>
    <row r="3992" spans="1:5" x14ac:dyDescent="0.2">
      <c r="A3992" t="s">
        <v>10154</v>
      </c>
      <c r="B3992" t="s">
        <v>10155</v>
      </c>
      <c r="C3992" t="s">
        <v>10077</v>
      </c>
      <c r="D3992" t="s">
        <v>10077</v>
      </c>
      <c r="E3992" t="s">
        <v>10087</v>
      </c>
    </row>
    <row r="3993" spans="1:5" x14ac:dyDescent="0.2">
      <c r="A3993" t="s">
        <v>4263</v>
      </c>
      <c r="B3993" t="s">
        <v>10156</v>
      </c>
      <c r="C3993" t="s">
        <v>10077</v>
      </c>
      <c r="D3993" t="s">
        <v>4027</v>
      </c>
      <c r="E3993" t="s">
        <v>4046</v>
      </c>
    </row>
    <row r="3994" spans="1:5" x14ac:dyDescent="0.2">
      <c r="A3994" t="s">
        <v>10157</v>
      </c>
      <c r="B3994" t="s">
        <v>10158</v>
      </c>
      <c r="C3994" t="s">
        <v>10077</v>
      </c>
      <c r="D3994" t="s">
        <v>10077</v>
      </c>
      <c r="E3994" t="s">
        <v>10159</v>
      </c>
    </row>
    <row r="3995" spans="1:5" x14ac:dyDescent="0.2">
      <c r="A3995" t="s">
        <v>10160</v>
      </c>
      <c r="B3995" t="s">
        <v>10161</v>
      </c>
      <c r="C3995" t="s">
        <v>10077</v>
      </c>
      <c r="D3995" t="s">
        <v>10077</v>
      </c>
      <c r="E3995" t="s">
        <v>10162</v>
      </c>
    </row>
    <row r="3996" spans="1:5" x14ac:dyDescent="0.2">
      <c r="A3996" t="s">
        <v>10163</v>
      </c>
      <c r="B3996" t="s">
        <v>10164</v>
      </c>
      <c r="C3996" t="s">
        <v>10077</v>
      </c>
      <c r="D3996" t="s">
        <v>10077</v>
      </c>
      <c r="E3996" t="s">
        <v>10143</v>
      </c>
    </row>
    <row r="3997" spans="1:5" x14ac:dyDescent="0.2">
      <c r="A3997" t="s">
        <v>10165</v>
      </c>
      <c r="B3997" t="s">
        <v>10166</v>
      </c>
      <c r="C3997" t="s">
        <v>10077</v>
      </c>
      <c r="D3997" t="s">
        <v>10077</v>
      </c>
      <c r="E3997" t="s">
        <v>10084</v>
      </c>
    </row>
    <row r="3998" spans="1:5" x14ac:dyDescent="0.2">
      <c r="A3998" t="s">
        <v>10167</v>
      </c>
      <c r="B3998" t="s">
        <v>10168</v>
      </c>
      <c r="C3998" t="s">
        <v>10077</v>
      </c>
      <c r="D3998" t="s">
        <v>10077</v>
      </c>
      <c r="E3998" t="s">
        <v>10127</v>
      </c>
    </row>
    <row r="3999" spans="1:5" x14ac:dyDescent="0.2">
      <c r="A3999" t="s">
        <v>10169</v>
      </c>
      <c r="B3999" t="s">
        <v>10170</v>
      </c>
      <c r="C3999" t="s">
        <v>10077</v>
      </c>
      <c r="D3999" t="s">
        <v>10077</v>
      </c>
      <c r="E3999" t="s">
        <v>10171</v>
      </c>
    </row>
    <row r="4000" spans="1:5" x14ac:dyDescent="0.2">
      <c r="A4000" t="s">
        <v>10172</v>
      </c>
      <c r="B4000" t="s">
        <v>10173</v>
      </c>
      <c r="C4000" t="s">
        <v>10077</v>
      </c>
      <c r="D4000" t="s">
        <v>10077</v>
      </c>
      <c r="E4000" t="s">
        <v>10174</v>
      </c>
    </row>
    <row r="4001" spans="1:5" x14ac:dyDescent="0.2">
      <c r="A4001" t="s">
        <v>10175</v>
      </c>
      <c r="B4001" t="s">
        <v>10176</v>
      </c>
      <c r="C4001" t="s">
        <v>10077</v>
      </c>
      <c r="D4001" t="s">
        <v>10077</v>
      </c>
      <c r="E4001" t="s">
        <v>10177</v>
      </c>
    </row>
    <row r="4002" spans="1:5" x14ac:dyDescent="0.2">
      <c r="A4002" t="s">
        <v>10178</v>
      </c>
      <c r="B4002" t="s">
        <v>10179</v>
      </c>
      <c r="C4002" t="s">
        <v>10077</v>
      </c>
      <c r="D4002" t="s">
        <v>10077</v>
      </c>
      <c r="E4002" t="s">
        <v>10180</v>
      </c>
    </row>
    <row r="4003" spans="1:5" x14ac:dyDescent="0.2">
      <c r="A4003" t="s">
        <v>10181</v>
      </c>
      <c r="B4003" t="s">
        <v>10182</v>
      </c>
      <c r="C4003" t="s">
        <v>10077</v>
      </c>
      <c r="D4003" t="s">
        <v>10077</v>
      </c>
      <c r="E4003" t="s">
        <v>10087</v>
      </c>
    </row>
    <row r="4004" spans="1:5" x14ac:dyDescent="0.2">
      <c r="A4004" t="s">
        <v>10183</v>
      </c>
      <c r="B4004" t="s">
        <v>10184</v>
      </c>
      <c r="C4004" t="s">
        <v>10077</v>
      </c>
      <c r="D4004" t="s">
        <v>10077</v>
      </c>
      <c r="E4004" t="s">
        <v>10087</v>
      </c>
    </row>
    <row r="4005" spans="1:5" x14ac:dyDescent="0.2">
      <c r="A4005" t="s">
        <v>10185</v>
      </c>
      <c r="B4005" t="s">
        <v>10186</v>
      </c>
      <c r="C4005" t="s">
        <v>10077</v>
      </c>
      <c r="D4005" t="s">
        <v>10077</v>
      </c>
      <c r="E4005" t="s">
        <v>10143</v>
      </c>
    </row>
    <row r="4006" spans="1:5" x14ac:dyDescent="0.2">
      <c r="A4006" t="s">
        <v>10187</v>
      </c>
      <c r="B4006" t="s">
        <v>10188</v>
      </c>
      <c r="C4006" t="s">
        <v>10077</v>
      </c>
      <c r="D4006" t="s">
        <v>10077</v>
      </c>
      <c r="E4006" t="s">
        <v>10146</v>
      </c>
    </row>
    <row r="4007" spans="1:5" x14ac:dyDescent="0.2">
      <c r="A4007" t="s">
        <v>10189</v>
      </c>
      <c r="B4007" t="s">
        <v>10190</v>
      </c>
      <c r="C4007" t="s">
        <v>10077</v>
      </c>
      <c r="D4007" t="s">
        <v>10077</v>
      </c>
      <c r="E4007" t="s">
        <v>10191</v>
      </c>
    </row>
    <row r="4008" spans="1:5" x14ac:dyDescent="0.2">
      <c r="A4008" t="s">
        <v>10192</v>
      </c>
      <c r="B4008" t="s">
        <v>10193</v>
      </c>
      <c r="C4008" t="s">
        <v>10077</v>
      </c>
      <c r="D4008" t="s">
        <v>10077</v>
      </c>
      <c r="E4008" t="s">
        <v>10194</v>
      </c>
    </row>
    <row r="4009" spans="1:5" x14ac:dyDescent="0.2">
      <c r="A4009" t="s">
        <v>10195</v>
      </c>
      <c r="B4009" t="s">
        <v>10196</v>
      </c>
      <c r="C4009" t="s">
        <v>10077</v>
      </c>
      <c r="D4009" t="e">
        <v>#N/A</v>
      </c>
      <c r="E4009" t="e">
        <v>#N/A</v>
      </c>
    </row>
    <row r="4010" spans="1:5" x14ac:dyDescent="0.2">
      <c r="A4010" t="s">
        <v>10197</v>
      </c>
      <c r="B4010" t="s">
        <v>10198</v>
      </c>
      <c r="C4010" t="s">
        <v>10077</v>
      </c>
      <c r="D4010" t="e">
        <v>#N/A</v>
      </c>
      <c r="E4010" t="e">
        <v>#N/A</v>
      </c>
    </row>
    <row r="4011" spans="1:5" x14ac:dyDescent="0.2">
      <c r="A4011" t="s">
        <v>10199</v>
      </c>
      <c r="B4011" t="s">
        <v>10200</v>
      </c>
      <c r="C4011" t="s">
        <v>10077</v>
      </c>
      <c r="D4011" t="e">
        <v>#N/A</v>
      </c>
      <c r="E4011" t="e">
        <v>#N/A</v>
      </c>
    </row>
    <row r="4012" spans="1:5" x14ac:dyDescent="0.2">
      <c r="A4012" t="s">
        <v>10201</v>
      </c>
      <c r="B4012" t="s">
        <v>10202</v>
      </c>
      <c r="C4012" t="s">
        <v>10077</v>
      </c>
      <c r="D4012" t="e">
        <v>#N/A</v>
      </c>
      <c r="E4012" t="e">
        <v>#N/A</v>
      </c>
    </row>
    <row r="4013" spans="1:5" x14ac:dyDescent="0.2">
      <c r="A4013" t="s">
        <v>10203</v>
      </c>
      <c r="B4013" t="s">
        <v>10204</v>
      </c>
      <c r="C4013" t="s">
        <v>10205</v>
      </c>
      <c r="D4013" t="s">
        <v>10205</v>
      </c>
      <c r="E4013" t="s">
        <v>10206</v>
      </c>
    </row>
    <row r="4014" spans="1:5" x14ac:dyDescent="0.2">
      <c r="A4014" t="s">
        <v>10207</v>
      </c>
      <c r="B4014" t="s">
        <v>10208</v>
      </c>
      <c r="C4014" t="s">
        <v>10205</v>
      </c>
      <c r="D4014" t="s">
        <v>10205</v>
      </c>
      <c r="E4014" t="s">
        <v>10209</v>
      </c>
    </row>
    <row r="4015" spans="1:5" x14ac:dyDescent="0.2">
      <c r="A4015" t="s">
        <v>10210</v>
      </c>
      <c r="B4015" t="s">
        <v>10211</v>
      </c>
      <c r="C4015" t="s">
        <v>10205</v>
      </c>
      <c r="D4015" t="s">
        <v>10205</v>
      </c>
      <c r="E4015" t="s">
        <v>10212</v>
      </c>
    </row>
    <row r="4016" spans="1:5" x14ac:dyDescent="0.2">
      <c r="A4016" t="s">
        <v>10213</v>
      </c>
      <c r="B4016" t="s">
        <v>10214</v>
      </c>
      <c r="C4016" t="s">
        <v>10205</v>
      </c>
      <c r="D4016" t="s">
        <v>10205</v>
      </c>
      <c r="E4016" t="s">
        <v>10215</v>
      </c>
    </row>
    <row r="4017" spans="1:5" x14ac:dyDescent="0.2">
      <c r="A4017" t="s">
        <v>10216</v>
      </c>
      <c r="B4017" t="s">
        <v>10217</v>
      </c>
      <c r="C4017" t="s">
        <v>10205</v>
      </c>
      <c r="D4017" t="s">
        <v>10205</v>
      </c>
      <c r="E4017" t="s">
        <v>10218</v>
      </c>
    </row>
    <row r="4018" spans="1:5" x14ac:dyDescent="0.2">
      <c r="A4018" t="s">
        <v>10219</v>
      </c>
      <c r="B4018" t="s">
        <v>10220</v>
      </c>
      <c r="C4018" t="s">
        <v>10205</v>
      </c>
      <c r="D4018" t="s">
        <v>10205</v>
      </c>
      <c r="E4018" t="s">
        <v>10221</v>
      </c>
    </row>
    <row r="4019" spans="1:5" x14ac:dyDescent="0.2">
      <c r="A4019" t="s">
        <v>10222</v>
      </c>
      <c r="B4019" t="s">
        <v>10223</v>
      </c>
      <c r="C4019" t="s">
        <v>10205</v>
      </c>
      <c r="D4019" t="s">
        <v>10205</v>
      </c>
      <c r="E4019" t="s">
        <v>10206</v>
      </c>
    </row>
    <row r="4020" spans="1:5" x14ac:dyDescent="0.2">
      <c r="A4020" t="s">
        <v>10224</v>
      </c>
      <c r="B4020" t="s">
        <v>10225</v>
      </c>
      <c r="C4020" t="s">
        <v>10205</v>
      </c>
      <c r="D4020" t="s">
        <v>10205</v>
      </c>
      <c r="E4020" t="s">
        <v>10218</v>
      </c>
    </row>
    <row r="4021" spans="1:5" x14ac:dyDescent="0.2">
      <c r="A4021" t="s">
        <v>10226</v>
      </c>
      <c r="B4021" t="s">
        <v>10227</v>
      </c>
      <c r="C4021" t="s">
        <v>10205</v>
      </c>
      <c r="D4021" t="s">
        <v>10205</v>
      </c>
      <c r="E4021" t="s">
        <v>10228</v>
      </c>
    </row>
    <row r="4022" spans="1:5" x14ac:dyDescent="0.2">
      <c r="A4022" t="s">
        <v>10229</v>
      </c>
      <c r="B4022" t="s">
        <v>10230</v>
      </c>
      <c r="C4022" t="s">
        <v>10205</v>
      </c>
      <c r="D4022" t="s">
        <v>10205</v>
      </c>
      <c r="E4022" t="s">
        <v>10215</v>
      </c>
    </row>
    <row r="4023" spans="1:5" x14ac:dyDescent="0.2">
      <c r="A4023" t="s">
        <v>10231</v>
      </c>
      <c r="B4023" t="s">
        <v>10232</v>
      </c>
      <c r="C4023" t="s">
        <v>10205</v>
      </c>
      <c r="D4023" t="s">
        <v>10205</v>
      </c>
      <c r="E4023" t="s">
        <v>10233</v>
      </c>
    </row>
    <row r="4024" spans="1:5" x14ac:dyDescent="0.2">
      <c r="A4024" t="s">
        <v>10234</v>
      </c>
      <c r="B4024" t="s">
        <v>10235</v>
      </c>
      <c r="C4024" t="s">
        <v>10205</v>
      </c>
      <c r="D4024" t="s">
        <v>10205</v>
      </c>
      <c r="E4024" t="s">
        <v>10236</v>
      </c>
    </row>
    <row r="4025" spans="1:5" x14ac:dyDescent="0.2">
      <c r="A4025" t="s">
        <v>10237</v>
      </c>
      <c r="B4025" t="s">
        <v>10238</v>
      </c>
      <c r="C4025" t="s">
        <v>10205</v>
      </c>
      <c r="D4025" t="s">
        <v>10205</v>
      </c>
      <c r="E4025" t="s">
        <v>10239</v>
      </c>
    </row>
    <row r="4026" spans="1:5" x14ac:dyDescent="0.2">
      <c r="A4026" t="s">
        <v>10240</v>
      </c>
      <c r="B4026" t="s">
        <v>10241</v>
      </c>
      <c r="C4026" t="s">
        <v>10205</v>
      </c>
      <c r="D4026" t="s">
        <v>10205</v>
      </c>
      <c r="E4026" t="s">
        <v>10242</v>
      </c>
    </row>
    <row r="4027" spans="1:5" x14ac:dyDescent="0.2">
      <c r="A4027" t="s">
        <v>10243</v>
      </c>
      <c r="B4027" t="s">
        <v>10244</v>
      </c>
      <c r="C4027" t="s">
        <v>10205</v>
      </c>
      <c r="D4027" t="s">
        <v>10205</v>
      </c>
      <c r="E4027" t="s">
        <v>10245</v>
      </c>
    </row>
    <row r="4028" spans="1:5" x14ac:dyDescent="0.2">
      <c r="A4028" t="s">
        <v>10246</v>
      </c>
      <c r="B4028" t="s">
        <v>10247</v>
      </c>
      <c r="C4028" t="s">
        <v>10205</v>
      </c>
      <c r="D4028" t="s">
        <v>10205</v>
      </c>
      <c r="E4028" t="s">
        <v>10248</v>
      </c>
    </row>
    <row r="4029" spans="1:5" x14ac:dyDescent="0.2">
      <c r="A4029" t="s">
        <v>10249</v>
      </c>
      <c r="B4029" t="s">
        <v>10250</v>
      </c>
      <c r="C4029" t="s">
        <v>10205</v>
      </c>
      <c r="D4029" t="s">
        <v>10205</v>
      </c>
      <c r="E4029" t="s">
        <v>10251</v>
      </c>
    </row>
    <row r="4030" spans="1:5" x14ac:dyDescent="0.2">
      <c r="A4030" t="s">
        <v>10252</v>
      </c>
      <c r="B4030" t="s">
        <v>10253</v>
      </c>
      <c r="C4030" t="s">
        <v>10205</v>
      </c>
      <c r="D4030" t="s">
        <v>10205</v>
      </c>
      <c r="E4030" t="s">
        <v>10254</v>
      </c>
    </row>
    <row r="4031" spans="1:5" x14ac:dyDescent="0.2">
      <c r="A4031" t="s">
        <v>10255</v>
      </c>
      <c r="B4031" t="s">
        <v>10256</v>
      </c>
      <c r="C4031" t="s">
        <v>10205</v>
      </c>
      <c r="D4031" t="s">
        <v>10205</v>
      </c>
      <c r="E4031" t="s">
        <v>10257</v>
      </c>
    </row>
    <row r="4032" spans="1:5" x14ac:dyDescent="0.2">
      <c r="A4032" t="s">
        <v>10258</v>
      </c>
      <c r="B4032" t="s">
        <v>10259</v>
      </c>
      <c r="C4032" t="s">
        <v>10205</v>
      </c>
      <c r="D4032" t="s">
        <v>10205</v>
      </c>
      <c r="E4032" t="s">
        <v>10260</v>
      </c>
    </row>
    <row r="4033" spans="1:5" x14ac:dyDescent="0.2">
      <c r="A4033" t="s">
        <v>10261</v>
      </c>
      <c r="B4033" t="s">
        <v>10262</v>
      </c>
      <c r="C4033" t="s">
        <v>10205</v>
      </c>
      <c r="D4033" t="s">
        <v>10205</v>
      </c>
      <c r="E4033" t="s">
        <v>10263</v>
      </c>
    </row>
    <row r="4034" spans="1:5" x14ac:dyDescent="0.2">
      <c r="A4034" t="s">
        <v>10264</v>
      </c>
      <c r="B4034" t="s">
        <v>10265</v>
      </c>
      <c r="C4034" t="s">
        <v>10205</v>
      </c>
      <c r="D4034" t="s">
        <v>10205</v>
      </c>
      <c r="E4034" t="s">
        <v>10218</v>
      </c>
    </row>
    <row r="4035" spans="1:5" x14ac:dyDescent="0.2">
      <c r="A4035" t="s">
        <v>10266</v>
      </c>
      <c r="B4035" t="s">
        <v>10267</v>
      </c>
      <c r="C4035" t="s">
        <v>10205</v>
      </c>
      <c r="D4035" t="s">
        <v>10205</v>
      </c>
      <c r="E4035" t="s">
        <v>10218</v>
      </c>
    </row>
    <row r="4036" spans="1:5" x14ac:dyDescent="0.2">
      <c r="A4036" t="s">
        <v>10268</v>
      </c>
      <c r="B4036" t="s">
        <v>10269</v>
      </c>
      <c r="C4036" t="s">
        <v>10205</v>
      </c>
      <c r="D4036" t="s">
        <v>10205</v>
      </c>
      <c r="E4036" t="s">
        <v>10218</v>
      </c>
    </row>
    <row r="4037" spans="1:5" x14ac:dyDescent="0.2">
      <c r="A4037" t="s">
        <v>10270</v>
      </c>
      <c r="B4037" t="s">
        <v>10271</v>
      </c>
      <c r="C4037" t="s">
        <v>10205</v>
      </c>
      <c r="D4037" t="s">
        <v>10205</v>
      </c>
      <c r="E4037" t="s">
        <v>10272</v>
      </c>
    </row>
    <row r="4038" spans="1:5" x14ac:dyDescent="0.2">
      <c r="A4038" t="s">
        <v>10273</v>
      </c>
      <c r="B4038" t="s">
        <v>10274</v>
      </c>
      <c r="C4038" t="s">
        <v>10205</v>
      </c>
      <c r="D4038" t="s">
        <v>10205</v>
      </c>
      <c r="E4038" t="s">
        <v>10275</v>
      </c>
    </row>
    <row r="4039" spans="1:5" x14ac:dyDescent="0.2">
      <c r="A4039" t="s">
        <v>10276</v>
      </c>
      <c r="B4039" t="s">
        <v>10277</v>
      </c>
      <c r="C4039" t="s">
        <v>10205</v>
      </c>
      <c r="D4039" t="s">
        <v>10205</v>
      </c>
      <c r="E4039" t="s">
        <v>10218</v>
      </c>
    </row>
    <row r="4040" spans="1:5" x14ac:dyDescent="0.2">
      <c r="A4040" t="s">
        <v>10278</v>
      </c>
      <c r="B4040" t="s">
        <v>10279</v>
      </c>
      <c r="C4040" t="s">
        <v>10205</v>
      </c>
      <c r="D4040" t="s">
        <v>10205</v>
      </c>
      <c r="E4040" t="s">
        <v>10280</v>
      </c>
    </row>
    <row r="4041" spans="1:5" x14ac:dyDescent="0.2">
      <c r="A4041" t="s">
        <v>10281</v>
      </c>
      <c r="B4041" t="s">
        <v>10282</v>
      </c>
      <c r="C4041" t="s">
        <v>10205</v>
      </c>
      <c r="D4041" t="s">
        <v>10205</v>
      </c>
      <c r="E4041" t="s">
        <v>10218</v>
      </c>
    </row>
    <row r="4042" spans="1:5" x14ac:dyDescent="0.2">
      <c r="A4042" t="s">
        <v>10283</v>
      </c>
      <c r="B4042" t="s">
        <v>10284</v>
      </c>
      <c r="C4042" t="s">
        <v>10205</v>
      </c>
      <c r="D4042" t="s">
        <v>10205</v>
      </c>
      <c r="E4042" t="s">
        <v>10285</v>
      </c>
    </row>
    <row r="4043" spans="1:5" x14ac:dyDescent="0.2">
      <c r="A4043" t="s">
        <v>10286</v>
      </c>
      <c r="B4043" t="s">
        <v>10287</v>
      </c>
      <c r="C4043" t="s">
        <v>10205</v>
      </c>
      <c r="D4043" t="s">
        <v>10205</v>
      </c>
      <c r="E4043" t="s">
        <v>10206</v>
      </c>
    </row>
    <row r="4044" spans="1:5" x14ac:dyDescent="0.2">
      <c r="A4044" t="s">
        <v>10288</v>
      </c>
      <c r="B4044" t="s">
        <v>10289</v>
      </c>
      <c r="C4044" t="s">
        <v>10205</v>
      </c>
      <c r="D4044" t="s">
        <v>10205</v>
      </c>
      <c r="E4044" t="s">
        <v>10290</v>
      </c>
    </row>
    <row r="4045" spans="1:5" x14ac:dyDescent="0.2">
      <c r="A4045" t="s">
        <v>10291</v>
      </c>
      <c r="B4045" t="s">
        <v>10292</v>
      </c>
      <c r="C4045" t="s">
        <v>10205</v>
      </c>
      <c r="D4045" t="s">
        <v>10205</v>
      </c>
      <c r="E4045" t="s">
        <v>10215</v>
      </c>
    </row>
    <row r="4046" spans="1:5" x14ac:dyDescent="0.2">
      <c r="A4046" t="s">
        <v>10293</v>
      </c>
      <c r="B4046" t="s">
        <v>10294</v>
      </c>
      <c r="C4046" t="s">
        <v>10205</v>
      </c>
      <c r="D4046" t="s">
        <v>10205</v>
      </c>
      <c r="E4046" t="s">
        <v>10215</v>
      </c>
    </row>
    <row r="4047" spans="1:5" x14ac:dyDescent="0.2">
      <c r="A4047" t="s">
        <v>10295</v>
      </c>
      <c r="B4047" t="s">
        <v>10296</v>
      </c>
      <c r="C4047" t="s">
        <v>10205</v>
      </c>
      <c r="D4047" t="s">
        <v>10205</v>
      </c>
      <c r="E4047" t="s">
        <v>10218</v>
      </c>
    </row>
    <row r="4048" spans="1:5" x14ac:dyDescent="0.2">
      <c r="A4048" t="s">
        <v>10297</v>
      </c>
      <c r="B4048" t="s">
        <v>10298</v>
      </c>
      <c r="C4048" t="s">
        <v>10205</v>
      </c>
      <c r="D4048" t="s">
        <v>10205</v>
      </c>
      <c r="E4048" t="s">
        <v>10206</v>
      </c>
    </row>
    <row r="4049" spans="1:5" x14ac:dyDescent="0.2">
      <c r="A4049" t="s">
        <v>10299</v>
      </c>
      <c r="B4049" t="s">
        <v>10300</v>
      </c>
      <c r="C4049" t="s">
        <v>10205</v>
      </c>
      <c r="D4049" t="s">
        <v>10205</v>
      </c>
      <c r="E4049" t="s">
        <v>10218</v>
      </c>
    </row>
    <row r="4050" spans="1:5" x14ac:dyDescent="0.2">
      <c r="A4050" t="s">
        <v>10301</v>
      </c>
      <c r="B4050" t="s">
        <v>10302</v>
      </c>
      <c r="C4050" t="s">
        <v>10205</v>
      </c>
      <c r="D4050" t="s">
        <v>10205</v>
      </c>
      <c r="E4050" t="s">
        <v>10218</v>
      </c>
    </row>
    <row r="4051" spans="1:5" x14ac:dyDescent="0.2">
      <c r="A4051" t="s">
        <v>10303</v>
      </c>
      <c r="B4051" t="s">
        <v>10304</v>
      </c>
      <c r="C4051" t="s">
        <v>10205</v>
      </c>
      <c r="D4051" t="s">
        <v>10205</v>
      </c>
      <c r="E4051" t="s">
        <v>10305</v>
      </c>
    </row>
    <row r="4052" spans="1:5" x14ac:dyDescent="0.2">
      <c r="A4052" t="s">
        <v>10306</v>
      </c>
      <c r="B4052" t="s">
        <v>10307</v>
      </c>
      <c r="C4052" t="s">
        <v>10205</v>
      </c>
      <c r="D4052" t="s">
        <v>10205</v>
      </c>
      <c r="E4052" t="s">
        <v>10218</v>
      </c>
    </row>
    <row r="4053" spans="1:5" x14ac:dyDescent="0.2">
      <c r="A4053" t="s">
        <v>10308</v>
      </c>
      <c r="B4053" t="s">
        <v>10309</v>
      </c>
      <c r="C4053" t="s">
        <v>10205</v>
      </c>
      <c r="D4053" t="s">
        <v>10205</v>
      </c>
      <c r="E4053" t="s">
        <v>10310</v>
      </c>
    </row>
    <row r="4054" spans="1:5" x14ac:dyDescent="0.2">
      <c r="A4054" t="s">
        <v>10311</v>
      </c>
      <c r="B4054" t="s">
        <v>10312</v>
      </c>
      <c r="C4054" t="s">
        <v>10205</v>
      </c>
      <c r="D4054" t="s">
        <v>10205</v>
      </c>
      <c r="E4054" t="s">
        <v>10313</v>
      </c>
    </row>
    <row r="4055" spans="1:5" x14ac:dyDescent="0.2">
      <c r="A4055" t="s">
        <v>10314</v>
      </c>
      <c r="B4055" t="s">
        <v>10315</v>
      </c>
      <c r="C4055" t="s">
        <v>10205</v>
      </c>
      <c r="D4055" t="s">
        <v>10205</v>
      </c>
      <c r="E4055" t="s">
        <v>10218</v>
      </c>
    </row>
    <row r="4056" spans="1:5" x14ac:dyDescent="0.2">
      <c r="A4056" t="s">
        <v>10316</v>
      </c>
      <c r="B4056" t="s">
        <v>10317</v>
      </c>
      <c r="C4056" t="s">
        <v>10205</v>
      </c>
      <c r="D4056" t="s">
        <v>10205</v>
      </c>
      <c r="E4056" t="s">
        <v>10318</v>
      </c>
    </row>
    <row r="4057" spans="1:5" x14ac:dyDescent="0.2">
      <c r="A4057" t="s">
        <v>10319</v>
      </c>
      <c r="B4057" t="s">
        <v>10320</v>
      </c>
      <c r="C4057" t="s">
        <v>10205</v>
      </c>
      <c r="D4057" t="s">
        <v>10205</v>
      </c>
      <c r="E4057" t="s">
        <v>10206</v>
      </c>
    </row>
    <row r="4058" spans="1:5" x14ac:dyDescent="0.2">
      <c r="A4058" t="s">
        <v>10321</v>
      </c>
      <c r="B4058" t="s">
        <v>10322</v>
      </c>
      <c r="C4058" t="s">
        <v>10205</v>
      </c>
      <c r="D4058" t="s">
        <v>10205</v>
      </c>
      <c r="E4058" t="s">
        <v>10323</v>
      </c>
    </row>
    <row r="4059" spans="1:5" x14ac:dyDescent="0.2">
      <c r="A4059" t="s">
        <v>10324</v>
      </c>
      <c r="B4059" t="s">
        <v>10325</v>
      </c>
      <c r="C4059" t="s">
        <v>10205</v>
      </c>
      <c r="D4059" t="e">
        <v>#N/A</v>
      </c>
      <c r="E4059" t="e">
        <v>#N/A</v>
      </c>
    </row>
    <row r="4060" spans="1:5" x14ac:dyDescent="0.2">
      <c r="A4060" t="s">
        <v>10326</v>
      </c>
      <c r="B4060" t="s">
        <v>10327</v>
      </c>
      <c r="C4060" t="s">
        <v>10328</v>
      </c>
      <c r="D4060" t="s">
        <v>10328</v>
      </c>
      <c r="E4060" t="s">
        <v>10329</v>
      </c>
    </row>
    <row r="4061" spans="1:5" x14ac:dyDescent="0.2">
      <c r="A4061" t="s">
        <v>10330</v>
      </c>
      <c r="B4061" t="s">
        <v>10331</v>
      </c>
      <c r="C4061" t="s">
        <v>10328</v>
      </c>
      <c r="D4061" t="s">
        <v>10328</v>
      </c>
      <c r="E4061" t="s">
        <v>10332</v>
      </c>
    </row>
    <row r="4062" spans="1:5" x14ac:dyDescent="0.2">
      <c r="A4062" t="s">
        <v>10333</v>
      </c>
      <c r="B4062" t="s">
        <v>10334</v>
      </c>
      <c r="C4062" t="s">
        <v>10328</v>
      </c>
      <c r="D4062" t="s">
        <v>10328</v>
      </c>
      <c r="E4062" t="s">
        <v>10335</v>
      </c>
    </row>
    <row r="4063" spans="1:5" x14ac:dyDescent="0.2">
      <c r="A4063" t="s">
        <v>10336</v>
      </c>
      <c r="B4063" t="s">
        <v>10337</v>
      </c>
      <c r="C4063" t="s">
        <v>10328</v>
      </c>
      <c r="D4063" t="s">
        <v>10328</v>
      </c>
      <c r="E4063" t="s">
        <v>10338</v>
      </c>
    </row>
    <row r="4064" spans="1:5" x14ac:dyDescent="0.2">
      <c r="A4064" t="s">
        <v>10339</v>
      </c>
      <c r="B4064" t="s">
        <v>10340</v>
      </c>
      <c r="C4064" t="s">
        <v>10328</v>
      </c>
      <c r="D4064" t="s">
        <v>10328</v>
      </c>
      <c r="E4064" t="s">
        <v>10335</v>
      </c>
    </row>
    <row r="4065" spans="1:5" x14ac:dyDescent="0.2">
      <c r="A4065" t="s">
        <v>10341</v>
      </c>
      <c r="B4065" t="s">
        <v>10342</v>
      </c>
      <c r="C4065" t="s">
        <v>10328</v>
      </c>
      <c r="D4065" t="s">
        <v>10328</v>
      </c>
      <c r="E4065" t="s">
        <v>10343</v>
      </c>
    </row>
    <row r="4066" spans="1:5" x14ac:dyDescent="0.2">
      <c r="A4066" t="s">
        <v>10344</v>
      </c>
      <c r="B4066" t="s">
        <v>10345</v>
      </c>
      <c r="C4066" t="s">
        <v>10328</v>
      </c>
      <c r="D4066" t="s">
        <v>10328</v>
      </c>
      <c r="E4066" t="s">
        <v>10335</v>
      </c>
    </row>
    <row r="4067" spans="1:5" x14ac:dyDescent="0.2">
      <c r="A4067" t="s">
        <v>10346</v>
      </c>
      <c r="B4067" t="s">
        <v>10347</v>
      </c>
      <c r="C4067" t="s">
        <v>10328</v>
      </c>
      <c r="D4067" t="s">
        <v>10328</v>
      </c>
      <c r="E4067" t="s">
        <v>10348</v>
      </c>
    </row>
    <row r="4068" spans="1:5" x14ac:dyDescent="0.2">
      <c r="A4068" t="s">
        <v>10349</v>
      </c>
      <c r="B4068" t="s">
        <v>10350</v>
      </c>
      <c r="C4068" t="s">
        <v>10328</v>
      </c>
      <c r="D4068" t="s">
        <v>10328</v>
      </c>
      <c r="E4068" t="s">
        <v>10351</v>
      </c>
    </row>
    <row r="4069" spans="1:5" x14ac:dyDescent="0.2">
      <c r="A4069" t="s">
        <v>10352</v>
      </c>
      <c r="B4069" t="s">
        <v>10353</v>
      </c>
      <c r="C4069" t="s">
        <v>10328</v>
      </c>
      <c r="D4069" t="s">
        <v>10328</v>
      </c>
      <c r="E4069" t="s">
        <v>10335</v>
      </c>
    </row>
    <row r="4070" spans="1:5" x14ac:dyDescent="0.2">
      <c r="A4070" t="s">
        <v>10354</v>
      </c>
      <c r="B4070" t="s">
        <v>10355</v>
      </c>
      <c r="C4070" t="s">
        <v>10328</v>
      </c>
      <c r="D4070" t="s">
        <v>10328</v>
      </c>
      <c r="E4070" t="s">
        <v>10356</v>
      </c>
    </row>
    <row r="4071" spans="1:5" x14ac:dyDescent="0.2">
      <c r="A4071" t="s">
        <v>10357</v>
      </c>
      <c r="B4071" t="s">
        <v>10358</v>
      </c>
      <c r="C4071" t="s">
        <v>10328</v>
      </c>
      <c r="D4071" t="s">
        <v>10328</v>
      </c>
      <c r="E4071" t="s">
        <v>10359</v>
      </c>
    </row>
    <row r="4072" spans="1:5" x14ac:dyDescent="0.2">
      <c r="A4072" t="s">
        <v>10360</v>
      </c>
      <c r="B4072" t="s">
        <v>10361</v>
      </c>
      <c r="C4072" t="s">
        <v>10328</v>
      </c>
      <c r="D4072" t="s">
        <v>10328</v>
      </c>
      <c r="E4072" t="s">
        <v>10335</v>
      </c>
    </row>
    <row r="4073" spans="1:5" x14ac:dyDescent="0.2">
      <c r="A4073" t="s">
        <v>10362</v>
      </c>
      <c r="B4073" t="s">
        <v>10363</v>
      </c>
      <c r="C4073" t="s">
        <v>10328</v>
      </c>
      <c r="D4073" t="s">
        <v>10328</v>
      </c>
      <c r="E4073" t="s">
        <v>10364</v>
      </c>
    </row>
    <row r="4074" spans="1:5" x14ac:dyDescent="0.2">
      <c r="A4074" t="s">
        <v>10365</v>
      </c>
      <c r="B4074" t="s">
        <v>10366</v>
      </c>
      <c r="C4074" t="s">
        <v>10328</v>
      </c>
      <c r="D4074" t="s">
        <v>10328</v>
      </c>
      <c r="E4074" t="s">
        <v>10367</v>
      </c>
    </row>
    <row r="4075" spans="1:5" x14ac:dyDescent="0.2">
      <c r="A4075" t="s">
        <v>10368</v>
      </c>
      <c r="B4075" t="s">
        <v>10369</v>
      </c>
      <c r="C4075" t="s">
        <v>10328</v>
      </c>
      <c r="D4075" t="s">
        <v>10328</v>
      </c>
      <c r="E4075" t="s">
        <v>10338</v>
      </c>
    </row>
    <row r="4076" spans="1:5" x14ac:dyDescent="0.2">
      <c r="A4076" t="s">
        <v>10370</v>
      </c>
      <c r="B4076" t="s">
        <v>10371</v>
      </c>
      <c r="C4076" t="s">
        <v>10328</v>
      </c>
      <c r="D4076" t="s">
        <v>10328</v>
      </c>
      <c r="E4076" t="s">
        <v>10372</v>
      </c>
    </row>
    <row r="4077" spans="1:5" x14ac:dyDescent="0.2">
      <c r="A4077" t="s">
        <v>10373</v>
      </c>
      <c r="B4077" t="s">
        <v>10374</v>
      </c>
      <c r="C4077" t="s">
        <v>10328</v>
      </c>
      <c r="D4077" t="s">
        <v>10328</v>
      </c>
      <c r="E4077" t="s">
        <v>10348</v>
      </c>
    </row>
    <row r="4078" spans="1:5" x14ac:dyDescent="0.2">
      <c r="A4078" t="s">
        <v>10375</v>
      </c>
      <c r="B4078" t="s">
        <v>10376</v>
      </c>
      <c r="C4078" t="s">
        <v>10328</v>
      </c>
      <c r="D4078" t="s">
        <v>10328</v>
      </c>
      <c r="E4078" t="s">
        <v>10335</v>
      </c>
    </row>
    <row r="4079" spans="1:5" x14ac:dyDescent="0.2">
      <c r="A4079" t="s">
        <v>10377</v>
      </c>
      <c r="B4079" t="s">
        <v>10378</v>
      </c>
      <c r="C4079" t="s">
        <v>10328</v>
      </c>
      <c r="D4079" t="s">
        <v>10328</v>
      </c>
      <c r="E4079" t="s">
        <v>10335</v>
      </c>
    </row>
    <row r="4080" spans="1:5" x14ac:dyDescent="0.2">
      <c r="A4080" t="s">
        <v>10379</v>
      </c>
      <c r="B4080" t="s">
        <v>10380</v>
      </c>
      <c r="C4080" t="s">
        <v>10328</v>
      </c>
      <c r="D4080" t="s">
        <v>10328</v>
      </c>
      <c r="E4080" t="s">
        <v>10381</v>
      </c>
    </row>
    <row r="4081" spans="1:5" x14ac:dyDescent="0.2">
      <c r="A4081" t="s">
        <v>10382</v>
      </c>
      <c r="B4081" t="s">
        <v>10383</v>
      </c>
      <c r="C4081" t="s">
        <v>10328</v>
      </c>
      <c r="D4081" t="s">
        <v>10328</v>
      </c>
      <c r="E4081" t="s">
        <v>10367</v>
      </c>
    </row>
    <row r="4082" spans="1:5" x14ac:dyDescent="0.2">
      <c r="A4082" t="s">
        <v>10384</v>
      </c>
      <c r="B4082" t="s">
        <v>10385</v>
      </c>
      <c r="C4082" t="s">
        <v>10328</v>
      </c>
      <c r="D4082" t="s">
        <v>10328</v>
      </c>
      <c r="E4082" t="s">
        <v>10332</v>
      </c>
    </row>
    <row r="4083" spans="1:5" x14ac:dyDescent="0.2">
      <c r="A4083" t="s">
        <v>10386</v>
      </c>
      <c r="B4083" t="s">
        <v>10387</v>
      </c>
      <c r="C4083" t="s">
        <v>10328</v>
      </c>
      <c r="D4083" t="s">
        <v>10328</v>
      </c>
      <c r="E4083" t="s">
        <v>10332</v>
      </c>
    </row>
    <row r="4084" spans="1:5" x14ac:dyDescent="0.2">
      <c r="A4084" t="s">
        <v>10388</v>
      </c>
      <c r="B4084" t="s">
        <v>10389</v>
      </c>
      <c r="C4084" t="s">
        <v>10328</v>
      </c>
      <c r="D4084" t="s">
        <v>10328</v>
      </c>
      <c r="E4084" t="s">
        <v>10390</v>
      </c>
    </row>
    <row r="4085" spans="1:5" x14ac:dyDescent="0.2">
      <c r="A4085" t="s">
        <v>10391</v>
      </c>
      <c r="B4085" t="s">
        <v>10392</v>
      </c>
      <c r="C4085" t="s">
        <v>10328</v>
      </c>
      <c r="D4085" t="s">
        <v>10328</v>
      </c>
      <c r="E4085" t="s">
        <v>10332</v>
      </c>
    </row>
    <row r="4086" spans="1:5" x14ac:dyDescent="0.2">
      <c r="A4086" t="s">
        <v>10393</v>
      </c>
      <c r="B4086" t="s">
        <v>10394</v>
      </c>
      <c r="C4086" t="s">
        <v>10328</v>
      </c>
      <c r="D4086" t="s">
        <v>10328</v>
      </c>
      <c r="E4086" t="s">
        <v>10332</v>
      </c>
    </row>
    <row r="4087" spans="1:5" x14ac:dyDescent="0.2">
      <c r="A4087" t="s">
        <v>10395</v>
      </c>
      <c r="B4087" t="s">
        <v>10396</v>
      </c>
      <c r="C4087" t="s">
        <v>10328</v>
      </c>
      <c r="D4087" t="s">
        <v>10328</v>
      </c>
      <c r="E4087" t="s">
        <v>10332</v>
      </c>
    </row>
    <row r="4088" spans="1:5" x14ac:dyDescent="0.2">
      <c r="A4088" t="s">
        <v>10397</v>
      </c>
      <c r="B4088" t="s">
        <v>10398</v>
      </c>
      <c r="C4088" t="s">
        <v>10328</v>
      </c>
      <c r="D4088" t="s">
        <v>10328</v>
      </c>
      <c r="E4088" t="s">
        <v>10399</v>
      </c>
    </row>
    <row r="4089" spans="1:5" x14ac:dyDescent="0.2">
      <c r="A4089" t="s">
        <v>10400</v>
      </c>
      <c r="B4089" t="s">
        <v>10401</v>
      </c>
      <c r="C4089" t="s">
        <v>10328</v>
      </c>
      <c r="D4089" t="s">
        <v>10328</v>
      </c>
      <c r="E4089" t="s">
        <v>10335</v>
      </c>
    </row>
    <row r="4090" spans="1:5" x14ac:dyDescent="0.2">
      <c r="A4090" t="s">
        <v>10402</v>
      </c>
      <c r="B4090" t="s">
        <v>10403</v>
      </c>
      <c r="C4090" t="s">
        <v>10328</v>
      </c>
      <c r="D4090" t="s">
        <v>10328</v>
      </c>
      <c r="E4090" t="s">
        <v>10332</v>
      </c>
    </row>
    <row r="4091" spans="1:5" x14ac:dyDescent="0.2">
      <c r="A4091" t="s">
        <v>10404</v>
      </c>
      <c r="B4091" t="s">
        <v>10405</v>
      </c>
      <c r="C4091" t="s">
        <v>10328</v>
      </c>
      <c r="D4091" t="s">
        <v>10328</v>
      </c>
      <c r="E4091" t="s">
        <v>10406</v>
      </c>
    </row>
    <row r="4092" spans="1:5" x14ac:dyDescent="0.2">
      <c r="A4092" t="s">
        <v>10407</v>
      </c>
      <c r="B4092" t="s">
        <v>10408</v>
      </c>
      <c r="C4092" t="s">
        <v>10328</v>
      </c>
      <c r="D4092" t="s">
        <v>10328</v>
      </c>
      <c r="E4092" t="s">
        <v>10335</v>
      </c>
    </row>
    <row r="4093" spans="1:5" x14ac:dyDescent="0.2">
      <c r="A4093" t="s">
        <v>10409</v>
      </c>
      <c r="B4093" t="s">
        <v>10410</v>
      </c>
      <c r="C4093" t="s">
        <v>10328</v>
      </c>
      <c r="D4093" t="s">
        <v>10328</v>
      </c>
      <c r="E4093" t="s">
        <v>10364</v>
      </c>
    </row>
    <row r="4094" spans="1:5" x14ac:dyDescent="0.2">
      <c r="A4094" t="s">
        <v>10411</v>
      </c>
      <c r="B4094" t="s">
        <v>10412</v>
      </c>
      <c r="C4094" t="s">
        <v>10328</v>
      </c>
      <c r="D4094" t="s">
        <v>10328</v>
      </c>
      <c r="E4094" t="s">
        <v>10390</v>
      </c>
    </row>
    <row r="4095" spans="1:5" x14ac:dyDescent="0.2">
      <c r="A4095" t="s">
        <v>10413</v>
      </c>
      <c r="B4095" t="s">
        <v>10414</v>
      </c>
      <c r="C4095" t="s">
        <v>10328</v>
      </c>
      <c r="D4095" t="s">
        <v>10328</v>
      </c>
      <c r="E4095" t="s">
        <v>10372</v>
      </c>
    </row>
    <row r="4096" spans="1:5" x14ac:dyDescent="0.2">
      <c r="A4096" t="s">
        <v>10415</v>
      </c>
      <c r="B4096" t="s">
        <v>10416</v>
      </c>
      <c r="C4096" t="s">
        <v>10328</v>
      </c>
      <c r="D4096" t="s">
        <v>10328</v>
      </c>
      <c r="E4096" t="s">
        <v>10329</v>
      </c>
    </row>
    <row r="4097" spans="1:5" x14ac:dyDescent="0.2">
      <c r="A4097" t="s">
        <v>10417</v>
      </c>
      <c r="B4097" t="s">
        <v>10418</v>
      </c>
      <c r="C4097" t="s">
        <v>10328</v>
      </c>
      <c r="D4097" t="s">
        <v>10328</v>
      </c>
      <c r="E4097" t="s">
        <v>10332</v>
      </c>
    </row>
    <row r="4098" spans="1:5" x14ac:dyDescent="0.2">
      <c r="A4098" t="s">
        <v>10419</v>
      </c>
      <c r="B4098" t="s">
        <v>10420</v>
      </c>
      <c r="C4098" t="s">
        <v>10328</v>
      </c>
      <c r="D4098" t="s">
        <v>10328</v>
      </c>
      <c r="E4098" t="s">
        <v>10421</v>
      </c>
    </row>
    <row r="4099" spans="1:5" x14ac:dyDescent="0.2">
      <c r="A4099" t="s">
        <v>10422</v>
      </c>
      <c r="B4099" t="s">
        <v>10423</v>
      </c>
      <c r="C4099" t="s">
        <v>10328</v>
      </c>
      <c r="D4099" t="s">
        <v>10328</v>
      </c>
      <c r="E4099" t="s">
        <v>10424</v>
      </c>
    </row>
    <row r="4100" spans="1:5" x14ac:dyDescent="0.2">
      <c r="A4100" t="s">
        <v>10425</v>
      </c>
      <c r="B4100" t="s">
        <v>10426</v>
      </c>
      <c r="C4100" t="s">
        <v>10328</v>
      </c>
      <c r="D4100" t="s">
        <v>10328</v>
      </c>
      <c r="E4100" t="s">
        <v>10427</v>
      </c>
    </row>
    <row r="4101" spans="1:5" x14ac:dyDescent="0.2">
      <c r="A4101" t="s">
        <v>10428</v>
      </c>
      <c r="B4101" t="s">
        <v>10429</v>
      </c>
      <c r="C4101" t="s">
        <v>10328</v>
      </c>
      <c r="D4101" t="s">
        <v>10328</v>
      </c>
      <c r="E4101" t="s">
        <v>10335</v>
      </c>
    </row>
    <row r="4102" spans="1:5" x14ac:dyDescent="0.2">
      <c r="A4102" t="s">
        <v>10430</v>
      </c>
      <c r="B4102" t="s">
        <v>10431</v>
      </c>
      <c r="C4102" t="s">
        <v>10328</v>
      </c>
      <c r="D4102" t="s">
        <v>10328</v>
      </c>
      <c r="E4102" t="s">
        <v>10432</v>
      </c>
    </row>
    <row r="4103" spans="1:5" x14ac:dyDescent="0.2">
      <c r="A4103" t="s">
        <v>10433</v>
      </c>
      <c r="B4103" t="s">
        <v>10434</v>
      </c>
      <c r="C4103" t="s">
        <v>10328</v>
      </c>
      <c r="D4103" t="s">
        <v>10328</v>
      </c>
      <c r="E4103" t="s">
        <v>10435</v>
      </c>
    </row>
    <row r="4104" spans="1:5" x14ac:dyDescent="0.2">
      <c r="A4104" t="s">
        <v>10436</v>
      </c>
      <c r="B4104" t="s">
        <v>10437</v>
      </c>
      <c r="C4104" t="s">
        <v>10328</v>
      </c>
      <c r="D4104" t="s">
        <v>10328</v>
      </c>
      <c r="E4104" t="s">
        <v>10335</v>
      </c>
    </row>
    <row r="4105" spans="1:5" x14ac:dyDescent="0.2">
      <c r="A4105" t="s">
        <v>10438</v>
      </c>
      <c r="B4105" t="s">
        <v>10439</v>
      </c>
      <c r="C4105" t="s">
        <v>10328</v>
      </c>
      <c r="D4105" t="s">
        <v>10328</v>
      </c>
      <c r="E4105" t="s">
        <v>10440</v>
      </c>
    </row>
    <row r="4106" spans="1:5" x14ac:dyDescent="0.2">
      <c r="A4106" t="s">
        <v>10441</v>
      </c>
      <c r="B4106" t="s">
        <v>10442</v>
      </c>
      <c r="C4106" t="s">
        <v>10328</v>
      </c>
      <c r="D4106" t="s">
        <v>10328</v>
      </c>
      <c r="E4106" t="s">
        <v>10372</v>
      </c>
    </row>
    <row r="4107" spans="1:5" x14ac:dyDescent="0.2">
      <c r="A4107" t="s">
        <v>10443</v>
      </c>
      <c r="B4107" t="s">
        <v>10444</v>
      </c>
      <c r="C4107" t="s">
        <v>10328</v>
      </c>
      <c r="D4107" t="s">
        <v>10328</v>
      </c>
      <c r="E4107" t="s">
        <v>10335</v>
      </c>
    </row>
    <row r="4108" spans="1:5" x14ac:dyDescent="0.2">
      <c r="A4108" t="s">
        <v>10445</v>
      </c>
      <c r="B4108" t="s">
        <v>10446</v>
      </c>
      <c r="C4108" t="s">
        <v>10328</v>
      </c>
      <c r="D4108" t="s">
        <v>10328</v>
      </c>
      <c r="E4108" t="s">
        <v>10447</v>
      </c>
    </row>
    <row r="4109" spans="1:5" x14ac:dyDescent="0.2">
      <c r="A4109" t="s">
        <v>10448</v>
      </c>
      <c r="B4109" t="s">
        <v>10449</v>
      </c>
      <c r="C4109" t="s">
        <v>10328</v>
      </c>
      <c r="D4109" t="s">
        <v>10328</v>
      </c>
      <c r="E4109" t="s">
        <v>10450</v>
      </c>
    </row>
    <row r="4110" spans="1:5" x14ac:dyDescent="0.2">
      <c r="A4110" t="s">
        <v>10451</v>
      </c>
      <c r="B4110" t="s">
        <v>10452</v>
      </c>
      <c r="C4110" t="s">
        <v>10328</v>
      </c>
      <c r="D4110" t="s">
        <v>10328</v>
      </c>
      <c r="E4110" t="s">
        <v>10332</v>
      </c>
    </row>
    <row r="4111" spans="1:5" x14ac:dyDescent="0.2">
      <c r="A4111" t="s">
        <v>10453</v>
      </c>
      <c r="B4111" t="s">
        <v>10454</v>
      </c>
      <c r="C4111" t="s">
        <v>10328</v>
      </c>
      <c r="D4111" t="s">
        <v>10328</v>
      </c>
      <c r="E4111" t="s">
        <v>10332</v>
      </c>
    </row>
    <row r="4112" spans="1:5" x14ac:dyDescent="0.2">
      <c r="A4112" t="s">
        <v>10455</v>
      </c>
      <c r="B4112" t="s">
        <v>10456</v>
      </c>
      <c r="C4112" t="s">
        <v>10328</v>
      </c>
      <c r="D4112" t="s">
        <v>10328</v>
      </c>
      <c r="E4112" t="s">
        <v>10351</v>
      </c>
    </row>
    <row r="4113" spans="1:5" x14ac:dyDescent="0.2">
      <c r="A4113" t="s">
        <v>10457</v>
      </c>
      <c r="B4113" t="s">
        <v>10458</v>
      </c>
      <c r="C4113" t="s">
        <v>10328</v>
      </c>
      <c r="D4113" t="s">
        <v>10328</v>
      </c>
      <c r="E4113" t="s">
        <v>10351</v>
      </c>
    </row>
    <row r="4114" spans="1:5" x14ac:dyDescent="0.2">
      <c r="A4114" t="s">
        <v>10459</v>
      </c>
      <c r="B4114" t="s">
        <v>10460</v>
      </c>
      <c r="C4114" t="s">
        <v>10328</v>
      </c>
      <c r="D4114" t="e">
        <v>#N/A</v>
      </c>
      <c r="E4114" t="e">
        <v>#N/A</v>
      </c>
    </row>
    <row r="4115" spans="1:5" x14ac:dyDescent="0.2">
      <c r="A4115" t="s">
        <v>10461</v>
      </c>
      <c r="B4115" t="s">
        <v>10462</v>
      </c>
      <c r="C4115" t="s">
        <v>10463</v>
      </c>
      <c r="D4115" t="s">
        <v>10463</v>
      </c>
      <c r="E4115" t="s">
        <v>10464</v>
      </c>
    </row>
    <row r="4116" spans="1:5" x14ac:dyDescent="0.2">
      <c r="A4116" t="s">
        <v>10465</v>
      </c>
      <c r="B4116" t="s">
        <v>10466</v>
      </c>
      <c r="C4116" t="s">
        <v>10463</v>
      </c>
      <c r="D4116" t="s">
        <v>10463</v>
      </c>
      <c r="E4116" t="s">
        <v>10467</v>
      </c>
    </row>
    <row r="4117" spans="1:5" x14ac:dyDescent="0.2">
      <c r="A4117" t="s">
        <v>10468</v>
      </c>
      <c r="B4117" t="s">
        <v>10469</v>
      </c>
      <c r="C4117" t="s">
        <v>10463</v>
      </c>
      <c r="D4117" t="s">
        <v>10463</v>
      </c>
      <c r="E4117" t="s">
        <v>10470</v>
      </c>
    </row>
    <row r="4118" spans="1:5" x14ac:dyDescent="0.2">
      <c r="A4118" t="s">
        <v>10471</v>
      </c>
      <c r="B4118" t="s">
        <v>10472</v>
      </c>
      <c r="C4118" t="s">
        <v>10463</v>
      </c>
      <c r="D4118" t="s">
        <v>10463</v>
      </c>
      <c r="E4118" t="s">
        <v>10473</v>
      </c>
    </row>
    <row r="4119" spans="1:5" x14ac:dyDescent="0.2">
      <c r="A4119" t="s">
        <v>10474</v>
      </c>
      <c r="B4119" t="s">
        <v>10475</v>
      </c>
      <c r="C4119" t="s">
        <v>10463</v>
      </c>
      <c r="D4119" t="s">
        <v>10463</v>
      </c>
      <c r="E4119" t="s">
        <v>10476</v>
      </c>
    </row>
    <row r="4120" spans="1:5" x14ac:dyDescent="0.2">
      <c r="A4120" t="s">
        <v>10477</v>
      </c>
      <c r="B4120" t="s">
        <v>10478</v>
      </c>
      <c r="C4120" t="s">
        <v>10463</v>
      </c>
      <c r="D4120" t="s">
        <v>10463</v>
      </c>
      <c r="E4120" t="s">
        <v>10479</v>
      </c>
    </row>
    <row r="4121" spans="1:5" x14ac:dyDescent="0.2">
      <c r="A4121" t="s">
        <v>10480</v>
      </c>
      <c r="B4121" t="s">
        <v>10481</v>
      </c>
      <c r="C4121" t="s">
        <v>10463</v>
      </c>
      <c r="D4121" t="s">
        <v>10463</v>
      </c>
      <c r="E4121" t="s">
        <v>10482</v>
      </c>
    </row>
    <row r="4122" spans="1:5" x14ac:dyDescent="0.2">
      <c r="A4122" t="s">
        <v>10483</v>
      </c>
      <c r="B4122" t="s">
        <v>10484</v>
      </c>
      <c r="C4122" t="s">
        <v>10463</v>
      </c>
      <c r="D4122" t="s">
        <v>10463</v>
      </c>
      <c r="E4122" t="s">
        <v>10485</v>
      </c>
    </row>
    <row r="4123" spans="1:5" x14ac:dyDescent="0.2">
      <c r="A4123" t="s">
        <v>10486</v>
      </c>
      <c r="B4123" t="s">
        <v>10487</v>
      </c>
      <c r="C4123" t="s">
        <v>10463</v>
      </c>
      <c r="D4123" t="s">
        <v>10463</v>
      </c>
      <c r="E4123" t="s">
        <v>10488</v>
      </c>
    </row>
    <row r="4124" spans="1:5" x14ac:dyDescent="0.2">
      <c r="A4124" t="s">
        <v>10489</v>
      </c>
      <c r="B4124" t="s">
        <v>10490</v>
      </c>
      <c r="C4124" t="s">
        <v>10463</v>
      </c>
      <c r="D4124" t="s">
        <v>10463</v>
      </c>
      <c r="E4124" t="s">
        <v>10491</v>
      </c>
    </row>
    <row r="4125" spans="1:5" x14ac:dyDescent="0.2">
      <c r="A4125" t="s">
        <v>10492</v>
      </c>
      <c r="B4125" t="s">
        <v>10493</v>
      </c>
      <c r="C4125" t="s">
        <v>10463</v>
      </c>
      <c r="D4125" t="s">
        <v>10463</v>
      </c>
      <c r="E4125" t="s">
        <v>10494</v>
      </c>
    </row>
    <row r="4126" spans="1:5" x14ac:dyDescent="0.2">
      <c r="A4126" t="s">
        <v>10495</v>
      </c>
      <c r="B4126" t="s">
        <v>10496</v>
      </c>
      <c r="C4126" t="s">
        <v>10463</v>
      </c>
      <c r="D4126" t="s">
        <v>10463</v>
      </c>
      <c r="E4126" t="s">
        <v>10497</v>
      </c>
    </row>
    <row r="4127" spans="1:5" x14ac:dyDescent="0.2">
      <c r="A4127" t="s">
        <v>10498</v>
      </c>
      <c r="B4127" t="s">
        <v>10499</v>
      </c>
      <c r="C4127" t="s">
        <v>10463</v>
      </c>
      <c r="D4127" t="s">
        <v>10463</v>
      </c>
      <c r="E4127" t="s">
        <v>10500</v>
      </c>
    </row>
    <row r="4128" spans="1:5" x14ac:dyDescent="0.2">
      <c r="A4128" t="s">
        <v>10501</v>
      </c>
      <c r="B4128" t="s">
        <v>10502</v>
      </c>
      <c r="C4128" t="s">
        <v>10463</v>
      </c>
      <c r="D4128" t="s">
        <v>10463</v>
      </c>
      <c r="E4128" t="s">
        <v>10503</v>
      </c>
    </row>
    <row r="4129" spans="1:5" x14ac:dyDescent="0.2">
      <c r="A4129" t="s">
        <v>10504</v>
      </c>
      <c r="B4129" t="s">
        <v>10505</v>
      </c>
      <c r="C4129" t="s">
        <v>10463</v>
      </c>
      <c r="D4129" t="s">
        <v>10463</v>
      </c>
      <c r="E4129" t="s">
        <v>10506</v>
      </c>
    </row>
    <row r="4130" spans="1:5" x14ac:dyDescent="0.2">
      <c r="A4130" t="s">
        <v>10507</v>
      </c>
      <c r="B4130" t="s">
        <v>10508</v>
      </c>
      <c r="C4130" t="s">
        <v>10463</v>
      </c>
      <c r="D4130" t="s">
        <v>10463</v>
      </c>
      <c r="E4130" t="s">
        <v>10509</v>
      </c>
    </row>
    <row r="4131" spans="1:5" x14ac:dyDescent="0.2">
      <c r="A4131" t="s">
        <v>10510</v>
      </c>
      <c r="B4131" t="s">
        <v>10511</v>
      </c>
      <c r="C4131" t="s">
        <v>10463</v>
      </c>
      <c r="D4131" t="s">
        <v>10463</v>
      </c>
      <c r="E4131" t="s">
        <v>10512</v>
      </c>
    </row>
    <row r="4132" spans="1:5" x14ac:dyDescent="0.2">
      <c r="A4132" t="s">
        <v>10513</v>
      </c>
      <c r="B4132" t="s">
        <v>10514</v>
      </c>
      <c r="C4132" t="s">
        <v>10463</v>
      </c>
      <c r="D4132" t="s">
        <v>10463</v>
      </c>
      <c r="E4132" t="s">
        <v>10515</v>
      </c>
    </row>
    <row r="4133" spans="1:5" x14ac:dyDescent="0.2">
      <c r="A4133" t="s">
        <v>10516</v>
      </c>
      <c r="B4133" t="s">
        <v>10517</v>
      </c>
      <c r="C4133" t="s">
        <v>10463</v>
      </c>
      <c r="D4133" t="s">
        <v>10463</v>
      </c>
      <c r="E4133" t="s">
        <v>10518</v>
      </c>
    </row>
    <row r="4134" spans="1:5" x14ac:dyDescent="0.2">
      <c r="A4134" t="s">
        <v>10519</v>
      </c>
      <c r="B4134" t="s">
        <v>10520</v>
      </c>
      <c r="C4134" t="s">
        <v>10463</v>
      </c>
      <c r="D4134" t="s">
        <v>10463</v>
      </c>
      <c r="E4134" t="s">
        <v>10521</v>
      </c>
    </row>
    <row r="4135" spans="1:5" x14ac:dyDescent="0.2">
      <c r="A4135" t="s">
        <v>10522</v>
      </c>
      <c r="B4135" t="s">
        <v>10523</v>
      </c>
      <c r="C4135" t="s">
        <v>10463</v>
      </c>
      <c r="D4135" t="s">
        <v>10463</v>
      </c>
      <c r="E4135" t="s">
        <v>10524</v>
      </c>
    </row>
    <row r="4136" spans="1:5" x14ac:dyDescent="0.2">
      <c r="A4136" t="s">
        <v>10525</v>
      </c>
      <c r="B4136" t="s">
        <v>10526</v>
      </c>
      <c r="C4136" t="s">
        <v>10463</v>
      </c>
      <c r="D4136" t="s">
        <v>10463</v>
      </c>
      <c r="E4136" t="s">
        <v>10527</v>
      </c>
    </row>
    <row r="4137" spans="1:5" x14ac:dyDescent="0.2">
      <c r="A4137" t="s">
        <v>10528</v>
      </c>
      <c r="B4137" t="s">
        <v>10529</v>
      </c>
      <c r="C4137" t="s">
        <v>10463</v>
      </c>
      <c r="D4137" t="s">
        <v>10463</v>
      </c>
      <c r="E4137" t="s">
        <v>10530</v>
      </c>
    </row>
    <row r="4138" spans="1:5" x14ac:dyDescent="0.2">
      <c r="A4138" t="s">
        <v>10531</v>
      </c>
      <c r="B4138" t="s">
        <v>10532</v>
      </c>
      <c r="C4138" t="s">
        <v>10463</v>
      </c>
      <c r="D4138" t="s">
        <v>10463</v>
      </c>
      <c r="E4138" t="s">
        <v>10533</v>
      </c>
    </row>
    <row r="4139" spans="1:5" x14ac:dyDescent="0.2">
      <c r="A4139" t="s">
        <v>10534</v>
      </c>
      <c r="B4139" t="s">
        <v>10535</v>
      </c>
      <c r="C4139" t="s">
        <v>10463</v>
      </c>
      <c r="D4139" t="s">
        <v>10463</v>
      </c>
      <c r="E4139" t="s">
        <v>10536</v>
      </c>
    </row>
    <row r="4140" spans="1:5" x14ac:dyDescent="0.2">
      <c r="A4140" t="s">
        <v>10537</v>
      </c>
      <c r="B4140" t="s">
        <v>10538</v>
      </c>
      <c r="C4140" t="s">
        <v>10463</v>
      </c>
      <c r="D4140" t="s">
        <v>10463</v>
      </c>
      <c r="E4140" t="s">
        <v>10539</v>
      </c>
    </row>
    <row r="4141" spans="1:5" x14ac:dyDescent="0.2">
      <c r="A4141" t="s">
        <v>10540</v>
      </c>
      <c r="B4141" t="s">
        <v>10541</v>
      </c>
      <c r="C4141" t="s">
        <v>10463</v>
      </c>
      <c r="D4141" t="s">
        <v>10463</v>
      </c>
      <c r="E4141" t="s">
        <v>10542</v>
      </c>
    </row>
    <row r="4142" spans="1:5" x14ac:dyDescent="0.2">
      <c r="A4142" t="s">
        <v>10543</v>
      </c>
      <c r="B4142" t="s">
        <v>10544</v>
      </c>
      <c r="C4142" t="s">
        <v>10463</v>
      </c>
      <c r="D4142" t="s">
        <v>10463</v>
      </c>
      <c r="E4142" t="s">
        <v>10545</v>
      </c>
    </row>
    <row r="4143" spans="1:5" x14ac:dyDescent="0.2">
      <c r="A4143" t="s">
        <v>10546</v>
      </c>
      <c r="B4143" t="s">
        <v>10547</v>
      </c>
      <c r="C4143" t="s">
        <v>10463</v>
      </c>
      <c r="D4143" t="s">
        <v>10463</v>
      </c>
      <c r="E4143" t="s">
        <v>10548</v>
      </c>
    </row>
    <row r="4144" spans="1:5" x14ac:dyDescent="0.2">
      <c r="A4144" t="s">
        <v>10549</v>
      </c>
      <c r="B4144" t="s">
        <v>10550</v>
      </c>
      <c r="C4144" t="s">
        <v>10463</v>
      </c>
      <c r="D4144" t="s">
        <v>10463</v>
      </c>
      <c r="E4144" t="s">
        <v>10551</v>
      </c>
    </row>
    <row r="4145" spans="1:5" x14ac:dyDescent="0.2">
      <c r="A4145" t="s">
        <v>10552</v>
      </c>
      <c r="B4145" t="s">
        <v>10553</v>
      </c>
      <c r="C4145" t="s">
        <v>10463</v>
      </c>
      <c r="D4145" t="s">
        <v>10463</v>
      </c>
      <c r="E4145" t="s">
        <v>10554</v>
      </c>
    </row>
    <row r="4146" spans="1:5" x14ac:dyDescent="0.2">
      <c r="A4146" t="s">
        <v>10555</v>
      </c>
      <c r="B4146" t="s">
        <v>10556</v>
      </c>
      <c r="C4146" t="s">
        <v>10463</v>
      </c>
      <c r="D4146" t="s">
        <v>10463</v>
      </c>
      <c r="E4146" t="s">
        <v>10557</v>
      </c>
    </row>
    <row r="4147" spans="1:5" x14ac:dyDescent="0.2">
      <c r="A4147" t="s">
        <v>10558</v>
      </c>
      <c r="B4147" t="s">
        <v>10559</v>
      </c>
      <c r="C4147" t="s">
        <v>10463</v>
      </c>
      <c r="D4147" t="s">
        <v>10463</v>
      </c>
      <c r="E4147" t="s">
        <v>10560</v>
      </c>
    </row>
    <row r="4148" spans="1:5" x14ac:dyDescent="0.2">
      <c r="A4148" t="s">
        <v>10561</v>
      </c>
      <c r="B4148" t="s">
        <v>10562</v>
      </c>
      <c r="C4148" t="s">
        <v>10563</v>
      </c>
      <c r="D4148" t="s">
        <v>10563</v>
      </c>
      <c r="E4148" t="s">
        <v>10564</v>
      </c>
    </row>
    <row r="4149" spans="1:5" x14ac:dyDescent="0.2">
      <c r="A4149" t="s">
        <v>10565</v>
      </c>
      <c r="B4149" t="s">
        <v>10566</v>
      </c>
      <c r="C4149" t="s">
        <v>10563</v>
      </c>
      <c r="D4149" t="s">
        <v>10563</v>
      </c>
      <c r="E4149" t="s">
        <v>10567</v>
      </c>
    </row>
    <row r="4150" spans="1:5" x14ac:dyDescent="0.2">
      <c r="A4150" t="s">
        <v>10568</v>
      </c>
      <c r="B4150" t="s">
        <v>10569</v>
      </c>
      <c r="C4150" t="s">
        <v>10563</v>
      </c>
      <c r="D4150" t="s">
        <v>10563</v>
      </c>
      <c r="E4150" t="s">
        <v>10570</v>
      </c>
    </row>
    <row r="4151" spans="1:5" x14ac:dyDescent="0.2">
      <c r="A4151" t="s">
        <v>10571</v>
      </c>
      <c r="B4151" t="s">
        <v>10572</v>
      </c>
      <c r="C4151" t="s">
        <v>10563</v>
      </c>
      <c r="D4151" t="s">
        <v>10563</v>
      </c>
      <c r="E4151" t="s">
        <v>10573</v>
      </c>
    </row>
    <row r="4152" spans="1:5" x14ac:dyDescent="0.2">
      <c r="A4152" t="s">
        <v>10574</v>
      </c>
      <c r="B4152" t="s">
        <v>10575</v>
      </c>
      <c r="C4152" t="s">
        <v>10563</v>
      </c>
      <c r="D4152" t="s">
        <v>10563</v>
      </c>
      <c r="E4152" t="s">
        <v>10576</v>
      </c>
    </row>
    <row r="4153" spans="1:5" x14ac:dyDescent="0.2">
      <c r="A4153" t="s">
        <v>10577</v>
      </c>
      <c r="B4153" t="s">
        <v>10578</v>
      </c>
      <c r="C4153" t="s">
        <v>10563</v>
      </c>
      <c r="D4153" t="s">
        <v>10563</v>
      </c>
      <c r="E4153" t="s">
        <v>10579</v>
      </c>
    </row>
    <row r="4154" spans="1:5" x14ac:dyDescent="0.2">
      <c r="A4154" t="s">
        <v>10580</v>
      </c>
      <c r="B4154" t="s">
        <v>10581</v>
      </c>
      <c r="C4154" t="s">
        <v>10563</v>
      </c>
      <c r="D4154" t="s">
        <v>10563</v>
      </c>
      <c r="E4154" t="s">
        <v>10582</v>
      </c>
    </row>
    <row r="4155" spans="1:5" x14ac:dyDescent="0.2">
      <c r="A4155" t="s">
        <v>10583</v>
      </c>
      <c r="B4155" t="s">
        <v>10584</v>
      </c>
      <c r="C4155" t="s">
        <v>10563</v>
      </c>
      <c r="D4155" t="s">
        <v>10563</v>
      </c>
      <c r="E4155" t="s">
        <v>10585</v>
      </c>
    </row>
    <row r="4156" spans="1:5" x14ac:dyDescent="0.2">
      <c r="A4156" t="s">
        <v>10586</v>
      </c>
      <c r="B4156" t="s">
        <v>10587</v>
      </c>
      <c r="C4156" t="s">
        <v>10563</v>
      </c>
      <c r="D4156" t="s">
        <v>10563</v>
      </c>
      <c r="E4156" t="s">
        <v>10588</v>
      </c>
    </row>
    <row r="4157" spans="1:5" x14ac:dyDescent="0.2">
      <c r="A4157" t="s">
        <v>10589</v>
      </c>
      <c r="B4157" t="s">
        <v>10590</v>
      </c>
      <c r="C4157" t="s">
        <v>10563</v>
      </c>
      <c r="D4157" t="s">
        <v>10563</v>
      </c>
      <c r="E4157" t="s">
        <v>10591</v>
      </c>
    </row>
    <row r="4158" spans="1:5" x14ac:dyDescent="0.2">
      <c r="A4158" t="s">
        <v>10592</v>
      </c>
      <c r="B4158" t="s">
        <v>10593</v>
      </c>
      <c r="C4158" t="s">
        <v>10563</v>
      </c>
      <c r="D4158" t="s">
        <v>10563</v>
      </c>
      <c r="E4158" t="s">
        <v>10594</v>
      </c>
    </row>
    <row r="4159" spans="1:5" x14ac:dyDescent="0.2">
      <c r="A4159" t="s">
        <v>10595</v>
      </c>
      <c r="B4159" t="s">
        <v>10596</v>
      </c>
      <c r="C4159" t="s">
        <v>10563</v>
      </c>
      <c r="D4159" t="s">
        <v>10563</v>
      </c>
      <c r="E4159" t="s">
        <v>10597</v>
      </c>
    </row>
    <row r="4160" spans="1:5" x14ac:dyDescent="0.2">
      <c r="A4160" t="s">
        <v>10598</v>
      </c>
      <c r="B4160" t="s">
        <v>10599</v>
      </c>
      <c r="C4160" t="s">
        <v>10563</v>
      </c>
      <c r="D4160" t="s">
        <v>10563</v>
      </c>
      <c r="E4160" t="s">
        <v>10600</v>
      </c>
    </row>
    <row r="4161" spans="1:5" x14ac:dyDescent="0.2">
      <c r="A4161" t="s">
        <v>10601</v>
      </c>
      <c r="B4161" t="s">
        <v>10602</v>
      </c>
      <c r="C4161" t="s">
        <v>10563</v>
      </c>
      <c r="D4161" t="s">
        <v>10563</v>
      </c>
      <c r="E4161" t="s">
        <v>10603</v>
      </c>
    </row>
    <row r="4162" spans="1:5" x14ac:dyDescent="0.2">
      <c r="A4162" t="s">
        <v>10604</v>
      </c>
      <c r="B4162" t="s">
        <v>10605</v>
      </c>
      <c r="C4162" t="s">
        <v>10563</v>
      </c>
      <c r="D4162" t="s">
        <v>10563</v>
      </c>
      <c r="E4162" t="s">
        <v>10606</v>
      </c>
    </row>
    <row r="4163" spans="1:5" x14ac:dyDescent="0.2">
      <c r="A4163" t="s">
        <v>10607</v>
      </c>
      <c r="B4163" t="s">
        <v>10608</v>
      </c>
      <c r="C4163" t="s">
        <v>10563</v>
      </c>
      <c r="D4163" t="s">
        <v>10563</v>
      </c>
      <c r="E4163" t="s">
        <v>10609</v>
      </c>
    </row>
    <row r="4164" spans="1:5" x14ac:dyDescent="0.2">
      <c r="A4164" t="s">
        <v>10610</v>
      </c>
      <c r="B4164" t="s">
        <v>10611</v>
      </c>
      <c r="C4164" t="s">
        <v>10563</v>
      </c>
      <c r="D4164" t="s">
        <v>10563</v>
      </c>
      <c r="E4164" t="s">
        <v>10612</v>
      </c>
    </row>
    <row r="4165" spans="1:5" x14ac:dyDescent="0.2">
      <c r="A4165" t="s">
        <v>10613</v>
      </c>
      <c r="B4165" t="s">
        <v>10614</v>
      </c>
      <c r="C4165" t="s">
        <v>10615</v>
      </c>
      <c r="D4165" t="s">
        <v>10615</v>
      </c>
      <c r="E4165" t="s">
        <v>10616</v>
      </c>
    </row>
    <row r="4166" spans="1:5" x14ac:dyDescent="0.2">
      <c r="A4166" t="s">
        <v>10617</v>
      </c>
      <c r="B4166" t="s">
        <v>10618</v>
      </c>
      <c r="C4166" t="s">
        <v>10615</v>
      </c>
      <c r="D4166" t="s">
        <v>10615</v>
      </c>
      <c r="E4166" t="s">
        <v>10619</v>
      </c>
    </row>
    <row r="4167" spans="1:5" x14ac:dyDescent="0.2">
      <c r="A4167" t="s">
        <v>10620</v>
      </c>
      <c r="B4167" t="s">
        <v>10621</v>
      </c>
      <c r="C4167" t="s">
        <v>10615</v>
      </c>
      <c r="D4167" t="s">
        <v>10615</v>
      </c>
      <c r="E4167" t="s">
        <v>10622</v>
      </c>
    </row>
    <row r="4168" spans="1:5" x14ac:dyDescent="0.2">
      <c r="A4168" t="s">
        <v>10623</v>
      </c>
      <c r="B4168" t="s">
        <v>10624</v>
      </c>
      <c r="C4168" t="s">
        <v>10615</v>
      </c>
      <c r="D4168" t="s">
        <v>10615</v>
      </c>
      <c r="E4168" t="s">
        <v>10625</v>
      </c>
    </row>
    <row r="4169" spans="1:5" x14ac:dyDescent="0.2">
      <c r="A4169" t="s">
        <v>10626</v>
      </c>
      <c r="B4169" t="s">
        <v>10627</v>
      </c>
      <c r="C4169" t="s">
        <v>10615</v>
      </c>
      <c r="D4169" t="s">
        <v>10615</v>
      </c>
      <c r="E4169" t="s">
        <v>10628</v>
      </c>
    </row>
    <row r="4170" spans="1:5" x14ac:dyDescent="0.2">
      <c r="A4170" t="s">
        <v>10629</v>
      </c>
      <c r="B4170" t="s">
        <v>10630</v>
      </c>
      <c r="C4170" t="s">
        <v>10615</v>
      </c>
      <c r="D4170" t="s">
        <v>10615</v>
      </c>
      <c r="E4170" t="s">
        <v>10631</v>
      </c>
    </row>
    <row r="4171" spans="1:5" x14ac:dyDescent="0.2">
      <c r="A4171" t="s">
        <v>10632</v>
      </c>
      <c r="B4171" t="s">
        <v>10633</v>
      </c>
      <c r="C4171" t="s">
        <v>10615</v>
      </c>
      <c r="D4171" t="s">
        <v>10615</v>
      </c>
      <c r="E4171" t="s">
        <v>10634</v>
      </c>
    </row>
    <row r="4172" spans="1:5" x14ac:dyDescent="0.2">
      <c r="A4172" t="s">
        <v>10635</v>
      </c>
      <c r="B4172" t="s">
        <v>10636</v>
      </c>
      <c r="C4172" t="s">
        <v>10615</v>
      </c>
      <c r="D4172" t="s">
        <v>10615</v>
      </c>
      <c r="E4172" t="s">
        <v>10637</v>
      </c>
    </row>
    <row r="4173" spans="1:5" x14ac:dyDescent="0.2">
      <c r="A4173" t="s">
        <v>10638</v>
      </c>
      <c r="B4173" t="s">
        <v>10639</v>
      </c>
      <c r="C4173" t="s">
        <v>10615</v>
      </c>
      <c r="D4173" t="s">
        <v>10615</v>
      </c>
      <c r="E4173" t="s">
        <v>10640</v>
      </c>
    </row>
    <row r="4174" spans="1:5" x14ac:dyDescent="0.2">
      <c r="A4174" t="s">
        <v>10641</v>
      </c>
      <c r="B4174" t="s">
        <v>10642</v>
      </c>
      <c r="C4174" t="s">
        <v>10615</v>
      </c>
      <c r="D4174" t="s">
        <v>10615</v>
      </c>
      <c r="E4174" t="s">
        <v>10643</v>
      </c>
    </row>
    <row r="4175" spans="1:5" x14ac:dyDescent="0.2">
      <c r="A4175" t="s">
        <v>10644</v>
      </c>
      <c r="B4175" t="s">
        <v>10645</v>
      </c>
      <c r="C4175" t="s">
        <v>10615</v>
      </c>
      <c r="D4175" t="s">
        <v>10615</v>
      </c>
      <c r="E4175" t="s">
        <v>10646</v>
      </c>
    </row>
    <row r="4176" spans="1:5" x14ac:dyDescent="0.2">
      <c r="A4176" t="s">
        <v>10647</v>
      </c>
      <c r="B4176" t="s">
        <v>10648</v>
      </c>
      <c r="C4176" t="s">
        <v>10615</v>
      </c>
      <c r="D4176" t="s">
        <v>10615</v>
      </c>
      <c r="E4176" t="s">
        <v>10649</v>
      </c>
    </row>
    <row r="4177" spans="1:5" x14ac:dyDescent="0.2">
      <c r="A4177" t="s">
        <v>10650</v>
      </c>
      <c r="B4177" t="s">
        <v>10651</v>
      </c>
      <c r="C4177" t="s">
        <v>10615</v>
      </c>
      <c r="D4177" t="s">
        <v>10615</v>
      </c>
      <c r="E4177" t="s">
        <v>10652</v>
      </c>
    </row>
    <row r="4178" spans="1:5" x14ac:dyDescent="0.2">
      <c r="A4178" t="s">
        <v>10653</v>
      </c>
      <c r="B4178" t="s">
        <v>10654</v>
      </c>
      <c r="C4178" t="s">
        <v>10615</v>
      </c>
      <c r="D4178" t="s">
        <v>10615</v>
      </c>
      <c r="E4178" t="s">
        <v>10655</v>
      </c>
    </row>
    <row r="4179" spans="1:5" x14ac:dyDescent="0.2">
      <c r="A4179" t="s">
        <v>10656</v>
      </c>
      <c r="B4179" t="s">
        <v>10657</v>
      </c>
      <c r="C4179" t="s">
        <v>10615</v>
      </c>
      <c r="D4179" t="s">
        <v>10615</v>
      </c>
      <c r="E4179" t="s">
        <v>10658</v>
      </c>
    </row>
    <row r="4180" spans="1:5" x14ac:dyDescent="0.2">
      <c r="A4180" t="s">
        <v>10659</v>
      </c>
      <c r="B4180" t="s">
        <v>10660</v>
      </c>
      <c r="C4180" t="s">
        <v>10615</v>
      </c>
      <c r="D4180" t="s">
        <v>10615</v>
      </c>
      <c r="E4180" t="s">
        <v>10661</v>
      </c>
    </row>
    <row r="4181" spans="1:5" x14ac:dyDescent="0.2">
      <c r="A4181" t="s">
        <v>10662</v>
      </c>
      <c r="B4181" t="s">
        <v>10663</v>
      </c>
      <c r="C4181" t="s">
        <v>10615</v>
      </c>
      <c r="D4181" t="s">
        <v>10615</v>
      </c>
      <c r="E4181" t="s">
        <v>10664</v>
      </c>
    </row>
    <row r="4182" spans="1:5" x14ac:dyDescent="0.2">
      <c r="A4182" t="s">
        <v>10665</v>
      </c>
      <c r="B4182" t="s">
        <v>10666</v>
      </c>
      <c r="C4182" t="s">
        <v>10615</v>
      </c>
      <c r="D4182" t="s">
        <v>10615</v>
      </c>
      <c r="E4182" t="s">
        <v>10652</v>
      </c>
    </row>
    <row r="4183" spans="1:5" x14ac:dyDescent="0.2">
      <c r="A4183" t="s">
        <v>10667</v>
      </c>
      <c r="B4183" t="s">
        <v>10668</v>
      </c>
      <c r="C4183" t="s">
        <v>10615</v>
      </c>
      <c r="D4183" t="s">
        <v>10615</v>
      </c>
      <c r="E4183" t="s">
        <v>10669</v>
      </c>
    </row>
    <row r="4184" spans="1:5" x14ac:dyDescent="0.2">
      <c r="A4184" t="s">
        <v>10670</v>
      </c>
      <c r="B4184" t="s">
        <v>10671</v>
      </c>
      <c r="C4184" t="s">
        <v>10615</v>
      </c>
      <c r="D4184" t="s">
        <v>10615</v>
      </c>
      <c r="E4184" t="s">
        <v>10672</v>
      </c>
    </row>
    <row r="4185" spans="1:5" x14ac:dyDescent="0.2">
      <c r="A4185" t="s">
        <v>10673</v>
      </c>
      <c r="B4185" t="s">
        <v>10674</v>
      </c>
      <c r="C4185" t="s">
        <v>10615</v>
      </c>
      <c r="D4185" t="s">
        <v>10615</v>
      </c>
      <c r="E4185" t="s">
        <v>10675</v>
      </c>
    </row>
    <row r="4186" spans="1:5" x14ac:dyDescent="0.2">
      <c r="A4186" t="s">
        <v>10676</v>
      </c>
      <c r="B4186" t="s">
        <v>10677</v>
      </c>
      <c r="C4186" t="s">
        <v>10615</v>
      </c>
      <c r="D4186" t="s">
        <v>10615</v>
      </c>
      <c r="E4186" t="s">
        <v>10678</v>
      </c>
    </row>
    <row r="4187" spans="1:5" x14ac:dyDescent="0.2">
      <c r="A4187" t="s">
        <v>10679</v>
      </c>
      <c r="B4187" t="s">
        <v>10680</v>
      </c>
      <c r="C4187" t="s">
        <v>10615</v>
      </c>
      <c r="D4187" t="s">
        <v>10615</v>
      </c>
      <c r="E4187" t="s">
        <v>10681</v>
      </c>
    </row>
    <row r="4188" spans="1:5" x14ac:dyDescent="0.2">
      <c r="A4188" t="s">
        <v>10682</v>
      </c>
      <c r="B4188" t="s">
        <v>10683</v>
      </c>
      <c r="C4188" t="s">
        <v>10615</v>
      </c>
      <c r="D4188" t="s">
        <v>10615</v>
      </c>
      <c r="E4188" t="s">
        <v>10684</v>
      </c>
    </row>
    <row r="4189" spans="1:5" x14ac:dyDescent="0.2">
      <c r="A4189" t="s">
        <v>10685</v>
      </c>
      <c r="B4189" t="s">
        <v>10686</v>
      </c>
      <c r="C4189" t="s">
        <v>10615</v>
      </c>
      <c r="D4189" t="s">
        <v>10615</v>
      </c>
      <c r="E4189" t="s">
        <v>10687</v>
      </c>
    </row>
    <row r="4190" spans="1:5" x14ac:dyDescent="0.2">
      <c r="A4190" t="s">
        <v>10688</v>
      </c>
      <c r="B4190" t="s">
        <v>10689</v>
      </c>
      <c r="C4190" t="s">
        <v>10615</v>
      </c>
      <c r="D4190" t="s">
        <v>10615</v>
      </c>
      <c r="E4190" t="s">
        <v>10690</v>
      </c>
    </row>
    <row r="4191" spans="1:5" x14ac:dyDescent="0.2">
      <c r="A4191" t="s">
        <v>10691</v>
      </c>
      <c r="B4191" t="s">
        <v>10692</v>
      </c>
      <c r="C4191" t="s">
        <v>10615</v>
      </c>
      <c r="D4191" t="s">
        <v>10615</v>
      </c>
      <c r="E4191" t="s">
        <v>10693</v>
      </c>
    </row>
    <row r="4192" spans="1:5" x14ac:dyDescent="0.2">
      <c r="A4192" t="s">
        <v>10694</v>
      </c>
      <c r="B4192" t="s">
        <v>10695</v>
      </c>
      <c r="C4192" t="s">
        <v>10615</v>
      </c>
      <c r="D4192" t="s">
        <v>10615</v>
      </c>
      <c r="E4192" t="s">
        <v>10637</v>
      </c>
    </row>
    <row r="4193" spans="1:5" x14ac:dyDescent="0.2">
      <c r="A4193" t="s">
        <v>10696</v>
      </c>
      <c r="B4193" t="s">
        <v>10697</v>
      </c>
      <c r="C4193" t="s">
        <v>10615</v>
      </c>
      <c r="D4193" t="s">
        <v>10615</v>
      </c>
      <c r="E4193" t="s">
        <v>10698</v>
      </c>
    </row>
    <row r="4194" spans="1:5" x14ac:dyDescent="0.2">
      <c r="A4194" t="s">
        <v>10699</v>
      </c>
      <c r="B4194" t="s">
        <v>10700</v>
      </c>
      <c r="C4194" t="s">
        <v>10615</v>
      </c>
      <c r="D4194" t="s">
        <v>10615</v>
      </c>
      <c r="E4194" t="s">
        <v>10701</v>
      </c>
    </row>
    <row r="4195" spans="1:5" x14ac:dyDescent="0.2">
      <c r="A4195" t="s">
        <v>10702</v>
      </c>
      <c r="B4195" t="s">
        <v>10703</v>
      </c>
      <c r="C4195" t="s">
        <v>10615</v>
      </c>
      <c r="D4195" t="s">
        <v>10615</v>
      </c>
      <c r="E4195" t="s">
        <v>10637</v>
      </c>
    </row>
    <row r="4196" spans="1:5" x14ac:dyDescent="0.2">
      <c r="A4196" t="s">
        <v>10704</v>
      </c>
      <c r="B4196" t="s">
        <v>10705</v>
      </c>
      <c r="C4196" t="s">
        <v>10615</v>
      </c>
      <c r="D4196" t="e">
        <v>#N/A</v>
      </c>
      <c r="E4196" t="e">
        <v>#N/A</v>
      </c>
    </row>
    <row r="4197" spans="1:5" x14ac:dyDescent="0.2">
      <c r="A4197" t="s">
        <v>10706</v>
      </c>
      <c r="B4197" t="s">
        <v>10707</v>
      </c>
      <c r="C4197" t="s">
        <v>10615</v>
      </c>
      <c r="D4197" t="e">
        <v>#N/A</v>
      </c>
      <c r="E4197" t="e">
        <v>#N/A</v>
      </c>
    </row>
    <row r="4198" spans="1:5" x14ac:dyDescent="0.2">
      <c r="A4198" t="s">
        <v>10708</v>
      </c>
      <c r="B4198" t="s">
        <v>10709</v>
      </c>
      <c r="C4198" t="s">
        <v>10710</v>
      </c>
      <c r="D4198" t="s">
        <v>10710</v>
      </c>
      <c r="E4198" t="s">
        <v>10711</v>
      </c>
    </row>
    <row r="4199" spans="1:5" x14ac:dyDescent="0.2">
      <c r="A4199" t="s">
        <v>10712</v>
      </c>
      <c r="B4199" t="s">
        <v>10713</v>
      </c>
      <c r="C4199" t="s">
        <v>10710</v>
      </c>
      <c r="D4199" t="s">
        <v>10710</v>
      </c>
      <c r="E4199" t="s">
        <v>10714</v>
      </c>
    </row>
    <row r="4200" spans="1:5" x14ac:dyDescent="0.2">
      <c r="A4200" t="s">
        <v>10715</v>
      </c>
      <c r="B4200" t="s">
        <v>10716</v>
      </c>
      <c r="C4200" t="s">
        <v>10710</v>
      </c>
      <c r="D4200" t="s">
        <v>10710</v>
      </c>
      <c r="E4200" t="s">
        <v>10717</v>
      </c>
    </row>
    <row r="4201" spans="1:5" x14ac:dyDescent="0.2">
      <c r="A4201" t="s">
        <v>10718</v>
      </c>
      <c r="B4201" t="s">
        <v>10719</v>
      </c>
      <c r="C4201" t="s">
        <v>10710</v>
      </c>
      <c r="D4201" t="s">
        <v>10710</v>
      </c>
      <c r="E4201" t="s">
        <v>10720</v>
      </c>
    </row>
    <row r="4202" spans="1:5" x14ac:dyDescent="0.2">
      <c r="A4202" t="s">
        <v>10721</v>
      </c>
      <c r="B4202" t="s">
        <v>10722</v>
      </c>
      <c r="C4202" t="s">
        <v>10710</v>
      </c>
      <c r="D4202" t="s">
        <v>10710</v>
      </c>
      <c r="E4202" t="s">
        <v>10723</v>
      </c>
    </row>
    <row r="4203" spans="1:5" x14ac:dyDescent="0.2">
      <c r="A4203" t="s">
        <v>10724</v>
      </c>
      <c r="B4203" t="s">
        <v>10725</v>
      </c>
      <c r="C4203" t="s">
        <v>10710</v>
      </c>
      <c r="D4203" t="s">
        <v>10710</v>
      </c>
      <c r="E4203" t="s">
        <v>10723</v>
      </c>
    </row>
    <row r="4204" spans="1:5" x14ac:dyDescent="0.2">
      <c r="A4204" t="s">
        <v>10726</v>
      </c>
      <c r="B4204" t="s">
        <v>10727</v>
      </c>
      <c r="C4204" t="s">
        <v>10710</v>
      </c>
      <c r="D4204" t="s">
        <v>10710</v>
      </c>
      <c r="E4204" t="s">
        <v>10728</v>
      </c>
    </row>
    <row r="4205" spans="1:5" x14ac:dyDescent="0.2">
      <c r="A4205" t="s">
        <v>10729</v>
      </c>
      <c r="B4205" t="s">
        <v>10730</v>
      </c>
      <c r="C4205" t="s">
        <v>10710</v>
      </c>
      <c r="D4205" t="s">
        <v>10710</v>
      </c>
      <c r="E4205" t="s">
        <v>10731</v>
      </c>
    </row>
    <row r="4206" spans="1:5" x14ac:dyDescent="0.2">
      <c r="A4206" t="s">
        <v>10732</v>
      </c>
      <c r="B4206" t="s">
        <v>10733</v>
      </c>
      <c r="C4206" t="s">
        <v>10710</v>
      </c>
      <c r="D4206" t="s">
        <v>10710</v>
      </c>
      <c r="E4206" t="s">
        <v>10734</v>
      </c>
    </row>
    <row r="4207" spans="1:5" x14ac:dyDescent="0.2">
      <c r="A4207" t="s">
        <v>10735</v>
      </c>
      <c r="B4207" t="s">
        <v>10736</v>
      </c>
      <c r="C4207" t="s">
        <v>10710</v>
      </c>
      <c r="D4207" t="s">
        <v>10710</v>
      </c>
      <c r="E4207" t="s">
        <v>10737</v>
      </c>
    </row>
    <row r="4208" spans="1:5" x14ac:dyDescent="0.2">
      <c r="A4208" t="s">
        <v>10738</v>
      </c>
      <c r="B4208" t="s">
        <v>10739</v>
      </c>
      <c r="C4208" t="s">
        <v>10710</v>
      </c>
      <c r="D4208" t="s">
        <v>10710</v>
      </c>
      <c r="E4208" t="s">
        <v>10740</v>
      </c>
    </row>
    <row r="4209" spans="1:5" x14ac:dyDescent="0.2">
      <c r="A4209" t="s">
        <v>10741</v>
      </c>
      <c r="B4209" t="s">
        <v>10742</v>
      </c>
      <c r="C4209" t="s">
        <v>10710</v>
      </c>
      <c r="D4209" t="s">
        <v>10710</v>
      </c>
      <c r="E4209" t="s">
        <v>10743</v>
      </c>
    </row>
    <row r="4210" spans="1:5" x14ac:dyDescent="0.2">
      <c r="A4210" t="s">
        <v>10744</v>
      </c>
      <c r="B4210" t="s">
        <v>10745</v>
      </c>
      <c r="C4210" t="s">
        <v>10710</v>
      </c>
      <c r="D4210" t="s">
        <v>10710</v>
      </c>
      <c r="E4210" t="s">
        <v>10746</v>
      </c>
    </row>
    <row r="4211" spans="1:5" x14ac:dyDescent="0.2">
      <c r="A4211" t="s">
        <v>10747</v>
      </c>
      <c r="B4211" t="s">
        <v>10748</v>
      </c>
      <c r="C4211" t="s">
        <v>10710</v>
      </c>
      <c r="D4211" t="s">
        <v>10710</v>
      </c>
      <c r="E4211" t="s">
        <v>10749</v>
      </c>
    </row>
    <row r="4212" spans="1:5" x14ac:dyDescent="0.2">
      <c r="A4212" t="s">
        <v>10750</v>
      </c>
      <c r="B4212" t="s">
        <v>10751</v>
      </c>
      <c r="C4212" t="s">
        <v>10710</v>
      </c>
      <c r="D4212" t="s">
        <v>10710</v>
      </c>
      <c r="E4212" t="s">
        <v>10752</v>
      </c>
    </row>
    <row r="4213" spans="1:5" x14ac:dyDescent="0.2">
      <c r="A4213" t="s">
        <v>10753</v>
      </c>
      <c r="B4213" t="s">
        <v>10754</v>
      </c>
      <c r="C4213" t="s">
        <v>10710</v>
      </c>
      <c r="D4213" t="s">
        <v>10710</v>
      </c>
      <c r="E4213" t="s">
        <v>10755</v>
      </c>
    </row>
    <row r="4214" spans="1:5" x14ac:dyDescent="0.2">
      <c r="A4214" t="s">
        <v>10756</v>
      </c>
      <c r="B4214" t="s">
        <v>10757</v>
      </c>
      <c r="C4214" t="s">
        <v>10710</v>
      </c>
      <c r="D4214" t="s">
        <v>10710</v>
      </c>
      <c r="E4214" t="s">
        <v>10723</v>
      </c>
    </row>
    <row r="4215" spans="1:5" x14ac:dyDescent="0.2">
      <c r="A4215" t="s">
        <v>10758</v>
      </c>
      <c r="B4215" t="s">
        <v>10759</v>
      </c>
      <c r="C4215" t="s">
        <v>10710</v>
      </c>
      <c r="D4215" t="s">
        <v>10710</v>
      </c>
      <c r="E4215" t="s">
        <v>10760</v>
      </c>
    </row>
    <row r="4216" spans="1:5" x14ac:dyDescent="0.2">
      <c r="A4216" t="s">
        <v>10761</v>
      </c>
      <c r="B4216" t="s">
        <v>10762</v>
      </c>
      <c r="C4216" t="s">
        <v>10710</v>
      </c>
      <c r="D4216" t="e">
        <v>#N/A</v>
      </c>
      <c r="E4216" t="e">
        <v>#N/A</v>
      </c>
    </row>
    <row r="4217" spans="1:5" x14ac:dyDescent="0.2">
      <c r="A4217" t="s">
        <v>10763</v>
      </c>
      <c r="B4217" t="s">
        <v>10764</v>
      </c>
      <c r="C4217" t="s">
        <v>10710</v>
      </c>
      <c r="D4217" t="e">
        <v>#N/A</v>
      </c>
      <c r="E4217" t="e">
        <v>#N/A</v>
      </c>
    </row>
    <row r="4218" spans="1:5" x14ac:dyDescent="0.2">
      <c r="A4218" t="s">
        <v>10765</v>
      </c>
      <c r="B4218" t="s">
        <v>10766</v>
      </c>
      <c r="C4218" t="s">
        <v>10767</v>
      </c>
      <c r="D4218" t="s">
        <v>10767</v>
      </c>
      <c r="E4218" t="s">
        <v>10768</v>
      </c>
    </row>
    <row r="4219" spans="1:5" x14ac:dyDescent="0.2">
      <c r="A4219" t="s">
        <v>10769</v>
      </c>
      <c r="B4219" t="s">
        <v>10770</v>
      </c>
      <c r="C4219" t="s">
        <v>10767</v>
      </c>
      <c r="D4219" t="s">
        <v>10767</v>
      </c>
      <c r="E4219" t="s">
        <v>10771</v>
      </c>
    </row>
    <row r="4220" spans="1:5" x14ac:dyDescent="0.2">
      <c r="A4220" t="s">
        <v>10772</v>
      </c>
      <c r="B4220" t="s">
        <v>10773</v>
      </c>
      <c r="C4220" t="s">
        <v>10767</v>
      </c>
      <c r="D4220" t="s">
        <v>10767</v>
      </c>
      <c r="E4220" t="s">
        <v>10774</v>
      </c>
    </row>
    <row r="4221" spans="1:5" x14ac:dyDescent="0.2">
      <c r="A4221" t="s">
        <v>10775</v>
      </c>
      <c r="B4221" t="s">
        <v>10776</v>
      </c>
      <c r="C4221" t="s">
        <v>10767</v>
      </c>
      <c r="D4221" t="s">
        <v>10767</v>
      </c>
      <c r="E4221" t="s">
        <v>10777</v>
      </c>
    </row>
    <row r="4222" spans="1:5" x14ac:dyDescent="0.2">
      <c r="A4222" t="s">
        <v>10778</v>
      </c>
      <c r="B4222" t="s">
        <v>10779</v>
      </c>
      <c r="C4222" t="s">
        <v>10767</v>
      </c>
      <c r="D4222" t="s">
        <v>10767</v>
      </c>
      <c r="E4222" t="s">
        <v>10780</v>
      </c>
    </row>
    <row r="4223" spans="1:5" x14ac:dyDescent="0.2">
      <c r="A4223" t="s">
        <v>10781</v>
      </c>
      <c r="B4223" t="s">
        <v>10782</v>
      </c>
      <c r="C4223" t="s">
        <v>10767</v>
      </c>
      <c r="D4223" t="s">
        <v>10767</v>
      </c>
      <c r="E4223" t="s">
        <v>10783</v>
      </c>
    </row>
    <row r="4224" spans="1:5" x14ac:dyDescent="0.2">
      <c r="A4224" t="s">
        <v>10784</v>
      </c>
      <c r="B4224" t="s">
        <v>10785</v>
      </c>
      <c r="C4224" t="s">
        <v>10767</v>
      </c>
      <c r="D4224" t="s">
        <v>10767</v>
      </c>
      <c r="E4224" t="s">
        <v>10786</v>
      </c>
    </row>
    <row r="4225" spans="1:5" x14ac:dyDescent="0.2">
      <c r="A4225" t="s">
        <v>10787</v>
      </c>
      <c r="B4225" t="s">
        <v>10788</v>
      </c>
      <c r="C4225" t="s">
        <v>10767</v>
      </c>
      <c r="D4225" t="s">
        <v>10767</v>
      </c>
      <c r="E4225" t="s">
        <v>10783</v>
      </c>
    </row>
    <row r="4226" spans="1:5" x14ac:dyDescent="0.2">
      <c r="A4226" t="s">
        <v>10789</v>
      </c>
      <c r="B4226" t="s">
        <v>10790</v>
      </c>
      <c r="C4226" t="s">
        <v>10767</v>
      </c>
      <c r="D4226" t="s">
        <v>10767</v>
      </c>
      <c r="E4226" t="s">
        <v>10791</v>
      </c>
    </row>
    <row r="4227" spans="1:5" x14ac:dyDescent="0.2">
      <c r="A4227" t="s">
        <v>10792</v>
      </c>
      <c r="B4227" t="s">
        <v>10793</v>
      </c>
      <c r="C4227" t="s">
        <v>10767</v>
      </c>
      <c r="D4227" t="s">
        <v>10767</v>
      </c>
      <c r="E4227" t="s">
        <v>10794</v>
      </c>
    </row>
    <row r="4228" spans="1:5" x14ac:dyDescent="0.2">
      <c r="A4228" t="s">
        <v>10795</v>
      </c>
      <c r="B4228" t="s">
        <v>10796</v>
      </c>
      <c r="C4228" t="s">
        <v>10767</v>
      </c>
      <c r="D4228" t="s">
        <v>10767</v>
      </c>
      <c r="E4228" t="s">
        <v>10797</v>
      </c>
    </row>
    <row r="4229" spans="1:5" x14ac:dyDescent="0.2">
      <c r="A4229" t="s">
        <v>10798</v>
      </c>
      <c r="B4229" t="s">
        <v>10799</v>
      </c>
      <c r="C4229" t="s">
        <v>10767</v>
      </c>
      <c r="D4229" t="s">
        <v>10767</v>
      </c>
      <c r="E4229" t="s">
        <v>10800</v>
      </c>
    </row>
    <row r="4230" spans="1:5" x14ac:dyDescent="0.2">
      <c r="A4230" t="s">
        <v>10801</v>
      </c>
      <c r="B4230" t="s">
        <v>10802</v>
      </c>
      <c r="C4230" t="s">
        <v>10767</v>
      </c>
      <c r="D4230" t="s">
        <v>10767</v>
      </c>
      <c r="E4230" t="s">
        <v>10803</v>
      </c>
    </row>
    <row r="4231" spans="1:5" x14ac:dyDescent="0.2">
      <c r="A4231" t="s">
        <v>10804</v>
      </c>
      <c r="B4231" t="s">
        <v>10805</v>
      </c>
      <c r="C4231" t="s">
        <v>10767</v>
      </c>
      <c r="D4231" t="s">
        <v>10767</v>
      </c>
      <c r="E4231" t="s">
        <v>10806</v>
      </c>
    </row>
    <row r="4232" spans="1:5" x14ac:dyDescent="0.2">
      <c r="A4232" t="s">
        <v>10807</v>
      </c>
      <c r="B4232" t="s">
        <v>10808</v>
      </c>
      <c r="C4232" t="s">
        <v>10767</v>
      </c>
      <c r="D4232" t="s">
        <v>10767</v>
      </c>
      <c r="E4232" t="s">
        <v>10809</v>
      </c>
    </row>
    <row r="4233" spans="1:5" x14ac:dyDescent="0.2">
      <c r="A4233" t="s">
        <v>10810</v>
      </c>
      <c r="B4233" t="s">
        <v>10811</v>
      </c>
      <c r="C4233" t="s">
        <v>10767</v>
      </c>
      <c r="D4233" t="s">
        <v>10767</v>
      </c>
      <c r="E4233" t="s">
        <v>10783</v>
      </c>
    </row>
    <row r="4234" spans="1:5" x14ac:dyDescent="0.2">
      <c r="A4234" t="s">
        <v>10812</v>
      </c>
      <c r="B4234" t="s">
        <v>10813</v>
      </c>
      <c r="C4234" t="s">
        <v>10767</v>
      </c>
      <c r="D4234" t="s">
        <v>10767</v>
      </c>
      <c r="E4234" t="s">
        <v>10814</v>
      </c>
    </row>
    <row r="4235" spans="1:5" x14ac:dyDescent="0.2">
      <c r="A4235" t="s">
        <v>10815</v>
      </c>
      <c r="B4235" t="s">
        <v>10816</v>
      </c>
      <c r="C4235" t="s">
        <v>10767</v>
      </c>
      <c r="D4235" t="s">
        <v>10767</v>
      </c>
      <c r="E4235" t="s">
        <v>10817</v>
      </c>
    </row>
    <row r="4236" spans="1:5" x14ac:dyDescent="0.2">
      <c r="A4236" t="s">
        <v>10818</v>
      </c>
      <c r="B4236" t="s">
        <v>10819</v>
      </c>
      <c r="C4236" t="s">
        <v>10767</v>
      </c>
      <c r="D4236" t="s">
        <v>10767</v>
      </c>
      <c r="E4236" t="s">
        <v>10820</v>
      </c>
    </row>
    <row r="4237" spans="1:5" x14ac:dyDescent="0.2">
      <c r="A4237" t="s">
        <v>10821</v>
      </c>
      <c r="B4237" t="s">
        <v>10822</v>
      </c>
      <c r="C4237" t="s">
        <v>10767</v>
      </c>
      <c r="D4237" t="s">
        <v>10767</v>
      </c>
      <c r="E4237" t="s">
        <v>10823</v>
      </c>
    </row>
    <row r="4238" spans="1:5" x14ac:dyDescent="0.2">
      <c r="A4238" t="s">
        <v>10824</v>
      </c>
      <c r="B4238" t="s">
        <v>10825</v>
      </c>
      <c r="C4238" t="s">
        <v>10767</v>
      </c>
      <c r="D4238" t="s">
        <v>10767</v>
      </c>
      <c r="E4238" t="s">
        <v>10826</v>
      </c>
    </row>
    <row r="4239" spans="1:5" x14ac:dyDescent="0.2">
      <c r="A4239" t="s">
        <v>10827</v>
      </c>
      <c r="B4239" t="s">
        <v>10828</v>
      </c>
      <c r="C4239" t="s">
        <v>10767</v>
      </c>
      <c r="D4239" t="s">
        <v>10767</v>
      </c>
      <c r="E4239" t="s">
        <v>10783</v>
      </c>
    </row>
    <row r="4240" spans="1:5" x14ac:dyDescent="0.2">
      <c r="A4240" t="s">
        <v>10829</v>
      </c>
      <c r="B4240" t="s">
        <v>10830</v>
      </c>
      <c r="C4240" t="s">
        <v>10767</v>
      </c>
      <c r="D4240" t="s">
        <v>10767</v>
      </c>
      <c r="E4240" t="s">
        <v>10831</v>
      </c>
    </row>
    <row r="4241" spans="1:5" x14ac:dyDescent="0.2">
      <c r="A4241" t="s">
        <v>10832</v>
      </c>
      <c r="B4241" t="s">
        <v>10833</v>
      </c>
      <c r="C4241" t="s">
        <v>10767</v>
      </c>
      <c r="D4241" t="s">
        <v>10767</v>
      </c>
      <c r="E4241" t="s">
        <v>10834</v>
      </c>
    </row>
    <row r="4242" spans="1:5" x14ac:dyDescent="0.2">
      <c r="A4242" t="s">
        <v>10835</v>
      </c>
      <c r="B4242" t="s">
        <v>10836</v>
      </c>
      <c r="C4242" t="s">
        <v>10767</v>
      </c>
      <c r="D4242" t="s">
        <v>10767</v>
      </c>
      <c r="E4242" t="s">
        <v>10837</v>
      </c>
    </row>
    <row r="4243" spans="1:5" x14ac:dyDescent="0.2">
      <c r="A4243" t="s">
        <v>10838</v>
      </c>
      <c r="B4243" t="s">
        <v>10839</v>
      </c>
      <c r="C4243" t="s">
        <v>10767</v>
      </c>
      <c r="D4243" t="s">
        <v>10767</v>
      </c>
      <c r="E4243" t="s">
        <v>10823</v>
      </c>
    </row>
    <row r="4244" spans="1:5" x14ac:dyDescent="0.2">
      <c r="A4244" t="s">
        <v>10840</v>
      </c>
      <c r="B4244" t="s">
        <v>10841</v>
      </c>
      <c r="C4244" t="s">
        <v>10767</v>
      </c>
      <c r="D4244" t="s">
        <v>10767</v>
      </c>
      <c r="E4244" t="s">
        <v>10842</v>
      </c>
    </row>
    <row r="4245" spans="1:5" x14ac:dyDescent="0.2">
      <c r="A4245" t="s">
        <v>10843</v>
      </c>
      <c r="B4245" t="s">
        <v>10844</v>
      </c>
      <c r="C4245" t="s">
        <v>10767</v>
      </c>
      <c r="D4245" t="s">
        <v>10767</v>
      </c>
      <c r="E4245" t="s">
        <v>10845</v>
      </c>
    </row>
    <row r="4246" spans="1:5" x14ac:dyDescent="0.2">
      <c r="A4246" t="s">
        <v>10846</v>
      </c>
      <c r="B4246" t="s">
        <v>10847</v>
      </c>
      <c r="C4246" t="s">
        <v>10767</v>
      </c>
      <c r="D4246" t="s">
        <v>10767</v>
      </c>
      <c r="E4246" t="s">
        <v>10848</v>
      </c>
    </row>
    <row r="4247" spans="1:5" x14ac:dyDescent="0.2">
      <c r="A4247" t="s">
        <v>10849</v>
      </c>
      <c r="B4247" t="s">
        <v>10850</v>
      </c>
      <c r="C4247" t="s">
        <v>10767</v>
      </c>
      <c r="D4247" t="s">
        <v>10767</v>
      </c>
      <c r="E4247" t="s">
        <v>10851</v>
      </c>
    </row>
    <row r="4248" spans="1:5" x14ac:dyDescent="0.2">
      <c r="A4248" t="s">
        <v>10852</v>
      </c>
      <c r="B4248" t="s">
        <v>10853</v>
      </c>
      <c r="C4248" t="s">
        <v>10767</v>
      </c>
      <c r="D4248" t="s">
        <v>10767</v>
      </c>
      <c r="E4248" t="s">
        <v>10854</v>
      </c>
    </row>
    <row r="4249" spans="1:5" x14ac:dyDescent="0.2">
      <c r="A4249" t="s">
        <v>10855</v>
      </c>
      <c r="B4249" t="s">
        <v>10856</v>
      </c>
      <c r="C4249" t="s">
        <v>10767</v>
      </c>
      <c r="D4249" t="s">
        <v>10767</v>
      </c>
      <c r="E4249" t="s">
        <v>10823</v>
      </c>
    </row>
    <row r="4250" spans="1:5" x14ac:dyDescent="0.2">
      <c r="A4250" t="s">
        <v>10857</v>
      </c>
      <c r="B4250" t="s">
        <v>10858</v>
      </c>
      <c r="C4250" t="s">
        <v>10767</v>
      </c>
      <c r="D4250" t="s">
        <v>10767</v>
      </c>
      <c r="E4250" t="s">
        <v>10859</v>
      </c>
    </row>
    <row r="4251" spans="1:5" x14ac:dyDescent="0.2">
      <c r="A4251" t="s">
        <v>10860</v>
      </c>
      <c r="B4251" t="s">
        <v>10861</v>
      </c>
      <c r="C4251" t="s">
        <v>10767</v>
      </c>
      <c r="D4251" t="s">
        <v>10767</v>
      </c>
      <c r="E4251" t="s">
        <v>10862</v>
      </c>
    </row>
    <row r="4252" spans="1:5" x14ac:dyDescent="0.2">
      <c r="A4252" t="s">
        <v>10863</v>
      </c>
      <c r="B4252" t="s">
        <v>10864</v>
      </c>
      <c r="C4252" t="s">
        <v>10767</v>
      </c>
      <c r="D4252" t="s">
        <v>10767</v>
      </c>
      <c r="E4252" t="s">
        <v>10865</v>
      </c>
    </row>
    <row r="4253" spans="1:5" x14ac:dyDescent="0.2">
      <c r="A4253" t="s">
        <v>10866</v>
      </c>
      <c r="B4253" t="s">
        <v>10867</v>
      </c>
      <c r="C4253" t="s">
        <v>10767</v>
      </c>
      <c r="D4253" t="s">
        <v>10767</v>
      </c>
      <c r="E4253" t="s">
        <v>10868</v>
      </c>
    </row>
    <row r="4254" spans="1:5" x14ac:dyDescent="0.2">
      <c r="A4254" t="s">
        <v>10869</v>
      </c>
      <c r="B4254" t="s">
        <v>10870</v>
      </c>
      <c r="C4254" t="s">
        <v>10767</v>
      </c>
      <c r="D4254" t="s">
        <v>10767</v>
      </c>
      <c r="E4254" t="s">
        <v>10871</v>
      </c>
    </row>
    <row r="4255" spans="1:5" x14ac:dyDescent="0.2">
      <c r="A4255" t="s">
        <v>10872</v>
      </c>
      <c r="B4255" t="s">
        <v>10873</v>
      </c>
      <c r="C4255" t="s">
        <v>10767</v>
      </c>
      <c r="D4255" t="s">
        <v>10767</v>
      </c>
      <c r="E4255" t="s">
        <v>10874</v>
      </c>
    </row>
    <row r="4256" spans="1:5" x14ac:dyDescent="0.2">
      <c r="A4256" t="s">
        <v>10875</v>
      </c>
      <c r="B4256" t="s">
        <v>10876</v>
      </c>
      <c r="C4256" t="s">
        <v>10767</v>
      </c>
      <c r="D4256" t="e">
        <v>#N/A</v>
      </c>
      <c r="E4256" t="e">
        <v>#N/A</v>
      </c>
    </row>
    <row r="4257" spans="1:5" x14ac:dyDescent="0.2">
      <c r="A4257" t="s">
        <v>10877</v>
      </c>
      <c r="B4257" t="s">
        <v>10878</v>
      </c>
      <c r="C4257" t="s">
        <v>10767</v>
      </c>
      <c r="D4257" t="e">
        <v>#N/A</v>
      </c>
      <c r="E4257" t="e">
        <v>#N/A</v>
      </c>
    </row>
    <row r="4258" spans="1:5" x14ac:dyDescent="0.2">
      <c r="A4258" t="s">
        <v>10879</v>
      </c>
      <c r="B4258" t="s">
        <v>10880</v>
      </c>
      <c r="C4258" t="s">
        <v>10767</v>
      </c>
      <c r="D4258" t="e">
        <v>#N/A</v>
      </c>
      <c r="E4258" t="e">
        <v>#N/A</v>
      </c>
    </row>
    <row r="4259" spans="1:5" x14ac:dyDescent="0.2">
      <c r="A4259" t="s">
        <v>10881</v>
      </c>
      <c r="B4259" t="s">
        <v>10882</v>
      </c>
      <c r="C4259" t="s">
        <v>10883</v>
      </c>
      <c r="D4259" t="s">
        <v>10883</v>
      </c>
      <c r="E4259" t="s">
        <v>10884</v>
      </c>
    </row>
    <row r="4260" spans="1:5" x14ac:dyDescent="0.2">
      <c r="A4260" t="s">
        <v>10885</v>
      </c>
      <c r="B4260" t="s">
        <v>10886</v>
      </c>
      <c r="C4260" t="s">
        <v>10883</v>
      </c>
      <c r="D4260" t="s">
        <v>10883</v>
      </c>
      <c r="E4260" t="s">
        <v>10887</v>
      </c>
    </row>
    <row r="4261" spans="1:5" x14ac:dyDescent="0.2">
      <c r="A4261" t="s">
        <v>10888</v>
      </c>
      <c r="B4261" t="s">
        <v>10889</v>
      </c>
      <c r="C4261" t="s">
        <v>10883</v>
      </c>
      <c r="D4261" t="s">
        <v>10883</v>
      </c>
      <c r="E4261" t="s">
        <v>10890</v>
      </c>
    </row>
    <row r="4262" spans="1:5" x14ac:dyDescent="0.2">
      <c r="A4262" t="s">
        <v>10891</v>
      </c>
      <c r="B4262" t="s">
        <v>10892</v>
      </c>
      <c r="C4262" t="s">
        <v>10883</v>
      </c>
      <c r="D4262" t="s">
        <v>10883</v>
      </c>
      <c r="E4262" t="s">
        <v>10893</v>
      </c>
    </row>
    <row r="4263" spans="1:5" x14ac:dyDescent="0.2">
      <c r="A4263" t="s">
        <v>10894</v>
      </c>
      <c r="B4263" t="s">
        <v>10895</v>
      </c>
      <c r="C4263" t="s">
        <v>10883</v>
      </c>
      <c r="D4263" t="s">
        <v>10883</v>
      </c>
      <c r="E4263" t="s">
        <v>10896</v>
      </c>
    </row>
    <row r="4264" spans="1:5" x14ac:dyDescent="0.2">
      <c r="A4264" t="s">
        <v>10897</v>
      </c>
      <c r="B4264" t="s">
        <v>10898</v>
      </c>
      <c r="C4264" t="s">
        <v>10883</v>
      </c>
      <c r="D4264" t="s">
        <v>10883</v>
      </c>
      <c r="E4264" t="s">
        <v>10899</v>
      </c>
    </row>
    <row r="4265" spans="1:5" x14ac:dyDescent="0.2">
      <c r="A4265" t="s">
        <v>10900</v>
      </c>
      <c r="B4265" t="s">
        <v>10901</v>
      </c>
      <c r="C4265" t="s">
        <v>10883</v>
      </c>
      <c r="D4265" t="s">
        <v>10883</v>
      </c>
      <c r="E4265" t="s">
        <v>10902</v>
      </c>
    </row>
    <row r="4266" spans="1:5" x14ac:dyDescent="0.2">
      <c r="A4266" t="s">
        <v>10903</v>
      </c>
      <c r="B4266" t="s">
        <v>10904</v>
      </c>
      <c r="C4266" t="s">
        <v>10883</v>
      </c>
      <c r="D4266" t="s">
        <v>10883</v>
      </c>
      <c r="E4266" t="s">
        <v>10905</v>
      </c>
    </row>
    <row r="4267" spans="1:5" x14ac:dyDescent="0.2">
      <c r="A4267" t="s">
        <v>10906</v>
      </c>
      <c r="B4267" t="s">
        <v>10907</v>
      </c>
      <c r="C4267" t="s">
        <v>10883</v>
      </c>
      <c r="D4267" t="s">
        <v>10883</v>
      </c>
      <c r="E4267" t="s">
        <v>10908</v>
      </c>
    </row>
    <row r="4268" spans="1:5" x14ac:dyDescent="0.2">
      <c r="A4268" t="s">
        <v>10909</v>
      </c>
      <c r="B4268" t="s">
        <v>10910</v>
      </c>
      <c r="C4268" t="s">
        <v>10883</v>
      </c>
      <c r="D4268" t="s">
        <v>10883</v>
      </c>
      <c r="E4268" t="s">
        <v>10911</v>
      </c>
    </row>
    <row r="4269" spans="1:5" x14ac:dyDescent="0.2">
      <c r="A4269" t="s">
        <v>10912</v>
      </c>
      <c r="B4269" t="s">
        <v>10913</v>
      </c>
      <c r="C4269" t="s">
        <v>10883</v>
      </c>
      <c r="D4269" t="s">
        <v>10883</v>
      </c>
      <c r="E4269" t="s">
        <v>10914</v>
      </c>
    </row>
    <row r="4270" spans="1:5" x14ac:dyDescent="0.2">
      <c r="A4270" t="s">
        <v>10915</v>
      </c>
      <c r="B4270" t="s">
        <v>10916</v>
      </c>
      <c r="C4270" t="s">
        <v>10883</v>
      </c>
      <c r="D4270" t="s">
        <v>10883</v>
      </c>
      <c r="E4270" t="s">
        <v>10917</v>
      </c>
    </row>
    <row r="4271" spans="1:5" x14ac:dyDescent="0.2">
      <c r="A4271" t="s">
        <v>10918</v>
      </c>
      <c r="B4271" t="s">
        <v>10919</v>
      </c>
      <c r="C4271" t="s">
        <v>10883</v>
      </c>
      <c r="D4271" t="s">
        <v>10883</v>
      </c>
      <c r="E4271" t="s">
        <v>10920</v>
      </c>
    </row>
    <row r="4272" spans="1:5" x14ac:dyDescent="0.2">
      <c r="A4272" t="s">
        <v>10921</v>
      </c>
      <c r="B4272" t="s">
        <v>10922</v>
      </c>
      <c r="C4272" t="s">
        <v>10883</v>
      </c>
      <c r="D4272" t="s">
        <v>10883</v>
      </c>
      <c r="E4272" t="s">
        <v>10923</v>
      </c>
    </row>
    <row r="4273" spans="1:5" x14ac:dyDescent="0.2">
      <c r="A4273" t="s">
        <v>10924</v>
      </c>
      <c r="B4273" t="s">
        <v>10925</v>
      </c>
      <c r="C4273" t="s">
        <v>10883</v>
      </c>
      <c r="D4273" t="s">
        <v>10883</v>
      </c>
      <c r="E4273" t="s">
        <v>10926</v>
      </c>
    </row>
    <row r="4274" spans="1:5" x14ac:dyDescent="0.2">
      <c r="A4274" t="s">
        <v>10927</v>
      </c>
      <c r="B4274" t="s">
        <v>10928</v>
      </c>
      <c r="C4274" t="s">
        <v>10883</v>
      </c>
      <c r="D4274" t="s">
        <v>10883</v>
      </c>
      <c r="E4274" t="s">
        <v>10929</v>
      </c>
    </row>
    <row r="4275" spans="1:5" x14ac:dyDescent="0.2">
      <c r="A4275" t="s">
        <v>10930</v>
      </c>
      <c r="B4275" t="s">
        <v>10931</v>
      </c>
      <c r="C4275" t="s">
        <v>10883</v>
      </c>
      <c r="D4275" t="s">
        <v>10883</v>
      </c>
      <c r="E4275" t="s">
        <v>10884</v>
      </c>
    </row>
    <row r="4276" spans="1:5" x14ac:dyDescent="0.2">
      <c r="A4276" t="s">
        <v>10932</v>
      </c>
      <c r="B4276" t="s">
        <v>10933</v>
      </c>
      <c r="C4276" t="s">
        <v>10883</v>
      </c>
      <c r="D4276" t="s">
        <v>10883</v>
      </c>
      <c r="E4276" t="s">
        <v>10934</v>
      </c>
    </row>
    <row r="4277" spans="1:5" x14ac:dyDescent="0.2">
      <c r="A4277" t="s">
        <v>10935</v>
      </c>
      <c r="B4277" t="s">
        <v>10936</v>
      </c>
      <c r="C4277" t="s">
        <v>10883</v>
      </c>
      <c r="D4277" t="e">
        <v>#N/A</v>
      </c>
      <c r="E4277" t="e">
        <v>#N/A</v>
      </c>
    </row>
    <row r="4278" spans="1:5" x14ac:dyDescent="0.2">
      <c r="A4278" t="s">
        <v>10937</v>
      </c>
      <c r="B4278" t="s">
        <v>10938</v>
      </c>
      <c r="C4278" t="s">
        <v>10939</v>
      </c>
      <c r="D4278" t="s">
        <v>10939</v>
      </c>
      <c r="E4278" t="s">
        <v>10940</v>
      </c>
    </row>
    <row r="4279" spans="1:5" x14ac:dyDescent="0.2">
      <c r="A4279" t="s">
        <v>10941</v>
      </c>
      <c r="B4279" t="s">
        <v>10942</v>
      </c>
      <c r="C4279" t="s">
        <v>10939</v>
      </c>
      <c r="D4279" t="s">
        <v>10939</v>
      </c>
      <c r="E4279" t="s">
        <v>10943</v>
      </c>
    </row>
    <row r="4280" spans="1:5" x14ac:dyDescent="0.2">
      <c r="A4280" t="s">
        <v>10944</v>
      </c>
      <c r="B4280" t="s">
        <v>10945</v>
      </c>
      <c r="C4280" t="s">
        <v>10939</v>
      </c>
      <c r="D4280" t="s">
        <v>10939</v>
      </c>
      <c r="E4280" t="s">
        <v>10946</v>
      </c>
    </row>
    <row r="4281" spans="1:5" x14ac:dyDescent="0.2">
      <c r="A4281" t="s">
        <v>10947</v>
      </c>
      <c r="B4281" t="s">
        <v>10948</v>
      </c>
      <c r="C4281" t="s">
        <v>10939</v>
      </c>
      <c r="D4281" t="s">
        <v>10939</v>
      </c>
      <c r="E4281" t="s">
        <v>10949</v>
      </c>
    </row>
    <row r="4282" spans="1:5" x14ac:dyDescent="0.2">
      <c r="A4282" t="s">
        <v>10950</v>
      </c>
      <c r="B4282" t="s">
        <v>10951</v>
      </c>
      <c r="C4282" t="s">
        <v>10939</v>
      </c>
      <c r="D4282" t="s">
        <v>10939</v>
      </c>
      <c r="E4282" t="s">
        <v>10952</v>
      </c>
    </row>
    <row r="4283" spans="1:5" x14ac:dyDescent="0.2">
      <c r="A4283" t="s">
        <v>10953</v>
      </c>
      <c r="B4283" t="s">
        <v>10954</v>
      </c>
      <c r="C4283" t="s">
        <v>10939</v>
      </c>
      <c r="D4283" t="s">
        <v>10939</v>
      </c>
      <c r="E4283" t="s">
        <v>10955</v>
      </c>
    </row>
    <row r="4284" spans="1:5" x14ac:dyDescent="0.2">
      <c r="A4284" t="s">
        <v>10956</v>
      </c>
      <c r="B4284" t="s">
        <v>10957</v>
      </c>
      <c r="C4284" t="s">
        <v>10939</v>
      </c>
      <c r="D4284" t="s">
        <v>10939</v>
      </c>
      <c r="E4284" t="s">
        <v>10958</v>
      </c>
    </row>
    <row r="4285" spans="1:5" x14ac:dyDescent="0.2">
      <c r="A4285" t="s">
        <v>10959</v>
      </c>
      <c r="B4285" t="s">
        <v>10960</v>
      </c>
      <c r="C4285" t="s">
        <v>10939</v>
      </c>
      <c r="D4285" t="s">
        <v>10939</v>
      </c>
      <c r="E4285" t="s">
        <v>10961</v>
      </c>
    </row>
    <row r="4286" spans="1:5" x14ac:dyDescent="0.2">
      <c r="A4286" t="s">
        <v>10962</v>
      </c>
      <c r="B4286" t="s">
        <v>10963</v>
      </c>
      <c r="C4286" t="s">
        <v>10939</v>
      </c>
      <c r="D4286" t="s">
        <v>10939</v>
      </c>
      <c r="E4286" t="s">
        <v>10955</v>
      </c>
    </row>
    <row r="4287" spans="1:5" x14ac:dyDescent="0.2">
      <c r="A4287" t="s">
        <v>10964</v>
      </c>
      <c r="B4287" t="s">
        <v>10965</v>
      </c>
      <c r="C4287" t="s">
        <v>10939</v>
      </c>
      <c r="D4287" t="s">
        <v>10939</v>
      </c>
      <c r="E4287" t="s">
        <v>10966</v>
      </c>
    </row>
    <row r="4288" spans="1:5" x14ac:dyDescent="0.2">
      <c r="A4288" t="s">
        <v>10967</v>
      </c>
      <c r="B4288" t="s">
        <v>10968</v>
      </c>
      <c r="C4288" t="s">
        <v>10939</v>
      </c>
      <c r="D4288" t="s">
        <v>10939</v>
      </c>
      <c r="E4288" t="s">
        <v>10969</v>
      </c>
    </row>
    <row r="4289" spans="1:5" x14ac:dyDescent="0.2">
      <c r="A4289" t="s">
        <v>10970</v>
      </c>
      <c r="B4289" t="s">
        <v>10971</v>
      </c>
      <c r="C4289" t="s">
        <v>10939</v>
      </c>
      <c r="D4289" t="s">
        <v>10939</v>
      </c>
      <c r="E4289" t="s">
        <v>10972</v>
      </c>
    </row>
    <row r="4290" spans="1:5" x14ac:dyDescent="0.2">
      <c r="A4290" t="s">
        <v>10973</v>
      </c>
      <c r="B4290" t="s">
        <v>10974</v>
      </c>
      <c r="C4290" t="s">
        <v>10939</v>
      </c>
      <c r="D4290" t="s">
        <v>10939</v>
      </c>
      <c r="E4290" t="s">
        <v>10955</v>
      </c>
    </row>
    <row r="4291" spans="1:5" x14ac:dyDescent="0.2">
      <c r="A4291" t="s">
        <v>10975</v>
      </c>
      <c r="B4291" t="s">
        <v>10976</v>
      </c>
      <c r="C4291" t="s">
        <v>10939</v>
      </c>
      <c r="D4291" t="s">
        <v>10939</v>
      </c>
      <c r="E4291" t="s">
        <v>10977</v>
      </c>
    </row>
    <row r="4292" spans="1:5" x14ac:dyDescent="0.2">
      <c r="A4292" t="s">
        <v>10978</v>
      </c>
      <c r="B4292" t="s">
        <v>10979</v>
      </c>
      <c r="C4292" t="s">
        <v>10939</v>
      </c>
      <c r="D4292" t="s">
        <v>10939</v>
      </c>
      <c r="E4292" t="s">
        <v>10955</v>
      </c>
    </row>
    <row r="4293" spans="1:5" x14ac:dyDescent="0.2">
      <c r="A4293" t="s">
        <v>10980</v>
      </c>
      <c r="B4293" t="s">
        <v>10981</v>
      </c>
      <c r="C4293" t="s">
        <v>10939</v>
      </c>
      <c r="D4293" t="s">
        <v>10939</v>
      </c>
      <c r="E4293" t="s">
        <v>10955</v>
      </c>
    </row>
    <row r="4294" spans="1:5" x14ac:dyDescent="0.2">
      <c r="A4294" t="s">
        <v>10982</v>
      </c>
      <c r="B4294" t="s">
        <v>10983</v>
      </c>
      <c r="C4294" t="s">
        <v>10939</v>
      </c>
      <c r="D4294" t="s">
        <v>10939</v>
      </c>
      <c r="E4294" t="s">
        <v>10955</v>
      </c>
    </row>
    <row r="4295" spans="1:5" x14ac:dyDescent="0.2">
      <c r="A4295" t="s">
        <v>10984</v>
      </c>
      <c r="B4295" t="s">
        <v>10985</v>
      </c>
      <c r="C4295" t="s">
        <v>10939</v>
      </c>
      <c r="D4295" t="s">
        <v>10939</v>
      </c>
      <c r="E4295" t="s">
        <v>10986</v>
      </c>
    </row>
    <row r="4296" spans="1:5" x14ac:dyDescent="0.2">
      <c r="A4296" t="s">
        <v>10987</v>
      </c>
      <c r="B4296" t="s">
        <v>10988</v>
      </c>
      <c r="C4296" t="s">
        <v>10939</v>
      </c>
      <c r="D4296" t="s">
        <v>10939</v>
      </c>
      <c r="E4296" t="s">
        <v>10955</v>
      </c>
    </row>
    <row r="4297" spans="1:5" x14ac:dyDescent="0.2">
      <c r="A4297" t="s">
        <v>10989</v>
      </c>
      <c r="B4297" t="s">
        <v>10990</v>
      </c>
      <c r="C4297" t="s">
        <v>10939</v>
      </c>
      <c r="D4297" t="s">
        <v>10939</v>
      </c>
      <c r="E4297" t="s">
        <v>10991</v>
      </c>
    </row>
    <row r="4298" spans="1:5" x14ac:dyDescent="0.2">
      <c r="A4298" t="s">
        <v>10992</v>
      </c>
      <c r="B4298" t="s">
        <v>10993</v>
      </c>
      <c r="C4298" t="s">
        <v>10939</v>
      </c>
      <c r="D4298" t="s">
        <v>10939</v>
      </c>
      <c r="E4298" t="s">
        <v>10994</v>
      </c>
    </row>
    <row r="4299" spans="1:5" x14ac:dyDescent="0.2">
      <c r="A4299" t="s">
        <v>10995</v>
      </c>
      <c r="B4299" t="s">
        <v>10996</v>
      </c>
      <c r="C4299" t="s">
        <v>10939</v>
      </c>
      <c r="D4299" t="s">
        <v>10939</v>
      </c>
      <c r="E4299" t="s">
        <v>10997</v>
      </c>
    </row>
    <row r="4300" spans="1:5" x14ac:dyDescent="0.2">
      <c r="A4300" t="s">
        <v>10998</v>
      </c>
      <c r="B4300" t="s">
        <v>10999</v>
      </c>
      <c r="C4300" t="s">
        <v>10939</v>
      </c>
      <c r="D4300" t="s">
        <v>10939</v>
      </c>
      <c r="E4300" t="s">
        <v>11000</v>
      </c>
    </row>
    <row r="4301" spans="1:5" x14ac:dyDescent="0.2">
      <c r="A4301" t="s">
        <v>11001</v>
      </c>
      <c r="B4301" t="s">
        <v>11002</v>
      </c>
      <c r="C4301" t="s">
        <v>10939</v>
      </c>
      <c r="D4301" t="s">
        <v>10939</v>
      </c>
      <c r="E4301" t="s">
        <v>11003</v>
      </c>
    </row>
    <row r="4302" spans="1:5" x14ac:dyDescent="0.2">
      <c r="A4302" t="s">
        <v>11004</v>
      </c>
      <c r="B4302" t="s">
        <v>11005</v>
      </c>
      <c r="C4302" t="s">
        <v>10939</v>
      </c>
      <c r="D4302" t="s">
        <v>10939</v>
      </c>
      <c r="E4302" t="s">
        <v>11006</v>
      </c>
    </row>
    <row r="4303" spans="1:5" x14ac:dyDescent="0.2">
      <c r="A4303" t="s">
        <v>11007</v>
      </c>
      <c r="B4303" t="s">
        <v>11008</v>
      </c>
      <c r="C4303" t="s">
        <v>10939</v>
      </c>
      <c r="D4303" t="s">
        <v>10939</v>
      </c>
      <c r="E4303" t="s">
        <v>11009</v>
      </c>
    </row>
    <row r="4304" spans="1:5" x14ac:dyDescent="0.2">
      <c r="A4304" t="s">
        <v>11010</v>
      </c>
      <c r="B4304" t="s">
        <v>11011</v>
      </c>
      <c r="C4304" t="s">
        <v>10939</v>
      </c>
      <c r="D4304" t="s">
        <v>10939</v>
      </c>
      <c r="E4304" t="s">
        <v>11012</v>
      </c>
    </row>
    <row r="4305" spans="1:5" x14ac:dyDescent="0.2">
      <c r="A4305" t="s">
        <v>11013</v>
      </c>
      <c r="B4305" t="s">
        <v>11014</v>
      </c>
      <c r="C4305" t="s">
        <v>10939</v>
      </c>
      <c r="D4305" t="s">
        <v>10939</v>
      </c>
      <c r="E4305" t="s">
        <v>11015</v>
      </c>
    </row>
    <row r="4306" spans="1:5" x14ac:dyDescent="0.2">
      <c r="A4306" t="s">
        <v>11016</v>
      </c>
      <c r="B4306" t="s">
        <v>11017</v>
      </c>
      <c r="C4306" t="s">
        <v>10939</v>
      </c>
      <c r="D4306" t="s">
        <v>10939</v>
      </c>
      <c r="E4306" t="s">
        <v>11018</v>
      </c>
    </row>
    <row r="4307" spans="1:5" x14ac:dyDescent="0.2">
      <c r="A4307" t="s">
        <v>11019</v>
      </c>
      <c r="B4307" t="s">
        <v>11020</v>
      </c>
      <c r="C4307" t="s">
        <v>10939</v>
      </c>
      <c r="D4307" t="s">
        <v>10939</v>
      </c>
      <c r="E4307" t="s">
        <v>10955</v>
      </c>
    </row>
    <row r="4308" spans="1:5" x14ac:dyDescent="0.2">
      <c r="A4308" t="s">
        <v>11021</v>
      </c>
      <c r="B4308" t="s">
        <v>11022</v>
      </c>
      <c r="C4308" t="s">
        <v>10939</v>
      </c>
      <c r="D4308" t="s">
        <v>10939</v>
      </c>
      <c r="E4308" t="s">
        <v>10986</v>
      </c>
    </row>
    <row r="4309" spans="1:5" x14ac:dyDescent="0.2">
      <c r="A4309" t="s">
        <v>11023</v>
      </c>
      <c r="B4309" t="s">
        <v>11024</v>
      </c>
      <c r="C4309" t="s">
        <v>10939</v>
      </c>
      <c r="D4309" t="s">
        <v>10939</v>
      </c>
      <c r="E4309" t="s">
        <v>10977</v>
      </c>
    </row>
    <row r="4310" spans="1:5" x14ac:dyDescent="0.2">
      <c r="A4310" t="s">
        <v>11025</v>
      </c>
      <c r="B4310" t="s">
        <v>11026</v>
      </c>
      <c r="C4310" t="s">
        <v>10939</v>
      </c>
      <c r="D4310" t="s">
        <v>10939</v>
      </c>
      <c r="E4310" t="s">
        <v>11027</v>
      </c>
    </row>
    <row r="4311" spans="1:5" x14ac:dyDescent="0.2">
      <c r="A4311" t="s">
        <v>11028</v>
      </c>
      <c r="B4311" t="s">
        <v>11029</v>
      </c>
      <c r="C4311" t="s">
        <v>10939</v>
      </c>
      <c r="D4311" t="s">
        <v>10939</v>
      </c>
      <c r="E4311" t="s">
        <v>11030</v>
      </c>
    </row>
    <row r="4312" spans="1:5" x14ac:dyDescent="0.2">
      <c r="A4312" t="s">
        <v>11031</v>
      </c>
      <c r="B4312" t="s">
        <v>11032</v>
      </c>
      <c r="C4312" t="s">
        <v>10939</v>
      </c>
      <c r="D4312" t="s">
        <v>10939</v>
      </c>
      <c r="E4312" t="s">
        <v>11033</v>
      </c>
    </row>
    <row r="4313" spans="1:5" x14ac:dyDescent="0.2">
      <c r="A4313" t="s">
        <v>11034</v>
      </c>
      <c r="B4313" t="s">
        <v>11035</v>
      </c>
      <c r="C4313" t="s">
        <v>10939</v>
      </c>
      <c r="D4313" t="e">
        <v>#N/A</v>
      </c>
      <c r="E4313" t="e">
        <v>#N/A</v>
      </c>
    </row>
    <row r="4314" spans="1:5" x14ac:dyDescent="0.2">
      <c r="A4314" t="s">
        <v>11036</v>
      </c>
      <c r="B4314" t="s">
        <v>11037</v>
      </c>
      <c r="C4314" t="s">
        <v>10939</v>
      </c>
      <c r="D4314" t="e">
        <v>#N/A</v>
      </c>
      <c r="E4314" t="e">
        <v>#N/A</v>
      </c>
    </row>
    <row r="4315" spans="1:5" x14ac:dyDescent="0.2">
      <c r="A4315" t="s">
        <v>11038</v>
      </c>
      <c r="B4315" t="s">
        <v>11039</v>
      </c>
      <c r="C4315" t="s">
        <v>11040</v>
      </c>
      <c r="D4315" t="s">
        <v>11040</v>
      </c>
      <c r="E4315" t="s">
        <v>11041</v>
      </c>
    </row>
    <row r="4316" spans="1:5" x14ac:dyDescent="0.2">
      <c r="A4316" t="s">
        <v>11042</v>
      </c>
      <c r="B4316" t="s">
        <v>11043</v>
      </c>
      <c r="C4316" t="s">
        <v>11040</v>
      </c>
      <c r="D4316" t="s">
        <v>11040</v>
      </c>
      <c r="E4316" t="s">
        <v>11044</v>
      </c>
    </row>
    <row r="4317" spans="1:5" x14ac:dyDescent="0.2">
      <c r="A4317" t="s">
        <v>11045</v>
      </c>
      <c r="B4317" t="s">
        <v>11046</v>
      </c>
      <c r="C4317" t="s">
        <v>11040</v>
      </c>
      <c r="D4317" t="s">
        <v>11040</v>
      </c>
      <c r="E4317" t="s">
        <v>11047</v>
      </c>
    </row>
    <row r="4318" spans="1:5" x14ac:dyDescent="0.2">
      <c r="A4318" t="s">
        <v>11048</v>
      </c>
      <c r="B4318" t="s">
        <v>11049</v>
      </c>
      <c r="C4318" t="s">
        <v>11040</v>
      </c>
      <c r="D4318" t="s">
        <v>11040</v>
      </c>
      <c r="E4318" t="s">
        <v>11050</v>
      </c>
    </row>
    <row r="4319" spans="1:5" x14ac:dyDescent="0.2">
      <c r="A4319" t="s">
        <v>11051</v>
      </c>
      <c r="B4319" t="s">
        <v>11052</v>
      </c>
      <c r="C4319" t="s">
        <v>11040</v>
      </c>
      <c r="D4319" t="s">
        <v>11040</v>
      </c>
      <c r="E4319" t="s">
        <v>11053</v>
      </c>
    </row>
    <row r="4320" spans="1:5" x14ac:dyDescent="0.2">
      <c r="A4320" t="s">
        <v>11054</v>
      </c>
      <c r="B4320" t="s">
        <v>11055</v>
      </c>
      <c r="C4320" t="s">
        <v>11040</v>
      </c>
      <c r="D4320" t="s">
        <v>11040</v>
      </c>
      <c r="E4320" t="s">
        <v>11056</v>
      </c>
    </row>
    <row r="4321" spans="1:5" x14ac:dyDescent="0.2">
      <c r="A4321" t="s">
        <v>11057</v>
      </c>
      <c r="B4321" t="s">
        <v>11058</v>
      </c>
      <c r="C4321" t="s">
        <v>11040</v>
      </c>
      <c r="D4321" t="s">
        <v>11040</v>
      </c>
      <c r="E4321" t="s">
        <v>11059</v>
      </c>
    </row>
    <row r="4322" spans="1:5" x14ac:dyDescent="0.2">
      <c r="A4322" t="s">
        <v>11060</v>
      </c>
      <c r="B4322" t="s">
        <v>11061</v>
      </c>
      <c r="C4322" t="s">
        <v>11040</v>
      </c>
      <c r="D4322" t="s">
        <v>11040</v>
      </c>
      <c r="E4322" t="s">
        <v>11062</v>
      </c>
    </row>
    <row r="4323" spans="1:5" x14ac:dyDescent="0.2">
      <c r="A4323" t="s">
        <v>11063</v>
      </c>
      <c r="B4323" t="s">
        <v>11064</v>
      </c>
      <c r="C4323" t="s">
        <v>11040</v>
      </c>
      <c r="D4323" t="s">
        <v>11040</v>
      </c>
      <c r="E4323" t="s">
        <v>11065</v>
      </c>
    </row>
    <row r="4324" spans="1:5" x14ac:dyDescent="0.2">
      <c r="A4324" t="s">
        <v>11066</v>
      </c>
      <c r="B4324" t="s">
        <v>11067</v>
      </c>
      <c r="C4324" t="s">
        <v>11040</v>
      </c>
      <c r="D4324" t="s">
        <v>11040</v>
      </c>
      <c r="E4324" t="s">
        <v>11068</v>
      </c>
    </row>
    <row r="4325" spans="1:5" x14ac:dyDescent="0.2">
      <c r="A4325" t="s">
        <v>11069</v>
      </c>
      <c r="B4325" t="s">
        <v>11070</v>
      </c>
      <c r="C4325" t="s">
        <v>11040</v>
      </c>
      <c r="D4325" t="s">
        <v>11040</v>
      </c>
      <c r="E4325" t="s">
        <v>11071</v>
      </c>
    </row>
    <row r="4326" spans="1:5" x14ac:dyDescent="0.2">
      <c r="A4326" t="s">
        <v>11072</v>
      </c>
      <c r="B4326" t="s">
        <v>11073</v>
      </c>
      <c r="C4326" t="s">
        <v>11040</v>
      </c>
      <c r="D4326" t="s">
        <v>11040</v>
      </c>
      <c r="E4326" t="s">
        <v>11074</v>
      </c>
    </row>
    <row r="4327" spans="1:5" x14ac:dyDescent="0.2">
      <c r="A4327" t="s">
        <v>11075</v>
      </c>
      <c r="B4327" t="s">
        <v>11076</v>
      </c>
      <c r="C4327" t="s">
        <v>11040</v>
      </c>
      <c r="D4327" t="s">
        <v>11040</v>
      </c>
      <c r="E4327" t="s">
        <v>11056</v>
      </c>
    </row>
    <row r="4328" spans="1:5" x14ac:dyDescent="0.2">
      <c r="A4328" t="s">
        <v>11077</v>
      </c>
      <c r="B4328" t="s">
        <v>11078</v>
      </c>
      <c r="C4328" t="s">
        <v>11040</v>
      </c>
      <c r="D4328" t="s">
        <v>11040</v>
      </c>
      <c r="E4328" t="s">
        <v>11056</v>
      </c>
    </row>
    <row r="4329" spans="1:5" x14ac:dyDescent="0.2">
      <c r="A4329" t="s">
        <v>11079</v>
      </c>
      <c r="B4329" t="s">
        <v>11080</v>
      </c>
      <c r="C4329" t="s">
        <v>11040</v>
      </c>
      <c r="D4329" t="s">
        <v>11040</v>
      </c>
      <c r="E4329" t="s">
        <v>11081</v>
      </c>
    </row>
    <row r="4330" spans="1:5" x14ac:dyDescent="0.2">
      <c r="A4330" t="s">
        <v>11082</v>
      </c>
      <c r="B4330" t="s">
        <v>11083</v>
      </c>
      <c r="C4330" t="s">
        <v>11040</v>
      </c>
      <c r="D4330" t="s">
        <v>11040</v>
      </c>
      <c r="E4330" t="s">
        <v>11084</v>
      </c>
    </row>
    <row r="4331" spans="1:5" x14ac:dyDescent="0.2">
      <c r="A4331" t="s">
        <v>11085</v>
      </c>
      <c r="B4331" t="s">
        <v>11086</v>
      </c>
      <c r="C4331" t="s">
        <v>11040</v>
      </c>
      <c r="D4331" t="s">
        <v>11040</v>
      </c>
      <c r="E4331" t="s">
        <v>11087</v>
      </c>
    </row>
    <row r="4332" spans="1:5" x14ac:dyDescent="0.2">
      <c r="A4332" t="s">
        <v>11088</v>
      </c>
      <c r="B4332" t="s">
        <v>11089</v>
      </c>
      <c r="C4332" t="s">
        <v>11040</v>
      </c>
      <c r="D4332" t="s">
        <v>11040</v>
      </c>
      <c r="E4332" t="s">
        <v>11090</v>
      </c>
    </row>
    <row r="4333" spans="1:5" x14ac:dyDescent="0.2">
      <c r="A4333" t="s">
        <v>11091</v>
      </c>
      <c r="B4333" t="s">
        <v>11092</v>
      </c>
      <c r="C4333" t="s">
        <v>11040</v>
      </c>
      <c r="D4333" t="s">
        <v>11040</v>
      </c>
      <c r="E4333" t="s">
        <v>11093</v>
      </c>
    </row>
    <row r="4334" spans="1:5" x14ac:dyDescent="0.2">
      <c r="A4334" t="s">
        <v>11094</v>
      </c>
      <c r="B4334" t="s">
        <v>11095</v>
      </c>
      <c r="C4334" t="s">
        <v>11040</v>
      </c>
      <c r="D4334" t="s">
        <v>11040</v>
      </c>
      <c r="E4334" t="s">
        <v>11096</v>
      </c>
    </row>
    <row r="4335" spans="1:5" x14ac:dyDescent="0.2">
      <c r="A4335" t="s">
        <v>11097</v>
      </c>
      <c r="B4335" t="s">
        <v>11098</v>
      </c>
      <c r="C4335" t="s">
        <v>11040</v>
      </c>
      <c r="D4335" t="s">
        <v>11040</v>
      </c>
      <c r="E4335" t="s">
        <v>11056</v>
      </c>
    </row>
    <row r="4336" spans="1:5" x14ac:dyDescent="0.2">
      <c r="A4336" t="s">
        <v>11099</v>
      </c>
      <c r="B4336" t="s">
        <v>11100</v>
      </c>
      <c r="C4336" t="s">
        <v>11040</v>
      </c>
      <c r="D4336" t="s">
        <v>11040</v>
      </c>
      <c r="E4336" t="s">
        <v>11101</v>
      </c>
    </row>
    <row r="4337" spans="1:5" x14ac:dyDescent="0.2">
      <c r="A4337" t="s">
        <v>11102</v>
      </c>
      <c r="B4337" t="s">
        <v>11103</v>
      </c>
      <c r="C4337" t="s">
        <v>11040</v>
      </c>
      <c r="D4337" t="s">
        <v>11040</v>
      </c>
      <c r="E4337" t="s">
        <v>11104</v>
      </c>
    </row>
    <row r="4338" spans="1:5" x14ac:dyDescent="0.2">
      <c r="A4338" t="s">
        <v>11105</v>
      </c>
      <c r="B4338" t="s">
        <v>11106</v>
      </c>
      <c r="C4338" t="s">
        <v>11040</v>
      </c>
      <c r="D4338" t="s">
        <v>11040</v>
      </c>
      <c r="E4338" t="s">
        <v>11107</v>
      </c>
    </row>
    <row r="4339" spans="1:5" x14ac:dyDescent="0.2">
      <c r="A4339" t="s">
        <v>11108</v>
      </c>
      <c r="B4339" t="s">
        <v>11109</v>
      </c>
      <c r="C4339" t="s">
        <v>11040</v>
      </c>
      <c r="D4339" t="s">
        <v>11040</v>
      </c>
      <c r="E4339" t="s">
        <v>11056</v>
      </c>
    </row>
    <row r="4340" spans="1:5" x14ac:dyDescent="0.2">
      <c r="A4340" t="s">
        <v>11110</v>
      </c>
      <c r="B4340" t="s">
        <v>11111</v>
      </c>
      <c r="C4340" t="s">
        <v>11040</v>
      </c>
      <c r="D4340" t="s">
        <v>11040</v>
      </c>
      <c r="E4340" t="s">
        <v>11112</v>
      </c>
    </row>
    <row r="4341" spans="1:5" x14ac:dyDescent="0.2">
      <c r="A4341" t="s">
        <v>11113</v>
      </c>
      <c r="B4341" t="s">
        <v>11114</v>
      </c>
      <c r="C4341" t="s">
        <v>11040</v>
      </c>
      <c r="D4341" t="s">
        <v>11040</v>
      </c>
      <c r="E4341" t="s">
        <v>11115</v>
      </c>
    </row>
    <row r="4342" spans="1:5" x14ac:dyDescent="0.2">
      <c r="A4342" t="s">
        <v>11116</v>
      </c>
      <c r="B4342" t="s">
        <v>11117</v>
      </c>
      <c r="C4342" t="s">
        <v>11040</v>
      </c>
      <c r="D4342" t="s">
        <v>11040</v>
      </c>
      <c r="E4342" t="s">
        <v>11118</v>
      </c>
    </row>
    <row r="4343" spans="1:5" x14ac:dyDescent="0.2">
      <c r="A4343" t="s">
        <v>11119</v>
      </c>
      <c r="B4343" t="s">
        <v>11120</v>
      </c>
      <c r="C4343" t="s">
        <v>11040</v>
      </c>
      <c r="D4343" t="s">
        <v>11040</v>
      </c>
      <c r="E4343" t="s">
        <v>11121</v>
      </c>
    </row>
    <row r="4344" spans="1:5" x14ac:dyDescent="0.2">
      <c r="A4344" t="s">
        <v>11122</v>
      </c>
      <c r="B4344" t="s">
        <v>11123</v>
      </c>
      <c r="C4344" t="s">
        <v>11040</v>
      </c>
      <c r="D4344" t="s">
        <v>11040</v>
      </c>
      <c r="E4344" t="s">
        <v>11124</v>
      </c>
    </row>
    <row r="4345" spans="1:5" x14ac:dyDescent="0.2">
      <c r="A4345" t="s">
        <v>11125</v>
      </c>
      <c r="B4345" t="s">
        <v>11126</v>
      </c>
      <c r="C4345" t="s">
        <v>11040</v>
      </c>
      <c r="D4345" t="s">
        <v>11040</v>
      </c>
      <c r="E4345" t="s">
        <v>11056</v>
      </c>
    </row>
    <row r="4346" spans="1:5" x14ac:dyDescent="0.2">
      <c r="A4346" t="s">
        <v>11127</v>
      </c>
      <c r="B4346" t="s">
        <v>11128</v>
      </c>
      <c r="C4346" t="s">
        <v>11040</v>
      </c>
      <c r="D4346" t="s">
        <v>11040</v>
      </c>
      <c r="E4346" t="s">
        <v>11056</v>
      </c>
    </row>
    <row r="4347" spans="1:5" x14ac:dyDescent="0.2">
      <c r="A4347" t="s">
        <v>11129</v>
      </c>
      <c r="B4347" t="s">
        <v>11130</v>
      </c>
      <c r="C4347" t="s">
        <v>11040</v>
      </c>
      <c r="D4347" t="s">
        <v>11040</v>
      </c>
      <c r="E4347" t="s">
        <v>11131</v>
      </c>
    </row>
    <row r="4348" spans="1:5" x14ac:dyDescent="0.2">
      <c r="A4348" t="s">
        <v>11132</v>
      </c>
      <c r="B4348" t="s">
        <v>11133</v>
      </c>
      <c r="C4348" t="s">
        <v>11040</v>
      </c>
      <c r="D4348" t="e">
        <v>#N/A</v>
      </c>
      <c r="E4348" t="e">
        <v>#N/A</v>
      </c>
    </row>
    <row r="4349" spans="1:5" x14ac:dyDescent="0.2">
      <c r="A4349" t="s">
        <v>11134</v>
      </c>
      <c r="B4349" t="s">
        <v>11135</v>
      </c>
      <c r="C4349" t="s">
        <v>11040</v>
      </c>
      <c r="D4349" t="e">
        <v>#N/A</v>
      </c>
      <c r="E4349" t="e">
        <v>#N/A</v>
      </c>
    </row>
    <row r="4350" spans="1:5" x14ac:dyDescent="0.2">
      <c r="A4350" t="s">
        <v>11136</v>
      </c>
      <c r="B4350" t="s">
        <v>11137</v>
      </c>
      <c r="C4350" t="s">
        <v>11040</v>
      </c>
      <c r="D4350" t="e">
        <v>#N/A</v>
      </c>
      <c r="E4350" t="e">
        <v>#N/A</v>
      </c>
    </row>
    <row r="4351" spans="1:5" x14ac:dyDescent="0.2">
      <c r="A4351" t="s">
        <v>11138</v>
      </c>
      <c r="B4351" t="s">
        <v>11139</v>
      </c>
      <c r="C4351" t="s">
        <v>11140</v>
      </c>
      <c r="D4351" t="s">
        <v>11140</v>
      </c>
      <c r="E4351" t="s">
        <v>11141</v>
      </c>
    </row>
    <row r="4352" spans="1:5" x14ac:dyDescent="0.2">
      <c r="A4352" t="s">
        <v>11142</v>
      </c>
      <c r="B4352" t="s">
        <v>11143</v>
      </c>
      <c r="C4352" t="s">
        <v>11140</v>
      </c>
      <c r="D4352" t="s">
        <v>11140</v>
      </c>
      <c r="E4352" t="s">
        <v>11144</v>
      </c>
    </row>
    <row r="4353" spans="1:5" x14ac:dyDescent="0.2">
      <c r="A4353" t="s">
        <v>11145</v>
      </c>
      <c r="B4353" t="s">
        <v>11146</v>
      </c>
      <c r="C4353" t="s">
        <v>11140</v>
      </c>
      <c r="D4353" t="s">
        <v>11140</v>
      </c>
      <c r="E4353" t="s">
        <v>11147</v>
      </c>
    </row>
    <row r="4354" spans="1:5" x14ac:dyDescent="0.2">
      <c r="A4354" t="s">
        <v>11148</v>
      </c>
      <c r="B4354" t="s">
        <v>11149</v>
      </c>
      <c r="C4354" t="s">
        <v>11140</v>
      </c>
      <c r="D4354" t="s">
        <v>11140</v>
      </c>
      <c r="E4354" t="s">
        <v>11150</v>
      </c>
    </row>
    <row r="4355" spans="1:5" x14ac:dyDescent="0.2">
      <c r="A4355" t="s">
        <v>11151</v>
      </c>
      <c r="B4355" t="s">
        <v>11152</v>
      </c>
      <c r="C4355" t="s">
        <v>11140</v>
      </c>
      <c r="D4355" t="s">
        <v>11140</v>
      </c>
      <c r="E4355" t="s">
        <v>11153</v>
      </c>
    </row>
    <row r="4356" spans="1:5" x14ac:dyDescent="0.2">
      <c r="A4356" t="s">
        <v>11154</v>
      </c>
      <c r="B4356" t="s">
        <v>11155</v>
      </c>
      <c r="C4356" t="s">
        <v>11140</v>
      </c>
      <c r="D4356" t="s">
        <v>11140</v>
      </c>
      <c r="E4356" t="s">
        <v>11156</v>
      </c>
    </row>
    <row r="4357" spans="1:5" x14ac:dyDescent="0.2">
      <c r="A4357" t="s">
        <v>11157</v>
      </c>
      <c r="B4357" t="s">
        <v>11158</v>
      </c>
      <c r="C4357" t="s">
        <v>11140</v>
      </c>
      <c r="D4357" t="s">
        <v>11140</v>
      </c>
      <c r="E4357" t="s">
        <v>11159</v>
      </c>
    </row>
    <row r="4358" spans="1:5" x14ac:dyDescent="0.2">
      <c r="A4358" t="s">
        <v>11160</v>
      </c>
      <c r="B4358" t="s">
        <v>11161</v>
      </c>
      <c r="C4358" t="s">
        <v>11140</v>
      </c>
      <c r="D4358" t="s">
        <v>11140</v>
      </c>
      <c r="E4358" t="s">
        <v>11162</v>
      </c>
    </row>
    <row r="4359" spans="1:5" x14ac:dyDescent="0.2">
      <c r="A4359" t="s">
        <v>11163</v>
      </c>
      <c r="B4359" t="s">
        <v>11164</v>
      </c>
      <c r="C4359" t="s">
        <v>11140</v>
      </c>
      <c r="D4359" t="s">
        <v>11140</v>
      </c>
      <c r="E4359" t="s">
        <v>11165</v>
      </c>
    </row>
    <row r="4360" spans="1:5" x14ac:dyDescent="0.2">
      <c r="A4360" t="s">
        <v>11166</v>
      </c>
      <c r="B4360" t="s">
        <v>11167</v>
      </c>
      <c r="C4360" t="s">
        <v>11140</v>
      </c>
      <c r="D4360" t="s">
        <v>11140</v>
      </c>
      <c r="E4360" t="s">
        <v>11168</v>
      </c>
    </row>
    <row r="4361" spans="1:5" x14ac:dyDescent="0.2">
      <c r="A4361" t="s">
        <v>11169</v>
      </c>
      <c r="B4361" t="s">
        <v>11170</v>
      </c>
      <c r="C4361" t="s">
        <v>11140</v>
      </c>
      <c r="D4361" t="s">
        <v>11140</v>
      </c>
      <c r="E4361" t="s">
        <v>11171</v>
      </c>
    </row>
    <row r="4362" spans="1:5" x14ac:dyDescent="0.2">
      <c r="A4362" t="s">
        <v>11172</v>
      </c>
      <c r="B4362" t="s">
        <v>11173</v>
      </c>
      <c r="C4362" t="s">
        <v>11140</v>
      </c>
      <c r="D4362" t="s">
        <v>11140</v>
      </c>
      <c r="E4362" t="s">
        <v>11174</v>
      </c>
    </row>
    <row r="4363" spans="1:5" x14ac:dyDescent="0.2">
      <c r="A4363" t="s">
        <v>11175</v>
      </c>
      <c r="B4363" t="s">
        <v>11176</v>
      </c>
      <c r="C4363" t="s">
        <v>11140</v>
      </c>
      <c r="D4363" t="s">
        <v>11140</v>
      </c>
      <c r="E4363" t="s">
        <v>11177</v>
      </c>
    </row>
    <row r="4364" spans="1:5" x14ac:dyDescent="0.2">
      <c r="A4364" t="s">
        <v>11178</v>
      </c>
      <c r="B4364" t="s">
        <v>11179</v>
      </c>
      <c r="C4364" t="s">
        <v>11140</v>
      </c>
      <c r="D4364" t="s">
        <v>11140</v>
      </c>
      <c r="E4364" t="s">
        <v>11180</v>
      </c>
    </row>
    <row r="4365" spans="1:5" x14ac:dyDescent="0.2">
      <c r="A4365" t="s">
        <v>11181</v>
      </c>
      <c r="B4365" t="s">
        <v>11182</v>
      </c>
      <c r="C4365" t="s">
        <v>11140</v>
      </c>
      <c r="D4365" t="s">
        <v>11140</v>
      </c>
      <c r="E4365" t="s">
        <v>11183</v>
      </c>
    </row>
    <row r="4366" spans="1:5" x14ac:dyDescent="0.2">
      <c r="A4366" t="s">
        <v>11184</v>
      </c>
      <c r="B4366" t="s">
        <v>11185</v>
      </c>
      <c r="C4366" t="s">
        <v>11140</v>
      </c>
      <c r="D4366" t="s">
        <v>11140</v>
      </c>
      <c r="E4366" t="s">
        <v>11186</v>
      </c>
    </row>
    <row r="4367" spans="1:5" x14ac:dyDescent="0.2">
      <c r="A4367" t="s">
        <v>11187</v>
      </c>
      <c r="B4367" t="s">
        <v>11188</v>
      </c>
      <c r="C4367" t="s">
        <v>11140</v>
      </c>
      <c r="D4367" t="s">
        <v>11140</v>
      </c>
      <c r="E4367" t="s">
        <v>11189</v>
      </c>
    </row>
    <row r="4368" spans="1:5" x14ac:dyDescent="0.2">
      <c r="A4368" t="s">
        <v>11190</v>
      </c>
      <c r="B4368" t="s">
        <v>11191</v>
      </c>
      <c r="C4368" t="s">
        <v>11140</v>
      </c>
      <c r="D4368" t="s">
        <v>11140</v>
      </c>
      <c r="E4368" t="s">
        <v>11192</v>
      </c>
    </row>
    <row r="4369" spans="1:5" x14ac:dyDescent="0.2">
      <c r="A4369" t="s">
        <v>11193</v>
      </c>
      <c r="B4369" t="s">
        <v>11194</v>
      </c>
      <c r="C4369" t="s">
        <v>11140</v>
      </c>
      <c r="D4369" t="s">
        <v>11140</v>
      </c>
      <c r="E4369" t="s">
        <v>11195</v>
      </c>
    </row>
    <row r="4370" spans="1:5" x14ac:dyDescent="0.2">
      <c r="A4370" t="s">
        <v>11196</v>
      </c>
      <c r="B4370" t="s">
        <v>11197</v>
      </c>
      <c r="C4370" t="s">
        <v>11140</v>
      </c>
      <c r="D4370" t="s">
        <v>11140</v>
      </c>
      <c r="E4370" t="s">
        <v>11198</v>
      </c>
    </row>
    <row r="4371" spans="1:5" x14ac:dyDescent="0.2">
      <c r="A4371" t="s">
        <v>11199</v>
      </c>
      <c r="B4371" t="s">
        <v>11200</v>
      </c>
      <c r="C4371" t="s">
        <v>11140</v>
      </c>
      <c r="D4371" t="s">
        <v>11140</v>
      </c>
      <c r="E4371" t="s">
        <v>11201</v>
      </c>
    </row>
    <row r="4372" spans="1:5" x14ac:dyDescent="0.2">
      <c r="A4372" t="s">
        <v>11202</v>
      </c>
      <c r="B4372" t="s">
        <v>11203</v>
      </c>
      <c r="C4372" t="s">
        <v>11140</v>
      </c>
      <c r="D4372" t="s">
        <v>11140</v>
      </c>
      <c r="E4372" t="s">
        <v>11204</v>
      </c>
    </row>
    <row r="4373" spans="1:5" x14ac:dyDescent="0.2">
      <c r="A4373" t="s">
        <v>11205</v>
      </c>
      <c r="B4373" t="s">
        <v>11206</v>
      </c>
      <c r="C4373" t="s">
        <v>11140</v>
      </c>
      <c r="D4373" t="s">
        <v>11140</v>
      </c>
      <c r="E4373" t="s">
        <v>11162</v>
      </c>
    </row>
    <row r="4374" spans="1:5" x14ac:dyDescent="0.2">
      <c r="A4374" t="s">
        <v>11207</v>
      </c>
      <c r="B4374" t="s">
        <v>11208</v>
      </c>
      <c r="C4374" t="s">
        <v>11140</v>
      </c>
      <c r="D4374" t="s">
        <v>11140</v>
      </c>
      <c r="E4374" t="s">
        <v>11209</v>
      </c>
    </row>
    <row r="4375" spans="1:5" x14ac:dyDescent="0.2">
      <c r="A4375" t="s">
        <v>11210</v>
      </c>
      <c r="B4375" t="s">
        <v>11211</v>
      </c>
      <c r="C4375" t="s">
        <v>11140</v>
      </c>
      <c r="D4375" t="s">
        <v>11140</v>
      </c>
      <c r="E4375" t="s">
        <v>11162</v>
      </c>
    </row>
    <row r="4376" spans="1:5" x14ac:dyDescent="0.2">
      <c r="A4376" t="s">
        <v>11212</v>
      </c>
      <c r="B4376" t="s">
        <v>11213</v>
      </c>
      <c r="C4376" t="s">
        <v>11140</v>
      </c>
      <c r="D4376" t="s">
        <v>11140</v>
      </c>
      <c r="E4376" t="s">
        <v>11162</v>
      </c>
    </row>
    <row r="4377" spans="1:5" x14ac:dyDescent="0.2">
      <c r="A4377" t="s">
        <v>11214</v>
      </c>
      <c r="B4377" t="s">
        <v>11215</v>
      </c>
      <c r="C4377" t="s">
        <v>11140</v>
      </c>
      <c r="D4377" t="s">
        <v>11140</v>
      </c>
      <c r="E4377" t="s">
        <v>11216</v>
      </c>
    </row>
    <row r="4378" spans="1:5" x14ac:dyDescent="0.2">
      <c r="A4378" t="s">
        <v>11217</v>
      </c>
      <c r="B4378" t="s">
        <v>11218</v>
      </c>
      <c r="C4378" t="s">
        <v>11140</v>
      </c>
      <c r="D4378" t="s">
        <v>11140</v>
      </c>
      <c r="E4378" t="s">
        <v>11219</v>
      </c>
    </row>
    <row r="4379" spans="1:5" x14ac:dyDescent="0.2">
      <c r="A4379" t="s">
        <v>11220</v>
      </c>
      <c r="B4379" t="s">
        <v>11221</v>
      </c>
      <c r="C4379" t="s">
        <v>11140</v>
      </c>
      <c r="D4379" t="s">
        <v>11140</v>
      </c>
      <c r="E4379" t="s">
        <v>11222</v>
      </c>
    </row>
    <row r="4380" spans="1:5" x14ac:dyDescent="0.2">
      <c r="A4380" t="s">
        <v>11223</v>
      </c>
      <c r="B4380" t="s">
        <v>11224</v>
      </c>
      <c r="C4380" t="s">
        <v>11140</v>
      </c>
      <c r="D4380" t="s">
        <v>11140</v>
      </c>
      <c r="E4380" t="s">
        <v>11225</v>
      </c>
    </row>
    <row r="4381" spans="1:5" x14ac:dyDescent="0.2">
      <c r="A4381" t="s">
        <v>11226</v>
      </c>
      <c r="B4381" t="s">
        <v>11227</v>
      </c>
      <c r="C4381" t="s">
        <v>11140</v>
      </c>
      <c r="D4381" t="s">
        <v>11140</v>
      </c>
      <c r="E4381" t="s">
        <v>11228</v>
      </c>
    </row>
    <row r="4382" spans="1:5" x14ac:dyDescent="0.2">
      <c r="A4382" t="s">
        <v>11229</v>
      </c>
      <c r="B4382" t="s">
        <v>11230</v>
      </c>
      <c r="C4382" t="s">
        <v>11140</v>
      </c>
      <c r="D4382" t="s">
        <v>11140</v>
      </c>
      <c r="E4382" t="s">
        <v>11231</v>
      </c>
    </row>
    <row r="4383" spans="1:5" x14ac:dyDescent="0.2">
      <c r="A4383" t="s">
        <v>11232</v>
      </c>
      <c r="B4383" t="s">
        <v>11233</v>
      </c>
      <c r="C4383" t="s">
        <v>11140</v>
      </c>
      <c r="D4383" t="s">
        <v>11140</v>
      </c>
      <c r="E4383" t="s">
        <v>11234</v>
      </c>
    </row>
    <row r="4384" spans="1:5" x14ac:dyDescent="0.2">
      <c r="A4384" t="s">
        <v>11235</v>
      </c>
      <c r="B4384" t="s">
        <v>11236</v>
      </c>
      <c r="C4384" t="s">
        <v>11140</v>
      </c>
      <c r="D4384" t="s">
        <v>11140</v>
      </c>
      <c r="E4384" t="s">
        <v>11237</v>
      </c>
    </row>
    <row r="4385" spans="1:5" x14ac:dyDescent="0.2">
      <c r="A4385" t="s">
        <v>11238</v>
      </c>
      <c r="B4385" t="s">
        <v>11239</v>
      </c>
      <c r="C4385" t="s">
        <v>11140</v>
      </c>
      <c r="D4385" t="s">
        <v>11140</v>
      </c>
      <c r="E4385" t="s">
        <v>11240</v>
      </c>
    </row>
    <row r="4386" spans="1:5" x14ac:dyDescent="0.2">
      <c r="A4386" t="s">
        <v>11241</v>
      </c>
      <c r="B4386" t="s">
        <v>11242</v>
      </c>
      <c r="C4386" t="s">
        <v>11243</v>
      </c>
      <c r="D4386" t="s">
        <v>11243</v>
      </c>
      <c r="E4386" t="s">
        <v>11244</v>
      </c>
    </row>
    <row r="4387" spans="1:5" x14ac:dyDescent="0.2">
      <c r="A4387" t="s">
        <v>11245</v>
      </c>
      <c r="B4387" t="s">
        <v>11246</v>
      </c>
      <c r="C4387" t="s">
        <v>11243</v>
      </c>
      <c r="D4387" t="s">
        <v>11243</v>
      </c>
      <c r="E4387" t="s">
        <v>11247</v>
      </c>
    </row>
    <row r="4388" spans="1:5" x14ac:dyDescent="0.2">
      <c r="A4388" t="s">
        <v>11248</v>
      </c>
      <c r="B4388" t="s">
        <v>11249</v>
      </c>
      <c r="C4388" t="s">
        <v>11243</v>
      </c>
      <c r="D4388" t="s">
        <v>11243</v>
      </c>
      <c r="E4388" t="s">
        <v>11250</v>
      </c>
    </row>
    <row r="4389" spans="1:5" x14ac:dyDescent="0.2">
      <c r="A4389" t="s">
        <v>11251</v>
      </c>
      <c r="B4389" t="s">
        <v>11252</v>
      </c>
      <c r="C4389" t="s">
        <v>11243</v>
      </c>
      <c r="D4389" t="s">
        <v>11243</v>
      </c>
      <c r="E4389" t="s">
        <v>11253</v>
      </c>
    </row>
    <row r="4390" spans="1:5" x14ac:dyDescent="0.2">
      <c r="A4390" t="s">
        <v>11254</v>
      </c>
      <c r="B4390" t="s">
        <v>11255</v>
      </c>
      <c r="C4390" t="s">
        <v>11243</v>
      </c>
      <c r="D4390" t="s">
        <v>11243</v>
      </c>
      <c r="E4390" t="s">
        <v>11256</v>
      </c>
    </row>
    <row r="4391" spans="1:5" x14ac:dyDescent="0.2">
      <c r="A4391" t="s">
        <v>11257</v>
      </c>
      <c r="B4391" t="s">
        <v>11258</v>
      </c>
      <c r="C4391" t="s">
        <v>11243</v>
      </c>
      <c r="D4391" t="s">
        <v>11243</v>
      </c>
      <c r="E4391" t="s">
        <v>11259</v>
      </c>
    </row>
    <row r="4392" spans="1:5" x14ac:dyDescent="0.2">
      <c r="A4392" t="s">
        <v>11260</v>
      </c>
      <c r="B4392" t="s">
        <v>11261</v>
      </c>
      <c r="C4392" t="s">
        <v>11243</v>
      </c>
      <c r="D4392" t="s">
        <v>11243</v>
      </c>
      <c r="E4392" t="s">
        <v>11262</v>
      </c>
    </row>
    <row r="4393" spans="1:5" x14ac:dyDescent="0.2">
      <c r="A4393" t="s">
        <v>11263</v>
      </c>
      <c r="B4393" t="s">
        <v>11264</v>
      </c>
      <c r="C4393" t="s">
        <v>11243</v>
      </c>
      <c r="D4393" t="s">
        <v>11243</v>
      </c>
      <c r="E4393" t="s">
        <v>11265</v>
      </c>
    </row>
    <row r="4394" spans="1:5" x14ac:dyDescent="0.2">
      <c r="A4394" t="s">
        <v>11266</v>
      </c>
      <c r="B4394" t="s">
        <v>11267</v>
      </c>
      <c r="C4394" t="s">
        <v>11243</v>
      </c>
      <c r="D4394" t="s">
        <v>11243</v>
      </c>
      <c r="E4394" t="s">
        <v>11268</v>
      </c>
    </row>
    <row r="4395" spans="1:5" x14ac:dyDescent="0.2">
      <c r="A4395" t="s">
        <v>11269</v>
      </c>
      <c r="B4395" t="s">
        <v>11270</v>
      </c>
      <c r="C4395" t="s">
        <v>11243</v>
      </c>
      <c r="D4395" t="s">
        <v>11243</v>
      </c>
      <c r="E4395" t="s">
        <v>11271</v>
      </c>
    </row>
    <row r="4396" spans="1:5" x14ac:dyDescent="0.2">
      <c r="A4396" t="s">
        <v>11272</v>
      </c>
      <c r="B4396" t="s">
        <v>11273</v>
      </c>
      <c r="C4396" t="s">
        <v>11243</v>
      </c>
      <c r="D4396" t="s">
        <v>11243</v>
      </c>
      <c r="E4396" t="s">
        <v>11274</v>
      </c>
    </row>
    <row r="4397" spans="1:5" x14ac:dyDescent="0.2">
      <c r="A4397" t="s">
        <v>11275</v>
      </c>
      <c r="B4397" t="s">
        <v>11276</v>
      </c>
      <c r="C4397" t="s">
        <v>11243</v>
      </c>
      <c r="D4397" t="s">
        <v>11243</v>
      </c>
      <c r="E4397" t="s">
        <v>11277</v>
      </c>
    </row>
    <row r="4398" spans="1:5" x14ac:dyDescent="0.2">
      <c r="A4398" t="s">
        <v>11278</v>
      </c>
      <c r="B4398" t="s">
        <v>11279</v>
      </c>
      <c r="C4398" t="s">
        <v>11243</v>
      </c>
      <c r="D4398" t="s">
        <v>11243</v>
      </c>
      <c r="E4398" t="s">
        <v>11280</v>
      </c>
    </row>
    <row r="4399" spans="1:5" x14ac:dyDescent="0.2">
      <c r="A4399" t="s">
        <v>11281</v>
      </c>
      <c r="B4399" t="s">
        <v>11282</v>
      </c>
      <c r="C4399" t="s">
        <v>11243</v>
      </c>
      <c r="D4399" t="s">
        <v>11243</v>
      </c>
      <c r="E4399" t="s">
        <v>11283</v>
      </c>
    </row>
    <row r="4400" spans="1:5" x14ac:dyDescent="0.2">
      <c r="A4400" t="s">
        <v>11284</v>
      </c>
      <c r="B4400" t="s">
        <v>11285</v>
      </c>
      <c r="C4400" t="s">
        <v>11243</v>
      </c>
      <c r="D4400" t="s">
        <v>11243</v>
      </c>
      <c r="E4400" t="s">
        <v>11286</v>
      </c>
    </row>
    <row r="4401" spans="1:5" x14ac:dyDescent="0.2">
      <c r="A4401" t="s">
        <v>11287</v>
      </c>
      <c r="B4401" t="s">
        <v>11288</v>
      </c>
      <c r="C4401" t="s">
        <v>11243</v>
      </c>
      <c r="D4401" t="s">
        <v>11243</v>
      </c>
      <c r="E4401" t="s">
        <v>11289</v>
      </c>
    </row>
    <row r="4402" spans="1:5" x14ac:dyDescent="0.2">
      <c r="A4402" t="s">
        <v>11290</v>
      </c>
      <c r="B4402" t="s">
        <v>11291</v>
      </c>
      <c r="C4402" t="s">
        <v>11243</v>
      </c>
      <c r="D4402" t="s">
        <v>11243</v>
      </c>
      <c r="E4402" t="s">
        <v>11292</v>
      </c>
    </row>
    <row r="4403" spans="1:5" x14ac:dyDescent="0.2">
      <c r="A4403" t="s">
        <v>11293</v>
      </c>
      <c r="B4403" t="s">
        <v>11294</v>
      </c>
      <c r="C4403" t="s">
        <v>11243</v>
      </c>
      <c r="D4403" t="s">
        <v>11243</v>
      </c>
      <c r="E4403" t="s">
        <v>11295</v>
      </c>
    </row>
    <row r="4404" spans="1:5" x14ac:dyDescent="0.2">
      <c r="A4404" t="s">
        <v>11296</v>
      </c>
      <c r="B4404" t="s">
        <v>11297</v>
      </c>
      <c r="C4404" t="s">
        <v>11243</v>
      </c>
      <c r="D4404" t="s">
        <v>11243</v>
      </c>
      <c r="E4404" t="s">
        <v>11298</v>
      </c>
    </row>
    <row r="4405" spans="1:5" x14ac:dyDescent="0.2">
      <c r="A4405" t="s">
        <v>11299</v>
      </c>
      <c r="B4405" t="s">
        <v>11300</v>
      </c>
      <c r="C4405" t="s">
        <v>11243</v>
      </c>
      <c r="D4405" t="s">
        <v>11243</v>
      </c>
      <c r="E4405" t="s">
        <v>11301</v>
      </c>
    </row>
    <row r="4406" spans="1:5" x14ac:dyDescent="0.2">
      <c r="A4406" t="s">
        <v>11302</v>
      </c>
      <c r="B4406" t="s">
        <v>11303</v>
      </c>
      <c r="C4406" t="s">
        <v>11243</v>
      </c>
      <c r="D4406" t="s">
        <v>11243</v>
      </c>
      <c r="E4406" t="s">
        <v>11304</v>
      </c>
    </row>
    <row r="4407" spans="1:5" x14ac:dyDescent="0.2">
      <c r="A4407" t="s">
        <v>11305</v>
      </c>
      <c r="B4407" t="s">
        <v>11306</v>
      </c>
      <c r="C4407" t="s">
        <v>11243</v>
      </c>
      <c r="D4407" t="s">
        <v>11243</v>
      </c>
      <c r="E4407" t="s">
        <v>11307</v>
      </c>
    </row>
    <row r="4408" spans="1:5" x14ac:dyDescent="0.2">
      <c r="A4408" t="s">
        <v>11308</v>
      </c>
      <c r="B4408" t="s">
        <v>11309</v>
      </c>
      <c r="C4408" t="s">
        <v>11243</v>
      </c>
      <c r="D4408" t="s">
        <v>11243</v>
      </c>
      <c r="E4408" t="s">
        <v>11310</v>
      </c>
    </row>
    <row r="4409" spans="1:5" x14ac:dyDescent="0.2">
      <c r="A4409" t="s">
        <v>11311</v>
      </c>
      <c r="B4409" t="s">
        <v>11312</v>
      </c>
      <c r="C4409" t="s">
        <v>11243</v>
      </c>
      <c r="D4409" t="s">
        <v>11243</v>
      </c>
      <c r="E4409" t="s">
        <v>11313</v>
      </c>
    </row>
    <row r="4410" spans="1:5" x14ac:dyDescent="0.2">
      <c r="A4410" t="s">
        <v>11314</v>
      </c>
      <c r="B4410" t="s">
        <v>11315</v>
      </c>
      <c r="C4410" t="s">
        <v>11243</v>
      </c>
      <c r="D4410" t="s">
        <v>11243</v>
      </c>
      <c r="E4410" t="s">
        <v>11316</v>
      </c>
    </row>
    <row r="4411" spans="1:5" x14ac:dyDescent="0.2">
      <c r="A4411" t="s">
        <v>11317</v>
      </c>
      <c r="B4411" t="s">
        <v>11318</v>
      </c>
      <c r="C4411" t="s">
        <v>11243</v>
      </c>
      <c r="D4411" t="s">
        <v>11243</v>
      </c>
      <c r="E4411" t="s">
        <v>11319</v>
      </c>
    </row>
    <row r="4412" spans="1:5" x14ac:dyDescent="0.2">
      <c r="A4412" t="s">
        <v>11320</v>
      </c>
      <c r="B4412" t="s">
        <v>11321</v>
      </c>
      <c r="C4412" t="s">
        <v>11243</v>
      </c>
      <c r="D4412" t="s">
        <v>11243</v>
      </c>
      <c r="E4412" t="s">
        <v>11322</v>
      </c>
    </row>
    <row r="4413" spans="1:5" x14ac:dyDescent="0.2">
      <c r="A4413" t="s">
        <v>11323</v>
      </c>
      <c r="B4413" t="s">
        <v>11324</v>
      </c>
      <c r="C4413" t="s">
        <v>11243</v>
      </c>
      <c r="D4413" t="s">
        <v>11243</v>
      </c>
      <c r="E4413" t="s">
        <v>11325</v>
      </c>
    </row>
    <row r="4414" spans="1:5" x14ac:dyDescent="0.2">
      <c r="A4414" t="s">
        <v>11326</v>
      </c>
      <c r="B4414" t="s">
        <v>11327</v>
      </c>
      <c r="C4414" t="s">
        <v>11328</v>
      </c>
      <c r="D4414" t="s">
        <v>11328</v>
      </c>
      <c r="E4414" t="s">
        <v>11329</v>
      </c>
    </row>
    <row r="4415" spans="1:5" x14ac:dyDescent="0.2">
      <c r="A4415" t="s">
        <v>11330</v>
      </c>
      <c r="B4415" t="s">
        <v>11331</v>
      </c>
      <c r="C4415" t="s">
        <v>11328</v>
      </c>
      <c r="D4415" t="s">
        <v>11328</v>
      </c>
      <c r="E4415" t="s">
        <v>11332</v>
      </c>
    </row>
    <row r="4416" spans="1:5" x14ac:dyDescent="0.2">
      <c r="A4416" t="s">
        <v>11333</v>
      </c>
      <c r="B4416" t="s">
        <v>11334</v>
      </c>
      <c r="C4416" t="s">
        <v>11328</v>
      </c>
      <c r="D4416" t="s">
        <v>11328</v>
      </c>
      <c r="E4416" t="s">
        <v>11335</v>
      </c>
    </row>
    <row r="4417" spans="1:5" x14ac:dyDescent="0.2">
      <c r="A4417" t="s">
        <v>11336</v>
      </c>
      <c r="B4417" t="s">
        <v>11337</v>
      </c>
      <c r="C4417" t="s">
        <v>11328</v>
      </c>
      <c r="D4417" t="s">
        <v>11328</v>
      </c>
      <c r="E4417" t="s">
        <v>11338</v>
      </c>
    </row>
    <row r="4418" spans="1:5" x14ac:dyDescent="0.2">
      <c r="A4418" t="s">
        <v>11339</v>
      </c>
      <c r="B4418" t="s">
        <v>11340</v>
      </c>
      <c r="C4418" t="s">
        <v>11328</v>
      </c>
      <c r="D4418" t="s">
        <v>11328</v>
      </c>
      <c r="E4418" t="s">
        <v>11341</v>
      </c>
    </row>
    <row r="4419" spans="1:5" x14ac:dyDescent="0.2">
      <c r="A4419" t="s">
        <v>11342</v>
      </c>
      <c r="B4419" t="s">
        <v>11343</v>
      </c>
      <c r="C4419" t="s">
        <v>11328</v>
      </c>
      <c r="D4419" t="s">
        <v>11328</v>
      </c>
      <c r="E4419" t="s">
        <v>11344</v>
      </c>
    </row>
    <row r="4420" spans="1:5" x14ac:dyDescent="0.2">
      <c r="A4420" t="s">
        <v>11345</v>
      </c>
      <c r="B4420" t="s">
        <v>11346</v>
      </c>
      <c r="C4420" t="s">
        <v>11328</v>
      </c>
      <c r="D4420" t="s">
        <v>11328</v>
      </c>
      <c r="E4420" t="s">
        <v>11347</v>
      </c>
    </row>
    <row r="4421" spans="1:5" x14ac:dyDescent="0.2">
      <c r="A4421" t="s">
        <v>11348</v>
      </c>
      <c r="B4421" t="s">
        <v>11349</v>
      </c>
      <c r="C4421" t="s">
        <v>11328</v>
      </c>
      <c r="D4421" t="s">
        <v>11328</v>
      </c>
      <c r="E4421" t="s">
        <v>11350</v>
      </c>
    </row>
    <row r="4422" spans="1:5" x14ac:dyDescent="0.2">
      <c r="A4422" t="s">
        <v>11351</v>
      </c>
      <c r="B4422" t="s">
        <v>11352</v>
      </c>
      <c r="C4422" t="s">
        <v>11328</v>
      </c>
      <c r="D4422" t="s">
        <v>11328</v>
      </c>
      <c r="E4422" t="s">
        <v>11353</v>
      </c>
    </row>
    <row r="4423" spans="1:5" x14ac:dyDescent="0.2">
      <c r="A4423" t="s">
        <v>11354</v>
      </c>
      <c r="B4423" t="s">
        <v>11355</v>
      </c>
      <c r="C4423" t="s">
        <v>11328</v>
      </c>
      <c r="D4423" t="s">
        <v>11328</v>
      </c>
      <c r="E4423" t="s">
        <v>11356</v>
      </c>
    </row>
    <row r="4424" spans="1:5" x14ac:dyDescent="0.2">
      <c r="A4424" t="s">
        <v>11357</v>
      </c>
      <c r="B4424" t="s">
        <v>11358</v>
      </c>
      <c r="C4424" t="s">
        <v>11328</v>
      </c>
      <c r="D4424" t="s">
        <v>11328</v>
      </c>
      <c r="E4424" t="s">
        <v>11359</v>
      </c>
    </row>
    <row r="4425" spans="1:5" x14ac:dyDescent="0.2">
      <c r="A4425" t="s">
        <v>11360</v>
      </c>
      <c r="B4425" t="s">
        <v>11361</v>
      </c>
      <c r="C4425" t="s">
        <v>11328</v>
      </c>
      <c r="D4425" t="s">
        <v>11328</v>
      </c>
      <c r="E4425" t="s">
        <v>11362</v>
      </c>
    </row>
    <row r="4426" spans="1:5" x14ac:dyDescent="0.2">
      <c r="A4426" t="s">
        <v>11363</v>
      </c>
      <c r="B4426" t="s">
        <v>11364</v>
      </c>
      <c r="C4426" t="s">
        <v>11328</v>
      </c>
      <c r="D4426" t="s">
        <v>11328</v>
      </c>
      <c r="E4426" t="s">
        <v>11365</v>
      </c>
    </row>
    <row r="4427" spans="1:5" x14ac:dyDescent="0.2">
      <c r="A4427" t="s">
        <v>11366</v>
      </c>
      <c r="B4427" t="s">
        <v>11367</v>
      </c>
      <c r="C4427" t="s">
        <v>11328</v>
      </c>
      <c r="D4427" t="s">
        <v>11328</v>
      </c>
      <c r="E4427" t="s">
        <v>11368</v>
      </c>
    </row>
    <row r="4428" spans="1:5" x14ac:dyDescent="0.2">
      <c r="A4428" t="s">
        <v>11369</v>
      </c>
      <c r="B4428" t="s">
        <v>11370</v>
      </c>
      <c r="C4428" t="s">
        <v>11328</v>
      </c>
      <c r="D4428" t="s">
        <v>11328</v>
      </c>
      <c r="E4428" t="s">
        <v>11371</v>
      </c>
    </row>
    <row r="4429" spans="1:5" x14ac:dyDescent="0.2">
      <c r="A4429" t="s">
        <v>11372</v>
      </c>
      <c r="B4429" t="s">
        <v>11373</v>
      </c>
      <c r="C4429" t="s">
        <v>11328</v>
      </c>
      <c r="D4429" t="s">
        <v>11328</v>
      </c>
      <c r="E4429" t="s">
        <v>11374</v>
      </c>
    </row>
    <row r="4430" spans="1:5" x14ac:dyDescent="0.2">
      <c r="A4430" t="s">
        <v>11375</v>
      </c>
      <c r="B4430" t="s">
        <v>11376</v>
      </c>
      <c r="C4430" t="s">
        <v>11328</v>
      </c>
      <c r="D4430" t="s">
        <v>11328</v>
      </c>
      <c r="E4430" t="s">
        <v>11377</v>
      </c>
    </row>
    <row r="4431" spans="1:5" x14ac:dyDescent="0.2">
      <c r="A4431" t="s">
        <v>11378</v>
      </c>
      <c r="B4431" t="s">
        <v>11379</v>
      </c>
      <c r="C4431" t="s">
        <v>11328</v>
      </c>
      <c r="D4431" t="s">
        <v>11328</v>
      </c>
      <c r="E4431" t="s">
        <v>11380</v>
      </c>
    </row>
    <row r="4432" spans="1:5" x14ac:dyDescent="0.2">
      <c r="A4432" t="s">
        <v>11381</v>
      </c>
      <c r="B4432" t="s">
        <v>11382</v>
      </c>
      <c r="C4432" t="s">
        <v>11328</v>
      </c>
      <c r="D4432" t="s">
        <v>11328</v>
      </c>
      <c r="E4432" t="s">
        <v>11383</v>
      </c>
    </row>
    <row r="4433" spans="1:5" x14ac:dyDescent="0.2">
      <c r="A4433" t="s">
        <v>11384</v>
      </c>
      <c r="B4433" t="s">
        <v>11385</v>
      </c>
      <c r="C4433" t="s">
        <v>11328</v>
      </c>
      <c r="D4433" t="s">
        <v>11328</v>
      </c>
      <c r="E4433" t="s">
        <v>11386</v>
      </c>
    </row>
    <row r="4434" spans="1:5" x14ac:dyDescent="0.2">
      <c r="A4434" t="s">
        <v>11387</v>
      </c>
      <c r="B4434" t="s">
        <v>11388</v>
      </c>
      <c r="C4434" t="s">
        <v>11328</v>
      </c>
      <c r="D4434" t="s">
        <v>11328</v>
      </c>
      <c r="E4434" t="s">
        <v>11389</v>
      </c>
    </row>
    <row r="4435" spans="1:5" x14ac:dyDescent="0.2">
      <c r="A4435" t="s">
        <v>11390</v>
      </c>
      <c r="B4435" t="s">
        <v>11391</v>
      </c>
      <c r="C4435" t="s">
        <v>11328</v>
      </c>
      <c r="D4435" t="s">
        <v>11328</v>
      </c>
      <c r="E4435" t="s">
        <v>11392</v>
      </c>
    </row>
    <row r="4436" spans="1:5" x14ac:dyDescent="0.2">
      <c r="A4436" t="s">
        <v>11393</v>
      </c>
      <c r="B4436" t="s">
        <v>11394</v>
      </c>
      <c r="C4436" t="s">
        <v>11328</v>
      </c>
      <c r="D4436" t="s">
        <v>11328</v>
      </c>
      <c r="E4436" t="s">
        <v>11395</v>
      </c>
    </row>
    <row r="4437" spans="1:5" x14ac:dyDescent="0.2">
      <c r="A4437" t="s">
        <v>11396</v>
      </c>
      <c r="B4437" t="s">
        <v>11397</v>
      </c>
      <c r="C4437" t="s">
        <v>11328</v>
      </c>
      <c r="D4437" t="s">
        <v>11328</v>
      </c>
      <c r="E4437" t="s">
        <v>11398</v>
      </c>
    </row>
    <row r="4438" spans="1:5" x14ac:dyDescent="0.2">
      <c r="A4438" t="s">
        <v>11399</v>
      </c>
      <c r="B4438" t="s">
        <v>11400</v>
      </c>
      <c r="C4438" t="s">
        <v>11328</v>
      </c>
      <c r="D4438" t="s">
        <v>11328</v>
      </c>
      <c r="E4438" t="s">
        <v>11401</v>
      </c>
    </row>
    <row r="4439" spans="1:5" x14ac:dyDescent="0.2">
      <c r="A4439" t="s">
        <v>11402</v>
      </c>
      <c r="B4439" t="s">
        <v>11403</v>
      </c>
      <c r="C4439" t="s">
        <v>11328</v>
      </c>
      <c r="D4439" t="s">
        <v>11328</v>
      </c>
      <c r="E4439" t="s">
        <v>11404</v>
      </c>
    </row>
    <row r="4440" spans="1:5" x14ac:dyDescent="0.2">
      <c r="A4440" t="s">
        <v>11405</v>
      </c>
      <c r="B4440" t="s">
        <v>11406</v>
      </c>
      <c r="C4440" t="s">
        <v>11328</v>
      </c>
      <c r="D4440" t="s">
        <v>11328</v>
      </c>
      <c r="E4440" t="s">
        <v>11407</v>
      </c>
    </row>
    <row r="4441" spans="1:5" x14ac:dyDescent="0.2">
      <c r="A4441" t="s">
        <v>11408</v>
      </c>
      <c r="B4441" t="s">
        <v>11409</v>
      </c>
      <c r="C4441" t="s">
        <v>11328</v>
      </c>
      <c r="D4441" t="s">
        <v>11328</v>
      </c>
      <c r="E4441" t="s">
        <v>11410</v>
      </c>
    </row>
    <row r="4442" spans="1:5" x14ac:dyDescent="0.2">
      <c r="A4442" t="s">
        <v>11411</v>
      </c>
      <c r="B4442" t="s">
        <v>11412</v>
      </c>
      <c r="C4442" t="s">
        <v>11328</v>
      </c>
      <c r="D4442" t="s">
        <v>11328</v>
      </c>
      <c r="E4442" t="s">
        <v>11413</v>
      </c>
    </row>
    <row r="4443" spans="1:5" x14ac:dyDescent="0.2">
      <c r="A4443" t="s">
        <v>11414</v>
      </c>
      <c r="B4443" t="s">
        <v>11415</v>
      </c>
      <c r="C4443" t="s">
        <v>11328</v>
      </c>
      <c r="D4443" t="s">
        <v>11328</v>
      </c>
      <c r="E4443" t="s">
        <v>11416</v>
      </c>
    </row>
    <row r="4444" spans="1:5" x14ac:dyDescent="0.2">
      <c r="A4444" t="s">
        <v>11417</v>
      </c>
      <c r="B4444" t="s">
        <v>11418</v>
      </c>
      <c r="C4444" t="s">
        <v>11328</v>
      </c>
      <c r="D4444" t="s">
        <v>11328</v>
      </c>
      <c r="E4444" t="s">
        <v>11419</v>
      </c>
    </row>
    <row r="4445" spans="1:5" x14ac:dyDescent="0.2">
      <c r="A4445" t="s">
        <v>11420</v>
      </c>
      <c r="B4445" t="s">
        <v>11421</v>
      </c>
      <c r="C4445" t="s">
        <v>11328</v>
      </c>
      <c r="D4445" t="s">
        <v>11328</v>
      </c>
      <c r="E4445" t="s">
        <v>11359</v>
      </c>
    </row>
    <row r="4446" spans="1:5" x14ac:dyDescent="0.2">
      <c r="A4446" t="s">
        <v>11422</v>
      </c>
      <c r="B4446" t="s">
        <v>11423</v>
      </c>
      <c r="C4446" t="s">
        <v>11328</v>
      </c>
      <c r="D4446" t="s">
        <v>11328</v>
      </c>
      <c r="E4446" t="s">
        <v>11424</v>
      </c>
    </row>
    <row r="4447" spans="1:5" x14ac:dyDescent="0.2">
      <c r="A4447" t="s">
        <v>11425</v>
      </c>
      <c r="B4447" t="s">
        <v>11426</v>
      </c>
      <c r="C4447" t="s">
        <v>11328</v>
      </c>
      <c r="D4447" t="s">
        <v>11328</v>
      </c>
      <c r="E4447" t="s">
        <v>11427</v>
      </c>
    </row>
    <row r="4448" spans="1:5" x14ac:dyDescent="0.2">
      <c r="A4448" t="s">
        <v>11428</v>
      </c>
      <c r="B4448" t="s">
        <v>11429</v>
      </c>
      <c r="C4448" t="s">
        <v>11328</v>
      </c>
      <c r="D4448" t="s">
        <v>11328</v>
      </c>
      <c r="E4448" t="s">
        <v>11430</v>
      </c>
    </row>
    <row r="4449" spans="1:5" x14ac:dyDescent="0.2">
      <c r="A4449" t="s">
        <v>11431</v>
      </c>
      <c r="B4449" t="s">
        <v>11432</v>
      </c>
      <c r="C4449" t="s">
        <v>11328</v>
      </c>
      <c r="D4449" t="s">
        <v>11328</v>
      </c>
      <c r="E4449" t="s">
        <v>11401</v>
      </c>
    </row>
    <row r="4450" spans="1:5" x14ac:dyDescent="0.2">
      <c r="A4450" t="s">
        <v>11433</v>
      </c>
      <c r="B4450" t="s">
        <v>11434</v>
      </c>
      <c r="C4450" t="s">
        <v>11328</v>
      </c>
      <c r="D4450" t="s">
        <v>11328</v>
      </c>
      <c r="E4450" t="s">
        <v>11435</v>
      </c>
    </row>
    <row r="4451" spans="1:5" x14ac:dyDescent="0.2">
      <c r="A4451" t="s">
        <v>11436</v>
      </c>
      <c r="B4451" t="s">
        <v>11437</v>
      </c>
      <c r="C4451" t="s">
        <v>11328</v>
      </c>
      <c r="D4451" t="s">
        <v>11328</v>
      </c>
      <c r="E4451" t="s">
        <v>11438</v>
      </c>
    </row>
    <row r="4452" spans="1:5" x14ac:dyDescent="0.2">
      <c r="A4452" t="s">
        <v>11439</v>
      </c>
      <c r="B4452" t="s">
        <v>11440</v>
      </c>
      <c r="C4452" t="s">
        <v>11328</v>
      </c>
      <c r="D4452" t="s">
        <v>11328</v>
      </c>
      <c r="E4452" t="s">
        <v>11441</v>
      </c>
    </row>
    <row r="4453" spans="1:5" x14ac:dyDescent="0.2">
      <c r="A4453" t="s">
        <v>11442</v>
      </c>
      <c r="B4453" t="s">
        <v>11443</v>
      </c>
      <c r="C4453" t="s">
        <v>11328</v>
      </c>
      <c r="D4453" t="s">
        <v>11328</v>
      </c>
      <c r="E4453" t="s">
        <v>11444</v>
      </c>
    </row>
    <row r="4454" spans="1:5" x14ac:dyDescent="0.2">
      <c r="A4454" t="s">
        <v>11445</v>
      </c>
      <c r="B4454" t="s">
        <v>11446</v>
      </c>
      <c r="C4454" t="s">
        <v>11328</v>
      </c>
      <c r="D4454" t="s">
        <v>11328</v>
      </c>
      <c r="E4454" t="s">
        <v>11447</v>
      </c>
    </row>
    <row r="4455" spans="1:5" x14ac:dyDescent="0.2">
      <c r="A4455" t="s">
        <v>11448</v>
      </c>
      <c r="B4455" t="s">
        <v>11449</v>
      </c>
      <c r="C4455" t="s">
        <v>11328</v>
      </c>
      <c r="D4455" t="s">
        <v>11328</v>
      </c>
      <c r="E4455" t="s">
        <v>11450</v>
      </c>
    </row>
    <row r="4456" spans="1:5" x14ac:dyDescent="0.2">
      <c r="A4456" t="s">
        <v>11451</v>
      </c>
      <c r="B4456" t="s">
        <v>11452</v>
      </c>
      <c r="C4456" t="s">
        <v>11328</v>
      </c>
      <c r="D4456" t="s">
        <v>11328</v>
      </c>
      <c r="E4456" t="s">
        <v>11453</v>
      </c>
    </row>
    <row r="4457" spans="1:5" x14ac:dyDescent="0.2">
      <c r="A4457" t="s">
        <v>11454</v>
      </c>
      <c r="B4457" t="s">
        <v>11455</v>
      </c>
      <c r="C4457" t="s">
        <v>11328</v>
      </c>
      <c r="D4457" t="s">
        <v>11328</v>
      </c>
      <c r="E4457" t="s">
        <v>11456</v>
      </c>
    </row>
    <row r="4458" spans="1:5" x14ac:dyDescent="0.2">
      <c r="A4458" t="s">
        <v>11457</v>
      </c>
      <c r="B4458" t="s">
        <v>11458</v>
      </c>
      <c r="C4458" t="s">
        <v>11328</v>
      </c>
      <c r="D4458" t="s">
        <v>11328</v>
      </c>
      <c r="E4458" t="s">
        <v>11450</v>
      </c>
    </row>
    <row r="4459" spans="1:5" x14ac:dyDescent="0.2">
      <c r="A4459" t="s">
        <v>11459</v>
      </c>
      <c r="B4459" t="s">
        <v>11460</v>
      </c>
      <c r="C4459" t="s">
        <v>11328</v>
      </c>
      <c r="D4459" t="s">
        <v>11328</v>
      </c>
      <c r="E4459" t="s">
        <v>11461</v>
      </c>
    </row>
    <row r="4460" spans="1:5" x14ac:dyDescent="0.2">
      <c r="A4460" t="s">
        <v>11462</v>
      </c>
      <c r="B4460" t="s">
        <v>11463</v>
      </c>
      <c r="C4460" t="s">
        <v>11328</v>
      </c>
      <c r="D4460" t="s">
        <v>11328</v>
      </c>
      <c r="E4460" t="s">
        <v>11450</v>
      </c>
    </row>
    <row r="4461" spans="1:5" x14ac:dyDescent="0.2">
      <c r="A4461" t="s">
        <v>11464</v>
      </c>
      <c r="B4461" t="s">
        <v>11465</v>
      </c>
      <c r="C4461" t="s">
        <v>11328</v>
      </c>
      <c r="D4461" t="s">
        <v>11328</v>
      </c>
      <c r="E4461" t="s">
        <v>11389</v>
      </c>
    </row>
    <row r="4462" spans="1:5" x14ac:dyDescent="0.2">
      <c r="A4462" t="s">
        <v>11466</v>
      </c>
      <c r="B4462" t="s">
        <v>11467</v>
      </c>
      <c r="C4462" t="s">
        <v>11328</v>
      </c>
      <c r="D4462" t="s">
        <v>11328</v>
      </c>
      <c r="E4462" t="s">
        <v>11468</v>
      </c>
    </row>
    <row r="4463" spans="1:5" x14ac:dyDescent="0.2">
      <c r="A4463" t="s">
        <v>11469</v>
      </c>
      <c r="B4463" t="s">
        <v>11470</v>
      </c>
      <c r="C4463" t="s">
        <v>11328</v>
      </c>
      <c r="D4463" t="s">
        <v>11328</v>
      </c>
      <c r="E4463" t="s">
        <v>11471</v>
      </c>
    </row>
    <row r="4464" spans="1:5" x14ac:dyDescent="0.2">
      <c r="A4464" t="s">
        <v>11472</v>
      </c>
      <c r="B4464" t="s">
        <v>11473</v>
      </c>
      <c r="C4464" t="s">
        <v>11328</v>
      </c>
      <c r="D4464" t="s">
        <v>11328</v>
      </c>
      <c r="E4464" t="s">
        <v>11474</v>
      </c>
    </row>
    <row r="4465" spans="1:5" x14ac:dyDescent="0.2">
      <c r="A4465" t="s">
        <v>11475</v>
      </c>
      <c r="B4465" t="s">
        <v>11476</v>
      </c>
      <c r="C4465" t="s">
        <v>11328</v>
      </c>
      <c r="D4465" t="s">
        <v>11328</v>
      </c>
      <c r="E4465" t="s">
        <v>11477</v>
      </c>
    </row>
    <row r="4466" spans="1:5" x14ac:dyDescent="0.2">
      <c r="A4466" t="s">
        <v>11478</v>
      </c>
      <c r="B4466" t="s">
        <v>11479</v>
      </c>
      <c r="C4466" t="s">
        <v>11328</v>
      </c>
      <c r="D4466" t="s">
        <v>11328</v>
      </c>
      <c r="E4466" t="s">
        <v>11480</v>
      </c>
    </row>
    <row r="4467" spans="1:5" x14ac:dyDescent="0.2">
      <c r="A4467" t="s">
        <v>11481</v>
      </c>
      <c r="B4467" t="s">
        <v>11482</v>
      </c>
      <c r="C4467" t="s">
        <v>11328</v>
      </c>
      <c r="D4467" t="s">
        <v>11328</v>
      </c>
      <c r="E4467" t="s">
        <v>11483</v>
      </c>
    </row>
    <row r="4468" spans="1:5" x14ac:dyDescent="0.2">
      <c r="A4468" t="s">
        <v>11484</v>
      </c>
      <c r="B4468" t="s">
        <v>11485</v>
      </c>
      <c r="C4468" t="s">
        <v>11328</v>
      </c>
      <c r="D4468" t="s">
        <v>11328</v>
      </c>
      <c r="E4468" t="s">
        <v>11486</v>
      </c>
    </row>
    <row r="4469" spans="1:5" x14ac:dyDescent="0.2">
      <c r="A4469" t="s">
        <v>11487</v>
      </c>
      <c r="B4469" t="s">
        <v>11488</v>
      </c>
      <c r="C4469" t="s">
        <v>11328</v>
      </c>
      <c r="D4469" t="s">
        <v>11328</v>
      </c>
      <c r="E4469" t="s">
        <v>11489</v>
      </c>
    </row>
    <row r="4470" spans="1:5" x14ac:dyDescent="0.2">
      <c r="A4470" t="s">
        <v>11490</v>
      </c>
      <c r="B4470" t="s">
        <v>11491</v>
      </c>
      <c r="C4470" t="s">
        <v>11328</v>
      </c>
      <c r="D4470" t="s">
        <v>11328</v>
      </c>
      <c r="E4470" t="s">
        <v>11492</v>
      </c>
    </row>
    <row r="4471" spans="1:5" x14ac:dyDescent="0.2">
      <c r="A4471" t="s">
        <v>11493</v>
      </c>
      <c r="B4471" t="s">
        <v>11494</v>
      </c>
      <c r="C4471" t="s">
        <v>11328</v>
      </c>
      <c r="D4471" t="s">
        <v>11328</v>
      </c>
      <c r="E4471" t="s">
        <v>11450</v>
      </c>
    </row>
    <row r="4472" spans="1:5" x14ac:dyDescent="0.2">
      <c r="A4472" t="s">
        <v>11495</v>
      </c>
      <c r="B4472" t="s">
        <v>11496</v>
      </c>
      <c r="C4472" t="s">
        <v>11328</v>
      </c>
      <c r="D4472" t="s">
        <v>11328</v>
      </c>
      <c r="E4472" t="s">
        <v>11389</v>
      </c>
    </row>
    <row r="4473" spans="1:5" x14ac:dyDescent="0.2">
      <c r="A4473" t="s">
        <v>11497</v>
      </c>
      <c r="B4473" t="s">
        <v>11498</v>
      </c>
      <c r="C4473" t="s">
        <v>11499</v>
      </c>
      <c r="D4473" t="s">
        <v>11499</v>
      </c>
      <c r="E4473" t="s">
        <v>11500</v>
      </c>
    </row>
    <row r="4474" spans="1:5" x14ac:dyDescent="0.2">
      <c r="A4474" t="s">
        <v>11501</v>
      </c>
      <c r="B4474" t="s">
        <v>11502</v>
      </c>
      <c r="C4474" t="s">
        <v>11499</v>
      </c>
      <c r="D4474" t="s">
        <v>11499</v>
      </c>
      <c r="E4474" t="s">
        <v>11503</v>
      </c>
    </row>
    <row r="4475" spans="1:5" x14ac:dyDescent="0.2">
      <c r="A4475" t="s">
        <v>11504</v>
      </c>
      <c r="B4475" t="s">
        <v>11505</v>
      </c>
      <c r="C4475" t="s">
        <v>11499</v>
      </c>
      <c r="D4475" t="s">
        <v>11499</v>
      </c>
      <c r="E4475" t="s">
        <v>11506</v>
      </c>
    </row>
    <row r="4476" spans="1:5" x14ac:dyDescent="0.2">
      <c r="A4476" t="s">
        <v>11507</v>
      </c>
      <c r="B4476" t="s">
        <v>11508</v>
      </c>
      <c r="C4476" t="s">
        <v>11499</v>
      </c>
      <c r="D4476" t="s">
        <v>11499</v>
      </c>
      <c r="E4476" t="s">
        <v>11509</v>
      </c>
    </row>
    <row r="4477" spans="1:5" x14ac:dyDescent="0.2">
      <c r="A4477" t="s">
        <v>11510</v>
      </c>
      <c r="B4477" t="s">
        <v>11511</v>
      </c>
      <c r="C4477" t="s">
        <v>11499</v>
      </c>
      <c r="D4477" t="s">
        <v>11499</v>
      </c>
      <c r="E4477" t="s">
        <v>11512</v>
      </c>
    </row>
    <row r="4478" spans="1:5" x14ac:dyDescent="0.2">
      <c r="A4478" t="s">
        <v>11513</v>
      </c>
      <c r="B4478" t="s">
        <v>11514</v>
      </c>
      <c r="C4478" t="s">
        <v>11499</v>
      </c>
      <c r="D4478" t="s">
        <v>11499</v>
      </c>
      <c r="E4478" t="s">
        <v>11515</v>
      </c>
    </row>
    <row r="4479" spans="1:5" x14ac:dyDescent="0.2">
      <c r="A4479" t="s">
        <v>11516</v>
      </c>
      <c r="B4479" t="s">
        <v>11517</v>
      </c>
      <c r="C4479" t="s">
        <v>11499</v>
      </c>
      <c r="D4479" t="s">
        <v>11499</v>
      </c>
      <c r="E4479" t="s">
        <v>11518</v>
      </c>
    </row>
    <row r="4480" spans="1:5" x14ac:dyDescent="0.2">
      <c r="A4480" t="s">
        <v>11519</v>
      </c>
      <c r="B4480" t="s">
        <v>11520</v>
      </c>
      <c r="C4480" t="s">
        <v>11499</v>
      </c>
      <c r="D4480" t="s">
        <v>11499</v>
      </c>
      <c r="E4480" t="s">
        <v>11521</v>
      </c>
    </row>
    <row r="4481" spans="1:5" x14ac:dyDescent="0.2">
      <c r="A4481" t="s">
        <v>11522</v>
      </c>
      <c r="B4481" t="s">
        <v>11523</v>
      </c>
      <c r="C4481" t="s">
        <v>11499</v>
      </c>
      <c r="D4481" t="s">
        <v>11499</v>
      </c>
      <c r="E4481" t="s">
        <v>11524</v>
      </c>
    </row>
    <row r="4482" spans="1:5" x14ac:dyDescent="0.2">
      <c r="A4482" t="s">
        <v>11525</v>
      </c>
      <c r="B4482" t="s">
        <v>11526</v>
      </c>
      <c r="C4482" t="s">
        <v>11499</v>
      </c>
      <c r="D4482" t="s">
        <v>11499</v>
      </c>
      <c r="E4482" t="s">
        <v>11527</v>
      </c>
    </row>
    <row r="4483" spans="1:5" x14ac:dyDescent="0.2">
      <c r="A4483" t="s">
        <v>11528</v>
      </c>
      <c r="B4483" t="s">
        <v>11529</v>
      </c>
      <c r="C4483" t="s">
        <v>11499</v>
      </c>
      <c r="D4483" t="s">
        <v>11499</v>
      </c>
      <c r="E4483" t="s">
        <v>11530</v>
      </c>
    </row>
    <row r="4484" spans="1:5" x14ac:dyDescent="0.2">
      <c r="A4484" t="s">
        <v>11531</v>
      </c>
      <c r="B4484" t="s">
        <v>11532</v>
      </c>
      <c r="C4484" t="s">
        <v>11499</v>
      </c>
      <c r="D4484" t="s">
        <v>11499</v>
      </c>
      <c r="E4484" t="s">
        <v>11533</v>
      </c>
    </row>
    <row r="4485" spans="1:5" x14ac:dyDescent="0.2">
      <c r="A4485" t="s">
        <v>11534</v>
      </c>
      <c r="B4485" t="s">
        <v>11535</v>
      </c>
      <c r="C4485" t="s">
        <v>11499</v>
      </c>
      <c r="D4485" t="s">
        <v>11499</v>
      </c>
      <c r="E4485" t="s">
        <v>11536</v>
      </c>
    </row>
    <row r="4486" spans="1:5" x14ac:dyDescent="0.2">
      <c r="A4486" t="s">
        <v>11537</v>
      </c>
      <c r="B4486" t="s">
        <v>11538</v>
      </c>
      <c r="C4486" t="s">
        <v>11499</v>
      </c>
      <c r="D4486" t="s">
        <v>11499</v>
      </c>
      <c r="E4486" t="s">
        <v>11539</v>
      </c>
    </row>
    <row r="4487" spans="1:5" x14ac:dyDescent="0.2">
      <c r="A4487" t="s">
        <v>11540</v>
      </c>
      <c r="B4487" t="s">
        <v>11541</v>
      </c>
      <c r="C4487" t="s">
        <v>11499</v>
      </c>
      <c r="D4487" t="s">
        <v>11499</v>
      </c>
      <c r="E4487" t="s">
        <v>11542</v>
      </c>
    </row>
    <row r="4488" spans="1:5" x14ac:dyDescent="0.2">
      <c r="A4488" t="s">
        <v>11543</v>
      </c>
      <c r="B4488" t="s">
        <v>11544</v>
      </c>
      <c r="C4488" t="s">
        <v>11499</v>
      </c>
      <c r="D4488" t="s">
        <v>11499</v>
      </c>
      <c r="E4488" t="s">
        <v>11506</v>
      </c>
    </row>
    <row r="4489" spans="1:5" x14ac:dyDescent="0.2">
      <c r="A4489" t="s">
        <v>11545</v>
      </c>
      <c r="B4489" t="s">
        <v>11546</v>
      </c>
      <c r="C4489" t="s">
        <v>11499</v>
      </c>
      <c r="D4489" t="s">
        <v>11499</v>
      </c>
      <c r="E4489" t="s">
        <v>11547</v>
      </c>
    </row>
    <row r="4490" spans="1:5" x14ac:dyDescent="0.2">
      <c r="A4490" t="s">
        <v>11548</v>
      </c>
      <c r="B4490" t="s">
        <v>11549</v>
      </c>
      <c r="C4490" t="s">
        <v>11499</v>
      </c>
      <c r="D4490" t="s">
        <v>11499</v>
      </c>
      <c r="E4490" t="s">
        <v>11506</v>
      </c>
    </row>
    <row r="4491" spans="1:5" x14ac:dyDescent="0.2">
      <c r="A4491" t="s">
        <v>11550</v>
      </c>
      <c r="B4491" t="s">
        <v>11551</v>
      </c>
      <c r="C4491" t="s">
        <v>11499</v>
      </c>
      <c r="D4491" t="s">
        <v>11499</v>
      </c>
      <c r="E4491" t="s">
        <v>11552</v>
      </c>
    </row>
    <row r="4492" spans="1:5" x14ac:dyDescent="0.2">
      <c r="A4492" t="s">
        <v>11553</v>
      </c>
      <c r="B4492" t="s">
        <v>11554</v>
      </c>
      <c r="C4492" t="s">
        <v>11499</v>
      </c>
      <c r="D4492" t="s">
        <v>11499</v>
      </c>
      <c r="E4492" t="s">
        <v>11555</v>
      </c>
    </row>
    <row r="4493" spans="1:5" x14ac:dyDescent="0.2">
      <c r="A4493" t="s">
        <v>11556</v>
      </c>
      <c r="B4493" t="s">
        <v>11557</v>
      </c>
      <c r="C4493" t="s">
        <v>11499</v>
      </c>
      <c r="D4493" t="s">
        <v>11499</v>
      </c>
      <c r="E4493" t="s">
        <v>11558</v>
      </c>
    </row>
    <row r="4494" spans="1:5" x14ac:dyDescent="0.2">
      <c r="A4494" t="s">
        <v>11559</v>
      </c>
      <c r="B4494" t="s">
        <v>11560</v>
      </c>
      <c r="C4494" t="s">
        <v>11499</v>
      </c>
      <c r="D4494" t="s">
        <v>11499</v>
      </c>
      <c r="E4494" t="s">
        <v>11561</v>
      </c>
    </row>
    <row r="4495" spans="1:5" x14ac:dyDescent="0.2">
      <c r="A4495" t="s">
        <v>11562</v>
      </c>
      <c r="B4495" t="s">
        <v>11563</v>
      </c>
      <c r="C4495" t="s">
        <v>11499</v>
      </c>
      <c r="D4495" t="s">
        <v>11499</v>
      </c>
      <c r="E4495" t="s">
        <v>11564</v>
      </c>
    </row>
    <row r="4496" spans="1:5" x14ac:dyDescent="0.2">
      <c r="A4496" t="s">
        <v>11565</v>
      </c>
      <c r="B4496" t="s">
        <v>11566</v>
      </c>
      <c r="C4496" t="s">
        <v>11499</v>
      </c>
      <c r="D4496" t="s">
        <v>11499</v>
      </c>
      <c r="E4496" t="s">
        <v>11552</v>
      </c>
    </row>
    <row r="4497" spans="1:5" x14ac:dyDescent="0.2">
      <c r="A4497" t="s">
        <v>11567</v>
      </c>
      <c r="B4497" t="s">
        <v>11568</v>
      </c>
      <c r="C4497" t="s">
        <v>11499</v>
      </c>
      <c r="D4497" t="s">
        <v>11499</v>
      </c>
      <c r="E4497" t="s">
        <v>11555</v>
      </c>
    </row>
    <row r="4498" spans="1:5" x14ac:dyDescent="0.2">
      <c r="A4498" t="s">
        <v>11569</v>
      </c>
      <c r="B4498" t="s">
        <v>11570</v>
      </c>
      <c r="C4498" t="s">
        <v>11499</v>
      </c>
      <c r="D4498" t="s">
        <v>11499</v>
      </c>
      <c r="E4498" t="s">
        <v>11571</v>
      </c>
    </row>
    <row r="4499" spans="1:5" x14ac:dyDescent="0.2">
      <c r="A4499" t="s">
        <v>11572</v>
      </c>
      <c r="B4499" t="s">
        <v>11573</v>
      </c>
      <c r="C4499" t="s">
        <v>11499</v>
      </c>
      <c r="D4499" t="s">
        <v>11499</v>
      </c>
      <c r="E4499" t="s">
        <v>11552</v>
      </c>
    </row>
    <row r="4500" spans="1:5" x14ac:dyDescent="0.2">
      <c r="A4500" t="s">
        <v>11574</v>
      </c>
      <c r="B4500" t="s">
        <v>11575</v>
      </c>
      <c r="C4500" t="s">
        <v>11499</v>
      </c>
      <c r="D4500" t="s">
        <v>11499</v>
      </c>
      <c r="E4500" t="s">
        <v>11555</v>
      </c>
    </row>
    <row r="4501" spans="1:5" x14ac:dyDescent="0.2">
      <c r="A4501" t="s">
        <v>11576</v>
      </c>
      <c r="B4501" t="s">
        <v>11577</v>
      </c>
      <c r="C4501" t="s">
        <v>11499</v>
      </c>
      <c r="D4501" t="s">
        <v>11499</v>
      </c>
      <c r="E4501" t="s">
        <v>11578</v>
      </c>
    </row>
    <row r="4502" spans="1:5" x14ac:dyDescent="0.2">
      <c r="A4502" t="s">
        <v>11579</v>
      </c>
      <c r="B4502" t="s">
        <v>11580</v>
      </c>
      <c r="C4502" t="s">
        <v>11499</v>
      </c>
      <c r="D4502" t="s">
        <v>11499</v>
      </c>
      <c r="E4502" t="s">
        <v>11555</v>
      </c>
    </row>
    <row r="4503" spans="1:5" x14ac:dyDescent="0.2">
      <c r="A4503" t="s">
        <v>11581</v>
      </c>
      <c r="B4503" t="s">
        <v>11582</v>
      </c>
      <c r="C4503" t="s">
        <v>11499</v>
      </c>
      <c r="D4503" t="s">
        <v>11499</v>
      </c>
      <c r="E4503" t="s">
        <v>11583</v>
      </c>
    </row>
    <row r="4504" spans="1:5" x14ac:dyDescent="0.2">
      <c r="A4504" t="s">
        <v>11584</v>
      </c>
      <c r="B4504" t="s">
        <v>11585</v>
      </c>
      <c r="C4504" t="s">
        <v>11499</v>
      </c>
      <c r="D4504" t="s">
        <v>11499</v>
      </c>
      <c r="E4504" t="s">
        <v>11586</v>
      </c>
    </row>
    <row r="4505" spans="1:5" x14ac:dyDescent="0.2">
      <c r="A4505" t="s">
        <v>11587</v>
      </c>
      <c r="B4505" t="s">
        <v>11588</v>
      </c>
      <c r="C4505" t="s">
        <v>11499</v>
      </c>
      <c r="D4505" t="s">
        <v>11499</v>
      </c>
      <c r="E4505" t="s">
        <v>11506</v>
      </c>
    </row>
    <row r="4506" spans="1:5" x14ac:dyDescent="0.2">
      <c r="A4506" t="s">
        <v>11589</v>
      </c>
      <c r="B4506" t="s">
        <v>11590</v>
      </c>
      <c r="C4506" t="s">
        <v>11591</v>
      </c>
      <c r="D4506" t="s">
        <v>11591</v>
      </c>
      <c r="E4506" t="s">
        <v>11592</v>
      </c>
    </row>
    <row r="4507" spans="1:5" x14ac:dyDescent="0.2">
      <c r="A4507" t="s">
        <v>11593</v>
      </c>
      <c r="B4507" t="s">
        <v>11594</v>
      </c>
      <c r="C4507" t="s">
        <v>11591</v>
      </c>
      <c r="D4507" t="s">
        <v>11591</v>
      </c>
      <c r="E4507" t="s">
        <v>11595</v>
      </c>
    </row>
    <row r="4508" spans="1:5" x14ac:dyDescent="0.2">
      <c r="A4508" t="s">
        <v>11596</v>
      </c>
      <c r="B4508" t="s">
        <v>11597</v>
      </c>
      <c r="C4508" t="s">
        <v>11591</v>
      </c>
      <c r="D4508" t="s">
        <v>11591</v>
      </c>
      <c r="E4508" t="s">
        <v>11598</v>
      </c>
    </row>
    <row r="4509" spans="1:5" x14ac:dyDescent="0.2">
      <c r="A4509" t="s">
        <v>11599</v>
      </c>
      <c r="B4509" t="s">
        <v>11600</v>
      </c>
      <c r="C4509" t="s">
        <v>11591</v>
      </c>
      <c r="D4509" t="s">
        <v>11591</v>
      </c>
      <c r="E4509" t="s">
        <v>11595</v>
      </c>
    </row>
    <row r="4510" spans="1:5" x14ac:dyDescent="0.2">
      <c r="A4510" t="s">
        <v>11601</v>
      </c>
      <c r="B4510" t="s">
        <v>11602</v>
      </c>
      <c r="C4510" t="s">
        <v>11591</v>
      </c>
      <c r="D4510" t="s">
        <v>11591</v>
      </c>
      <c r="E4510" t="s">
        <v>11603</v>
      </c>
    </row>
    <row r="4511" spans="1:5" x14ac:dyDescent="0.2">
      <c r="A4511" t="s">
        <v>11604</v>
      </c>
      <c r="B4511" t="s">
        <v>11605</v>
      </c>
      <c r="C4511" t="s">
        <v>11591</v>
      </c>
      <c r="D4511" t="s">
        <v>11591</v>
      </c>
      <c r="E4511" t="s">
        <v>11603</v>
      </c>
    </row>
    <row r="4512" spans="1:5" x14ac:dyDescent="0.2">
      <c r="A4512" t="s">
        <v>11606</v>
      </c>
      <c r="B4512" t="s">
        <v>11607</v>
      </c>
      <c r="C4512" t="s">
        <v>11591</v>
      </c>
      <c r="D4512" t="s">
        <v>11591</v>
      </c>
      <c r="E4512" t="s">
        <v>11595</v>
      </c>
    </row>
    <row r="4513" spans="1:5" x14ac:dyDescent="0.2">
      <c r="A4513" t="s">
        <v>11608</v>
      </c>
      <c r="B4513" t="s">
        <v>11609</v>
      </c>
      <c r="C4513" t="s">
        <v>11591</v>
      </c>
      <c r="D4513" t="s">
        <v>11591</v>
      </c>
      <c r="E4513" t="s">
        <v>104</v>
      </c>
    </row>
    <row r="4514" spans="1:5" x14ac:dyDescent="0.2">
      <c r="A4514" t="s">
        <v>11610</v>
      </c>
      <c r="B4514" t="s">
        <v>11611</v>
      </c>
      <c r="C4514" t="s">
        <v>11591</v>
      </c>
      <c r="D4514" t="s">
        <v>11591</v>
      </c>
      <c r="E4514" t="s">
        <v>11612</v>
      </c>
    </row>
    <row r="4515" spans="1:5" x14ac:dyDescent="0.2">
      <c r="A4515" t="s">
        <v>11613</v>
      </c>
      <c r="B4515" t="s">
        <v>11614</v>
      </c>
      <c r="C4515" t="s">
        <v>11591</v>
      </c>
      <c r="D4515" t="s">
        <v>11591</v>
      </c>
      <c r="E4515" t="s">
        <v>11603</v>
      </c>
    </row>
    <row r="4516" spans="1:5" x14ac:dyDescent="0.2">
      <c r="A4516" t="s">
        <v>11615</v>
      </c>
      <c r="B4516" t="s">
        <v>11616</v>
      </c>
      <c r="C4516" t="s">
        <v>11591</v>
      </c>
      <c r="D4516" t="s">
        <v>11591</v>
      </c>
      <c r="E4516" t="s">
        <v>11603</v>
      </c>
    </row>
    <row r="4517" spans="1:5" x14ac:dyDescent="0.2">
      <c r="A4517" t="s">
        <v>11617</v>
      </c>
      <c r="B4517" t="s">
        <v>11618</v>
      </c>
      <c r="C4517" t="s">
        <v>11591</v>
      </c>
      <c r="D4517" t="s">
        <v>11591</v>
      </c>
      <c r="E4517" t="s">
        <v>11619</v>
      </c>
    </row>
    <row r="4518" spans="1:5" x14ac:dyDescent="0.2">
      <c r="A4518" t="s">
        <v>11620</v>
      </c>
      <c r="B4518" t="s">
        <v>11621</v>
      </c>
      <c r="C4518" t="s">
        <v>11591</v>
      </c>
      <c r="D4518" t="s">
        <v>11591</v>
      </c>
      <c r="E4518" t="s">
        <v>11595</v>
      </c>
    </row>
    <row r="4519" spans="1:5" x14ac:dyDescent="0.2">
      <c r="A4519" t="s">
        <v>11622</v>
      </c>
      <c r="B4519" t="s">
        <v>11623</v>
      </c>
      <c r="C4519" t="s">
        <v>11591</v>
      </c>
      <c r="D4519" t="s">
        <v>11591</v>
      </c>
      <c r="E4519" t="s">
        <v>11624</v>
      </c>
    </row>
    <row r="4520" spans="1:5" x14ac:dyDescent="0.2">
      <c r="A4520" t="s">
        <v>11625</v>
      </c>
      <c r="B4520" t="s">
        <v>11626</v>
      </c>
      <c r="C4520" t="s">
        <v>11591</v>
      </c>
      <c r="D4520" t="s">
        <v>11591</v>
      </c>
      <c r="E4520" t="s">
        <v>11627</v>
      </c>
    </row>
    <row r="4521" spans="1:5" x14ac:dyDescent="0.2">
      <c r="A4521" t="s">
        <v>11628</v>
      </c>
      <c r="B4521" t="s">
        <v>11629</v>
      </c>
      <c r="C4521" t="s">
        <v>11591</v>
      </c>
      <c r="D4521" t="s">
        <v>11591</v>
      </c>
      <c r="E4521" t="s">
        <v>11603</v>
      </c>
    </row>
    <row r="4522" spans="1:5" x14ac:dyDescent="0.2">
      <c r="A4522" t="s">
        <v>11630</v>
      </c>
      <c r="B4522" t="s">
        <v>11631</v>
      </c>
      <c r="C4522" t="s">
        <v>11591</v>
      </c>
      <c r="D4522" t="s">
        <v>11591</v>
      </c>
      <c r="E4522" t="s">
        <v>11603</v>
      </c>
    </row>
    <row r="4523" spans="1:5" x14ac:dyDescent="0.2">
      <c r="A4523" t="s">
        <v>11632</v>
      </c>
      <c r="B4523" t="s">
        <v>11633</v>
      </c>
      <c r="C4523" t="s">
        <v>11591</v>
      </c>
      <c r="D4523" t="s">
        <v>11591</v>
      </c>
      <c r="E4523" t="s">
        <v>11634</v>
      </c>
    </row>
    <row r="4524" spans="1:5" x14ac:dyDescent="0.2">
      <c r="A4524" t="s">
        <v>11635</v>
      </c>
      <c r="B4524" t="s">
        <v>11636</v>
      </c>
      <c r="C4524" t="s">
        <v>11591</v>
      </c>
      <c r="D4524" t="s">
        <v>11591</v>
      </c>
      <c r="E4524" t="s">
        <v>11612</v>
      </c>
    </row>
    <row r="4525" spans="1:5" x14ac:dyDescent="0.2">
      <c r="A4525" t="s">
        <v>11637</v>
      </c>
      <c r="B4525" t="s">
        <v>11638</v>
      </c>
      <c r="C4525" t="s">
        <v>11591</v>
      </c>
      <c r="D4525" t="s">
        <v>11591</v>
      </c>
      <c r="E4525" t="s">
        <v>11595</v>
      </c>
    </row>
    <row r="4526" spans="1:5" x14ac:dyDescent="0.2">
      <c r="A4526" t="s">
        <v>11639</v>
      </c>
      <c r="B4526" t="s">
        <v>11640</v>
      </c>
      <c r="C4526" t="s">
        <v>11591</v>
      </c>
      <c r="D4526" t="s">
        <v>11591</v>
      </c>
      <c r="E4526" t="s">
        <v>11641</v>
      </c>
    </row>
    <row r="4527" spans="1:5" x14ac:dyDescent="0.2">
      <c r="A4527" t="s">
        <v>11642</v>
      </c>
      <c r="B4527" t="s">
        <v>11643</v>
      </c>
      <c r="C4527" t="s">
        <v>11591</v>
      </c>
      <c r="D4527" t="s">
        <v>11591</v>
      </c>
      <c r="E4527" t="s">
        <v>11612</v>
      </c>
    </row>
    <row r="4528" spans="1:5" x14ac:dyDescent="0.2">
      <c r="A4528" t="s">
        <v>11644</v>
      </c>
      <c r="B4528" t="s">
        <v>11645</v>
      </c>
      <c r="C4528" t="s">
        <v>11591</v>
      </c>
      <c r="D4528" t="s">
        <v>11591</v>
      </c>
      <c r="E4528" t="s">
        <v>11603</v>
      </c>
    </row>
    <row r="4529" spans="1:5" x14ac:dyDescent="0.2">
      <c r="A4529" t="s">
        <v>11646</v>
      </c>
      <c r="B4529" t="s">
        <v>11647</v>
      </c>
      <c r="C4529" t="s">
        <v>11591</v>
      </c>
      <c r="D4529" t="s">
        <v>11591</v>
      </c>
      <c r="E4529" t="s">
        <v>11648</v>
      </c>
    </row>
    <row r="4530" spans="1:5" x14ac:dyDescent="0.2">
      <c r="A4530" t="s">
        <v>11649</v>
      </c>
      <c r="B4530" t="s">
        <v>11650</v>
      </c>
      <c r="C4530" t="s">
        <v>11591</v>
      </c>
      <c r="D4530" t="s">
        <v>11591</v>
      </c>
      <c r="E4530" t="s">
        <v>11603</v>
      </c>
    </row>
    <row r="4531" spans="1:5" x14ac:dyDescent="0.2">
      <c r="A4531" t="s">
        <v>11651</v>
      </c>
      <c r="B4531" t="s">
        <v>11652</v>
      </c>
      <c r="C4531" t="s">
        <v>11591</v>
      </c>
      <c r="D4531" t="s">
        <v>11591</v>
      </c>
      <c r="E4531" t="s">
        <v>11595</v>
      </c>
    </row>
    <row r="4532" spans="1:5" x14ac:dyDescent="0.2">
      <c r="A4532" t="s">
        <v>11653</v>
      </c>
      <c r="B4532" t="s">
        <v>11654</v>
      </c>
      <c r="C4532" t="s">
        <v>11591</v>
      </c>
      <c r="D4532" t="s">
        <v>11591</v>
      </c>
      <c r="E4532" t="s">
        <v>11655</v>
      </c>
    </row>
    <row r="4533" spans="1:5" x14ac:dyDescent="0.2">
      <c r="A4533" t="s">
        <v>11656</v>
      </c>
      <c r="B4533" t="s">
        <v>11657</v>
      </c>
      <c r="C4533" t="s">
        <v>11591</v>
      </c>
      <c r="D4533" t="s">
        <v>11591</v>
      </c>
      <c r="E4533" t="s">
        <v>11595</v>
      </c>
    </row>
    <row r="4534" spans="1:5" x14ac:dyDescent="0.2">
      <c r="A4534" t="s">
        <v>11658</v>
      </c>
      <c r="B4534" t="s">
        <v>11659</v>
      </c>
      <c r="C4534" t="s">
        <v>11591</v>
      </c>
      <c r="D4534" t="s">
        <v>11591</v>
      </c>
      <c r="E4534" t="s">
        <v>11612</v>
      </c>
    </row>
    <row r="4535" spans="1:5" x14ac:dyDescent="0.2">
      <c r="A4535" t="s">
        <v>11660</v>
      </c>
      <c r="B4535" t="s">
        <v>11661</v>
      </c>
      <c r="C4535" t="s">
        <v>11591</v>
      </c>
      <c r="D4535" t="s">
        <v>11591</v>
      </c>
      <c r="E4535" t="s">
        <v>11662</v>
      </c>
    </row>
    <row r="4536" spans="1:5" x14ac:dyDescent="0.2">
      <c r="A4536" t="s">
        <v>11663</v>
      </c>
      <c r="B4536" t="s">
        <v>11664</v>
      </c>
      <c r="C4536" t="s">
        <v>11591</v>
      </c>
      <c r="D4536" t="s">
        <v>11591</v>
      </c>
      <c r="E4536" t="s">
        <v>11595</v>
      </c>
    </row>
    <row r="4537" spans="1:5" x14ac:dyDescent="0.2">
      <c r="A4537" t="s">
        <v>11665</v>
      </c>
      <c r="B4537" t="s">
        <v>11666</v>
      </c>
      <c r="C4537" t="s">
        <v>11591</v>
      </c>
      <c r="D4537" t="s">
        <v>11591</v>
      </c>
      <c r="E4537" t="s">
        <v>11595</v>
      </c>
    </row>
    <row r="4538" spans="1:5" x14ac:dyDescent="0.2">
      <c r="A4538" t="s">
        <v>11667</v>
      </c>
      <c r="B4538" t="s">
        <v>11668</v>
      </c>
      <c r="C4538" t="s">
        <v>11591</v>
      </c>
      <c r="D4538" t="s">
        <v>11591</v>
      </c>
      <c r="E4538" t="s">
        <v>11612</v>
      </c>
    </row>
    <row r="4539" spans="1:5" x14ac:dyDescent="0.2">
      <c r="A4539" t="s">
        <v>11669</v>
      </c>
      <c r="B4539" t="s">
        <v>11670</v>
      </c>
      <c r="C4539" t="s">
        <v>11591</v>
      </c>
      <c r="D4539" t="s">
        <v>11591</v>
      </c>
      <c r="E4539" t="s">
        <v>11595</v>
      </c>
    </row>
    <row r="4540" spans="1:5" x14ac:dyDescent="0.2">
      <c r="A4540" t="s">
        <v>11671</v>
      </c>
      <c r="B4540" t="s">
        <v>11672</v>
      </c>
      <c r="C4540" t="s">
        <v>11591</v>
      </c>
      <c r="D4540" t="s">
        <v>11591</v>
      </c>
      <c r="E4540" t="s">
        <v>11673</v>
      </c>
    </row>
    <row r="4541" spans="1:5" x14ac:dyDescent="0.2">
      <c r="A4541" t="s">
        <v>11674</v>
      </c>
      <c r="B4541" t="s">
        <v>11675</v>
      </c>
      <c r="C4541" t="s">
        <v>11591</v>
      </c>
      <c r="D4541" t="s">
        <v>11591</v>
      </c>
      <c r="E4541" t="s">
        <v>11676</v>
      </c>
    </row>
    <row r="4542" spans="1:5" x14ac:dyDescent="0.2">
      <c r="A4542" t="s">
        <v>11677</v>
      </c>
      <c r="B4542" t="s">
        <v>11678</v>
      </c>
      <c r="C4542" t="s">
        <v>11591</v>
      </c>
      <c r="D4542" t="s">
        <v>11591</v>
      </c>
      <c r="E4542" t="s">
        <v>11595</v>
      </c>
    </row>
    <row r="4543" spans="1:5" x14ac:dyDescent="0.2">
      <c r="A4543" t="s">
        <v>11679</v>
      </c>
      <c r="B4543" t="s">
        <v>11680</v>
      </c>
      <c r="C4543" t="s">
        <v>11591</v>
      </c>
      <c r="D4543" t="s">
        <v>11591</v>
      </c>
      <c r="E4543" t="s">
        <v>11603</v>
      </c>
    </row>
    <row r="4544" spans="1:5" x14ac:dyDescent="0.2">
      <c r="A4544" t="s">
        <v>11681</v>
      </c>
      <c r="B4544" t="s">
        <v>11682</v>
      </c>
      <c r="C4544" t="s">
        <v>11591</v>
      </c>
      <c r="D4544" t="s">
        <v>11591</v>
      </c>
      <c r="E4544" t="s">
        <v>11683</v>
      </c>
    </row>
    <row r="4545" spans="1:5" x14ac:dyDescent="0.2">
      <c r="A4545" t="s">
        <v>11684</v>
      </c>
      <c r="B4545" t="s">
        <v>11685</v>
      </c>
      <c r="C4545" t="s">
        <v>11591</v>
      </c>
      <c r="D4545" t="s">
        <v>11591</v>
      </c>
      <c r="E4545" t="s">
        <v>11595</v>
      </c>
    </row>
    <row r="4546" spans="1:5" x14ac:dyDescent="0.2">
      <c r="A4546" t="s">
        <v>11686</v>
      </c>
      <c r="B4546" t="s">
        <v>11687</v>
      </c>
      <c r="C4546" t="s">
        <v>11591</v>
      </c>
      <c r="D4546" t="s">
        <v>11591</v>
      </c>
      <c r="E4546" t="s">
        <v>11595</v>
      </c>
    </row>
    <row r="4547" spans="1:5" x14ac:dyDescent="0.2">
      <c r="A4547" t="s">
        <v>11688</v>
      </c>
      <c r="B4547" t="s">
        <v>11689</v>
      </c>
      <c r="C4547" t="s">
        <v>11591</v>
      </c>
      <c r="D4547" t="s">
        <v>11591</v>
      </c>
      <c r="E4547" t="s">
        <v>11690</v>
      </c>
    </row>
    <row r="4548" spans="1:5" x14ac:dyDescent="0.2">
      <c r="A4548" t="s">
        <v>11691</v>
      </c>
      <c r="B4548" t="s">
        <v>11692</v>
      </c>
      <c r="C4548" t="s">
        <v>11591</v>
      </c>
      <c r="D4548" t="s">
        <v>11591</v>
      </c>
      <c r="E4548" t="s">
        <v>11595</v>
      </c>
    </row>
    <row r="4549" spans="1:5" x14ac:dyDescent="0.2">
      <c r="A4549" t="s">
        <v>11693</v>
      </c>
      <c r="B4549" t="s">
        <v>11694</v>
      </c>
      <c r="C4549" t="s">
        <v>11591</v>
      </c>
      <c r="D4549" t="s">
        <v>11591</v>
      </c>
      <c r="E4549" t="s">
        <v>11612</v>
      </c>
    </row>
    <row r="4550" spans="1:5" x14ac:dyDescent="0.2">
      <c r="A4550" t="s">
        <v>11695</v>
      </c>
      <c r="B4550" t="s">
        <v>11696</v>
      </c>
      <c r="C4550" t="s">
        <v>11591</v>
      </c>
      <c r="D4550" t="s">
        <v>11591</v>
      </c>
      <c r="E4550" t="s">
        <v>11697</v>
      </c>
    </row>
    <row r="4551" spans="1:5" x14ac:dyDescent="0.2">
      <c r="A4551" t="s">
        <v>11698</v>
      </c>
      <c r="B4551" t="s">
        <v>11699</v>
      </c>
      <c r="C4551" t="s">
        <v>11591</v>
      </c>
      <c r="D4551" t="s">
        <v>11591</v>
      </c>
      <c r="E4551" t="s">
        <v>11595</v>
      </c>
    </row>
    <row r="4552" spans="1:5" x14ac:dyDescent="0.2">
      <c r="A4552" t="s">
        <v>11700</v>
      </c>
      <c r="B4552" t="s">
        <v>11701</v>
      </c>
      <c r="C4552" t="s">
        <v>11591</v>
      </c>
      <c r="D4552" t="s">
        <v>11591</v>
      </c>
      <c r="E4552" t="s">
        <v>11612</v>
      </c>
    </row>
    <row r="4553" spans="1:5" x14ac:dyDescent="0.2">
      <c r="A4553" t="s">
        <v>11702</v>
      </c>
      <c r="B4553" t="s">
        <v>11703</v>
      </c>
      <c r="C4553" t="s">
        <v>11591</v>
      </c>
      <c r="D4553" t="s">
        <v>11591</v>
      </c>
      <c r="E4553" t="s">
        <v>11704</v>
      </c>
    </row>
    <row r="4554" spans="1:5" x14ac:dyDescent="0.2">
      <c r="A4554" t="s">
        <v>11705</v>
      </c>
      <c r="B4554" t="s">
        <v>11706</v>
      </c>
      <c r="C4554" t="s">
        <v>11591</v>
      </c>
      <c r="D4554" t="s">
        <v>11591</v>
      </c>
      <c r="E4554" t="s">
        <v>11707</v>
      </c>
    </row>
    <row r="4555" spans="1:5" x14ac:dyDescent="0.2">
      <c r="A4555" t="s">
        <v>11708</v>
      </c>
      <c r="B4555" t="s">
        <v>11709</v>
      </c>
      <c r="C4555" t="s">
        <v>11591</v>
      </c>
      <c r="D4555" t="s">
        <v>11591</v>
      </c>
      <c r="E4555" t="s">
        <v>11710</v>
      </c>
    </row>
    <row r="4556" spans="1:5" x14ac:dyDescent="0.2">
      <c r="A4556" t="s">
        <v>11711</v>
      </c>
      <c r="B4556" t="s">
        <v>11712</v>
      </c>
      <c r="C4556" t="s">
        <v>11591</v>
      </c>
      <c r="D4556" t="s">
        <v>11591</v>
      </c>
      <c r="E4556" t="s">
        <v>11595</v>
      </c>
    </row>
    <row r="4557" spans="1:5" x14ac:dyDescent="0.2">
      <c r="A4557" t="s">
        <v>11713</v>
      </c>
      <c r="B4557" t="s">
        <v>11714</v>
      </c>
      <c r="C4557" t="s">
        <v>11591</v>
      </c>
      <c r="D4557" t="s">
        <v>11591</v>
      </c>
      <c r="E4557" t="s">
        <v>11715</v>
      </c>
    </row>
    <row r="4558" spans="1:5" x14ac:dyDescent="0.2">
      <c r="A4558" t="s">
        <v>11716</v>
      </c>
      <c r="B4558" t="s">
        <v>11717</v>
      </c>
      <c r="C4558" t="s">
        <v>11591</v>
      </c>
      <c r="D4558" t="s">
        <v>11591</v>
      </c>
      <c r="E4558" t="s">
        <v>11718</v>
      </c>
    </row>
    <row r="4559" spans="1:5" x14ac:dyDescent="0.2">
      <c r="A4559" t="s">
        <v>11719</v>
      </c>
      <c r="B4559" t="s">
        <v>11720</v>
      </c>
      <c r="C4559" t="s">
        <v>11591</v>
      </c>
      <c r="D4559" t="s">
        <v>11591</v>
      </c>
      <c r="E4559" t="s">
        <v>11603</v>
      </c>
    </row>
    <row r="4560" spans="1:5" x14ac:dyDescent="0.2">
      <c r="A4560" t="s">
        <v>11721</v>
      </c>
      <c r="B4560" t="s">
        <v>11722</v>
      </c>
      <c r="C4560" t="s">
        <v>11591</v>
      </c>
      <c r="D4560" t="s">
        <v>11591</v>
      </c>
      <c r="E4560" t="s">
        <v>11603</v>
      </c>
    </row>
    <row r="4561" spans="1:5" x14ac:dyDescent="0.2">
      <c r="A4561" t="s">
        <v>11723</v>
      </c>
      <c r="B4561" t="s">
        <v>11724</v>
      </c>
      <c r="C4561" t="s">
        <v>11591</v>
      </c>
      <c r="D4561" t="s">
        <v>11591</v>
      </c>
      <c r="E4561" t="s">
        <v>11595</v>
      </c>
    </row>
    <row r="4562" spans="1:5" x14ac:dyDescent="0.2">
      <c r="A4562" t="s">
        <v>11725</v>
      </c>
      <c r="B4562" t="s">
        <v>11726</v>
      </c>
      <c r="C4562" t="s">
        <v>11591</v>
      </c>
      <c r="D4562" t="s">
        <v>11591</v>
      </c>
      <c r="E4562" t="s">
        <v>11727</v>
      </c>
    </row>
    <row r="4563" spans="1:5" x14ac:dyDescent="0.2">
      <c r="A4563" t="s">
        <v>11728</v>
      </c>
      <c r="B4563" t="s">
        <v>11729</v>
      </c>
      <c r="C4563" t="s">
        <v>11591</v>
      </c>
      <c r="D4563" t="s">
        <v>11591</v>
      </c>
      <c r="E4563" t="s">
        <v>11730</v>
      </c>
    </row>
    <row r="4564" spans="1:5" x14ac:dyDescent="0.2">
      <c r="A4564" t="s">
        <v>11731</v>
      </c>
      <c r="B4564" t="s">
        <v>11732</v>
      </c>
      <c r="C4564" t="s">
        <v>11591</v>
      </c>
      <c r="D4564" t="s">
        <v>11591</v>
      </c>
      <c r="E4564" t="s">
        <v>11733</v>
      </c>
    </row>
    <row r="4565" spans="1:5" x14ac:dyDescent="0.2">
      <c r="A4565" t="s">
        <v>11734</v>
      </c>
      <c r="B4565" t="s">
        <v>11735</v>
      </c>
      <c r="C4565" t="s">
        <v>11591</v>
      </c>
      <c r="D4565" t="s">
        <v>11591</v>
      </c>
      <c r="E4565" t="s">
        <v>11603</v>
      </c>
    </row>
    <row r="4566" spans="1:5" x14ac:dyDescent="0.2">
      <c r="A4566" t="s">
        <v>11736</v>
      </c>
      <c r="B4566" t="s">
        <v>11737</v>
      </c>
      <c r="C4566" t="s">
        <v>11738</v>
      </c>
      <c r="D4566" t="s">
        <v>11738</v>
      </c>
      <c r="E4566" t="s">
        <v>11739</v>
      </c>
    </row>
    <row r="4567" spans="1:5" x14ac:dyDescent="0.2">
      <c r="A4567" t="s">
        <v>11740</v>
      </c>
      <c r="B4567" t="s">
        <v>11741</v>
      </c>
      <c r="C4567" t="s">
        <v>11738</v>
      </c>
      <c r="D4567" t="s">
        <v>11738</v>
      </c>
      <c r="E4567" t="s">
        <v>11742</v>
      </c>
    </row>
    <row r="4568" spans="1:5" x14ac:dyDescent="0.2">
      <c r="A4568" t="s">
        <v>11743</v>
      </c>
      <c r="B4568" t="s">
        <v>11744</v>
      </c>
      <c r="C4568" t="s">
        <v>11738</v>
      </c>
      <c r="D4568" t="s">
        <v>11738</v>
      </c>
      <c r="E4568" t="s">
        <v>11745</v>
      </c>
    </row>
    <row r="4569" spans="1:5" x14ac:dyDescent="0.2">
      <c r="A4569" t="s">
        <v>11746</v>
      </c>
      <c r="B4569" t="s">
        <v>11747</v>
      </c>
      <c r="C4569" t="s">
        <v>11738</v>
      </c>
      <c r="D4569" t="s">
        <v>11738</v>
      </c>
      <c r="E4569" t="s">
        <v>11748</v>
      </c>
    </row>
    <row r="4570" spans="1:5" x14ac:dyDescent="0.2">
      <c r="A4570" t="s">
        <v>11749</v>
      </c>
      <c r="B4570" t="s">
        <v>11750</v>
      </c>
      <c r="C4570" t="s">
        <v>11738</v>
      </c>
      <c r="D4570" t="s">
        <v>11738</v>
      </c>
      <c r="E4570" t="s">
        <v>11748</v>
      </c>
    </row>
    <row r="4571" spans="1:5" x14ac:dyDescent="0.2">
      <c r="A4571" t="s">
        <v>11751</v>
      </c>
      <c r="B4571" t="s">
        <v>11752</v>
      </c>
      <c r="C4571" t="s">
        <v>11738</v>
      </c>
      <c r="D4571" t="s">
        <v>11738</v>
      </c>
      <c r="E4571" t="s">
        <v>11753</v>
      </c>
    </row>
    <row r="4572" spans="1:5" x14ac:dyDescent="0.2">
      <c r="A4572" t="s">
        <v>11754</v>
      </c>
      <c r="B4572" t="s">
        <v>11755</v>
      </c>
      <c r="C4572" t="s">
        <v>11738</v>
      </c>
      <c r="D4572" t="s">
        <v>11738</v>
      </c>
      <c r="E4572" t="s">
        <v>11756</v>
      </c>
    </row>
    <row r="4573" spans="1:5" x14ac:dyDescent="0.2">
      <c r="A4573" t="s">
        <v>11757</v>
      </c>
      <c r="B4573" t="s">
        <v>11758</v>
      </c>
      <c r="C4573" t="s">
        <v>11738</v>
      </c>
      <c r="D4573" t="s">
        <v>11738</v>
      </c>
      <c r="E4573" t="s">
        <v>11753</v>
      </c>
    </row>
    <row r="4574" spans="1:5" x14ac:dyDescent="0.2">
      <c r="A4574" t="s">
        <v>11759</v>
      </c>
      <c r="B4574" t="s">
        <v>11760</v>
      </c>
      <c r="C4574" t="s">
        <v>11738</v>
      </c>
      <c r="D4574" t="s">
        <v>11738</v>
      </c>
      <c r="E4574" t="s">
        <v>11761</v>
      </c>
    </row>
    <row r="4575" spans="1:5" x14ac:dyDescent="0.2">
      <c r="A4575" t="s">
        <v>11762</v>
      </c>
      <c r="B4575" t="s">
        <v>11763</v>
      </c>
      <c r="C4575" t="s">
        <v>11738</v>
      </c>
      <c r="D4575" t="s">
        <v>11738</v>
      </c>
      <c r="E4575" t="s">
        <v>11764</v>
      </c>
    </row>
    <row r="4576" spans="1:5" x14ac:dyDescent="0.2">
      <c r="A4576" t="s">
        <v>11765</v>
      </c>
      <c r="B4576" t="s">
        <v>11766</v>
      </c>
      <c r="C4576" t="s">
        <v>11738</v>
      </c>
      <c r="D4576" t="s">
        <v>11738</v>
      </c>
      <c r="E4576" t="s">
        <v>11767</v>
      </c>
    </row>
    <row r="4577" spans="1:5" x14ac:dyDescent="0.2">
      <c r="A4577" t="s">
        <v>11768</v>
      </c>
      <c r="B4577" t="s">
        <v>11769</v>
      </c>
      <c r="C4577" t="s">
        <v>11738</v>
      </c>
      <c r="D4577" t="s">
        <v>11738</v>
      </c>
      <c r="E4577" t="s">
        <v>11770</v>
      </c>
    </row>
    <row r="4578" spans="1:5" x14ac:dyDescent="0.2">
      <c r="A4578" t="s">
        <v>11771</v>
      </c>
      <c r="B4578" t="s">
        <v>11772</v>
      </c>
      <c r="C4578" t="s">
        <v>11738</v>
      </c>
      <c r="D4578" t="s">
        <v>11738</v>
      </c>
      <c r="E4578" t="s">
        <v>11748</v>
      </c>
    </row>
    <row r="4579" spans="1:5" x14ac:dyDescent="0.2">
      <c r="A4579" t="s">
        <v>11773</v>
      </c>
      <c r="B4579" t="s">
        <v>11774</v>
      </c>
      <c r="C4579" t="s">
        <v>11738</v>
      </c>
      <c r="D4579" t="s">
        <v>11738</v>
      </c>
      <c r="E4579" t="s">
        <v>11775</v>
      </c>
    </row>
    <row r="4580" spans="1:5" x14ac:dyDescent="0.2">
      <c r="A4580" t="s">
        <v>11776</v>
      </c>
      <c r="B4580" t="s">
        <v>11777</v>
      </c>
      <c r="C4580" t="s">
        <v>11738</v>
      </c>
      <c r="D4580" t="s">
        <v>11738</v>
      </c>
      <c r="E4580" t="s">
        <v>11753</v>
      </c>
    </row>
    <row r="4581" spans="1:5" x14ac:dyDescent="0.2">
      <c r="A4581" t="s">
        <v>11778</v>
      </c>
      <c r="B4581" t="s">
        <v>11779</v>
      </c>
      <c r="C4581" t="s">
        <v>11738</v>
      </c>
      <c r="D4581" t="s">
        <v>11738</v>
      </c>
      <c r="E4581" t="s">
        <v>11780</v>
      </c>
    </row>
    <row r="4582" spans="1:5" x14ac:dyDescent="0.2">
      <c r="A4582" t="s">
        <v>11781</v>
      </c>
      <c r="B4582" t="s">
        <v>11782</v>
      </c>
      <c r="C4582" t="s">
        <v>11738</v>
      </c>
      <c r="D4582" t="s">
        <v>11738</v>
      </c>
      <c r="E4582" t="s">
        <v>11753</v>
      </c>
    </row>
    <row r="4583" spans="1:5" x14ac:dyDescent="0.2">
      <c r="A4583" t="s">
        <v>11783</v>
      </c>
      <c r="B4583" t="s">
        <v>11784</v>
      </c>
      <c r="C4583" t="s">
        <v>11738</v>
      </c>
      <c r="D4583" t="s">
        <v>11738</v>
      </c>
      <c r="E4583" t="s">
        <v>11785</v>
      </c>
    </row>
    <row r="4584" spans="1:5" x14ac:dyDescent="0.2">
      <c r="A4584" t="s">
        <v>11786</v>
      </c>
      <c r="B4584" t="s">
        <v>11787</v>
      </c>
      <c r="C4584" t="s">
        <v>11738</v>
      </c>
      <c r="D4584" t="s">
        <v>11738</v>
      </c>
      <c r="E4584" t="s">
        <v>11748</v>
      </c>
    </row>
    <row r="4585" spans="1:5" x14ac:dyDescent="0.2">
      <c r="A4585" t="s">
        <v>11788</v>
      </c>
      <c r="B4585" t="s">
        <v>11789</v>
      </c>
      <c r="C4585" t="s">
        <v>11738</v>
      </c>
      <c r="D4585" t="s">
        <v>11738</v>
      </c>
      <c r="E4585" t="s">
        <v>11748</v>
      </c>
    </row>
    <row r="4586" spans="1:5" x14ac:dyDescent="0.2">
      <c r="A4586" t="s">
        <v>11790</v>
      </c>
      <c r="B4586" t="s">
        <v>11791</v>
      </c>
      <c r="C4586" t="s">
        <v>11738</v>
      </c>
      <c r="D4586" t="s">
        <v>11738</v>
      </c>
      <c r="E4586" t="s">
        <v>11792</v>
      </c>
    </row>
    <row r="4587" spans="1:5" x14ac:dyDescent="0.2">
      <c r="A4587" t="s">
        <v>11793</v>
      </c>
      <c r="B4587" t="s">
        <v>11794</v>
      </c>
      <c r="C4587" t="s">
        <v>11738</v>
      </c>
      <c r="D4587" t="s">
        <v>11738</v>
      </c>
      <c r="E4587" t="s">
        <v>11753</v>
      </c>
    </row>
    <row r="4588" spans="1:5" x14ac:dyDescent="0.2">
      <c r="A4588" t="s">
        <v>11795</v>
      </c>
      <c r="B4588" t="s">
        <v>11796</v>
      </c>
      <c r="C4588" t="s">
        <v>11738</v>
      </c>
      <c r="D4588" t="s">
        <v>11738</v>
      </c>
      <c r="E4588" t="s">
        <v>11748</v>
      </c>
    </row>
    <row r="4589" spans="1:5" x14ac:dyDescent="0.2">
      <c r="A4589" t="s">
        <v>11797</v>
      </c>
      <c r="B4589" t="s">
        <v>11798</v>
      </c>
      <c r="C4589" t="s">
        <v>11738</v>
      </c>
      <c r="D4589" t="s">
        <v>11738</v>
      </c>
      <c r="E4589" t="s">
        <v>11764</v>
      </c>
    </row>
    <row r="4590" spans="1:5" x14ac:dyDescent="0.2">
      <c r="A4590" t="s">
        <v>11799</v>
      </c>
      <c r="B4590" t="s">
        <v>11800</v>
      </c>
      <c r="C4590" t="s">
        <v>11738</v>
      </c>
      <c r="D4590" t="s">
        <v>11738</v>
      </c>
      <c r="E4590" t="s">
        <v>11801</v>
      </c>
    </row>
    <row r="4591" spans="1:5" x14ac:dyDescent="0.2">
      <c r="A4591" t="s">
        <v>11802</v>
      </c>
      <c r="B4591" t="s">
        <v>11803</v>
      </c>
      <c r="C4591" t="s">
        <v>11738</v>
      </c>
      <c r="D4591" t="s">
        <v>11738</v>
      </c>
      <c r="E4591" t="s">
        <v>11764</v>
      </c>
    </row>
    <row r="4592" spans="1:5" x14ac:dyDescent="0.2">
      <c r="A4592" t="s">
        <v>11804</v>
      </c>
      <c r="B4592" t="s">
        <v>11805</v>
      </c>
      <c r="C4592" t="s">
        <v>11738</v>
      </c>
      <c r="D4592" t="s">
        <v>11738</v>
      </c>
      <c r="E4592" t="s">
        <v>11806</v>
      </c>
    </row>
    <row r="4593" spans="1:5" x14ac:dyDescent="0.2">
      <c r="A4593" t="s">
        <v>11807</v>
      </c>
      <c r="B4593" t="s">
        <v>11808</v>
      </c>
      <c r="C4593" t="s">
        <v>11738</v>
      </c>
      <c r="D4593" t="s">
        <v>11738</v>
      </c>
      <c r="E4593" t="s">
        <v>11809</v>
      </c>
    </row>
    <row r="4594" spans="1:5" x14ac:dyDescent="0.2">
      <c r="A4594" t="s">
        <v>11810</v>
      </c>
      <c r="B4594" t="s">
        <v>11811</v>
      </c>
      <c r="C4594" t="s">
        <v>11738</v>
      </c>
      <c r="D4594" t="s">
        <v>11738</v>
      </c>
      <c r="E4594" t="s">
        <v>11812</v>
      </c>
    </row>
    <row r="4595" spans="1:5" x14ac:dyDescent="0.2">
      <c r="A4595" t="s">
        <v>11813</v>
      </c>
      <c r="B4595" t="s">
        <v>11814</v>
      </c>
      <c r="C4595" t="s">
        <v>11738</v>
      </c>
      <c r="D4595" t="s">
        <v>11738</v>
      </c>
      <c r="E4595" t="s">
        <v>11767</v>
      </c>
    </row>
    <row r="4596" spans="1:5" x14ac:dyDescent="0.2">
      <c r="A4596" t="s">
        <v>11815</v>
      </c>
      <c r="B4596" t="s">
        <v>11816</v>
      </c>
      <c r="C4596" t="s">
        <v>11738</v>
      </c>
      <c r="D4596" t="s">
        <v>11738</v>
      </c>
      <c r="E4596" t="s">
        <v>11817</v>
      </c>
    </row>
    <row r="4597" spans="1:5" x14ac:dyDescent="0.2">
      <c r="A4597" t="s">
        <v>11818</v>
      </c>
      <c r="B4597" t="s">
        <v>11819</v>
      </c>
      <c r="C4597" t="s">
        <v>11738</v>
      </c>
      <c r="D4597" t="s">
        <v>11738</v>
      </c>
      <c r="E4597" t="s">
        <v>11753</v>
      </c>
    </row>
    <row r="4598" spans="1:5" x14ac:dyDescent="0.2">
      <c r="A4598" t="s">
        <v>11820</v>
      </c>
      <c r="B4598" t="s">
        <v>11821</v>
      </c>
      <c r="C4598" t="s">
        <v>11738</v>
      </c>
      <c r="D4598" t="s">
        <v>11738</v>
      </c>
      <c r="E4598" t="s">
        <v>11822</v>
      </c>
    </row>
    <row r="4599" spans="1:5" x14ac:dyDescent="0.2">
      <c r="A4599" t="s">
        <v>11823</v>
      </c>
      <c r="B4599" t="s">
        <v>11824</v>
      </c>
      <c r="C4599" t="s">
        <v>11738</v>
      </c>
      <c r="D4599" t="s">
        <v>11738</v>
      </c>
      <c r="E4599" t="s">
        <v>11748</v>
      </c>
    </row>
    <row r="4600" spans="1:5" x14ac:dyDescent="0.2">
      <c r="A4600" t="s">
        <v>11825</v>
      </c>
      <c r="B4600" t="s">
        <v>11826</v>
      </c>
      <c r="C4600" t="s">
        <v>11738</v>
      </c>
      <c r="D4600" t="s">
        <v>11738</v>
      </c>
      <c r="E4600" t="s">
        <v>11827</v>
      </c>
    </row>
    <row r="4601" spans="1:5" x14ac:dyDescent="0.2">
      <c r="A4601" t="s">
        <v>11828</v>
      </c>
      <c r="B4601" t="s">
        <v>11829</v>
      </c>
      <c r="C4601" t="s">
        <v>11738</v>
      </c>
      <c r="D4601" t="s">
        <v>11738</v>
      </c>
      <c r="E4601" t="s">
        <v>11748</v>
      </c>
    </row>
    <row r="4602" spans="1:5" x14ac:dyDescent="0.2">
      <c r="A4602" t="s">
        <v>11830</v>
      </c>
      <c r="B4602" t="s">
        <v>11831</v>
      </c>
      <c r="C4602" t="s">
        <v>11738</v>
      </c>
      <c r="D4602" t="s">
        <v>11738</v>
      </c>
      <c r="E4602" t="s">
        <v>11753</v>
      </c>
    </row>
    <row r="4603" spans="1:5" x14ac:dyDescent="0.2">
      <c r="A4603" t="s">
        <v>11832</v>
      </c>
      <c r="B4603" t="s">
        <v>11833</v>
      </c>
      <c r="C4603" t="s">
        <v>11738</v>
      </c>
      <c r="D4603" t="s">
        <v>11738</v>
      </c>
      <c r="E4603" t="s">
        <v>11764</v>
      </c>
    </row>
    <row r="4604" spans="1:5" x14ac:dyDescent="0.2">
      <c r="A4604" t="s">
        <v>11834</v>
      </c>
      <c r="B4604" t="s">
        <v>11835</v>
      </c>
      <c r="C4604" t="s">
        <v>11738</v>
      </c>
      <c r="D4604" t="s">
        <v>11738</v>
      </c>
      <c r="E4604" t="s">
        <v>11764</v>
      </c>
    </row>
    <row r="4605" spans="1:5" x14ac:dyDescent="0.2">
      <c r="A4605" t="s">
        <v>11836</v>
      </c>
      <c r="B4605" t="s">
        <v>11837</v>
      </c>
      <c r="C4605" t="s">
        <v>11738</v>
      </c>
      <c r="D4605" t="s">
        <v>11738</v>
      </c>
      <c r="E4605" t="s">
        <v>11764</v>
      </c>
    </row>
    <row r="4606" spans="1:5" x14ac:dyDescent="0.2">
      <c r="A4606" t="s">
        <v>11838</v>
      </c>
      <c r="B4606" t="s">
        <v>11839</v>
      </c>
      <c r="C4606" t="s">
        <v>11738</v>
      </c>
      <c r="D4606" t="s">
        <v>11738</v>
      </c>
      <c r="E4606" t="s">
        <v>11840</v>
      </c>
    </row>
    <row r="4607" spans="1:5" x14ac:dyDescent="0.2">
      <c r="A4607" t="s">
        <v>11841</v>
      </c>
      <c r="B4607" t="s">
        <v>11842</v>
      </c>
      <c r="C4607" t="s">
        <v>11738</v>
      </c>
      <c r="D4607" t="s">
        <v>11738</v>
      </c>
      <c r="E4607" t="s">
        <v>11764</v>
      </c>
    </row>
    <row r="4608" spans="1:5" x14ac:dyDescent="0.2">
      <c r="A4608" t="s">
        <v>11843</v>
      </c>
      <c r="B4608" t="s">
        <v>11844</v>
      </c>
      <c r="C4608" t="s">
        <v>11738</v>
      </c>
      <c r="D4608" t="s">
        <v>11738</v>
      </c>
      <c r="E4608" t="s">
        <v>11764</v>
      </c>
    </row>
    <row r="4609" spans="1:5" x14ac:dyDescent="0.2">
      <c r="A4609" t="s">
        <v>11845</v>
      </c>
      <c r="B4609" t="s">
        <v>11846</v>
      </c>
      <c r="C4609" t="s">
        <v>11738</v>
      </c>
      <c r="D4609" t="s">
        <v>11738</v>
      </c>
      <c r="E4609" t="s">
        <v>11847</v>
      </c>
    </row>
    <row r="4610" spans="1:5" x14ac:dyDescent="0.2">
      <c r="A4610" t="s">
        <v>11848</v>
      </c>
      <c r="B4610" t="s">
        <v>11849</v>
      </c>
      <c r="C4610" t="s">
        <v>11738</v>
      </c>
      <c r="D4610" t="s">
        <v>11738</v>
      </c>
      <c r="E4610" t="s">
        <v>11753</v>
      </c>
    </row>
    <row r="4611" spans="1:5" x14ac:dyDescent="0.2">
      <c r="A4611" t="s">
        <v>11850</v>
      </c>
      <c r="B4611" t="s">
        <v>11851</v>
      </c>
      <c r="C4611" t="s">
        <v>11738</v>
      </c>
      <c r="D4611" t="s">
        <v>11738</v>
      </c>
      <c r="E4611" t="s">
        <v>11748</v>
      </c>
    </row>
    <row r="4612" spans="1:5" x14ac:dyDescent="0.2">
      <c r="A4612" t="s">
        <v>11852</v>
      </c>
      <c r="B4612" t="s">
        <v>11853</v>
      </c>
      <c r="C4612" t="s">
        <v>11738</v>
      </c>
      <c r="D4612" t="s">
        <v>11738</v>
      </c>
      <c r="E4612" t="s">
        <v>11854</v>
      </c>
    </row>
    <row r="4613" spans="1:5" x14ac:dyDescent="0.2">
      <c r="A4613" t="s">
        <v>11855</v>
      </c>
      <c r="B4613" t="s">
        <v>11856</v>
      </c>
      <c r="C4613" t="s">
        <v>11738</v>
      </c>
      <c r="D4613" t="s">
        <v>11738</v>
      </c>
      <c r="E4613" t="s">
        <v>11748</v>
      </c>
    </row>
    <row r="4614" spans="1:5" x14ac:dyDescent="0.2">
      <c r="A4614" t="s">
        <v>11857</v>
      </c>
      <c r="B4614" t="s">
        <v>11858</v>
      </c>
      <c r="C4614" t="s">
        <v>11738</v>
      </c>
      <c r="D4614" t="s">
        <v>11738</v>
      </c>
      <c r="E4614" t="s">
        <v>11859</v>
      </c>
    </row>
    <row r="4615" spans="1:5" x14ac:dyDescent="0.2">
      <c r="A4615" t="s">
        <v>11860</v>
      </c>
      <c r="B4615" t="s">
        <v>11861</v>
      </c>
      <c r="C4615" t="s">
        <v>11738</v>
      </c>
      <c r="D4615" t="s">
        <v>11738</v>
      </c>
      <c r="E4615" t="s">
        <v>11862</v>
      </c>
    </row>
    <row r="4616" spans="1:5" x14ac:dyDescent="0.2">
      <c r="A4616" t="s">
        <v>11863</v>
      </c>
      <c r="B4616" t="s">
        <v>11864</v>
      </c>
      <c r="C4616" t="s">
        <v>11738</v>
      </c>
      <c r="D4616" t="s">
        <v>11738</v>
      </c>
      <c r="E4616" t="s">
        <v>11865</v>
      </c>
    </row>
    <row r="4617" spans="1:5" x14ac:dyDescent="0.2">
      <c r="A4617" t="s">
        <v>11866</v>
      </c>
      <c r="B4617" t="s">
        <v>11867</v>
      </c>
      <c r="C4617" t="s">
        <v>11738</v>
      </c>
      <c r="D4617" t="s">
        <v>11738</v>
      </c>
      <c r="E4617" t="s">
        <v>11764</v>
      </c>
    </row>
    <row r="4618" spans="1:5" x14ac:dyDescent="0.2">
      <c r="A4618" t="s">
        <v>11868</v>
      </c>
      <c r="B4618" t="s">
        <v>11869</v>
      </c>
      <c r="C4618" t="s">
        <v>11738</v>
      </c>
      <c r="D4618" t="s">
        <v>11738</v>
      </c>
      <c r="E4618" t="s">
        <v>11870</v>
      </c>
    </row>
    <row r="4619" spans="1:5" x14ac:dyDescent="0.2">
      <c r="A4619" t="s">
        <v>11871</v>
      </c>
      <c r="B4619" t="s">
        <v>11872</v>
      </c>
      <c r="C4619" t="s">
        <v>11738</v>
      </c>
      <c r="D4619" t="s">
        <v>11738</v>
      </c>
      <c r="E4619" t="s">
        <v>11873</v>
      </c>
    </row>
    <row r="4620" spans="1:5" x14ac:dyDescent="0.2">
      <c r="A4620" t="s">
        <v>11874</v>
      </c>
      <c r="B4620" t="s">
        <v>11875</v>
      </c>
      <c r="C4620" t="s">
        <v>11738</v>
      </c>
      <c r="D4620" t="s">
        <v>11738</v>
      </c>
      <c r="E4620" t="s">
        <v>11767</v>
      </c>
    </row>
    <row r="4621" spans="1:5" x14ac:dyDescent="0.2">
      <c r="A4621" t="s">
        <v>11876</v>
      </c>
      <c r="B4621" t="s">
        <v>11877</v>
      </c>
      <c r="C4621" t="s">
        <v>11738</v>
      </c>
      <c r="D4621" t="s">
        <v>11738</v>
      </c>
      <c r="E4621" t="s">
        <v>11767</v>
      </c>
    </row>
    <row r="4622" spans="1:5" x14ac:dyDescent="0.2">
      <c r="A4622" t="s">
        <v>11878</v>
      </c>
      <c r="B4622" t="s">
        <v>11879</v>
      </c>
      <c r="C4622" t="s">
        <v>11738</v>
      </c>
      <c r="D4622" t="s">
        <v>11738</v>
      </c>
      <c r="E4622" t="s">
        <v>11880</v>
      </c>
    </row>
    <row r="4623" spans="1:5" x14ac:dyDescent="0.2">
      <c r="A4623" t="s">
        <v>11881</v>
      </c>
      <c r="B4623" t="s">
        <v>11882</v>
      </c>
      <c r="C4623" t="s">
        <v>11738</v>
      </c>
      <c r="D4623" t="s">
        <v>11738</v>
      </c>
      <c r="E4623" t="s">
        <v>11767</v>
      </c>
    </row>
    <row r="4624" spans="1:5" x14ac:dyDescent="0.2">
      <c r="A4624" t="s">
        <v>11883</v>
      </c>
      <c r="B4624" t="s">
        <v>11884</v>
      </c>
      <c r="C4624" t="s">
        <v>11738</v>
      </c>
      <c r="D4624" t="s">
        <v>11738</v>
      </c>
      <c r="E4624" t="s">
        <v>11885</v>
      </c>
    </row>
    <row r="4625" spans="1:5" x14ac:dyDescent="0.2">
      <c r="A4625" t="s">
        <v>11886</v>
      </c>
      <c r="B4625" t="s">
        <v>11887</v>
      </c>
      <c r="C4625" t="s">
        <v>11738</v>
      </c>
      <c r="D4625" t="s">
        <v>11738</v>
      </c>
      <c r="E4625" t="s">
        <v>11753</v>
      </c>
    </row>
    <row r="4626" spans="1:5" x14ac:dyDescent="0.2">
      <c r="A4626" t="s">
        <v>11888</v>
      </c>
      <c r="B4626" t="s">
        <v>11889</v>
      </c>
      <c r="C4626" t="s">
        <v>11738</v>
      </c>
      <c r="D4626" t="s">
        <v>11738</v>
      </c>
      <c r="E4626" t="s">
        <v>11764</v>
      </c>
    </row>
    <row r="4627" spans="1:5" x14ac:dyDescent="0.2">
      <c r="A4627" t="s">
        <v>11890</v>
      </c>
      <c r="B4627" t="s">
        <v>11891</v>
      </c>
      <c r="C4627" t="s">
        <v>11738</v>
      </c>
      <c r="D4627" t="s">
        <v>11738</v>
      </c>
      <c r="E4627" t="s">
        <v>11892</v>
      </c>
    </row>
    <row r="4628" spans="1:5" x14ac:dyDescent="0.2">
      <c r="A4628" t="s">
        <v>11893</v>
      </c>
      <c r="B4628" t="s">
        <v>11894</v>
      </c>
      <c r="C4628" t="s">
        <v>11738</v>
      </c>
      <c r="D4628" t="s">
        <v>11738</v>
      </c>
      <c r="E4628" t="s">
        <v>11764</v>
      </c>
    </row>
    <row r="4629" spans="1:5" x14ac:dyDescent="0.2">
      <c r="A4629" t="s">
        <v>11895</v>
      </c>
      <c r="B4629" t="s">
        <v>11896</v>
      </c>
      <c r="C4629" t="s">
        <v>11738</v>
      </c>
      <c r="D4629" t="s">
        <v>11738</v>
      </c>
      <c r="E4629" t="s">
        <v>11897</v>
      </c>
    </row>
    <row r="4630" spans="1:5" x14ac:dyDescent="0.2">
      <c r="A4630" t="s">
        <v>11898</v>
      </c>
      <c r="B4630" t="s">
        <v>11899</v>
      </c>
      <c r="C4630" t="s">
        <v>11738</v>
      </c>
      <c r="D4630" t="s">
        <v>11738</v>
      </c>
      <c r="E4630" t="s">
        <v>11764</v>
      </c>
    </row>
    <row r="4631" spans="1:5" x14ac:dyDescent="0.2">
      <c r="A4631" t="s">
        <v>11900</v>
      </c>
      <c r="B4631" t="s">
        <v>11901</v>
      </c>
      <c r="C4631" t="s">
        <v>11738</v>
      </c>
      <c r="D4631" t="s">
        <v>11738</v>
      </c>
      <c r="E4631" t="s">
        <v>11902</v>
      </c>
    </row>
    <row r="4632" spans="1:5" x14ac:dyDescent="0.2">
      <c r="A4632" t="s">
        <v>11903</v>
      </c>
      <c r="B4632" t="s">
        <v>11904</v>
      </c>
      <c r="C4632" t="s">
        <v>11738</v>
      </c>
      <c r="D4632" t="s">
        <v>11738</v>
      </c>
      <c r="E4632" t="s">
        <v>11764</v>
      </c>
    </row>
    <row r="4633" spans="1:5" x14ac:dyDescent="0.2">
      <c r="A4633" t="s">
        <v>11905</v>
      </c>
      <c r="B4633" t="s">
        <v>11906</v>
      </c>
      <c r="C4633" t="s">
        <v>11738</v>
      </c>
      <c r="D4633" t="s">
        <v>11738</v>
      </c>
      <c r="E4633" t="s">
        <v>11907</v>
      </c>
    </row>
    <row r="4634" spans="1:5" x14ac:dyDescent="0.2">
      <c r="A4634" t="s">
        <v>11908</v>
      </c>
      <c r="B4634" t="s">
        <v>11909</v>
      </c>
      <c r="C4634" t="s">
        <v>11738</v>
      </c>
      <c r="D4634" t="s">
        <v>11738</v>
      </c>
      <c r="E4634" t="s">
        <v>11767</v>
      </c>
    </row>
    <row r="4635" spans="1:5" x14ac:dyDescent="0.2">
      <c r="A4635" t="s">
        <v>11910</v>
      </c>
      <c r="B4635" t="s">
        <v>11911</v>
      </c>
      <c r="C4635" t="s">
        <v>11738</v>
      </c>
      <c r="D4635" t="s">
        <v>11738</v>
      </c>
      <c r="E4635" t="s">
        <v>11912</v>
      </c>
    </row>
    <row r="4636" spans="1:5" x14ac:dyDescent="0.2">
      <c r="A4636" t="s">
        <v>11913</v>
      </c>
      <c r="B4636" t="s">
        <v>11914</v>
      </c>
      <c r="C4636" t="s">
        <v>11738</v>
      </c>
      <c r="D4636" t="s">
        <v>11738</v>
      </c>
      <c r="E4636" t="s">
        <v>11748</v>
      </c>
    </row>
    <row r="4637" spans="1:5" x14ac:dyDescent="0.2">
      <c r="A4637" t="s">
        <v>11915</v>
      </c>
      <c r="B4637" t="s">
        <v>11916</v>
      </c>
      <c r="C4637" t="s">
        <v>11738</v>
      </c>
      <c r="D4637" t="s">
        <v>11738</v>
      </c>
      <c r="E4637" t="s">
        <v>11764</v>
      </c>
    </row>
    <row r="4638" spans="1:5" x14ac:dyDescent="0.2">
      <c r="A4638" t="s">
        <v>11917</v>
      </c>
      <c r="B4638" t="s">
        <v>11918</v>
      </c>
      <c r="C4638" t="s">
        <v>11738</v>
      </c>
      <c r="D4638" t="s">
        <v>11738</v>
      </c>
      <c r="E4638" t="s">
        <v>11748</v>
      </c>
    </row>
    <row r="4639" spans="1:5" x14ac:dyDescent="0.2">
      <c r="A4639" t="s">
        <v>11919</v>
      </c>
      <c r="B4639" t="s">
        <v>11920</v>
      </c>
      <c r="C4639" t="s">
        <v>11921</v>
      </c>
      <c r="D4639" t="s">
        <v>11921</v>
      </c>
      <c r="E4639" t="s">
        <v>11922</v>
      </c>
    </row>
    <row r="4640" spans="1:5" x14ac:dyDescent="0.2">
      <c r="A4640" t="s">
        <v>11923</v>
      </c>
      <c r="B4640" t="s">
        <v>11924</v>
      </c>
      <c r="C4640" t="s">
        <v>11921</v>
      </c>
      <c r="D4640" t="s">
        <v>11921</v>
      </c>
      <c r="E4640" t="s">
        <v>11925</v>
      </c>
    </row>
    <row r="4641" spans="1:5" x14ac:dyDescent="0.2">
      <c r="A4641" t="s">
        <v>11926</v>
      </c>
      <c r="B4641" t="s">
        <v>11927</v>
      </c>
      <c r="C4641" t="s">
        <v>11921</v>
      </c>
      <c r="D4641" t="s">
        <v>11921</v>
      </c>
      <c r="E4641" t="s">
        <v>11928</v>
      </c>
    </row>
    <row r="4642" spans="1:5" x14ac:dyDescent="0.2">
      <c r="A4642" t="s">
        <v>11929</v>
      </c>
      <c r="B4642" t="s">
        <v>11930</v>
      </c>
      <c r="C4642" t="s">
        <v>11921</v>
      </c>
      <c r="D4642" t="s">
        <v>11921</v>
      </c>
      <c r="E4642" t="s">
        <v>11931</v>
      </c>
    </row>
    <row r="4643" spans="1:5" x14ac:dyDescent="0.2">
      <c r="A4643" t="s">
        <v>11932</v>
      </c>
      <c r="B4643" t="s">
        <v>11933</v>
      </c>
      <c r="C4643" t="s">
        <v>11921</v>
      </c>
      <c r="D4643" t="s">
        <v>11921</v>
      </c>
      <c r="E4643" t="s">
        <v>11934</v>
      </c>
    </row>
    <row r="4644" spans="1:5" x14ac:dyDescent="0.2">
      <c r="A4644" t="s">
        <v>11935</v>
      </c>
      <c r="B4644" t="s">
        <v>11936</v>
      </c>
      <c r="C4644" t="s">
        <v>11921</v>
      </c>
      <c r="D4644" t="s">
        <v>11921</v>
      </c>
      <c r="E4644" t="s">
        <v>11937</v>
      </c>
    </row>
    <row r="4645" spans="1:5" x14ac:dyDescent="0.2">
      <c r="A4645" t="s">
        <v>11938</v>
      </c>
      <c r="B4645" t="s">
        <v>11939</v>
      </c>
      <c r="C4645" t="s">
        <v>11921</v>
      </c>
      <c r="D4645" t="s">
        <v>11921</v>
      </c>
      <c r="E4645" t="s">
        <v>11940</v>
      </c>
    </row>
    <row r="4646" spans="1:5" x14ac:dyDescent="0.2">
      <c r="A4646" t="s">
        <v>11941</v>
      </c>
      <c r="B4646" t="s">
        <v>11942</v>
      </c>
      <c r="C4646" t="s">
        <v>11921</v>
      </c>
      <c r="D4646" t="s">
        <v>11921</v>
      </c>
      <c r="E4646" t="s">
        <v>11925</v>
      </c>
    </row>
    <row r="4647" spans="1:5" x14ac:dyDescent="0.2">
      <c r="A4647" t="s">
        <v>11943</v>
      </c>
      <c r="B4647" t="s">
        <v>11944</v>
      </c>
      <c r="C4647" t="s">
        <v>11921</v>
      </c>
      <c r="D4647" t="s">
        <v>11921</v>
      </c>
      <c r="E4647" t="s">
        <v>11945</v>
      </c>
    </row>
    <row r="4648" spans="1:5" x14ac:dyDescent="0.2">
      <c r="A4648" t="s">
        <v>11946</v>
      </c>
      <c r="B4648" t="s">
        <v>11947</v>
      </c>
      <c r="C4648" t="s">
        <v>11921</v>
      </c>
      <c r="D4648" t="s">
        <v>11921</v>
      </c>
      <c r="E4648" t="s">
        <v>11948</v>
      </c>
    </row>
    <row r="4649" spans="1:5" x14ac:dyDescent="0.2">
      <c r="A4649" t="s">
        <v>11949</v>
      </c>
      <c r="B4649" t="s">
        <v>11950</v>
      </c>
      <c r="C4649" t="s">
        <v>11921</v>
      </c>
      <c r="D4649" t="s">
        <v>11921</v>
      </c>
      <c r="E4649" t="s">
        <v>11951</v>
      </c>
    </row>
    <row r="4650" spans="1:5" x14ac:dyDescent="0.2">
      <c r="A4650" t="s">
        <v>11952</v>
      </c>
      <c r="B4650" t="s">
        <v>11953</v>
      </c>
      <c r="C4650" t="s">
        <v>11921</v>
      </c>
      <c r="D4650" t="s">
        <v>11921</v>
      </c>
      <c r="E4650" t="s">
        <v>11954</v>
      </c>
    </row>
    <row r="4651" spans="1:5" x14ac:dyDescent="0.2">
      <c r="A4651" t="s">
        <v>11955</v>
      </c>
      <c r="B4651" t="s">
        <v>11956</v>
      </c>
      <c r="C4651" t="s">
        <v>11921</v>
      </c>
      <c r="D4651" t="s">
        <v>11921</v>
      </c>
      <c r="E4651" t="s">
        <v>11957</v>
      </c>
    </row>
    <row r="4652" spans="1:5" x14ac:dyDescent="0.2">
      <c r="A4652" t="s">
        <v>11958</v>
      </c>
      <c r="B4652" t="s">
        <v>11959</v>
      </c>
      <c r="C4652" t="s">
        <v>11921</v>
      </c>
      <c r="D4652" t="s">
        <v>11921</v>
      </c>
      <c r="E4652" t="s">
        <v>11925</v>
      </c>
    </row>
    <row r="4653" spans="1:5" x14ac:dyDescent="0.2">
      <c r="A4653" t="s">
        <v>11960</v>
      </c>
      <c r="B4653" t="s">
        <v>11961</v>
      </c>
      <c r="C4653" t="s">
        <v>11921</v>
      </c>
      <c r="D4653" t="s">
        <v>11921</v>
      </c>
      <c r="E4653" t="s">
        <v>11962</v>
      </c>
    </row>
    <row r="4654" spans="1:5" x14ac:dyDescent="0.2">
      <c r="A4654" t="s">
        <v>11963</v>
      </c>
      <c r="B4654" t="s">
        <v>11964</v>
      </c>
      <c r="C4654" t="s">
        <v>11921</v>
      </c>
      <c r="D4654" t="s">
        <v>11921</v>
      </c>
      <c r="E4654" t="s">
        <v>11965</v>
      </c>
    </row>
    <row r="4655" spans="1:5" x14ac:dyDescent="0.2">
      <c r="A4655" t="s">
        <v>11966</v>
      </c>
      <c r="B4655" t="s">
        <v>11967</v>
      </c>
      <c r="C4655" t="s">
        <v>11921</v>
      </c>
      <c r="D4655" t="s">
        <v>11921</v>
      </c>
      <c r="E4655" t="s">
        <v>11925</v>
      </c>
    </row>
    <row r="4656" spans="1:5" x14ac:dyDescent="0.2">
      <c r="A4656" t="s">
        <v>11968</v>
      </c>
      <c r="B4656" t="s">
        <v>11969</v>
      </c>
      <c r="C4656" t="s">
        <v>11921</v>
      </c>
      <c r="D4656" t="s">
        <v>11921</v>
      </c>
      <c r="E4656" t="s">
        <v>11965</v>
      </c>
    </row>
    <row r="4657" spans="1:5" x14ac:dyDescent="0.2">
      <c r="A4657" t="s">
        <v>11970</v>
      </c>
      <c r="B4657" t="s">
        <v>11971</v>
      </c>
      <c r="C4657" t="s">
        <v>11921</v>
      </c>
      <c r="D4657" t="s">
        <v>11921</v>
      </c>
      <c r="E4657" t="s">
        <v>11954</v>
      </c>
    </row>
    <row r="4658" spans="1:5" x14ac:dyDescent="0.2">
      <c r="A4658" t="s">
        <v>11972</v>
      </c>
      <c r="B4658" t="s">
        <v>11973</v>
      </c>
      <c r="C4658" t="s">
        <v>11921</v>
      </c>
      <c r="D4658" t="s">
        <v>11921</v>
      </c>
      <c r="E4658" t="s">
        <v>11974</v>
      </c>
    </row>
    <row r="4659" spans="1:5" x14ac:dyDescent="0.2">
      <c r="A4659" t="s">
        <v>11975</v>
      </c>
      <c r="B4659" t="s">
        <v>11976</v>
      </c>
      <c r="C4659" t="s">
        <v>11921</v>
      </c>
      <c r="D4659" t="s">
        <v>11921</v>
      </c>
      <c r="E4659" t="s">
        <v>11977</v>
      </c>
    </row>
    <row r="4660" spans="1:5" x14ac:dyDescent="0.2">
      <c r="A4660" t="s">
        <v>11978</v>
      </c>
      <c r="B4660" t="s">
        <v>11979</v>
      </c>
      <c r="C4660" t="s">
        <v>11921</v>
      </c>
      <c r="D4660" t="s">
        <v>11921</v>
      </c>
      <c r="E4660" t="s">
        <v>11945</v>
      </c>
    </row>
    <row r="4661" spans="1:5" x14ac:dyDescent="0.2">
      <c r="A4661" t="s">
        <v>11980</v>
      </c>
      <c r="B4661" t="s">
        <v>11981</v>
      </c>
      <c r="C4661" t="s">
        <v>11921</v>
      </c>
      <c r="D4661" t="s">
        <v>11921</v>
      </c>
      <c r="E4661" t="s">
        <v>11982</v>
      </c>
    </row>
    <row r="4662" spans="1:5" x14ac:dyDescent="0.2">
      <c r="A4662" t="s">
        <v>11983</v>
      </c>
      <c r="B4662" t="s">
        <v>11984</v>
      </c>
      <c r="C4662" t="s">
        <v>11921</v>
      </c>
      <c r="D4662" t="s">
        <v>11921</v>
      </c>
      <c r="E4662" t="s">
        <v>11965</v>
      </c>
    </row>
    <row r="4663" spans="1:5" x14ac:dyDescent="0.2">
      <c r="A4663" t="s">
        <v>11985</v>
      </c>
      <c r="B4663" t="s">
        <v>11986</v>
      </c>
      <c r="C4663" t="s">
        <v>11921</v>
      </c>
      <c r="D4663" t="s">
        <v>11921</v>
      </c>
      <c r="E4663" t="s">
        <v>11954</v>
      </c>
    </row>
    <row r="4664" spans="1:5" x14ac:dyDescent="0.2">
      <c r="A4664" t="s">
        <v>11987</v>
      </c>
      <c r="B4664" t="s">
        <v>11988</v>
      </c>
      <c r="C4664" t="s">
        <v>11921</v>
      </c>
      <c r="D4664" t="s">
        <v>11921</v>
      </c>
      <c r="E4664" t="s">
        <v>11989</v>
      </c>
    </row>
    <row r="4665" spans="1:5" x14ac:dyDescent="0.2">
      <c r="A4665" t="s">
        <v>11990</v>
      </c>
      <c r="B4665" t="s">
        <v>11991</v>
      </c>
      <c r="C4665" t="s">
        <v>11921</v>
      </c>
      <c r="D4665" t="s">
        <v>11921</v>
      </c>
      <c r="E4665" t="s">
        <v>11925</v>
      </c>
    </row>
    <row r="4666" spans="1:5" x14ac:dyDescent="0.2">
      <c r="A4666" t="s">
        <v>11992</v>
      </c>
      <c r="B4666" t="s">
        <v>11993</v>
      </c>
      <c r="C4666" t="s">
        <v>11921</v>
      </c>
      <c r="D4666" t="s">
        <v>11921</v>
      </c>
      <c r="E4666" t="s">
        <v>11925</v>
      </c>
    </row>
    <row r="4667" spans="1:5" x14ac:dyDescent="0.2">
      <c r="A4667" t="s">
        <v>11994</v>
      </c>
      <c r="B4667" t="s">
        <v>11995</v>
      </c>
      <c r="C4667" t="s">
        <v>11921</v>
      </c>
      <c r="D4667" t="s">
        <v>11921</v>
      </c>
      <c r="E4667" t="s">
        <v>11996</v>
      </c>
    </row>
    <row r="4668" spans="1:5" x14ac:dyDescent="0.2">
      <c r="A4668" t="s">
        <v>11997</v>
      </c>
      <c r="B4668" t="s">
        <v>11998</v>
      </c>
      <c r="C4668" t="s">
        <v>11921</v>
      </c>
      <c r="D4668" t="s">
        <v>11921</v>
      </c>
      <c r="E4668" t="s">
        <v>11925</v>
      </c>
    </row>
    <row r="4669" spans="1:5" x14ac:dyDescent="0.2">
      <c r="A4669" t="s">
        <v>11999</v>
      </c>
      <c r="B4669" t="s">
        <v>12000</v>
      </c>
      <c r="C4669" t="s">
        <v>11921</v>
      </c>
      <c r="D4669" t="s">
        <v>11921</v>
      </c>
      <c r="E4669" t="s">
        <v>11925</v>
      </c>
    </row>
    <row r="4670" spans="1:5" x14ac:dyDescent="0.2">
      <c r="A4670" t="s">
        <v>12001</v>
      </c>
      <c r="B4670" t="s">
        <v>12002</v>
      </c>
      <c r="C4670" t="s">
        <v>11921</v>
      </c>
      <c r="D4670" t="s">
        <v>11921</v>
      </c>
      <c r="E4670" t="s">
        <v>12003</v>
      </c>
    </row>
    <row r="4671" spans="1:5" x14ac:dyDescent="0.2">
      <c r="A4671" t="s">
        <v>12004</v>
      </c>
      <c r="B4671" t="s">
        <v>12005</v>
      </c>
      <c r="C4671" t="s">
        <v>11921</v>
      </c>
      <c r="D4671" t="s">
        <v>11921</v>
      </c>
      <c r="E4671" t="s">
        <v>11965</v>
      </c>
    </row>
    <row r="4672" spans="1:5" x14ac:dyDescent="0.2">
      <c r="A4672" t="s">
        <v>12006</v>
      </c>
      <c r="B4672" t="s">
        <v>12007</v>
      </c>
      <c r="C4672" t="s">
        <v>11921</v>
      </c>
      <c r="D4672" t="s">
        <v>11921</v>
      </c>
      <c r="E4672" t="s">
        <v>12008</v>
      </c>
    </row>
    <row r="4673" spans="1:5" x14ac:dyDescent="0.2">
      <c r="A4673" t="s">
        <v>12009</v>
      </c>
      <c r="B4673" t="s">
        <v>12010</v>
      </c>
      <c r="C4673" t="s">
        <v>11921</v>
      </c>
      <c r="D4673" t="s">
        <v>11921</v>
      </c>
      <c r="E4673" t="s">
        <v>11954</v>
      </c>
    </row>
    <row r="4674" spans="1:5" x14ac:dyDescent="0.2">
      <c r="A4674" t="s">
        <v>12011</v>
      </c>
      <c r="B4674" t="s">
        <v>12012</v>
      </c>
      <c r="C4674" t="s">
        <v>11921</v>
      </c>
      <c r="D4674" t="s">
        <v>11921</v>
      </c>
      <c r="E4674" t="s">
        <v>12013</v>
      </c>
    </row>
    <row r="4675" spans="1:5" x14ac:dyDescent="0.2">
      <c r="A4675" t="s">
        <v>12014</v>
      </c>
      <c r="B4675" t="s">
        <v>12015</v>
      </c>
      <c r="C4675" t="s">
        <v>11921</v>
      </c>
      <c r="D4675" t="s">
        <v>11921</v>
      </c>
      <c r="E4675" t="s">
        <v>11965</v>
      </c>
    </row>
    <row r="4676" spans="1:5" x14ac:dyDescent="0.2">
      <c r="A4676" t="s">
        <v>12016</v>
      </c>
      <c r="B4676" t="s">
        <v>12017</v>
      </c>
      <c r="C4676" t="s">
        <v>11921</v>
      </c>
      <c r="D4676" t="s">
        <v>11921</v>
      </c>
      <c r="E4676" t="s">
        <v>11965</v>
      </c>
    </row>
    <row r="4677" spans="1:5" x14ac:dyDescent="0.2">
      <c r="A4677" t="s">
        <v>12018</v>
      </c>
      <c r="B4677" t="s">
        <v>12019</v>
      </c>
      <c r="C4677" t="s">
        <v>11921</v>
      </c>
      <c r="D4677" t="s">
        <v>11921</v>
      </c>
      <c r="E4677" t="s">
        <v>12020</v>
      </c>
    </row>
    <row r="4678" spans="1:5" x14ac:dyDescent="0.2">
      <c r="A4678" t="s">
        <v>12021</v>
      </c>
      <c r="B4678" t="s">
        <v>12022</v>
      </c>
      <c r="C4678" t="s">
        <v>11921</v>
      </c>
      <c r="D4678" t="s">
        <v>11921</v>
      </c>
      <c r="E4678" t="s">
        <v>11977</v>
      </c>
    </row>
    <row r="4679" spans="1:5" x14ac:dyDescent="0.2">
      <c r="A4679" t="s">
        <v>12023</v>
      </c>
      <c r="B4679" t="s">
        <v>12024</v>
      </c>
      <c r="C4679" t="s">
        <v>11921</v>
      </c>
      <c r="D4679" t="s">
        <v>11921</v>
      </c>
      <c r="E4679" t="s">
        <v>11954</v>
      </c>
    </row>
    <row r="4680" spans="1:5" x14ac:dyDescent="0.2">
      <c r="A4680" t="s">
        <v>12025</v>
      </c>
      <c r="B4680" t="s">
        <v>12026</v>
      </c>
      <c r="C4680" t="s">
        <v>11921</v>
      </c>
      <c r="D4680" t="s">
        <v>11921</v>
      </c>
      <c r="E4680" t="s">
        <v>11954</v>
      </c>
    </row>
    <row r="4681" spans="1:5" x14ac:dyDescent="0.2">
      <c r="A4681" t="s">
        <v>12027</v>
      </c>
      <c r="B4681" t="s">
        <v>12028</v>
      </c>
      <c r="C4681" t="s">
        <v>11921</v>
      </c>
      <c r="D4681" t="s">
        <v>11921</v>
      </c>
      <c r="E4681" t="s">
        <v>12029</v>
      </c>
    </row>
    <row r="4682" spans="1:5" x14ac:dyDescent="0.2">
      <c r="A4682" t="s">
        <v>12030</v>
      </c>
      <c r="B4682" t="s">
        <v>12031</v>
      </c>
      <c r="C4682" t="s">
        <v>11921</v>
      </c>
      <c r="D4682" t="s">
        <v>11921</v>
      </c>
      <c r="E4682" t="s">
        <v>12032</v>
      </c>
    </row>
    <row r="4683" spans="1:5" x14ac:dyDescent="0.2">
      <c r="A4683" t="s">
        <v>12033</v>
      </c>
      <c r="B4683" t="s">
        <v>12034</v>
      </c>
      <c r="C4683" t="s">
        <v>11921</v>
      </c>
      <c r="D4683" t="s">
        <v>11921</v>
      </c>
      <c r="E4683" t="s">
        <v>11954</v>
      </c>
    </row>
    <row r="4684" spans="1:5" x14ac:dyDescent="0.2">
      <c r="A4684" t="s">
        <v>12035</v>
      </c>
      <c r="B4684" t="s">
        <v>12036</v>
      </c>
      <c r="C4684" t="s">
        <v>11921</v>
      </c>
      <c r="D4684" t="s">
        <v>11921</v>
      </c>
      <c r="E4684" t="s">
        <v>12037</v>
      </c>
    </row>
    <row r="4685" spans="1:5" x14ac:dyDescent="0.2">
      <c r="A4685" t="s">
        <v>12038</v>
      </c>
      <c r="B4685" t="s">
        <v>12039</v>
      </c>
      <c r="C4685" t="s">
        <v>11921</v>
      </c>
      <c r="D4685" t="s">
        <v>11921</v>
      </c>
      <c r="E4685" t="s">
        <v>12040</v>
      </c>
    </row>
    <row r="4686" spans="1:5" x14ac:dyDescent="0.2">
      <c r="A4686" t="s">
        <v>12041</v>
      </c>
      <c r="B4686" t="s">
        <v>12042</v>
      </c>
      <c r="C4686" t="s">
        <v>11921</v>
      </c>
      <c r="D4686" t="s">
        <v>11921</v>
      </c>
      <c r="E4686" t="s">
        <v>11925</v>
      </c>
    </row>
    <row r="4687" spans="1:5" x14ac:dyDescent="0.2">
      <c r="A4687" t="s">
        <v>12043</v>
      </c>
      <c r="B4687" t="s">
        <v>12044</v>
      </c>
      <c r="C4687" t="s">
        <v>11921</v>
      </c>
      <c r="D4687" t="s">
        <v>11921</v>
      </c>
      <c r="E4687" t="s">
        <v>11954</v>
      </c>
    </row>
    <row r="4688" spans="1:5" x14ac:dyDescent="0.2">
      <c r="A4688" t="s">
        <v>12045</v>
      </c>
      <c r="B4688" t="s">
        <v>12046</v>
      </c>
      <c r="C4688" t="s">
        <v>11921</v>
      </c>
      <c r="D4688" t="s">
        <v>11921</v>
      </c>
      <c r="E4688" t="s">
        <v>11945</v>
      </c>
    </row>
    <row r="4689" spans="1:5" x14ac:dyDescent="0.2">
      <c r="A4689" t="s">
        <v>12047</v>
      </c>
      <c r="B4689" t="s">
        <v>12048</v>
      </c>
      <c r="C4689" t="s">
        <v>11921</v>
      </c>
      <c r="D4689" t="s">
        <v>11921</v>
      </c>
      <c r="E4689" t="s">
        <v>12049</v>
      </c>
    </row>
    <row r="4690" spans="1:5" x14ac:dyDescent="0.2">
      <c r="A4690" t="s">
        <v>12050</v>
      </c>
      <c r="B4690" t="s">
        <v>12051</v>
      </c>
      <c r="C4690" t="s">
        <v>11921</v>
      </c>
      <c r="D4690" t="s">
        <v>11921</v>
      </c>
      <c r="E4690" t="s">
        <v>11965</v>
      </c>
    </row>
    <row r="4691" spans="1:5" x14ac:dyDescent="0.2">
      <c r="A4691" t="s">
        <v>12052</v>
      </c>
      <c r="B4691" t="s">
        <v>12053</v>
      </c>
      <c r="C4691" t="s">
        <v>11921</v>
      </c>
      <c r="D4691" t="s">
        <v>11921</v>
      </c>
      <c r="E4691" t="s">
        <v>11925</v>
      </c>
    </row>
    <row r="4692" spans="1:5" x14ac:dyDescent="0.2">
      <c r="A4692" t="s">
        <v>12054</v>
      </c>
      <c r="B4692" t="s">
        <v>12055</v>
      </c>
      <c r="C4692" t="s">
        <v>11921</v>
      </c>
      <c r="D4692" t="s">
        <v>11921</v>
      </c>
      <c r="E4692" t="s">
        <v>12056</v>
      </c>
    </row>
    <row r="4693" spans="1:5" x14ac:dyDescent="0.2">
      <c r="A4693" t="s">
        <v>12057</v>
      </c>
      <c r="B4693" t="s">
        <v>12058</v>
      </c>
      <c r="C4693" t="s">
        <v>11921</v>
      </c>
      <c r="D4693" t="s">
        <v>11921</v>
      </c>
      <c r="E4693" t="s">
        <v>11925</v>
      </c>
    </row>
    <row r="4694" spans="1:5" x14ac:dyDescent="0.2">
      <c r="A4694" t="s">
        <v>12059</v>
      </c>
      <c r="B4694" t="s">
        <v>12060</v>
      </c>
      <c r="C4694" t="s">
        <v>11921</v>
      </c>
      <c r="D4694" t="s">
        <v>11921</v>
      </c>
      <c r="E4694" t="s">
        <v>11977</v>
      </c>
    </row>
    <row r="4695" spans="1:5" x14ac:dyDescent="0.2">
      <c r="A4695" t="s">
        <v>12061</v>
      </c>
      <c r="B4695" t="s">
        <v>12062</v>
      </c>
      <c r="C4695" t="s">
        <v>11921</v>
      </c>
      <c r="D4695" t="s">
        <v>11921</v>
      </c>
      <c r="E4695" t="s">
        <v>12063</v>
      </c>
    </row>
    <row r="4696" spans="1:5" x14ac:dyDescent="0.2">
      <c r="A4696" t="s">
        <v>12064</v>
      </c>
      <c r="B4696" t="s">
        <v>12065</v>
      </c>
      <c r="C4696" t="s">
        <v>11921</v>
      </c>
      <c r="D4696" t="s">
        <v>11921</v>
      </c>
      <c r="E4696" t="s">
        <v>11965</v>
      </c>
    </row>
    <row r="4697" spans="1:5" x14ac:dyDescent="0.2">
      <c r="A4697" t="s">
        <v>12066</v>
      </c>
      <c r="B4697" t="s">
        <v>12067</v>
      </c>
      <c r="C4697" t="s">
        <v>11921</v>
      </c>
      <c r="D4697" t="s">
        <v>11921</v>
      </c>
      <c r="E4697" t="s">
        <v>12068</v>
      </c>
    </row>
    <row r="4698" spans="1:5" x14ac:dyDescent="0.2">
      <c r="A4698" t="s">
        <v>12069</v>
      </c>
      <c r="B4698" t="s">
        <v>12070</v>
      </c>
      <c r="C4698" t="s">
        <v>11921</v>
      </c>
      <c r="D4698" t="s">
        <v>11921</v>
      </c>
      <c r="E4698" t="s">
        <v>11945</v>
      </c>
    </row>
    <row r="4699" spans="1:5" x14ac:dyDescent="0.2">
      <c r="A4699" t="s">
        <v>12071</v>
      </c>
      <c r="B4699" t="s">
        <v>12072</v>
      </c>
      <c r="C4699" t="s">
        <v>11921</v>
      </c>
      <c r="D4699" t="s">
        <v>11921</v>
      </c>
      <c r="E4699" t="s">
        <v>11977</v>
      </c>
    </row>
    <row r="4700" spans="1:5" x14ac:dyDescent="0.2">
      <c r="A4700" t="s">
        <v>12073</v>
      </c>
      <c r="B4700" t="s">
        <v>12074</v>
      </c>
      <c r="C4700" t="s">
        <v>11921</v>
      </c>
      <c r="D4700" t="s">
        <v>11921</v>
      </c>
      <c r="E4700" t="s">
        <v>11954</v>
      </c>
    </row>
    <row r="4701" spans="1:5" x14ac:dyDescent="0.2">
      <c r="A4701" t="s">
        <v>12075</v>
      </c>
      <c r="B4701" t="s">
        <v>12076</v>
      </c>
      <c r="C4701" t="s">
        <v>11921</v>
      </c>
      <c r="D4701" t="s">
        <v>11921</v>
      </c>
      <c r="E4701" t="s">
        <v>11977</v>
      </c>
    </row>
    <row r="4702" spans="1:5" x14ac:dyDescent="0.2">
      <c r="A4702" t="s">
        <v>12077</v>
      </c>
      <c r="B4702" t="s">
        <v>12078</v>
      </c>
      <c r="C4702" t="s">
        <v>11921</v>
      </c>
      <c r="D4702" t="s">
        <v>11921</v>
      </c>
      <c r="E4702" t="s">
        <v>11945</v>
      </c>
    </row>
    <row r="4703" spans="1:5" x14ac:dyDescent="0.2">
      <c r="A4703" t="s">
        <v>12079</v>
      </c>
      <c r="B4703" t="s">
        <v>12080</v>
      </c>
      <c r="C4703" t="s">
        <v>11921</v>
      </c>
      <c r="D4703" t="s">
        <v>11921</v>
      </c>
      <c r="E4703" t="s">
        <v>12081</v>
      </c>
    </row>
    <row r="4704" spans="1:5" x14ac:dyDescent="0.2">
      <c r="A4704" t="s">
        <v>12082</v>
      </c>
      <c r="B4704" t="s">
        <v>12083</v>
      </c>
      <c r="C4704" t="s">
        <v>11921</v>
      </c>
      <c r="D4704" t="s">
        <v>11921</v>
      </c>
      <c r="E4704" t="s">
        <v>11977</v>
      </c>
    </row>
    <row r="4705" spans="1:5" x14ac:dyDescent="0.2">
      <c r="A4705" t="s">
        <v>12084</v>
      </c>
      <c r="B4705" t="s">
        <v>12085</v>
      </c>
      <c r="C4705" t="s">
        <v>11921</v>
      </c>
      <c r="D4705" t="s">
        <v>11921</v>
      </c>
      <c r="E4705" t="s">
        <v>11977</v>
      </c>
    </row>
    <row r="4706" spans="1:5" x14ac:dyDescent="0.2">
      <c r="A4706" t="s">
        <v>12086</v>
      </c>
      <c r="B4706" t="s">
        <v>12087</v>
      </c>
      <c r="C4706" t="s">
        <v>11921</v>
      </c>
      <c r="D4706" t="s">
        <v>11921</v>
      </c>
      <c r="E4706" t="s">
        <v>12088</v>
      </c>
    </row>
    <row r="4707" spans="1:5" x14ac:dyDescent="0.2">
      <c r="A4707" t="s">
        <v>12089</v>
      </c>
      <c r="B4707" t="s">
        <v>12090</v>
      </c>
      <c r="C4707" t="s">
        <v>11921</v>
      </c>
      <c r="D4707" t="s">
        <v>11921</v>
      </c>
      <c r="E4707" t="s">
        <v>11965</v>
      </c>
    </row>
    <row r="4708" spans="1:5" x14ac:dyDescent="0.2">
      <c r="A4708" t="s">
        <v>12091</v>
      </c>
      <c r="B4708" t="s">
        <v>12092</v>
      </c>
      <c r="C4708" t="s">
        <v>11921</v>
      </c>
      <c r="D4708" t="s">
        <v>11921</v>
      </c>
      <c r="E4708" t="s">
        <v>11945</v>
      </c>
    </row>
    <row r="4709" spans="1:5" x14ac:dyDescent="0.2">
      <c r="A4709" t="s">
        <v>12093</v>
      </c>
      <c r="B4709" t="s">
        <v>12094</v>
      </c>
      <c r="C4709" t="s">
        <v>11921</v>
      </c>
      <c r="D4709" t="s">
        <v>11921</v>
      </c>
      <c r="E4709" t="s">
        <v>12095</v>
      </c>
    </row>
    <row r="4710" spans="1:5" x14ac:dyDescent="0.2">
      <c r="A4710" t="s">
        <v>12096</v>
      </c>
      <c r="B4710" t="s">
        <v>12097</v>
      </c>
      <c r="C4710" t="s">
        <v>11921</v>
      </c>
      <c r="D4710" t="s">
        <v>11921</v>
      </c>
      <c r="E4710" t="s">
        <v>12098</v>
      </c>
    </row>
    <row r="4711" spans="1:5" x14ac:dyDescent="0.2">
      <c r="A4711" t="s">
        <v>12099</v>
      </c>
      <c r="B4711" t="s">
        <v>12100</v>
      </c>
      <c r="C4711" t="s">
        <v>11921</v>
      </c>
      <c r="D4711" t="s">
        <v>11921</v>
      </c>
      <c r="E4711" t="s">
        <v>12101</v>
      </c>
    </row>
    <row r="4712" spans="1:5" x14ac:dyDescent="0.2">
      <c r="A4712" t="s">
        <v>12102</v>
      </c>
      <c r="B4712" t="s">
        <v>12103</v>
      </c>
      <c r="C4712" t="s">
        <v>11921</v>
      </c>
      <c r="D4712" t="s">
        <v>11921</v>
      </c>
      <c r="E4712" t="s">
        <v>12104</v>
      </c>
    </row>
    <row r="4713" spans="1:5" x14ac:dyDescent="0.2">
      <c r="A4713" t="s">
        <v>12105</v>
      </c>
      <c r="B4713" t="s">
        <v>12106</v>
      </c>
      <c r="C4713" t="s">
        <v>11921</v>
      </c>
      <c r="D4713" t="s">
        <v>11921</v>
      </c>
      <c r="E4713" t="s">
        <v>12107</v>
      </c>
    </row>
    <row r="4714" spans="1:5" x14ac:dyDescent="0.2">
      <c r="A4714" t="s">
        <v>12108</v>
      </c>
      <c r="B4714" t="s">
        <v>12109</v>
      </c>
      <c r="C4714" t="s">
        <v>11921</v>
      </c>
      <c r="D4714" t="s">
        <v>11921</v>
      </c>
      <c r="E4714" t="s">
        <v>11925</v>
      </c>
    </row>
    <row r="4715" spans="1:5" x14ac:dyDescent="0.2">
      <c r="A4715" t="s">
        <v>12110</v>
      </c>
      <c r="B4715" t="s">
        <v>12111</v>
      </c>
      <c r="C4715" t="s">
        <v>11921</v>
      </c>
      <c r="D4715" t="s">
        <v>11921</v>
      </c>
      <c r="E4715" t="s">
        <v>11925</v>
      </c>
    </row>
    <row r="4716" spans="1:5" x14ac:dyDescent="0.2">
      <c r="A4716" t="s">
        <v>12112</v>
      </c>
      <c r="B4716" t="s">
        <v>12113</v>
      </c>
      <c r="C4716" t="s">
        <v>11921</v>
      </c>
      <c r="D4716" t="s">
        <v>11921</v>
      </c>
      <c r="E4716" t="s">
        <v>11977</v>
      </c>
    </row>
    <row r="4717" spans="1:5" x14ac:dyDescent="0.2">
      <c r="A4717" t="s">
        <v>12114</v>
      </c>
      <c r="B4717" t="s">
        <v>12115</v>
      </c>
      <c r="C4717" t="s">
        <v>11921</v>
      </c>
      <c r="D4717" t="s">
        <v>11921</v>
      </c>
      <c r="E4717" t="s">
        <v>11945</v>
      </c>
    </row>
    <row r="4718" spans="1:5" x14ac:dyDescent="0.2">
      <c r="A4718" t="s">
        <v>12116</v>
      </c>
      <c r="B4718" t="s">
        <v>12117</v>
      </c>
      <c r="C4718" t="s">
        <v>11921</v>
      </c>
      <c r="D4718" t="s">
        <v>11921</v>
      </c>
      <c r="E4718" t="s">
        <v>11965</v>
      </c>
    </row>
    <row r="4719" spans="1:5" x14ac:dyDescent="0.2">
      <c r="A4719" t="s">
        <v>12118</v>
      </c>
      <c r="B4719" t="s">
        <v>12119</v>
      </c>
      <c r="C4719" t="s">
        <v>11921</v>
      </c>
      <c r="D4719" t="s">
        <v>11921</v>
      </c>
      <c r="E4719" t="s">
        <v>11965</v>
      </c>
    </row>
    <row r="4720" spans="1:5" x14ac:dyDescent="0.2">
      <c r="A4720" t="s">
        <v>12120</v>
      </c>
      <c r="B4720" t="s">
        <v>12121</v>
      </c>
      <c r="C4720" t="s">
        <v>11921</v>
      </c>
      <c r="D4720" t="s">
        <v>11921</v>
      </c>
      <c r="E4720" t="s">
        <v>12122</v>
      </c>
    </row>
    <row r="4721" spans="1:5" x14ac:dyDescent="0.2">
      <c r="A4721" t="s">
        <v>12123</v>
      </c>
      <c r="B4721" t="s">
        <v>12124</v>
      </c>
      <c r="C4721" t="s">
        <v>11921</v>
      </c>
      <c r="D4721" t="s">
        <v>11921</v>
      </c>
      <c r="E4721" t="s">
        <v>11925</v>
      </c>
    </row>
    <row r="4722" spans="1:5" x14ac:dyDescent="0.2">
      <c r="A4722" t="s">
        <v>12125</v>
      </c>
      <c r="B4722" t="s">
        <v>12126</v>
      </c>
      <c r="C4722" t="s">
        <v>11921</v>
      </c>
      <c r="D4722" t="s">
        <v>11921</v>
      </c>
      <c r="E4722" t="s">
        <v>11925</v>
      </c>
    </row>
    <row r="4723" spans="1:5" x14ac:dyDescent="0.2">
      <c r="A4723" t="s">
        <v>12127</v>
      </c>
      <c r="B4723" t="s">
        <v>12128</v>
      </c>
      <c r="C4723" t="s">
        <v>11921</v>
      </c>
      <c r="D4723" t="s">
        <v>11921</v>
      </c>
      <c r="E4723" t="s">
        <v>11954</v>
      </c>
    </row>
    <row r="4724" spans="1:5" x14ac:dyDescent="0.2">
      <c r="A4724" t="s">
        <v>12129</v>
      </c>
      <c r="B4724" t="s">
        <v>12130</v>
      </c>
      <c r="C4724" t="s">
        <v>11921</v>
      </c>
      <c r="D4724" t="s">
        <v>11921</v>
      </c>
      <c r="E4724" t="s">
        <v>11945</v>
      </c>
    </row>
    <row r="4725" spans="1:5" x14ac:dyDescent="0.2">
      <c r="A4725" t="s">
        <v>12131</v>
      </c>
      <c r="B4725" t="s">
        <v>12132</v>
      </c>
      <c r="C4725" t="s">
        <v>11921</v>
      </c>
      <c r="D4725" t="s">
        <v>11921</v>
      </c>
      <c r="E4725" t="s">
        <v>11925</v>
      </c>
    </row>
    <row r="4726" spans="1:5" x14ac:dyDescent="0.2">
      <c r="A4726" t="s">
        <v>12133</v>
      </c>
      <c r="B4726" t="s">
        <v>12134</v>
      </c>
      <c r="C4726" t="s">
        <v>11921</v>
      </c>
      <c r="D4726" t="s">
        <v>11921</v>
      </c>
      <c r="E4726" t="s">
        <v>11945</v>
      </c>
    </row>
    <row r="4727" spans="1:5" x14ac:dyDescent="0.2">
      <c r="A4727" t="s">
        <v>12135</v>
      </c>
      <c r="B4727" t="s">
        <v>12136</v>
      </c>
      <c r="C4727" t="s">
        <v>11921</v>
      </c>
      <c r="D4727" t="s">
        <v>11921</v>
      </c>
      <c r="E4727" t="s">
        <v>11954</v>
      </c>
    </row>
    <row r="4728" spans="1:5" x14ac:dyDescent="0.2">
      <c r="A4728" t="s">
        <v>12137</v>
      </c>
      <c r="B4728" t="s">
        <v>12138</v>
      </c>
      <c r="C4728" t="s">
        <v>11921</v>
      </c>
      <c r="D4728" t="s">
        <v>11921</v>
      </c>
      <c r="E4728" t="s">
        <v>11954</v>
      </c>
    </row>
    <row r="4729" spans="1:5" x14ac:dyDescent="0.2">
      <c r="A4729" t="s">
        <v>12139</v>
      </c>
      <c r="B4729" t="s">
        <v>12140</v>
      </c>
      <c r="C4729" t="s">
        <v>11921</v>
      </c>
      <c r="D4729" t="s">
        <v>11921</v>
      </c>
      <c r="E4729" t="s">
        <v>12141</v>
      </c>
    </row>
    <row r="4730" spans="1:5" x14ac:dyDescent="0.2">
      <c r="A4730" t="s">
        <v>12142</v>
      </c>
      <c r="B4730" t="s">
        <v>12143</v>
      </c>
      <c r="C4730" t="s">
        <v>11921</v>
      </c>
      <c r="D4730" t="s">
        <v>11921</v>
      </c>
      <c r="E4730" t="s">
        <v>12144</v>
      </c>
    </row>
    <row r="4731" spans="1:5" x14ac:dyDescent="0.2">
      <c r="A4731" t="s">
        <v>12145</v>
      </c>
      <c r="B4731" t="s">
        <v>12146</v>
      </c>
      <c r="C4731" t="s">
        <v>11921</v>
      </c>
      <c r="D4731" t="s">
        <v>11921</v>
      </c>
      <c r="E4731" t="s">
        <v>11965</v>
      </c>
    </row>
    <row r="4732" spans="1:5" x14ac:dyDescent="0.2">
      <c r="A4732" t="s">
        <v>12147</v>
      </c>
      <c r="B4732" t="s">
        <v>12148</v>
      </c>
      <c r="C4732" t="s">
        <v>11921</v>
      </c>
      <c r="D4732" t="s">
        <v>11921</v>
      </c>
      <c r="E4732" t="s">
        <v>11925</v>
      </c>
    </row>
    <row r="4733" spans="1:5" x14ac:dyDescent="0.2">
      <c r="A4733" t="s">
        <v>12149</v>
      </c>
      <c r="B4733" t="s">
        <v>12150</v>
      </c>
      <c r="C4733" t="s">
        <v>11921</v>
      </c>
      <c r="D4733" t="s">
        <v>11921</v>
      </c>
      <c r="E4733" t="s">
        <v>11977</v>
      </c>
    </row>
    <row r="4734" spans="1:5" x14ac:dyDescent="0.2">
      <c r="A4734" t="s">
        <v>12151</v>
      </c>
      <c r="B4734" t="s">
        <v>12152</v>
      </c>
      <c r="C4734" t="s">
        <v>11921</v>
      </c>
      <c r="D4734" t="s">
        <v>11921</v>
      </c>
      <c r="E4734" t="s">
        <v>11977</v>
      </c>
    </row>
    <row r="4735" spans="1:5" x14ac:dyDescent="0.2">
      <c r="A4735" t="s">
        <v>12153</v>
      </c>
      <c r="B4735" t="s">
        <v>12154</v>
      </c>
      <c r="C4735" t="s">
        <v>11921</v>
      </c>
      <c r="D4735" t="s">
        <v>11921</v>
      </c>
      <c r="E4735" t="s">
        <v>12155</v>
      </c>
    </row>
    <row r="4736" spans="1:5" x14ac:dyDescent="0.2">
      <c r="A4736" t="s">
        <v>12156</v>
      </c>
      <c r="B4736" t="s">
        <v>12157</v>
      </c>
      <c r="C4736" t="s">
        <v>11921</v>
      </c>
      <c r="D4736" t="s">
        <v>11921</v>
      </c>
      <c r="E4736" t="s">
        <v>11977</v>
      </c>
    </row>
    <row r="4737" spans="1:5" x14ac:dyDescent="0.2">
      <c r="A4737" t="s">
        <v>12158</v>
      </c>
      <c r="B4737" t="s">
        <v>12159</v>
      </c>
      <c r="C4737" t="s">
        <v>11921</v>
      </c>
      <c r="D4737" t="s">
        <v>11921</v>
      </c>
      <c r="E4737" t="s">
        <v>11965</v>
      </c>
    </row>
    <row r="4738" spans="1:5" x14ac:dyDescent="0.2">
      <c r="A4738" t="s">
        <v>12160</v>
      </c>
      <c r="B4738" t="s">
        <v>12161</v>
      </c>
      <c r="C4738" t="s">
        <v>11921</v>
      </c>
      <c r="D4738" t="s">
        <v>11921</v>
      </c>
      <c r="E4738" t="s">
        <v>11954</v>
      </c>
    </row>
    <row r="4739" spans="1:5" x14ac:dyDescent="0.2">
      <c r="A4739" t="s">
        <v>12162</v>
      </c>
      <c r="B4739" t="s">
        <v>12163</v>
      </c>
      <c r="C4739" t="s">
        <v>11921</v>
      </c>
      <c r="D4739" t="s">
        <v>11921</v>
      </c>
      <c r="E4739" t="s">
        <v>11925</v>
      </c>
    </row>
    <row r="4740" spans="1:5" x14ac:dyDescent="0.2">
      <c r="A4740" t="s">
        <v>12164</v>
      </c>
      <c r="B4740" t="s">
        <v>12165</v>
      </c>
      <c r="C4740" t="s">
        <v>11921</v>
      </c>
      <c r="D4740" t="s">
        <v>11921</v>
      </c>
      <c r="E4740" t="s">
        <v>12166</v>
      </c>
    </row>
    <row r="4741" spans="1:5" x14ac:dyDescent="0.2">
      <c r="A4741" t="s">
        <v>12167</v>
      </c>
      <c r="B4741" t="s">
        <v>12168</v>
      </c>
      <c r="C4741" t="s">
        <v>11921</v>
      </c>
      <c r="D4741" t="s">
        <v>11921</v>
      </c>
      <c r="E4741" t="s">
        <v>12169</v>
      </c>
    </row>
    <row r="4742" spans="1:5" x14ac:dyDescent="0.2">
      <c r="A4742" t="s">
        <v>12170</v>
      </c>
      <c r="B4742" t="s">
        <v>12171</v>
      </c>
      <c r="C4742" t="s">
        <v>11921</v>
      </c>
      <c r="D4742" t="s">
        <v>11921</v>
      </c>
      <c r="E4742" t="s">
        <v>12172</v>
      </c>
    </row>
    <row r="4743" spans="1:5" x14ac:dyDescent="0.2">
      <c r="A4743" t="s">
        <v>12173</v>
      </c>
      <c r="B4743" t="s">
        <v>12174</v>
      </c>
      <c r="C4743" t="s">
        <v>11921</v>
      </c>
      <c r="D4743" t="s">
        <v>11921</v>
      </c>
      <c r="E4743" t="s">
        <v>12175</v>
      </c>
    </row>
    <row r="4744" spans="1:5" x14ac:dyDescent="0.2">
      <c r="A4744" t="s">
        <v>12176</v>
      </c>
      <c r="B4744" t="s">
        <v>12177</v>
      </c>
      <c r="C4744" t="s">
        <v>11921</v>
      </c>
      <c r="D4744" t="s">
        <v>11921</v>
      </c>
      <c r="E4744" t="s">
        <v>11965</v>
      </c>
    </row>
    <row r="4745" spans="1:5" x14ac:dyDescent="0.2">
      <c r="A4745" t="s">
        <v>12178</v>
      </c>
      <c r="B4745" t="s">
        <v>12179</v>
      </c>
      <c r="C4745" t="s">
        <v>11921</v>
      </c>
      <c r="D4745" t="s">
        <v>11921</v>
      </c>
      <c r="E4745" t="s">
        <v>12180</v>
      </c>
    </row>
    <row r="4746" spans="1:5" x14ac:dyDescent="0.2">
      <c r="A4746" t="s">
        <v>12181</v>
      </c>
      <c r="B4746" t="s">
        <v>12182</v>
      </c>
      <c r="C4746" t="s">
        <v>11921</v>
      </c>
      <c r="D4746" t="s">
        <v>11921</v>
      </c>
      <c r="E4746" t="s">
        <v>11925</v>
      </c>
    </row>
    <row r="4747" spans="1:5" x14ac:dyDescent="0.2">
      <c r="A4747" t="s">
        <v>12183</v>
      </c>
      <c r="B4747" t="s">
        <v>12184</v>
      </c>
      <c r="C4747" t="s">
        <v>11921</v>
      </c>
      <c r="D4747" t="s">
        <v>11921</v>
      </c>
      <c r="E4747" t="s">
        <v>11925</v>
      </c>
    </row>
    <row r="4748" spans="1:5" x14ac:dyDescent="0.2">
      <c r="A4748" t="s">
        <v>12185</v>
      </c>
      <c r="B4748" t="s">
        <v>12186</v>
      </c>
      <c r="C4748" t="s">
        <v>11921</v>
      </c>
      <c r="D4748" t="s">
        <v>11921</v>
      </c>
      <c r="E4748" t="s">
        <v>12187</v>
      </c>
    </row>
    <row r="4749" spans="1:5" x14ac:dyDescent="0.2">
      <c r="A4749" t="s">
        <v>12188</v>
      </c>
      <c r="B4749" t="s">
        <v>12189</v>
      </c>
      <c r="C4749" t="s">
        <v>11921</v>
      </c>
      <c r="D4749" t="s">
        <v>11921</v>
      </c>
      <c r="E4749" t="s">
        <v>12190</v>
      </c>
    </row>
    <row r="4750" spans="1:5" x14ac:dyDescent="0.2">
      <c r="A4750" t="s">
        <v>12191</v>
      </c>
      <c r="B4750" t="s">
        <v>12192</v>
      </c>
      <c r="C4750" t="s">
        <v>11921</v>
      </c>
      <c r="D4750" t="s">
        <v>11921</v>
      </c>
      <c r="E4750" t="s">
        <v>12193</v>
      </c>
    </row>
    <row r="4751" spans="1:5" x14ac:dyDescent="0.2">
      <c r="A4751" t="s">
        <v>12194</v>
      </c>
      <c r="B4751" t="s">
        <v>12195</v>
      </c>
      <c r="C4751" t="s">
        <v>11921</v>
      </c>
      <c r="D4751" t="s">
        <v>11921</v>
      </c>
      <c r="E4751" t="s">
        <v>11925</v>
      </c>
    </row>
    <row r="4752" spans="1:5" x14ac:dyDescent="0.2">
      <c r="A4752" t="s">
        <v>12196</v>
      </c>
      <c r="B4752" t="s">
        <v>12197</v>
      </c>
      <c r="C4752" t="s">
        <v>11921</v>
      </c>
      <c r="D4752" t="s">
        <v>11921</v>
      </c>
      <c r="E4752" t="s">
        <v>12198</v>
      </c>
    </row>
    <row r="4753" spans="1:5" x14ac:dyDescent="0.2">
      <c r="A4753" t="s">
        <v>12199</v>
      </c>
      <c r="B4753" t="s">
        <v>12200</v>
      </c>
      <c r="C4753" t="s">
        <v>11921</v>
      </c>
      <c r="D4753" t="s">
        <v>11921</v>
      </c>
      <c r="E4753" t="s">
        <v>11945</v>
      </c>
    </row>
    <row r="4754" spans="1:5" x14ac:dyDescent="0.2">
      <c r="A4754" t="s">
        <v>12201</v>
      </c>
      <c r="B4754" t="s">
        <v>12202</v>
      </c>
      <c r="C4754" t="s">
        <v>11921</v>
      </c>
      <c r="D4754" t="s">
        <v>11921</v>
      </c>
      <c r="E4754" t="s">
        <v>12203</v>
      </c>
    </row>
    <row r="4755" spans="1:5" x14ac:dyDescent="0.2">
      <c r="A4755" t="s">
        <v>12204</v>
      </c>
      <c r="B4755" t="s">
        <v>12205</v>
      </c>
      <c r="C4755" t="s">
        <v>11921</v>
      </c>
      <c r="D4755" t="s">
        <v>11921</v>
      </c>
      <c r="E4755" t="s">
        <v>11945</v>
      </c>
    </row>
    <row r="4756" spans="1:5" x14ac:dyDescent="0.2">
      <c r="A4756" t="s">
        <v>12206</v>
      </c>
      <c r="B4756" t="s">
        <v>12207</v>
      </c>
      <c r="C4756" t="s">
        <v>11921</v>
      </c>
      <c r="D4756" t="s">
        <v>11921</v>
      </c>
      <c r="E4756" t="s">
        <v>12208</v>
      </c>
    </row>
    <row r="4757" spans="1:5" x14ac:dyDescent="0.2">
      <c r="A4757" t="s">
        <v>12209</v>
      </c>
      <c r="B4757" t="s">
        <v>12210</v>
      </c>
      <c r="C4757" t="s">
        <v>11921</v>
      </c>
      <c r="D4757" t="s">
        <v>11921</v>
      </c>
      <c r="E4757" t="s">
        <v>11954</v>
      </c>
    </row>
    <row r="4758" spans="1:5" x14ac:dyDescent="0.2">
      <c r="A4758" t="s">
        <v>12211</v>
      </c>
      <c r="B4758" t="s">
        <v>12212</v>
      </c>
      <c r="C4758" t="s">
        <v>11921</v>
      </c>
      <c r="D4758" t="s">
        <v>11921</v>
      </c>
      <c r="E4758" t="s">
        <v>12213</v>
      </c>
    </row>
    <row r="4759" spans="1:5" x14ac:dyDescent="0.2">
      <c r="A4759" t="s">
        <v>12214</v>
      </c>
      <c r="B4759" t="s">
        <v>12215</v>
      </c>
      <c r="C4759" t="s">
        <v>11921</v>
      </c>
      <c r="D4759" t="s">
        <v>11921</v>
      </c>
      <c r="E4759" t="s">
        <v>12068</v>
      </c>
    </row>
    <row r="4760" spans="1:5" x14ac:dyDescent="0.2">
      <c r="A4760" t="s">
        <v>12216</v>
      </c>
      <c r="B4760" t="s">
        <v>12217</v>
      </c>
      <c r="C4760" t="s">
        <v>12218</v>
      </c>
      <c r="D4760" t="s">
        <v>12218</v>
      </c>
      <c r="E4760" t="s">
        <v>12219</v>
      </c>
    </row>
    <row r="4761" spans="1:5" x14ac:dyDescent="0.2">
      <c r="A4761" t="s">
        <v>12220</v>
      </c>
      <c r="B4761" t="s">
        <v>12221</v>
      </c>
      <c r="C4761" t="s">
        <v>12218</v>
      </c>
      <c r="D4761" t="s">
        <v>12218</v>
      </c>
      <c r="E4761" t="s">
        <v>12222</v>
      </c>
    </row>
    <row r="4762" spans="1:5" x14ac:dyDescent="0.2">
      <c r="A4762" t="s">
        <v>12223</v>
      </c>
      <c r="B4762" t="s">
        <v>12224</v>
      </c>
      <c r="C4762" t="s">
        <v>12218</v>
      </c>
      <c r="D4762" t="s">
        <v>12218</v>
      </c>
      <c r="E4762" t="s">
        <v>12225</v>
      </c>
    </row>
    <row r="4763" spans="1:5" x14ac:dyDescent="0.2">
      <c r="A4763" t="s">
        <v>12226</v>
      </c>
      <c r="B4763" t="s">
        <v>12227</v>
      </c>
      <c r="C4763" t="s">
        <v>12218</v>
      </c>
      <c r="D4763" t="s">
        <v>12218</v>
      </c>
      <c r="E4763" t="s">
        <v>12228</v>
      </c>
    </row>
    <row r="4764" spans="1:5" x14ac:dyDescent="0.2">
      <c r="A4764" t="s">
        <v>12229</v>
      </c>
      <c r="B4764" t="s">
        <v>12230</v>
      </c>
      <c r="C4764" t="s">
        <v>12218</v>
      </c>
      <c r="D4764" t="s">
        <v>12218</v>
      </c>
      <c r="E4764" t="s">
        <v>12231</v>
      </c>
    </row>
    <row r="4765" spans="1:5" x14ac:dyDescent="0.2">
      <c r="A4765" t="s">
        <v>12232</v>
      </c>
      <c r="B4765" t="s">
        <v>12233</v>
      </c>
      <c r="C4765" t="s">
        <v>12218</v>
      </c>
      <c r="D4765" t="s">
        <v>12218</v>
      </c>
      <c r="E4765" t="s">
        <v>12222</v>
      </c>
    </row>
    <row r="4766" spans="1:5" x14ac:dyDescent="0.2">
      <c r="A4766" t="s">
        <v>12234</v>
      </c>
      <c r="B4766" t="s">
        <v>12235</v>
      </c>
      <c r="C4766" t="s">
        <v>12218</v>
      </c>
      <c r="D4766" t="s">
        <v>12218</v>
      </c>
      <c r="E4766" t="s">
        <v>12236</v>
      </c>
    </row>
    <row r="4767" spans="1:5" x14ac:dyDescent="0.2">
      <c r="A4767" t="s">
        <v>12237</v>
      </c>
      <c r="B4767" t="s">
        <v>12238</v>
      </c>
      <c r="C4767" t="s">
        <v>12218</v>
      </c>
      <c r="D4767" t="s">
        <v>12218</v>
      </c>
      <c r="E4767" t="s">
        <v>12239</v>
      </c>
    </row>
    <row r="4768" spans="1:5" x14ac:dyDescent="0.2">
      <c r="A4768" t="s">
        <v>12240</v>
      </c>
      <c r="B4768" t="s">
        <v>12241</v>
      </c>
      <c r="C4768" t="s">
        <v>12218</v>
      </c>
      <c r="D4768" t="s">
        <v>12218</v>
      </c>
      <c r="E4768" t="s">
        <v>12242</v>
      </c>
    </row>
    <row r="4769" spans="1:5" x14ac:dyDescent="0.2">
      <c r="A4769" t="s">
        <v>12243</v>
      </c>
      <c r="B4769" t="s">
        <v>12244</v>
      </c>
      <c r="C4769" t="s">
        <v>12218</v>
      </c>
      <c r="D4769" t="s">
        <v>12218</v>
      </c>
      <c r="E4769" t="s">
        <v>12225</v>
      </c>
    </row>
    <row r="4770" spans="1:5" x14ac:dyDescent="0.2">
      <c r="A4770" t="s">
        <v>12245</v>
      </c>
      <c r="B4770" t="s">
        <v>12246</v>
      </c>
      <c r="C4770" t="s">
        <v>12218</v>
      </c>
      <c r="D4770" t="s">
        <v>12218</v>
      </c>
      <c r="E4770" t="s">
        <v>12247</v>
      </c>
    </row>
    <row r="4771" spans="1:5" x14ac:dyDescent="0.2">
      <c r="A4771" t="s">
        <v>12248</v>
      </c>
      <c r="B4771" t="s">
        <v>12249</v>
      </c>
      <c r="C4771" t="s">
        <v>12218</v>
      </c>
      <c r="D4771" t="s">
        <v>12218</v>
      </c>
      <c r="E4771" t="s">
        <v>12250</v>
      </c>
    </row>
    <row r="4772" spans="1:5" x14ac:dyDescent="0.2">
      <c r="A4772" t="s">
        <v>12251</v>
      </c>
      <c r="B4772" t="s">
        <v>12252</v>
      </c>
      <c r="C4772" t="s">
        <v>12218</v>
      </c>
      <c r="D4772" t="s">
        <v>12218</v>
      </c>
      <c r="E4772" t="s">
        <v>12222</v>
      </c>
    </row>
    <row r="4773" spans="1:5" x14ac:dyDescent="0.2">
      <c r="A4773" t="s">
        <v>12253</v>
      </c>
      <c r="B4773" t="s">
        <v>12254</v>
      </c>
      <c r="C4773" t="s">
        <v>12218</v>
      </c>
      <c r="D4773" t="s">
        <v>12218</v>
      </c>
      <c r="E4773" t="s">
        <v>12255</v>
      </c>
    </row>
    <row r="4774" spans="1:5" x14ac:dyDescent="0.2">
      <c r="A4774" t="s">
        <v>12256</v>
      </c>
      <c r="B4774" t="s">
        <v>12257</v>
      </c>
      <c r="C4774" t="s">
        <v>12218</v>
      </c>
      <c r="D4774" t="s">
        <v>12218</v>
      </c>
      <c r="E4774" t="s">
        <v>12225</v>
      </c>
    </row>
    <row r="4775" spans="1:5" x14ac:dyDescent="0.2">
      <c r="A4775" t="s">
        <v>12258</v>
      </c>
      <c r="B4775" t="s">
        <v>12259</v>
      </c>
      <c r="C4775" t="s">
        <v>12218</v>
      </c>
      <c r="D4775" t="s">
        <v>12218</v>
      </c>
      <c r="E4775" t="s">
        <v>12222</v>
      </c>
    </row>
    <row r="4776" spans="1:5" x14ac:dyDescent="0.2">
      <c r="A4776" t="s">
        <v>12260</v>
      </c>
      <c r="B4776" t="s">
        <v>12261</v>
      </c>
      <c r="C4776" t="s">
        <v>12218</v>
      </c>
      <c r="D4776" t="s">
        <v>12218</v>
      </c>
      <c r="E4776" t="s">
        <v>12262</v>
      </c>
    </row>
    <row r="4777" spans="1:5" x14ac:dyDescent="0.2">
      <c r="A4777" t="s">
        <v>12263</v>
      </c>
      <c r="B4777" t="s">
        <v>12264</v>
      </c>
      <c r="C4777" t="s">
        <v>12218</v>
      </c>
      <c r="D4777" t="s">
        <v>12218</v>
      </c>
      <c r="E4777" t="s">
        <v>12265</v>
      </c>
    </row>
    <row r="4778" spans="1:5" x14ac:dyDescent="0.2">
      <c r="A4778" t="s">
        <v>12266</v>
      </c>
      <c r="B4778" t="s">
        <v>12267</v>
      </c>
      <c r="C4778" t="s">
        <v>12218</v>
      </c>
      <c r="D4778" t="s">
        <v>12218</v>
      </c>
      <c r="E4778" t="s">
        <v>12268</v>
      </c>
    </row>
    <row r="4779" spans="1:5" x14ac:dyDescent="0.2">
      <c r="A4779" t="s">
        <v>12269</v>
      </c>
      <c r="B4779" t="s">
        <v>12270</v>
      </c>
      <c r="C4779" t="s">
        <v>12218</v>
      </c>
      <c r="D4779" t="s">
        <v>12218</v>
      </c>
      <c r="E4779" t="s">
        <v>12222</v>
      </c>
    </row>
    <row r="4780" spans="1:5" x14ac:dyDescent="0.2">
      <c r="A4780" t="s">
        <v>12271</v>
      </c>
      <c r="B4780" t="s">
        <v>12272</v>
      </c>
      <c r="C4780" t="s">
        <v>12218</v>
      </c>
      <c r="D4780" t="s">
        <v>12218</v>
      </c>
      <c r="E4780" t="s">
        <v>12222</v>
      </c>
    </row>
    <row r="4781" spans="1:5" x14ac:dyDescent="0.2">
      <c r="A4781" t="s">
        <v>12273</v>
      </c>
      <c r="B4781" t="s">
        <v>12274</v>
      </c>
      <c r="C4781" t="s">
        <v>12218</v>
      </c>
      <c r="D4781" t="s">
        <v>12218</v>
      </c>
      <c r="E4781" t="s">
        <v>12222</v>
      </c>
    </row>
    <row r="4782" spans="1:5" x14ac:dyDescent="0.2">
      <c r="A4782" t="s">
        <v>12275</v>
      </c>
      <c r="B4782" t="s">
        <v>12276</v>
      </c>
      <c r="C4782" t="s">
        <v>12218</v>
      </c>
      <c r="D4782" t="s">
        <v>12218</v>
      </c>
      <c r="E4782" t="s">
        <v>12222</v>
      </c>
    </row>
    <row r="4783" spans="1:5" x14ac:dyDescent="0.2">
      <c r="A4783" t="s">
        <v>12277</v>
      </c>
      <c r="B4783" t="s">
        <v>12278</v>
      </c>
      <c r="C4783" t="s">
        <v>12218</v>
      </c>
      <c r="D4783" t="s">
        <v>12218</v>
      </c>
      <c r="E4783" t="s">
        <v>12279</v>
      </c>
    </row>
    <row r="4784" spans="1:5" x14ac:dyDescent="0.2">
      <c r="A4784" t="s">
        <v>12280</v>
      </c>
      <c r="B4784" t="s">
        <v>12281</v>
      </c>
      <c r="C4784" t="s">
        <v>12218</v>
      </c>
      <c r="D4784" t="s">
        <v>12218</v>
      </c>
      <c r="E4784" t="s">
        <v>12282</v>
      </c>
    </row>
    <row r="4785" spans="1:5" x14ac:dyDescent="0.2">
      <c r="A4785" t="s">
        <v>12283</v>
      </c>
      <c r="B4785" t="s">
        <v>12284</v>
      </c>
      <c r="C4785" t="s">
        <v>12218</v>
      </c>
      <c r="D4785" t="s">
        <v>12218</v>
      </c>
      <c r="E4785" t="s">
        <v>12225</v>
      </c>
    </row>
    <row r="4786" spans="1:5" x14ac:dyDescent="0.2">
      <c r="A4786" t="s">
        <v>12285</v>
      </c>
      <c r="B4786" t="s">
        <v>12286</v>
      </c>
      <c r="C4786" t="s">
        <v>12218</v>
      </c>
      <c r="D4786" t="s">
        <v>12218</v>
      </c>
      <c r="E4786" t="s">
        <v>12287</v>
      </c>
    </row>
    <row r="4787" spans="1:5" x14ac:dyDescent="0.2">
      <c r="A4787" t="s">
        <v>12288</v>
      </c>
      <c r="B4787" t="s">
        <v>12289</v>
      </c>
      <c r="C4787" t="s">
        <v>12218</v>
      </c>
      <c r="D4787" t="s">
        <v>12218</v>
      </c>
      <c r="E4787" t="s">
        <v>12290</v>
      </c>
    </row>
    <row r="4788" spans="1:5" x14ac:dyDescent="0.2">
      <c r="A4788" t="s">
        <v>12291</v>
      </c>
      <c r="B4788" t="s">
        <v>12292</v>
      </c>
      <c r="C4788" t="s">
        <v>12218</v>
      </c>
      <c r="D4788" t="s">
        <v>12218</v>
      </c>
      <c r="E4788" t="s">
        <v>12222</v>
      </c>
    </row>
    <row r="4789" spans="1:5" x14ac:dyDescent="0.2">
      <c r="A4789" t="s">
        <v>12293</v>
      </c>
      <c r="B4789" t="s">
        <v>12294</v>
      </c>
      <c r="C4789" t="s">
        <v>12218</v>
      </c>
      <c r="D4789" t="s">
        <v>12218</v>
      </c>
      <c r="E4789" t="s">
        <v>12295</v>
      </c>
    </row>
    <row r="4790" spans="1:5" x14ac:dyDescent="0.2">
      <c r="A4790" t="s">
        <v>12296</v>
      </c>
      <c r="B4790" t="s">
        <v>12297</v>
      </c>
      <c r="C4790" t="s">
        <v>12218</v>
      </c>
      <c r="D4790" t="s">
        <v>12218</v>
      </c>
      <c r="E4790" t="s">
        <v>12225</v>
      </c>
    </row>
    <row r="4791" spans="1:5" x14ac:dyDescent="0.2">
      <c r="A4791" t="s">
        <v>12298</v>
      </c>
      <c r="B4791" t="s">
        <v>12299</v>
      </c>
      <c r="C4791" t="s">
        <v>12218</v>
      </c>
      <c r="D4791" t="s">
        <v>12218</v>
      </c>
      <c r="E4791" t="s">
        <v>12300</v>
      </c>
    </row>
    <row r="4792" spans="1:5" x14ac:dyDescent="0.2">
      <c r="A4792" t="s">
        <v>12301</v>
      </c>
      <c r="B4792" t="s">
        <v>12302</v>
      </c>
      <c r="C4792" t="s">
        <v>12218</v>
      </c>
      <c r="D4792" t="s">
        <v>12218</v>
      </c>
      <c r="E4792" t="s">
        <v>12225</v>
      </c>
    </row>
    <row r="4793" spans="1:5" x14ac:dyDescent="0.2">
      <c r="A4793" t="s">
        <v>12303</v>
      </c>
      <c r="B4793" t="s">
        <v>12304</v>
      </c>
      <c r="C4793" t="s">
        <v>12305</v>
      </c>
      <c r="D4793" t="s">
        <v>12305</v>
      </c>
      <c r="E4793" t="s">
        <v>12306</v>
      </c>
    </row>
    <row r="4794" spans="1:5" x14ac:dyDescent="0.2">
      <c r="A4794" t="s">
        <v>12307</v>
      </c>
      <c r="B4794" t="s">
        <v>12308</v>
      </c>
      <c r="C4794" t="s">
        <v>12305</v>
      </c>
      <c r="D4794" t="s">
        <v>12305</v>
      </c>
      <c r="E4794" t="s">
        <v>12309</v>
      </c>
    </row>
    <row r="4795" spans="1:5" x14ac:dyDescent="0.2">
      <c r="A4795" t="s">
        <v>12310</v>
      </c>
      <c r="B4795" t="s">
        <v>12311</v>
      </c>
      <c r="C4795" t="s">
        <v>12305</v>
      </c>
      <c r="D4795" t="s">
        <v>12305</v>
      </c>
      <c r="E4795" t="s">
        <v>12312</v>
      </c>
    </row>
    <row r="4796" spans="1:5" x14ac:dyDescent="0.2">
      <c r="A4796" t="s">
        <v>12313</v>
      </c>
      <c r="B4796" t="s">
        <v>12314</v>
      </c>
      <c r="C4796" t="s">
        <v>12305</v>
      </c>
      <c r="D4796" t="s">
        <v>12305</v>
      </c>
      <c r="E4796" t="s">
        <v>12315</v>
      </c>
    </row>
    <row r="4797" spans="1:5" x14ac:dyDescent="0.2">
      <c r="A4797" t="s">
        <v>12316</v>
      </c>
      <c r="B4797" t="s">
        <v>12317</v>
      </c>
      <c r="C4797" t="s">
        <v>12305</v>
      </c>
      <c r="D4797" t="s">
        <v>12305</v>
      </c>
      <c r="E4797" t="s">
        <v>12318</v>
      </c>
    </row>
    <row r="4798" spans="1:5" x14ac:dyDescent="0.2">
      <c r="A4798" t="s">
        <v>12319</v>
      </c>
      <c r="B4798" t="s">
        <v>12320</v>
      </c>
      <c r="C4798" t="s">
        <v>12305</v>
      </c>
      <c r="D4798" t="s">
        <v>12305</v>
      </c>
      <c r="E4798" t="s">
        <v>12321</v>
      </c>
    </row>
    <row r="4799" spans="1:5" x14ac:dyDescent="0.2">
      <c r="A4799" t="s">
        <v>12322</v>
      </c>
      <c r="B4799" t="s">
        <v>12323</v>
      </c>
      <c r="C4799" t="s">
        <v>12305</v>
      </c>
      <c r="D4799" t="s">
        <v>12305</v>
      </c>
      <c r="E4799" t="s">
        <v>12324</v>
      </c>
    </row>
    <row r="4800" spans="1:5" x14ac:dyDescent="0.2">
      <c r="A4800" t="s">
        <v>12325</v>
      </c>
      <c r="B4800" t="s">
        <v>12326</v>
      </c>
      <c r="C4800" t="s">
        <v>12305</v>
      </c>
      <c r="D4800" t="s">
        <v>12305</v>
      </c>
      <c r="E4800" t="s">
        <v>12327</v>
      </c>
    </row>
    <row r="4801" spans="1:5" x14ac:dyDescent="0.2">
      <c r="A4801" t="s">
        <v>12328</v>
      </c>
      <c r="B4801" t="s">
        <v>12329</v>
      </c>
      <c r="C4801" t="s">
        <v>12305</v>
      </c>
      <c r="D4801" t="s">
        <v>12305</v>
      </c>
      <c r="E4801" t="s">
        <v>12330</v>
      </c>
    </row>
    <row r="4802" spans="1:5" x14ac:dyDescent="0.2">
      <c r="A4802" t="s">
        <v>12331</v>
      </c>
      <c r="B4802" t="s">
        <v>12332</v>
      </c>
      <c r="C4802" t="s">
        <v>12305</v>
      </c>
      <c r="D4802" t="s">
        <v>12305</v>
      </c>
      <c r="E4802" t="s">
        <v>12333</v>
      </c>
    </row>
    <row r="4803" spans="1:5" x14ac:dyDescent="0.2">
      <c r="A4803" t="s">
        <v>12334</v>
      </c>
      <c r="B4803" t="s">
        <v>12335</v>
      </c>
      <c r="C4803" t="s">
        <v>12305</v>
      </c>
      <c r="D4803" t="s">
        <v>12305</v>
      </c>
      <c r="E4803" t="s">
        <v>12336</v>
      </c>
    </row>
    <row r="4804" spans="1:5" x14ac:dyDescent="0.2">
      <c r="A4804" t="s">
        <v>12337</v>
      </c>
      <c r="B4804" t="s">
        <v>12338</v>
      </c>
      <c r="C4804" t="s">
        <v>12305</v>
      </c>
      <c r="D4804" t="s">
        <v>12305</v>
      </c>
      <c r="E4804" t="s">
        <v>12306</v>
      </c>
    </row>
    <row r="4805" spans="1:5" x14ac:dyDescent="0.2">
      <c r="A4805" t="s">
        <v>12339</v>
      </c>
      <c r="B4805" t="s">
        <v>12340</v>
      </c>
      <c r="C4805" t="s">
        <v>12305</v>
      </c>
      <c r="D4805" t="s">
        <v>12305</v>
      </c>
      <c r="E4805" t="s">
        <v>12306</v>
      </c>
    </row>
    <row r="4806" spans="1:5" x14ac:dyDescent="0.2">
      <c r="A4806" t="s">
        <v>12341</v>
      </c>
      <c r="B4806" t="s">
        <v>12342</v>
      </c>
      <c r="C4806" t="s">
        <v>12305</v>
      </c>
      <c r="D4806" t="s">
        <v>12305</v>
      </c>
      <c r="E4806" t="s">
        <v>12343</v>
      </c>
    </row>
    <row r="4807" spans="1:5" x14ac:dyDescent="0.2">
      <c r="A4807" t="s">
        <v>12344</v>
      </c>
      <c r="B4807" t="s">
        <v>12345</v>
      </c>
      <c r="C4807" t="s">
        <v>12305</v>
      </c>
      <c r="D4807" t="s">
        <v>12305</v>
      </c>
      <c r="E4807" t="s">
        <v>12346</v>
      </c>
    </row>
    <row r="4808" spans="1:5" x14ac:dyDescent="0.2">
      <c r="A4808" t="s">
        <v>12347</v>
      </c>
      <c r="B4808" t="s">
        <v>12348</v>
      </c>
      <c r="C4808" t="s">
        <v>12305</v>
      </c>
      <c r="D4808" t="s">
        <v>12305</v>
      </c>
      <c r="E4808" t="s">
        <v>12346</v>
      </c>
    </row>
    <row r="4809" spans="1:5" x14ac:dyDescent="0.2">
      <c r="A4809" t="s">
        <v>12349</v>
      </c>
      <c r="B4809" t="s">
        <v>12350</v>
      </c>
      <c r="C4809" t="s">
        <v>12305</v>
      </c>
      <c r="D4809" t="s">
        <v>12305</v>
      </c>
      <c r="E4809" t="s">
        <v>12346</v>
      </c>
    </row>
    <row r="4810" spans="1:5" x14ac:dyDescent="0.2">
      <c r="A4810" t="s">
        <v>12351</v>
      </c>
      <c r="B4810" t="s">
        <v>12352</v>
      </c>
      <c r="C4810" t="s">
        <v>12305</v>
      </c>
      <c r="D4810" t="s">
        <v>12305</v>
      </c>
      <c r="E4810" t="s">
        <v>12353</v>
      </c>
    </row>
    <row r="4811" spans="1:5" x14ac:dyDescent="0.2">
      <c r="A4811" t="s">
        <v>12354</v>
      </c>
      <c r="B4811" t="s">
        <v>12355</v>
      </c>
      <c r="C4811" t="s">
        <v>12305</v>
      </c>
      <c r="D4811" t="s">
        <v>12305</v>
      </c>
      <c r="E4811" t="s">
        <v>12356</v>
      </c>
    </row>
    <row r="4812" spans="1:5" x14ac:dyDescent="0.2">
      <c r="A4812" t="s">
        <v>12357</v>
      </c>
      <c r="B4812" t="s">
        <v>12358</v>
      </c>
      <c r="C4812" t="s">
        <v>12305</v>
      </c>
      <c r="D4812" t="s">
        <v>12305</v>
      </c>
      <c r="E4812" t="s">
        <v>12346</v>
      </c>
    </row>
    <row r="4813" spans="1:5" x14ac:dyDescent="0.2">
      <c r="A4813" t="s">
        <v>12359</v>
      </c>
      <c r="B4813" t="s">
        <v>12360</v>
      </c>
      <c r="C4813" t="s">
        <v>12305</v>
      </c>
      <c r="D4813" t="s">
        <v>12305</v>
      </c>
      <c r="E4813" t="s">
        <v>12306</v>
      </c>
    </row>
    <row r="4814" spans="1:5" x14ac:dyDescent="0.2">
      <c r="A4814" t="s">
        <v>12361</v>
      </c>
      <c r="B4814" t="s">
        <v>12362</v>
      </c>
      <c r="C4814" t="s">
        <v>12305</v>
      </c>
      <c r="D4814" t="s">
        <v>12305</v>
      </c>
      <c r="E4814" t="s">
        <v>12346</v>
      </c>
    </row>
    <row r="4815" spans="1:5" x14ac:dyDescent="0.2">
      <c r="A4815" t="s">
        <v>12363</v>
      </c>
      <c r="B4815" t="s">
        <v>12364</v>
      </c>
      <c r="C4815" t="s">
        <v>12305</v>
      </c>
      <c r="D4815" t="s">
        <v>12305</v>
      </c>
      <c r="E4815" t="s">
        <v>12330</v>
      </c>
    </row>
    <row r="4816" spans="1:5" x14ac:dyDescent="0.2">
      <c r="A4816" t="s">
        <v>12365</v>
      </c>
      <c r="B4816" t="s">
        <v>12366</v>
      </c>
      <c r="C4816" t="s">
        <v>12305</v>
      </c>
      <c r="D4816" t="s">
        <v>12305</v>
      </c>
      <c r="E4816" t="s">
        <v>12367</v>
      </c>
    </row>
    <row r="4817" spans="1:5" x14ac:dyDescent="0.2">
      <c r="A4817" t="s">
        <v>12368</v>
      </c>
      <c r="B4817" t="s">
        <v>12369</v>
      </c>
      <c r="C4817" t="s">
        <v>12305</v>
      </c>
      <c r="D4817" t="s">
        <v>12305</v>
      </c>
      <c r="E4817" t="s">
        <v>12370</v>
      </c>
    </row>
    <row r="4818" spans="1:5" x14ac:dyDescent="0.2">
      <c r="A4818" t="s">
        <v>12371</v>
      </c>
      <c r="B4818" t="s">
        <v>12372</v>
      </c>
      <c r="C4818" t="s">
        <v>12305</v>
      </c>
      <c r="D4818" t="s">
        <v>12305</v>
      </c>
      <c r="E4818" t="s">
        <v>12373</v>
      </c>
    </row>
    <row r="4819" spans="1:5" x14ac:dyDescent="0.2">
      <c r="A4819" t="s">
        <v>12374</v>
      </c>
      <c r="B4819" t="s">
        <v>12375</v>
      </c>
      <c r="C4819" t="s">
        <v>12305</v>
      </c>
      <c r="D4819" t="s">
        <v>12305</v>
      </c>
      <c r="E4819" t="s">
        <v>12346</v>
      </c>
    </row>
    <row r="4820" spans="1:5" x14ac:dyDescent="0.2">
      <c r="A4820" t="s">
        <v>12376</v>
      </c>
      <c r="B4820" t="s">
        <v>12377</v>
      </c>
      <c r="C4820" t="s">
        <v>12305</v>
      </c>
      <c r="D4820" t="s">
        <v>12305</v>
      </c>
      <c r="E4820" t="s">
        <v>12309</v>
      </c>
    </row>
    <row r="4821" spans="1:5" x14ac:dyDescent="0.2">
      <c r="A4821" t="s">
        <v>12378</v>
      </c>
      <c r="B4821" t="s">
        <v>12379</v>
      </c>
      <c r="C4821" t="s">
        <v>12305</v>
      </c>
      <c r="D4821" t="s">
        <v>12305</v>
      </c>
      <c r="E4821" t="s">
        <v>12346</v>
      </c>
    </row>
    <row r="4822" spans="1:5" x14ac:dyDescent="0.2">
      <c r="A4822" t="s">
        <v>12380</v>
      </c>
      <c r="B4822" t="s">
        <v>12381</v>
      </c>
      <c r="C4822" t="s">
        <v>12305</v>
      </c>
      <c r="D4822" t="s">
        <v>12305</v>
      </c>
      <c r="E4822" t="s">
        <v>12306</v>
      </c>
    </row>
    <row r="4823" spans="1:5" x14ac:dyDescent="0.2">
      <c r="A4823" t="s">
        <v>12382</v>
      </c>
      <c r="B4823" t="s">
        <v>12383</v>
      </c>
      <c r="C4823" t="s">
        <v>12305</v>
      </c>
      <c r="D4823" t="s">
        <v>12305</v>
      </c>
      <c r="E4823" t="s">
        <v>12384</v>
      </c>
    </row>
    <row r="4824" spans="1:5" x14ac:dyDescent="0.2">
      <c r="A4824" t="s">
        <v>12385</v>
      </c>
      <c r="B4824" t="s">
        <v>12386</v>
      </c>
      <c r="C4824" t="s">
        <v>12305</v>
      </c>
      <c r="D4824" t="s">
        <v>12305</v>
      </c>
      <c r="E4824" t="s">
        <v>12330</v>
      </c>
    </row>
    <row r="4825" spans="1:5" x14ac:dyDescent="0.2">
      <c r="A4825" t="s">
        <v>12387</v>
      </c>
      <c r="B4825" t="s">
        <v>12388</v>
      </c>
      <c r="C4825" t="s">
        <v>12305</v>
      </c>
      <c r="D4825" t="s">
        <v>12305</v>
      </c>
      <c r="E4825" t="s">
        <v>12389</v>
      </c>
    </row>
    <row r="4826" spans="1:5" x14ac:dyDescent="0.2">
      <c r="A4826" t="s">
        <v>12390</v>
      </c>
      <c r="B4826" t="s">
        <v>12391</v>
      </c>
      <c r="C4826" t="s">
        <v>12305</v>
      </c>
      <c r="D4826" t="s">
        <v>12305</v>
      </c>
      <c r="E4826" t="s">
        <v>12309</v>
      </c>
    </row>
    <row r="4827" spans="1:5" x14ac:dyDescent="0.2">
      <c r="A4827" t="s">
        <v>12392</v>
      </c>
      <c r="B4827" t="s">
        <v>12393</v>
      </c>
      <c r="C4827" t="s">
        <v>12305</v>
      </c>
      <c r="D4827" t="s">
        <v>12305</v>
      </c>
      <c r="E4827" t="s">
        <v>12394</v>
      </c>
    </row>
    <row r="4828" spans="1:5" x14ac:dyDescent="0.2">
      <c r="A4828" t="s">
        <v>12395</v>
      </c>
      <c r="B4828" t="s">
        <v>12396</v>
      </c>
      <c r="C4828" t="s">
        <v>12305</v>
      </c>
      <c r="D4828" t="s">
        <v>12305</v>
      </c>
      <c r="E4828" t="s">
        <v>12397</v>
      </c>
    </row>
    <row r="4829" spans="1:5" x14ac:dyDescent="0.2">
      <c r="A4829" t="s">
        <v>12398</v>
      </c>
      <c r="B4829" t="s">
        <v>12399</v>
      </c>
      <c r="C4829" t="s">
        <v>12305</v>
      </c>
      <c r="D4829" t="s">
        <v>12305</v>
      </c>
      <c r="E4829" t="s">
        <v>12346</v>
      </c>
    </row>
    <row r="4830" spans="1:5" x14ac:dyDescent="0.2">
      <c r="A4830" t="s">
        <v>12400</v>
      </c>
      <c r="B4830" t="s">
        <v>12401</v>
      </c>
      <c r="C4830" t="s">
        <v>12305</v>
      </c>
      <c r="D4830" t="s">
        <v>12305</v>
      </c>
      <c r="E4830" t="s">
        <v>12402</v>
      </c>
    </row>
    <row r="4831" spans="1:5" x14ac:dyDescent="0.2">
      <c r="A4831" t="s">
        <v>12403</v>
      </c>
      <c r="B4831" t="s">
        <v>12404</v>
      </c>
      <c r="C4831" t="s">
        <v>12305</v>
      </c>
      <c r="D4831" t="s">
        <v>12305</v>
      </c>
      <c r="E4831" t="s">
        <v>12309</v>
      </c>
    </row>
    <row r="4832" spans="1:5" x14ac:dyDescent="0.2">
      <c r="A4832" t="s">
        <v>12405</v>
      </c>
      <c r="B4832" t="s">
        <v>12406</v>
      </c>
      <c r="C4832" t="s">
        <v>12305</v>
      </c>
      <c r="D4832" t="s">
        <v>12305</v>
      </c>
      <c r="E4832" t="s">
        <v>12306</v>
      </c>
    </row>
    <row r="4833" spans="1:5" x14ac:dyDescent="0.2">
      <c r="A4833" t="s">
        <v>12407</v>
      </c>
      <c r="B4833" t="s">
        <v>12408</v>
      </c>
      <c r="C4833" t="s">
        <v>12305</v>
      </c>
      <c r="D4833" t="s">
        <v>12305</v>
      </c>
      <c r="E4833" t="s">
        <v>12330</v>
      </c>
    </row>
    <row r="4834" spans="1:5" x14ac:dyDescent="0.2">
      <c r="A4834" t="s">
        <v>12409</v>
      </c>
      <c r="B4834" t="s">
        <v>12410</v>
      </c>
      <c r="C4834" t="s">
        <v>12305</v>
      </c>
      <c r="D4834" t="s">
        <v>12305</v>
      </c>
      <c r="E4834" t="s">
        <v>12411</v>
      </c>
    </row>
    <row r="4835" spans="1:5" x14ac:dyDescent="0.2">
      <c r="A4835" t="s">
        <v>12412</v>
      </c>
      <c r="B4835" t="s">
        <v>12413</v>
      </c>
      <c r="C4835" t="s">
        <v>12305</v>
      </c>
      <c r="D4835" t="s">
        <v>12305</v>
      </c>
      <c r="E4835" t="s">
        <v>12414</v>
      </c>
    </row>
    <row r="4836" spans="1:5" x14ac:dyDescent="0.2">
      <c r="A4836" t="s">
        <v>12415</v>
      </c>
      <c r="B4836" t="s">
        <v>12416</v>
      </c>
      <c r="C4836" t="s">
        <v>12305</v>
      </c>
      <c r="D4836" t="s">
        <v>12305</v>
      </c>
      <c r="E4836" t="s">
        <v>12417</v>
      </c>
    </row>
    <row r="4837" spans="1:5" x14ac:dyDescent="0.2">
      <c r="A4837" t="s">
        <v>12418</v>
      </c>
      <c r="B4837" t="s">
        <v>12419</v>
      </c>
      <c r="C4837" t="s">
        <v>12305</v>
      </c>
      <c r="D4837" t="s">
        <v>12305</v>
      </c>
      <c r="E4837" t="s">
        <v>12420</v>
      </c>
    </row>
    <row r="4838" spans="1:5" x14ac:dyDescent="0.2">
      <c r="A4838" t="s">
        <v>12421</v>
      </c>
      <c r="B4838" t="s">
        <v>12422</v>
      </c>
      <c r="C4838" t="s">
        <v>12305</v>
      </c>
      <c r="D4838" t="s">
        <v>12305</v>
      </c>
      <c r="E4838" t="s">
        <v>12423</v>
      </c>
    </row>
    <row r="4839" spans="1:5" x14ac:dyDescent="0.2">
      <c r="A4839" t="s">
        <v>12424</v>
      </c>
      <c r="B4839" t="s">
        <v>12425</v>
      </c>
      <c r="C4839" t="s">
        <v>12305</v>
      </c>
      <c r="D4839" t="s">
        <v>12305</v>
      </c>
      <c r="E4839" t="s">
        <v>12330</v>
      </c>
    </row>
    <row r="4840" spans="1:5" x14ac:dyDescent="0.2">
      <c r="A4840" t="s">
        <v>12426</v>
      </c>
      <c r="B4840" t="s">
        <v>12427</v>
      </c>
      <c r="C4840" t="s">
        <v>12305</v>
      </c>
      <c r="D4840" t="s">
        <v>12305</v>
      </c>
      <c r="E4840" t="s">
        <v>12309</v>
      </c>
    </row>
    <row r="4841" spans="1:5" x14ac:dyDescent="0.2">
      <c r="A4841" t="s">
        <v>12428</v>
      </c>
      <c r="B4841" t="s">
        <v>12429</v>
      </c>
      <c r="C4841" t="s">
        <v>12305</v>
      </c>
      <c r="D4841" t="s">
        <v>12305</v>
      </c>
      <c r="E4841" t="s">
        <v>12346</v>
      </c>
    </row>
    <row r="4842" spans="1:5" x14ac:dyDescent="0.2">
      <c r="A4842" t="s">
        <v>12430</v>
      </c>
      <c r="B4842" t="s">
        <v>12431</v>
      </c>
      <c r="C4842" t="s">
        <v>12305</v>
      </c>
      <c r="D4842" t="s">
        <v>12305</v>
      </c>
      <c r="E4842" t="s">
        <v>12306</v>
      </c>
    </row>
    <row r="4843" spans="1:5" x14ac:dyDescent="0.2">
      <c r="A4843" t="s">
        <v>12432</v>
      </c>
      <c r="B4843" t="s">
        <v>12433</v>
      </c>
      <c r="C4843" t="s">
        <v>12305</v>
      </c>
      <c r="D4843" t="s">
        <v>12305</v>
      </c>
      <c r="E4843" t="s">
        <v>12330</v>
      </c>
    </row>
    <row r="4844" spans="1:5" x14ac:dyDescent="0.2">
      <c r="A4844" t="s">
        <v>12434</v>
      </c>
      <c r="B4844" t="s">
        <v>12435</v>
      </c>
      <c r="C4844" t="s">
        <v>12305</v>
      </c>
      <c r="D4844" t="s">
        <v>12305</v>
      </c>
      <c r="E4844" t="s">
        <v>12346</v>
      </c>
    </row>
    <row r="4845" spans="1:5" x14ac:dyDescent="0.2">
      <c r="A4845" t="s">
        <v>12436</v>
      </c>
      <c r="B4845" t="s">
        <v>12437</v>
      </c>
      <c r="C4845" t="s">
        <v>12305</v>
      </c>
      <c r="D4845" t="s">
        <v>12305</v>
      </c>
      <c r="E4845" t="s">
        <v>12309</v>
      </c>
    </row>
    <row r="4846" spans="1:5" x14ac:dyDescent="0.2">
      <c r="A4846" t="s">
        <v>12438</v>
      </c>
      <c r="B4846" t="s">
        <v>12439</v>
      </c>
      <c r="C4846" t="s">
        <v>12305</v>
      </c>
      <c r="D4846" t="s">
        <v>12305</v>
      </c>
      <c r="E4846" t="s">
        <v>12306</v>
      </c>
    </row>
    <row r="4847" spans="1:5" x14ac:dyDescent="0.2">
      <c r="A4847" t="s">
        <v>12440</v>
      </c>
      <c r="B4847" t="s">
        <v>12441</v>
      </c>
      <c r="C4847" t="s">
        <v>12305</v>
      </c>
      <c r="D4847" t="s">
        <v>12305</v>
      </c>
      <c r="E4847" t="s">
        <v>12442</v>
      </c>
    </row>
    <row r="4848" spans="1:5" x14ac:dyDescent="0.2">
      <c r="A4848" t="s">
        <v>12443</v>
      </c>
      <c r="B4848" t="s">
        <v>12444</v>
      </c>
      <c r="C4848" t="s">
        <v>12305</v>
      </c>
      <c r="D4848" t="s">
        <v>12305</v>
      </c>
      <c r="E4848" t="s">
        <v>12445</v>
      </c>
    </row>
    <row r="4849" spans="1:5" x14ac:dyDescent="0.2">
      <c r="A4849" t="s">
        <v>12446</v>
      </c>
      <c r="B4849" t="s">
        <v>12447</v>
      </c>
      <c r="C4849" t="s">
        <v>12305</v>
      </c>
      <c r="D4849" t="s">
        <v>12305</v>
      </c>
      <c r="E4849" t="s">
        <v>12346</v>
      </c>
    </row>
    <row r="4850" spans="1:5" x14ac:dyDescent="0.2">
      <c r="A4850" t="s">
        <v>12448</v>
      </c>
      <c r="B4850" t="s">
        <v>12449</v>
      </c>
      <c r="C4850" t="s">
        <v>12305</v>
      </c>
      <c r="D4850" t="s">
        <v>12305</v>
      </c>
      <c r="E4850" t="s">
        <v>12450</v>
      </c>
    </row>
    <row r="4851" spans="1:5" x14ac:dyDescent="0.2">
      <c r="A4851" t="s">
        <v>12451</v>
      </c>
      <c r="B4851" t="s">
        <v>12452</v>
      </c>
      <c r="C4851" t="s">
        <v>12305</v>
      </c>
      <c r="D4851" t="s">
        <v>12305</v>
      </c>
      <c r="E4851" t="s">
        <v>12346</v>
      </c>
    </row>
    <row r="4852" spans="1:5" x14ac:dyDescent="0.2">
      <c r="A4852" t="s">
        <v>12453</v>
      </c>
      <c r="B4852" t="s">
        <v>12454</v>
      </c>
      <c r="C4852" t="s">
        <v>12305</v>
      </c>
      <c r="D4852" t="s">
        <v>12305</v>
      </c>
      <c r="E4852" t="s">
        <v>12455</v>
      </c>
    </row>
    <row r="4853" spans="1:5" x14ac:dyDescent="0.2">
      <c r="A4853" t="s">
        <v>12456</v>
      </c>
      <c r="B4853" t="s">
        <v>12457</v>
      </c>
      <c r="C4853" t="s">
        <v>12305</v>
      </c>
      <c r="D4853" t="s">
        <v>12305</v>
      </c>
      <c r="E4853" t="s">
        <v>12306</v>
      </c>
    </row>
    <row r="4854" spans="1:5" x14ac:dyDescent="0.2">
      <c r="A4854" t="s">
        <v>12458</v>
      </c>
      <c r="B4854" t="s">
        <v>12459</v>
      </c>
      <c r="C4854" t="s">
        <v>12305</v>
      </c>
      <c r="D4854" t="s">
        <v>12305</v>
      </c>
      <c r="E4854" t="s">
        <v>12460</v>
      </c>
    </row>
    <row r="4855" spans="1:5" x14ac:dyDescent="0.2">
      <c r="A4855" t="s">
        <v>12461</v>
      </c>
      <c r="B4855" t="s">
        <v>12462</v>
      </c>
      <c r="C4855" t="s">
        <v>12305</v>
      </c>
      <c r="D4855" t="s">
        <v>12305</v>
      </c>
      <c r="E4855" t="s">
        <v>12463</v>
      </c>
    </row>
    <row r="4856" spans="1:5" x14ac:dyDescent="0.2">
      <c r="A4856" t="s">
        <v>12464</v>
      </c>
      <c r="B4856" t="s">
        <v>12465</v>
      </c>
      <c r="C4856" t="s">
        <v>12305</v>
      </c>
      <c r="D4856" t="s">
        <v>12305</v>
      </c>
      <c r="E4856" t="s">
        <v>12466</v>
      </c>
    </row>
    <row r="4857" spans="1:5" x14ac:dyDescent="0.2">
      <c r="A4857" t="s">
        <v>12467</v>
      </c>
      <c r="B4857" t="s">
        <v>12468</v>
      </c>
      <c r="C4857" t="s">
        <v>12305</v>
      </c>
      <c r="D4857" t="s">
        <v>12305</v>
      </c>
      <c r="E4857" t="s">
        <v>12306</v>
      </c>
    </row>
    <row r="4858" spans="1:5" x14ac:dyDescent="0.2">
      <c r="A4858" t="s">
        <v>12469</v>
      </c>
      <c r="B4858" t="s">
        <v>12470</v>
      </c>
      <c r="C4858" t="s">
        <v>12305</v>
      </c>
      <c r="D4858" t="s">
        <v>12305</v>
      </c>
      <c r="E4858" t="s">
        <v>12306</v>
      </c>
    </row>
    <row r="4859" spans="1:5" x14ac:dyDescent="0.2">
      <c r="A4859" t="s">
        <v>12471</v>
      </c>
      <c r="B4859" t="s">
        <v>12472</v>
      </c>
      <c r="C4859" t="s">
        <v>12305</v>
      </c>
      <c r="D4859" t="s">
        <v>12305</v>
      </c>
      <c r="E4859" t="s">
        <v>12473</v>
      </c>
    </row>
    <row r="4860" spans="1:5" x14ac:dyDescent="0.2">
      <c r="A4860" t="s">
        <v>12474</v>
      </c>
      <c r="B4860" t="s">
        <v>12475</v>
      </c>
      <c r="C4860" t="s">
        <v>12305</v>
      </c>
      <c r="D4860" t="s">
        <v>12305</v>
      </c>
      <c r="E4860" t="s">
        <v>12476</v>
      </c>
    </row>
    <row r="4861" spans="1:5" x14ac:dyDescent="0.2">
      <c r="A4861" t="s">
        <v>12477</v>
      </c>
      <c r="B4861" t="s">
        <v>12478</v>
      </c>
      <c r="C4861" t="s">
        <v>12305</v>
      </c>
      <c r="D4861" t="s">
        <v>12305</v>
      </c>
      <c r="E4861" t="s">
        <v>12346</v>
      </c>
    </row>
    <row r="4862" spans="1:5" x14ac:dyDescent="0.2">
      <c r="A4862" t="s">
        <v>12479</v>
      </c>
      <c r="B4862" t="s">
        <v>12480</v>
      </c>
      <c r="C4862" t="s">
        <v>12305</v>
      </c>
      <c r="D4862" t="s">
        <v>12305</v>
      </c>
      <c r="E4862" t="s">
        <v>12306</v>
      </c>
    </row>
    <row r="4863" spans="1:5" x14ac:dyDescent="0.2">
      <c r="A4863" t="s">
        <v>12481</v>
      </c>
      <c r="B4863" t="s">
        <v>12482</v>
      </c>
      <c r="C4863" t="s">
        <v>12305</v>
      </c>
      <c r="D4863" t="s">
        <v>12305</v>
      </c>
      <c r="E4863" t="s">
        <v>12309</v>
      </c>
    </row>
    <row r="4864" spans="1:5" x14ac:dyDescent="0.2">
      <c r="A4864" t="s">
        <v>12483</v>
      </c>
      <c r="B4864" t="s">
        <v>12484</v>
      </c>
      <c r="C4864" t="s">
        <v>12305</v>
      </c>
      <c r="D4864" t="s">
        <v>12305</v>
      </c>
      <c r="E4864" t="s">
        <v>12306</v>
      </c>
    </row>
    <row r="4865" spans="1:5" x14ac:dyDescent="0.2">
      <c r="A4865" t="s">
        <v>12485</v>
      </c>
      <c r="B4865" t="s">
        <v>12486</v>
      </c>
      <c r="C4865" t="s">
        <v>12305</v>
      </c>
      <c r="D4865" t="s">
        <v>12305</v>
      </c>
      <c r="E4865" t="s">
        <v>12309</v>
      </c>
    </row>
    <row r="4866" spans="1:5" x14ac:dyDescent="0.2">
      <c r="A4866" t="s">
        <v>12487</v>
      </c>
      <c r="B4866" t="s">
        <v>12488</v>
      </c>
      <c r="C4866" t="s">
        <v>12305</v>
      </c>
      <c r="D4866" t="s">
        <v>12305</v>
      </c>
      <c r="E4866" t="s">
        <v>12489</v>
      </c>
    </row>
    <row r="4867" spans="1:5" x14ac:dyDescent="0.2">
      <c r="A4867" t="s">
        <v>12490</v>
      </c>
      <c r="B4867" t="s">
        <v>12491</v>
      </c>
      <c r="C4867" t="s">
        <v>12305</v>
      </c>
      <c r="D4867" t="s">
        <v>12305</v>
      </c>
      <c r="E4867" t="s">
        <v>12330</v>
      </c>
    </row>
    <row r="4868" spans="1:5" x14ac:dyDescent="0.2">
      <c r="A4868" t="s">
        <v>12492</v>
      </c>
      <c r="B4868" t="s">
        <v>12493</v>
      </c>
      <c r="C4868" t="s">
        <v>12305</v>
      </c>
      <c r="D4868" t="s">
        <v>12305</v>
      </c>
      <c r="E4868" t="s">
        <v>12494</v>
      </c>
    </row>
    <row r="4869" spans="1:5" x14ac:dyDescent="0.2">
      <c r="A4869" t="s">
        <v>12495</v>
      </c>
      <c r="B4869" t="s">
        <v>12496</v>
      </c>
      <c r="C4869" t="s">
        <v>12305</v>
      </c>
      <c r="D4869" t="s">
        <v>12305</v>
      </c>
      <c r="E4869" t="s">
        <v>12306</v>
      </c>
    </row>
    <row r="4870" spans="1:5" x14ac:dyDescent="0.2">
      <c r="A4870" t="s">
        <v>12497</v>
      </c>
      <c r="B4870" t="s">
        <v>12498</v>
      </c>
      <c r="C4870" t="s">
        <v>12305</v>
      </c>
      <c r="D4870" t="s">
        <v>12305</v>
      </c>
      <c r="E4870" t="s">
        <v>12309</v>
      </c>
    </row>
    <row r="4871" spans="1:5" x14ac:dyDescent="0.2">
      <c r="A4871" t="s">
        <v>12499</v>
      </c>
      <c r="B4871" t="s">
        <v>12500</v>
      </c>
      <c r="C4871" t="s">
        <v>12305</v>
      </c>
      <c r="D4871" t="s">
        <v>12305</v>
      </c>
      <c r="E4871" t="s">
        <v>12330</v>
      </c>
    </row>
    <row r="4872" spans="1:5" x14ac:dyDescent="0.2">
      <c r="A4872" t="s">
        <v>12501</v>
      </c>
      <c r="B4872" t="s">
        <v>12502</v>
      </c>
      <c r="C4872" t="s">
        <v>12305</v>
      </c>
      <c r="D4872" t="s">
        <v>12305</v>
      </c>
      <c r="E4872" t="s">
        <v>12309</v>
      </c>
    </row>
    <row r="4873" spans="1:5" x14ac:dyDescent="0.2">
      <c r="A4873" t="s">
        <v>12503</v>
      </c>
      <c r="B4873" t="s">
        <v>12504</v>
      </c>
      <c r="C4873" t="s">
        <v>12305</v>
      </c>
      <c r="D4873" t="s">
        <v>12305</v>
      </c>
      <c r="E4873" t="s">
        <v>12309</v>
      </c>
    </row>
    <row r="4874" spans="1:5" x14ac:dyDescent="0.2">
      <c r="A4874" t="s">
        <v>12505</v>
      </c>
      <c r="B4874" t="s">
        <v>12506</v>
      </c>
      <c r="C4874" t="s">
        <v>12305</v>
      </c>
      <c r="D4874" t="s">
        <v>12305</v>
      </c>
      <c r="E4874" t="s">
        <v>12330</v>
      </c>
    </row>
    <row r="4875" spans="1:5" x14ac:dyDescent="0.2">
      <c r="A4875" t="s">
        <v>12507</v>
      </c>
      <c r="B4875" t="s">
        <v>12508</v>
      </c>
      <c r="C4875" t="s">
        <v>12305</v>
      </c>
      <c r="D4875" t="s">
        <v>12305</v>
      </c>
      <c r="E4875" t="s">
        <v>12306</v>
      </c>
    </row>
    <row r="4876" spans="1:5" x14ac:dyDescent="0.2">
      <c r="A4876" t="s">
        <v>12509</v>
      </c>
      <c r="B4876" t="s">
        <v>12510</v>
      </c>
      <c r="C4876" t="s">
        <v>12305</v>
      </c>
      <c r="D4876" t="s">
        <v>12305</v>
      </c>
      <c r="E4876" t="s">
        <v>12306</v>
      </c>
    </row>
    <row r="4877" spans="1:5" x14ac:dyDescent="0.2">
      <c r="A4877" t="s">
        <v>12511</v>
      </c>
      <c r="B4877" t="s">
        <v>12512</v>
      </c>
      <c r="C4877" t="s">
        <v>12305</v>
      </c>
      <c r="D4877" t="s">
        <v>12305</v>
      </c>
      <c r="E4877" t="s">
        <v>12513</v>
      </c>
    </row>
    <row r="4878" spans="1:5" x14ac:dyDescent="0.2">
      <c r="A4878" t="s">
        <v>12514</v>
      </c>
      <c r="B4878" t="s">
        <v>12515</v>
      </c>
      <c r="C4878" t="s">
        <v>12305</v>
      </c>
      <c r="D4878" t="s">
        <v>12305</v>
      </c>
      <c r="E4878" t="s">
        <v>12346</v>
      </c>
    </row>
    <row r="4879" spans="1:5" x14ac:dyDescent="0.2">
      <c r="A4879" t="s">
        <v>12516</v>
      </c>
      <c r="B4879" t="s">
        <v>12517</v>
      </c>
      <c r="C4879" t="s">
        <v>12305</v>
      </c>
      <c r="D4879" t="s">
        <v>12305</v>
      </c>
      <c r="E4879" t="s">
        <v>12309</v>
      </c>
    </row>
    <row r="4880" spans="1:5" x14ac:dyDescent="0.2">
      <c r="A4880" t="s">
        <v>12518</v>
      </c>
      <c r="B4880" t="s">
        <v>12519</v>
      </c>
      <c r="C4880" t="s">
        <v>12305</v>
      </c>
      <c r="D4880" t="s">
        <v>12305</v>
      </c>
      <c r="E4880" t="s">
        <v>12306</v>
      </c>
    </row>
    <row r="4881" spans="1:5" x14ac:dyDescent="0.2">
      <c r="A4881" t="s">
        <v>12520</v>
      </c>
      <c r="B4881" t="s">
        <v>12521</v>
      </c>
      <c r="C4881" t="s">
        <v>12305</v>
      </c>
      <c r="D4881" t="s">
        <v>12305</v>
      </c>
      <c r="E4881" t="s">
        <v>12346</v>
      </c>
    </row>
    <row r="4882" spans="1:5" x14ac:dyDescent="0.2">
      <c r="A4882" t="s">
        <v>12522</v>
      </c>
      <c r="B4882" t="s">
        <v>12523</v>
      </c>
      <c r="C4882" t="s">
        <v>12305</v>
      </c>
      <c r="D4882" t="s">
        <v>12305</v>
      </c>
      <c r="E4882" t="s">
        <v>12330</v>
      </c>
    </row>
    <row r="4883" spans="1:5" x14ac:dyDescent="0.2">
      <c r="A4883" t="s">
        <v>12524</v>
      </c>
      <c r="B4883" t="s">
        <v>12525</v>
      </c>
      <c r="C4883" t="s">
        <v>12305</v>
      </c>
      <c r="D4883" t="s">
        <v>12305</v>
      </c>
      <c r="E4883" t="s">
        <v>12306</v>
      </c>
    </row>
    <row r="4884" spans="1:5" x14ac:dyDescent="0.2">
      <c r="A4884" t="s">
        <v>12526</v>
      </c>
      <c r="B4884" t="s">
        <v>12527</v>
      </c>
      <c r="C4884" t="s">
        <v>12528</v>
      </c>
      <c r="D4884" t="s">
        <v>12528</v>
      </c>
      <c r="E4884" t="s">
        <v>12529</v>
      </c>
    </row>
    <row r="4885" spans="1:5" x14ac:dyDescent="0.2">
      <c r="A4885" t="s">
        <v>12530</v>
      </c>
      <c r="B4885" t="s">
        <v>12531</v>
      </c>
      <c r="C4885" t="s">
        <v>12528</v>
      </c>
      <c r="D4885" t="s">
        <v>12528</v>
      </c>
      <c r="E4885" t="s">
        <v>12532</v>
      </c>
    </row>
    <row r="4886" spans="1:5" x14ac:dyDescent="0.2">
      <c r="A4886" t="s">
        <v>12533</v>
      </c>
      <c r="B4886" t="s">
        <v>12534</v>
      </c>
      <c r="C4886" t="s">
        <v>12528</v>
      </c>
      <c r="D4886" t="s">
        <v>12528</v>
      </c>
      <c r="E4886" t="s">
        <v>12535</v>
      </c>
    </row>
    <row r="4887" spans="1:5" x14ac:dyDescent="0.2">
      <c r="A4887" t="s">
        <v>12536</v>
      </c>
      <c r="B4887" t="s">
        <v>12537</v>
      </c>
      <c r="C4887" t="s">
        <v>12528</v>
      </c>
      <c r="D4887" t="s">
        <v>12528</v>
      </c>
      <c r="E4887" t="s">
        <v>12538</v>
      </c>
    </row>
    <row r="4888" spans="1:5" x14ac:dyDescent="0.2">
      <c r="A4888" t="s">
        <v>12539</v>
      </c>
      <c r="B4888" t="s">
        <v>12540</v>
      </c>
      <c r="C4888" t="s">
        <v>12528</v>
      </c>
      <c r="D4888" t="s">
        <v>12528</v>
      </c>
      <c r="E4888" t="s">
        <v>12541</v>
      </c>
    </row>
    <row r="4889" spans="1:5" x14ac:dyDescent="0.2">
      <c r="A4889" t="s">
        <v>12542</v>
      </c>
      <c r="B4889" t="s">
        <v>12543</v>
      </c>
      <c r="C4889" t="s">
        <v>12528</v>
      </c>
      <c r="D4889" t="s">
        <v>12528</v>
      </c>
      <c r="E4889" t="s">
        <v>12529</v>
      </c>
    </row>
    <row r="4890" spans="1:5" x14ac:dyDescent="0.2">
      <c r="A4890" t="s">
        <v>12544</v>
      </c>
      <c r="B4890" t="s">
        <v>12545</v>
      </c>
      <c r="C4890" t="s">
        <v>12528</v>
      </c>
      <c r="D4890" t="s">
        <v>12528</v>
      </c>
      <c r="E4890" t="s">
        <v>12546</v>
      </c>
    </row>
    <row r="4891" spans="1:5" x14ac:dyDescent="0.2">
      <c r="A4891" t="s">
        <v>12547</v>
      </c>
      <c r="B4891" t="s">
        <v>12548</v>
      </c>
      <c r="C4891" t="s">
        <v>12528</v>
      </c>
      <c r="D4891" t="s">
        <v>12528</v>
      </c>
      <c r="E4891" t="s">
        <v>12549</v>
      </c>
    </row>
    <row r="4892" spans="1:5" x14ac:dyDescent="0.2">
      <c r="A4892" t="s">
        <v>12550</v>
      </c>
      <c r="B4892" t="s">
        <v>12551</v>
      </c>
      <c r="C4892" t="s">
        <v>12528</v>
      </c>
      <c r="D4892" t="s">
        <v>12528</v>
      </c>
      <c r="E4892" t="s">
        <v>12552</v>
      </c>
    </row>
    <row r="4893" spans="1:5" x14ac:dyDescent="0.2">
      <c r="A4893" t="s">
        <v>12553</v>
      </c>
      <c r="B4893" t="s">
        <v>12554</v>
      </c>
      <c r="C4893" t="s">
        <v>12528</v>
      </c>
      <c r="D4893" t="s">
        <v>12528</v>
      </c>
      <c r="E4893" t="s">
        <v>12555</v>
      </c>
    </row>
    <row r="4894" spans="1:5" x14ac:dyDescent="0.2">
      <c r="A4894" t="s">
        <v>12556</v>
      </c>
      <c r="B4894" t="s">
        <v>12557</v>
      </c>
      <c r="C4894" t="s">
        <v>12528</v>
      </c>
      <c r="D4894" t="s">
        <v>12528</v>
      </c>
      <c r="E4894" t="s">
        <v>12558</v>
      </c>
    </row>
    <row r="4895" spans="1:5" x14ac:dyDescent="0.2">
      <c r="A4895" t="s">
        <v>12559</v>
      </c>
      <c r="B4895" t="s">
        <v>12560</v>
      </c>
      <c r="C4895" t="s">
        <v>12528</v>
      </c>
      <c r="D4895" t="s">
        <v>12528</v>
      </c>
      <c r="E4895" t="s">
        <v>12561</v>
      </c>
    </row>
    <row r="4896" spans="1:5" x14ac:dyDescent="0.2">
      <c r="A4896" t="s">
        <v>12562</v>
      </c>
      <c r="B4896" t="s">
        <v>12563</v>
      </c>
      <c r="C4896" t="s">
        <v>12528</v>
      </c>
      <c r="D4896" t="s">
        <v>12528</v>
      </c>
      <c r="E4896" t="s">
        <v>12564</v>
      </c>
    </row>
    <row r="4897" spans="1:5" x14ac:dyDescent="0.2">
      <c r="A4897" t="s">
        <v>12565</v>
      </c>
      <c r="B4897" t="s">
        <v>12566</v>
      </c>
      <c r="C4897" t="s">
        <v>12528</v>
      </c>
      <c r="D4897" t="s">
        <v>12528</v>
      </c>
      <c r="E4897" t="s">
        <v>12567</v>
      </c>
    </row>
    <row r="4898" spans="1:5" x14ac:dyDescent="0.2">
      <c r="A4898" t="s">
        <v>12568</v>
      </c>
      <c r="B4898" t="s">
        <v>12569</v>
      </c>
      <c r="C4898" t="s">
        <v>12528</v>
      </c>
      <c r="D4898" t="s">
        <v>12528</v>
      </c>
      <c r="E4898" t="s">
        <v>12570</v>
      </c>
    </row>
    <row r="4899" spans="1:5" x14ac:dyDescent="0.2">
      <c r="A4899" t="s">
        <v>12571</v>
      </c>
      <c r="B4899" t="s">
        <v>12572</v>
      </c>
      <c r="C4899" t="s">
        <v>12528</v>
      </c>
      <c r="D4899" t="s">
        <v>12528</v>
      </c>
      <c r="E4899" t="s">
        <v>12573</v>
      </c>
    </row>
    <row r="4900" spans="1:5" x14ac:dyDescent="0.2">
      <c r="A4900" t="s">
        <v>12574</v>
      </c>
      <c r="B4900" t="s">
        <v>12575</v>
      </c>
      <c r="C4900" t="s">
        <v>12528</v>
      </c>
      <c r="D4900" t="s">
        <v>12528</v>
      </c>
      <c r="E4900" t="s">
        <v>12561</v>
      </c>
    </row>
    <row r="4901" spans="1:5" x14ac:dyDescent="0.2">
      <c r="A4901" t="s">
        <v>12576</v>
      </c>
      <c r="B4901" t="s">
        <v>12577</v>
      </c>
      <c r="C4901" t="s">
        <v>12528</v>
      </c>
      <c r="D4901" t="s">
        <v>12528</v>
      </c>
      <c r="E4901" t="s">
        <v>12578</v>
      </c>
    </row>
    <row r="4902" spans="1:5" x14ac:dyDescent="0.2">
      <c r="A4902" t="s">
        <v>12579</v>
      </c>
      <c r="B4902" t="s">
        <v>12580</v>
      </c>
      <c r="C4902" t="s">
        <v>12528</v>
      </c>
      <c r="D4902" t="s">
        <v>12528</v>
      </c>
      <c r="E4902" t="s">
        <v>12581</v>
      </c>
    </row>
    <row r="4903" spans="1:5" x14ac:dyDescent="0.2">
      <c r="A4903" t="s">
        <v>12582</v>
      </c>
      <c r="B4903" t="s">
        <v>12583</v>
      </c>
      <c r="C4903" t="s">
        <v>12528</v>
      </c>
      <c r="D4903" t="s">
        <v>12528</v>
      </c>
      <c r="E4903" t="s">
        <v>12561</v>
      </c>
    </row>
    <row r="4904" spans="1:5" x14ac:dyDescent="0.2">
      <c r="A4904" t="s">
        <v>12584</v>
      </c>
      <c r="B4904" t="s">
        <v>12585</v>
      </c>
      <c r="C4904" t="s">
        <v>12528</v>
      </c>
      <c r="D4904" t="s">
        <v>12528</v>
      </c>
      <c r="E4904" t="s">
        <v>12564</v>
      </c>
    </row>
    <row r="4905" spans="1:5" x14ac:dyDescent="0.2">
      <c r="A4905" t="s">
        <v>12586</v>
      </c>
      <c r="B4905" t="s">
        <v>12587</v>
      </c>
      <c r="C4905" t="s">
        <v>12528</v>
      </c>
      <c r="D4905" t="s">
        <v>12528</v>
      </c>
      <c r="E4905" t="s">
        <v>12588</v>
      </c>
    </row>
    <row r="4906" spans="1:5" x14ac:dyDescent="0.2">
      <c r="A4906" t="s">
        <v>12589</v>
      </c>
      <c r="B4906" t="s">
        <v>12590</v>
      </c>
      <c r="C4906" t="s">
        <v>12528</v>
      </c>
      <c r="D4906" t="s">
        <v>12528</v>
      </c>
      <c r="E4906" t="s">
        <v>12529</v>
      </c>
    </row>
    <row r="4907" spans="1:5" x14ac:dyDescent="0.2">
      <c r="A4907" t="s">
        <v>12591</v>
      </c>
      <c r="B4907" t="s">
        <v>12592</v>
      </c>
      <c r="C4907" t="s">
        <v>12528</v>
      </c>
      <c r="D4907" t="s">
        <v>12528</v>
      </c>
      <c r="E4907" t="s">
        <v>12593</v>
      </c>
    </row>
    <row r="4908" spans="1:5" x14ac:dyDescent="0.2">
      <c r="A4908" t="s">
        <v>12594</v>
      </c>
      <c r="B4908" t="s">
        <v>12595</v>
      </c>
      <c r="C4908" t="s">
        <v>12528</v>
      </c>
      <c r="D4908" t="s">
        <v>12528</v>
      </c>
      <c r="E4908" t="s">
        <v>12596</v>
      </c>
    </row>
    <row r="4909" spans="1:5" x14ac:dyDescent="0.2">
      <c r="A4909" t="s">
        <v>12597</v>
      </c>
      <c r="B4909" t="s">
        <v>12598</v>
      </c>
      <c r="C4909" t="s">
        <v>12528</v>
      </c>
      <c r="D4909" t="s">
        <v>12528</v>
      </c>
      <c r="E4909" t="s">
        <v>12564</v>
      </c>
    </row>
    <row r="4910" spans="1:5" x14ac:dyDescent="0.2">
      <c r="A4910" t="s">
        <v>12599</v>
      </c>
      <c r="B4910" t="s">
        <v>12600</v>
      </c>
      <c r="C4910" t="s">
        <v>12528</v>
      </c>
      <c r="D4910" t="s">
        <v>12528</v>
      </c>
      <c r="E4910" t="s">
        <v>12561</v>
      </c>
    </row>
    <row r="4911" spans="1:5" x14ac:dyDescent="0.2">
      <c r="A4911" t="s">
        <v>12601</v>
      </c>
      <c r="B4911" t="s">
        <v>12602</v>
      </c>
      <c r="C4911" t="s">
        <v>12528</v>
      </c>
      <c r="D4911" t="s">
        <v>12528</v>
      </c>
      <c r="E4911" t="s">
        <v>12603</v>
      </c>
    </row>
    <row r="4912" spans="1:5" x14ac:dyDescent="0.2">
      <c r="A4912" t="s">
        <v>12604</v>
      </c>
      <c r="B4912" t="s">
        <v>12605</v>
      </c>
      <c r="C4912" t="s">
        <v>12528</v>
      </c>
      <c r="D4912" t="s">
        <v>12528</v>
      </c>
      <c r="E4912" t="s">
        <v>12561</v>
      </c>
    </row>
    <row r="4913" spans="1:5" x14ac:dyDescent="0.2">
      <c r="A4913" t="s">
        <v>12606</v>
      </c>
      <c r="B4913" t="s">
        <v>12607</v>
      </c>
      <c r="C4913" t="s">
        <v>12528</v>
      </c>
      <c r="D4913" t="s">
        <v>12528</v>
      </c>
      <c r="E4913" t="s">
        <v>12529</v>
      </c>
    </row>
    <row r="4914" spans="1:5" x14ac:dyDescent="0.2">
      <c r="A4914" t="s">
        <v>12608</v>
      </c>
      <c r="B4914" t="s">
        <v>12609</v>
      </c>
      <c r="C4914" t="s">
        <v>12528</v>
      </c>
      <c r="D4914" t="s">
        <v>12528</v>
      </c>
      <c r="E4914" t="s">
        <v>12610</v>
      </c>
    </row>
    <row r="4915" spans="1:5" x14ac:dyDescent="0.2">
      <c r="A4915" t="s">
        <v>12611</v>
      </c>
      <c r="B4915" t="s">
        <v>12612</v>
      </c>
      <c r="C4915" t="s">
        <v>12528</v>
      </c>
      <c r="D4915" t="s">
        <v>12528</v>
      </c>
      <c r="E4915" t="s">
        <v>12593</v>
      </c>
    </row>
    <row r="4916" spans="1:5" x14ac:dyDescent="0.2">
      <c r="A4916" t="s">
        <v>12613</v>
      </c>
      <c r="B4916" t="s">
        <v>12614</v>
      </c>
      <c r="C4916" t="s">
        <v>12528</v>
      </c>
      <c r="D4916" t="s">
        <v>12528</v>
      </c>
      <c r="E4916" t="s">
        <v>12529</v>
      </c>
    </row>
    <row r="4917" spans="1:5" x14ac:dyDescent="0.2">
      <c r="A4917" t="s">
        <v>12615</v>
      </c>
      <c r="B4917" t="s">
        <v>12616</v>
      </c>
      <c r="C4917" t="s">
        <v>12528</v>
      </c>
      <c r="D4917" t="s">
        <v>12528</v>
      </c>
      <c r="E4917" t="s">
        <v>12567</v>
      </c>
    </row>
    <row r="4918" spans="1:5" x14ac:dyDescent="0.2">
      <c r="A4918" t="s">
        <v>12617</v>
      </c>
      <c r="B4918" t="s">
        <v>12618</v>
      </c>
      <c r="C4918" t="s">
        <v>12528</v>
      </c>
      <c r="D4918" t="s">
        <v>12528</v>
      </c>
      <c r="E4918" t="s">
        <v>12593</v>
      </c>
    </row>
    <row r="4919" spans="1:5" x14ac:dyDescent="0.2">
      <c r="A4919" t="s">
        <v>12619</v>
      </c>
      <c r="B4919" t="s">
        <v>12620</v>
      </c>
      <c r="C4919" t="s">
        <v>12528</v>
      </c>
      <c r="D4919" t="s">
        <v>12528</v>
      </c>
      <c r="E4919" t="s">
        <v>12558</v>
      </c>
    </row>
    <row r="4920" spans="1:5" x14ac:dyDescent="0.2">
      <c r="A4920" t="s">
        <v>12621</v>
      </c>
      <c r="B4920" t="s">
        <v>12622</v>
      </c>
      <c r="C4920" t="s">
        <v>12528</v>
      </c>
      <c r="D4920" t="s">
        <v>12528</v>
      </c>
      <c r="E4920" t="s">
        <v>12561</v>
      </c>
    </row>
    <row r="4921" spans="1:5" x14ac:dyDescent="0.2">
      <c r="A4921" t="s">
        <v>12623</v>
      </c>
      <c r="B4921" t="s">
        <v>12624</v>
      </c>
      <c r="C4921" t="s">
        <v>12528</v>
      </c>
      <c r="D4921" t="s">
        <v>12528</v>
      </c>
      <c r="E4921" t="s">
        <v>12529</v>
      </c>
    </row>
    <row r="4922" spans="1:5" x14ac:dyDescent="0.2">
      <c r="A4922" t="s">
        <v>12625</v>
      </c>
      <c r="B4922" t="s">
        <v>12626</v>
      </c>
      <c r="C4922" t="s">
        <v>12528</v>
      </c>
      <c r="D4922" t="s">
        <v>12528</v>
      </c>
      <c r="E4922" t="s">
        <v>12610</v>
      </c>
    </row>
    <row r="4923" spans="1:5" x14ac:dyDescent="0.2">
      <c r="A4923" t="s">
        <v>12627</v>
      </c>
      <c r="B4923" t="s">
        <v>12628</v>
      </c>
      <c r="C4923" t="s">
        <v>12528</v>
      </c>
      <c r="D4923" t="s">
        <v>12528</v>
      </c>
      <c r="E4923" t="s">
        <v>12555</v>
      </c>
    </row>
    <row r="4924" spans="1:5" x14ac:dyDescent="0.2">
      <c r="A4924" t="s">
        <v>12629</v>
      </c>
      <c r="B4924" t="s">
        <v>12630</v>
      </c>
      <c r="C4924" t="s">
        <v>12528</v>
      </c>
      <c r="D4924" t="s">
        <v>12528</v>
      </c>
      <c r="E4924" t="s">
        <v>12529</v>
      </c>
    </row>
    <row r="4925" spans="1:5" x14ac:dyDescent="0.2">
      <c r="A4925" t="s">
        <v>12631</v>
      </c>
      <c r="B4925" t="s">
        <v>12632</v>
      </c>
      <c r="C4925" t="s">
        <v>12528</v>
      </c>
      <c r="D4925" t="s">
        <v>12528</v>
      </c>
      <c r="E4925" t="s">
        <v>12633</v>
      </c>
    </row>
    <row r="4926" spans="1:5" x14ac:dyDescent="0.2">
      <c r="A4926" t="s">
        <v>12634</v>
      </c>
      <c r="B4926" t="s">
        <v>12635</v>
      </c>
      <c r="C4926" t="s">
        <v>12528</v>
      </c>
      <c r="D4926" t="s">
        <v>12528</v>
      </c>
      <c r="E4926" t="s">
        <v>12561</v>
      </c>
    </row>
    <row r="4927" spans="1:5" x14ac:dyDescent="0.2">
      <c r="A4927" t="s">
        <v>12636</v>
      </c>
      <c r="B4927" t="s">
        <v>12637</v>
      </c>
      <c r="C4927" t="s">
        <v>12528</v>
      </c>
      <c r="D4927" t="s">
        <v>12528</v>
      </c>
      <c r="E4927" t="s">
        <v>12529</v>
      </c>
    </row>
    <row r="4928" spans="1:5" x14ac:dyDescent="0.2">
      <c r="A4928" t="s">
        <v>12638</v>
      </c>
      <c r="B4928" t="s">
        <v>12639</v>
      </c>
      <c r="C4928" t="s">
        <v>12528</v>
      </c>
      <c r="D4928" t="s">
        <v>12528</v>
      </c>
      <c r="E4928" t="s">
        <v>12593</v>
      </c>
    </row>
    <row r="4929" spans="1:5" x14ac:dyDescent="0.2">
      <c r="A4929" t="s">
        <v>12640</v>
      </c>
      <c r="B4929" t="s">
        <v>12641</v>
      </c>
      <c r="C4929" t="s">
        <v>12528</v>
      </c>
      <c r="D4929" t="s">
        <v>12528</v>
      </c>
      <c r="E4929" t="s">
        <v>12561</v>
      </c>
    </row>
    <row r="4930" spans="1:5" x14ac:dyDescent="0.2">
      <c r="A4930" t="s">
        <v>12642</v>
      </c>
      <c r="B4930" t="s">
        <v>12643</v>
      </c>
      <c r="C4930" t="s">
        <v>12528</v>
      </c>
      <c r="D4930" t="s">
        <v>12528</v>
      </c>
      <c r="E4930" t="s">
        <v>12644</v>
      </c>
    </row>
    <row r="4931" spans="1:5" x14ac:dyDescent="0.2">
      <c r="A4931" t="s">
        <v>12645</v>
      </c>
      <c r="B4931" t="s">
        <v>12646</v>
      </c>
      <c r="C4931" t="s">
        <v>12528</v>
      </c>
      <c r="D4931" t="s">
        <v>12528</v>
      </c>
      <c r="E4931" t="s">
        <v>12647</v>
      </c>
    </row>
    <row r="4932" spans="1:5" x14ac:dyDescent="0.2">
      <c r="A4932" t="s">
        <v>12648</v>
      </c>
      <c r="B4932" t="s">
        <v>12649</v>
      </c>
      <c r="C4932" t="s">
        <v>12528</v>
      </c>
      <c r="D4932" t="s">
        <v>12528</v>
      </c>
      <c r="E4932" t="s">
        <v>12650</v>
      </c>
    </row>
    <row r="4933" spans="1:5" x14ac:dyDescent="0.2">
      <c r="A4933" t="s">
        <v>12651</v>
      </c>
      <c r="B4933" t="s">
        <v>12652</v>
      </c>
      <c r="C4933" t="s">
        <v>12528</v>
      </c>
      <c r="D4933" t="s">
        <v>12528</v>
      </c>
      <c r="E4933" t="s">
        <v>12653</v>
      </c>
    </row>
    <row r="4934" spans="1:5" x14ac:dyDescent="0.2">
      <c r="A4934" t="s">
        <v>12654</v>
      </c>
      <c r="B4934" t="s">
        <v>12655</v>
      </c>
      <c r="C4934" t="s">
        <v>12528</v>
      </c>
      <c r="D4934" t="s">
        <v>12528</v>
      </c>
      <c r="E4934" t="s">
        <v>12656</v>
      </c>
    </row>
    <row r="4935" spans="1:5" x14ac:dyDescent="0.2">
      <c r="A4935" t="s">
        <v>12657</v>
      </c>
      <c r="B4935" t="s">
        <v>12658</v>
      </c>
      <c r="C4935" t="s">
        <v>12528</v>
      </c>
      <c r="D4935" t="s">
        <v>12528</v>
      </c>
      <c r="E4935" t="s">
        <v>12659</v>
      </c>
    </row>
    <row r="4936" spans="1:5" x14ac:dyDescent="0.2">
      <c r="A4936" t="s">
        <v>12660</v>
      </c>
      <c r="B4936" t="s">
        <v>12661</v>
      </c>
      <c r="C4936" t="s">
        <v>12528</v>
      </c>
      <c r="D4936" t="s">
        <v>12528</v>
      </c>
      <c r="E4936" t="s">
        <v>12561</v>
      </c>
    </row>
    <row r="4937" spans="1:5" x14ac:dyDescent="0.2">
      <c r="A4937" t="s">
        <v>12662</v>
      </c>
      <c r="B4937" t="s">
        <v>12663</v>
      </c>
      <c r="C4937" t="s">
        <v>12528</v>
      </c>
      <c r="D4937" t="s">
        <v>12528</v>
      </c>
      <c r="E4937" t="s">
        <v>12561</v>
      </c>
    </row>
    <row r="4938" spans="1:5" x14ac:dyDescent="0.2">
      <c r="A4938" t="s">
        <v>12664</v>
      </c>
      <c r="B4938" t="s">
        <v>12665</v>
      </c>
      <c r="C4938" t="s">
        <v>12528</v>
      </c>
      <c r="D4938" t="s">
        <v>12528</v>
      </c>
      <c r="E4938" t="s">
        <v>12558</v>
      </c>
    </row>
    <row r="4939" spans="1:5" x14ac:dyDescent="0.2">
      <c r="A4939" t="s">
        <v>12666</v>
      </c>
      <c r="B4939" t="s">
        <v>12667</v>
      </c>
      <c r="C4939" t="s">
        <v>12528</v>
      </c>
      <c r="D4939" t="s">
        <v>12528</v>
      </c>
      <c r="E4939" t="s">
        <v>12552</v>
      </c>
    </row>
    <row r="4940" spans="1:5" x14ac:dyDescent="0.2">
      <c r="A4940" t="s">
        <v>12668</v>
      </c>
      <c r="B4940" t="s">
        <v>12669</v>
      </c>
      <c r="C4940" t="s">
        <v>12528</v>
      </c>
      <c r="D4940" t="s">
        <v>12528</v>
      </c>
      <c r="E4940" t="s">
        <v>12596</v>
      </c>
    </row>
    <row r="4941" spans="1:5" x14ac:dyDescent="0.2">
      <c r="A4941" t="s">
        <v>12670</v>
      </c>
      <c r="B4941" t="s">
        <v>12671</v>
      </c>
      <c r="C4941" t="s">
        <v>12528</v>
      </c>
      <c r="D4941" t="s">
        <v>12528</v>
      </c>
      <c r="E4941" t="s">
        <v>12672</v>
      </c>
    </row>
    <row r="4942" spans="1:5" x14ac:dyDescent="0.2">
      <c r="A4942" t="s">
        <v>12673</v>
      </c>
      <c r="B4942" t="s">
        <v>12674</v>
      </c>
      <c r="C4942" t="s">
        <v>12528</v>
      </c>
      <c r="D4942" t="s">
        <v>12528</v>
      </c>
      <c r="E4942" t="s">
        <v>12593</v>
      </c>
    </row>
    <row r="4943" spans="1:5" x14ac:dyDescent="0.2">
      <c r="A4943" t="s">
        <v>12675</v>
      </c>
      <c r="B4943" t="s">
        <v>12676</v>
      </c>
      <c r="C4943" t="s">
        <v>12528</v>
      </c>
      <c r="D4943" t="s">
        <v>12528</v>
      </c>
      <c r="E4943" t="s">
        <v>12677</v>
      </c>
    </row>
    <row r="4944" spans="1:5" x14ac:dyDescent="0.2">
      <c r="A4944" t="s">
        <v>12678</v>
      </c>
      <c r="B4944" t="s">
        <v>12679</v>
      </c>
      <c r="C4944" t="s">
        <v>12528</v>
      </c>
      <c r="D4944" t="s">
        <v>12528</v>
      </c>
      <c r="E4944" t="s">
        <v>12593</v>
      </c>
    </row>
    <row r="4945" spans="1:5" x14ac:dyDescent="0.2">
      <c r="A4945" t="s">
        <v>12680</v>
      </c>
      <c r="B4945" t="s">
        <v>12681</v>
      </c>
      <c r="C4945" t="s">
        <v>12528</v>
      </c>
      <c r="D4945" t="s">
        <v>12528</v>
      </c>
      <c r="E4945" t="s">
        <v>12558</v>
      </c>
    </row>
    <row r="4946" spans="1:5" x14ac:dyDescent="0.2">
      <c r="A4946" t="s">
        <v>12682</v>
      </c>
      <c r="B4946" t="s">
        <v>12683</v>
      </c>
      <c r="C4946" t="s">
        <v>12528</v>
      </c>
      <c r="D4946" t="s">
        <v>12528</v>
      </c>
      <c r="E4946" t="s">
        <v>12529</v>
      </c>
    </row>
    <row r="4947" spans="1:5" x14ac:dyDescent="0.2">
      <c r="A4947" t="s">
        <v>12684</v>
      </c>
      <c r="B4947" t="s">
        <v>12685</v>
      </c>
      <c r="C4947" t="s">
        <v>12528</v>
      </c>
      <c r="D4947" t="s">
        <v>12528</v>
      </c>
      <c r="E4947" t="s">
        <v>12529</v>
      </c>
    </row>
    <row r="4948" spans="1:5" x14ac:dyDescent="0.2">
      <c r="A4948" t="s">
        <v>12686</v>
      </c>
      <c r="B4948" t="s">
        <v>12687</v>
      </c>
      <c r="C4948" t="s">
        <v>12528</v>
      </c>
      <c r="D4948" t="s">
        <v>12528</v>
      </c>
      <c r="E4948" t="s">
        <v>12558</v>
      </c>
    </row>
    <row r="4949" spans="1:5" x14ac:dyDescent="0.2">
      <c r="A4949" t="s">
        <v>12688</v>
      </c>
      <c r="B4949" t="s">
        <v>12689</v>
      </c>
      <c r="C4949" t="s">
        <v>12528</v>
      </c>
      <c r="D4949" t="s">
        <v>12528</v>
      </c>
      <c r="E4949" t="s">
        <v>12690</v>
      </c>
    </row>
    <row r="4950" spans="1:5" x14ac:dyDescent="0.2">
      <c r="A4950" t="s">
        <v>12691</v>
      </c>
      <c r="B4950" t="s">
        <v>12692</v>
      </c>
      <c r="C4950" t="s">
        <v>12528</v>
      </c>
      <c r="D4950" t="s">
        <v>12528</v>
      </c>
      <c r="E4950" t="s">
        <v>12564</v>
      </c>
    </row>
    <row r="4951" spans="1:5" x14ac:dyDescent="0.2">
      <c r="A4951" t="s">
        <v>12693</v>
      </c>
      <c r="B4951" t="s">
        <v>12694</v>
      </c>
      <c r="C4951" t="s">
        <v>12528</v>
      </c>
      <c r="D4951" t="s">
        <v>12528</v>
      </c>
      <c r="E4951" t="s">
        <v>12695</v>
      </c>
    </row>
    <row r="4952" spans="1:5" x14ac:dyDescent="0.2">
      <c r="A4952" t="s">
        <v>12696</v>
      </c>
      <c r="B4952" t="s">
        <v>12697</v>
      </c>
      <c r="C4952" t="s">
        <v>12528</v>
      </c>
      <c r="D4952" t="s">
        <v>12528</v>
      </c>
      <c r="E4952" t="s">
        <v>12593</v>
      </c>
    </row>
    <row r="4953" spans="1:5" x14ac:dyDescent="0.2">
      <c r="A4953" t="s">
        <v>12698</v>
      </c>
      <c r="B4953" t="s">
        <v>12699</v>
      </c>
      <c r="C4953" t="s">
        <v>12528</v>
      </c>
      <c r="D4953" t="s">
        <v>12528</v>
      </c>
      <c r="E4953" t="s">
        <v>12653</v>
      </c>
    </row>
    <row r="4954" spans="1:5" x14ac:dyDescent="0.2">
      <c r="A4954" t="s">
        <v>12700</v>
      </c>
      <c r="B4954" t="s">
        <v>12701</v>
      </c>
      <c r="C4954" t="s">
        <v>12528</v>
      </c>
      <c r="D4954" t="s">
        <v>12528</v>
      </c>
      <c r="E4954" t="s">
        <v>12672</v>
      </c>
    </row>
    <row r="4955" spans="1:5" x14ac:dyDescent="0.2">
      <c r="A4955" t="s">
        <v>12702</v>
      </c>
      <c r="B4955" t="s">
        <v>12703</v>
      </c>
      <c r="C4955" t="s">
        <v>12528</v>
      </c>
      <c r="D4955" t="s">
        <v>12528</v>
      </c>
      <c r="E4955" t="s">
        <v>12555</v>
      </c>
    </row>
    <row r="4956" spans="1:5" x14ac:dyDescent="0.2">
      <c r="A4956" t="s">
        <v>12704</v>
      </c>
      <c r="B4956" t="s">
        <v>12705</v>
      </c>
      <c r="C4956" t="s">
        <v>12528</v>
      </c>
      <c r="D4956" t="s">
        <v>12528</v>
      </c>
      <c r="E4956" t="s">
        <v>12529</v>
      </c>
    </row>
    <row r="4957" spans="1:5" x14ac:dyDescent="0.2">
      <c r="A4957" t="s">
        <v>12706</v>
      </c>
      <c r="B4957" t="s">
        <v>12707</v>
      </c>
      <c r="C4957" t="s">
        <v>12528</v>
      </c>
      <c r="D4957" t="s">
        <v>12528</v>
      </c>
      <c r="E4957" t="s">
        <v>12708</v>
      </c>
    </row>
    <row r="4958" spans="1:5" x14ac:dyDescent="0.2">
      <c r="A4958" t="s">
        <v>12709</v>
      </c>
      <c r="B4958" t="s">
        <v>12710</v>
      </c>
      <c r="C4958" t="s">
        <v>12528</v>
      </c>
      <c r="D4958" t="s">
        <v>12528</v>
      </c>
      <c r="E4958" t="s">
        <v>12711</v>
      </c>
    </row>
    <row r="4959" spans="1:5" x14ac:dyDescent="0.2">
      <c r="A4959" t="s">
        <v>12712</v>
      </c>
      <c r="B4959" t="s">
        <v>12713</v>
      </c>
      <c r="C4959" t="s">
        <v>12528</v>
      </c>
      <c r="D4959" t="s">
        <v>12528</v>
      </c>
      <c r="E4959" t="s">
        <v>12529</v>
      </c>
    </row>
    <row r="4960" spans="1:5" x14ac:dyDescent="0.2">
      <c r="A4960" t="s">
        <v>12714</v>
      </c>
      <c r="B4960" t="s">
        <v>12715</v>
      </c>
      <c r="C4960" t="s">
        <v>12528</v>
      </c>
      <c r="D4960" t="s">
        <v>12528</v>
      </c>
      <c r="E4960" t="s">
        <v>12561</v>
      </c>
    </row>
    <row r="4961" spans="1:5" x14ac:dyDescent="0.2">
      <c r="A4961" t="s">
        <v>12716</v>
      </c>
      <c r="B4961" t="s">
        <v>12717</v>
      </c>
      <c r="C4961" t="s">
        <v>12528</v>
      </c>
      <c r="D4961" t="s">
        <v>12528</v>
      </c>
      <c r="E4961" t="s">
        <v>12564</v>
      </c>
    </row>
    <row r="4962" spans="1:5" x14ac:dyDescent="0.2">
      <c r="A4962" t="s">
        <v>12718</v>
      </c>
      <c r="B4962" t="s">
        <v>12719</v>
      </c>
      <c r="C4962" t="s">
        <v>12528</v>
      </c>
      <c r="D4962" t="s">
        <v>12528</v>
      </c>
      <c r="E4962" t="s">
        <v>12656</v>
      </c>
    </row>
    <row r="4963" spans="1:5" x14ac:dyDescent="0.2">
      <c r="A4963" t="s">
        <v>12720</v>
      </c>
      <c r="B4963" t="s">
        <v>12721</v>
      </c>
      <c r="C4963" t="s">
        <v>12528</v>
      </c>
      <c r="D4963" t="s">
        <v>12528</v>
      </c>
      <c r="E4963" t="s">
        <v>12596</v>
      </c>
    </row>
    <row r="4964" spans="1:5" x14ac:dyDescent="0.2">
      <c r="A4964" t="s">
        <v>12722</v>
      </c>
      <c r="B4964" t="s">
        <v>12723</v>
      </c>
      <c r="C4964" t="s">
        <v>12528</v>
      </c>
      <c r="D4964" t="s">
        <v>12528</v>
      </c>
      <c r="E4964" t="s">
        <v>12724</v>
      </c>
    </row>
    <row r="4965" spans="1:5" x14ac:dyDescent="0.2">
      <c r="A4965" t="s">
        <v>12725</v>
      </c>
      <c r="B4965" t="s">
        <v>12726</v>
      </c>
      <c r="C4965" t="s">
        <v>12528</v>
      </c>
      <c r="D4965" t="s">
        <v>12528</v>
      </c>
      <c r="E4965" t="s">
        <v>12727</v>
      </c>
    </row>
    <row r="4966" spans="1:5" x14ac:dyDescent="0.2">
      <c r="A4966" t="s">
        <v>12728</v>
      </c>
      <c r="B4966" t="s">
        <v>12729</v>
      </c>
      <c r="C4966" t="s">
        <v>12528</v>
      </c>
      <c r="D4966" t="s">
        <v>12528</v>
      </c>
      <c r="E4966" t="s">
        <v>12730</v>
      </c>
    </row>
    <row r="4967" spans="1:5" x14ac:dyDescent="0.2">
      <c r="A4967" t="s">
        <v>12731</v>
      </c>
      <c r="B4967" t="s">
        <v>12732</v>
      </c>
      <c r="C4967" t="s">
        <v>12528</v>
      </c>
      <c r="D4967" t="s">
        <v>12528</v>
      </c>
      <c r="E4967" t="s">
        <v>12558</v>
      </c>
    </row>
    <row r="4968" spans="1:5" x14ac:dyDescent="0.2">
      <c r="A4968" t="s">
        <v>12733</v>
      </c>
      <c r="B4968" t="s">
        <v>12734</v>
      </c>
      <c r="C4968" t="s">
        <v>12528</v>
      </c>
      <c r="D4968" t="s">
        <v>12528</v>
      </c>
      <c r="E4968" t="s">
        <v>12558</v>
      </c>
    </row>
    <row r="4969" spans="1:5" x14ac:dyDescent="0.2">
      <c r="A4969" t="s">
        <v>12735</v>
      </c>
      <c r="B4969" t="s">
        <v>12736</v>
      </c>
      <c r="C4969" t="s">
        <v>12528</v>
      </c>
      <c r="D4969" t="s">
        <v>12528</v>
      </c>
      <c r="E4969" t="s">
        <v>12690</v>
      </c>
    </row>
    <row r="4970" spans="1:5" x14ac:dyDescent="0.2">
      <c r="A4970" t="s">
        <v>12737</v>
      </c>
      <c r="B4970" t="s">
        <v>12738</v>
      </c>
      <c r="C4970" t="s">
        <v>12528</v>
      </c>
      <c r="D4970" t="s">
        <v>12528</v>
      </c>
      <c r="E4970" t="s">
        <v>12561</v>
      </c>
    </row>
    <row r="4971" spans="1:5" x14ac:dyDescent="0.2">
      <c r="A4971" t="s">
        <v>12739</v>
      </c>
      <c r="B4971" t="s">
        <v>12740</v>
      </c>
      <c r="C4971" t="s">
        <v>12528</v>
      </c>
      <c r="D4971" t="s">
        <v>12528</v>
      </c>
      <c r="E4971" t="s">
        <v>12741</v>
      </c>
    </row>
    <row r="4972" spans="1:5" x14ac:dyDescent="0.2">
      <c r="A4972" t="s">
        <v>12742</v>
      </c>
      <c r="B4972" t="s">
        <v>12743</v>
      </c>
      <c r="C4972" t="s">
        <v>12528</v>
      </c>
      <c r="D4972" t="s">
        <v>12528</v>
      </c>
      <c r="E4972" t="s">
        <v>12744</v>
      </c>
    </row>
    <row r="4973" spans="1:5" x14ac:dyDescent="0.2">
      <c r="A4973" t="s">
        <v>12745</v>
      </c>
      <c r="B4973" t="s">
        <v>12746</v>
      </c>
      <c r="C4973" t="s">
        <v>12528</v>
      </c>
      <c r="D4973" t="s">
        <v>12528</v>
      </c>
      <c r="E4973" t="s">
        <v>12561</v>
      </c>
    </row>
    <row r="4974" spans="1:5" x14ac:dyDescent="0.2">
      <c r="A4974" t="s">
        <v>12747</v>
      </c>
      <c r="B4974" t="s">
        <v>12748</v>
      </c>
      <c r="C4974" t="s">
        <v>12528</v>
      </c>
      <c r="D4974" t="s">
        <v>12528</v>
      </c>
      <c r="E4974" t="s">
        <v>12749</v>
      </c>
    </row>
    <row r="4975" spans="1:5" x14ac:dyDescent="0.2">
      <c r="A4975" t="s">
        <v>12750</v>
      </c>
      <c r="B4975" t="s">
        <v>12751</v>
      </c>
      <c r="C4975" t="s">
        <v>12528</v>
      </c>
      <c r="D4975" t="s">
        <v>12528</v>
      </c>
      <c r="E4975" t="s">
        <v>12561</v>
      </c>
    </row>
    <row r="4976" spans="1:5" x14ac:dyDescent="0.2">
      <c r="A4976" t="s">
        <v>12752</v>
      </c>
      <c r="B4976" t="s">
        <v>12753</v>
      </c>
      <c r="C4976" t="s">
        <v>12528</v>
      </c>
      <c r="D4976" t="s">
        <v>12528</v>
      </c>
      <c r="E4976" t="s">
        <v>12610</v>
      </c>
    </row>
    <row r="4977" spans="1:5" x14ac:dyDescent="0.2">
      <c r="A4977" t="s">
        <v>12754</v>
      </c>
      <c r="B4977" t="s">
        <v>12755</v>
      </c>
      <c r="C4977" t="s">
        <v>12528</v>
      </c>
      <c r="D4977" t="e">
        <v>#N/A</v>
      </c>
      <c r="E4977" t="e">
        <v>#N/A</v>
      </c>
    </row>
    <row r="4978" spans="1:5" x14ac:dyDescent="0.2">
      <c r="A4978" t="s">
        <v>12756</v>
      </c>
      <c r="B4978" t="s">
        <v>12757</v>
      </c>
      <c r="C4978" t="s">
        <v>12528</v>
      </c>
      <c r="D4978" t="s">
        <v>12528</v>
      </c>
      <c r="E4978" t="s">
        <v>12758</v>
      </c>
    </row>
    <row r="4979" spans="1:5" x14ac:dyDescent="0.2">
      <c r="A4979" t="s">
        <v>12759</v>
      </c>
      <c r="B4979" t="s">
        <v>12760</v>
      </c>
      <c r="C4979" t="s">
        <v>12528</v>
      </c>
      <c r="D4979" t="s">
        <v>12528</v>
      </c>
      <c r="E4979" t="s">
        <v>12529</v>
      </c>
    </row>
    <row r="4980" spans="1:5" x14ac:dyDescent="0.2">
      <c r="A4980" t="s">
        <v>12761</v>
      </c>
      <c r="B4980" t="s">
        <v>12762</v>
      </c>
      <c r="C4980" t="s">
        <v>12528</v>
      </c>
      <c r="D4980" t="s">
        <v>12528</v>
      </c>
      <c r="E4980" t="s">
        <v>12564</v>
      </c>
    </row>
    <row r="4981" spans="1:5" x14ac:dyDescent="0.2">
      <c r="A4981" t="s">
        <v>12763</v>
      </c>
      <c r="B4981" t="s">
        <v>12764</v>
      </c>
      <c r="C4981" t="s">
        <v>12528</v>
      </c>
      <c r="D4981" t="s">
        <v>12528</v>
      </c>
      <c r="E4981" t="s">
        <v>12561</v>
      </c>
    </row>
    <row r="4982" spans="1:5" x14ac:dyDescent="0.2">
      <c r="A4982" t="s">
        <v>12765</v>
      </c>
      <c r="B4982" t="s">
        <v>12766</v>
      </c>
      <c r="C4982" t="s">
        <v>12528</v>
      </c>
      <c r="D4982" t="s">
        <v>12528</v>
      </c>
      <c r="E4982" t="s">
        <v>12767</v>
      </c>
    </row>
    <row r="4983" spans="1:5" x14ac:dyDescent="0.2">
      <c r="A4983" t="s">
        <v>12768</v>
      </c>
      <c r="B4983" t="s">
        <v>12769</v>
      </c>
      <c r="C4983" t="s">
        <v>12528</v>
      </c>
      <c r="D4983" t="s">
        <v>12528</v>
      </c>
      <c r="E4983" t="s">
        <v>12546</v>
      </c>
    </row>
    <row r="4984" spans="1:5" x14ac:dyDescent="0.2">
      <c r="A4984" t="s">
        <v>12770</v>
      </c>
      <c r="B4984" t="s">
        <v>12771</v>
      </c>
      <c r="C4984" t="s">
        <v>12528</v>
      </c>
      <c r="D4984" t="s">
        <v>12528</v>
      </c>
      <c r="E4984" t="s">
        <v>12561</v>
      </c>
    </row>
    <row r="4985" spans="1:5" x14ac:dyDescent="0.2">
      <c r="A4985" t="s">
        <v>12772</v>
      </c>
      <c r="B4985" t="s">
        <v>12773</v>
      </c>
      <c r="C4985" t="s">
        <v>12528</v>
      </c>
      <c r="D4985" t="s">
        <v>12528</v>
      </c>
      <c r="E4985" t="s">
        <v>12561</v>
      </c>
    </row>
    <row r="4986" spans="1:5" x14ac:dyDescent="0.2">
      <c r="A4986" t="s">
        <v>12774</v>
      </c>
      <c r="B4986" t="s">
        <v>12775</v>
      </c>
      <c r="C4986" t="s">
        <v>12528</v>
      </c>
      <c r="D4986" t="s">
        <v>12528</v>
      </c>
      <c r="E4986" t="s">
        <v>12561</v>
      </c>
    </row>
    <row r="4987" spans="1:5" x14ac:dyDescent="0.2">
      <c r="A4987" t="s">
        <v>12776</v>
      </c>
      <c r="B4987" t="s">
        <v>12777</v>
      </c>
      <c r="C4987" t="s">
        <v>12528</v>
      </c>
      <c r="D4987" t="s">
        <v>12528</v>
      </c>
      <c r="E4987" t="s">
        <v>12564</v>
      </c>
    </row>
    <row r="4988" spans="1:5" x14ac:dyDescent="0.2">
      <c r="A4988" t="s">
        <v>12778</v>
      </c>
      <c r="B4988" t="s">
        <v>12779</v>
      </c>
      <c r="C4988" t="s">
        <v>12780</v>
      </c>
      <c r="D4988" t="s">
        <v>12780</v>
      </c>
      <c r="E4988" t="s">
        <v>12781</v>
      </c>
    </row>
    <row r="4989" spans="1:5" x14ac:dyDescent="0.2">
      <c r="A4989" t="s">
        <v>12782</v>
      </c>
      <c r="B4989" t="s">
        <v>12783</v>
      </c>
      <c r="C4989" t="s">
        <v>12780</v>
      </c>
      <c r="D4989" t="s">
        <v>12780</v>
      </c>
      <c r="E4989" t="s">
        <v>12784</v>
      </c>
    </row>
    <row r="4990" spans="1:5" x14ac:dyDescent="0.2">
      <c r="A4990" t="s">
        <v>12785</v>
      </c>
      <c r="B4990" t="s">
        <v>12786</v>
      </c>
      <c r="C4990" t="s">
        <v>12780</v>
      </c>
      <c r="D4990" t="s">
        <v>12780</v>
      </c>
      <c r="E4990" t="s">
        <v>12787</v>
      </c>
    </row>
    <row r="4991" spans="1:5" x14ac:dyDescent="0.2">
      <c r="A4991" t="s">
        <v>12788</v>
      </c>
      <c r="B4991" t="s">
        <v>12789</v>
      </c>
      <c r="C4991" t="s">
        <v>12780</v>
      </c>
      <c r="D4991" t="s">
        <v>12780</v>
      </c>
      <c r="E4991" t="s">
        <v>12790</v>
      </c>
    </row>
    <row r="4992" spans="1:5" x14ac:dyDescent="0.2">
      <c r="A4992" t="s">
        <v>12791</v>
      </c>
      <c r="B4992" t="s">
        <v>12792</v>
      </c>
      <c r="C4992" t="s">
        <v>12780</v>
      </c>
      <c r="D4992" t="s">
        <v>12780</v>
      </c>
      <c r="E4992" t="s">
        <v>12781</v>
      </c>
    </row>
    <row r="4993" spans="1:5" x14ac:dyDescent="0.2">
      <c r="A4993" t="s">
        <v>12793</v>
      </c>
      <c r="B4993" t="s">
        <v>12794</v>
      </c>
      <c r="C4993" t="s">
        <v>12780</v>
      </c>
      <c r="D4993" t="s">
        <v>12780</v>
      </c>
      <c r="E4993" t="s">
        <v>12795</v>
      </c>
    </row>
    <row r="4994" spans="1:5" x14ac:dyDescent="0.2">
      <c r="A4994" t="s">
        <v>12796</v>
      </c>
      <c r="B4994" t="s">
        <v>12797</v>
      </c>
      <c r="C4994" t="s">
        <v>12780</v>
      </c>
      <c r="D4994" t="s">
        <v>12780</v>
      </c>
      <c r="E4994" t="s">
        <v>12798</v>
      </c>
    </row>
    <row r="4995" spans="1:5" x14ac:dyDescent="0.2">
      <c r="A4995" t="s">
        <v>12799</v>
      </c>
      <c r="B4995" t="s">
        <v>12800</v>
      </c>
      <c r="C4995" t="s">
        <v>12780</v>
      </c>
      <c r="D4995" t="s">
        <v>12780</v>
      </c>
      <c r="E4995" t="s">
        <v>12801</v>
      </c>
    </row>
    <row r="4996" spans="1:5" x14ac:dyDescent="0.2">
      <c r="A4996" t="s">
        <v>12802</v>
      </c>
      <c r="B4996" t="s">
        <v>12803</v>
      </c>
      <c r="C4996" t="s">
        <v>12780</v>
      </c>
      <c r="D4996" t="s">
        <v>12780</v>
      </c>
      <c r="E4996" t="s">
        <v>12804</v>
      </c>
    </row>
    <row r="4997" spans="1:5" x14ac:dyDescent="0.2">
      <c r="A4997" t="s">
        <v>12805</v>
      </c>
      <c r="B4997" t="s">
        <v>12806</v>
      </c>
      <c r="C4997" t="s">
        <v>12780</v>
      </c>
      <c r="D4997" t="s">
        <v>12780</v>
      </c>
      <c r="E4997" t="s">
        <v>12795</v>
      </c>
    </row>
    <row r="4998" spans="1:5" x14ac:dyDescent="0.2">
      <c r="A4998" t="s">
        <v>12807</v>
      </c>
      <c r="B4998" t="s">
        <v>12808</v>
      </c>
      <c r="C4998" t="s">
        <v>12780</v>
      </c>
      <c r="D4998" t="s">
        <v>12780</v>
      </c>
      <c r="E4998" t="s">
        <v>12798</v>
      </c>
    </row>
    <row r="4999" spans="1:5" x14ac:dyDescent="0.2">
      <c r="A4999" t="s">
        <v>12809</v>
      </c>
      <c r="B4999" t="s">
        <v>12810</v>
      </c>
      <c r="C4999" t="s">
        <v>12780</v>
      </c>
      <c r="D4999" t="s">
        <v>12780</v>
      </c>
      <c r="E4999" t="s">
        <v>12811</v>
      </c>
    </row>
    <row r="5000" spans="1:5" x14ac:dyDescent="0.2">
      <c r="A5000" t="s">
        <v>12812</v>
      </c>
      <c r="B5000" t="s">
        <v>12813</v>
      </c>
      <c r="C5000" t="s">
        <v>12780</v>
      </c>
      <c r="D5000" t="s">
        <v>12780</v>
      </c>
      <c r="E5000" t="s">
        <v>12798</v>
      </c>
    </row>
    <row r="5001" spans="1:5" x14ac:dyDescent="0.2">
      <c r="A5001" t="s">
        <v>12814</v>
      </c>
      <c r="B5001" t="s">
        <v>12815</v>
      </c>
      <c r="C5001" t="s">
        <v>12780</v>
      </c>
      <c r="D5001" t="s">
        <v>12780</v>
      </c>
      <c r="E5001" t="s">
        <v>12790</v>
      </c>
    </row>
    <row r="5002" spans="1:5" x14ac:dyDescent="0.2">
      <c r="A5002" t="s">
        <v>12816</v>
      </c>
      <c r="B5002" t="s">
        <v>12817</v>
      </c>
      <c r="C5002" t="s">
        <v>12780</v>
      </c>
      <c r="D5002" t="s">
        <v>12780</v>
      </c>
      <c r="E5002" t="s">
        <v>12818</v>
      </c>
    </row>
    <row r="5003" spans="1:5" x14ac:dyDescent="0.2">
      <c r="A5003" t="s">
        <v>12819</v>
      </c>
      <c r="B5003" t="s">
        <v>12820</v>
      </c>
      <c r="C5003" t="s">
        <v>12780</v>
      </c>
      <c r="D5003" t="s">
        <v>12780</v>
      </c>
      <c r="E5003" t="s">
        <v>12821</v>
      </c>
    </row>
    <row r="5004" spans="1:5" x14ac:dyDescent="0.2">
      <c r="A5004" t="s">
        <v>12822</v>
      </c>
      <c r="B5004" t="s">
        <v>12823</v>
      </c>
      <c r="C5004" t="s">
        <v>12780</v>
      </c>
      <c r="D5004" t="s">
        <v>12780</v>
      </c>
      <c r="E5004" t="s">
        <v>12824</v>
      </c>
    </row>
    <row r="5005" spans="1:5" x14ac:dyDescent="0.2">
      <c r="A5005" t="s">
        <v>12825</v>
      </c>
      <c r="B5005" t="s">
        <v>12826</v>
      </c>
      <c r="C5005" t="s">
        <v>12780</v>
      </c>
      <c r="D5005" t="s">
        <v>12780</v>
      </c>
      <c r="E5005" t="s">
        <v>12790</v>
      </c>
    </row>
    <row r="5006" spans="1:5" x14ac:dyDescent="0.2">
      <c r="A5006" t="s">
        <v>12827</v>
      </c>
      <c r="B5006" t="s">
        <v>12828</v>
      </c>
      <c r="C5006" t="s">
        <v>12780</v>
      </c>
      <c r="D5006" t="s">
        <v>12780</v>
      </c>
      <c r="E5006" t="s">
        <v>12829</v>
      </c>
    </row>
    <row r="5007" spans="1:5" x14ac:dyDescent="0.2">
      <c r="A5007" t="s">
        <v>12830</v>
      </c>
      <c r="B5007" t="s">
        <v>12831</v>
      </c>
      <c r="C5007" t="s">
        <v>12780</v>
      </c>
      <c r="D5007" t="s">
        <v>12780</v>
      </c>
      <c r="E5007" t="s">
        <v>12832</v>
      </c>
    </row>
    <row r="5008" spans="1:5" x14ac:dyDescent="0.2">
      <c r="A5008" t="s">
        <v>12833</v>
      </c>
      <c r="B5008" t="s">
        <v>12834</v>
      </c>
      <c r="C5008" t="s">
        <v>12780</v>
      </c>
      <c r="D5008" t="s">
        <v>12780</v>
      </c>
      <c r="E5008" t="s">
        <v>12790</v>
      </c>
    </row>
    <row r="5009" spans="1:5" x14ac:dyDescent="0.2">
      <c r="A5009" t="s">
        <v>12835</v>
      </c>
      <c r="B5009" t="s">
        <v>12836</v>
      </c>
      <c r="C5009" t="s">
        <v>12780</v>
      </c>
      <c r="D5009" t="s">
        <v>12780</v>
      </c>
      <c r="E5009" t="s">
        <v>12795</v>
      </c>
    </row>
    <row r="5010" spans="1:5" x14ac:dyDescent="0.2">
      <c r="A5010" t="s">
        <v>12837</v>
      </c>
      <c r="B5010" t="s">
        <v>12838</v>
      </c>
      <c r="C5010" t="s">
        <v>12780</v>
      </c>
      <c r="D5010" t="s">
        <v>12780</v>
      </c>
      <c r="E5010" t="s">
        <v>12839</v>
      </c>
    </row>
    <row r="5011" spans="1:5" x14ac:dyDescent="0.2">
      <c r="A5011" t="s">
        <v>12840</v>
      </c>
      <c r="B5011" t="s">
        <v>12841</v>
      </c>
      <c r="C5011" t="s">
        <v>12780</v>
      </c>
      <c r="D5011" t="s">
        <v>12780</v>
      </c>
      <c r="E5011" t="s">
        <v>12798</v>
      </c>
    </row>
    <row r="5012" spans="1:5" x14ac:dyDescent="0.2">
      <c r="A5012" t="s">
        <v>12842</v>
      </c>
      <c r="B5012" t="s">
        <v>12843</v>
      </c>
      <c r="C5012" t="s">
        <v>12780</v>
      </c>
      <c r="D5012" t="s">
        <v>12780</v>
      </c>
      <c r="E5012" t="s">
        <v>12824</v>
      </c>
    </row>
    <row r="5013" spans="1:5" x14ac:dyDescent="0.2">
      <c r="A5013" t="s">
        <v>12844</v>
      </c>
      <c r="B5013" t="s">
        <v>12845</v>
      </c>
      <c r="C5013" t="s">
        <v>12780</v>
      </c>
      <c r="D5013" t="s">
        <v>12780</v>
      </c>
      <c r="E5013" t="s">
        <v>12846</v>
      </c>
    </row>
    <row r="5014" spans="1:5" x14ac:dyDescent="0.2">
      <c r="A5014" t="s">
        <v>12847</v>
      </c>
      <c r="B5014" t="s">
        <v>12848</v>
      </c>
      <c r="C5014" t="s">
        <v>12780</v>
      </c>
      <c r="D5014" t="s">
        <v>12780</v>
      </c>
      <c r="E5014" t="s">
        <v>12790</v>
      </c>
    </row>
    <row r="5015" spans="1:5" x14ac:dyDescent="0.2">
      <c r="A5015" t="s">
        <v>12849</v>
      </c>
      <c r="B5015" t="s">
        <v>12850</v>
      </c>
      <c r="C5015" t="s">
        <v>12780</v>
      </c>
      <c r="D5015" t="s">
        <v>12780</v>
      </c>
      <c r="E5015" t="s">
        <v>12851</v>
      </c>
    </row>
    <row r="5016" spans="1:5" x14ac:dyDescent="0.2">
      <c r="A5016" t="s">
        <v>12852</v>
      </c>
      <c r="B5016" t="s">
        <v>12853</v>
      </c>
      <c r="C5016" t="s">
        <v>12780</v>
      </c>
      <c r="D5016" t="s">
        <v>12780</v>
      </c>
      <c r="E5016" t="s">
        <v>12790</v>
      </c>
    </row>
    <row r="5017" spans="1:5" x14ac:dyDescent="0.2">
      <c r="A5017" t="s">
        <v>12854</v>
      </c>
      <c r="B5017" t="s">
        <v>12855</v>
      </c>
      <c r="C5017" t="s">
        <v>12780</v>
      </c>
      <c r="D5017" t="s">
        <v>12780</v>
      </c>
      <c r="E5017" t="s">
        <v>12790</v>
      </c>
    </row>
    <row r="5018" spans="1:5" x14ac:dyDescent="0.2">
      <c r="A5018" t="s">
        <v>12856</v>
      </c>
      <c r="B5018" t="s">
        <v>12857</v>
      </c>
      <c r="C5018" t="s">
        <v>12780</v>
      </c>
      <c r="D5018" t="s">
        <v>12780</v>
      </c>
      <c r="E5018" t="s">
        <v>12798</v>
      </c>
    </row>
    <row r="5019" spans="1:5" x14ac:dyDescent="0.2">
      <c r="A5019" t="s">
        <v>12858</v>
      </c>
      <c r="B5019" t="s">
        <v>12859</v>
      </c>
      <c r="C5019" t="s">
        <v>12780</v>
      </c>
      <c r="D5019" t="s">
        <v>12780</v>
      </c>
      <c r="E5019" t="s">
        <v>12781</v>
      </c>
    </row>
    <row r="5020" spans="1:5" x14ac:dyDescent="0.2">
      <c r="A5020" t="s">
        <v>12860</v>
      </c>
      <c r="B5020" t="s">
        <v>12861</v>
      </c>
      <c r="C5020" t="s">
        <v>12780</v>
      </c>
      <c r="D5020" t="s">
        <v>12780</v>
      </c>
      <c r="E5020" t="s">
        <v>12798</v>
      </c>
    </row>
    <row r="5021" spans="1:5" x14ac:dyDescent="0.2">
      <c r="A5021" t="s">
        <v>12862</v>
      </c>
      <c r="B5021" t="s">
        <v>12863</v>
      </c>
      <c r="C5021" t="s">
        <v>12780</v>
      </c>
      <c r="D5021" t="s">
        <v>12780</v>
      </c>
      <c r="E5021" t="s">
        <v>12798</v>
      </c>
    </row>
    <row r="5022" spans="1:5" x14ac:dyDescent="0.2">
      <c r="A5022" t="s">
        <v>12864</v>
      </c>
      <c r="B5022" t="s">
        <v>12865</v>
      </c>
      <c r="C5022" t="s">
        <v>12780</v>
      </c>
      <c r="D5022" t="s">
        <v>12780</v>
      </c>
      <c r="E5022" t="s">
        <v>12790</v>
      </c>
    </row>
    <row r="5023" spans="1:5" x14ac:dyDescent="0.2">
      <c r="A5023" t="s">
        <v>12866</v>
      </c>
      <c r="B5023" t="s">
        <v>12867</v>
      </c>
      <c r="C5023" t="s">
        <v>12780</v>
      </c>
      <c r="D5023" t="s">
        <v>12780</v>
      </c>
      <c r="E5023" t="s">
        <v>12798</v>
      </c>
    </row>
    <row r="5024" spans="1:5" x14ac:dyDescent="0.2">
      <c r="A5024" t="s">
        <v>12868</v>
      </c>
      <c r="B5024" t="s">
        <v>12869</v>
      </c>
      <c r="C5024" t="s">
        <v>12780</v>
      </c>
      <c r="D5024" t="s">
        <v>12780</v>
      </c>
      <c r="E5024" t="s">
        <v>12870</v>
      </c>
    </row>
    <row r="5025" spans="1:5" x14ac:dyDescent="0.2">
      <c r="A5025" t="s">
        <v>12871</v>
      </c>
      <c r="B5025" t="s">
        <v>12872</v>
      </c>
      <c r="C5025" t="s">
        <v>12780</v>
      </c>
      <c r="D5025" t="s">
        <v>12780</v>
      </c>
      <c r="E5025" t="s">
        <v>12790</v>
      </c>
    </row>
    <row r="5026" spans="1:5" x14ac:dyDescent="0.2">
      <c r="A5026" t="s">
        <v>12873</v>
      </c>
      <c r="B5026" t="s">
        <v>12874</v>
      </c>
      <c r="C5026" t="s">
        <v>12780</v>
      </c>
      <c r="D5026" t="s">
        <v>12780</v>
      </c>
      <c r="E5026" t="s">
        <v>12790</v>
      </c>
    </row>
    <row r="5027" spans="1:5" x14ac:dyDescent="0.2">
      <c r="A5027" t="s">
        <v>12875</v>
      </c>
      <c r="B5027" t="s">
        <v>12876</v>
      </c>
      <c r="C5027" t="s">
        <v>12780</v>
      </c>
      <c r="D5027" t="s">
        <v>12780</v>
      </c>
      <c r="E5027" t="s">
        <v>12795</v>
      </c>
    </row>
    <row r="5028" spans="1:5" x14ac:dyDescent="0.2">
      <c r="A5028" t="s">
        <v>12877</v>
      </c>
      <c r="B5028" t="s">
        <v>12878</v>
      </c>
      <c r="C5028" t="s">
        <v>12780</v>
      </c>
      <c r="D5028" t="s">
        <v>12780</v>
      </c>
      <c r="E5028" t="s">
        <v>12798</v>
      </c>
    </row>
    <row r="5029" spans="1:5" x14ac:dyDescent="0.2">
      <c r="A5029" t="s">
        <v>12879</v>
      </c>
      <c r="B5029" t="s">
        <v>12880</v>
      </c>
      <c r="C5029" t="s">
        <v>12780</v>
      </c>
      <c r="D5029" t="s">
        <v>12780</v>
      </c>
      <c r="E5029" t="s">
        <v>12881</v>
      </c>
    </row>
    <row r="5030" spans="1:5" x14ac:dyDescent="0.2">
      <c r="A5030" t="s">
        <v>12882</v>
      </c>
      <c r="B5030" t="s">
        <v>12883</v>
      </c>
      <c r="C5030" t="s">
        <v>12780</v>
      </c>
      <c r="D5030" t="s">
        <v>12780</v>
      </c>
      <c r="E5030" t="s">
        <v>12884</v>
      </c>
    </row>
    <row r="5031" spans="1:5" x14ac:dyDescent="0.2">
      <c r="A5031" t="s">
        <v>12885</v>
      </c>
      <c r="B5031" t="s">
        <v>12886</v>
      </c>
      <c r="C5031" t="s">
        <v>12780</v>
      </c>
      <c r="D5031" t="s">
        <v>12780</v>
      </c>
      <c r="E5031" t="s">
        <v>12887</v>
      </c>
    </row>
    <row r="5032" spans="1:5" x14ac:dyDescent="0.2">
      <c r="A5032" t="s">
        <v>12888</v>
      </c>
      <c r="B5032" t="s">
        <v>12889</v>
      </c>
      <c r="C5032" t="s">
        <v>12780</v>
      </c>
      <c r="D5032" t="s">
        <v>12780</v>
      </c>
      <c r="E5032" t="s">
        <v>12798</v>
      </c>
    </row>
    <row r="5033" spans="1:5" x14ac:dyDescent="0.2">
      <c r="A5033" t="s">
        <v>12890</v>
      </c>
      <c r="B5033" t="s">
        <v>12891</v>
      </c>
      <c r="C5033" t="s">
        <v>12780</v>
      </c>
      <c r="D5033" t="s">
        <v>12780</v>
      </c>
      <c r="E5033" t="s">
        <v>12798</v>
      </c>
    </row>
    <row r="5034" spans="1:5" x14ac:dyDescent="0.2">
      <c r="A5034" t="s">
        <v>12892</v>
      </c>
      <c r="B5034" t="s">
        <v>12893</v>
      </c>
      <c r="C5034" t="s">
        <v>12780</v>
      </c>
      <c r="D5034" t="s">
        <v>12780</v>
      </c>
      <c r="E5034" t="s">
        <v>12894</v>
      </c>
    </row>
    <row r="5035" spans="1:5" x14ac:dyDescent="0.2">
      <c r="A5035" t="s">
        <v>12895</v>
      </c>
      <c r="B5035" t="s">
        <v>12896</v>
      </c>
      <c r="C5035" t="s">
        <v>12780</v>
      </c>
      <c r="D5035" t="s">
        <v>12780</v>
      </c>
      <c r="E5035" t="s">
        <v>12781</v>
      </c>
    </row>
    <row r="5036" spans="1:5" x14ac:dyDescent="0.2">
      <c r="A5036" t="s">
        <v>12897</v>
      </c>
      <c r="B5036" t="s">
        <v>12898</v>
      </c>
      <c r="C5036" t="s">
        <v>12780</v>
      </c>
      <c r="D5036" t="s">
        <v>12780</v>
      </c>
      <c r="E5036" t="s">
        <v>12790</v>
      </c>
    </row>
    <row r="5037" spans="1:5" x14ac:dyDescent="0.2">
      <c r="A5037" t="s">
        <v>12899</v>
      </c>
      <c r="B5037" t="s">
        <v>12900</v>
      </c>
      <c r="C5037" t="s">
        <v>12780</v>
      </c>
      <c r="D5037" t="s">
        <v>12780</v>
      </c>
      <c r="E5037" t="s">
        <v>12798</v>
      </c>
    </row>
    <row r="5038" spans="1:5" x14ac:dyDescent="0.2">
      <c r="A5038" t="s">
        <v>12901</v>
      </c>
      <c r="B5038" t="s">
        <v>12902</v>
      </c>
      <c r="C5038" t="s">
        <v>12780</v>
      </c>
      <c r="D5038" t="s">
        <v>12780</v>
      </c>
      <c r="E5038" t="s">
        <v>12790</v>
      </c>
    </row>
    <row r="5039" spans="1:5" x14ac:dyDescent="0.2">
      <c r="A5039" t="s">
        <v>12903</v>
      </c>
      <c r="B5039" t="s">
        <v>12904</v>
      </c>
      <c r="C5039" t="s">
        <v>12780</v>
      </c>
      <c r="D5039" t="s">
        <v>12780</v>
      </c>
      <c r="E5039" t="s">
        <v>12798</v>
      </c>
    </row>
    <row r="5040" spans="1:5" x14ac:dyDescent="0.2">
      <c r="A5040" t="s">
        <v>12905</v>
      </c>
      <c r="B5040" t="s">
        <v>12906</v>
      </c>
      <c r="C5040" t="s">
        <v>12780</v>
      </c>
      <c r="D5040" t="s">
        <v>12780</v>
      </c>
      <c r="E5040" t="s">
        <v>12790</v>
      </c>
    </row>
    <row r="5041" spans="1:5" x14ac:dyDescent="0.2">
      <c r="A5041" t="s">
        <v>12907</v>
      </c>
      <c r="B5041" t="s">
        <v>12908</v>
      </c>
      <c r="C5041" t="s">
        <v>12780</v>
      </c>
      <c r="D5041" t="s">
        <v>12780</v>
      </c>
      <c r="E5041" t="s">
        <v>12818</v>
      </c>
    </row>
    <row r="5042" spans="1:5" x14ac:dyDescent="0.2">
      <c r="A5042" t="s">
        <v>12909</v>
      </c>
      <c r="B5042" t="s">
        <v>12910</v>
      </c>
      <c r="C5042" t="s">
        <v>12780</v>
      </c>
      <c r="D5042" t="s">
        <v>12780</v>
      </c>
      <c r="E5042" t="s">
        <v>12790</v>
      </c>
    </row>
    <row r="5043" spans="1:5" x14ac:dyDescent="0.2">
      <c r="A5043" t="s">
        <v>12911</v>
      </c>
      <c r="B5043" t="s">
        <v>12912</v>
      </c>
      <c r="C5043" t="s">
        <v>12780</v>
      </c>
      <c r="D5043" t="s">
        <v>12780</v>
      </c>
      <c r="E5043" t="s">
        <v>12798</v>
      </c>
    </row>
    <row r="5044" spans="1:5" x14ac:dyDescent="0.2">
      <c r="A5044" t="s">
        <v>12913</v>
      </c>
      <c r="B5044" t="s">
        <v>12914</v>
      </c>
      <c r="C5044" t="s">
        <v>12780</v>
      </c>
      <c r="D5044" t="s">
        <v>12780</v>
      </c>
      <c r="E5044" t="s">
        <v>12915</v>
      </c>
    </row>
    <row r="5045" spans="1:5" x14ac:dyDescent="0.2">
      <c r="A5045" t="s">
        <v>12916</v>
      </c>
      <c r="B5045" t="s">
        <v>12917</v>
      </c>
      <c r="C5045" t="s">
        <v>12780</v>
      </c>
      <c r="D5045" t="s">
        <v>12780</v>
      </c>
      <c r="E5045" t="s">
        <v>12811</v>
      </c>
    </row>
    <row r="5046" spans="1:5" x14ac:dyDescent="0.2">
      <c r="A5046" t="s">
        <v>12918</v>
      </c>
      <c r="B5046" t="s">
        <v>12919</v>
      </c>
      <c r="C5046" t="s">
        <v>12780</v>
      </c>
      <c r="D5046" t="s">
        <v>12780</v>
      </c>
      <c r="E5046" t="s">
        <v>12798</v>
      </c>
    </row>
    <row r="5047" spans="1:5" x14ac:dyDescent="0.2">
      <c r="A5047" t="s">
        <v>12920</v>
      </c>
      <c r="B5047" t="s">
        <v>12921</v>
      </c>
      <c r="C5047" t="s">
        <v>12780</v>
      </c>
      <c r="D5047" t="s">
        <v>12780</v>
      </c>
      <c r="E5047" t="s">
        <v>12795</v>
      </c>
    </row>
    <row r="5048" spans="1:5" x14ac:dyDescent="0.2">
      <c r="A5048" t="s">
        <v>12922</v>
      </c>
      <c r="B5048" t="s">
        <v>12923</v>
      </c>
      <c r="C5048" t="s">
        <v>12780</v>
      </c>
      <c r="D5048" t="s">
        <v>12780</v>
      </c>
      <c r="E5048" t="s">
        <v>12790</v>
      </c>
    </row>
    <row r="5049" spans="1:5" x14ac:dyDescent="0.2">
      <c r="A5049" t="s">
        <v>12924</v>
      </c>
      <c r="B5049" t="s">
        <v>12925</v>
      </c>
      <c r="C5049" t="s">
        <v>12780</v>
      </c>
      <c r="D5049" t="s">
        <v>12780</v>
      </c>
      <c r="E5049" t="s">
        <v>12870</v>
      </c>
    </row>
    <row r="5050" spans="1:5" x14ac:dyDescent="0.2">
      <c r="A5050" t="s">
        <v>12926</v>
      </c>
      <c r="B5050" t="s">
        <v>12927</v>
      </c>
      <c r="C5050" t="s">
        <v>12780</v>
      </c>
      <c r="D5050" t="s">
        <v>12780</v>
      </c>
      <c r="E5050" t="s">
        <v>12870</v>
      </c>
    </row>
    <row r="5051" spans="1:5" x14ac:dyDescent="0.2">
      <c r="A5051" t="s">
        <v>12928</v>
      </c>
      <c r="B5051" t="s">
        <v>12929</v>
      </c>
      <c r="C5051" t="s">
        <v>12780</v>
      </c>
      <c r="D5051" t="s">
        <v>12780</v>
      </c>
      <c r="E5051" t="s">
        <v>12930</v>
      </c>
    </row>
    <row r="5052" spans="1:5" x14ac:dyDescent="0.2">
      <c r="A5052" t="s">
        <v>12931</v>
      </c>
      <c r="B5052" t="s">
        <v>12932</v>
      </c>
      <c r="C5052" t="s">
        <v>12780</v>
      </c>
      <c r="D5052" t="s">
        <v>12780</v>
      </c>
      <c r="E5052" t="s">
        <v>12795</v>
      </c>
    </row>
    <row r="5053" spans="1:5" x14ac:dyDescent="0.2">
      <c r="A5053" t="s">
        <v>12933</v>
      </c>
      <c r="B5053" t="s">
        <v>12934</v>
      </c>
      <c r="C5053" t="s">
        <v>12780</v>
      </c>
      <c r="D5053" t="s">
        <v>12780</v>
      </c>
      <c r="E5053" t="s">
        <v>12811</v>
      </c>
    </row>
    <row r="5054" spans="1:5" x14ac:dyDescent="0.2">
      <c r="A5054" t="s">
        <v>12935</v>
      </c>
      <c r="B5054" t="s">
        <v>12936</v>
      </c>
      <c r="C5054" t="s">
        <v>12780</v>
      </c>
      <c r="D5054" t="s">
        <v>12780</v>
      </c>
      <c r="E5054" t="s">
        <v>12795</v>
      </c>
    </row>
    <row r="5055" spans="1:5" x14ac:dyDescent="0.2">
      <c r="A5055" t="s">
        <v>12937</v>
      </c>
      <c r="B5055" t="s">
        <v>12938</v>
      </c>
      <c r="C5055" t="s">
        <v>12780</v>
      </c>
      <c r="D5055" t="s">
        <v>12780</v>
      </c>
      <c r="E5055" t="s">
        <v>12790</v>
      </c>
    </row>
    <row r="5056" spans="1:5" x14ac:dyDescent="0.2">
      <c r="A5056" t="s">
        <v>12939</v>
      </c>
      <c r="B5056" t="s">
        <v>12940</v>
      </c>
      <c r="C5056" t="s">
        <v>12780</v>
      </c>
      <c r="D5056" t="s">
        <v>12780</v>
      </c>
      <c r="E5056" t="s">
        <v>12798</v>
      </c>
    </row>
    <row r="5057" spans="1:5" x14ac:dyDescent="0.2">
      <c r="A5057" t="s">
        <v>12941</v>
      </c>
      <c r="B5057" t="s">
        <v>12942</v>
      </c>
      <c r="C5057" t="s">
        <v>12780</v>
      </c>
      <c r="D5057" t="s">
        <v>12780</v>
      </c>
      <c r="E5057" t="s">
        <v>12943</v>
      </c>
    </row>
    <row r="5058" spans="1:5" x14ac:dyDescent="0.2">
      <c r="A5058" t="s">
        <v>12944</v>
      </c>
      <c r="B5058" t="s">
        <v>12945</v>
      </c>
      <c r="C5058" t="s">
        <v>12780</v>
      </c>
      <c r="D5058" t="s">
        <v>12780</v>
      </c>
      <c r="E5058" t="s">
        <v>12795</v>
      </c>
    </row>
    <row r="5059" spans="1:5" x14ac:dyDescent="0.2">
      <c r="A5059" t="s">
        <v>12946</v>
      </c>
      <c r="B5059" t="s">
        <v>12947</v>
      </c>
      <c r="C5059" t="s">
        <v>12780</v>
      </c>
      <c r="D5059" t="s">
        <v>12780</v>
      </c>
      <c r="E5059" t="s">
        <v>12887</v>
      </c>
    </row>
    <row r="5060" spans="1:5" x14ac:dyDescent="0.2">
      <c r="A5060" t="s">
        <v>12948</v>
      </c>
      <c r="B5060" t="s">
        <v>12949</v>
      </c>
      <c r="C5060" t="s">
        <v>12780</v>
      </c>
      <c r="D5060" t="s">
        <v>12780</v>
      </c>
      <c r="E5060" t="s">
        <v>12950</v>
      </c>
    </row>
    <row r="5061" spans="1:5" x14ac:dyDescent="0.2">
      <c r="A5061" t="s">
        <v>12951</v>
      </c>
      <c r="B5061" t="s">
        <v>12952</v>
      </c>
      <c r="C5061" t="s">
        <v>12780</v>
      </c>
      <c r="D5061" t="s">
        <v>12780</v>
      </c>
      <c r="E5061" t="s">
        <v>12829</v>
      </c>
    </row>
    <row r="5062" spans="1:5" x14ac:dyDescent="0.2">
      <c r="A5062" t="s">
        <v>12953</v>
      </c>
      <c r="B5062" t="s">
        <v>12954</v>
      </c>
      <c r="C5062" t="s">
        <v>12780</v>
      </c>
      <c r="D5062" t="s">
        <v>12780</v>
      </c>
      <c r="E5062" t="s">
        <v>12790</v>
      </c>
    </row>
    <row r="5063" spans="1:5" x14ac:dyDescent="0.2">
      <c r="A5063" t="s">
        <v>12955</v>
      </c>
      <c r="B5063" t="s">
        <v>12956</v>
      </c>
      <c r="C5063" t="s">
        <v>12780</v>
      </c>
      <c r="D5063" t="s">
        <v>12780</v>
      </c>
      <c r="E5063" t="s">
        <v>12790</v>
      </c>
    </row>
    <row r="5064" spans="1:5" x14ac:dyDescent="0.2">
      <c r="A5064" t="s">
        <v>12957</v>
      </c>
      <c r="B5064" t="s">
        <v>12958</v>
      </c>
      <c r="C5064" t="s">
        <v>12780</v>
      </c>
      <c r="D5064" t="s">
        <v>12780</v>
      </c>
      <c r="E5064" t="s">
        <v>12959</v>
      </c>
    </row>
    <row r="5065" spans="1:5" x14ac:dyDescent="0.2">
      <c r="A5065" t="s">
        <v>12960</v>
      </c>
      <c r="B5065" t="s">
        <v>12961</v>
      </c>
      <c r="C5065" t="s">
        <v>12780</v>
      </c>
      <c r="D5065" t="s">
        <v>12780</v>
      </c>
      <c r="E5065" t="s">
        <v>12787</v>
      </c>
    </row>
    <row r="5066" spans="1:5" x14ac:dyDescent="0.2">
      <c r="A5066" t="s">
        <v>12962</v>
      </c>
      <c r="B5066" t="s">
        <v>12963</v>
      </c>
      <c r="C5066" t="s">
        <v>12964</v>
      </c>
      <c r="D5066" t="s">
        <v>12964</v>
      </c>
      <c r="E5066" t="s">
        <v>12965</v>
      </c>
    </row>
    <row r="5067" spans="1:5" x14ac:dyDescent="0.2">
      <c r="A5067" t="s">
        <v>12966</v>
      </c>
      <c r="B5067" t="s">
        <v>12967</v>
      </c>
      <c r="C5067" t="s">
        <v>12964</v>
      </c>
      <c r="D5067" t="s">
        <v>12964</v>
      </c>
      <c r="E5067" t="s">
        <v>12968</v>
      </c>
    </row>
    <row r="5068" spans="1:5" x14ac:dyDescent="0.2">
      <c r="A5068" t="s">
        <v>12969</v>
      </c>
      <c r="B5068" t="s">
        <v>12970</v>
      </c>
      <c r="C5068" t="s">
        <v>12964</v>
      </c>
      <c r="D5068" t="s">
        <v>12964</v>
      </c>
      <c r="E5068" t="s">
        <v>12971</v>
      </c>
    </row>
    <row r="5069" spans="1:5" x14ac:dyDescent="0.2">
      <c r="A5069" t="s">
        <v>12972</v>
      </c>
      <c r="B5069" t="s">
        <v>12973</v>
      </c>
      <c r="C5069" t="s">
        <v>12964</v>
      </c>
      <c r="D5069" t="s">
        <v>12964</v>
      </c>
      <c r="E5069" t="s">
        <v>12974</v>
      </c>
    </row>
    <row r="5070" spans="1:5" x14ac:dyDescent="0.2">
      <c r="A5070" t="s">
        <v>12975</v>
      </c>
      <c r="B5070" t="s">
        <v>12976</v>
      </c>
      <c r="C5070" t="s">
        <v>12964</v>
      </c>
      <c r="D5070" t="s">
        <v>12964</v>
      </c>
      <c r="E5070" t="s">
        <v>12977</v>
      </c>
    </row>
    <row r="5071" spans="1:5" x14ac:dyDescent="0.2">
      <c r="A5071" t="s">
        <v>12978</v>
      </c>
      <c r="B5071" t="s">
        <v>12979</v>
      </c>
      <c r="C5071" t="s">
        <v>12964</v>
      </c>
      <c r="D5071" t="s">
        <v>12964</v>
      </c>
      <c r="E5071" t="s">
        <v>12980</v>
      </c>
    </row>
    <row r="5072" spans="1:5" x14ac:dyDescent="0.2">
      <c r="A5072" t="s">
        <v>12981</v>
      </c>
      <c r="B5072" t="s">
        <v>12982</v>
      </c>
      <c r="C5072" t="s">
        <v>12964</v>
      </c>
      <c r="D5072" t="s">
        <v>12964</v>
      </c>
      <c r="E5072" t="s">
        <v>12980</v>
      </c>
    </row>
    <row r="5073" spans="1:5" x14ac:dyDescent="0.2">
      <c r="A5073" t="s">
        <v>12983</v>
      </c>
      <c r="B5073" t="s">
        <v>12984</v>
      </c>
      <c r="C5073" t="s">
        <v>12964</v>
      </c>
      <c r="D5073" t="s">
        <v>12964</v>
      </c>
      <c r="E5073" t="s">
        <v>12985</v>
      </c>
    </row>
    <row r="5074" spans="1:5" x14ac:dyDescent="0.2">
      <c r="A5074" t="s">
        <v>12986</v>
      </c>
      <c r="B5074" t="s">
        <v>12987</v>
      </c>
      <c r="C5074" t="s">
        <v>12964</v>
      </c>
      <c r="D5074" t="s">
        <v>12964</v>
      </c>
      <c r="E5074" t="s">
        <v>12988</v>
      </c>
    </row>
    <row r="5075" spans="1:5" x14ac:dyDescent="0.2">
      <c r="A5075" t="s">
        <v>12989</v>
      </c>
      <c r="B5075" t="s">
        <v>12990</v>
      </c>
      <c r="C5075" t="s">
        <v>12964</v>
      </c>
      <c r="D5075" t="s">
        <v>12964</v>
      </c>
      <c r="E5075" t="s">
        <v>12991</v>
      </c>
    </row>
    <row r="5076" spans="1:5" x14ac:dyDescent="0.2">
      <c r="A5076" t="s">
        <v>12992</v>
      </c>
      <c r="B5076" t="s">
        <v>12993</v>
      </c>
      <c r="C5076" t="s">
        <v>12964</v>
      </c>
      <c r="D5076" t="s">
        <v>12964</v>
      </c>
      <c r="E5076" t="s">
        <v>12994</v>
      </c>
    </row>
    <row r="5077" spans="1:5" x14ac:dyDescent="0.2">
      <c r="A5077" t="s">
        <v>12995</v>
      </c>
      <c r="B5077" t="s">
        <v>12996</v>
      </c>
      <c r="C5077" t="s">
        <v>12964</v>
      </c>
      <c r="D5077" t="s">
        <v>12964</v>
      </c>
      <c r="E5077" t="s">
        <v>12997</v>
      </c>
    </row>
    <row r="5078" spans="1:5" x14ac:dyDescent="0.2">
      <c r="A5078" t="s">
        <v>12998</v>
      </c>
      <c r="B5078" t="s">
        <v>12999</v>
      </c>
      <c r="C5078" t="s">
        <v>12964</v>
      </c>
      <c r="D5078" t="s">
        <v>12964</v>
      </c>
      <c r="E5078" t="s">
        <v>13000</v>
      </c>
    </row>
    <row r="5079" spans="1:5" x14ac:dyDescent="0.2">
      <c r="A5079" t="s">
        <v>13001</v>
      </c>
      <c r="B5079" t="s">
        <v>13002</v>
      </c>
      <c r="C5079" t="s">
        <v>12964</v>
      </c>
      <c r="D5079" t="s">
        <v>12964</v>
      </c>
      <c r="E5079" t="s">
        <v>13003</v>
      </c>
    </row>
    <row r="5080" spans="1:5" x14ac:dyDescent="0.2">
      <c r="A5080" t="s">
        <v>13004</v>
      </c>
      <c r="B5080" t="s">
        <v>13005</v>
      </c>
      <c r="C5080" t="s">
        <v>12964</v>
      </c>
      <c r="D5080" t="s">
        <v>12964</v>
      </c>
      <c r="E5080" t="s">
        <v>13000</v>
      </c>
    </row>
    <row r="5081" spans="1:5" x14ac:dyDescent="0.2">
      <c r="A5081" t="s">
        <v>13006</v>
      </c>
      <c r="B5081" t="s">
        <v>13007</v>
      </c>
      <c r="C5081" t="s">
        <v>12964</v>
      </c>
      <c r="D5081" t="s">
        <v>12964</v>
      </c>
      <c r="E5081" t="s">
        <v>13008</v>
      </c>
    </row>
    <row r="5082" spans="1:5" x14ac:dyDescent="0.2">
      <c r="A5082" t="s">
        <v>13009</v>
      </c>
      <c r="B5082" t="s">
        <v>13010</v>
      </c>
      <c r="C5082" t="s">
        <v>12964</v>
      </c>
      <c r="D5082" t="s">
        <v>12964</v>
      </c>
      <c r="E5082" t="s">
        <v>13011</v>
      </c>
    </row>
    <row r="5083" spans="1:5" x14ac:dyDescent="0.2">
      <c r="A5083" t="s">
        <v>13012</v>
      </c>
      <c r="B5083" t="s">
        <v>13013</v>
      </c>
      <c r="C5083" t="s">
        <v>12964</v>
      </c>
      <c r="D5083" t="s">
        <v>12964</v>
      </c>
      <c r="E5083" t="s">
        <v>13014</v>
      </c>
    </row>
    <row r="5084" spans="1:5" x14ac:dyDescent="0.2">
      <c r="A5084" t="s">
        <v>13015</v>
      </c>
      <c r="B5084" t="s">
        <v>13016</v>
      </c>
      <c r="C5084" t="s">
        <v>12964</v>
      </c>
      <c r="D5084" t="s">
        <v>12964</v>
      </c>
      <c r="E5084" t="s">
        <v>13017</v>
      </c>
    </row>
    <row r="5085" spans="1:5" x14ac:dyDescent="0.2">
      <c r="A5085" t="s">
        <v>13018</v>
      </c>
      <c r="B5085" t="s">
        <v>13019</v>
      </c>
      <c r="C5085" t="s">
        <v>12964</v>
      </c>
      <c r="D5085" t="s">
        <v>12964</v>
      </c>
      <c r="E5085" t="s">
        <v>13020</v>
      </c>
    </row>
    <row r="5086" spans="1:5" x14ac:dyDescent="0.2">
      <c r="A5086" t="s">
        <v>13021</v>
      </c>
      <c r="B5086" t="s">
        <v>13022</v>
      </c>
      <c r="C5086" t="s">
        <v>12964</v>
      </c>
      <c r="D5086" t="s">
        <v>12964</v>
      </c>
      <c r="E5086" t="s">
        <v>13023</v>
      </c>
    </row>
    <row r="5087" spans="1:5" x14ac:dyDescent="0.2">
      <c r="A5087" t="s">
        <v>13024</v>
      </c>
      <c r="B5087" t="s">
        <v>13025</v>
      </c>
      <c r="C5087" t="s">
        <v>12964</v>
      </c>
      <c r="D5087" t="s">
        <v>12964</v>
      </c>
      <c r="E5087" t="s">
        <v>13026</v>
      </c>
    </row>
    <row r="5088" spans="1:5" x14ac:dyDescent="0.2">
      <c r="A5088" t="s">
        <v>13027</v>
      </c>
      <c r="B5088" t="s">
        <v>13028</v>
      </c>
      <c r="C5088" t="s">
        <v>12964</v>
      </c>
      <c r="D5088" t="s">
        <v>12964</v>
      </c>
      <c r="E5088" t="s">
        <v>13029</v>
      </c>
    </row>
    <row r="5089" spans="1:5" x14ac:dyDescent="0.2">
      <c r="A5089" t="s">
        <v>13030</v>
      </c>
      <c r="B5089" t="s">
        <v>13031</v>
      </c>
      <c r="C5089" t="s">
        <v>12964</v>
      </c>
      <c r="D5089" t="s">
        <v>12964</v>
      </c>
      <c r="E5089" t="s">
        <v>13032</v>
      </c>
    </row>
    <row r="5090" spans="1:5" x14ac:dyDescent="0.2">
      <c r="A5090" t="s">
        <v>13033</v>
      </c>
      <c r="B5090" t="s">
        <v>13034</v>
      </c>
      <c r="C5090" t="s">
        <v>12964</v>
      </c>
      <c r="D5090" t="s">
        <v>12964</v>
      </c>
      <c r="E5090" t="s">
        <v>13000</v>
      </c>
    </row>
    <row r="5091" spans="1:5" x14ac:dyDescent="0.2">
      <c r="A5091" t="s">
        <v>13035</v>
      </c>
      <c r="B5091" t="s">
        <v>13036</v>
      </c>
      <c r="C5091" t="s">
        <v>12964</v>
      </c>
      <c r="D5091" t="s">
        <v>12964</v>
      </c>
      <c r="E5091" t="s">
        <v>13037</v>
      </c>
    </row>
    <row r="5092" spans="1:5" x14ac:dyDescent="0.2">
      <c r="A5092" t="s">
        <v>13038</v>
      </c>
      <c r="B5092" t="s">
        <v>13039</v>
      </c>
      <c r="C5092" t="s">
        <v>12964</v>
      </c>
      <c r="D5092" t="s">
        <v>12964</v>
      </c>
      <c r="E5092" t="s">
        <v>13040</v>
      </c>
    </row>
    <row r="5093" spans="1:5" x14ac:dyDescent="0.2">
      <c r="A5093" t="s">
        <v>13041</v>
      </c>
      <c r="B5093" t="s">
        <v>13042</v>
      </c>
      <c r="C5093" t="s">
        <v>12964</v>
      </c>
      <c r="D5093" t="s">
        <v>12964</v>
      </c>
      <c r="E5093" t="s">
        <v>13000</v>
      </c>
    </row>
    <row r="5094" spans="1:5" x14ac:dyDescent="0.2">
      <c r="A5094" t="s">
        <v>13043</v>
      </c>
      <c r="B5094" t="s">
        <v>13044</v>
      </c>
      <c r="C5094" t="s">
        <v>12964</v>
      </c>
      <c r="D5094" t="s">
        <v>12964</v>
      </c>
      <c r="E5094" t="s">
        <v>13000</v>
      </c>
    </row>
    <row r="5095" spans="1:5" x14ac:dyDescent="0.2">
      <c r="A5095" t="s">
        <v>13045</v>
      </c>
      <c r="B5095" t="s">
        <v>13046</v>
      </c>
      <c r="C5095" t="s">
        <v>12964</v>
      </c>
      <c r="D5095" t="s">
        <v>12964</v>
      </c>
      <c r="E5095" t="s">
        <v>13023</v>
      </c>
    </row>
    <row r="5096" spans="1:5" x14ac:dyDescent="0.2">
      <c r="A5096" t="s">
        <v>13047</v>
      </c>
      <c r="B5096" t="s">
        <v>13048</v>
      </c>
      <c r="C5096" t="s">
        <v>12964</v>
      </c>
      <c r="D5096" t="s">
        <v>12964</v>
      </c>
      <c r="E5096" t="s">
        <v>13049</v>
      </c>
    </row>
    <row r="5097" spans="1:5" x14ac:dyDescent="0.2">
      <c r="A5097" t="s">
        <v>13050</v>
      </c>
      <c r="B5097" t="s">
        <v>13051</v>
      </c>
      <c r="C5097" t="s">
        <v>12964</v>
      </c>
      <c r="D5097" t="s">
        <v>12964</v>
      </c>
      <c r="E5097" t="s">
        <v>13052</v>
      </c>
    </row>
    <row r="5098" spans="1:5" x14ac:dyDescent="0.2">
      <c r="A5098" t="s">
        <v>13053</v>
      </c>
      <c r="B5098" t="s">
        <v>13054</v>
      </c>
      <c r="C5098" t="s">
        <v>12964</v>
      </c>
      <c r="D5098" t="s">
        <v>12964</v>
      </c>
      <c r="E5098" t="s">
        <v>13023</v>
      </c>
    </row>
    <row r="5099" spans="1:5" x14ac:dyDescent="0.2">
      <c r="A5099" t="s">
        <v>13055</v>
      </c>
      <c r="B5099" t="s">
        <v>13056</v>
      </c>
      <c r="C5099" t="s">
        <v>12964</v>
      </c>
      <c r="D5099" t="s">
        <v>12964</v>
      </c>
      <c r="E5099" t="s">
        <v>13057</v>
      </c>
    </row>
    <row r="5100" spans="1:5" x14ac:dyDescent="0.2">
      <c r="A5100" t="s">
        <v>13058</v>
      </c>
      <c r="B5100" t="s">
        <v>13059</v>
      </c>
      <c r="C5100" t="s">
        <v>12964</v>
      </c>
      <c r="D5100" t="s">
        <v>12964</v>
      </c>
      <c r="E5100" t="s">
        <v>13060</v>
      </c>
    </row>
    <row r="5101" spans="1:5" x14ac:dyDescent="0.2">
      <c r="A5101" t="s">
        <v>13061</v>
      </c>
      <c r="B5101" t="s">
        <v>13062</v>
      </c>
      <c r="C5101" t="s">
        <v>12964</v>
      </c>
      <c r="D5101" t="s">
        <v>12964</v>
      </c>
      <c r="E5101" t="s">
        <v>13063</v>
      </c>
    </row>
    <row r="5102" spans="1:5" x14ac:dyDescent="0.2">
      <c r="A5102" t="s">
        <v>13064</v>
      </c>
      <c r="B5102" t="s">
        <v>13065</v>
      </c>
      <c r="C5102" t="s">
        <v>12964</v>
      </c>
      <c r="D5102" t="s">
        <v>12964</v>
      </c>
      <c r="E5102" t="s">
        <v>13066</v>
      </c>
    </row>
    <row r="5103" spans="1:5" x14ac:dyDescent="0.2">
      <c r="A5103" t="s">
        <v>13067</v>
      </c>
      <c r="B5103" t="s">
        <v>13068</v>
      </c>
      <c r="C5103" t="s">
        <v>12964</v>
      </c>
      <c r="D5103" t="s">
        <v>12964</v>
      </c>
      <c r="E5103" t="s">
        <v>13069</v>
      </c>
    </row>
    <row r="5104" spans="1:5" x14ac:dyDescent="0.2">
      <c r="A5104" t="s">
        <v>13070</v>
      </c>
      <c r="B5104" t="s">
        <v>13071</v>
      </c>
      <c r="C5104" t="s">
        <v>12964</v>
      </c>
      <c r="D5104" t="s">
        <v>12964</v>
      </c>
      <c r="E5104" t="s">
        <v>13026</v>
      </c>
    </row>
    <row r="5105" spans="1:5" x14ac:dyDescent="0.2">
      <c r="A5105" t="s">
        <v>13072</v>
      </c>
      <c r="B5105" t="s">
        <v>13073</v>
      </c>
      <c r="C5105" t="s">
        <v>12964</v>
      </c>
      <c r="D5105" t="s">
        <v>12964</v>
      </c>
      <c r="E5105" t="s">
        <v>13000</v>
      </c>
    </row>
    <row r="5106" spans="1:5" x14ac:dyDescent="0.2">
      <c r="A5106" t="s">
        <v>13074</v>
      </c>
      <c r="B5106" t="s">
        <v>13075</v>
      </c>
      <c r="C5106" t="s">
        <v>12964</v>
      </c>
      <c r="D5106" t="s">
        <v>12964</v>
      </c>
      <c r="E5106" t="s">
        <v>13076</v>
      </c>
    </row>
    <row r="5107" spans="1:5" x14ac:dyDescent="0.2">
      <c r="A5107" t="s">
        <v>13077</v>
      </c>
      <c r="B5107" t="s">
        <v>13078</v>
      </c>
      <c r="C5107" t="s">
        <v>12964</v>
      </c>
      <c r="D5107" t="s">
        <v>12964</v>
      </c>
      <c r="E5107" t="s">
        <v>13000</v>
      </c>
    </row>
    <row r="5108" spans="1:5" x14ac:dyDescent="0.2">
      <c r="A5108" t="s">
        <v>13079</v>
      </c>
      <c r="B5108" t="s">
        <v>13080</v>
      </c>
      <c r="C5108" t="s">
        <v>12964</v>
      </c>
      <c r="D5108" t="s">
        <v>12964</v>
      </c>
      <c r="E5108" t="s">
        <v>13081</v>
      </c>
    </row>
    <row r="5109" spans="1:5" x14ac:dyDescent="0.2">
      <c r="A5109" t="s">
        <v>13082</v>
      </c>
      <c r="B5109" t="s">
        <v>13083</v>
      </c>
      <c r="C5109" t="s">
        <v>12964</v>
      </c>
      <c r="D5109" t="s">
        <v>12964</v>
      </c>
      <c r="E5109" t="s">
        <v>13084</v>
      </c>
    </row>
    <row r="5110" spans="1:5" x14ac:dyDescent="0.2">
      <c r="A5110" t="s">
        <v>13085</v>
      </c>
      <c r="B5110" t="s">
        <v>13086</v>
      </c>
      <c r="C5110" t="s">
        <v>12964</v>
      </c>
      <c r="D5110" t="s">
        <v>12964</v>
      </c>
      <c r="E5110" t="s">
        <v>13087</v>
      </c>
    </row>
    <row r="5111" spans="1:5" x14ac:dyDescent="0.2">
      <c r="A5111" t="s">
        <v>13088</v>
      </c>
      <c r="B5111" t="s">
        <v>13089</v>
      </c>
      <c r="C5111" t="s">
        <v>12964</v>
      </c>
      <c r="D5111" t="s">
        <v>12964</v>
      </c>
      <c r="E5111" t="s">
        <v>13090</v>
      </c>
    </row>
    <row r="5112" spans="1:5" x14ac:dyDescent="0.2">
      <c r="A5112" t="s">
        <v>13091</v>
      </c>
      <c r="B5112" t="s">
        <v>13092</v>
      </c>
      <c r="C5112" t="s">
        <v>12964</v>
      </c>
      <c r="D5112" t="s">
        <v>12964</v>
      </c>
      <c r="E5112" t="s">
        <v>12980</v>
      </c>
    </row>
    <row r="5113" spans="1:5" x14ac:dyDescent="0.2">
      <c r="A5113" t="s">
        <v>13093</v>
      </c>
      <c r="B5113" t="s">
        <v>13094</v>
      </c>
      <c r="C5113" t="s">
        <v>12964</v>
      </c>
      <c r="D5113" t="s">
        <v>12964</v>
      </c>
      <c r="E5113" t="s">
        <v>13095</v>
      </c>
    </row>
    <row r="5114" spans="1:5" x14ac:dyDescent="0.2">
      <c r="A5114" t="s">
        <v>13096</v>
      </c>
      <c r="B5114" t="s">
        <v>13097</v>
      </c>
      <c r="C5114" t="s">
        <v>12964</v>
      </c>
      <c r="D5114" t="s">
        <v>12964</v>
      </c>
      <c r="E5114" t="s">
        <v>13098</v>
      </c>
    </row>
    <row r="5115" spans="1:5" x14ac:dyDescent="0.2">
      <c r="A5115" t="s">
        <v>13099</v>
      </c>
      <c r="B5115" t="s">
        <v>13100</v>
      </c>
      <c r="C5115" t="s">
        <v>12964</v>
      </c>
      <c r="D5115" t="s">
        <v>12964</v>
      </c>
      <c r="E5115" t="s">
        <v>13101</v>
      </c>
    </row>
    <row r="5116" spans="1:5" x14ac:dyDescent="0.2">
      <c r="A5116" t="s">
        <v>13102</v>
      </c>
      <c r="B5116" t="s">
        <v>13103</v>
      </c>
      <c r="C5116" t="s">
        <v>12964</v>
      </c>
      <c r="D5116" t="s">
        <v>12964</v>
      </c>
      <c r="E5116" t="s">
        <v>13104</v>
      </c>
    </row>
    <row r="5117" spans="1:5" x14ac:dyDescent="0.2">
      <c r="A5117" t="s">
        <v>13105</v>
      </c>
      <c r="B5117" t="s">
        <v>13106</v>
      </c>
      <c r="C5117" t="s">
        <v>12964</v>
      </c>
      <c r="D5117" t="s">
        <v>12964</v>
      </c>
      <c r="E5117" t="s">
        <v>13107</v>
      </c>
    </row>
    <row r="5118" spans="1:5" x14ac:dyDescent="0.2">
      <c r="A5118" t="s">
        <v>13108</v>
      </c>
      <c r="B5118" t="s">
        <v>13109</v>
      </c>
      <c r="C5118" t="s">
        <v>12964</v>
      </c>
      <c r="D5118" t="s">
        <v>12964</v>
      </c>
      <c r="E5118" t="s">
        <v>13110</v>
      </c>
    </row>
    <row r="5119" spans="1:5" x14ac:dyDescent="0.2">
      <c r="A5119" t="s">
        <v>13111</v>
      </c>
      <c r="B5119" t="s">
        <v>13112</v>
      </c>
      <c r="C5119" t="s">
        <v>12964</v>
      </c>
      <c r="D5119" t="s">
        <v>12964</v>
      </c>
      <c r="E5119" t="s">
        <v>13026</v>
      </c>
    </row>
    <row r="5120" spans="1:5" x14ac:dyDescent="0.2">
      <c r="A5120" t="s">
        <v>13113</v>
      </c>
      <c r="B5120" t="s">
        <v>13114</v>
      </c>
      <c r="C5120" t="s">
        <v>12964</v>
      </c>
      <c r="D5120" t="s">
        <v>12964</v>
      </c>
      <c r="E5120" t="s">
        <v>13037</v>
      </c>
    </row>
    <row r="5121" spans="1:5" x14ac:dyDescent="0.2">
      <c r="A5121" t="s">
        <v>13115</v>
      </c>
      <c r="B5121" t="s">
        <v>13116</v>
      </c>
      <c r="C5121" t="s">
        <v>12964</v>
      </c>
      <c r="D5121" t="s">
        <v>12964</v>
      </c>
      <c r="E5121" t="s">
        <v>13037</v>
      </c>
    </row>
    <row r="5122" spans="1:5" x14ac:dyDescent="0.2">
      <c r="A5122" t="s">
        <v>13117</v>
      </c>
      <c r="B5122" t="s">
        <v>13118</v>
      </c>
      <c r="C5122" t="s">
        <v>12964</v>
      </c>
      <c r="D5122" t="s">
        <v>12964</v>
      </c>
      <c r="E5122" t="s">
        <v>13119</v>
      </c>
    </row>
    <row r="5123" spans="1:5" x14ac:dyDescent="0.2">
      <c r="A5123" t="s">
        <v>13120</v>
      </c>
      <c r="B5123" t="s">
        <v>13121</v>
      </c>
      <c r="C5123" t="s">
        <v>12964</v>
      </c>
      <c r="D5123" t="s">
        <v>12964</v>
      </c>
      <c r="E5123" t="s">
        <v>13122</v>
      </c>
    </row>
    <row r="5124" spans="1:5" x14ac:dyDescent="0.2">
      <c r="A5124" t="s">
        <v>13123</v>
      </c>
      <c r="B5124" t="s">
        <v>13124</v>
      </c>
      <c r="C5124" t="s">
        <v>12964</v>
      </c>
      <c r="D5124" t="s">
        <v>12964</v>
      </c>
      <c r="E5124" t="s">
        <v>13125</v>
      </c>
    </row>
    <row r="5125" spans="1:5" x14ac:dyDescent="0.2">
      <c r="A5125" t="s">
        <v>13126</v>
      </c>
      <c r="B5125" t="s">
        <v>13127</v>
      </c>
      <c r="C5125" t="s">
        <v>12964</v>
      </c>
      <c r="D5125" t="s">
        <v>12964</v>
      </c>
      <c r="E5125" t="s">
        <v>13128</v>
      </c>
    </row>
    <row r="5126" spans="1:5" x14ac:dyDescent="0.2">
      <c r="A5126" t="s">
        <v>13129</v>
      </c>
      <c r="B5126" t="s">
        <v>13130</v>
      </c>
      <c r="C5126" t="s">
        <v>12964</v>
      </c>
      <c r="D5126" t="s">
        <v>12964</v>
      </c>
      <c r="E5126" t="s">
        <v>13131</v>
      </c>
    </row>
    <row r="5127" spans="1:5" x14ac:dyDescent="0.2">
      <c r="A5127" t="s">
        <v>13132</v>
      </c>
      <c r="B5127" t="s">
        <v>13133</v>
      </c>
      <c r="C5127" t="s">
        <v>12964</v>
      </c>
      <c r="D5127" t="s">
        <v>12964</v>
      </c>
      <c r="E5127" t="s">
        <v>13134</v>
      </c>
    </row>
    <row r="5128" spans="1:5" x14ac:dyDescent="0.2">
      <c r="A5128" t="s">
        <v>13135</v>
      </c>
      <c r="B5128" t="s">
        <v>13136</v>
      </c>
      <c r="C5128" t="s">
        <v>12964</v>
      </c>
      <c r="D5128" t="s">
        <v>12964</v>
      </c>
      <c r="E5128" t="s">
        <v>13137</v>
      </c>
    </row>
    <row r="5129" spans="1:5" x14ac:dyDescent="0.2">
      <c r="A5129" t="s">
        <v>13138</v>
      </c>
      <c r="B5129" t="s">
        <v>13139</v>
      </c>
      <c r="C5129" t="s">
        <v>12964</v>
      </c>
      <c r="D5129" t="s">
        <v>12964</v>
      </c>
      <c r="E5129" t="s">
        <v>13140</v>
      </c>
    </row>
    <row r="5130" spans="1:5" x14ac:dyDescent="0.2">
      <c r="A5130" t="s">
        <v>13141</v>
      </c>
      <c r="B5130" t="s">
        <v>13142</v>
      </c>
      <c r="C5130" t="s">
        <v>12964</v>
      </c>
      <c r="D5130" t="s">
        <v>12964</v>
      </c>
      <c r="E5130" t="s">
        <v>13000</v>
      </c>
    </row>
    <row r="5131" spans="1:5" x14ac:dyDescent="0.2">
      <c r="A5131" t="s">
        <v>13143</v>
      </c>
      <c r="B5131" t="s">
        <v>13144</v>
      </c>
      <c r="C5131" t="s">
        <v>12964</v>
      </c>
      <c r="D5131" t="s">
        <v>12964</v>
      </c>
      <c r="E5131" t="s">
        <v>13037</v>
      </c>
    </row>
    <row r="5132" spans="1:5" x14ac:dyDescent="0.2">
      <c r="A5132" t="s">
        <v>13145</v>
      </c>
      <c r="B5132" t="s">
        <v>13146</v>
      </c>
      <c r="C5132" t="s">
        <v>12964</v>
      </c>
      <c r="D5132" t="s">
        <v>12964</v>
      </c>
      <c r="E5132" t="s">
        <v>13147</v>
      </c>
    </row>
    <row r="5133" spans="1:5" x14ac:dyDescent="0.2">
      <c r="A5133" t="s">
        <v>13148</v>
      </c>
      <c r="B5133" t="s">
        <v>13149</v>
      </c>
      <c r="C5133" t="s">
        <v>12964</v>
      </c>
      <c r="D5133" t="s">
        <v>12964</v>
      </c>
      <c r="E5133" t="s">
        <v>13150</v>
      </c>
    </row>
    <row r="5134" spans="1:5" x14ac:dyDescent="0.2">
      <c r="A5134" t="s">
        <v>13151</v>
      </c>
      <c r="B5134" t="s">
        <v>13152</v>
      </c>
      <c r="C5134" t="s">
        <v>12964</v>
      </c>
      <c r="D5134" t="s">
        <v>12964</v>
      </c>
      <c r="E5134" t="s">
        <v>13000</v>
      </c>
    </row>
    <row r="5135" spans="1:5" x14ac:dyDescent="0.2">
      <c r="A5135" t="s">
        <v>13153</v>
      </c>
      <c r="B5135" t="s">
        <v>13154</v>
      </c>
      <c r="C5135" t="s">
        <v>12964</v>
      </c>
      <c r="D5135" t="s">
        <v>12964</v>
      </c>
      <c r="E5135" t="s">
        <v>13037</v>
      </c>
    </row>
    <row r="5136" spans="1:5" x14ac:dyDescent="0.2">
      <c r="A5136" t="s">
        <v>13155</v>
      </c>
      <c r="B5136" t="s">
        <v>13156</v>
      </c>
      <c r="C5136" t="s">
        <v>12964</v>
      </c>
      <c r="D5136" t="s">
        <v>12964</v>
      </c>
      <c r="E5136" t="s">
        <v>13157</v>
      </c>
    </row>
    <row r="5137" spans="1:5" x14ac:dyDescent="0.2">
      <c r="A5137" t="s">
        <v>13158</v>
      </c>
      <c r="B5137" t="s">
        <v>13159</v>
      </c>
      <c r="C5137" t="s">
        <v>12964</v>
      </c>
      <c r="D5137" t="s">
        <v>12964</v>
      </c>
      <c r="E5137" t="s">
        <v>13160</v>
      </c>
    </row>
    <row r="5138" spans="1:5" x14ac:dyDescent="0.2">
      <c r="A5138" t="s">
        <v>13161</v>
      </c>
      <c r="B5138" t="s">
        <v>13162</v>
      </c>
      <c r="C5138" t="s">
        <v>12964</v>
      </c>
      <c r="D5138" t="s">
        <v>12964</v>
      </c>
      <c r="E5138" t="s">
        <v>13163</v>
      </c>
    </row>
    <row r="5139" spans="1:5" x14ac:dyDescent="0.2">
      <c r="A5139" t="s">
        <v>13164</v>
      </c>
      <c r="B5139" t="s">
        <v>13165</v>
      </c>
      <c r="C5139" t="s">
        <v>12964</v>
      </c>
      <c r="D5139" t="s">
        <v>12964</v>
      </c>
      <c r="E5139" t="s">
        <v>13166</v>
      </c>
    </row>
    <row r="5140" spans="1:5" x14ac:dyDescent="0.2">
      <c r="A5140" t="s">
        <v>13167</v>
      </c>
      <c r="B5140" t="s">
        <v>13168</v>
      </c>
      <c r="C5140" t="s">
        <v>12964</v>
      </c>
      <c r="D5140" t="s">
        <v>12964</v>
      </c>
      <c r="E5140" t="s">
        <v>13000</v>
      </c>
    </row>
    <row r="5141" spans="1:5" x14ac:dyDescent="0.2">
      <c r="A5141" t="s">
        <v>13169</v>
      </c>
      <c r="B5141" t="s">
        <v>13170</v>
      </c>
      <c r="C5141" t="s">
        <v>12964</v>
      </c>
      <c r="D5141" t="s">
        <v>12964</v>
      </c>
      <c r="E5141" t="s">
        <v>13171</v>
      </c>
    </row>
    <row r="5142" spans="1:5" x14ac:dyDescent="0.2">
      <c r="A5142" t="s">
        <v>13172</v>
      </c>
      <c r="B5142" t="s">
        <v>13173</v>
      </c>
      <c r="C5142" t="s">
        <v>12964</v>
      </c>
      <c r="D5142" t="s">
        <v>12964</v>
      </c>
      <c r="E5142" t="s">
        <v>13000</v>
      </c>
    </row>
    <row r="5143" spans="1:5" x14ac:dyDescent="0.2">
      <c r="A5143" t="s">
        <v>13174</v>
      </c>
      <c r="B5143" t="s">
        <v>13175</v>
      </c>
      <c r="C5143" t="s">
        <v>12964</v>
      </c>
      <c r="D5143" t="s">
        <v>12964</v>
      </c>
      <c r="E5143" t="s">
        <v>12980</v>
      </c>
    </row>
    <row r="5144" spans="1:5" x14ac:dyDescent="0.2">
      <c r="A5144" t="s">
        <v>13176</v>
      </c>
      <c r="B5144" t="s">
        <v>13177</v>
      </c>
      <c r="C5144" t="s">
        <v>12964</v>
      </c>
      <c r="D5144" t="s">
        <v>12964</v>
      </c>
      <c r="E5144" t="s">
        <v>13178</v>
      </c>
    </row>
    <row r="5145" spans="1:5" x14ac:dyDescent="0.2">
      <c r="A5145" t="s">
        <v>13179</v>
      </c>
      <c r="B5145" t="s">
        <v>13180</v>
      </c>
      <c r="C5145" t="s">
        <v>12964</v>
      </c>
      <c r="D5145" t="s">
        <v>12964</v>
      </c>
      <c r="E5145" t="s">
        <v>13181</v>
      </c>
    </row>
    <row r="5146" spans="1:5" x14ac:dyDescent="0.2">
      <c r="A5146" t="s">
        <v>13182</v>
      </c>
      <c r="B5146" t="s">
        <v>13183</v>
      </c>
      <c r="C5146" t="s">
        <v>12964</v>
      </c>
      <c r="D5146" t="s">
        <v>12964</v>
      </c>
      <c r="E5146" t="s">
        <v>13037</v>
      </c>
    </row>
    <row r="5147" spans="1:5" x14ac:dyDescent="0.2">
      <c r="A5147" t="s">
        <v>13184</v>
      </c>
      <c r="B5147" t="s">
        <v>13185</v>
      </c>
      <c r="C5147" t="s">
        <v>12964</v>
      </c>
      <c r="D5147" t="s">
        <v>12964</v>
      </c>
      <c r="E5147" t="s">
        <v>13037</v>
      </c>
    </row>
    <row r="5148" spans="1:5" x14ac:dyDescent="0.2">
      <c r="A5148" t="s">
        <v>13186</v>
      </c>
      <c r="B5148" t="s">
        <v>13187</v>
      </c>
      <c r="C5148" t="s">
        <v>12964</v>
      </c>
      <c r="D5148" t="s">
        <v>12964</v>
      </c>
      <c r="E5148" t="s">
        <v>13188</v>
      </c>
    </row>
    <row r="5149" spans="1:5" x14ac:dyDescent="0.2">
      <c r="A5149" t="s">
        <v>13189</v>
      </c>
      <c r="B5149" t="s">
        <v>13190</v>
      </c>
      <c r="C5149" t="s">
        <v>12964</v>
      </c>
      <c r="D5149" t="s">
        <v>12964</v>
      </c>
      <c r="E5149" t="s">
        <v>13191</v>
      </c>
    </row>
    <row r="5150" spans="1:5" x14ac:dyDescent="0.2">
      <c r="A5150" t="s">
        <v>13192</v>
      </c>
      <c r="B5150" t="s">
        <v>13193</v>
      </c>
      <c r="C5150" t="s">
        <v>12964</v>
      </c>
      <c r="D5150" t="s">
        <v>12964</v>
      </c>
      <c r="E5150" t="s">
        <v>13000</v>
      </c>
    </row>
    <row r="5151" spans="1:5" x14ac:dyDescent="0.2">
      <c r="A5151" t="s">
        <v>13194</v>
      </c>
      <c r="B5151" t="s">
        <v>13195</v>
      </c>
      <c r="C5151" t="s">
        <v>12964</v>
      </c>
      <c r="D5151" t="s">
        <v>12964</v>
      </c>
      <c r="E5151" t="s">
        <v>13196</v>
      </c>
    </row>
    <row r="5152" spans="1:5" x14ac:dyDescent="0.2">
      <c r="A5152" t="s">
        <v>13197</v>
      </c>
      <c r="B5152" t="s">
        <v>13198</v>
      </c>
      <c r="C5152" t="s">
        <v>12964</v>
      </c>
      <c r="D5152" t="s">
        <v>12964</v>
      </c>
      <c r="E5152" t="s">
        <v>13137</v>
      </c>
    </row>
    <row r="5153" spans="1:5" x14ac:dyDescent="0.2">
      <c r="A5153" t="s">
        <v>13199</v>
      </c>
      <c r="B5153" t="s">
        <v>13200</v>
      </c>
      <c r="C5153" t="s">
        <v>12964</v>
      </c>
      <c r="D5153" t="s">
        <v>12964</v>
      </c>
      <c r="E5153" t="s">
        <v>13000</v>
      </c>
    </row>
    <row r="5154" spans="1:5" x14ac:dyDescent="0.2">
      <c r="A5154" t="s">
        <v>13201</v>
      </c>
      <c r="B5154" t="s">
        <v>13202</v>
      </c>
      <c r="C5154" t="s">
        <v>12964</v>
      </c>
      <c r="D5154" t="s">
        <v>12964</v>
      </c>
      <c r="E5154" t="s">
        <v>13037</v>
      </c>
    </row>
    <row r="5155" spans="1:5" x14ac:dyDescent="0.2">
      <c r="A5155" t="s">
        <v>13203</v>
      </c>
      <c r="B5155" t="s">
        <v>13204</v>
      </c>
      <c r="C5155" t="s">
        <v>12964</v>
      </c>
      <c r="D5155" t="s">
        <v>12964</v>
      </c>
      <c r="E5155" t="s">
        <v>13026</v>
      </c>
    </row>
    <row r="5156" spans="1:5" x14ac:dyDescent="0.2">
      <c r="A5156" t="s">
        <v>13205</v>
      </c>
      <c r="B5156" t="s">
        <v>13206</v>
      </c>
      <c r="C5156" t="s">
        <v>12964</v>
      </c>
      <c r="D5156" t="s">
        <v>12964</v>
      </c>
      <c r="E5156" t="s">
        <v>13037</v>
      </c>
    </row>
    <row r="5157" spans="1:5" x14ac:dyDescent="0.2">
      <c r="A5157" t="s">
        <v>13207</v>
      </c>
      <c r="B5157" t="s">
        <v>13208</v>
      </c>
      <c r="C5157" t="s">
        <v>12964</v>
      </c>
      <c r="D5157" t="s">
        <v>12964</v>
      </c>
      <c r="E5157" t="s">
        <v>13037</v>
      </c>
    </row>
    <row r="5158" spans="1:5" x14ac:dyDescent="0.2">
      <c r="A5158" t="s">
        <v>13209</v>
      </c>
      <c r="B5158" t="s">
        <v>13210</v>
      </c>
      <c r="C5158" t="s">
        <v>13211</v>
      </c>
      <c r="D5158" t="s">
        <v>13211</v>
      </c>
      <c r="E5158" t="s">
        <v>13212</v>
      </c>
    </row>
    <row r="5159" spans="1:5" x14ac:dyDescent="0.2">
      <c r="A5159" t="s">
        <v>13213</v>
      </c>
      <c r="B5159" t="s">
        <v>13214</v>
      </c>
      <c r="C5159" t="s">
        <v>13211</v>
      </c>
      <c r="D5159" t="s">
        <v>13211</v>
      </c>
      <c r="E5159" t="s">
        <v>13215</v>
      </c>
    </row>
    <row r="5160" spans="1:5" x14ac:dyDescent="0.2">
      <c r="A5160" t="s">
        <v>13216</v>
      </c>
      <c r="B5160" t="s">
        <v>13217</v>
      </c>
      <c r="C5160" t="s">
        <v>13211</v>
      </c>
      <c r="D5160" t="s">
        <v>13211</v>
      </c>
      <c r="E5160" t="s">
        <v>13218</v>
      </c>
    </row>
    <row r="5161" spans="1:5" x14ac:dyDescent="0.2">
      <c r="A5161" t="s">
        <v>13219</v>
      </c>
      <c r="B5161" t="s">
        <v>13220</v>
      </c>
      <c r="C5161" t="s">
        <v>13211</v>
      </c>
      <c r="D5161" t="s">
        <v>13211</v>
      </c>
      <c r="E5161" t="s">
        <v>13221</v>
      </c>
    </row>
    <row r="5162" spans="1:5" x14ac:dyDescent="0.2">
      <c r="A5162" t="s">
        <v>13222</v>
      </c>
      <c r="B5162" t="s">
        <v>13223</v>
      </c>
      <c r="C5162" t="s">
        <v>13211</v>
      </c>
      <c r="D5162" t="s">
        <v>13211</v>
      </c>
      <c r="E5162" t="s">
        <v>13224</v>
      </c>
    </row>
    <row r="5163" spans="1:5" x14ac:dyDescent="0.2">
      <c r="A5163" t="s">
        <v>13225</v>
      </c>
      <c r="B5163" t="s">
        <v>13226</v>
      </c>
      <c r="C5163" t="s">
        <v>13211</v>
      </c>
      <c r="D5163" t="s">
        <v>13211</v>
      </c>
      <c r="E5163" t="s">
        <v>13227</v>
      </c>
    </row>
    <row r="5164" spans="1:5" x14ac:dyDescent="0.2">
      <c r="A5164" t="s">
        <v>13228</v>
      </c>
      <c r="B5164" t="s">
        <v>13229</v>
      </c>
      <c r="C5164" t="s">
        <v>13211</v>
      </c>
      <c r="D5164" t="s">
        <v>13211</v>
      </c>
      <c r="E5164" t="s">
        <v>13230</v>
      </c>
    </row>
    <row r="5165" spans="1:5" x14ac:dyDescent="0.2">
      <c r="A5165" t="s">
        <v>13231</v>
      </c>
      <c r="B5165" t="s">
        <v>13232</v>
      </c>
      <c r="C5165" t="s">
        <v>13211</v>
      </c>
      <c r="D5165" t="s">
        <v>13211</v>
      </c>
      <c r="E5165" t="s">
        <v>13233</v>
      </c>
    </row>
    <row r="5166" spans="1:5" x14ac:dyDescent="0.2">
      <c r="A5166" t="s">
        <v>13234</v>
      </c>
      <c r="B5166" t="s">
        <v>13235</v>
      </c>
      <c r="C5166" t="s">
        <v>13211</v>
      </c>
      <c r="D5166" t="s">
        <v>13211</v>
      </c>
      <c r="E5166" t="s">
        <v>13236</v>
      </c>
    </row>
    <row r="5167" spans="1:5" x14ac:dyDescent="0.2">
      <c r="A5167" t="s">
        <v>13237</v>
      </c>
      <c r="B5167" t="s">
        <v>13238</v>
      </c>
      <c r="C5167" t="s">
        <v>13211</v>
      </c>
      <c r="D5167" t="s">
        <v>13211</v>
      </c>
      <c r="E5167" t="s">
        <v>13239</v>
      </c>
    </row>
    <row r="5168" spans="1:5" x14ac:dyDescent="0.2">
      <c r="A5168" t="s">
        <v>13240</v>
      </c>
      <c r="B5168" t="s">
        <v>13241</v>
      </c>
      <c r="C5168" t="s">
        <v>13211</v>
      </c>
      <c r="D5168" t="s">
        <v>13211</v>
      </c>
      <c r="E5168" t="s">
        <v>13242</v>
      </c>
    </row>
    <row r="5169" spans="1:5" x14ac:dyDescent="0.2">
      <c r="A5169" t="s">
        <v>13243</v>
      </c>
      <c r="B5169" t="s">
        <v>13244</v>
      </c>
      <c r="C5169" t="s">
        <v>13211</v>
      </c>
      <c r="D5169" t="s">
        <v>13211</v>
      </c>
      <c r="E5169" t="s">
        <v>13245</v>
      </c>
    </row>
    <row r="5170" spans="1:5" x14ac:dyDescent="0.2">
      <c r="A5170" t="s">
        <v>13246</v>
      </c>
      <c r="B5170" t="s">
        <v>13247</v>
      </c>
      <c r="C5170" t="s">
        <v>13211</v>
      </c>
      <c r="D5170" t="s">
        <v>13211</v>
      </c>
      <c r="E5170" t="s">
        <v>13218</v>
      </c>
    </row>
    <row r="5171" spans="1:5" x14ac:dyDescent="0.2">
      <c r="A5171" t="s">
        <v>13248</v>
      </c>
      <c r="B5171" t="s">
        <v>13249</v>
      </c>
      <c r="C5171" t="s">
        <v>13211</v>
      </c>
      <c r="D5171" t="s">
        <v>13211</v>
      </c>
      <c r="E5171" t="s">
        <v>13218</v>
      </c>
    </row>
    <row r="5172" spans="1:5" x14ac:dyDescent="0.2">
      <c r="A5172" t="s">
        <v>13250</v>
      </c>
      <c r="B5172" t="s">
        <v>13251</v>
      </c>
      <c r="C5172" t="s">
        <v>13211</v>
      </c>
      <c r="D5172" t="s">
        <v>13211</v>
      </c>
      <c r="E5172" t="s">
        <v>13252</v>
      </c>
    </row>
    <row r="5173" spans="1:5" x14ac:dyDescent="0.2">
      <c r="A5173" t="s">
        <v>13253</v>
      </c>
      <c r="B5173" t="s">
        <v>13254</v>
      </c>
      <c r="C5173" t="s">
        <v>13211</v>
      </c>
      <c r="D5173" t="s">
        <v>13211</v>
      </c>
      <c r="E5173" t="s">
        <v>13218</v>
      </c>
    </row>
    <row r="5174" spans="1:5" x14ac:dyDescent="0.2">
      <c r="A5174" t="s">
        <v>13255</v>
      </c>
      <c r="B5174" t="s">
        <v>13256</v>
      </c>
      <c r="C5174" t="s">
        <v>13211</v>
      </c>
      <c r="D5174" t="s">
        <v>13211</v>
      </c>
      <c r="E5174" t="s">
        <v>13218</v>
      </c>
    </row>
    <row r="5175" spans="1:5" x14ac:dyDescent="0.2">
      <c r="A5175" t="s">
        <v>13257</v>
      </c>
      <c r="B5175" t="s">
        <v>13258</v>
      </c>
      <c r="C5175" t="s">
        <v>13211</v>
      </c>
      <c r="D5175" t="s">
        <v>13211</v>
      </c>
      <c r="E5175" t="s">
        <v>13259</v>
      </c>
    </row>
    <row r="5176" spans="1:5" x14ac:dyDescent="0.2">
      <c r="A5176" t="s">
        <v>13260</v>
      </c>
      <c r="B5176" t="s">
        <v>13261</v>
      </c>
      <c r="C5176" t="s">
        <v>13211</v>
      </c>
      <c r="D5176" t="s">
        <v>13211</v>
      </c>
      <c r="E5176" t="s">
        <v>13218</v>
      </c>
    </row>
    <row r="5177" spans="1:5" x14ac:dyDescent="0.2">
      <c r="A5177" t="s">
        <v>13262</v>
      </c>
      <c r="B5177" t="s">
        <v>13263</v>
      </c>
      <c r="C5177" t="s">
        <v>13211</v>
      </c>
      <c r="D5177" t="s">
        <v>13211</v>
      </c>
      <c r="E5177" t="s">
        <v>13264</v>
      </c>
    </row>
    <row r="5178" spans="1:5" x14ac:dyDescent="0.2">
      <c r="A5178" t="s">
        <v>13265</v>
      </c>
      <c r="B5178" t="s">
        <v>13266</v>
      </c>
      <c r="C5178" t="s">
        <v>13211</v>
      </c>
      <c r="D5178" t="s">
        <v>13211</v>
      </c>
      <c r="E5178" t="s">
        <v>13218</v>
      </c>
    </row>
    <row r="5179" spans="1:5" x14ac:dyDescent="0.2">
      <c r="A5179" t="s">
        <v>13267</v>
      </c>
      <c r="B5179" t="s">
        <v>13268</v>
      </c>
      <c r="C5179" t="s">
        <v>13211</v>
      </c>
      <c r="D5179" t="s">
        <v>13211</v>
      </c>
      <c r="E5179" t="s">
        <v>13218</v>
      </c>
    </row>
    <row r="5180" spans="1:5" x14ac:dyDescent="0.2">
      <c r="A5180" t="s">
        <v>13269</v>
      </c>
      <c r="B5180" t="s">
        <v>13270</v>
      </c>
      <c r="C5180" t="s">
        <v>13211</v>
      </c>
      <c r="D5180" t="s">
        <v>13211</v>
      </c>
      <c r="E5180" t="s">
        <v>13218</v>
      </c>
    </row>
    <row r="5181" spans="1:5" x14ac:dyDescent="0.2">
      <c r="A5181" t="s">
        <v>13271</v>
      </c>
      <c r="B5181" t="s">
        <v>13272</v>
      </c>
      <c r="C5181" t="s">
        <v>13211</v>
      </c>
      <c r="D5181" t="s">
        <v>13211</v>
      </c>
      <c r="E5181" t="s">
        <v>13218</v>
      </c>
    </row>
    <row r="5182" spans="1:5" x14ac:dyDescent="0.2">
      <c r="A5182" t="s">
        <v>13273</v>
      </c>
      <c r="B5182" t="s">
        <v>13274</v>
      </c>
      <c r="C5182" t="s">
        <v>13211</v>
      </c>
      <c r="D5182" t="s">
        <v>13211</v>
      </c>
      <c r="E5182" t="s">
        <v>13275</v>
      </c>
    </row>
    <row r="5183" spans="1:5" x14ac:dyDescent="0.2">
      <c r="A5183" t="s">
        <v>13276</v>
      </c>
      <c r="B5183" t="s">
        <v>13277</v>
      </c>
      <c r="C5183" t="s">
        <v>13211</v>
      </c>
      <c r="D5183" t="s">
        <v>13211</v>
      </c>
      <c r="E5183" t="s">
        <v>13212</v>
      </c>
    </row>
    <row r="5184" spans="1:5" x14ac:dyDescent="0.2">
      <c r="A5184" t="s">
        <v>13278</v>
      </c>
      <c r="B5184" t="s">
        <v>13279</v>
      </c>
      <c r="C5184" t="s">
        <v>13211</v>
      </c>
      <c r="D5184" t="s">
        <v>13211</v>
      </c>
      <c r="E5184" t="s">
        <v>13259</v>
      </c>
    </row>
    <row r="5185" spans="1:5" x14ac:dyDescent="0.2">
      <c r="A5185" t="s">
        <v>13280</v>
      </c>
      <c r="B5185" t="s">
        <v>13281</v>
      </c>
      <c r="C5185" t="s">
        <v>13211</v>
      </c>
      <c r="D5185" t="s">
        <v>13211</v>
      </c>
      <c r="E5185" t="s">
        <v>13218</v>
      </c>
    </row>
    <row r="5186" spans="1:5" x14ac:dyDescent="0.2">
      <c r="A5186" t="s">
        <v>13282</v>
      </c>
      <c r="B5186" t="s">
        <v>13283</v>
      </c>
      <c r="C5186" t="s">
        <v>13211</v>
      </c>
      <c r="D5186" t="s">
        <v>13211</v>
      </c>
      <c r="E5186" t="s">
        <v>13212</v>
      </c>
    </row>
    <row r="5187" spans="1:5" x14ac:dyDescent="0.2">
      <c r="A5187" t="s">
        <v>13284</v>
      </c>
      <c r="B5187" t="s">
        <v>13285</v>
      </c>
      <c r="C5187" t="s">
        <v>13211</v>
      </c>
      <c r="D5187" t="s">
        <v>13211</v>
      </c>
      <c r="E5187" t="s">
        <v>13218</v>
      </c>
    </row>
    <row r="5188" spans="1:5" x14ac:dyDescent="0.2">
      <c r="A5188" t="s">
        <v>13286</v>
      </c>
      <c r="B5188" t="s">
        <v>13287</v>
      </c>
      <c r="C5188" t="s">
        <v>13211</v>
      </c>
      <c r="D5188" t="s">
        <v>13211</v>
      </c>
      <c r="E5188" t="s">
        <v>13212</v>
      </c>
    </row>
    <row r="5189" spans="1:5" x14ac:dyDescent="0.2">
      <c r="A5189" t="s">
        <v>13288</v>
      </c>
      <c r="B5189" t="s">
        <v>13289</v>
      </c>
      <c r="C5189" t="s">
        <v>13211</v>
      </c>
      <c r="D5189" t="s">
        <v>13211</v>
      </c>
      <c r="E5189" t="s">
        <v>13218</v>
      </c>
    </row>
    <row r="5190" spans="1:5" x14ac:dyDescent="0.2">
      <c r="A5190" t="s">
        <v>13290</v>
      </c>
      <c r="B5190" t="s">
        <v>13291</v>
      </c>
      <c r="C5190" t="s">
        <v>13211</v>
      </c>
      <c r="D5190" t="s">
        <v>13211</v>
      </c>
      <c r="E5190" t="s">
        <v>13218</v>
      </c>
    </row>
    <row r="5191" spans="1:5" x14ac:dyDescent="0.2">
      <c r="A5191" t="s">
        <v>13292</v>
      </c>
      <c r="B5191" t="s">
        <v>13293</v>
      </c>
      <c r="C5191" t="s">
        <v>13211</v>
      </c>
      <c r="D5191" t="s">
        <v>13211</v>
      </c>
      <c r="E5191" t="s">
        <v>13212</v>
      </c>
    </row>
    <row r="5192" spans="1:5" x14ac:dyDescent="0.2">
      <c r="A5192" t="s">
        <v>13294</v>
      </c>
      <c r="B5192" t="s">
        <v>13295</v>
      </c>
      <c r="C5192" t="s">
        <v>13211</v>
      </c>
      <c r="D5192" t="s">
        <v>13211</v>
      </c>
      <c r="E5192" t="s">
        <v>13218</v>
      </c>
    </row>
    <row r="5193" spans="1:5" x14ac:dyDescent="0.2">
      <c r="A5193" t="s">
        <v>13296</v>
      </c>
      <c r="B5193" t="s">
        <v>13297</v>
      </c>
      <c r="C5193" t="s">
        <v>13211</v>
      </c>
      <c r="D5193" t="s">
        <v>13211</v>
      </c>
      <c r="E5193" t="s">
        <v>13218</v>
      </c>
    </row>
    <row r="5194" spans="1:5" x14ac:dyDescent="0.2">
      <c r="A5194" t="s">
        <v>13298</v>
      </c>
      <c r="B5194" t="s">
        <v>13299</v>
      </c>
      <c r="C5194" t="s">
        <v>13211</v>
      </c>
      <c r="D5194" t="s">
        <v>13211</v>
      </c>
      <c r="E5194" t="s">
        <v>13300</v>
      </c>
    </row>
    <row r="5195" spans="1:5" x14ac:dyDescent="0.2">
      <c r="A5195" t="s">
        <v>13301</v>
      </c>
      <c r="B5195" t="s">
        <v>13302</v>
      </c>
      <c r="C5195" t="s">
        <v>13211</v>
      </c>
      <c r="D5195" t="s">
        <v>13211</v>
      </c>
      <c r="E5195" t="s">
        <v>13303</v>
      </c>
    </row>
    <row r="5196" spans="1:5" x14ac:dyDescent="0.2">
      <c r="A5196" t="s">
        <v>13304</v>
      </c>
      <c r="B5196" t="s">
        <v>13305</v>
      </c>
      <c r="C5196" t="s">
        <v>13211</v>
      </c>
      <c r="D5196" t="s">
        <v>13211</v>
      </c>
      <c r="E5196" t="s">
        <v>13259</v>
      </c>
    </row>
    <row r="5197" spans="1:5" x14ac:dyDescent="0.2">
      <c r="A5197" t="s">
        <v>13306</v>
      </c>
      <c r="B5197" t="s">
        <v>13307</v>
      </c>
      <c r="C5197" t="s">
        <v>13211</v>
      </c>
      <c r="D5197" t="s">
        <v>13211</v>
      </c>
      <c r="E5197" t="s">
        <v>13218</v>
      </c>
    </row>
    <row r="5198" spans="1:5" x14ac:dyDescent="0.2">
      <c r="A5198" t="s">
        <v>13308</v>
      </c>
      <c r="B5198" t="s">
        <v>13309</v>
      </c>
      <c r="C5198" t="s">
        <v>13211</v>
      </c>
      <c r="D5198" t="s">
        <v>13211</v>
      </c>
      <c r="E5198" t="s">
        <v>13310</v>
      </c>
    </row>
    <row r="5199" spans="1:5" x14ac:dyDescent="0.2">
      <c r="A5199" t="s">
        <v>13311</v>
      </c>
      <c r="B5199" t="s">
        <v>13312</v>
      </c>
      <c r="C5199" t="s">
        <v>13211</v>
      </c>
      <c r="D5199" t="s">
        <v>13211</v>
      </c>
      <c r="E5199" t="s">
        <v>13300</v>
      </c>
    </row>
    <row r="5200" spans="1:5" x14ac:dyDescent="0.2">
      <c r="A5200" t="s">
        <v>13313</v>
      </c>
      <c r="B5200" t="s">
        <v>13314</v>
      </c>
      <c r="C5200" t="s">
        <v>13211</v>
      </c>
      <c r="D5200" t="s">
        <v>13211</v>
      </c>
      <c r="E5200" t="s">
        <v>13315</v>
      </c>
    </row>
    <row r="5201" spans="1:5" x14ac:dyDescent="0.2">
      <c r="A5201" t="s">
        <v>13316</v>
      </c>
      <c r="B5201" t="s">
        <v>13317</v>
      </c>
      <c r="C5201" t="s">
        <v>13211</v>
      </c>
      <c r="D5201" t="s">
        <v>13211</v>
      </c>
      <c r="E5201" t="s">
        <v>13318</v>
      </c>
    </row>
    <row r="5202" spans="1:5" x14ac:dyDescent="0.2">
      <c r="A5202" t="s">
        <v>13319</v>
      </c>
      <c r="B5202" t="s">
        <v>13320</v>
      </c>
      <c r="C5202" t="s">
        <v>13211</v>
      </c>
      <c r="D5202" t="s">
        <v>13211</v>
      </c>
      <c r="E5202" t="s">
        <v>13218</v>
      </c>
    </row>
    <row r="5203" spans="1:5" x14ac:dyDescent="0.2">
      <c r="A5203" t="s">
        <v>13321</v>
      </c>
      <c r="B5203" t="s">
        <v>13322</v>
      </c>
      <c r="C5203" t="s">
        <v>13211</v>
      </c>
      <c r="D5203" t="s">
        <v>13211</v>
      </c>
      <c r="E5203" t="s">
        <v>13300</v>
      </c>
    </row>
    <row r="5204" spans="1:5" x14ac:dyDescent="0.2">
      <c r="A5204" t="s">
        <v>13323</v>
      </c>
      <c r="B5204" t="s">
        <v>13324</v>
      </c>
      <c r="C5204" t="s">
        <v>13211</v>
      </c>
      <c r="D5204" t="s">
        <v>13211</v>
      </c>
      <c r="E5204" t="s">
        <v>13212</v>
      </c>
    </row>
    <row r="5205" spans="1:5" x14ac:dyDescent="0.2">
      <c r="A5205" t="s">
        <v>13325</v>
      </c>
      <c r="B5205" t="s">
        <v>13326</v>
      </c>
      <c r="C5205" t="s">
        <v>13211</v>
      </c>
      <c r="D5205" t="s">
        <v>13211</v>
      </c>
      <c r="E5205" t="s">
        <v>13300</v>
      </c>
    </row>
    <row r="5206" spans="1:5" x14ac:dyDescent="0.2">
      <c r="A5206" t="s">
        <v>13327</v>
      </c>
      <c r="B5206" t="s">
        <v>13328</v>
      </c>
      <c r="C5206" t="s">
        <v>13211</v>
      </c>
      <c r="D5206" t="s">
        <v>13211</v>
      </c>
      <c r="E5206" t="s">
        <v>13329</v>
      </c>
    </row>
    <row r="5207" spans="1:5" x14ac:dyDescent="0.2">
      <c r="A5207" t="s">
        <v>13330</v>
      </c>
      <c r="B5207" t="s">
        <v>13331</v>
      </c>
      <c r="C5207" t="s">
        <v>13211</v>
      </c>
      <c r="D5207" t="s">
        <v>13211</v>
      </c>
      <c r="E5207" t="s">
        <v>13332</v>
      </c>
    </row>
    <row r="5208" spans="1:5" x14ac:dyDescent="0.2">
      <c r="A5208" t="s">
        <v>13333</v>
      </c>
      <c r="B5208" t="s">
        <v>13334</v>
      </c>
      <c r="C5208" t="s">
        <v>13211</v>
      </c>
      <c r="D5208" t="s">
        <v>13211</v>
      </c>
      <c r="E5208" t="s">
        <v>13300</v>
      </c>
    </row>
    <row r="5209" spans="1:5" x14ac:dyDescent="0.2">
      <c r="A5209" t="s">
        <v>13335</v>
      </c>
      <c r="B5209" t="s">
        <v>13336</v>
      </c>
      <c r="C5209" t="s">
        <v>13211</v>
      </c>
      <c r="D5209" t="s">
        <v>13211</v>
      </c>
      <c r="E5209" t="s">
        <v>13337</v>
      </c>
    </row>
    <row r="5210" spans="1:5" x14ac:dyDescent="0.2">
      <c r="A5210" t="s">
        <v>13338</v>
      </c>
      <c r="B5210" t="s">
        <v>13339</v>
      </c>
      <c r="C5210" t="s">
        <v>13211</v>
      </c>
      <c r="D5210" t="s">
        <v>13211</v>
      </c>
      <c r="E5210" t="s">
        <v>13300</v>
      </c>
    </row>
    <row r="5211" spans="1:5" x14ac:dyDescent="0.2">
      <c r="A5211" t="s">
        <v>13340</v>
      </c>
      <c r="B5211" t="s">
        <v>13341</v>
      </c>
      <c r="C5211" t="s">
        <v>13211</v>
      </c>
      <c r="D5211" t="s">
        <v>13211</v>
      </c>
      <c r="E5211" t="s">
        <v>13342</v>
      </c>
    </row>
    <row r="5212" spans="1:5" x14ac:dyDescent="0.2">
      <c r="A5212" t="s">
        <v>13343</v>
      </c>
      <c r="B5212" t="s">
        <v>13344</v>
      </c>
      <c r="C5212" t="s">
        <v>13211</v>
      </c>
      <c r="D5212" t="s">
        <v>13211</v>
      </c>
      <c r="E5212" t="s">
        <v>13300</v>
      </c>
    </row>
    <row r="5213" spans="1:5" x14ac:dyDescent="0.2">
      <c r="A5213" t="s">
        <v>13345</v>
      </c>
      <c r="B5213" t="s">
        <v>13346</v>
      </c>
      <c r="C5213" t="s">
        <v>13211</v>
      </c>
      <c r="D5213" t="s">
        <v>13211</v>
      </c>
      <c r="E5213" t="s">
        <v>13300</v>
      </c>
    </row>
    <row r="5214" spans="1:5" x14ac:dyDescent="0.2">
      <c r="A5214" t="s">
        <v>13347</v>
      </c>
      <c r="B5214" t="s">
        <v>13348</v>
      </c>
      <c r="C5214" t="s">
        <v>13211</v>
      </c>
      <c r="D5214" t="s">
        <v>13211</v>
      </c>
      <c r="E5214" t="s">
        <v>13349</v>
      </c>
    </row>
    <row r="5215" spans="1:5" x14ac:dyDescent="0.2">
      <c r="A5215" t="s">
        <v>13350</v>
      </c>
      <c r="B5215" t="s">
        <v>13351</v>
      </c>
      <c r="C5215" t="s">
        <v>13211</v>
      </c>
      <c r="D5215" t="s">
        <v>13211</v>
      </c>
      <c r="E5215" t="s">
        <v>13218</v>
      </c>
    </row>
    <row r="5216" spans="1:5" x14ac:dyDescent="0.2">
      <c r="A5216" t="s">
        <v>13352</v>
      </c>
      <c r="B5216" t="s">
        <v>13353</v>
      </c>
      <c r="C5216" t="s">
        <v>13211</v>
      </c>
      <c r="D5216" t="s">
        <v>13211</v>
      </c>
      <c r="E5216" t="s">
        <v>13354</v>
      </c>
    </row>
    <row r="5217" spans="1:5" x14ac:dyDescent="0.2">
      <c r="A5217" t="s">
        <v>13355</v>
      </c>
      <c r="B5217" t="s">
        <v>13356</v>
      </c>
      <c r="C5217" t="s">
        <v>13211</v>
      </c>
      <c r="D5217" t="s">
        <v>13211</v>
      </c>
      <c r="E5217" t="s">
        <v>13357</v>
      </c>
    </row>
    <row r="5218" spans="1:5" x14ac:dyDescent="0.2">
      <c r="A5218" t="s">
        <v>13358</v>
      </c>
      <c r="B5218" t="s">
        <v>13359</v>
      </c>
      <c r="C5218" t="s">
        <v>13211</v>
      </c>
      <c r="D5218" t="s">
        <v>13211</v>
      </c>
      <c r="E5218" t="s">
        <v>13218</v>
      </c>
    </row>
    <row r="5219" spans="1:5" x14ac:dyDescent="0.2">
      <c r="A5219" t="s">
        <v>13360</v>
      </c>
      <c r="B5219" t="s">
        <v>13361</v>
      </c>
      <c r="C5219" t="s">
        <v>13211</v>
      </c>
      <c r="D5219" t="s">
        <v>13211</v>
      </c>
      <c r="E5219" t="s">
        <v>13212</v>
      </c>
    </row>
    <row r="5220" spans="1:5" x14ac:dyDescent="0.2">
      <c r="A5220" t="s">
        <v>13362</v>
      </c>
      <c r="B5220" t="s">
        <v>13363</v>
      </c>
      <c r="C5220" t="s">
        <v>13211</v>
      </c>
      <c r="D5220" t="s">
        <v>13211</v>
      </c>
      <c r="E5220" t="s">
        <v>13364</v>
      </c>
    </row>
    <row r="5221" spans="1:5" x14ac:dyDescent="0.2">
      <c r="A5221" t="s">
        <v>13365</v>
      </c>
      <c r="B5221" t="s">
        <v>13366</v>
      </c>
      <c r="C5221" t="s">
        <v>13211</v>
      </c>
      <c r="D5221" t="s">
        <v>13211</v>
      </c>
      <c r="E5221" t="s">
        <v>13367</v>
      </c>
    </row>
    <row r="5222" spans="1:5" x14ac:dyDescent="0.2">
      <c r="A5222" t="s">
        <v>13368</v>
      </c>
      <c r="B5222" t="s">
        <v>13369</v>
      </c>
      <c r="C5222" t="s">
        <v>13211</v>
      </c>
      <c r="D5222" t="s">
        <v>13211</v>
      </c>
      <c r="E5222" t="s">
        <v>13370</v>
      </c>
    </row>
    <row r="5223" spans="1:5" x14ac:dyDescent="0.2">
      <c r="A5223" t="s">
        <v>13371</v>
      </c>
      <c r="B5223" t="s">
        <v>13372</v>
      </c>
      <c r="C5223" t="s">
        <v>13211</v>
      </c>
      <c r="D5223" t="s">
        <v>13211</v>
      </c>
      <c r="E5223" t="s">
        <v>13212</v>
      </c>
    </row>
    <row r="5224" spans="1:5" x14ac:dyDescent="0.2">
      <c r="A5224" t="s">
        <v>13373</v>
      </c>
      <c r="B5224" t="s">
        <v>13374</v>
      </c>
      <c r="C5224" t="s">
        <v>13211</v>
      </c>
      <c r="D5224" t="s">
        <v>13211</v>
      </c>
      <c r="E5224" t="s">
        <v>13375</v>
      </c>
    </row>
    <row r="5225" spans="1:5" x14ac:dyDescent="0.2">
      <c r="A5225" t="s">
        <v>13376</v>
      </c>
      <c r="B5225" t="s">
        <v>13377</v>
      </c>
      <c r="C5225" t="s">
        <v>13211</v>
      </c>
      <c r="D5225" t="s">
        <v>13211</v>
      </c>
      <c r="E5225" t="s">
        <v>13378</v>
      </c>
    </row>
    <row r="5226" spans="1:5" x14ac:dyDescent="0.2">
      <c r="A5226" t="s">
        <v>13379</v>
      </c>
      <c r="B5226" t="s">
        <v>13380</v>
      </c>
      <c r="C5226" t="s">
        <v>13211</v>
      </c>
      <c r="D5226" t="s">
        <v>13211</v>
      </c>
      <c r="E5226" t="s">
        <v>13259</v>
      </c>
    </row>
    <row r="5227" spans="1:5" x14ac:dyDescent="0.2">
      <c r="A5227" t="s">
        <v>13381</v>
      </c>
      <c r="B5227" t="s">
        <v>13382</v>
      </c>
      <c r="C5227" t="s">
        <v>13211</v>
      </c>
      <c r="D5227" t="s">
        <v>13211</v>
      </c>
      <c r="E5227" t="s">
        <v>13300</v>
      </c>
    </row>
    <row r="5228" spans="1:5" x14ac:dyDescent="0.2">
      <c r="A5228" t="s">
        <v>13383</v>
      </c>
      <c r="B5228" t="s">
        <v>13384</v>
      </c>
      <c r="C5228" t="s">
        <v>13211</v>
      </c>
      <c r="D5228" t="s">
        <v>13211</v>
      </c>
      <c r="E5228" t="s">
        <v>13385</v>
      </c>
    </row>
    <row r="5229" spans="1:5" x14ac:dyDescent="0.2">
      <c r="A5229" t="s">
        <v>13386</v>
      </c>
      <c r="B5229" t="s">
        <v>13387</v>
      </c>
      <c r="C5229" t="s">
        <v>13211</v>
      </c>
      <c r="D5229" t="s">
        <v>13211</v>
      </c>
      <c r="E5229" t="s">
        <v>13300</v>
      </c>
    </row>
    <row r="5230" spans="1:5" x14ac:dyDescent="0.2">
      <c r="A5230" t="s">
        <v>13388</v>
      </c>
      <c r="B5230" t="s">
        <v>13389</v>
      </c>
      <c r="C5230" t="s">
        <v>13211</v>
      </c>
      <c r="D5230" t="s">
        <v>13211</v>
      </c>
      <c r="E5230" t="s">
        <v>13390</v>
      </c>
    </row>
    <row r="5231" spans="1:5" x14ac:dyDescent="0.2">
      <c r="A5231" t="s">
        <v>13391</v>
      </c>
      <c r="B5231" t="s">
        <v>13392</v>
      </c>
      <c r="C5231" t="s">
        <v>13211</v>
      </c>
      <c r="D5231" t="s">
        <v>13211</v>
      </c>
      <c r="E5231" t="s">
        <v>13212</v>
      </c>
    </row>
    <row r="5232" spans="1:5" x14ac:dyDescent="0.2">
      <c r="A5232" t="s">
        <v>13393</v>
      </c>
      <c r="B5232" t="s">
        <v>13394</v>
      </c>
      <c r="C5232" t="s">
        <v>13211</v>
      </c>
      <c r="D5232" t="s">
        <v>13211</v>
      </c>
      <c r="E5232" t="s">
        <v>13212</v>
      </c>
    </row>
    <row r="5233" spans="1:5" x14ac:dyDescent="0.2">
      <c r="A5233" t="s">
        <v>13395</v>
      </c>
      <c r="B5233" t="s">
        <v>13396</v>
      </c>
      <c r="C5233" t="s">
        <v>13211</v>
      </c>
      <c r="D5233" t="s">
        <v>13211</v>
      </c>
      <c r="E5233" t="s">
        <v>13397</v>
      </c>
    </row>
    <row r="5234" spans="1:5" x14ac:dyDescent="0.2">
      <c r="A5234" t="s">
        <v>13398</v>
      </c>
      <c r="B5234" t="s">
        <v>13399</v>
      </c>
      <c r="C5234" t="s">
        <v>13211</v>
      </c>
      <c r="D5234" t="s">
        <v>13211</v>
      </c>
      <c r="E5234" t="s">
        <v>13375</v>
      </c>
    </row>
    <row r="5235" spans="1:5" x14ac:dyDescent="0.2">
      <c r="A5235" t="s">
        <v>13400</v>
      </c>
      <c r="B5235" t="s">
        <v>13401</v>
      </c>
      <c r="C5235" t="s">
        <v>13211</v>
      </c>
      <c r="D5235" t="s">
        <v>13211</v>
      </c>
      <c r="E5235" t="s">
        <v>13402</v>
      </c>
    </row>
    <row r="5236" spans="1:5" x14ac:dyDescent="0.2">
      <c r="A5236" t="s">
        <v>13403</v>
      </c>
      <c r="B5236" t="s">
        <v>13404</v>
      </c>
      <c r="C5236" t="s">
        <v>13211</v>
      </c>
      <c r="D5236" t="s">
        <v>13211</v>
      </c>
      <c r="E5236" t="s">
        <v>13375</v>
      </c>
    </row>
    <row r="5237" spans="1:5" x14ac:dyDescent="0.2">
      <c r="A5237" t="s">
        <v>13405</v>
      </c>
      <c r="B5237" t="s">
        <v>13406</v>
      </c>
      <c r="C5237" t="s">
        <v>13211</v>
      </c>
      <c r="D5237" t="s">
        <v>13211</v>
      </c>
      <c r="E5237" t="s">
        <v>13375</v>
      </c>
    </row>
    <row r="5238" spans="1:5" x14ac:dyDescent="0.2">
      <c r="A5238" t="s">
        <v>13407</v>
      </c>
      <c r="B5238" t="s">
        <v>13408</v>
      </c>
      <c r="C5238" t="s">
        <v>13211</v>
      </c>
      <c r="D5238" t="s">
        <v>13211</v>
      </c>
      <c r="E5238" t="s">
        <v>13409</v>
      </c>
    </row>
    <row r="5239" spans="1:5" x14ac:dyDescent="0.2">
      <c r="A5239" t="s">
        <v>13410</v>
      </c>
      <c r="B5239" t="s">
        <v>13411</v>
      </c>
      <c r="C5239" t="s">
        <v>13211</v>
      </c>
      <c r="D5239" t="s">
        <v>13211</v>
      </c>
      <c r="E5239" t="s">
        <v>13212</v>
      </c>
    </row>
    <row r="5240" spans="1:5" x14ac:dyDescent="0.2">
      <c r="A5240" t="s">
        <v>13412</v>
      </c>
      <c r="B5240" t="s">
        <v>13413</v>
      </c>
      <c r="C5240" t="s">
        <v>13211</v>
      </c>
      <c r="D5240" t="s">
        <v>13211</v>
      </c>
      <c r="E5240" t="s">
        <v>13375</v>
      </c>
    </row>
    <row r="5241" spans="1:5" x14ac:dyDescent="0.2">
      <c r="A5241" t="s">
        <v>13414</v>
      </c>
      <c r="B5241" t="s">
        <v>13415</v>
      </c>
      <c r="C5241" t="s">
        <v>13211</v>
      </c>
      <c r="D5241" t="s">
        <v>13211</v>
      </c>
      <c r="E5241" t="s">
        <v>13375</v>
      </c>
    </row>
    <row r="5242" spans="1:5" x14ac:dyDescent="0.2">
      <c r="A5242" t="s">
        <v>13416</v>
      </c>
      <c r="B5242" t="s">
        <v>13417</v>
      </c>
      <c r="C5242" t="s">
        <v>13211</v>
      </c>
      <c r="D5242" t="s">
        <v>13211</v>
      </c>
      <c r="E5242" t="s">
        <v>13375</v>
      </c>
    </row>
    <row r="5243" spans="1:5" x14ac:dyDescent="0.2">
      <c r="A5243" t="s">
        <v>13418</v>
      </c>
      <c r="B5243" t="s">
        <v>13419</v>
      </c>
      <c r="C5243" t="s">
        <v>13211</v>
      </c>
      <c r="D5243" t="s">
        <v>13211</v>
      </c>
      <c r="E5243" t="s">
        <v>13212</v>
      </c>
    </row>
    <row r="5244" spans="1:5" x14ac:dyDescent="0.2">
      <c r="A5244" t="s">
        <v>13420</v>
      </c>
      <c r="B5244" t="s">
        <v>13421</v>
      </c>
      <c r="C5244" t="s">
        <v>13211</v>
      </c>
      <c r="D5244" t="s">
        <v>13211</v>
      </c>
      <c r="E5244" t="s">
        <v>13422</v>
      </c>
    </row>
    <row r="5245" spans="1:5" x14ac:dyDescent="0.2">
      <c r="A5245" t="s">
        <v>13423</v>
      </c>
      <c r="B5245" t="s">
        <v>13424</v>
      </c>
      <c r="C5245" t="s">
        <v>13211</v>
      </c>
      <c r="D5245" t="s">
        <v>13211</v>
      </c>
      <c r="E5245" t="s">
        <v>13375</v>
      </c>
    </row>
    <row r="5246" spans="1:5" x14ac:dyDescent="0.2">
      <c r="A5246" t="s">
        <v>13425</v>
      </c>
      <c r="B5246" t="s">
        <v>13426</v>
      </c>
      <c r="C5246" t="s">
        <v>13211</v>
      </c>
      <c r="D5246" t="s">
        <v>13211</v>
      </c>
      <c r="E5246" t="s">
        <v>13259</v>
      </c>
    </row>
    <row r="5247" spans="1:5" x14ac:dyDescent="0.2">
      <c r="A5247" t="s">
        <v>13427</v>
      </c>
      <c r="B5247" t="s">
        <v>13428</v>
      </c>
      <c r="C5247" t="s">
        <v>13211</v>
      </c>
      <c r="D5247" t="s">
        <v>13211</v>
      </c>
      <c r="E5247" t="s">
        <v>13429</v>
      </c>
    </row>
    <row r="5248" spans="1:5" x14ac:dyDescent="0.2">
      <c r="A5248" t="s">
        <v>13430</v>
      </c>
      <c r="B5248" t="s">
        <v>13431</v>
      </c>
      <c r="C5248" t="s">
        <v>13211</v>
      </c>
      <c r="D5248" t="s">
        <v>13211</v>
      </c>
      <c r="E5248" t="s">
        <v>13300</v>
      </c>
    </row>
    <row r="5249" spans="1:5" x14ac:dyDescent="0.2">
      <c r="A5249" t="s">
        <v>13432</v>
      </c>
      <c r="B5249" t="s">
        <v>13433</v>
      </c>
      <c r="C5249" t="s">
        <v>13211</v>
      </c>
      <c r="D5249" t="s">
        <v>13211</v>
      </c>
      <c r="E5249" t="s">
        <v>13375</v>
      </c>
    </row>
    <row r="5250" spans="1:5" x14ac:dyDescent="0.2">
      <c r="A5250" t="s">
        <v>13434</v>
      </c>
      <c r="B5250" t="s">
        <v>13435</v>
      </c>
      <c r="C5250" t="s">
        <v>13211</v>
      </c>
      <c r="D5250" t="s">
        <v>13211</v>
      </c>
      <c r="E5250" t="s">
        <v>13300</v>
      </c>
    </row>
    <row r="5251" spans="1:5" x14ac:dyDescent="0.2">
      <c r="A5251" t="s">
        <v>13436</v>
      </c>
      <c r="B5251" t="s">
        <v>13437</v>
      </c>
      <c r="C5251" t="s">
        <v>13211</v>
      </c>
      <c r="D5251" t="s">
        <v>13211</v>
      </c>
      <c r="E5251" t="s">
        <v>13375</v>
      </c>
    </row>
    <row r="5252" spans="1:5" x14ac:dyDescent="0.2">
      <c r="A5252" t="s">
        <v>13438</v>
      </c>
      <c r="B5252" t="s">
        <v>13439</v>
      </c>
      <c r="C5252" t="s">
        <v>13211</v>
      </c>
      <c r="D5252" t="s">
        <v>13211</v>
      </c>
      <c r="E5252" t="s">
        <v>13375</v>
      </c>
    </row>
    <row r="5253" spans="1:5" x14ac:dyDescent="0.2">
      <c r="A5253" t="s">
        <v>13440</v>
      </c>
      <c r="B5253" t="s">
        <v>13441</v>
      </c>
      <c r="C5253" t="s">
        <v>13211</v>
      </c>
      <c r="D5253" t="s">
        <v>13211</v>
      </c>
      <c r="E5253" t="s">
        <v>13442</v>
      </c>
    </row>
    <row r="5254" spans="1:5" x14ac:dyDescent="0.2">
      <c r="A5254" t="s">
        <v>13443</v>
      </c>
      <c r="B5254" t="s">
        <v>13444</v>
      </c>
      <c r="C5254" t="s">
        <v>13211</v>
      </c>
      <c r="D5254" t="s">
        <v>13211</v>
      </c>
      <c r="E5254" t="s">
        <v>13212</v>
      </c>
    </row>
    <row r="5255" spans="1:5" x14ac:dyDescent="0.2">
      <c r="A5255" t="s">
        <v>13445</v>
      </c>
      <c r="B5255" t="s">
        <v>13446</v>
      </c>
      <c r="C5255" t="s">
        <v>13211</v>
      </c>
      <c r="D5255" t="s">
        <v>13211</v>
      </c>
      <c r="E5255" t="s">
        <v>13447</v>
      </c>
    </row>
    <row r="5256" spans="1:5" x14ac:dyDescent="0.2">
      <c r="A5256" t="s">
        <v>13448</v>
      </c>
      <c r="B5256" t="s">
        <v>13449</v>
      </c>
      <c r="C5256" t="s">
        <v>13211</v>
      </c>
      <c r="D5256" t="s">
        <v>13211</v>
      </c>
      <c r="E5256" t="s">
        <v>13375</v>
      </c>
    </row>
    <row r="5257" spans="1:5" x14ac:dyDescent="0.2">
      <c r="A5257" t="s">
        <v>13450</v>
      </c>
      <c r="B5257" t="s">
        <v>13451</v>
      </c>
      <c r="C5257" t="s">
        <v>13211</v>
      </c>
      <c r="D5257" t="s">
        <v>13211</v>
      </c>
      <c r="E5257" t="s">
        <v>13212</v>
      </c>
    </row>
    <row r="5258" spans="1:5" x14ac:dyDescent="0.2">
      <c r="A5258" t="s">
        <v>13452</v>
      </c>
      <c r="B5258" t="s">
        <v>13453</v>
      </c>
      <c r="C5258" t="s">
        <v>13211</v>
      </c>
      <c r="D5258" t="s">
        <v>13211</v>
      </c>
      <c r="E5258" t="s">
        <v>13454</v>
      </c>
    </row>
    <row r="5259" spans="1:5" x14ac:dyDescent="0.2">
      <c r="A5259" t="s">
        <v>13455</v>
      </c>
      <c r="B5259" t="s">
        <v>13456</v>
      </c>
      <c r="C5259" t="s">
        <v>13211</v>
      </c>
      <c r="D5259" t="s">
        <v>13211</v>
      </c>
      <c r="E5259" t="s">
        <v>13259</v>
      </c>
    </row>
    <row r="5260" spans="1:5" x14ac:dyDescent="0.2">
      <c r="A5260" t="s">
        <v>13457</v>
      </c>
      <c r="B5260" t="s">
        <v>13458</v>
      </c>
      <c r="C5260" t="s">
        <v>13211</v>
      </c>
      <c r="D5260" t="s">
        <v>13211</v>
      </c>
      <c r="E5260" t="s">
        <v>13212</v>
      </c>
    </row>
    <row r="5261" spans="1:5" x14ac:dyDescent="0.2">
      <c r="A5261" t="s">
        <v>13459</v>
      </c>
      <c r="B5261" t="s">
        <v>13460</v>
      </c>
      <c r="C5261" t="s">
        <v>13211</v>
      </c>
      <c r="D5261" t="s">
        <v>13211</v>
      </c>
      <c r="E5261" t="s">
        <v>13300</v>
      </c>
    </row>
    <row r="5262" spans="1:5" x14ac:dyDescent="0.2">
      <c r="A5262" t="s">
        <v>13461</v>
      </c>
      <c r="B5262" t="s">
        <v>13462</v>
      </c>
      <c r="C5262" t="s">
        <v>13211</v>
      </c>
      <c r="D5262" t="s">
        <v>13211</v>
      </c>
      <c r="E5262" t="s">
        <v>13463</v>
      </c>
    </row>
    <row r="5263" spans="1:5" x14ac:dyDescent="0.2">
      <c r="A5263" t="s">
        <v>13464</v>
      </c>
      <c r="B5263" t="s">
        <v>13465</v>
      </c>
      <c r="C5263" t="s">
        <v>13211</v>
      </c>
      <c r="D5263" t="s">
        <v>13211</v>
      </c>
      <c r="E5263" t="s">
        <v>13466</v>
      </c>
    </row>
    <row r="5264" spans="1:5" x14ac:dyDescent="0.2">
      <c r="A5264" t="s">
        <v>13467</v>
      </c>
      <c r="B5264" t="s">
        <v>13468</v>
      </c>
      <c r="C5264" t="s">
        <v>13211</v>
      </c>
      <c r="D5264" t="s">
        <v>13211</v>
      </c>
      <c r="E5264" t="s">
        <v>13300</v>
      </c>
    </row>
    <row r="5265" spans="1:5" x14ac:dyDescent="0.2">
      <c r="A5265" t="s">
        <v>13469</v>
      </c>
      <c r="B5265" t="s">
        <v>13470</v>
      </c>
      <c r="C5265" t="s">
        <v>13211</v>
      </c>
      <c r="D5265" t="s">
        <v>13211</v>
      </c>
      <c r="E5265" t="s">
        <v>13259</v>
      </c>
    </row>
    <row r="5266" spans="1:5" x14ac:dyDescent="0.2">
      <c r="A5266" t="s">
        <v>13471</v>
      </c>
      <c r="B5266" t="s">
        <v>13472</v>
      </c>
      <c r="C5266" t="s">
        <v>13211</v>
      </c>
      <c r="D5266" t="s">
        <v>13211</v>
      </c>
      <c r="E5266" t="s">
        <v>13473</v>
      </c>
    </row>
    <row r="5267" spans="1:5" x14ac:dyDescent="0.2">
      <c r="A5267" t="s">
        <v>13474</v>
      </c>
      <c r="B5267" t="s">
        <v>13475</v>
      </c>
      <c r="C5267" t="s">
        <v>13211</v>
      </c>
      <c r="D5267" t="s">
        <v>13211</v>
      </c>
      <c r="E5267" t="s">
        <v>13259</v>
      </c>
    </row>
    <row r="5268" spans="1:5" x14ac:dyDescent="0.2">
      <c r="A5268" t="s">
        <v>13476</v>
      </c>
      <c r="B5268" t="s">
        <v>13477</v>
      </c>
      <c r="C5268" t="s">
        <v>13211</v>
      </c>
      <c r="D5268" t="s">
        <v>13211</v>
      </c>
      <c r="E5268" t="s">
        <v>13478</v>
      </c>
    </row>
    <row r="5269" spans="1:5" x14ac:dyDescent="0.2">
      <c r="A5269" t="s">
        <v>13479</v>
      </c>
      <c r="B5269" t="s">
        <v>13480</v>
      </c>
      <c r="C5269" t="s">
        <v>13211</v>
      </c>
      <c r="D5269" t="s">
        <v>13211</v>
      </c>
      <c r="E5269" t="s">
        <v>13375</v>
      </c>
    </row>
    <row r="5270" spans="1:5" x14ac:dyDescent="0.2">
      <c r="A5270" t="s">
        <v>13481</v>
      </c>
      <c r="B5270" t="s">
        <v>13482</v>
      </c>
      <c r="C5270" t="s">
        <v>13211</v>
      </c>
      <c r="D5270" t="s">
        <v>13211</v>
      </c>
      <c r="E5270" t="s">
        <v>13300</v>
      </c>
    </row>
    <row r="5271" spans="1:5" x14ac:dyDescent="0.2">
      <c r="A5271" t="s">
        <v>13483</v>
      </c>
      <c r="B5271" t="s">
        <v>13484</v>
      </c>
      <c r="C5271" t="s">
        <v>13211</v>
      </c>
      <c r="D5271" t="s">
        <v>13211</v>
      </c>
      <c r="E5271" t="s">
        <v>13375</v>
      </c>
    </row>
    <row r="5272" spans="1:5" x14ac:dyDescent="0.2">
      <c r="A5272" t="s">
        <v>13485</v>
      </c>
      <c r="B5272" t="s">
        <v>13486</v>
      </c>
      <c r="C5272" t="s">
        <v>13211</v>
      </c>
      <c r="D5272" t="s">
        <v>13211</v>
      </c>
      <c r="E5272" t="s">
        <v>13300</v>
      </c>
    </row>
    <row r="5273" spans="1:5" x14ac:dyDescent="0.2">
      <c r="A5273" t="s">
        <v>13487</v>
      </c>
      <c r="B5273" t="s">
        <v>13488</v>
      </c>
      <c r="C5273" t="s">
        <v>13211</v>
      </c>
      <c r="D5273" t="s">
        <v>13211</v>
      </c>
      <c r="E5273" t="s">
        <v>13375</v>
      </c>
    </row>
    <row r="5274" spans="1:5" x14ac:dyDescent="0.2">
      <c r="A5274" t="s">
        <v>13489</v>
      </c>
      <c r="B5274" t="s">
        <v>13490</v>
      </c>
      <c r="C5274" t="s">
        <v>13211</v>
      </c>
      <c r="D5274" t="s">
        <v>13211</v>
      </c>
      <c r="E5274" t="s">
        <v>13300</v>
      </c>
    </row>
    <row r="5275" spans="1:5" x14ac:dyDescent="0.2">
      <c r="A5275" t="s">
        <v>13491</v>
      </c>
      <c r="B5275" t="s">
        <v>13492</v>
      </c>
      <c r="C5275" t="s">
        <v>13211</v>
      </c>
      <c r="D5275" t="e">
        <v>#N/A</v>
      </c>
      <c r="E5275" t="e">
        <v>#N/A</v>
      </c>
    </row>
    <row r="5276" spans="1:5" x14ac:dyDescent="0.2">
      <c r="A5276" t="s">
        <v>13493</v>
      </c>
      <c r="B5276" t="s">
        <v>13494</v>
      </c>
      <c r="C5276" t="s">
        <v>13495</v>
      </c>
      <c r="D5276" t="s">
        <v>13495</v>
      </c>
      <c r="E5276" t="s">
        <v>13496</v>
      </c>
    </row>
    <row r="5277" spans="1:5" x14ac:dyDescent="0.2">
      <c r="A5277" t="s">
        <v>13497</v>
      </c>
      <c r="B5277" t="s">
        <v>13498</v>
      </c>
      <c r="C5277" t="s">
        <v>13495</v>
      </c>
      <c r="D5277" t="s">
        <v>13495</v>
      </c>
      <c r="E5277" t="s">
        <v>13499</v>
      </c>
    </row>
    <row r="5278" spans="1:5" x14ac:dyDescent="0.2">
      <c r="A5278" t="s">
        <v>13500</v>
      </c>
      <c r="B5278" t="s">
        <v>13501</v>
      </c>
      <c r="C5278" t="s">
        <v>13495</v>
      </c>
      <c r="D5278" t="s">
        <v>13495</v>
      </c>
      <c r="E5278" t="s">
        <v>13502</v>
      </c>
    </row>
    <row r="5279" spans="1:5" x14ac:dyDescent="0.2">
      <c r="A5279" t="s">
        <v>13503</v>
      </c>
      <c r="B5279" t="s">
        <v>13504</v>
      </c>
      <c r="C5279" t="s">
        <v>13495</v>
      </c>
      <c r="D5279" t="s">
        <v>13495</v>
      </c>
      <c r="E5279" t="s">
        <v>13505</v>
      </c>
    </row>
    <row r="5280" spans="1:5" x14ac:dyDescent="0.2">
      <c r="A5280" t="s">
        <v>13506</v>
      </c>
      <c r="B5280" t="s">
        <v>13507</v>
      </c>
      <c r="C5280" t="s">
        <v>13495</v>
      </c>
      <c r="D5280" t="s">
        <v>13495</v>
      </c>
      <c r="E5280" t="s">
        <v>13508</v>
      </c>
    </row>
    <row r="5281" spans="1:5" x14ac:dyDescent="0.2">
      <c r="A5281" t="s">
        <v>13509</v>
      </c>
      <c r="B5281" t="s">
        <v>13510</v>
      </c>
      <c r="C5281" t="s">
        <v>13495</v>
      </c>
      <c r="D5281" t="s">
        <v>13495</v>
      </c>
      <c r="E5281" t="s">
        <v>13511</v>
      </c>
    </row>
    <row r="5282" spans="1:5" x14ac:dyDescent="0.2">
      <c r="A5282" t="s">
        <v>13512</v>
      </c>
      <c r="B5282" t="s">
        <v>13513</v>
      </c>
      <c r="C5282" t="s">
        <v>13495</v>
      </c>
      <c r="D5282" t="s">
        <v>13495</v>
      </c>
      <c r="E5282" t="s">
        <v>13514</v>
      </c>
    </row>
    <row r="5283" spans="1:5" x14ac:dyDescent="0.2">
      <c r="A5283" t="s">
        <v>13515</v>
      </c>
      <c r="B5283" t="s">
        <v>13516</v>
      </c>
      <c r="C5283" t="s">
        <v>13495</v>
      </c>
      <c r="D5283" t="s">
        <v>13495</v>
      </c>
      <c r="E5283" t="s">
        <v>13517</v>
      </c>
    </row>
    <row r="5284" spans="1:5" x14ac:dyDescent="0.2">
      <c r="A5284" t="s">
        <v>13518</v>
      </c>
      <c r="B5284" t="s">
        <v>13519</v>
      </c>
      <c r="C5284" t="s">
        <v>13495</v>
      </c>
      <c r="D5284" t="s">
        <v>13495</v>
      </c>
      <c r="E5284" t="s">
        <v>13520</v>
      </c>
    </row>
    <row r="5285" spans="1:5" x14ac:dyDescent="0.2">
      <c r="A5285" t="s">
        <v>13521</v>
      </c>
      <c r="B5285" t="s">
        <v>13522</v>
      </c>
      <c r="C5285" t="s">
        <v>13495</v>
      </c>
      <c r="D5285" t="s">
        <v>13495</v>
      </c>
      <c r="E5285" t="s">
        <v>13523</v>
      </c>
    </row>
    <row r="5286" spans="1:5" x14ac:dyDescent="0.2">
      <c r="A5286" t="s">
        <v>13524</v>
      </c>
      <c r="B5286" t="s">
        <v>13525</v>
      </c>
      <c r="C5286" t="s">
        <v>13495</v>
      </c>
      <c r="D5286" t="s">
        <v>13495</v>
      </c>
      <c r="E5286" t="s">
        <v>13526</v>
      </c>
    </row>
    <row r="5287" spans="1:5" x14ac:dyDescent="0.2">
      <c r="A5287" t="s">
        <v>13527</v>
      </c>
      <c r="B5287" t="s">
        <v>13528</v>
      </c>
      <c r="C5287" t="s">
        <v>13495</v>
      </c>
      <c r="D5287" t="s">
        <v>13495</v>
      </c>
      <c r="E5287" t="s">
        <v>13529</v>
      </c>
    </row>
    <row r="5288" spans="1:5" x14ac:dyDescent="0.2">
      <c r="A5288" t="s">
        <v>13530</v>
      </c>
      <c r="B5288" t="s">
        <v>13531</v>
      </c>
      <c r="C5288" t="s">
        <v>13495</v>
      </c>
      <c r="D5288" t="s">
        <v>13495</v>
      </c>
      <c r="E5288" t="s">
        <v>13532</v>
      </c>
    </row>
    <row r="5289" spans="1:5" x14ac:dyDescent="0.2">
      <c r="A5289" t="s">
        <v>13533</v>
      </c>
      <c r="B5289" t="s">
        <v>13534</v>
      </c>
      <c r="C5289" t="s">
        <v>13495</v>
      </c>
      <c r="D5289" t="s">
        <v>13495</v>
      </c>
      <c r="E5289" t="s">
        <v>13535</v>
      </c>
    </row>
    <row r="5290" spans="1:5" x14ac:dyDescent="0.2">
      <c r="A5290" t="s">
        <v>13536</v>
      </c>
      <c r="B5290" t="s">
        <v>13537</v>
      </c>
      <c r="C5290" t="s">
        <v>13495</v>
      </c>
      <c r="D5290" t="s">
        <v>13495</v>
      </c>
      <c r="E5290" t="s">
        <v>13517</v>
      </c>
    </row>
    <row r="5291" spans="1:5" x14ac:dyDescent="0.2">
      <c r="A5291" t="s">
        <v>13538</v>
      </c>
      <c r="B5291" t="s">
        <v>13539</v>
      </c>
      <c r="C5291" t="s">
        <v>13495</v>
      </c>
      <c r="D5291" t="s">
        <v>13495</v>
      </c>
      <c r="E5291" t="s">
        <v>13540</v>
      </c>
    </row>
    <row r="5292" spans="1:5" x14ac:dyDescent="0.2">
      <c r="A5292" t="s">
        <v>13541</v>
      </c>
      <c r="B5292" t="s">
        <v>13542</v>
      </c>
      <c r="C5292" t="s">
        <v>13495</v>
      </c>
      <c r="D5292" t="s">
        <v>13495</v>
      </c>
      <c r="E5292" t="s">
        <v>13543</v>
      </c>
    </row>
    <row r="5293" spans="1:5" x14ac:dyDescent="0.2">
      <c r="A5293" t="s">
        <v>13544</v>
      </c>
      <c r="B5293" t="s">
        <v>13545</v>
      </c>
      <c r="C5293" t="s">
        <v>13495</v>
      </c>
      <c r="D5293" t="s">
        <v>13495</v>
      </c>
      <c r="E5293" t="s">
        <v>13546</v>
      </c>
    </row>
    <row r="5294" spans="1:5" x14ac:dyDescent="0.2">
      <c r="A5294" t="s">
        <v>13547</v>
      </c>
      <c r="B5294" t="s">
        <v>13548</v>
      </c>
      <c r="C5294" t="s">
        <v>13495</v>
      </c>
      <c r="D5294" t="s">
        <v>13495</v>
      </c>
      <c r="E5294" t="s">
        <v>13523</v>
      </c>
    </row>
    <row r="5295" spans="1:5" x14ac:dyDescent="0.2">
      <c r="A5295" t="s">
        <v>13549</v>
      </c>
      <c r="B5295" t="s">
        <v>13550</v>
      </c>
      <c r="C5295" t="s">
        <v>13495</v>
      </c>
      <c r="D5295" t="s">
        <v>13495</v>
      </c>
      <c r="E5295" t="s">
        <v>13551</v>
      </c>
    </row>
    <row r="5296" spans="1:5" x14ac:dyDescent="0.2">
      <c r="A5296" t="s">
        <v>13552</v>
      </c>
      <c r="B5296" t="s">
        <v>13553</v>
      </c>
      <c r="C5296" t="s">
        <v>13495</v>
      </c>
      <c r="D5296" t="s">
        <v>13495</v>
      </c>
      <c r="E5296" t="s">
        <v>13505</v>
      </c>
    </row>
    <row r="5297" spans="1:5" x14ac:dyDescent="0.2">
      <c r="A5297" t="s">
        <v>13554</v>
      </c>
      <c r="B5297" t="s">
        <v>13555</v>
      </c>
      <c r="C5297" t="s">
        <v>13495</v>
      </c>
      <c r="D5297" t="s">
        <v>13495</v>
      </c>
      <c r="E5297" t="s">
        <v>13556</v>
      </c>
    </row>
    <row r="5298" spans="1:5" x14ac:dyDescent="0.2">
      <c r="A5298" t="s">
        <v>13557</v>
      </c>
      <c r="B5298" t="s">
        <v>13558</v>
      </c>
      <c r="C5298" t="s">
        <v>13495</v>
      </c>
      <c r="D5298" t="s">
        <v>13495</v>
      </c>
      <c r="E5298" t="s">
        <v>13505</v>
      </c>
    </row>
    <row r="5299" spans="1:5" x14ac:dyDescent="0.2">
      <c r="A5299" t="s">
        <v>13559</v>
      </c>
      <c r="B5299" t="s">
        <v>13560</v>
      </c>
      <c r="C5299" t="s">
        <v>13495</v>
      </c>
      <c r="D5299" t="s">
        <v>13495</v>
      </c>
      <c r="E5299" t="s">
        <v>13505</v>
      </c>
    </row>
    <row r="5300" spans="1:5" x14ac:dyDescent="0.2">
      <c r="A5300" t="s">
        <v>13561</v>
      </c>
      <c r="B5300" t="s">
        <v>13562</v>
      </c>
      <c r="C5300" t="s">
        <v>13495</v>
      </c>
      <c r="D5300" t="e">
        <v>#N/A</v>
      </c>
      <c r="E5300" t="e">
        <v>#N/A</v>
      </c>
    </row>
    <row r="5301" spans="1:5" x14ac:dyDescent="0.2">
      <c r="A5301" t="s">
        <v>13563</v>
      </c>
      <c r="B5301" t="s">
        <v>13564</v>
      </c>
      <c r="C5301" t="s">
        <v>13495</v>
      </c>
      <c r="D5301" t="s">
        <v>13495</v>
      </c>
      <c r="E5301" t="s">
        <v>13523</v>
      </c>
    </row>
    <row r="5302" spans="1:5" x14ac:dyDescent="0.2">
      <c r="A5302" t="s">
        <v>13565</v>
      </c>
      <c r="B5302" t="s">
        <v>13566</v>
      </c>
      <c r="C5302" t="s">
        <v>13495</v>
      </c>
      <c r="D5302" t="s">
        <v>13495</v>
      </c>
      <c r="E5302" t="s">
        <v>13523</v>
      </c>
    </row>
    <row r="5303" spans="1:5" x14ac:dyDescent="0.2">
      <c r="A5303" t="s">
        <v>13567</v>
      </c>
      <c r="B5303" t="s">
        <v>13568</v>
      </c>
      <c r="C5303" t="s">
        <v>13495</v>
      </c>
      <c r="D5303" t="s">
        <v>13495</v>
      </c>
      <c r="E5303" t="s">
        <v>13505</v>
      </c>
    </row>
    <row r="5304" spans="1:5" x14ac:dyDescent="0.2">
      <c r="A5304" t="s">
        <v>13569</v>
      </c>
      <c r="B5304" t="s">
        <v>13570</v>
      </c>
      <c r="C5304" t="s">
        <v>13495</v>
      </c>
      <c r="D5304" t="s">
        <v>13495</v>
      </c>
      <c r="E5304" t="s">
        <v>13523</v>
      </c>
    </row>
    <row r="5305" spans="1:5" x14ac:dyDescent="0.2">
      <c r="A5305" t="s">
        <v>13571</v>
      </c>
      <c r="B5305" t="s">
        <v>13572</v>
      </c>
      <c r="C5305" t="s">
        <v>13495</v>
      </c>
      <c r="D5305" t="s">
        <v>13495</v>
      </c>
      <c r="E5305" t="s">
        <v>13517</v>
      </c>
    </row>
    <row r="5306" spans="1:5" x14ac:dyDescent="0.2">
      <c r="A5306" t="s">
        <v>13573</v>
      </c>
      <c r="B5306" t="s">
        <v>13574</v>
      </c>
      <c r="C5306" t="s">
        <v>13495</v>
      </c>
      <c r="D5306" t="s">
        <v>13495</v>
      </c>
      <c r="E5306" t="s">
        <v>13575</v>
      </c>
    </row>
    <row r="5307" spans="1:5" x14ac:dyDescent="0.2">
      <c r="A5307" t="s">
        <v>13576</v>
      </c>
      <c r="B5307" t="s">
        <v>13577</v>
      </c>
      <c r="C5307" t="s">
        <v>13495</v>
      </c>
      <c r="D5307" t="s">
        <v>13495</v>
      </c>
      <c r="E5307" t="s">
        <v>13505</v>
      </c>
    </row>
    <row r="5308" spans="1:5" x14ac:dyDescent="0.2">
      <c r="A5308" t="s">
        <v>13578</v>
      </c>
      <c r="B5308" t="s">
        <v>13579</v>
      </c>
      <c r="C5308" t="s">
        <v>13495</v>
      </c>
      <c r="D5308" t="s">
        <v>13495</v>
      </c>
      <c r="E5308" t="s">
        <v>13517</v>
      </c>
    </row>
    <row r="5309" spans="1:5" x14ac:dyDescent="0.2">
      <c r="A5309" t="s">
        <v>13580</v>
      </c>
      <c r="B5309" t="s">
        <v>13581</v>
      </c>
      <c r="C5309" t="s">
        <v>13495</v>
      </c>
      <c r="D5309" t="s">
        <v>13495</v>
      </c>
      <c r="E5309" t="s">
        <v>13582</v>
      </c>
    </row>
    <row r="5310" spans="1:5" x14ac:dyDescent="0.2">
      <c r="A5310" t="s">
        <v>13583</v>
      </c>
      <c r="B5310" t="s">
        <v>13584</v>
      </c>
      <c r="C5310" t="s">
        <v>13495</v>
      </c>
      <c r="D5310" t="s">
        <v>13495</v>
      </c>
      <c r="E5310" t="s">
        <v>13585</v>
      </c>
    </row>
    <row r="5311" spans="1:5" x14ac:dyDescent="0.2">
      <c r="A5311" t="s">
        <v>13586</v>
      </c>
      <c r="B5311" t="s">
        <v>13587</v>
      </c>
      <c r="C5311" t="s">
        <v>13495</v>
      </c>
      <c r="D5311" t="s">
        <v>13495</v>
      </c>
      <c r="E5311" t="s">
        <v>13588</v>
      </c>
    </row>
    <row r="5312" spans="1:5" x14ac:dyDescent="0.2">
      <c r="A5312" t="s">
        <v>13589</v>
      </c>
      <c r="B5312" t="s">
        <v>13590</v>
      </c>
      <c r="C5312" t="s">
        <v>13495</v>
      </c>
      <c r="D5312" t="s">
        <v>13495</v>
      </c>
      <c r="E5312" t="s">
        <v>13591</v>
      </c>
    </row>
    <row r="5313" spans="1:5" x14ac:dyDescent="0.2">
      <c r="A5313" t="s">
        <v>13592</v>
      </c>
      <c r="B5313" t="s">
        <v>13593</v>
      </c>
      <c r="C5313" t="s">
        <v>13495</v>
      </c>
      <c r="D5313" t="s">
        <v>13495</v>
      </c>
      <c r="E5313" t="s">
        <v>13505</v>
      </c>
    </row>
    <row r="5314" spans="1:5" x14ac:dyDescent="0.2">
      <c r="A5314" t="s">
        <v>13594</v>
      </c>
      <c r="B5314" t="s">
        <v>13595</v>
      </c>
      <c r="C5314" t="s">
        <v>13495</v>
      </c>
      <c r="D5314" t="s">
        <v>13495</v>
      </c>
      <c r="E5314" t="s">
        <v>13596</v>
      </c>
    </row>
    <row r="5315" spans="1:5" x14ac:dyDescent="0.2">
      <c r="A5315" t="s">
        <v>13597</v>
      </c>
      <c r="B5315" t="s">
        <v>13598</v>
      </c>
      <c r="C5315" t="s">
        <v>13495</v>
      </c>
      <c r="D5315" t="s">
        <v>13495</v>
      </c>
      <c r="E5315" t="s">
        <v>13599</v>
      </c>
    </row>
    <row r="5316" spans="1:5" x14ac:dyDescent="0.2">
      <c r="A5316" t="s">
        <v>13600</v>
      </c>
      <c r="B5316" t="s">
        <v>13601</v>
      </c>
      <c r="C5316" t="s">
        <v>13495</v>
      </c>
      <c r="D5316" t="s">
        <v>13495</v>
      </c>
      <c r="E5316" t="s">
        <v>13526</v>
      </c>
    </row>
    <row r="5317" spans="1:5" x14ac:dyDescent="0.2">
      <c r="A5317" t="s">
        <v>13602</v>
      </c>
      <c r="B5317" t="s">
        <v>13603</v>
      </c>
      <c r="C5317" t="s">
        <v>13495</v>
      </c>
      <c r="D5317" t="s">
        <v>13495</v>
      </c>
      <c r="E5317" t="s">
        <v>13604</v>
      </c>
    </row>
    <row r="5318" spans="1:5" x14ac:dyDescent="0.2">
      <c r="A5318" t="s">
        <v>13605</v>
      </c>
      <c r="B5318" t="s">
        <v>13606</v>
      </c>
      <c r="C5318" t="s">
        <v>13495</v>
      </c>
      <c r="D5318" t="s">
        <v>13495</v>
      </c>
      <c r="E5318" t="s">
        <v>13517</v>
      </c>
    </row>
    <row r="5319" spans="1:5" x14ac:dyDescent="0.2">
      <c r="A5319" t="s">
        <v>13607</v>
      </c>
      <c r="B5319" t="s">
        <v>13608</v>
      </c>
      <c r="C5319" t="s">
        <v>13495</v>
      </c>
      <c r="D5319" t="s">
        <v>13495</v>
      </c>
      <c r="E5319" t="s">
        <v>13526</v>
      </c>
    </row>
    <row r="5320" spans="1:5" x14ac:dyDescent="0.2">
      <c r="A5320" t="s">
        <v>13609</v>
      </c>
      <c r="B5320" t="s">
        <v>13610</v>
      </c>
      <c r="C5320" t="s">
        <v>13495</v>
      </c>
      <c r="D5320" t="s">
        <v>13495</v>
      </c>
      <c r="E5320" t="s">
        <v>13517</v>
      </c>
    </row>
    <row r="5321" spans="1:5" x14ac:dyDescent="0.2">
      <c r="A5321" t="s">
        <v>13611</v>
      </c>
      <c r="B5321" t="s">
        <v>13612</v>
      </c>
      <c r="C5321" t="s">
        <v>13495</v>
      </c>
      <c r="D5321" t="s">
        <v>13495</v>
      </c>
      <c r="E5321" t="s">
        <v>13613</v>
      </c>
    </row>
    <row r="5322" spans="1:5" x14ac:dyDescent="0.2">
      <c r="A5322" t="s">
        <v>13614</v>
      </c>
      <c r="B5322" t="s">
        <v>13615</v>
      </c>
      <c r="C5322" t="s">
        <v>13495</v>
      </c>
      <c r="D5322" t="s">
        <v>13495</v>
      </c>
      <c r="E5322" t="s">
        <v>13526</v>
      </c>
    </row>
    <row r="5323" spans="1:5" x14ac:dyDescent="0.2">
      <c r="A5323" t="s">
        <v>13616</v>
      </c>
      <c r="B5323" t="s">
        <v>13617</v>
      </c>
      <c r="C5323" t="s">
        <v>13495</v>
      </c>
      <c r="D5323" t="s">
        <v>13495</v>
      </c>
      <c r="E5323" t="s">
        <v>13517</v>
      </c>
    </row>
    <row r="5324" spans="1:5" x14ac:dyDescent="0.2">
      <c r="A5324" t="s">
        <v>13618</v>
      </c>
      <c r="B5324" t="s">
        <v>13619</v>
      </c>
      <c r="C5324" t="s">
        <v>13495</v>
      </c>
      <c r="D5324" t="s">
        <v>13495</v>
      </c>
      <c r="E5324" t="s">
        <v>13620</v>
      </c>
    </row>
    <row r="5325" spans="1:5" x14ac:dyDescent="0.2">
      <c r="A5325" t="s">
        <v>13621</v>
      </c>
      <c r="B5325" t="s">
        <v>13622</v>
      </c>
      <c r="C5325" t="s">
        <v>13495</v>
      </c>
      <c r="D5325" t="s">
        <v>13495</v>
      </c>
      <c r="E5325" t="s">
        <v>13623</v>
      </c>
    </row>
    <row r="5326" spans="1:5" x14ac:dyDescent="0.2">
      <c r="A5326" t="s">
        <v>13624</v>
      </c>
      <c r="B5326" t="s">
        <v>13625</v>
      </c>
      <c r="C5326" t="s">
        <v>13495</v>
      </c>
      <c r="D5326" t="s">
        <v>13495</v>
      </c>
      <c r="E5326" t="s">
        <v>13626</v>
      </c>
    </row>
    <row r="5327" spans="1:5" x14ac:dyDescent="0.2">
      <c r="A5327" t="s">
        <v>13627</v>
      </c>
      <c r="B5327" t="s">
        <v>13628</v>
      </c>
      <c r="C5327" t="s">
        <v>13495</v>
      </c>
      <c r="D5327" t="s">
        <v>13495</v>
      </c>
      <c r="E5327" t="s">
        <v>13629</v>
      </c>
    </row>
    <row r="5328" spans="1:5" x14ac:dyDescent="0.2">
      <c r="A5328" t="s">
        <v>13630</v>
      </c>
      <c r="B5328" t="s">
        <v>13631</v>
      </c>
      <c r="C5328" t="s">
        <v>13495</v>
      </c>
      <c r="D5328" t="s">
        <v>13495</v>
      </c>
      <c r="E5328" t="s">
        <v>13526</v>
      </c>
    </row>
    <row r="5329" spans="1:5" x14ac:dyDescent="0.2">
      <c r="A5329" t="s">
        <v>13632</v>
      </c>
      <c r="B5329" t="s">
        <v>13633</v>
      </c>
      <c r="C5329" t="s">
        <v>13495</v>
      </c>
      <c r="D5329" t="s">
        <v>13495</v>
      </c>
      <c r="E5329" t="s">
        <v>13620</v>
      </c>
    </row>
    <row r="5330" spans="1:5" x14ac:dyDescent="0.2">
      <c r="A5330" t="s">
        <v>13634</v>
      </c>
      <c r="B5330" t="s">
        <v>13635</v>
      </c>
      <c r="C5330" t="s">
        <v>13495</v>
      </c>
      <c r="D5330" t="s">
        <v>13495</v>
      </c>
      <c r="E5330" t="s">
        <v>13588</v>
      </c>
    </row>
    <row r="5331" spans="1:5" x14ac:dyDescent="0.2">
      <c r="A5331" t="s">
        <v>13636</v>
      </c>
      <c r="B5331" t="s">
        <v>13637</v>
      </c>
      <c r="C5331" t="s">
        <v>13495</v>
      </c>
      <c r="D5331" t="s">
        <v>13495</v>
      </c>
      <c r="E5331" t="s">
        <v>13638</v>
      </c>
    </row>
    <row r="5332" spans="1:5" x14ac:dyDescent="0.2">
      <c r="A5332" t="s">
        <v>13639</v>
      </c>
      <c r="B5332" t="s">
        <v>13640</v>
      </c>
      <c r="C5332" t="s">
        <v>13495</v>
      </c>
      <c r="D5332" t="s">
        <v>13495</v>
      </c>
      <c r="E5332" t="s">
        <v>13641</v>
      </c>
    </row>
    <row r="5333" spans="1:5" x14ac:dyDescent="0.2">
      <c r="A5333" t="s">
        <v>13642</v>
      </c>
      <c r="B5333" t="s">
        <v>13643</v>
      </c>
      <c r="C5333" t="s">
        <v>13495</v>
      </c>
      <c r="D5333" t="s">
        <v>13495</v>
      </c>
      <c r="E5333" t="s">
        <v>13620</v>
      </c>
    </row>
    <row r="5334" spans="1:5" x14ac:dyDescent="0.2">
      <c r="A5334" t="s">
        <v>13644</v>
      </c>
      <c r="B5334" t="s">
        <v>13645</v>
      </c>
      <c r="C5334" t="s">
        <v>13495</v>
      </c>
      <c r="D5334" t="s">
        <v>13495</v>
      </c>
      <c r="E5334" t="s">
        <v>13620</v>
      </c>
    </row>
    <row r="5335" spans="1:5" x14ac:dyDescent="0.2">
      <c r="A5335" t="s">
        <v>13646</v>
      </c>
      <c r="B5335" t="s">
        <v>13647</v>
      </c>
      <c r="C5335" t="s">
        <v>13495</v>
      </c>
      <c r="D5335" t="s">
        <v>13495</v>
      </c>
      <c r="E5335" t="s">
        <v>13620</v>
      </c>
    </row>
    <row r="5336" spans="1:5" x14ac:dyDescent="0.2">
      <c r="A5336" t="s">
        <v>13648</v>
      </c>
      <c r="B5336" t="s">
        <v>13649</v>
      </c>
      <c r="C5336" t="s">
        <v>13495</v>
      </c>
      <c r="D5336" t="s">
        <v>13495</v>
      </c>
      <c r="E5336" t="s">
        <v>13650</v>
      </c>
    </row>
    <row r="5337" spans="1:5" x14ac:dyDescent="0.2">
      <c r="A5337" t="s">
        <v>13651</v>
      </c>
      <c r="B5337" t="s">
        <v>13652</v>
      </c>
      <c r="C5337" t="s">
        <v>13495</v>
      </c>
      <c r="D5337" t="s">
        <v>13495</v>
      </c>
      <c r="E5337" t="s">
        <v>13620</v>
      </c>
    </row>
    <row r="5338" spans="1:5" x14ac:dyDescent="0.2">
      <c r="A5338" t="s">
        <v>13653</v>
      </c>
      <c r="B5338" t="s">
        <v>13654</v>
      </c>
      <c r="C5338" t="s">
        <v>13495</v>
      </c>
      <c r="D5338" t="s">
        <v>13495</v>
      </c>
      <c r="E5338" t="s">
        <v>13517</v>
      </c>
    </row>
    <row r="5339" spans="1:5" x14ac:dyDescent="0.2">
      <c r="A5339" t="s">
        <v>13655</v>
      </c>
      <c r="B5339" t="s">
        <v>13656</v>
      </c>
      <c r="C5339" t="s">
        <v>13495</v>
      </c>
      <c r="D5339" t="s">
        <v>13495</v>
      </c>
      <c r="E5339" t="s">
        <v>13620</v>
      </c>
    </row>
    <row r="5340" spans="1:5" x14ac:dyDescent="0.2">
      <c r="A5340" t="s">
        <v>13657</v>
      </c>
      <c r="B5340" t="s">
        <v>13658</v>
      </c>
      <c r="C5340" t="s">
        <v>13495</v>
      </c>
      <c r="D5340" t="s">
        <v>13495</v>
      </c>
      <c r="E5340" t="s">
        <v>13620</v>
      </c>
    </row>
    <row r="5341" spans="1:5" x14ac:dyDescent="0.2">
      <c r="A5341" t="s">
        <v>13659</v>
      </c>
      <c r="B5341" t="s">
        <v>13660</v>
      </c>
      <c r="C5341" t="s">
        <v>13495</v>
      </c>
      <c r="D5341" t="s">
        <v>13495</v>
      </c>
      <c r="E5341" t="s">
        <v>13526</v>
      </c>
    </row>
    <row r="5342" spans="1:5" x14ac:dyDescent="0.2">
      <c r="A5342" t="s">
        <v>13661</v>
      </c>
      <c r="B5342" t="s">
        <v>13662</v>
      </c>
      <c r="C5342" t="s">
        <v>13495</v>
      </c>
      <c r="D5342" t="s">
        <v>13495</v>
      </c>
      <c r="E5342" t="s">
        <v>13663</v>
      </c>
    </row>
    <row r="5343" spans="1:5" x14ac:dyDescent="0.2">
      <c r="A5343" t="s">
        <v>13664</v>
      </c>
      <c r="B5343" t="s">
        <v>13665</v>
      </c>
      <c r="C5343" t="s">
        <v>13495</v>
      </c>
      <c r="D5343" t="s">
        <v>13495</v>
      </c>
      <c r="E5343" t="s">
        <v>13526</v>
      </c>
    </row>
    <row r="5344" spans="1:5" x14ac:dyDescent="0.2">
      <c r="A5344" t="s">
        <v>13666</v>
      </c>
      <c r="B5344" t="s">
        <v>13667</v>
      </c>
      <c r="C5344" t="s">
        <v>13495</v>
      </c>
      <c r="D5344" t="s">
        <v>13495</v>
      </c>
      <c r="E5344" t="s">
        <v>13668</v>
      </c>
    </row>
    <row r="5345" spans="1:5" x14ac:dyDescent="0.2">
      <c r="A5345" t="s">
        <v>13669</v>
      </c>
      <c r="B5345" t="s">
        <v>13670</v>
      </c>
      <c r="C5345" t="s">
        <v>13495</v>
      </c>
      <c r="D5345" t="s">
        <v>13495</v>
      </c>
      <c r="E5345" t="s">
        <v>13668</v>
      </c>
    </row>
    <row r="5346" spans="1:5" x14ac:dyDescent="0.2">
      <c r="A5346" t="s">
        <v>13671</v>
      </c>
      <c r="B5346" t="s">
        <v>13672</v>
      </c>
      <c r="C5346" t="s">
        <v>13495</v>
      </c>
      <c r="D5346" t="s">
        <v>13495</v>
      </c>
      <c r="E5346" t="s">
        <v>13668</v>
      </c>
    </row>
    <row r="5347" spans="1:5" x14ac:dyDescent="0.2">
      <c r="A5347" t="s">
        <v>13673</v>
      </c>
      <c r="B5347" t="s">
        <v>13674</v>
      </c>
      <c r="C5347" t="s">
        <v>13495</v>
      </c>
      <c r="D5347" t="s">
        <v>13495</v>
      </c>
      <c r="E5347" t="s">
        <v>13588</v>
      </c>
    </row>
    <row r="5348" spans="1:5" x14ac:dyDescent="0.2">
      <c r="A5348" t="s">
        <v>13675</v>
      </c>
      <c r="B5348" t="s">
        <v>13676</v>
      </c>
      <c r="C5348" t="s">
        <v>13495</v>
      </c>
      <c r="D5348" t="s">
        <v>13495</v>
      </c>
      <c r="E5348" t="s">
        <v>13677</v>
      </c>
    </row>
    <row r="5349" spans="1:5" x14ac:dyDescent="0.2">
      <c r="A5349" t="s">
        <v>13678</v>
      </c>
      <c r="B5349" t="s">
        <v>13679</v>
      </c>
      <c r="C5349" t="s">
        <v>13495</v>
      </c>
      <c r="D5349" t="s">
        <v>13495</v>
      </c>
      <c r="E5349" t="s">
        <v>13668</v>
      </c>
    </row>
    <row r="5350" spans="1:5" x14ac:dyDescent="0.2">
      <c r="A5350" t="s">
        <v>13680</v>
      </c>
      <c r="B5350" t="s">
        <v>13681</v>
      </c>
      <c r="C5350" t="s">
        <v>13495</v>
      </c>
      <c r="D5350" t="s">
        <v>13495</v>
      </c>
      <c r="E5350" t="s">
        <v>13523</v>
      </c>
    </row>
    <row r="5351" spans="1:5" x14ac:dyDescent="0.2">
      <c r="A5351" t="s">
        <v>13682</v>
      </c>
      <c r="B5351" t="s">
        <v>13683</v>
      </c>
      <c r="C5351" t="s">
        <v>13495</v>
      </c>
      <c r="D5351" t="s">
        <v>13495</v>
      </c>
      <c r="E5351" t="s">
        <v>13684</v>
      </c>
    </row>
    <row r="5352" spans="1:5" x14ac:dyDescent="0.2">
      <c r="A5352" t="s">
        <v>13685</v>
      </c>
      <c r="B5352" t="s">
        <v>13686</v>
      </c>
      <c r="C5352" t="s">
        <v>13495</v>
      </c>
      <c r="D5352" t="s">
        <v>13495</v>
      </c>
      <c r="E5352" t="s">
        <v>13523</v>
      </c>
    </row>
    <row r="5353" spans="1:5" x14ac:dyDescent="0.2">
      <c r="A5353" t="s">
        <v>13687</v>
      </c>
      <c r="B5353" t="s">
        <v>13688</v>
      </c>
      <c r="C5353" t="s">
        <v>13495</v>
      </c>
      <c r="D5353" t="s">
        <v>13495</v>
      </c>
      <c r="E5353" t="s">
        <v>13689</v>
      </c>
    </row>
    <row r="5354" spans="1:5" x14ac:dyDescent="0.2">
      <c r="A5354" t="s">
        <v>13690</v>
      </c>
      <c r="B5354" t="s">
        <v>13691</v>
      </c>
      <c r="C5354" t="s">
        <v>13495</v>
      </c>
      <c r="D5354" t="s">
        <v>13495</v>
      </c>
      <c r="E5354" t="s">
        <v>13692</v>
      </c>
    </row>
    <row r="5355" spans="1:5" x14ac:dyDescent="0.2">
      <c r="A5355" t="s">
        <v>13693</v>
      </c>
      <c r="B5355" t="s">
        <v>13694</v>
      </c>
      <c r="C5355" t="s">
        <v>13495</v>
      </c>
      <c r="D5355" t="s">
        <v>13495</v>
      </c>
      <c r="E5355" t="s">
        <v>13668</v>
      </c>
    </row>
    <row r="5356" spans="1:5" x14ac:dyDescent="0.2">
      <c r="A5356" t="s">
        <v>13695</v>
      </c>
      <c r="B5356" t="s">
        <v>13696</v>
      </c>
      <c r="C5356" t="s">
        <v>13495</v>
      </c>
      <c r="D5356" t="s">
        <v>13495</v>
      </c>
      <c r="E5356" t="s">
        <v>13697</v>
      </c>
    </row>
    <row r="5357" spans="1:5" x14ac:dyDescent="0.2">
      <c r="A5357" t="s">
        <v>13698</v>
      </c>
      <c r="B5357" t="s">
        <v>13699</v>
      </c>
      <c r="C5357" t="s">
        <v>13495</v>
      </c>
      <c r="D5357" t="s">
        <v>13495</v>
      </c>
      <c r="E5357" t="s">
        <v>13700</v>
      </c>
    </row>
    <row r="5358" spans="1:5" x14ac:dyDescent="0.2">
      <c r="A5358" t="s">
        <v>13701</v>
      </c>
      <c r="B5358" t="s">
        <v>13702</v>
      </c>
      <c r="C5358" t="s">
        <v>13495</v>
      </c>
      <c r="D5358" t="s">
        <v>13495</v>
      </c>
      <c r="E5358" t="s">
        <v>13517</v>
      </c>
    </row>
    <row r="5359" spans="1:5" x14ac:dyDescent="0.2">
      <c r="A5359" t="s">
        <v>13703</v>
      </c>
      <c r="B5359" t="s">
        <v>13704</v>
      </c>
      <c r="C5359" t="s">
        <v>13495</v>
      </c>
      <c r="D5359" t="s">
        <v>13495</v>
      </c>
      <c r="E5359" t="s">
        <v>13668</v>
      </c>
    </row>
    <row r="5360" spans="1:5" x14ac:dyDescent="0.2">
      <c r="A5360" t="s">
        <v>13705</v>
      </c>
      <c r="B5360" t="s">
        <v>13706</v>
      </c>
      <c r="C5360" t="s">
        <v>13495</v>
      </c>
      <c r="D5360" t="s">
        <v>13495</v>
      </c>
      <c r="E5360" t="s">
        <v>13668</v>
      </c>
    </row>
    <row r="5361" spans="1:5" x14ac:dyDescent="0.2">
      <c r="A5361" t="s">
        <v>13707</v>
      </c>
      <c r="B5361" t="s">
        <v>13708</v>
      </c>
      <c r="C5361" t="s">
        <v>13495</v>
      </c>
      <c r="D5361" t="s">
        <v>13495</v>
      </c>
      <c r="E5361" t="s">
        <v>13517</v>
      </c>
    </row>
    <row r="5362" spans="1:5" x14ac:dyDescent="0.2">
      <c r="A5362" t="s">
        <v>13709</v>
      </c>
      <c r="B5362" t="s">
        <v>13710</v>
      </c>
      <c r="C5362" t="s">
        <v>13495</v>
      </c>
      <c r="D5362" t="s">
        <v>13495</v>
      </c>
      <c r="E5362" t="s">
        <v>13711</v>
      </c>
    </row>
    <row r="5363" spans="1:5" x14ac:dyDescent="0.2">
      <c r="A5363" t="s">
        <v>13712</v>
      </c>
      <c r="B5363" t="s">
        <v>13713</v>
      </c>
      <c r="C5363" t="s">
        <v>13495</v>
      </c>
      <c r="D5363" t="s">
        <v>13495</v>
      </c>
      <c r="E5363" t="s">
        <v>13714</v>
      </c>
    </row>
    <row r="5364" spans="1:5" x14ac:dyDescent="0.2">
      <c r="A5364" t="s">
        <v>13715</v>
      </c>
      <c r="B5364" t="s">
        <v>13716</v>
      </c>
      <c r="C5364" t="s">
        <v>13495</v>
      </c>
      <c r="D5364" t="s">
        <v>13495</v>
      </c>
      <c r="E5364" t="s">
        <v>13517</v>
      </c>
    </row>
    <row r="5365" spans="1:5" x14ac:dyDescent="0.2">
      <c r="A5365" t="s">
        <v>13717</v>
      </c>
      <c r="B5365" t="s">
        <v>13718</v>
      </c>
      <c r="C5365" t="s">
        <v>13495</v>
      </c>
      <c r="D5365" t="s">
        <v>13495</v>
      </c>
      <c r="E5365" t="s">
        <v>13551</v>
      </c>
    </row>
    <row r="5366" spans="1:5" x14ac:dyDescent="0.2">
      <c r="A5366" t="s">
        <v>13719</v>
      </c>
      <c r="B5366" t="s">
        <v>13720</v>
      </c>
      <c r="C5366" t="s">
        <v>13495</v>
      </c>
      <c r="D5366" t="s">
        <v>13495</v>
      </c>
      <c r="E5366" t="s">
        <v>13668</v>
      </c>
    </row>
    <row r="5367" spans="1:5" x14ac:dyDescent="0.2">
      <c r="A5367" t="s">
        <v>13721</v>
      </c>
      <c r="B5367" t="s">
        <v>13722</v>
      </c>
      <c r="C5367" t="s">
        <v>13495</v>
      </c>
      <c r="D5367" t="s">
        <v>13495</v>
      </c>
      <c r="E5367" t="s">
        <v>13668</v>
      </c>
    </row>
    <row r="5368" spans="1:5" x14ac:dyDescent="0.2">
      <c r="A5368" t="s">
        <v>13723</v>
      </c>
      <c r="B5368" t="s">
        <v>13724</v>
      </c>
      <c r="C5368" t="s">
        <v>13495</v>
      </c>
      <c r="D5368" t="s">
        <v>13495</v>
      </c>
      <c r="E5368" t="s">
        <v>13523</v>
      </c>
    </row>
    <row r="5369" spans="1:5" x14ac:dyDescent="0.2">
      <c r="A5369" t="s">
        <v>13725</v>
      </c>
      <c r="B5369" t="s">
        <v>13726</v>
      </c>
      <c r="C5369" t="s">
        <v>13495</v>
      </c>
      <c r="D5369" t="s">
        <v>13495</v>
      </c>
      <c r="E5369" t="s">
        <v>13517</v>
      </c>
    </row>
    <row r="5370" spans="1:5" x14ac:dyDescent="0.2">
      <c r="A5370" t="s">
        <v>13727</v>
      </c>
      <c r="B5370" t="s">
        <v>13728</v>
      </c>
      <c r="C5370" t="s">
        <v>13495</v>
      </c>
      <c r="D5370" t="s">
        <v>13495</v>
      </c>
      <c r="E5370" t="s">
        <v>13729</v>
      </c>
    </row>
    <row r="5371" spans="1:5" x14ac:dyDescent="0.2">
      <c r="A5371" t="s">
        <v>13730</v>
      </c>
      <c r="B5371" t="s">
        <v>13731</v>
      </c>
      <c r="C5371" t="s">
        <v>13495</v>
      </c>
      <c r="D5371" t="s">
        <v>13495</v>
      </c>
      <c r="E5371" t="s">
        <v>13732</v>
      </c>
    </row>
    <row r="5372" spans="1:5" x14ac:dyDescent="0.2">
      <c r="A5372" t="s">
        <v>13733</v>
      </c>
      <c r="B5372" t="s">
        <v>13734</v>
      </c>
      <c r="C5372" t="s">
        <v>13495</v>
      </c>
      <c r="D5372" t="s">
        <v>13495</v>
      </c>
      <c r="E5372" t="s">
        <v>13735</v>
      </c>
    </row>
    <row r="5373" spans="1:5" x14ac:dyDescent="0.2">
      <c r="A5373" t="s">
        <v>13736</v>
      </c>
      <c r="B5373" t="s">
        <v>13737</v>
      </c>
      <c r="C5373" t="s">
        <v>13495</v>
      </c>
      <c r="D5373" t="s">
        <v>13495</v>
      </c>
      <c r="E5373" t="s">
        <v>13738</v>
      </c>
    </row>
    <row r="5374" spans="1:5" x14ac:dyDescent="0.2">
      <c r="A5374" t="s">
        <v>13739</v>
      </c>
      <c r="B5374" t="s">
        <v>13740</v>
      </c>
      <c r="C5374" t="s">
        <v>13495</v>
      </c>
      <c r="D5374" t="s">
        <v>13495</v>
      </c>
      <c r="E5374" t="s">
        <v>13741</v>
      </c>
    </row>
    <row r="5375" spans="1:5" x14ac:dyDescent="0.2">
      <c r="A5375" t="s">
        <v>13742</v>
      </c>
      <c r="B5375" t="s">
        <v>13743</v>
      </c>
      <c r="C5375" t="s">
        <v>13495</v>
      </c>
      <c r="D5375" t="s">
        <v>13495</v>
      </c>
      <c r="E5375" t="s">
        <v>13744</v>
      </c>
    </row>
    <row r="5376" spans="1:5" x14ac:dyDescent="0.2">
      <c r="A5376" t="s">
        <v>13745</v>
      </c>
      <c r="B5376" t="s">
        <v>13746</v>
      </c>
      <c r="C5376" t="s">
        <v>13495</v>
      </c>
      <c r="D5376" t="s">
        <v>13495</v>
      </c>
      <c r="E5376" t="s">
        <v>13747</v>
      </c>
    </row>
    <row r="5377" spans="1:5" x14ac:dyDescent="0.2">
      <c r="A5377" t="s">
        <v>13748</v>
      </c>
      <c r="B5377" t="s">
        <v>13749</v>
      </c>
      <c r="C5377" t="s">
        <v>13495</v>
      </c>
      <c r="D5377" t="s">
        <v>13495</v>
      </c>
      <c r="E5377" t="s">
        <v>13526</v>
      </c>
    </row>
    <row r="5378" spans="1:5" x14ac:dyDescent="0.2">
      <c r="A5378" t="s">
        <v>13750</v>
      </c>
      <c r="B5378" t="s">
        <v>13751</v>
      </c>
      <c r="C5378" t="s">
        <v>13495</v>
      </c>
      <c r="D5378" t="s">
        <v>13495</v>
      </c>
      <c r="E5378" t="s">
        <v>13668</v>
      </c>
    </row>
    <row r="5379" spans="1:5" x14ac:dyDescent="0.2">
      <c r="A5379" t="s">
        <v>13752</v>
      </c>
      <c r="B5379" t="s">
        <v>13753</v>
      </c>
      <c r="C5379" t="s">
        <v>13495</v>
      </c>
      <c r="D5379" t="s">
        <v>13495</v>
      </c>
      <c r="E5379" t="s">
        <v>13526</v>
      </c>
    </row>
    <row r="5380" spans="1:5" x14ac:dyDescent="0.2">
      <c r="A5380" t="s">
        <v>13754</v>
      </c>
      <c r="B5380" t="s">
        <v>13755</v>
      </c>
      <c r="C5380" t="s">
        <v>13495</v>
      </c>
      <c r="D5380" t="s">
        <v>13495</v>
      </c>
      <c r="E5380" t="s">
        <v>13517</v>
      </c>
    </row>
    <row r="5381" spans="1:5" x14ac:dyDescent="0.2">
      <c r="A5381" t="s">
        <v>13756</v>
      </c>
      <c r="B5381" t="s">
        <v>13757</v>
      </c>
      <c r="C5381" t="s">
        <v>13495</v>
      </c>
      <c r="D5381" t="s">
        <v>13495</v>
      </c>
      <c r="E5381" t="s">
        <v>13758</v>
      </c>
    </row>
    <row r="5382" spans="1:5" x14ac:dyDescent="0.2">
      <c r="A5382" t="s">
        <v>13759</v>
      </c>
      <c r="B5382" t="s">
        <v>13760</v>
      </c>
      <c r="C5382" t="s">
        <v>13495</v>
      </c>
      <c r="D5382" t="s">
        <v>13495</v>
      </c>
      <c r="E5382" t="s">
        <v>13668</v>
      </c>
    </row>
    <row r="5383" spans="1:5" x14ac:dyDescent="0.2">
      <c r="A5383" t="s">
        <v>13761</v>
      </c>
      <c r="B5383" t="s">
        <v>13762</v>
      </c>
      <c r="C5383" t="s">
        <v>13495</v>
      </c>
      <c r="D5383" t="s">
        <v>13495</v>
      </c>
      <c r="E5383" t="s">
        <v>13763</v>
      </c>
    </row>
    <row r="5384" spans="1:5" x14ac:dyDescent="0.2">
      <c r="A5384" t="s">
        <v>13764</v>
      </c>
      <c r="B5384" t="s">
        <v>13765</v>
      </c>
      <c r="C5384" t="s">
        <v>13495</v>
      </c>
      <c r="D5384" t="s">
        <v>13495</v>
      </c>
      <c r="E5384" t="s">
        <v>13766</v>
      </c>
    </row>
    <row r="5385" spans="1:5" x14ac:dyDescent="0.2">
      <c r="A5385" t="s">
        <v>13767</v>
      </c>
      <c r="B5385" t="s">
        <v>13768</v>
      </c>
      <c r="C5385" t="s">
        <v>13495</v>
      </c>
      <c r="D5385" t="s">
        <v>13495</v>
      </c>
      <c r="E5385" t="s">
        <v>13517</v>
      </c>
    </row>
    <row r="5386" spans="1:5" x14ac:dyDescent="0.2">
      <c r="A5386" t="s">
        <v>13769</v>
      </c>
      <c r="B5386" t="s">
        <v>13770</v>
      </c>
      <c r="C5386" t="s">
        <v>13495</v>
      </c>
      <c r="D5386" t="s">
        <v>13495</v>
      </c>
      <c r="E5386" t="s">
        <v>13517</v>
      </c>
    </row>
    <row r="5387" spans="1:5" x14ac:dyDescent="0.2">
      <c r="A5387" t="s">
        <v>13771</v>
      </c>
      <c r="B5387" t="s">
        <v>13772</v>
      </c>
      <c r="C5387" t="s">
        <v>13495</v>
      </c>
      <c r="D5387" t="s">
        <v>13495</v>
      </c>
      <c r="E5387" t="s">
        <v>13766</v>
      </c>
    </row>
    <row r="5388" spans="1:5" x14ac:dyDescent="0.2">
      <c r="A5388" t="s">
        <v>13773</v>
      </c>
      <c r="B5388" t="s">
        <v>13774</v>
      </c>
      <c r="C5388" t="s">
        <v>13495</v>
      </c>
      <c r="D5388" t="s">
        <v>13495</v>
      </c>
      <c r="E5388" t="s">
        <v>13766</v>
      </c>
    </row>
    <row r="5389" spans="1:5" x14ac:dyDescent="0.2">
      <c r="A5389" t="s">
        <v>13775</v>
      </c>
      <c r="B5389" t="s">
        <v>13776</v>
      </c>
      <c r="C5389" t="s">
        <v>13495</v>
      </c>
      <c r="D5389" t="s">
        <v>13495</v>
      </c>
      <c r="E5389" t="s">
        <v>13777</v>
      </c>
    </row>
    <row r="5390" spans="1:5" x14ac:dyDescent="0.2">
      <c r="A5390" t="s">
        <v>13778</v>
      </c>
      <c r="B5390" t="s">
        <v>13779</v>
      </c>
      <c r="C5390" t="s">
        <v>13495</v>
      </c>
      <c r="D5390" t="s">
        <v>13495</v>
      </c>
      <c r="E5390" t="s">
        <v>13766</v>
      </c>
    </row>
    <row r="5391" spans="1:5" x14ac:dyDescent="0.2">
      <c r="A5391" t="s">
        <v>13780</v>
      </c>
      <c r="B5391" t="s">
        <v>13781</v>
      </c>
      <c r="C5391" t="s">
        <v>13495</v>
      </c>
      <c r="D5391" t="s">
        <v>13495</v>
      </c>
      <c r="E5391" t="s">
        <v>13782</v>
      </c>
    </row>
    <row r="5392" spans="1:5" x14ac:dyDescent="0.2">
      <c r="A5392" t="s">
        <v>13783</v>
      </c>
      <c r="B5392" t="s">
        <v>13784</v>
      </c>
      <c r="C5392" t="s">
        <v>13495</v>
      </c>
      <c r="D5392" t="s">
        <v>13495</v>
      </c>
      <c r="E5392" t="s">
        <v>13517</v>
      </c>
    </row>
    <row r="5393" spans="1:5" x14ac:dyDescent="0.2">
      <c r="A5393" t="s">
        <v>13785</v>
      </c>
      <c r="B5393" t="s">
        <v>13786</v>
      </c>
      <c r="C5393" t="s">
        <v>13495</v>
      </c>
      <c r="D5393" t="s">
        <v>13495</v>
      </c>
      <c r="E5393" t="s">
        <v>13787</v>
      </c>
    </row>
    <row r="5394" spans="1:5" x14ac:dyDescent="0.2">
      <c r="A5394" t="s">
        <v>13788</v>
      </c>
      <c r="B5394" t="s">
        <v>13789</v>
      </c>
      <c r="C5394" t="s">
        <v>13495</v>
      </c>
      <c r="D5394" t="s">
        <v>13495</v>
      </c>
      <c r="E5394" t="s">
        <v>13766</v>
      </c>
    </row>
    <row r="5395" spans="1:5" x14ac:dyDescent="0.2">
      <c r="A5395" t="s">
        <v>13790</v>
      </c>
      <c r="B5395" t="s">
        <v>13791</v>
      </c>
      <c r="C5395" t="s">
        <v>13495</v>
      </c>
      <c r="D5395" t="s">
        <v>13495</v>
      </c>
      <c r="E5395" t="s">
        <v>13517</v>
      </c>
    </row>
    <row r="5396" spans="1:5" x14ac:dyDescent="0.2">
      <c r="A5396" t="s">
        <v>13792</v>
      </c>
      <c r="B5396" t="s">
        <v>13793</v>
      </c>
      <c r="C5396" t="s">
        <v>13495</v>
      </c>
      <c r="D5396" t="s">
        <v>13495</v>
      </c>
      <c r="E5396" t="s">
        <v>13588</v>
      </c>
    </row>
    <row r="5397" spans="1:5" x14ac:dyDescent="0.2">
      <c r="A5397" t="s">
        <v>13794</v>
      </c>
      <c r="B5397" t="s">
        <v>13795</v>
      </c>
      <c r="C5397" t="s">
        <v>13495</v>
      </c>
      <c r="D5397" t="s">
        <v>13495</v>
      </c>
      <c r="E5397" t="s">
        <v>13526</v>
      </c>
    </row>
    <row r="5398" spans="1:5" x14ac:dyDescent="0.2">
      <c r="A5398" t="s">
        <v>13796</v>
      </c>
      <c r="B5398" t="s">
        <v>13797</v>
      </c>
      <c r="C5398" t="s">
        <v>13495</v>
      </c>
      <c r="D5398" t="s">
        <v>13495</v>
      </c>
      <c r="E5398" t="s">
        <v>13766</v>
      </c>
    </row>
    <row r="5399" spans="1:5" x14ac:dyDescent="0.2">
      <c r="A5399" t="s">
        <v>13798</v>
      </c>
      <c r="B5399" t="s">
        <v>13799</v>
      </c>
      <c r="C5399" t="s">
        <v>13495</v>
      </c>
      <c r="D5399" t="s">
        <v>13495</v>
      </c>
      <c r="E5399" t="s">
        <v>13766</v>
      </c>
    </row>
    <row r="5400" spans="1:5" x14ac:dyDescent="0.2">
      <c r="A5400" t="s">
        <v>13800</v>
      </c>
      <c r="B5400" t="s">
        <v>13801</v>
      </c>
      <c r="C5400" t="s">
        <v>13495</v>
      </c>
      <c r="D5400" t="s">
        <v>13495</v>
      </c>
      <c r="E5400" t="s">
        <v>13523</v>
      </c>
    </row>
    <row r="5401" spans="1:5" x14ac:dyDescent="0.2">
      <c r="A5401" t="s">
        <v>13802</v>
      </c>
      <c r="B5401" t="s">
        <v>13803</v>
      </c>
      <c r="C5401" t="s">
        <v>13495</v>
      </c>
      <c r="D5401" t="s">
        <v>13495</v>
      </c>
      <c r="E5401" t="s">
        <v>13523</v>
      </c>
    </row>
    <row r="5402" spans="1:5" x14ac:dyDescent="0.2">
      <c r="A5402" t="s">
        <v>13804</v>
      </c>
      <c r="B5402" t="s">
        <v>13805</v>
      </c>
      <c r="C5402" t="s">
        <v>13495</v>
      </c>
      <c r="D5402" t="s">
        <v>13495</v>
      </c>
      <c r="E5402" t="s">
        <v>13766</v>
      </c>
    </row>
    <row r="5403" spans="1:5" x14ac:dyDescent="0.2">
      <c r="A5403" t="s">
        <v>13806</v>
      </c>
      <c r="B5403" t="s">
        <v>13807</v>
      </c>
      <c r="C5403" t="s">
        <v>13495</v>
      </c>
      <c r="D5403" t="s">
        <v>13495</v>
      </c>
      <c r="E5403" t="s">
        <v>13808</v>
      </c>
    </row>
    <row r="5404" spans="1:5" x14ac:dyDescent="0.2">
      <c r="A5404" t="s">
        <v>13809</v>
      </c>
      <c r="B5404" t="s">
        <v>13810</v>
      </c>
      <c r="C5404" t="s">
        <v>13495</v>
      </c>
      <c r="D5404" t="s">
        <v>13495</v>
      </c>
      <c r="E5404" t="s">
        <v>13811</v>
      </c>
    </row>
    <row r="5405" spans="1:5" x14ac:dyDescent="0.2">
      <c r="A5405" t="s">
        <v>13812</v>
      </c>
      <c r="B5405" t="s">
        <v>13813</v>
      </c>
      <c r="C5405" t="s">
        <v>13495</v>
      </c>
      <c r="D5405" t="s">
        <v>13495</v>
      </c>
      <c r="E5405" t="s">
        <v>13526</v>
      </c>
    </row>
    <row r="5406" spans="1:5" x14ac:dyDescent="0.2">
      <c r="A5406" t="s">
        <v>13814</v>
      </c>
      <c r="B5406" t="s">
        <v>13815</v>
      </c>
      <c r="C5406" t="s">
        <v>13495</v>
      </c>
      <c r="D5406" t="s">
        <v>13495</v>
      </c>
      <c r="E5406" t="s">
        <v>13517</v>
      </c>
    </row>
    <row r="5407" spans="1:5" x14ac:dyDescent="0.2">
      <c r="A5407" t="s">
        <v>13816</v>
      </c>
      <c r="B5407" t="s">
        <v>13817</v>
      </c>
      <c r="C5407" t="s">
        <v>13495</v>
      </c>
      <c r="D5407" t="s">
        <v>13495</v>
      </c>
      <c r="E5407" t="s">
        <v>13526</v>
      </c>
    </row>
    <row r="5408" spans="1:5" x14ac:dyDescent="0.2">
      <c r="A5408" t="s">
        <v>13818</v>
      </c>
      <c r="B5408" t="s">
        <v>13819</v>
      </c>
      <c r="C5408" t="s">
        <v>13495</v>
      </c>
      <c r="D5408" t="s">
        <v>13495</v>
      </c>
      <c r="E5408" t="s">
        <v>13523</v>
      </c>
    </row>
    <row r="5409" spans="1:5" x14ac:dyDescent="0.2">
      <c r="A5409" t="s">
        <v>13820</v>
      </c>
      <c r="B5409" t="s">
        <v>13821</v>
      </c>
      <c r="C5409" t="s">
        <v>13495</v>
      </c>
      <c r="D5409" t="s">
        <v>13495</v>
      </c>
      <c r="E5409" t="s">
        <v>13822</v>
      </c>
    </row>
    <row r="5410" spans="1:5" x14ac:dyDescent="0.2">
      <c r="A5410" t="s">
        <v>13823</v>
      </c>
      <c r="B5410" t="s">
        <v>13824</v>
      </c>
      <c r="C5410" t="s">
        <v>13495</v>
      </c>
      <c r="D5410" t="s">
        <v>13495</v>
      </c>
      <c r="E5410" t="s">
        <v>13825</v>
      </c>
    </row>
    <row r="5411" spans="1:5" x14ac:dyDescent="0.2">
      <c r="A5411" t="s">
        <v>13826</v>
      </c>
      <c r="B5411" t="s">
        <v>13827</v>
      </c>
      <c r="C5411" t="s">
        <v>13495</v>
      </c>
      <c r="D5411" t="s">
        <v>13495</v>
      </c>
      <c r="E5411" t="s">
        <v>13828</v>
      </c>
    </row>
    <row r="5412" spans="1:5" x14ac:dyDescent="0.2">
      <c r="A5412" t="s">
        <v>13829</v>
      </c>
      <c r="B5412" t="s">
        <v>13830</v>
      </c>
      <c r="C5412" t="s">
        <v>13495</v>
      </c>
      <c r="D5412" t="s">
        <v>13495</v>
      </c>
      <c r="E5412" t="s">
        <v>13831</v>
      </c>
    </row>
    <row r="5413" spans="1:5" x14ac:dyDescent="0.2">
      <c r="A5413" t="s">
        <v>13832</v>
      </c>
      <c r="B5413" t="s">
        <v>13833</v>
      </c>
      <c r="C5413" t="s">
        <v>13495</v>
      </c>
      <c r="D5413" t="s">
        <v>13495</v>
      </c>
      <c r="E5413" t="s">
        <v>13526</v>
      </c>
    </row>
    <row r="5414" spans="1:5" x14ac:dyDescent="0.2">
      <c r="A5414" t="s">
        <v>13834</v>
      </c>
      <c r="B5414" t="s">
        <v>13835</v>
      </c>
      <c r="C5414" t="s">
        <v>13495</v>
      </c>
      <c r="D5414" t="s">
        <v>13495</v>
      </c>
      <c r="E5414" t="s">
        <v>13766</v>
      </c>
    </row>
    <row r="5415" spans="1:5" x14ac:dyDescent="0.2">
      <c r="A5415" t="s">
        <v>13836</v>
      </c>
      <c r="B5415" t="s">
        <v>13837</v>
      </c>
      <c r="C5415" t="s">
        <v>13495</v>
      </c>
      <c r="D5415" t="s">
        <v>13495</v>
      </c>
      <c r="E5415" t="s">
        <v>13838</v>
      </c>
    </row>
    <row r="5416" spans="1:5" x14ac:dyDescent="0.2">
      <c r="A5416" t="s">
        <v>13839</v>
      </c>
      <c r="B5416" t="s">
        <v>13840</v>
      </c>
      <c r="C5416" t="s">
        <v>13495</v>
      </c>
      <c r="D5416" t="s">
        <v>13495</v>
      </c>
      <c r="E5416" t="s">
        <v>13841</v>
      </c>
    </row>
    <row r="5417" spans="1:5" x14ac:dyDescent="0.2">
      <c r="A5417" t="s">
        <v>13842</v>
      </c>
      <c r="B5417" t="s">
        <v>13843</v>
      </c>
      <c r="C5417" t="s">
        <v>13495</v>
      </c>
      <c r="D5417" t="s">
        <v>13495</v>
      </c>
      <c r="E5417" t="s">
        <v>13844</v>
      </c>
    </row>
    <row r="5418" spans="1:5" x14ac:dyDescent="0.2">
      <c r="A5418" t="s">
        <v>13845</v>
      </c>
      <c r="B5418" t="s">
        <v>13846</v>
      </c>
      <c r="C5418" t="s">
        <v>13495</v>
      </c>
      <c r="D5418" t="s">
        <v>13495</v>
      </c>
      <c r="E5418" t="s">
        <v>13847</v>
      </c>
    </row>
    <row r="5419" spans="1:5" x14ac:dyDescent="0.2">
      <c r="A5419" t="s">
        <v>13848</v>
      </c>
      <c r="B5419" t="s">
        <v>13849</v>
      </c>
      <c r="C5419" t="s">
        <v>13495</v>
      </c>
      <c r="D5419" t="s">
        <v>13495</v>
      </c>
      <c r="E5419" t="s">
        <v>13766</v>
      </c>
    </row>
    <row r="5420" spans="1:5" x14ac:dyDescent="0.2">
      <c r="A5420" t="s">
        <v>13850</v>
      </c>
      <c r="B5420" t="s">
        <v>13851</v>
      </c>
      <c r="C5420" t="s">
        <v>13495</v>
      </c>
      <c r="D5420" t="s">
        <v>13495</v>
      </c>
      <c r="E5420" t="s">
        <v>13852</v>
      </c>
    </row>
    <row r="5421" spans="1:5" x14ac:dyDescent="0.2">
      <c r="A5421" t="s">
        <v>13853</v>
      </c>
      <c r="B5421" t="s">
        <v>13854</v>
      </c>
      <c r="C5421" t="s">
        <v>13495</v>
      </c>
      <c r="D5421" t="s">
        <v>13495</v>
      </c>
      <c r="E5421" t="s">
        <v>13855</v>
      </c>
    </row>
    <row r="5422" spans="1:5" x14ac:dyDescent="0.2">
      <c r="A5422" t="s">
        <v>13856</v>
      </c>
      <c r="B5422" t="s">
        <v>13857</v>
      </c>
      <c r="C5422" t="s">
        <v>13495</v>
      </c>
      <c r="D5422" t="s">
        <v>13495</v>
      </c>
      <c r="E5422" t="s">
        <v>13858</v>
      </c>
    </row>
    <row r="5423" spans="1:5" x14ac:dyDescent="0.2">
      <c r="A5423" t="s">
        <v>13859</v>
      </c>
      <c r="B5423" t="s">
        <v>13860</v>
      </c>
      <c r="C5423" t="s">
        <v>13495</v>
      </c>
      <c r="D5423" t="s">
        <v>13495</v>
      </c>
      <c r="E5423" t="s">
        <v>13523</v>
      </c>
    </row>
    <row r="5424" spans="1:5" x14ac:dyDescent="0.2">
      <c r="A5424" t="s">
        <v>13861</v>
      </c>
      <c r="B5424" t="s">
        <v>13862</v>
      </c>
      <c r="C5424" t="s">
        <v>13495</v>
      </c>
      <c r="D5424" t="s">
        <v>13495</v>
      </c>
      <c r="E5424" t="s">
        <v>13863</v>
      </c>
    </row>
    <row r="5425" spans="1:5" x14ac:dyDescent="0.2">
      <c r="A5425" t="s">
        <v>13864</v>
      </c>
      <c r="B5425" t="s">
        <v>13865</v>
      </c>
      <c r="C5425" t="s">
        <v>13495</v>
      </c>
      <c r="D5425" t="s">
        <v>13495</v>
      </c>
      <c r="E5425" t="s">
        <v>13523</v>
      </c>
    </row>
    <row r="5426" spans="1:5" x14ac:dyDescent="0.2">
      <c r="A5426" t="s">
        <v>13866</v>
      </c>
      <c r="B5426" t="s">
        <v>13867</v>
      </c>
      <c r="C5426" t="s">
        <v>13495</v>
      </c>
      <c r="D5426" t="s">
        <v>13495</v>
      </c>
      <c r="E5426" t="s">
        <v>13526</v>
      </c>
    </row>
    <row r="5427" spans="1:5" x14ac:dyDescent="0.2">
      <c r="A5427" t="s">
        <v>13868</v>
      </c>
      <c r="B5427" t="s">
        <v>13869</v>
      </c>
      <c r="C5427" t="s">
        <v>13495</v>
      </c>
      <c r="D5427" t="s">
        <v>13495</v>
      </c>
      <c r="E5427" t="s">
        <v>13766</v>
      </c>
    </row>
    <row r="5428" spans="1:5" x14ac:dyDescent="0.2">
      <c r="A5428" t="s">
        <v>13870</v>
      </c>
      <c r="B5428" t="s">
        <v>13871</v>
      </c>
      <c r="C5428" t="s">
        <v>13495</v>
      </c>
      <c r="D5428" t="s">
        <v>13495</v>
      </c>
      <c r="E5428" t="s">
        <v>13766</v>
      </c>
    </row>
    <row r="5429" spans="1:5" x14ac:dyDescent="0.2">
      <c r="A5429" t="s">
        <v>13872</v>
      </c>
      <c r="B5429" t="s">
        <v>13873</v>
      </c>
      <c r="C5429" t="s">
        <v>13495</v>
      </c>
      <c r="D5429" t="s">
        <v>13495</v>
      </c>
      <c r="E5429" t="s">
        <v>13874</v>
      </c>
    </row>
    <row r="5430" spans="1:5" x14ac:dyDescent="0.2">
      <c r="A5430" t="s">
        <v>13875</v>
      </c>
      <c r="B5430" t="s">
        <v>13876</v>
      </c>
      <c r="C5430" t="s">
        <v>13495</v>
      </c>
      <c r="D5430" t="s">
        <v>13495</v>
      </c>
      <c r="E5430" t="s">
        <v>13517</v>
      </c>
    </row>
    <row r="5431" spans="1:5" x14ac:dyDescent="0.2">
      <c r="A5431" t="s">
        <v>13877</v>
      </c>
      <c r="B5431" t="s">
        <v>13878</v>
      </c>
      <c r="C5431" t="s">
        <v>13495</v>
      </c>
      <c r="D5431" t="s">
        <v>13495</v>
      </c>
      <c r="E5431" t="s">
        <v>13879</v>
      </c>
    </row>
    <row r="5432" spans="1:5" x14ac:dyDescent="0.2">
      <c r="A5432" t="s">
        <v>13880</v>
      </c>
      <c r="B5432" t="s">
        <v>13881</v>
      </c>
      <c r="C5432" t="s">
        <v>13495</v>
      </c>
      <c r="D5432" t="s">
        <v>13495</v>
      </c>
      <c r="E5432" t="s">
        <v>13882</v>
      </c>
    </row>
    <row r="5433" spans="1:5" x14ac:dyDescent="0.2">
      <c r="A5433" t="s">
        <v>13883</v>
      </c>
      <c r="B5433" t="s">
        <v>13884</v>
      </c>
      <c r="C5433" t="s">
        <v>13495</v>
      </c>
      <c r="D5433" t="s">
        <v>13495</v>
      </c>
      <c r="E5433" t="s">
        <v>13885</v>
      </c>
    </row>
    <row r="5434" spans="1:5" x14ac:dyDescent="0.2">
      <c r="A5434" t="s">
        <v>13886</v>
      </c>
      <c r="B5434" t="s">
        <v>13887</v>
      </c>
      <c r="C5434" t="s">
        <v>13888</v>
      </c>
      <c r="D5434" t="s">
        <v>13888</v>
      </c>
      <c r="E5434" t="s">
        <v>13889</v>
      </c>
    </row>
    <row r="5435" spans="1:5" x14ac:dyDescent="0.2">
      <c r="A5435" t="s">
        <v>13890</v>
      </c>
      <c r="B5435" t="s">
        <v>13891</v>
      </c>
      <c r="C5435" t="s">
        <v>13888</v>
      </c>
      <c r="D5435" t="s">
        <v>13888</v>
      </c>
      <c r="E5435" t="s">
        <v>13892</v>
      </c>
    </row>
    <row r="5436" spans="1:5" x14ac:dyDescent="0.2">
      <c r="A5436" t="s">
        <v>13893</v>
      </c>
      <c r="B5436" t="s">
        <v>13894</v>
      </c>
      <c r="C5436" t="s">
        <v>13888</v>
      </c>
      <c r="D5436" t="s">
        <v>13888</v>
      </c>
      <c r="E5436" t="s">
        <v>13895</v>
      </c>
    </row>
    <row r="5437" spans="1:5" x14ac:dyDescent="0.2">
      <c r="A5437" t="s">
        <v>13896</v>
      </c>
      <c r="B5437" t="s">
        <v>13897</v>
      </c>
      <c r="C5437" t="s">
        <v>13888</v>
      </c>
      <c r="D5437" t="s">
        <v>13888</v>
      </c>
      <c r="E5437" t="s">
        <v>13895</v>
      </c>
    </row>
    <row r="5438" spans="1:5" x14ac:dyDescent="0.2">
      <c r="A5438" t="s">
        <v>13898</v>
      </c>
      <c r="B5438" t="s">
        <v>13899</v>
      </c>
      <c r="C5438" t="s">
        <v>13888</v>
      </c>
      <c r="D5438" t="s">
        <v>13888</v>
      </c>
      <c r="E5438" t="s">
        <v>13895</v>
      </c>
    </row>
    <row r="5439" spans="1:5" x14ac:dyDescent="0.2">
      <c r="A5439" t="s">
        <v>13900</v>
      </c>
      <c r="B5439" t="s">
        <v>13901</v>
      </c>
      <c r="C5439" t="s">
        <v>13888</v>
      </c>
      <c r="D5439" t="s">
        <v>13888</v>
      </c>
      <c r="E5439" t="s">
        <v>13902</v>
      </c>
    </row>
    <row r="5440" spans="1:5" x14ac:dyDescent="0.2">
      <c r="A5440" t="s">
        <v>13903</v>
      </c>
      <c r="B5440" t="s">
        <v>13904</v>
      </c>
      <c r="C5440" t="s">
        <v>13888</v>
      </c>
      <c r="D5440" t="s">
        <v>13888</v>
      </c>
      <c r="E5440" t="s">
        <v>13905</v>
      </c>
    </row>
    <row r="5441" spans="1:5" x14ac:dyDescent="0.2">
      <c r="A5441" t="s">
        <v>13906</v>
      </c>
      <c r="B5441" t="s">
        <v>13907</v>
      </c>
      <c r="C5441" t="s">
        <v>13888</v>
      </c>
      <c r="D5441" t="s">
        <v>13888</v>
      </c>
      <c r="E5441" t="s">
        <v>13908</v>
      </c>
    </row>
    <row r="5442" spans="1:5" x14ac:dyDescent="0.2">
      <c r="A5442" t="s">
        <v>13909</v>
      </c>
      <c r="B5442" t="s">
        <v>13910</v>
      </c>
      <c r="C5442" t="s">
        <v>13888</v>
      </c>
      <c r="D5442" t="s">
        <v>13888</v>
      </c>
      <c r="E5442" t="s">
        <v>13911</v>
      </c>
    </row>
    <row r="5443" spans="1:5" x14ac:dyDescent="0.2">
      <c r="A5443" t="s">
        <v>13912</v>
      </c>
      <c r="B5443" t="s">
        <v>13913</v>
      </c>
      <c r="C5443" t="s">
        <v>13888</v>
      </c>
      <c r="D5443" t="s">
        <v>13888</v>
      </c>
      <c r="E5443" t="s">
        <v>13895</v>
      </c>
    </row>
    <row r="5444" spans="1:5" x14ac:dyDescent="0.2">
      <c r="A5444" t="s">
        <v>13914</v>
      </c>
      <c r="B5444" t="s">
        <v>13915</v>
      </c>
      <c r="C5444" t="s">
        <v>13888</v>
      </c>
      <c r="D5444" t="s">
        <v>13888</v>
      </c>
      <c r="E5444" t="s">
        <v>13916</v>
      </c>
    </row>
    <row r="5445" spans="1:5" x14ac:dyDescent="0.2">
      <c r="A5445" t="s">
        <v>13917</v>
      </c>
      <c r="B5445" t="s">
        <v>13918</v>
      </c>
      <c r="C5445" t="s">
        <v>13888</v>
      </c>
      <c r="D5445" t="s">
        <v>13888</v>
      </c>
      <c r="E5445" t="s">
        <v>13895</v>
      </c>
    </row>
    <row r="5446" spans="1:5" x14ac:dyDescent="0.2">
      <c r="A5446" t="s">
        <v>13919</v>
      </c>
      <c r="B5446" t="s">
        <v>13920</v>
      </c>
      <c r="C5446" t="s">
        <v>13888</v>
      </c>
      <c r="D5446" t="s">
        <v>13888</v>
      </c>
      <c r="E5446" t="s">
        <v>13921</v>
      </c>
    </row>
    <row r="5447" spans="1:5" x14ac:dyDescent="0.2">
      <c r="A5447" t="s">
        <v>13922</v>
      </c>
      <c r="B5447" t="s">
        <v>13923</v>
      </c>
      <c r="C5447" t="s">
        <v>13888</v>
      </c>
      <c r="D5447" t="s">
        <v>13888</v>
      </c>
      <c r="E5447" t="s">
        <v>13889</v>
      </c>
    </row>
    <row r="5448" spans="1:5" x14ac:dyDescent="0.2">
      <c r="A5448" t="s">
        <v>13924</v>
      </c>
      <c r="B5448" t="s">
        <v>13925</v>
      </c>
      <c r="C5448" t="s">
        <v>13888</v>
      </c>
      <c r="D5448" t="s">
        <v>13888</v>
      </c>
      <c r="E5448" t="s">
        <v>13895</v>
      </c>
    </row>
    <row r="5449" spans="1:5" x14ac:dyDescent="0.2">
      <c r="A5449" t="s">
        <v>13926</v>
      </c>
      <c r="B5449" t="s">
        <v>13927</v>
      </c>
      <c r="C5449" t="s">
        <v>13888</v>
      </c>
      <c r="D5449" t="s">
        <v>13888</v>
      </c>
      <c r="E5449" t="s">
        <v>13928</v>
      </c>
    </row>
    <row r="5450" spans="1:5" x14ac:dyDescent="0.2">
      <c r="A5450" t="s">
        <v>13929</v>
      </c>
      <c r="B5450" t="s">
        <v>13930</v>
      </c>
      <c r="C5450" t="s">
        <v>13888</v>
      </c>
      <c r="D5450" t="s">
        <v>13888</v>
      </c>
      <c r="E5450" t="s">
        <v>13916</v>
      </c>
    </row>
    <row r="5451" spans="1:5" x14ac:dyDescent="0.2">
      <c r="A5451" t="s">
        <v>13931</v>
      </c>
      <c r="B5451" t="s">
        <v>13932</v>
      </c>
      <c r="C5451" t="s">
        <v>13888</v>
      </c>
      <c r="D5451" t="s">
        <v>13888</v>
      </c>
      <c r="E5451" t="s">
        <v>13895</v>
      </c>
    </row>
    <row r="5452" spans="1:5" x14ac:dyDescent="0.2">
      <c r="A5452" t="s">
        <v>13933</v>
      </c>
      <c r="B5452" t="s">
        <v>13934</v>
      </c>
      <c r="C5452" t="s">
        <v>13888</v>
      </c>
      <c r="D5452" t="s">
        <v>13888</v>
      </c>
      <c r="E5452" t="s">
        <v>13935</v>
      </c>
    </row>
    <row r="5453" spans="1:5" x14ac:dyDescent="0.2">
      <c r="A5453" t="s">
        <v>13936</v>
      </c>
      <c r="B5453" t="s">
        <v>13937</v>
      </c>
      <c r="C5453" t="s">
        <v>13888</v>
      </c>
      <c r="D5453" t="s">
        <v>13888</v>
      </c>
      <c r="E5453" t="s">
        <v>13938</v>
      </c>
    </row>
    <row r="5454" spans="1:5" x14ac:dyDescent="0.2">
      <c r="A5454" t="s">
        <v>13939</v>
      </c>
      <c r="B5454" t="s">
        <v>13940</v>
      </c>
      <c r="C5454" t="s">
        <v>13888</v>
      </c>
      <c r="D5454" t="s">
        <v>13888</v>
      </c>
      <c r="E5454" t="s">
        <v>13941</v>
      </c>
    </row>
    <row r="5455" spans="1:5" x14ac:dyDescent="0.2">
      <c r="A5455" t="s">
        <v>13942</v>
      </c>
      <c r="B5455" t="s">
        <v>13943</v>
      </c>
      <c r="C5455" t="s">
        <v>13888</v>
      </c>
      <c r="D5455" t="s">
        <v>13888</v>
      </c>
      <c r="E5455" t="s">
        <v>13889</v>
      </c>
    </row>
    <row r="5456" spans="1:5" x14ac:dyDescent="0.2">
      <c r="A5456" t="s">
        <v>13944</v>
      </c>
      <c r="B5456" t="s">
        <v>13945</v>
      </c>
      <c r="C5456" t="s">
        <v>13888</v>
      </c>
      <c r="D5456" t="s">
        <v>13888</v>
      </c>
      <c r="E5456" t="s">
        <v>13946</v>
      </c>
    </row>
    <row r="5457" spans="1:5" x14ac:dyDescent="0.2">
      <c r="A5457" t="s">
        <v>13947</v>
      </c>
      <c r="B5457" t="s">
        <v>13948</v>
      </c>
      <c r="C5457" t="s">
        <v>13888</v>
      </c>
      <c r="D5457" t="s">
        <v>13888</v>
      </c>
      <c r="E5457" t="s">
        <v>13889</v>
      </c>
    </row>
    <row r="5458" spans="1:5" x14ac:dyDescent="0.2">
      <c r="A5458" t="s">
        <v>13949</v>
      </c>
      <c r="B5458" t="s">
        <v>13950</v>
      </c>
      <c r="C5458" t="s">
        <v>13888</v>
      </c>
      <c r="D5458" t="s">
        <v>13888</v>
      </c>
      <c r="E5458" t="s">
        <v>13951</v>
      </c>
    </row>
    <row r="5459" spans="1:5" x14ac:dyDescent="0.2">
      <c r="A5459" t="s">
        <v>13952</v>
      </c>
      <c r="B5459" t="s">
        <v>13953</v>
      </c>
      <c r="C5459" t="s">
        <v>13888</v>
      </c>
      <c r="D5459" t="s">
        <v>13888</v>
      </c>
      <c r="E5459" t="s">
        <v>13954</v>
      </c>
    </row>
    <row r="5460" spans="1:5" x14ac:dyDescent="0.2">
      <c r="A5460" t="s">
        <v>13955</v>
      </c>
      <c r="B5460" t="s">
        <v>13956</v>
      </c>
      <c r="C5460" t="s">
        <v>13888</v>
      </c>
      <c r="D5460" t="s">
        <v>13888</v>
      </c>
      <c r="E5460" t="s">
        <v>13889</v>
      </c>
    </row>
    <row r="5461" spans="1:5" x14ac:dyDescent="0.2">
      <c r="A5461" t="s">
        <v>13957</v>
      </c>
      <c r="B5461" t="s">
        <v>13958</v>
      </c>
      <c r="C5461" t="s">
        <v>13888</v>
      </c>
      <c r="D5461" t="s">
        <v>13888</v>
      </c>
      <c r="E5461" t="s">
        <v>13959</v>
      </c>
    </row>
    <row r="5462" spans="1:5" x14ac:dyDescent="0.2">
      <c r="A5462" t="s">
        <v>13960</v>
      </c>
      <c r="B5462" t="s">
        <v>13961</v>
      </c>
      <c r="C5462" t="s">
        <v>13888</v>
      </c>
      <c r="D5462" t="s">
        <v>13888</v>
      </c>
      <c r="E5462" t="s">
        <v>13916</v>
      </c>
    </row>
    <row r="5463" spans="1:5" x14ac:dyDescent="0.2">
      <c r="A5463" t="s">
        <v>13962</v>
      </c>
      <c r="B5463" t="s">
        <v>13963</v>
      </c>
      <c r="C5463" t="s">
        <v>13888</v>
      </c>
      <c r="D5463" t="s">
        <v>13888</v>
      </c>
      <c r="E5463" t="s">
        <v>13889</v>
      </c>
    </row>
    <row r="5464" spans="1:5" x14ac:dyDescent="0.2">
      <c r="A5464" t="s">
        <v>13964</v>
      </c>
      <c r="B5464" t="s">
        <v>13965</v>
      </c>
      <c r="C5464" t="s">
        <v>13888</v>
      </c>
      <c r="D5464" t="s">
        <v>13888</v>
      </c>
      <c r="E5464" t="s">
        <v>13966</v>
      </c>
    </row>
    <row r="5465" spans="1:5" x14ac:dyDescent="0.2">
      <c r="A5465" t="s">
        <v>13967</v>
      </c>
      <c r="B5465" t="s">
        <v>13968</v>
      </c>
      <c r="C5465" t="s">
        <v>13888</v>
      </c>
      <c r="D5465" t="s">
        <v>13888</v>
      </c>
      <c r="E5465" t="s">
        <v>13969</v>
      </c>
    </row>
    <row r="5466" spans="1:5" x14ac:dyDescent="0.2">
      <c r="A5466" t="s">
        <v>13970</v>
      </c>
      <c r="B5466" t="s">
        <v>13971</v>
      </c>
      <c r="C5466" t="s">
        <v>13888</v>
      </c>
      <c r="D5466" t="s">
        <v>13888</v>
      </c>
      <c r="E5466" t="s">
        <v>13972</v>
      </c>
    </row>
    <row r="5467" spans="1:5" x14ac:dyDescent="0.2">
      <c r="A5467" t="s">
        <v>13973</v>
      </c>
      <c r="B5467" t="s">
        <v>13974</v>
      </c>
      <c r="C5467" t="s">
        <v>13888</v>
      </c>
      <c r="D5467" t="s">
        <v>13888</v>
      </c>
      <c r="E5467" t="s">
        <v>13916</v>
      </c>
    </row>
    <row r="5468" spans="1:5" x14ac:dyDescent="0.2">
      <c r="A5468" t="s">
        <v>13975</v>
      </c>
      <c r="B5468" t="s">
        <v>13976</v>
      </c>
      <c r="C5468" t="s">
        <v>13888</v>
      </c>
      <c r="D5468" t="s">
        <v>13888</v>
      </c>
      <c r="E5468" t="s">
        <v>13895</v>
      </c>
    </row>
    <row r="5469" spans="1:5" x14ac:dyDescent="0.2">
      <c r="A5469" t="s">
        <v>13977</v>
      </c>
      <c r="B5469" t="s">
        <v>13978</v>
      </c>
      <c r="C5469" t="s">
        <v>13888</v>
      </c>
      <c r="D5469" t="s">
        <v>13888</v>
      </c>
      <c r="E5469" t="s">
        <v>13979</v>
      </c>
    </row>
    <row r="5470" spans="1:5" x14ac:dyDescent="0.2">
      <c r="A5470" t="s">
        <v>13980</v>
      </c>
      <c r="B5470" t="s">
        <v>13981</v>
      </c>
      <c r="C5470" t="s">
        <v>13888</v>
      </c>
      <c r="D5470" t="s">
        <v>13888</v>
      </c>
      <c r="E5470" t="s">
        <v>13895</v>
      </c>
    </row>
    <row r="5471" spans="1:5" x14ac:dyDescent="0.2">
      <c r="A5471" t="s">
        <v>13982</v>
      </c>
      <c r="B5471" t="s">
        <v>13983</v>
      </c>
      <c r="C5471" t="s">
        <v>13888</v>
      </c>
      <c r="D5471" t="s">
        <v>13888</v>
      </c>
      <c r="E5471" t="s">
        <v>13984</v>
      </c>
    </row>
    <row r="5472" spans="1:5" x14ac:dyDescent="0.2">
      <c r="A5472" t="s">
        <v>13985</v>
      </c>
      <c r="B5472" t="s">
        <v>13986</v>
      </c>
      <c r="C5472" t="s">
        <v>13888</v>
      </c>
      <c r="D5472" t="s">
        <v>13888</v>
      </c>
      <c r="E5472" t="s">
        <v>13916</v>
      </c>
    </row>
    <row r="5473" spans="1:5" x14ac:dyDescent="0.2">
      <c r="A5473" t="s">
        <v>13987</v>
      </c>
      <c r="B5473" t="s">
        <v>13988</v>
      </c>
      <c r="C5473" t="s">
        <v>13888</v>
      </c>
      <c r="D5473" t="s">
        <v>13888</v>
      </c>
      <c r="E5473" t="s">
        <v>13889</v>
      </c>
    </row>
    <row r="5474" spans="1:5" x14ac:dyDescent="0.2">
      <c r="A5474" t="s">
        <v>13989</v>
      </c>
      <c r="B5474" t="s">
        <v>13990</v>
      </c>
      <c r="C5474" t="s">
        <v>13888</v>
      </c>
      <c r="D5474" t="s">
        <v>13888</v>
      </c>
      <c r="E5474" t="s">
        <v>13895</v>
      </c>
    </row>
    <row r="5475" spans="1:5" x14ac:dyDescent="0.2">
      <c r="A5475" t="s">
        <v>13991</v>
      </c>
      <c r="B5475" t="s">
        <v>13992</v>
      </c>
      <c r="C5475" t="s">
        <v>13888</v>
      </c>
      <c r="D5475" t="s">
        <v>13888</v>
      </c>
      <c r="E5475" t="s">
        <v>13889</v>
      </c>
    </row>
    <row r="5476" spans="1:5" x14ac:dyDescent="0.2">
      <c r="A5476" t="s">
        <v>13993</v>
      </c>
      <c r="B5476" t="s">
        <v>13994</v>
      </c>
      <c r="C5476" t="s">
        <v>13888</v>
      </c>
      <c r="D5476" t="s">
        <v>13888</v>
      </c>
      <c r="E5476" t="s">
        <v>13889</v>
      </c>
    </row>
    <row r="5477" spans="1:5" x14ac:dyDescent="0.2">
      <c r="A5477" t="s">
        <v>13995</v>
      </c>
      <c r="B5477" t="s">
        <v>13996</v>
      </c>
      <c r="C5477" t="s">
        <v>13888</v>
      </c>
      <c r="D5477" t="s">
        <v>13888</v>
      </c>
      <c r="E5477" t="s">
        <v>13889</v>
      </c>
    </row>
    <row r="5478" spans="1:5" x14ac:dyDescent="0.2">
      <c r="A5478" t="s">
        <v>13997</v>
      </c>
      <c r="B5478" t="s">
        <v>13998</v>
      </c>
      <c r="C5478" t="s">
        <v>13888</v>
      </c>
      <c r="D5478" t="s">
        <v>13888</v>
      </c>
      <c r="E5478" t="s">
        <v>13889</v>
      </c>
    </row>
    <row r="5479" spans="1:5" x14ac:dyDescent="0.2">
      <c r="A5479" t="s">
        <v>13999</v>
      </c>
      <c r="B5479" t="s">
        <v>14000</v>
      </c>
      <c r="C5479" t="s">
        <v>13888</v>
      </c>
      <c r="D5479" t="s">
        <v>13888</v>
      </c>
      <c r="E5479" t="s">
        <v>14001</v>
      </c>
    </row>
    <row r="5480" spans="1:5" x14ac:dyDescent="0.2">
      <c r="A5480" t="s">
        <v>14002</v>
      </c>
      <c r="B5480" t="s">
        <v>14003</v>
      </c>
      <c r="C5480" t="s">
        <v>13888</v>
      </c>
      <c r="D5480" t="s">
        <v>13888</v>
      </c>
      <c r="E5480" t="s">
        <v>13895</v>
      </c>
    </row>
    <row r="5481" spans="1:5" x14ac:dyDescent="0.2">
      <c r="A5481" t="s">
        <v>14004</v>
      </c>
      <c r="B5481" t="s">
        <v>14005</v>
      </c>
      <c r="C5481" t="s">
        <v>13888</v>
      </c>
      <c r="D5481" t="s">
        <v>13888</v>
      </c>
      <c r="E5481" t="s">
        <v>13895</v>
      </c>
    </row>
    <row r="5482" spans="1:5" x14ac:dyDescent="0.2">
      <c r="A5482" t="s">
        <v>14006</v>
      </c>
      <c r="B5482" t="s">
        <v>14007</v>
      </c>
      <c r="C5482" t="s">
        <v>13888</v>
      </c>
      <c r="D5482" t="s">
        <v>13888</v>
      </c>
      <c r="E5482" t="s">
        <v>14008</v>
      </c>
    </row>
    <row r="5483" spans="1:5" x14ac:dyDescent="0.2">
      <c r="A5483" t="s">
        <v>14009</v>
      </c>
      <c r="B5483" t="s">
        <v>14010</v>
      </c>
      <c r="C5483" t="s">
        <v>13888</v>
      </c>
      <c r="D5483" t="s">
        <v>13888</v>
      </c>
      <c r="E5483" t="s">
        <v>13916</v>
      </c>
    </row>
    <row r="5484" spans="1:5" x14ac:dyDescent="0.2">
      <c r="A5484" t="s">
        <v>14011</v>
      </c>
      <c r="B5484" t="s">
        <v>14012</v>
      </c>
      <c r="C5484" t="s">
        <v>13888</v>
      </c>
      <c r="D5484" t="s">
        <v>13888</v>
      </c>
      <c r="E5484" t="s">
        <v>14013</v>
      </c>
    </row>
    <row r="5485" spans="1:5" x14ac:dyDescent="0.2">
      <c r="A5485" t="s">
        <v>14014</v>
      </c>
      <c r="B5485" t="s">
        <v>14015</v>
      </c>
      <c r="C5485" t="s">
        <v>13888</v>
      </c>
      <c r="D5485" t="s">
        <v>13888</v>
      </c>
      <c r="E5485" t="s">
        <v>14016</v>
      </c>
    </row>
    <row r="5486" spans="1:5" x14ac:dyDescent="0.2">
      <c r="A5486" t="s">
        <v>14017</v>
      </c>
      <c r="B5486" t="s">
        <v>14018</v>
      </c>
      <c r="C5486" t="s">
        <v>13888</v>
      </c>
      <c r="D5486" t="s">
        <v>13888</v>
      </c>
      <c r="E5486" t="s">
        <v>14019</v>
      </c>
    </row>
    <row r="5487" spans="1:5" x14ac:dyDescent="0.2">
      <c r="A5487" t="s">
        <v>14020</v>
      </c>
      <c r="B5487" t="s">
        <v>14021</v>
      </c>
      <c r="C5487" t="s">
        <v>13888</v>
      </c>
      <c r="D5487" t="s">
        <v>13888</v>
      </c>
      <c r="E5487" t="s">
        <v>13916</v>
      </c>
    </row>
    <row r="5488" spans="1:5" x14ac:dyDescent="0.2">
      <c r="A5488" t="s">
        <v>14022</v>
      </c>
      <c r="B5488" t="s">
        <v>14023</v>
      </c>
      <c r="C5488" t="s">
        <v>13888</v>
      </c>
      <c r="D5488" t="s">
        <v>13888</v>
      </c>
      <c r="E5488" t="s">
        <v>13889</v>
      </c>
    </row>
    <row r="5489" spans="1:5" x14ac:dyDescent="0.2">
      <c r="A5489" t="s">
        <v>14024</v>
      </c>
      <c r="B5489" t="s">
        <v>14025</v>
      </c>
      <c r="C5489" t="s">
        <v>13888</v>
      </c>
      <c r="D5489" t="s">
        <v>13888</v>
      </c>
      <c r="E5489" t="s">
        <v>14026</v>
      </c>
    </row>
    <row r="5490" spans="1:5" x14ac:dyDescent="0.2">
      <c r="A5490" t="s">
        <v>14027</v>
      </c>
      <c r="B5490" t="s">
        <v>14028</v>
      </c>
      <c r="C5490" t="s">
        <v>13888</v>
      </c>
      <c r="D5490" t="s">
        <v>13888</v>
      </c>
      <c r="E5490" t="s">
        <v>13916</v>
      </c>
    </row>
    <row r="5491" spans="1:5" x14ac:dyDescent="0.2">
      <c r="A5491" t="s">
        <v>14029</v>
      </c>
      <c r="B5491" t="s">
        <v>14030</v>
      </c>
      <c r="C5491" t="s">
        <v>13888</v>
      </c>
      <c r="D5491" t="s">
        <v>13888</v>
      </c>
      <c r="E5491" t="s">
        <v>13889</v>
      </c>
    </row>
    <row r="5492" spans="1:5" x14ac:dyDescent="0.2">
      <c r="A5492" t="s">
        <v>14031</v>
      </c>
      <c r="B5492" t="s">
        <v>14032</v>
      </c>
      <c r="C5492" t="s">
        <v>13888</v>
      </c>
      <c r="D5492" t="s">
        <v>13888</v>
      </c>
      <c r="E5492" t="s">
        <v>13984</v>
      </c>
    </row>
    <row r="5493" spans="1:5" x14ac:dyDescent="0.2">
      <c r="A5493" t="s">
        <v>14033</v>
      </c>
      <c r="B5493" t="s">
        <v>14034</v>
      </c>
      <c r="C5493" t="s">
        <v>13888</v>
      </c>
      <c r="D5493" t="s">
        <v>13888</v>
      </c>
      <c r="E5493" t="s">
        <v>14035</v>
      </c>
    </row>
    <row r="5494" spans="1:5" x14ac:dyDescent="0.2">
      <c r="A5494" t="s">
        <v>14036</v>
      </c>
      <c r="B5494" t="s">
        <v>14037</v>
      </c>
      <c r="C5494" t="s">
        <v>13888</v>
      </c>
      <c r="D5494" t="s">
        <v>13888</v>
      </c>
      <c r="E5494" t="s">
        <v>13895</v>
      </c>
    </row>
    <row r="5495" spans="1:5" x14ac:dyDescent="0.2">
      <c r="A5495" t="s">
        <v>14038</v>
      </c>
      <c r="B5495" t="s">
        <v>14039</v>
      </c>
      <c r="C5495" t="s">
        <v>13888</v>
      </c>
      <c r="D5495" t="s">
        <v>13888</v>
      </c>
      <c r="E5495" t="s">
        <v>14040</v>
      </c>
    </row>
    <row r="5496" spans="1:5" x14ac:dyDescent="0.2">
      <c r="A5496" t="s">
        <v>14041</v>
      </c>
      <c r="B5496" t="s">
        <v>14042</v>
      </c>
      <c r="C5496" t="s">
        <v>13888</v>
      </c>
      <c r="D5496" t="s">
        <v>13888</v>
      </c>
      <c r="E5496" t="s">
        <v>13916</v>
      </c>
    </row>
    <row r="5497" spans="1:5" x14ac:dyDescent="0.2">
      <c r="A5497" t="s">
        <v>14043</v>
      </c>
      <c r="B5497" t="s">
        <v>14044</v>
      </c>
      <c r="C5497" t="s">
        <v>13888</v>
      </c>
      <c r="D5497" t="s">
        <v>13888</v>
      </c>
      <c r="E5497" t="s">
        <v>13916</v>
      </c>
    </row>
    <row r="5498" spans="1:5" x14ac:dyDescent="0.2">
      <c r="A5498" t="s">
        <v>14045</v>
      </c>
      <c r="B5498" t="s">
        <v>14046</v>
      </c>
      <c r="C5498" t="s">
        <v>13888</v>
      </c>
      <c r="D5498" t="s">
        <v>13888</v>
      </c>
      <c r="E5498" t="s">
        <v>14047</v>
      </c>
    </row>
    <row r="5499" spans="1:5" x14ac:dyDescent="0.2">
      <c r="A5499" t="s">
        <v>14048</v>
      </c>
      <c r="B5499" t="s">
        <v>14049</v>
      </c>
      <c r="C5499" t="s">
        <v>13888</v>
      </c>
      <c r="D5499" t="s">
        <v>13888</v>
      </c>
      <c r="E5499" t="s">
        <v>13895</v>
      </c>
    </row>
    <row r="5500" spans="1:5" x14ac:dyDescent="0.2">
      <c r="A5500" t="s">
        <v>14050</v>
      </c>
      <c r="B5500" t="s">
        <v>14051</v>
      </c>
      <c r="C5500" t="s">
        <v>13888</v>
      </c>
      <c r="D5500" t="s">
        <v>13888</v>
      </c>
      <c r="E5500" t="s">
        <v>14052</v>
      </c>
    </row>
    <row r="5501" spans="1:5" x14ac:dyDescent="0.2">
      <c r="A5501" t="s">
        <v>14053</v>
      </c>
      <c r="B5501" t="s">
        <v>14054</v>
      </c>
      <c r="C5501" t="s">
        <v>13888</v>
      </c>
      <c r="D5501" t="s">
        <v>13888</v>
      </c>
      <c r="E5501" t="s">
        <v>14055</v>
      </c>
    </row>
    <row r="5502" spans="1:5" x14ac:dyDescent="0.2">
      <c r="A5502" t="s">
        <v>14056</v>
      </c>
      <c r="B5502" t="s">
        <v>14057</v>
      </c>
      <c r="C5502" t="s">
        <v>13888</v>
      </c>
      <c r="D5502" t="s">
        <v>13888</v>
      </c>
      <c r="E5502" t="s">
        <v>14058</v>
      </c>
    </row>
    <row r="5503" spans="1:5" x14ac:dyDescent="0.2">
      <c r="A5503" t="s">
        <v>14059</v>
      </c>
      <c r="B5503" t="s">
        <v>14060</v>
      </c>
      <c r="C5503" t="s">
        <v>13888</v>
      </c>
      <c r="D5503" t="s">
        <v>13888</v>
      </c>
      <c r="E5503" t="s">
        <v>14061</v>
      </c>
    </row>
    <row r="5504" spans="1:5" x14ac:dyDescent="0.2">
      <c r="A5504" t="s">
        <v>14062</v>
      </c>
      <c r="B5504" t="s">
        <v>14063</v>
      </c>
      <c r="C5504" t="s">
        <v>13888</v>
      </c>
      <c r="D5504" t="s">
        <v>13888</v>
      </c>
      <c r="E5504" t="s">
        <v>14064</v>
      </c>
    </row>
    <row r="5505" spans="1:5" x14ac:dyDescent="0.2">
      <c r="A5505" t="s">
        <v>14065</v>
      </c>
      <c r="B5505" t="s">
        <v>14066</v>
      </c>
      <c r="C5505" t="s">
        <v>13888</v>
      </c>
      <c r="D5505" t="s">
        <v>13888</v>
      </c>
      <c r="E5505" t="s">
        <v>14067</v>
      </c>
    </row>
    <row r="5506" spans="1:5" x14ac:dyDescent="0.2">
      <c r="A5506" t="s">
        <v>14068</v>
      </c>
      <c r="B5506" t="s">
        <v>14069</v>
      </c>
      <c r="C5506" t="s">
        <v>13888</v>
      </c>
      <c r="D5506" t="s">
        <v>13888</v>
      </c>
      <c r="E5506" t="s">
        <v>14070</v>
      </c>
    </row>
    <row r="5507" spans="1:5" x14ac:dyDescent="0.2">
      <c r="A5507" t="s">
        <v>14071</v>
      </c>
      <c r="B5507" t="s">
        <v>14072</v>
      </c>
      <c r="C5507" t="s">
        <v>13888</v>
      </c>
      <c r="D5507" t="s">
        <v>13888</v>
      </c>
      <c r="E5507" t="s">
        <v>13889</v>
      </c>
    </row>
    <row r="5508" spans="1:5" x14ac:dyDescent="0.2">
      <c r="A5508" t="s">
        <v>14073</v>
      </c>
      <c r="B5508" t="s">
        <v>14074</v>
      </c>
      <c r="C5508" t="s">
        <v>13888</v>
      </c>
      <c r="D5508" t="s">
        <v>13888</v>
      </c>
      <c r="E5508" t="s">
        <v>14075</v>
      </c>
    </row>
    <row r="5509" spans="1:5" x14ac:dyDescent="0.2">
      <c r="A5509" t="s">
        <v>14076</v>
      </c>
      <c r="B5509" t="s">
        <v>14077</v>
      </c>
      <c r="C5509" t="s">
        <v>13888</v>
      </c>
      <c r="D5509" t="s">
        <v>13888</v>
      </c>
      <c r="E5509" t="s">
        <v>13895</v>
      </c>
    </row>
    <row r="5510" spans="1:5" x14ac:dyDescent="0.2">
      <c r="A5510" t="s">
        <v>14078</v>
      </c>
      <c r="B5510" t="s">
        <v>14079</v>
      </c>
      <c r="C5510" t="s">
        <v>13888</v>
      </c>
      <c r="D5510" t="s">
        <v>13888</v>
      </c>
      <c r="E5510" t="s">
        <v>14080</v>
      </c>
    </row>
    <row r="5511" spans="1:5" x14ac:dyDescent="0.2">
      <c r="A5511" t="s">
        <v>14081</v>
      </c>
      <c r="B5511" t="s">
        <v>14082</v>
      </c>
      <c r="C5511" t="s">
        <v>13888</v>
      </c>
      <c r="D5511" t="s">
        <v>13888</v>
      </c>
      <c r="E5511" t="s">
        <v>14083</v>
      </c>
    </row>
    <row r="5512" spans="1:5" x14ac:dyDescent="0.2">
      <c r="A5512" t="s">
        <v>14084</v>
      </c>
      <c r="B5512" t="s">
        <v>14085</v>
      </c>
      <c r="C5512" t="s">
        <v>13888</v>
      </c>
      <c r="D5512" t="s">
        <v>13888</v>
      </c>
      <c r="E5512" t="s">
        <v>13895</v>
      </c>
    </row>
    <row r="5513" spans="1:5" x14ac:dyDescent="0.2">
      <c r="A5513" t="s">
        <v>14086</v>
      </c>
      <c r="B5513" t="s">
        <v>14087</v>
      </c>
      <c r="C5513" t="s">
        <v>13888</v>
      </c>
      <c r="D5513" t="s">
        <v>13888</v>
      </c>
      <c r="E5513" t="s">
        <v>14088</v>
      </c>
    </row>
    <row r="5514" spans="1:5" x14ac:dyDescent="0.2">
      <c r="A5514" t="s">
        <v>14089</v>
      </c>
      <c r="B5514" t="s">
        <v>14090</v>
      </c>
      <c r="C5514" t="s">
        <v>13888</v>
      </c>
      <c r="D5514" t="s">
        <v>13888</v>
      </c>
      <c r="E5514" t="s">
        <v>14091</v>
      </c>
    </row>
    <row r="5515" spans="1:5" x14ac:dyDescent="0.2">
      <c r="A5515" t="s">
        <v>14092</v>
      </c>
      <c r="B5515" t="s">
        <v>14093</v>
      </c>
      <c r="C5515" t="s">
        <v>13888</v>
      </c>
      <c r="D5515" t="s">
        <v>13888</v>
      </c>
      <c r="E5515" t="s">
        <v>14094</v>
      </c>
    </row>
    <row r="5516" spans="1:5" x14ac:dyDescent="0.2">
      <c r="A5516" t="s">
        <v>14095</v>
      </c>
      <c r="B5516" t="s">
        <v>14096</v>
      </c>
      <c r="C5516" t="s">
        <v>13888</v>
      </c>
      <c r="D5516" t="s">
        <v>13888</v>
      </c>
      <c r="E5516" t="s">
        <v>13895</v>
      </c>
    </row>
    <row r="5517" spans="1:5" x14ac:dyDescent="0.2">
      <c r="A5517" t="s">
        <v>14097</v>
      </c>
      <c r="B5517" t="s">
        <v>14098</v>
      </c>
      <c r="C5517" t="s">
        <v>13888</v>
      </c>
      <c r="D5517" t="s">
        <v>13888</v>
      </c>
      <c r="E5517" t="s">
        <v>14099</v>
      </c>
    </row>
    <row r="5518" spans="1:5" x14ac:dyDescent="0.2">
      <c r="A5518" t="s">
        <v>14100</v>
      </c>
      <c r="B5518" t="s">
        <v>14101</v>
      </c>
      <c r="C5518" t="s">
        <v>13888</v>
      </c>
      <c r="D5518" t="s">
        <v>13888</v>
      </c>
      <c r="E5518" t="s">
        <v>14102</v>
      </c>
    </row>
    <row r="5519" spans="1:5" x14ac:dyDescent="0.2">
      <c r="A5519" t="s">
        <v>14103</v>
      </c>
      <c r="B5519" t="s">
        <v>14104</v>
      </c>
      <c r="C5519" t="s">
        <v>13888</v>
      </c>
      <c r="D5519" t="s">
        <v>13888</v>
      </c>
      <c r="E5519" t="s">
        <v>13889</v>
      </c>
    </row>
    <row r="5520" spans="1:5" x14ac:dyDescent="0.2">
      <c r="A5520" t="s">
        <v>14105</v>
      </c>
      <c r="B5520" t="s">
        <v>14106</v>
      </c>
      <c r="C5520" t="s">
        <v>13888</v>
      </c>
      <c r="D5520" t="s">
        <v>13888</v>
      </c>
      <c r="E5520" t="s">
        <v>14107</v>
      </c>
    </row>
    <row r="5521" spans="1:5" x14ac:dyDescent="0.2">
      <c r="A5521" t="s">
        <v>14108</v>
      </c>
      <c r="B5521" t="s">
        <v>14109</v>
      </c>
      <c r="C5521" t="s">
        <v>13888</v>
      </c>
      <c r="D5521" t="s">
        <v>13888</v>
      </c>
      <c r="E5521" t="s">
        <v>13889</v>
      </c>
    </row>
    <row r="5522" spans="1:5" x14ac:dyDescent="0.2">
      <c r="A5522" t="s">
        <v>14110</v>
      </c>
      <c r="B5522" t="s">
        <v>14111</v>
      </c>
      <c r="C5522" t="s">
        <v>13888</v>
      </c>
      <c r="D5522" t="s">
        <v>13888</v>
      </c>
      <c r="E5522" t="s">
        <v>14112</v>
      </c>
    </row>
    <row r="5523" spans="1:5" x14ac:dyDescent="0.2">
      <c r="A5523" t="s">
        <v>14113</v>
      </c>
      <c r="B5523" t="s">
        <v>14114</v>
      </c>
      <c r="C5523" t="s">
        <v>13888</v>
      </c>
      <c r="D5523" t="s">
        <v>13888</v>
      </c>
      <c r="E5523" t="s">
        <v>13889</v>
      </c>
    </row>
    <row r="5524" spans="1:5" x14ac:dyDescent="0.2">
      <c r="A5524" t="s">
        <v>14115</v>
      </c>
      <c r="B5524" t="s">
        <v>14116</v>
      </c>
      <c r="C5524" t="s">
        <v>13888</v>
      </c>
      <c r="D5524" t="s">
        <v>13888</v>
      </c>
      <c r="E5524" t="s">
        <v>13889</v>
      </c>
    </row>
    <row r="5525" spans="1:5" x14ac:dyDescent="0.2">
      <c r="A5525" t="s">
        <v>14117</v>
      </c>
      <c r="B5525" t="s">
        <v>14118</v>
      </c>
      <c r="C5525" t="s">
        <v>13888</v>
      </c>
      <c r="D5525" t="s">
        <v>13888</v>
      </c>
      <c r="E5525" t="s">
        <v>13916</v>
      </c>
    </row>
    <row r="5526" spans="1:5" x14ac:dyDescent="0.2">
      <c r="A5526" t="s">
        <v>14119</v>
      </c>
      <c r="B5526" t="s">
        <v>14120</v>
      </c>
      <c r="C5526" t="s">
        <v>13888</v>
      </c>
      <c r="D5526" t="s">
        <v>13888</v>
      </c>
      <c r="E5526" t="s">
        <v>14121</v>
      </c>
    </row>
    <row r="5527" spans="1:5" x14ac:dyDescent="0.2">
      <c r="A5527" t="s">
        <v>14122</v>
      </c>
      <c r="B5527" t="s">
        <v>14123</v>
      </c>
      <c r="C5527" t="s">
        <v>13888</v>
      </c>
      <c r="D5527" t="s">
        <v>13888</v>
      </c>
      <c r="E5527" t="s">
        <v>13895</v>
      </c>
    </row>
    <row r="5528" spans="1:5" x14ac:dyDescent="0.2">
      <c r="A5528" t="s">
        <v>14124</v>
      </c>
      <c r="B5528" t="s">
        <v>14125</v>
      </c>
      <c r="C5528" t="s">
        <v>13888</v>
      </c>
      <c r="D5528" t="s">
        <v>13888</v>
      </c>
      <c r="E5528" t="s">
        <v>14126</v>
      </c>
    </row>
    <row r="5529" spans="1:5" x14ac:dyDescent="0.2">
      <c r="A5529" t="s">
        <v>14127</v>
      </c>
      <c r="B5529" t="s">
        <v>14128</v>
      </c>
      <c r="C5529" t="s">
        <v>13888</v>
      </c>
      <c r="D5529" t="s">
        <v>13888</v>
      </c>
      <c r="E5529" t="s">
        <v>14129</v>
      </c>
    </row>
    <row r="5530" spans="1:5" x14ac:dyDescent="0.2">
      <c r="A5530" t="s">
        <v>14130</v>
      </c>
      <c r="B5530" t="s">
        <v>14131</v>
      </c>
      <c r="C5530" t="s">
        <v>13888</v>
      </c>
      <c r="D5530" t="s">
        <v>13888</v>
      </c>
      <c r="E5530" t="s">
        <v>14132</v>
      </c>
    </row>
    <row r="5531" spans="1:5" x14ac:dyDescent="0.2">
      <c r="A5531" t="s">
        <v>14133</v>
      </c>
      <c r="B5531" t="s">
        <v>14134</v>
      </c>
      <c r="C5531" t="s">
        <v>13888</v>
      </c>
      <c r="D5531" t="s">
        <v>13888</v>
      </c>
      <c r="E5531" t="s">
        <v>14135</v>
      </c>
    </row>
    <row r="5532" spans="1:5" x14ac:dyDescent="0.2">
      <c r="A5532" t="s">
        <v>14136</v>
      </c>
      <c r="B5532" t="s">
        <v>14137</v>
      </c>
      <c r="C5532" t="s">
        <v>13888</v>
      </c>
      <c r="D5532" t="s">
        <v>13888</v>
      </c>
      <c r="E5532" t="s">
        <v>14138</v>
      </c>
    </row>
    <row r="5533" spans="1:5" x14ac:dyDescent="0.2">
      <c r="A5533" t="s">
        <v>14139</v>
      </c>
      <c r="B5533" t="s">
        <v>14140</v>
      </c>
      <c r="C5533" t="s">
        <v>13888</v>
      </c>
      <c r="D5533" t="s">
        <v>13888</v>
      </c>
      <c r="E5533" t="s">
        <v>13889</v>
      </c>
    </row>
    <row r="5534" spans="1:5" x14ac:dyDescent="0.2">
      <c r="A5534" t="s">
        <v>14141</v>
      </c>
      <c r="B5534" t="s">
        <v>14142</v>
      </c>
      <c r="C5534" t="s">
        <v>13888</v>
      </c>
      <c r="D5534" t="s">
        <v>13888</v>
      </c>
      <c r="E5534" t="s">
        <v>14143</v>
      </c>
    </row>
    <row r="5535" spans="1:5" x14ac:dyDescent="0.2">
      <c r="A5535" t="s">
        <v>14144</v>
      </c>
      <c r="B5535" t="s">
        <v>14145</v>
      </c>
      <c r="C5535" t="s">
        <v>13888</v>
      </c>
      <c r="D5535" t="s">
        <v>13888</v>
      </c>
      <c r="E5535" t="s">
        <v>14146</v>
      </c>
    </row>
    <row r="5536" spans="1:5" x14ac:dyDescent="0.2">
      <c r="A5536" t="s">
        <v>14147</v>
      </c>
      <c r="B5536" t="s">
        <v>14148</v>
      </c>
      <c r="C5536" t="s">
        <v>13888</v>
      </c>
      <c r="D5536" t="s">
        <v>13888</v>
      </c>
      <c r="E5536" t="s">
        <v>13895</v>
      </c>
    </row>
    <row r="5537" spans="1:5" x14ac:dyDescent="0.2">
      <c r="A5537" t="s">
        <v>14149</v>
      </c>
      <c r="B5537" t="s">
        <v>14150</v>
      </c>
      <c r="C5537" t="s">
        <v>13888</v>
      </c>
      <c r="D5537" t="s">
        <v>13888</v>
      </c>
      <c r="E5537" t="s">
        <v>13889</v>
      </c>
    </row>
    <row r="5538" spans="1:5" x14ac:dyDescent="0.2">
      <c r="A5538" t="s">
        <v>14151</v>
      </c>
      <c r="B5538" t="s">
        <v>14152</v>
      </c>
      <c r="C5538" t="s">
        <v>13888</v>
      </c>
      <c r="D5538" t="s">
        <v>13888</v>
      </c>
      <c r="E5538" t="s">
        <v>13889</v>
      </c>
    </row>
    <row r="5539" spans="1:5" x14ac:dyDescent="0.2">
      <c r="A5539" t="s">
        <v>14153</v>
      </c>
      <c r="B5539" t="s">
        <v>14154</v>
      </c>
      <c r="C5539" t="s">
        <v>13888</v>
      </c>
      <c r="D5539" t="s">
        <v>13888</v>
      </c>
      <c r="E5539" t="s">
        <v>13916</v>
      </c>
    </row>
    <row r="5540" spans="1:5" x14ac:dyDescent="0.2">
      <c r="A5540" t="s">
        <v>14155</v>
      </c>
      <c r="B5540" t="s">
        <v>14156</v>
      </c>
      <c r="C5540" t="s">
        <v>13888</v>
      </c>
      <c r="D5540" t="s">
        <v>13888</v>
      </c>
      <c r="E5540" t="s">
        <v>13895</v>
      </c>
    </row>
    <row r="5541" spans="1:5" x14ac:dyDescent="0.2">
      <c r="A5541" t="s">
        <v>14157</v>
      </c>
      <c r="B5541" t="s">
        <v>14158</v>
      </c>
      <c r="C5541" t="s">
        <v>13888</v>
      </c>
      <c r="D5541" t="s">
        <v>13888</v>
      </c>
      <c r="E5541" t="s">
        <v>13895</v>
      </c>
    </row>
    <row r="5542" spans="1:5" x14ac:dyDescent="0.2">
      <c r="A5542" t="s">
        <v>14159</v>
      </c>
      <c r="B5542" t="s">
        <v>14160</v>
      </c>
      <c r="C5542" t="s">
        <v>14161</v>
      </c>
      <c r="D5542" t="s">
        <v>14161</v>
      </c>
      <c r="E5542" t="s">
        <v>14162</v>
      </c>
    </row>
    <row r="5543" spans="1:5" x14ac:dyDescent="0.2">
      <c r="A5543" t="s">
        <v>14163</v>
      </c>
      <c r="B5543" t="s">
        <v>14164</v>
      </c>
      <c r="C5543" t="s">
        <v>14161</v>
      </c>
      <c r="D5543" t="s">
        <v>14161</v>
      </c>
      <c r="E5543" t="s">
        <v>14165</v>
      </c>
    </row>
    <row r="5544" spans="1:5" x14ac:dyDescent="0.2">
      <c r="A5544" t="s">
        <v>14166</v>
      </c>
      <c r="B5544" t="s">
        <v>14167</v>
      </c>
      <c r="C5544" t="s">
        <v>14161</v>
      </c>
      <c r="D5544" t="s">
        <v>14161</v>
      </c>
      <c r="E5544" t="s">
        <v>14168</v>
      </c>
    </row>
    <row r="5545" spans="1:5" x14ac:dyDescent="0.2">
      <c r="A5545" t="s">
        <v>14169</v>
      </c>
      <c r="B5545" t="s">
        <v>14170</v>
      </c>
      <c r="C5545" t="s">
        <v>14161</v>
      </c>
      <c r="D5545" t="s">
        <v>14161</v>
      </c>
      <c r="E5545" t="s">
        <v>14171</v>
      </c>
    </row>
    <row r="5546" spans="1:5" x14ac:dyDescent="0.2">
      <c r="A5546" t="s">
        <v>14172</v>
      </c>
      <c r="B5546" t="s">
        <v>14173</v>
      </c>
      <c r="C5546" t="s">
        <v>14161</v>
      </c>
      <c r="D5546" t="s">
        <v>14161</v>
      </c>
      <c r="E5546" t="s">
        <v>14174</v>
      </c>
    </row>
    <row r="5547" spans="1:5" x14ac:dyDescent="0.2">
      <c r="A5547" t="s">
        <v>14175</v>
      </c>
      <c r="B5547" t="s">
        <v>14176</v>
      </c>
      <c r="C5547" t="s">
        <v>14161</v>
      </c>
      <c r="D5547" t="s">
        <v>14161</v>
      </c>
      <c r="E5547" t="s">
        <v>14177</v>
      </c>
    </row>
    <row r="5548" spans="1:5" x14ac:dyDescent="0.2">
      <c r="A5548" t="s">
        <v>14178</v>
      </c>
      <c r="B5548" t="s">
        <v>14179</v>
      </c>
      <c r="C5548" t="s">
        <v>14161</v>
      </c>
      <c r="D5548" t="s">
        <v>14161</v>
      </c>
      <c r="E5548" t="s">
        <v>14180</v>
      </c>
    </row>
    <row r="5549" spans="1:5" x14ac:dyDescent="0.2">
      <c r="A5549" t="s">
        <v>14181</v>
      </c>
      <c r="B5549" t="s">
        <v>14182</v>
      </c>
      <c r="C5549" t="s">
        <v>14161</v>
      </c>
      <c r="D5549" t="s">
        <v>14161</v>
      </c>
      <c r="E5549" t="s">
        <v>14183</v>
      </c>
    </row>
    <row r="5550" spans="1:5" x14ac:dyDescent="0.2">
      <c r="A5550" t="s">
        <v>14184</v>
      </c>
      <c r="B5550" t="s">
        <v>14185</v>
      </c>
      <c r="C5550" t="s">
        <v>14161</v>
      </c>
      <c r="D5550" t="s">
        <v>14161</v>
      </c>
      <c r="E5550" t="s">
        <v>14177</v>
      </c>
    </row>
    <row r="5551" spans="1:5" x14ac:dyDescent="0.2">
      <c r="A5551" t="s">
        <v>14186</v>
      </c>
      <c r="B5551" t="s">
        <v>14187</v>
      </c>
      <c r="C5551" t="s">
        <v>14161</v>
      </c>
      <c r="D5551" t="s">
        <v>14161</v>
      </c>
      <c r="E5551" t="s">
        <v>14174</v>
      </c>
    </row>
    <row r="5552" spans="1:5" x14ac:dyDescent="0.2">
      <c r="A5552" t="s">
        <v>14188</v>
      </c>
      <c r="B5552" t="s">
        <v>14189</v>
      </c>
      <c r="C5552" t="s">
        <v>14161</v>
      </c>
      <c r="D5552" t="s">
        <v>14161</v>
      </c>
      <c r="E5552" t="s">
        <v>14177</v>
      </c>
    </row>
    <row r="5553" spans="1:5" x14ac:dyDescent="0.2">
      <c r="A5553" t="s">
        <v>14190</v>
      </c>
      <c r="B5553" t="s">
        <v>14191</v>
      </c>
      <c r="C5553" t="s">
        <v>14161</v>
      </c>
      <c r="D5553" t="s">
        <v>14161</v>
      </c>
      <c r="E5553" t="s">
        <v>14192</v>
      </c>
    </row>
    <row r="5554" spans="1:5" x14ac:dyDescent="0.2">
      <c r="A5554" t="s">
        <v>14193</v>
      </c>
      <c r="B5554" t="s">
        <v>14194</v>
      </c>
      <c r="C5554" t="s">
        <v>14161</v>
      </c>
      <c r="D5554" t="s">
        <v>14161</v>
      </c>
      <c r="E5554" t="s">
        <v>14195</v>
      </c>
    </row>
    <row r="5555" spans="1:5" x14ac:dyDescent="0.2">
      <c r="A5555" t="s">
        <v>14196</v>
      </c>
      <c r="B5555" t="s">
        <v>14197</v>
      </c>
      <c r="C5555" t="s">
        <v>14161</v>
      </c>
      <c r="D5555" t="s">
        <v>14161</v>
      </c>
      <c r="E5555" t="s">
        <v>14198</v>
      </c>
    </row>
    <row r="5556" spans="1:5" x14ac:dyDescent="0.2">
      <c r="A5556" t="s">
        <v>14199</v>
      </c>
      <c r="B5556" t="s">
        <v>14200</v>
      </c>
      <c r="C5556" t="s">
        <v>14161</v>
      </c>
      <c r="D5556" t="s">
        <v>14161</v>
      </c>
      <c r="E5556" t="s">
        <v>14201</v>
      </c>
    </row>
    <row r="5557" spans="1:5" x14ac:dyDescent="0.2">
      <c r="A5557" t="s">
        <v>14202</v>
      </c>
      <c r="B5557" t="s">
        <v>14203</v>
      </c>
      <c r="C5557" t="s">
        <v>14161</v>
      </c>
      <c r="D5557" t="s">
        <v>14161</v>
      </c>
      <c r="E5557" t="s">
        <v>14204</v>
      </c>
    </row>
    <row r="5558" spans="1:5" x14ac:dyDescent="0.2">
      <c r="A5558" t="s">
        <v>14205</v>
      </c>
      <c r="B5558" t="s">
        <v>14206</v>
      </c>
      <c r="C5558" t="s">
        <v>14161</v>
      </c>
      <c r="D5558" t="s">
        <v>14161</v>
      </c>
      <c r="E5558" t="s">
        <v>14165</v>
      </c>
    </row>
    <row r="5559" spans="1:5" x14ac:dyDescent="0.2">
      <c r="A5559" t="s">
        <v>14207</v>
      </c>
      <c r="B5559" t="s">
        <v>14208</v>
      </c>
      <c r="C5559" t="s">
        <v>14161</v>
      </c>
      <c r="D5559" t="s">
        <v>14161</v>
      </c>
      <c r="E5559" t="s">
        <v>14209</v>
      </c>
    </row>
    <row r="5560" spans="1:5" x14ac:dyDescent="0.2">
      <c r="A5560" t="s">
        <v>14210</v>
      </c>
      <c r="B5560" t="s">
        <v>14211</v>
      </c>
      <c r="C5560" t="s">
        <v>14161</v>
      </c>
      <c r="D5560" t="s">
        <v>14161</v>
      </c>
      <c r="E5560" t="s">
        <v>14165</v>
      </c>
    </row>
    <row r="5561" spans="1:5" x14ac:dyDescent="0.2">
      <c r="A5561" t="s">
        <v>14212</v>
      </c>
      <c r="B5561" t="s">
        <v>14213</v>
      </c>
      <c r="C5561" t="s">
        <v>14161</v>
      </c>
      <c r="D5561" t="s">
        <v>14161</v>
      </c>
      <c r="E5561" t="s">
        <v>14165</v>
      </c>
    </row>
    <row r="5562" spans="1:5" x14ac:dyDescent="0.2">
      <c r="A5562" t="s">
        <v>14214</v>
      </c>
      <c r="B5562" t="s">
        <v>14215</v>
      </c>
      <c r="C5562" t="s">
        <v>14161</v>
      </c>
      <c r="D5562" t="s">
        <v>14161</v>
      </c>
      <c r="E5562" t="s">
        <v>14216</v>
      </c>
    </row>
    <row r="5563" spans="1:5" x14ac:dyDescent="0.2">
      <c r="A5563" t="s">
        <v>14217</v>
      </c>
      <c r="B5563" t="s">
        <v>14218</v>
      </c>
      <c r="C5563" t="s">
        <v>14161</v>
      </c>
      <c r="D5563" t="s">
        <v>14161</v>
      </c>
      <c r="E5563" t="s">
        <v>14219</v>
      </c>
    </row>
    <row r="5564" spans="1:5" x14ac:dyDescent="0.2">
      <c r="A5564" t="s">
        <v>14220</v>
      </c>
      <c r="B5564" t="s">
        <v>14221</v>
      </c>
      <c r="C5564" t="s">
        <v>14161</v>
      </c>
      <c r="D5564" t="s">
        <v>14161</v>
      </c>
      <c r="E5564" t="s">
        <v>14222</v>
      </c>
    </row>
    <row r="5565" spans="1:5" x14ac:dyDescent="0.2">
      <c r="A5565" t="s">
        <v>14223</v>
      </c>
      <c r="B5565" t="s">
        <v>14224</v>
      </c>
      <c r="C5565" t="s">
        <v>14161</v>
      </c>
      <c r="D5565" t="s">
        <v>14161</v>
      </c>
      <c r="E5565" t="s">
        <v>14225</v>
      </c>
    </row>
    <row r="5566" spans="1:5" x14ac:dyDescent="0.2">
      <c r="A5566" t="s">
        <v>14226</v>
      </c>
      <c r="B5566" t="s">
        <v>14227</v>
      </c>
      <c r="C5566" t="s">
        <v>14161</v>
      </c>
      <c r="D5566" t="s">
        <v>14161</v>
      </c>
      <c r="E5566" t="s">
        <v>14228</v>
      </c>
    </row>
    <row r="5567" spans="1:5" x14ac:dyDescent="0.2">
      <c r="A5567" t="s">
        <v>14229</v>
      </c>
      <c r="B5567" t="s">
        <v>14230</v>
      </c>
      <c r="C5567" t="s">
        <v>14161</v>
      </c>
      <c r="D5567" t="s">
        <v>14161</v>
      </c>
      <c r="E5567" t="s">
        <v>14231</v>
      </c>
    </row>
    <row r="5568" spans="1:5" x14ac:dyDescent="0.2">
      <c r="A5568" t="s">
        <v>14232</v>
      </c>
      <c r="B5568" t="s">
        <v>14233</v>
      </c>
      <c r="C5568" t="s">
        <v>14161</v>
      </c>
      <c r="D5568" t="s">
        <v>14161</v>
      </c>
      <c r="E5568" t="s">
        <v>14174</v>
      </c>
    </row>
    <row r="5569" spans="1:5" x14ac:dyDescent="0.2">
      <c r="A5569" t="s">
        <v>14234</v>
      </c>
      <c r="B5569" t="s">
        <v>14235</v>
      </c>
      <c r="C5569" t="s">
        <v>14161</v>
      </c>
      <c r="D5569" t="s">
        <v>14161</v>
      </c>
      <c r="E5569" t="s">
        <v>14236</v>
      </c>
    </row>
    <row r="5570" spans="1:5" x14ac:dyDescent="0.2">
      <c r="A5570" t="s">
        <v>14237</v>
      </c>
      <c r="B5570" t="s">
        <v>14238</v>
      </c>
      <c r="C5570" t="s">
        <v>14161</v>
      </c>
      <c r="D5570" t="s">
        <v>14161</v>
      </c>
      <c r="E5570" t="s">
        <v>14177</v>
      </c>
    </row>
    <row r="5571" spans="1:5" x14ac:dyDescent="0.2">
      <c r="A5571" t="s">
        <v>14239</v>
      </c>
      <c r="B5571" t="s">
        <v>14240</v>
      </c>
      <c r="C5571" t="s">
        <v>14161</v>
      </c>
      <c r="D5571" t="s">
        <v>14161</v>
      </c>
      <c r="E5571" t="s">
        <v>14241</v>
      </c>
    </row>
    <row r="5572" spans="1:5" x14ac:dyDescent="0.2">
      <c r="A5572" t="s">
        <v>14242</v>
      </c>
      <c r="B5572" t="s">
        <v>14243</v>
      </c>
      <c r="C5572" t="s">
        <v>14161</v>
      </c>
      <c r="D5572" t="s">
        <v>14161</v>
      </c>
      <c r="E5572" t="s">
        <v>14244</v>
      </c>
    </row>
    <row r="5573" spans="1:5" x14ac:dyDescent="0.2">
      <c r="A5573" t="s">
        <v>14245</v>
      </c>
      <c r="B5573" t="s">
        <v>14246</v>
      </c>
      <c r="C5573" t="s">
        <v>14161</v>
      </c>
      <c r="D5573" t="s">
        <v>14161</v>
      </c>
      <c r="E5573" t="s">
        <v>14247</v>
      </c>
    </row>
    <row r="5574" spans="1:5" x14ac:dyDescent="0.2">
      <c r="A5574" t="s">
        <v>14248</v>
      </c>
      <c r="B5574" t="s">
        <v>14249</v>
      </c>
      <c r="C5574" t="s">
        <v>14161</v>
      </c>
      <c r="D5574" t="s">
        <v>14161</v>
      </c>
      <c r="E5574" t="s">
        <v>14250</v>
      </c>
    </row>
    <row r="5575" spans="1:5" x14ac:dyDescent="0.2">
      <c r="A5575" t="s">
        <v>14251</v>
      </c>
      <c r="B5575" t="s">
        <v>14252</v>
      </c>
      <c r="C5575" t="s">
        <v>14161</v>
      </c>
      <c r="D5575" t="s">
        <v>14161</v>
      </c>
      <c r="E5575" t="s">
        <v>14253</v>
      </c>
    </row>
    <row r="5576" spans="1:5" x14ac:dyDescent="0.2">
      <c r="A5576" t="s">
        <v>14254</v>
      </c>
      <c r="B5576" t="s">
        <v>14255</v>
      </c>
      <c r="C5576" t="s">
        <v>14161</v>
      </c>
      <c r="D5576" t="s">
        <v>14161</v>
      </c>
      <c r="E5576" t="s">
        <v>14256</v>
      </c>
    </row>
    <row r="5577" spans="1:5" x14ac:dyDescent="0.2">
      <c r="A5577" t="s">
        <v>14257</v>
      </c>
      <c r="B5577" t="s">
        <v>14258</v>
      </c>
      <c r="C5577" t="s">
        <v>14161</v>
      </c>
      <c r="D5577" t="s">
        <v>14161</v>
      </c>
      <c r="E5577" t="s">
        <v>14165</v>
      </c>
    </row>
    <row r="5578" spans="1:5" x14ac:dyDescent="0.2">
      <c r="A5578" t="s">
        <v>14259</v>
      </c>
      <c r="B5578" t="s">
        <v>14260</v>
      </c>
      <c r="C5578" t="s">
        <v>14161</v>
      </c>
      <c r="D5578" t="s">
        <v>14161</v>
      </c>
      <c r="E5578" t="s">
        <v>14261</v>
      </c>
    </row>
    <row r="5579" spans="1:5" x14ac:dyDescent="0.2">
      <c r="A5579" t="s">
        <v>14262</v>
      </c>
      <c r="B5579" t="s">
        <v>14263</v>
      </c>
      <c r="C5579" t="s">
        <v>14161</v>
      </c>
      <c r="D5579" t="s">
        <v>14161</v>
      </c>
      <c r="E5579" t="s">
        <v>14264</v>
      </c>
    </row>
    <row r="5580" spans="1:5" x14ac:dyDescent="0.2">
      <c r="A5580" t="s">
        <v>14265</v>
      </c>
      <c r="B5580" t="s">
        <v>14266</v>
      </c>
      <c r="C5580" t="s">
        <v>14161</v>
      </c>
      <c r="D5580" t="s">
        <v>14161</v>
      </c>
      <c r="E5580" t="s">
        <v>14267</v>
      </c>
    </row>
    <row r="5581" spans="1:5" x14ac:dyDescent="0.2">
      <c r="A5581" t="s">
        <v>14268</v>
      </c>
      <c r="B5581" t="s">
        <v>14269</v>
      </c>
      <c r="C5581" t="s">
        <v>14161</v>
      </c>
      <c r="D5581" t="s">
        <v>14161</v>
      </c>
      <c r="E5581" t="s">
        <v>14270</v>
      </c>
    </row>
    <row r="5582" spans="1:5" x14ac:dyDescent="0.2">
      <c r="A5582" t="s">
        <v>14271</v>
      </c>
      <c r="B5582" t="s">
        <v>14272</v>
      </c>
      <c r="C5582" t="s">
        <v>14161</v>
      </c>
      <c r="D5582" t="s">
        <v>14161</v>
      </c>
      <c r="E5582" t="s">
        <v>14273</v>
      </c>
    </row>
    <row r="5583" spans="1:5" x14ac:dyDescent="0.2">
      <c r="A5583" t="s">
        <v>14274</v>
      </c>
      <c r="B5583" t="s">
        <v>14275</v>
      </c>
      <c r="C5583" t="s">
        <v>14161</v>
      </c>
      <c r="D5583" t="s">
        <v>14161</v>
      </c>
      <c r="E5583" t="s">
        <v>14165</v>
      </c>
    </row>
    <row r="5584" spans="1:5" x14ac:dyDescent="0.2">
      <c r="A5584" t="s">
        <v>14276</v>
      </c>
      <c r="B5584" t="s">
        <v>14277</v>
      </c>
      <c r="C5584" t="s">
        <v>14161</v>
      </c>
      <c r="D5584" t="s">
        <v>14161</v>
      </c>
      <c r="E5584" t="s">
        <v>14165</v>
      </c>
    </row>
    <row r="5585" spans="1:5" x14ac:dyDescent="0.2">
      <c r="A5585" t="s">
        <v>14278</v>
      </c>
      <c r="B5585" t="s">
        <v>14279</v>
      </c>
      <c r="C5585" t="s">
        <v>14161</v>
      </c>
      <c r="D5585" t="s">
        <v>14161</v>
      </c>
      <c r="E5585" t="s">
        <v>14280</v>
      </c>
    </row>
    <row r="5586" spans="1:5" x14ac:dyDescent="0.2">
      <c r="A5586" t="s">
        <v>14281</v>
      </c>
      <c r="B5586" t="s">
        <v>14282</v>
      </c>
      <c r="C5586" t="s">
        <v>14161</v>
      </c>
      <c r="D5586" t="s">
        <v>14161</v>
      </c>
      <c r="E5586" t="s">
        <v>14283</v>
      </c>
    </row>
    <row r="5587" spans="1:5" x14ac:dyDescent="0.2">
      <c r="A5587" t="s">
        <v>14284</v>
      </c>
      <c r="B5587" t="s">
        <v>14285</v>
      </c>
      <c r="C5587" t="s">
        <v>14161</v>
      </c>
      <c r="D5587" t="s">
        <v>14161</v>
      </c>
      <c r="E5587" t="s">
        <v>14165</v>
      </c>
    </row>
    <row r="5588" spans="1:5" x14ac:dyDescent="0.2">
      <c r="A5588" t="s">
        <v>14286</v>
      </c>
      <c r="B5588" t="s">
        <v>14287</v>
      </c>
      <c r="C5588" t="s">
        <v>14161</v>
      </c>
      <c r="D5588" t="s">
        <v>14161</v>
      </c>
      <c r="E5588" t="s">
        <v>14288</v>
      </c>
    </row>
    <row r="5589" spans="1:5" x14ac:dyDescent="0.2">
      <c r="A5589" t="s">
        <v>14289</v>
      </c>
      <c r="B5589" t="s">
        <v>14290</v>
      </c>
      <c r="C5589" t="s">
        <v>14291</v>
      </c>
      <c r="D5589" t="s">
        <v>14291</v>
      </c>
      <c r="E5589" t="s">
        <v>14292</v>
      </c>
    </row>
    <row r="5590" spans="1:5" x14ac:dyDescent="0.2">
      <c r="A5590" t="s">
        <v>14293</v>
      </c>
      <c r="B5590" t="s">
        <v>14294</v>
      </c>
      <c r="C5590" t="s">
        <v>14291</v>
      </c>
      <c r="D5590" t="s">
        <v>14291</v>
      </c>
      <c r="E5590" t="s">
        <v>14292</v>
      </c>
    </row>
    <row r="5591" spans="1:5" x14ac:dyDescent="0.2">
      <c r="A5591" t="s">
        <v>14295</v>
      </c>
      <c r="B5591" t="s">
        <v>14296</v>
      </c>
      <c r="C5591" t="s">
        <v>14291</v>
      </c>
      <c r="D5591" t="s">
        <v>14291</v>
      </c>
      <c r="E5591" t="s">
        <v>14292</v>
      </c>
    </row>
    <row r="5592" spans="1:5" x14ac:dyDescent="0.2">
      <c r="A5592" t="s">
        <v>14297</v>
      </c>
      <c r="B5592" t="s">
        <v>14298</v>
      </c>
      <c r="C5592" t="s">
        <v>14291</v>
      </c>
      <c r="D5592" t="s">
        <v>14291</v>
      </c>
      <c r="E5592" t="s">
        <v>14299</v>
      </c>
    </row>
    <row r="5593" spans="1:5" x14ac:dyDescent="0.2">
      <c r="A5593" t="s">
        <v>14300</v>
      </c>
      <c r="B5593" t="s">
        <v>14301</v>
      </c>
      <c r="C5593" t="s">
        <v>14291</v>
      </c>
      <c r="D5593" t="s">
        <v>14291</v>
      </c>
      <c r="E5593" t="s">
        <v>14302</v>
      </c>
    </row>
    <row r="5594" spans="1:5" x14ac:dyDescent="0.2">
      <c r="A5594" t="s">
        <v>14303</v>
      </c>
      <c r="B5594" t="s">
        <v>14304</v>
      </c>
      <c r="C5594" t="s">
        <v>14291</v>
      </c>
      <c r="D5594" t="s">
        <v>14291</v>
      </c>
      <c r="E5594" t="s">
        <v>14299</v>
      </c>
    </row>
    <row r="5595" spans="1:5" x14ac:dyDescent="0.2">
      <c r="A5595" t="s">
        <v>14305</v>
      </c>
      <c r="B5595" t="s">
        <v>14306</v>
      </c>
      <c r="C5595" t="s">
        <v>14291</v>
      </c>
      <c r="D5595" t="s">
        <v>14291</v>
      </c>
      <c r="E5595" t="s">
        <v>14307</v>
      </c>
    </row>
    <row r="5596" spans="1:5" x14ac:dyDescent="0.2">
      <c r="A5596" t="s">
        <v>14308</v>
      </c>
      <c r="B5596" t="s">
        <v>14309</v>
      </c>
      <c r="C5596" t="s">
        <v>14291</v>
      </c>
      <c r="D5596" t="s">
        <v>14291</v>
      </c>
      <c r="E5596" t="s">
        <v>14299</v>
      </c>
    </row>
    <row r="5597" spans="1:5" x14ac:dyDescent="0.2">
      <c r="A5597" t="s">
        <v>14310</v>
      </c>
      <c r="B5597" t="s">
        <v>14311</v>
      </c>
      <c r="C5597" t="s">
        <v>14291</v>
      </c>
      <c r="D5597" t="s">
        <v>14291</v>
      </c>
      <c r="E5597" t="s">
        <v>14292</v>
      </c>
    </row>
    <row r="5598" spans="1:5" x14ac:dyDescent="0.2">
      <c r="A5598" t="s">
        <v>14312</v>
      </c>
      <c r="B5598" t="s">
        <v>14313</v>
      </c>
      <c r="C5598" t="s">
        <v>14291</v>
      </c>
      <c r="D5598" t="s">
        <v>14291</v>
      </c>
      <c r="E5598" t="s">
        <v>14314</v>
      </c>
    </row>
    <row r="5599" spans="1:5" x14ac:dyDescent="0.2">
      <c r="A5599" t="s">
        <v>14315</v>
      </c>
      <c r="B5599" t="s">
        <v>14316</v>
      </c>
      <c r="C5599" t="s">
        <v>14291</v>
      </c>
      <c r="D5599" t="s">
        <v>14291</v>
      </c>
      <c r="E5599" t="s">
        <v>14317</v>
      </c>
    </row>
    <row r="5600" spans="1:5" x14ac:dyDescent="0.2">
      <c r="A5600" t="s">
        <v>14318</v>
      </c>
      <c r="B5600" t="s">
        <v>14319</v>
      </c>
      <c r="C5600" t="s">
        <v>14291</v>
      </c>
      <c r="D5600" t="s">
        <v>14291</v>
      </c>
      <c r="E5600" t="s">
        <v>14320</v>
      </c>
    </row>
    <row r="5601" spans="1:5" x14ac:dyDescent="0.2">
      <c r="A5601" t="s">
        <v>14321</v>
      </c>
      <c r="B5601" t="s">
        <v>14322</v>
      </c>
      <c r="C5601" t="s">
        <v>14291</v>
      </c>
      <c r="D5601" t="s">
        <v>14291</v>
      </c>
      <c r="E5601" t="s">
        <v>14299</v>
      </c>
    </row>
    <row r="5602" spans="1:5" x14ac:dyDescent="0.2">
      <c r="A5602" t="s">
        <v>14323</v>
      </c>
      <c r="B5602" t="s">
        <v>14324</v>
      </c>
      <c r="C5602" t="s">
        <v>14291</v>
      </c>
      <c r="D5602" t="s">
        <v>14291</v>
      </c>
      <c r="E5602" t="s">
        <v>14299</v>
      </c>
    </row>
    <row r="5603" spans="1:5" x14ac:dyDescent="0.2">
      <c r="A5603" t="s">
        <v>14325</v>
      </c>
      <c r="B5603" t="s">
        <v>14326</v>
      </c>
      <c r="C5603" t="s">
        <v>14291</v>
      </c>
      <c r="D5603" t="s">
        <v>14291</v>
      </c>
      <c r="E5603" t="s">
        <v>14299</v>
      </c>
    </row>
    <row r="5604" spans="1:5" x14ac:dyDescent="0.2">
      <c r="A5604" t="s">
        <v>14327</v>
      </c>
      <c r="B5604" t="s">
        <v>14328</v>
      </c>
      <c r="C5604" t="s">
        <v>14291</v>
      </c>
      <c r="D5604" t="s">
        <v>14291</v>
      </c>
      <c r="E5604" t="s">
        <v>14292</v>
      </c>
    </row>
    <row r="5605" spans="1:5" x14ac:dyDescent="0.2">
      <c r="A5605" t="s">
        <v>14329</v>
      </c>
      <c r="B5605" t="s">
        <v>14330</v>
      </c>
      <c r="C5605" t="s">
        <v>14291</v>
      </c>
      <c r="D5605" t="s">
        <v>14291</v>
      </c>
      <c r="E5605" t="s">
        <v>14292</v>
      </c>
    </row>
    <row r="5606" spans="1:5" x14ac:dyDescent="0.2">
      <c r="A5606" t="s">
        <v>14331</v>
      </c>
      <c r="B5606" t="s">
        <v>14332</v>
      </c>
      <c r="C5606" t="s">
        <v>14291</v>
      </c>
      <c r="D5606" t="s">
        <v>14291</v>
      </c>
      <c r="E5606" t="s">
        <v>14299</v>
      </c>
    </row>
    <row r="5607" spans="1:5" x14ac:dyDescent="0.2">
      <c r="A5607" t="s">
        <v>14333</v>
      </c>
      <c r="B5607" t="s">
        <v>14334</v>
      </c>
      <c r="C5607" t="s">
        <v>14291</v>
      </c>
      <c r="D5607" t="s">
        <v>14291</v>
      </c>
      <c r="E5607" t="s">
        <v>14299</v>
      </c>
    </row>
    <row r="5608" spans="1:5" x14ac:dyDescent="0.2">
      <c r="A5608" t="s">
        <v>14335</v>
      </c>
      <c r="B5608" t="s">
        <v>14336</v>
      </c>
      <c r="C5608" t="s">
        <v>14291</v>
      </c>
      <c r="D5608" t="s">
        <v>14291</v>
      </c>
      <c r="E5608" t="s">
        <v>14292</v>
      </c>
    </row>
    <row r="5609" spans="1:5" x14ac:dyDescent="0.2">
      <c r="A5609" t="s">
        <v>14337</v>
      </c>
      <c r="B5609" t="s">
        <v>14338</v>
      </c>
      <c r="C5609" t="s">
        <v>14291</v>
      </c>
      <c r="D5609" t="s">
        <v>14291</v>
      </c>
      <c r="E5609" t="s">
        <v>14339</v>
      </c>
    </row>
    <row r="5610" spans="1:5" x14ac:dyDescent="0.2">
      <c r="A5610" t="s">
        <v>14340</v>
      </c>
      <c r="B5610" t="s">
        <v>14341</v>
      </c>
      <c r="C5610" t="s">
        <v>14291</v>
      </c>
      <c r="D5610" t="s">
        <v>14291</v>
      </c>
      <c r="E5610" t="s">
        <v>14342</v>
      </c>
    </row>
    <row r="5611" spans="1:5" x14ac:dyDescent="0.2">
      <c r="A5611" t="s">
        <v>14343</v>
      </c>
      <c r="B5611" t="s">
        <v>14344</v>
      </c>
      <c r="C5611" t="s">
        <v>14291</v>
      </c>
      <c r="D5611" t="s">
        <v>14291</v>
      </c>
      <c r="E5611" t="s">
        <v>14299</v>
      </c>
    </row>
    <row r="5612" spans="1:5" x14ac:dyDescent="0.2">
      <c r="A5612" t="s">
        <v>14345</v>
      </c>
      <c r="B5612" t="s">
        <v>14346</v>
      </c>
      <c r="C5612" t="s">
        <v>14291</v>
      </c>
      <c r="D5612" t="s">
        <v>14291</v>
      </c>
      <c r="E5612" t="s">
        <v>14347</v>
      </c>
    </row>
    <row r="5613" spans="1:5" x14ac:dyDescent="0.2">
      <c r="A5613" t="s">
        <v>14348</v>
      </c>
      <c r="B5613" t="s">
        <v>14349</v>
      </c>
      <c r="C5613" t="s">
        <v>14291</v>
      </c>
      <c r="D5613" t="s">
        <v>14291</v>
      </c>
      <c r="E5613" t="s">
        <v>14299</v>
      </c>
    </row>
    <row r="5614" spans="1:5" x14ac:dyDescent="0.2">
      <c r="A5614" t="s">
        <v>14350</v>
      </c>
      <c r="B5614" t="s">
        <v>14351</v>
      </c>
      <c r="C5614" t="s">
        <v>14291</v>
      </c>
      <c r="D5614" t="s">
        <v>14291</v>
      </c>
      <c r="E5614" t="s">
        <v>14299</v>
      </c>
    </row>
    <row r="5615" spans="1:5" x14ac:dyDescent="0.2">
      <c r="A5615" t="s">
        <v>14352</v>
      </c>
      <c r="B5615" t="s">
        <v>14353</v>
      </c>
      <c r="C5615" t="s">
        <v>14291</v>
      </c>
      <c r="D5615" t="s">
        <v>14291</v>
      </c>
      <c r="E5615" t="s">
        <v>14354</v>
      </c>
    </row>
    <row r="5616" spans="1:5" x14ac:dyDescent="0.2">
      <c r="A5616" t="s">
        <v>14355</v>
      </c>
      <c r="B5616" t="s">
        <v>14356</v>
      </c>
      <c r="C5616" t="s">
        <v>14291</v>
      </c>
      <c r="D5616" t="s">
        <v>14291</v>
      </c>
      <c r="E5616" t="s">
        <v>14357</v>
      </c>
    </row>
    <row r="5617" spans="1:5" x14ac:dyDescent="0.2">
      <c r="A5617" t="s">
        <v>14358</v>
      </c>
      <c r="B5617" t="s">
        <v>14359</v>
      </c>
      <c r="C5617" t="s">
        <v>14291</v>
      </c>
      <c r="D5617" t="s">
        <v>14291</v>
      </c>
      <c r="E5617" t="s">
        <v>14292</v>
      </c>
    </row>
    <row r="5618" spans="1:5" x14ac:dyDescent="0.2">
      <c r="A5618" t="s">
        <v>14360</v>
      </c>
      <c r="B5618" t="s">
        <v>14361</v>
      </c>
      <c r="C5618" t="s">
        <v>14291</v>
      </c>
      <c r="D5618" t="s">
        <v>14291</v>
      </c>
      <c r="E5618" t="s">
        <v>14362</v>
      </c>
    </row>
    <row r="5619" spans="1:5" x14ac:dyDescent="0.2">
      <c r="A5619" t="s">
        <v>14363</v>
      </c>
      <c r="B5619" t="s">
        <v>14364</v>
      </c>
      <c r="C5619" t="s">
        <v>14291</v>
      </c>
      <c r="D5619" t="s">
        <v>14291</v>
      </c>
      <c r="E5619" t="s">
        <v>14299</v>
      </c>
    </row>
    <row r="5620" spans="1:5" x14ac:dyDescent="0.2">
      <c r="A5620" t="s">
        <v>14365</v>
      </c>
      <c r="B5620" t="s">
        <v>14366</v>
      </c>
      <c r="C5620" t="s">
        <v>14291</v>
      </c>
      <c r="D5620" t="s">
        <v>14291</v>
      </c>
      <c r="E5620" t="s">
        <v>14292</v>
      </c>
    </row>
    <row r="5621" spans="1:5" x14ac:dyDescent="0.2">
      <c r="A5621" t="s">
        <v>14367</v>
      </c>
      <c r="B5621" t="s">
        <v>14368</v>
      </c>
      <c r="C5621" t="s">
        <v>14291</v>
      </c>
      <c r="D5621" t="s">
        <v>14291</v>
      </c>
      <c r="E5621" t="s">
        <v>14369</v>
      </c>
    </row>
    <row r="5622" spans="1:5" x14ac:dyDescent="0.2">
      <c r="A5622" t="s">
        <v>14370</v>
      </c>
      <c r="B5622" t="s">
        <v>14371</v>
      </c>
      <c r="C5622" t="s">
        <v>14291</v>
      </c>
      <c r="D5622" t="s">
        <v>14291</v>
      </c>
      <c r="E5622" t="s">
        <v>14292</v>
      </c>
    </row>
    <row r="5623" spans="1:5" x14ac:dyDescent="0.2">
      <c r="A5623" t="s">
        <v>14372</v>
      </c>
      <c r="B5623" t="s">
        <v>14373</v>
      </c>
      <c r="C5623" t="s">
        <v>14291</v>
      </c>
      <c r="D5623" t="s">
        <v>14291</v>
      </c>
      <c r="E5623" t="s">
        <v>14292</v>
      </c>
    </row>
    <row r="5624" spans="1:5" x14ac:dyDescent="0.2">
      <c r="A5624" t="s">
        <v>14374</v>
      </c>
      <c r="B5624" t="s">
        <v>14375</v>
      </c>
      <c r="C5624" t="s">
        <v>14291</v>
      </c>
      <c r="D5624" t="s">
        <v>14291</v>
      </c>
      <c r="E5624" t="s">
        <v>14292</v>
      </c>
    </row>
    <row r="5625" spans="1:5" x14ac:dyDescent="0.2">
      <c r="A5625" t="s">
        <v>14376</v>
      </c>
      <c r="B5625" t="s">
        <v>14377</v>
      </c>
      <c r="C5625" t="s">
        <v>14291</v>
      </c>
      <c r="D5625" t="s">
        <v>14291</v>
      </c>
      <c r="E5625" t="s">
        <v>14292</v>
      </c>
    </row>
    <row r="5626" spans="1:5" x14ac:dyDescent="0.2">
      <c r="A5626" t="s">
        <v>14378</v>
      </c>
      <c r="B5626" t="s">
        <v>14379</v>
      </c>
      <c r="C5626" t="s">
        <v>14291</v>
      </c>
      <c r="D5626" t="s">
        <v>14291</v>
      </c>
      <c r="E5626" t="s">
        <v>14292</v>
      </c>
    </row>
    <row r="5627" spans="1:5" x14ac:dyDescent="0.2">
      <c r="A5627" t="s">
        <v>14380</v>
      </c>
      <c r="B5627" t="s">
        <v>14381</v>
      </c>
      <c r="C5627" t="s">
        <v>14291</v>
      </c>
      <c r="D5627" t="s">
        <v>14291</v>
      </c>
      <c r="E5627" t="s">
        <v>14382</v>
      </c>
    </row>
    <row r="5628" spans="1:5" x14ac:dyDescent="0.2">
      <c r="A5628" t="s">
        <v>14383</v>
      </c>
      <c r="B5628" t="s">
        <v>14384</v>
      </c>
      <c r="C5628" t="s">
        <v>14291</v>
      </c>
      <c r="D5628" t="s">
        <v>14291</v>
      </c>
      <c r="E5628" t="s">
        <v>14385</v>
      </c>
    </row>
    <row r="5629" spans="1:5" x14ac:dyDescent="0.2">
      <c r="A5629" t="s">
        <v>14386</v>
      </c>
      <c r="B5629" t="s">
        <v>14387</v>
      </c>
      <c r="C5629" t="s">
        <v>14291</v>
      </c>
      <c r="D5629" t="s">
        <v>14291</v>
      </c>
      <c r="E5629" t="s">
        <v>14299</v>
      </c>
    </row>
    <row r="5630" spans="1:5" x14ac:dyDescent="0.2">
      <c r="A5630" t="s">
        <v>14388</v>
      </c>
      <c r="B5630" t="s">
        <v>14389</v>
      </c>
      <c r="C5630" t="s">
        <v>14291</v>
      </c>
      <c r="D5630" t="s">
        <v>14291</v>
      </c>
      <c r="E5630" t="s">
        <v>14390</v>
      </c>
    </row>
    <row r="5631" spans="1:5" x14ac:dyDescent="0.2">
      <c r="A5631" t="s">
        <v>14391</v>
      </c>
      <c r="B5631" t="s">
        <v>14392</v>
      </c>
      <c r="C5631" t="s">
        <v>14291</v>
      </c>
      <c r="D5631" t="s">
        <v>14291</v>
      </c>
      <c r="E5631" t="s">
        <v>14393</v>
      </c>
    </row>
    <row r="5632" spans="1:5" x14ac:dyDescent="0.2">
      <c r="A5632" t="s">
        <v>14394</v>
      </c>
      <c r="B5632" t="s">
        <v>14395</v>
      </c>
      <c r="C5632" t="s">
        <v>14291</v>
      </c>
      <c r="D5632" t="s">
        <v>14291</v>
      </c>
      <c r="E5632" t="s">
        <v>14292</v>
      </c>
    </row>
    <row r="5633" spans="1:5" x14ac:dyDescent="0.2">
      <c r="A5633" t="s">
        <v>14396</v>
      </c>
      <c r="B5633" t="s">
        <v>14397</v>
      </c>
      <c r="C5633" t="s">
        <v>14291</v>
      </c>
      <c r="D5633" t="s">
        <v>14291</v>
      </c>
      <c r="E5633" t="s">
        <v>14299</v>
      </c>
    </row>
    <row r="5634" spans="1:5" x14ac:dyDescent="0.2">
      <c r="A5634" t="s">
        <v>14398</v>
      </c>
      <c r="B5634" t="s">
        <v>14399</v>
      </c>
      <c r="C5634" t="s">
        <v>14291</v>
      </c>
      <c r="D5634" t="s">
        <v>14291</v>
      </c>
      <c r="E5634" t="s">
        <v>14299</v>
      </c>
    </row>
    <row r="5635" spans="1:5" x14ac:dyDescent="0.2">
      <c r="A5635" t="s">
        <v>14400</v>
      </c>
      <c r="B5635" t="s">
        <v>14401</v>
      </c>
      <c r="C5635" t="s">
        <v>14402</v>
      </c>
      <c r="D5635" t="s">
        <v>14402</v>
      </c>
      <c r="E5635" t="s">
        <v>14403</v>
      </c>
    </row>
    <row r="5636" spans="1:5" x14ac:dyDescent="0.2">
      <c r="A5636" t="s">
        <v>14404</v>
      </c>
      <c r="B5636" t="s">
        <v>14405</v>
      </c>
      <c r="C5636" t="s">
        <v>14402</v>
      </c>
      <c r="D5636" t="s">
        <v>14402</v>
      </c>
      <c r="E5636" t="s">
        <v>14406</v>
      </c>
    </row>
    <row r="5637" spans="1:5" x14ac:dyDescent="0.2">
      <c r="A5637" t="s">
        <v>14407</v>
      </c>
      <c r="B5637" t="s">
        <v>14408</v>
      </c>
      <c r="C5637" t="s">
        <v>14402</v>
      </c>
      <c r="D5637" t="s">
        <v>14402</v>
      </c>
      <c r="E5637" t="s">
        <v>14409</v>
      </c>
    </row>
    <row r="5638" spans="1:5" x14ac:dyDescent="0.2">
      <c r="A5638" t="s">
        <v>14410</v>
      </c>
      <c r="B5638" t="s">
        <v>14411</v>
      </c>
      <c r="C5638" t="s">
        <v>14402</v>
      </c>
      <c r="D5638" t="s">
        <v>14402</v>
      </c>
      <c r="E5638" t="s">
        <v>14412</v>
      </c>
    </row>
    <row r="5639" spans="1:5" x14ac:dyDescent="0.2">
      <c r="A5639" t="s">
        <v>14413</v>
      </c>
      <c r="B5639" t="s">
        <v>14414</v>
      </c>
      <c r="C5639" t="s">
        <v>14402</v>
      </c>
      <c r="D5639" t="s">
        <v>14402</v>
      </c>
      <c r="E5639" t="s">
        <v>14415</v>
      </c>
    </row>
    <row r="5640" spans="1:5" x14ac:dyDescent="0.2">
      <c r="A5640" t="s">
        <v>14416</v>
      </c>
      <c r="B5640" t="s">
        <v>14417</v>
      </c>
      <c r="C5640" t="s">
        <v>14402</v>
      </c>
      <c r="D5640" t="s">
        <v>14402</v>
      </c>
      <c r="E5640" t="s">
        <v>14418</v>
      </c>
    </row>
    <row r="5641" spans="1:5" x14ac:dyDescent="0.2">
      <c r="A5641" t="s">
        <v>14419</v>
      </c>
      <c r="B5641" t="s">
        <v>14420</v>
      </c>
      <c r="C5641" t="s">
        <v>14402</v>
      </c>
      <c r="D5641" t="s">
        <v>14402</v>
      </c>
      <c r="E5641" t="s">
        <v>14403</v>
      </c>
    </row>
    <row r="5642" spans="1:5" x14ac:dyDescent="0.2">
      <c r="A5642" t="s">
        <v>14421</v>
      </c>
      <c r="B5642" t="s">
        <v>14422</v>
      </c>
      <c r="C5642" t="s">
        <v>14402</v>
      </c>
      <c r="D5642" t="s">
        <v>14402</v>
      </c>
      <c r="E5642" t="s">
        <v>14423</v>
      </c>
    </row>
    <row r="5643" spans="1:5" x14ac:dyDescent="0.2">
      <c r="A5643" t="s">
        <v>14424</v>
      </c>
      <c r="B5643" t="s">
        <v>14425</v>
      </c>
      <c r="C5643" t="s">
        <v>14402</v>
      </c>
      <c r="D5643" t="s">
        <v>14402</v>
      </c>
      <c r="E5643" t="s">
        <v>14403</v>
      </c>
    </row>
    <row r="5644" spans="1:5" x14ac:dyDescent="0.2">
      <c r="A5644" t="s">
        <v>14426</v>
      </c>
      <c r="B5644" t="s">
        <v>14427</v>
      </c>
      <c r="C5644" t="s">
        <v>14402</v>
      </c>
      <c r="D5644" t="s">
        <v>14402</v>
      </c>
      <c r="E5644" t="s">
        <v>14409</v>
      </c>
    </row>
    <row r="5645" spans="1:5" x14ac:dyDescent="0.2">
      <c r="A5645" t="s">
        <v>14428</v>
      </c>
      <c r="B5645" t="s">
        <v>14429</v>
      </c>
      <c r="C5645" t="s">
        <v>14402</v>
      </c>
      <c r="D5645" t="s">
        <v>14402</v>
      </c>
      <c r="E5645" t="s">
        <v>14412</v>
      </c>
    </row>
    <row r="5646" spans="1:5" x14ac:dyDescent="0.2">
      <c r="A5646" t="s">
        <v>14430</v>
      </c>
      <c r="B5646" t="s">
        <v>14431</v>
      </c>
      <c r="C5646" t="s">
        <v>14402</v>
      </c>
      <c r="D5646" t="s">
        <v>14402</v>
      </c>
      <c r="E5646" t="s">
        <v>14432</v>
      </c>
    </row>
    <row r="5647" spans="1:5" x14ac:dyDescent="0.2">
      <c r="A5647" t="s">
        <v>14433</v>
      </c>
      <c r="B5647" t="s">
        <v>14434</v>
      </c>
      <c r="C5647" t="s">
        <v>14402</v>
      </c>
      <c r="D5647" t="s">
        <v>14402</v>
      </c>
      <c r="E5647" t="s">
        <v>14409</v>
      </c>
    </row>
    <row r="5648" spans="1:5" x14ac:dyDescent="0.2">
      <c r="A5648" t="s">
        <v>14435</v>
      </c>
      <c r="B5648" t="s">
        <v>14436</v>
      </c>
      <c r="C5648" t="s">
        <v>14402</v>
      </c>
      <c r="D5648" t="s">
        <v>14402</v>
      </c>
      <c r="E5648" t="s">
        <v>14437</v>
      </c>
    </row>
    <row r="5649" spans="1:5" x14ac:dyDescent="0.2">
      <c r="A5649" t="s">
        <v>14438</v>
      </c>
      <c r="B5649" t="s">
        <v>14439</v>
      </c>
      <c r="C5649" t="s">
        <v>14402</v>
      </c>
      <c r="D5649" t="s">
        <v>14402</v>
      </c>
      <c r="E5649" t="s">
        <v>14440</v>
      </c>
    </row>
    <row r="5650" spans="1:5" x14ac:dyDescent="0.2">
      <c r="A5650" t="s">
        <v>14441</v>
      </c>
      <c r="B5650" t="s">
        <v>14442</v>
      </c>
      <c r="C5650" t="s">
        <v>14402</v>
      </c>
      <c r="D5650" t="s">
        <v>14402</v>
      </c>
      <c r="E5650" t="s">
        <v>14443</v>
      </c>
    </row>
    <row r="5651" spans="1:5" x14ac:dyDescent="0.2">
      <c r="A5651" t="s">
        <v>14444</v>
      </c>
      <c r="B5651" t="s">
        <v>14445</v>
      </c>
      <c r="C5651" t="s">
        <v>14402</v>
      </c>
      <c r="D5651" t="s">
        <v>14402</v>
      </c>
      <c r="E5651" t="s">
        <v>14446</v>
      </c>
    </row>
    <row r="5652" spans="1:5" x14ac:dyDescent="0.2">
      <c r="A5652" t="s">
        <v>14447</v>
      </c>
      <c r="B5652" t="s">
        <v>14448</v>
      </c>
      <c r="C5652" t="s">
        <v>14402</v>
      </c>
      <c r="D5652" t="s">
        <v>14402</v>
      </c>
      <c r="E5652" t="s">
        <v>14449</v>
      </c>
    </row>
    <row r="5653" spans="1:5" x14ac:dyDescent="0.2">
      <c r="A5653" t="s">
        <v>14450</v>
      </c>
      <c r="B5653" t="s">
        <v>14451</v>
      </c>
      <c r="C5653" t="s">
        <v>14402</v>
      </c>
      <c r="D5653" t="s">
        <v>14402</v>
      </c>
      <c r="E5653" t="s">
        <v>14403</v>
      </c>
    </row>
    <row r="5654" spans="1:5" x14ac:dyDescent="0.2">
      <c r="A5654" t="s">
        <v>14452</v>
      </c>
      <c r="B5654" t="s">
        <v>14453</v>
      </c>
      <c r="C5654" t="s">
        <v>14402</v>
      </c>
      <c r="D5654" t="s">
        <v>14402</v>
      </c>
      <c r="E5654" t="s">
        <v>14454</v>
      </c>
    </row>
    <row r="5655" spans="1:5" x14ac:dyDescent="0.2">
      <c r="A5655" t="s">
        <v>14455</v>
      </c>
      <c r="B5655" t="s">
        <v>14456</v>
      </c>
      <c r="C5655" t="s">
        <v>14402</v>
      </c>
      <c r="D5655" t="s">
        <v>14402</v>
      </c>
      <c r="E5655" t="s">
        <v>14432</v>
      </c>
    </row>
    <row r="5656" spans="1:5" x14ac:dyDescent="0.2">
      <c r="A5656" t="s">
        <v>14457</v>
      </c>
      <c r="B5656" t="s">
        <v>14458</v>
      </c>
      <c r="C5656" t="s">
        <v>14402</v>
      </c>
      <c r="D5656" t="s">
        <v>14402</v>
      </c>
      <c r="E5656" t="s">
        <v>14459</v>
      </c>
    </row>
    <row r="5657" spans="1:5" x14ac:dyDescent="0.2">
      <c r="A5657" t="s">
        <v>14460</v>
      </c>
      <c r="B5657" t="s">
        <v>14461</v>
      </c>
      <c r="C5657" t="s">
        <v>14402</v>
      </c>
      <c r="D5657" t="s">
        <v>14402</v>
      </c>
      <c r="E5657" t="s">
        <v>14403</v>
      </c>
    </row>
    <row r="5658" spans="1:5" x14ac:dyDescent="0.2">
      <c r="A5658" t="s">
        <v>14462</v>
      </c>
      <c r="B5658" t="s">
        <v>14463</v>
      </c>
      <c r="C5658" t="s">
        <v>14402</v>
      </c>
      <c r="D5658" t="s">
        <v>14402</v>
      </c>
      <c r="E5658" t="s">
        <v>14409</v>
      </c>
    </row>
    <row r="5659" spans="1:5" x14ac:dyDescent="0.2">
      <c r="A5659" t="s">
        <v>14464</v>
      </c>
      <c r="B5659" t="s">
        <v>14465</v>
      </c>
      <c r="C5659" t="s">
        <v>14402</v>
      </c>
      <c r="D5659" t="s">
        <v>14402</v>
      </c>
      <c r="E5659" t="s">
        <v>14409</v>
      </c>
    </row>
    <row r="5660" spans="1:5" x14ac:dyDescent="0.2">
      <c r="A5660" t="s">
        <v>14466</v>
      </c>
      <c r="B5660" t="s">
        <v>14467</v>
      </c>
      <c r="C5660" t="s">
        <v>14402</v>
      </c>
      <c r="D5660" t="s">
        <v>14402</v>
      </c>
      <c r="E5660" t="s">
        <v>14403</v>
      </c>
    </row>
    <row r="5661" spans="1:5" x14ac:dyDescent="0.2">
      <c r="A5661" t="s">
        <v>14468</v>
      </c>
      <c r="B5661" t="s">
        <v>14469</v>
      </c>
      <c r="C5661" t="s">
        <v>14402</v>
      </c>
      <c r="D5661" t="s">
        <v>14402</v>
      </c>
      <c r="E5661" t="s">
        <v>14470</v>
      </c>
    </row>
    <row r="5662" spans="1:5" x14ac:dyDescent="0.2">
      <c r="A5662" t="s">
        <v>14471</v>
      </c>
      <c r="B5662" t="s">
        <v>14472</v>
      </c>
      <c r="C5662" t="s">
        <v>14402</v>
      </c>
      <c r="D5662" t="s">
        <v>14402</v>
      </c>
      <c r="E5662" t="s">
        <v>14473</v>
      </c>
    </row>
    <row r="5663" spans="1:5" x14ac:dyDescent="0.2">
      <c r="A5663" t="s">
        <v>14474</v>
      </c>
      <c r="B5663" t="s">
        <v>14475</v>
      </c>
      <c r="C5663" t="s">
        <v>14402</v>
      </c>
      <c r="D5663" t="s">
        <v>14402</v>
      </c>
      <c r="E5663" t="s">
        <v>14432</v>
      </c>
    </row>
    <row r="5664" spans="1:5" x14ac:dyDescent="0.2">
      <c r="A5664" t="s">
        <v>14476</v>
      </c>
      <c r="B5664" t="s">
        <v>14477</v>
      </c>
      <c r="C5664" t="s">
        <v>14402</v>
      </c>
      <c r="D5664" t="s">
        <v>14402</v>
      </c>
      <c r="E5664" t="s">
        <v>14409</v>
      </c>
    </row>
    <row r="5665" spans="1:5" x14ac:dyDescent="0.2">
      <c r="A5665" t="s">
        <v>14478</v>
      </c>
      <c r="B5665" t="s">
        <v>14479</v>
      </c>
      <c r="C5665" t="s">
        <v>14402</v>
      </c>
      <c r="D5665" t="s">
        <v>14402</v>
      </c>
      <c r="E5665" t="s">
        <v>14480</v>
      </c>
    </row>
    <row r="5666" spans="1:5" x14ac:dyDescent="0.2">
      <c r="A5666" t="s">
        <v>14481</v>
      </c>
      <c r="B5666" t="s">
        <v>14482</v>
      </c>
      <c r="C5666" t="s">
        <v>14402</v>
      </c>
      <c r="D5666" t="s">
        <v>14402</v>
      </c>
      <c r="E5666" t="s">
        <v>14412</v>
      </c>
    </row>
    <row r="5667" spans="1:5" x14ac:dyDescent="0.2">
      <c r="A5667" t="s">
        <v>14483</v>
      </c>
      <c r="B5667" t="s">
        <v>14484</v>
      </c>
      <c r="C5667" t="s">
        <v>14402</v>
      </c>
      <c r="D5667" t="s">
        <v>14402</v>
      </c>
      <c r="E5667" t="s">
        <v>14485</v>
      </c>
    </row>
    <row r="5668" spans="1:5" x14ac:dyDescent="0.2">
      <c r="A5668" t="s">
        <v>14486</v>
      </c>
      <c r="B5668" t="s">
        <v>14487</v>
      </c>
      <c r="C5668" t="s">
        <v>14402</v>
      </c>
      <c r="D5668" t="s">
        <v>14402</v>
      </c>
      <c r="E5668" t="s">
        <v>14432</v>
      </c>
    </row>
    <row r="5669" spans="1:5" x14ac:dyDescent="0.2">
      <c r="A5669" t="s">
        <v>14488</v>
      </c>
      <c r="B5669" t="s">
        <v>14489</v>
      </c>
      <c r="C5669" t="s">
        <v>14402</v>
      </c>
      <c r="D5669" t="s">
        <v>14402</v>
      </c>
      <c r="E5669" t="s">
        <v>14490</v>
      </c>
    </row>
    <row r="5670" spans="1:5" x14ac:dyDescent="0.2">
      <c r="A5670" t="s">
        <v>14491</v>
      </c>
      <c r="B5670" t="s">
        <v>14492</v>
      </c>
      <c r="C5670" t="s">
        <v>14402</v>
      </c>
      <c r="D5670" t="s">
        <v>14402</v>
      </c>
      <c r="E5670" t="s">
        <v>14432</v>
      </c>
    </row>
    <row r="5671" spans="1:5" x14ac:dyDescent="0.2">
      <c r="A5671" t="s">
        <v>14493</v>
      </c>
      <c r="B5671" t="s">
        <v>14494</v>
      </c>
      <c r="C5671" t="s">
        <v>14402</v>
      </c>
      <c r="D5671" t="s">
        <v>14402</v>
      </c>
      <c r="E5671" t="s">
        <v>14412</v>
      </c>
    </row>
    <row r="5672" spans="1:5" x14ac:dyDescent="0.2">
      <c r="A5672" t="s">
        <v>14495</v>
      </c>
      <c r="B5672" t="s">
        <v>14496</v>
      </c>
      <c r="C5672" t="s">
        <v>14402</v>
      </c>
      <c r="D5672" t="s">
        <v>14402</v>
      </c>
      <c r="E5672" t="s">
        <v>14432</v>
      </c>
    </row>
    <row r="5673" spans="1:5" x14ac:dyDescent="0.2">
      <c r="A5673" t="s">
        <v>14497</v>
      </c>
      <c r="B5673" t="s">
        <v>14498</v>
      </c>
      <c r="C5673" t="s">
        <v>14402</v>
      </c>
      <c r="D5673" t="s">
        <v>14402</v>
      </c>
      <c r="E5673" t="s">
        <v>14403</v>
      </c>
    </row>
    <row r="5674" spans="1:5" x14ac:dyDescent="0.2">
      <c r="A5674" t="s">
        <v>14499</v>
      </c>
      <c r="B5674" t="s">
        <v>14500</v>
      </c>
      <c r="C5674" t="s">
        <v>14402</v>
      </c>
      <c r="D5674" t="s">
        <v>14402</v>
      </c>
      <c r="E5674" t="s">
        <v>14409</v>
      </c>
    </row>
    <row r="5675" spans="1:5" x14ac:dyDescent="0.2">
      <c r="A5675" t="s">
        <v>14501</v>
      </c>
      <c r="B5675" t="s">
        <v>14502</v>
      </c>
      <c r="C5675" t="s">
        <v>14402</v>
      </c>
      <c r="D5675" t="s">
        <v>14402</v>
      </c>
      <c r="E5675" t="s">
        <v>14503</v>
      </c>
    </row>
    <row r="5676" spans="1:5" x14ac:dyDescent="0.2">
      <c r="A5676" t="s">
        <v>14504</v>
      </c>
      <c r="B5676" t="s">
        <v>14505</v>
      </c>
      <c r="C5676" t="s">
        <v>14402</v>
      </c>
      <c r="D5676" t="s">
        <v>14402</v>
      </c>
      <c r="E5676" t="s">
        <v>14409</v>
      </c>
    </row>
    <row r="5677" spans="1:5" x14ac:dyDescent="0.2">
      <c r="A5677" t="s">
        <v>14506</v>
      </c>
      <c r="B5677" t="s">
        <v>14507</v>
      </c>
      <c r="C5677" t="s">
        <v>14402</v>
      </c>
      <c r="D5677" t="s">
        <v>14402</v>
      </c>
      <c r="E5677" t="s">
        <v>14508</v>
      </c>
    </row>
    <row r="5678" spans="1:5" x14ac:dyDescent="0.2">
      <c r="A5678" t="s">
        <v>14509</v>
      </c>
      <c r="B5678" t="s">
        <v>14510</v>
      </c>
      <c r="C5678" t="s">
        <v>14402</v>
      </c>
      <c r="D5678" t="s">
        <v>14402</v>
      </c>
      <c r="E5678" t="s">
        <v>14432</v>
      </c>
    </row>
    <row r="5679" spans="1:5" x14ac:dyDescent="0.2">
      <c r="A5679" t="s">
        <v>14511</v>
      </c>
      <c r="B5679" t="s">
        <v>14512</v>
      </c>
      <c r="C5679" t="s">
        <v>14402</v>
      </c>
      <c r="D5679" t="s">
        <v>14402</v>
      </c>
      <c r="E5679" t="s">
        <v>14409</v>
      </c>
    </row>
    <row r="5680" spans="1:5" x14ac:dyDescent="0.2">
      <c r="A5680" t="s">
        <v>14513</v>
      </c>
      <c r="B5680" t="s">
        <v>14514</v>
      </c>
      <c r="C5680" t="s">
        <v>14402</v>
      </c>
      <c r="D5680" t="s">
        <v>14402</v>
      </c>
      <c r="E5680" t="s">
        <v>14515</v>
      </c>
    </row>
    <row r="5681" spans="1:5" x14ac:dyDescent="0.2">
      <c r="A5681" t="s">
        <v>14516</v>
      </c>
      <c r="B5681" t="s">
        <v>14517</v>
      </c>
      <c r="C5681" t="s">
        <v>14402</v>
      </c>
      <c r="D5681" t="s">
        <v>14402</v>
      </c>
      <c r="E5681" t="s">
        <v>14432</v>
      </c>
    </row>
    <row r="5682" spans="1:5" x14ac:dyDescent="0.2">
      <c r="A5682" t="s">
        <v>14518</v>
      </c>
      <c r="B5682" t="s">
        <v>14519</v>
      </c>
      <c r="C5682" t="s">
        <v>14402</v>
      </c>
      <c r="D5682" t="s">
        <v>14402</v>
      </c>
      <c r="E5682" t="s">
        <v>14409</v>
      </c>
    </row>
    <row r="5683" spans="1:5" x14ac:dyDescent="0.2">
      <c r="A5683" t="s">
        <v>14520</v>
      </c>
      <c r="B5683" t="s">
        <v>14521</v>
      </c>
      <c r="C5683" t="s">
        <v>14402</v>
      </c>
      <c r="D5683" t="s">
        <v>14402</v>
      </c>
      <c r="E5683" t="s">
        <v>14432</v>
      </c>
    </row>
    <row r="5684" spans="1:5" x14ac:dyDescent="0.2">
      <c r="A5684" t="s">
        <v>14522</v>
      </c>
      <c r="B5684" t="s">
        <v>14523</v>
      </c>
      <c r="C5684" t="s">
        <v>14402</v>
      </c>
      <c r="D5684" t="s">
        <v>14402</v>
      </c>
      <c r="E5684" t="s">
        <v>14409</v>
      </c>
    </row>
    <row r="5685" spans="1:5" x14ac:dyDescent="0.2">
      <c r="A5685" t="s">
        <v>14524</v>
      </c>
      <c r="B5685" t="s">
        <v>14525</v>
      </c>
      <c r="C5685" t="s">
        <v>14402</v>
      </c>
      <c r="D5685" t="s">
        <v>14402</v>
      </c>
      <c r="E5685" t="s">
        <v>14412</v>
      </c>
    </row>
    <row r="5686" spans="1:5" x14ac:dyDescent="0.2">
      <c r="A5686" t="s">
        <v>14526</v>
      </c>
      <c r="B5686" t="s">
        <v>14527</v>
      </c>
      <c r="C5686" t="s">
        <v>14402</v>
      </c>
      <c r="D5686" t="s">
        <v>14402</v>
      </c>
      <c r="E5686" t="s">
        <v>14403</v>
      </c>
    </row>
    <row r="5687" spans="1:5" x14ac:dyDescent="0.2">
      <c r="A5687" t="s">
        <v>14528</v>
      </c>
      <c r="B5687" t="s">
        <v>14529</v>
      </c>
      <c r="C5687" t="s">
        <v>14402</v>
      </c>
      <c r="D5687" t="s">
        <v>14402</v>
      </c>
      <c r="E5687" t="s">
        <v>14403</v>
      </c>
    </row>
    <row r="5688" spans="1:5" x14ac:dyDescent="0.2">
      <c r="A5688" t="s">
        <v>14530</v>
      </c>
      <c r="B5688" t="s">
        <v>14531</v>
      </c>
      <c r="C5688" t="s">
        <v>14402</v>
      </c>
      <c r="D5688" t="s">
        <v>14402</v>
      </c>
      <c r="E5688" t="s">
        <v>14409</v>
      </c>
    </row>
    <row r="5689" spans="1:5" x14ac:dyDescent="0.2">
      <c r="A5689" t="s">
        <v>14532</v>
      </c>
      <c r="B5689" t="s">
        <v>14533</v>
      </c>
      <c r="C5689" t="s">
        <v>14402</v>
      </c>
      <c r="D5689" t="s">
        <v>14402</v>
      </c>
      <c r="E5689" t="s">
        <v>14432</v>
      </c>
    </row>
    <row r="5690" spans="1:5" x14ac:dyDescent="0.2">
      <c r="A5690" t="s">
        <v>14534</v>
      </c>
      <c r="B5690" t="s">
        <v>14535</v>
      </c>
      <c r="C5690" t="s">
        <v>14402</v>
      </c>
      <c r="D5690" t="s">
        <v>14402</v>
      </c>
      <c r="E5690" t="s">
        <v>14412</v>
      </c>
    </row>
    <row r="5691" spans="1:5" x14ac:dyDescent="0.2">
      <c r="A5691" t="s">
        <v>14536</v>
      </c>
      <c r="B5691" t="s">
        <v>14537</v>
      </c>
      <c r="C5691" t="s">
        <v>14402</v>
      </c>
      <c r="D5691" t="s">
        <v>14402</v>
      </c>
      <c r="E5691" t="s">
        <v>14538</v>
      </c>
    </row>
    <row r="5692" spans="1:5" x14ac:dyDescent="0.2">
      <c r="A5692" t="s">
        <v>14539</v>
      </c>
      <c r="B5692" t="s">
        <v>14540</v>
      </c>
      <c r="C5692" t="s">
        <v>14402</v>
      </c>
      <c r="D5692" t="s">
        <v>14402</v>
      </c>
      <c r="E5692" t="s">
        <v>14541</v>
      </c>
    </row>
    <row r="5693" spans="1:5" x14ac:dyDescent="0.2">
      <c r="A5693" t="s">
        <v>14542</v>
      </c>
      <c r="B5693" t="s">
        <v>14543</v>
      </c>
      <c r="C5693" t="s">
        <v>14402</v>
      </c>
      <c r="D5693" t="s">
        <v>14402</v>
      </c>
      <c r="E5693" t="s">
        <v>14544</v>
      </c>
    </row>
    <row r="5694" spans="1:5" x14ac:dyDescent="0.2">
      <c r="A5694" t="s">
        <v>14545</v>
      </c>
      <c r="B5694" t="s">
        <v>14546</v>
      </c>
      <c r="C5694" t="s">
        <v>14402</v>
      </c>
      <c r="D5694" t="s">
        <v>14402</v>
      </c>
      <c r="E5694" t="s">
        <v>14547</v>
      </c>
    </row>
    <row r="5695" spans="1:5" x14ac:dyDescent="0.2">
      <c r="A5695" t="s">
        <v>14548</v>
      </c>
      <c r="B5695" t="s">
        <v>14549</v>
      </c>
      <c r="C5695" t="s">
        <v>14402</v>
      </c>
      <c r="D5695" t="s">
        <v>14402</v>
      </c>
      <c r="E5695" t="s">
        <v>14432</v>
      </c>
    </row>
    <row r="5696" spans="1:5" x14ac:dyDescent="0.2">
      <c r="A5696" t="s">
        <v>14550</v>
      </c>
      <c r="B5696" t="s">
        <v>14551</v>
      </c>
      <c r="C5696" t="s">
        <v>14402</v>
      </c>
      <c r="D5696" t="s">
        <v>14402</v>
      </c>
      <c r="E5696" t="s">
        <v>14409</v>
      </c>
    </row>
    <row r="5697" spans="1:5" x14ac:dyDescent="0.2">
      <c r="A5697" t="s">
        <v>14552</v>
      </c>
      <c r="B5697" t="s">
        <v>14553</v>
      </c>
      <c r="C5697" t="s">
        <v>14402</v>
      </c>
      <c r="D5697" t="s">
        <v>14402</v>
      </c>
      <c r="E5697" t="s">
        <v>14403</v>
      </c>
    </row>
    <row r="5698" spans="1:5" x14ac:dyDescent="0.2">
      <c r="A5698" t="s">
        <v>14554</v>
      </c>
      <c r="B5698" t="s">
        <v>14555</v>
      </c>
      <c r="C5698" t="s">
        <v>14402</v>
      </c>
      <c r="D5698" t="s">
        <v>14402</v>
      </c>
      <c r="E5698" t="s">
        <v>14409</v>
      </c>
    </row>
    <row r="5699" spans="1:5" x14ac:dyDescent="0.2">
      <c r="A5699" t="s">
        <v>14556</v>
      </c>
      <c r="B5699" t="s">
        <v>14557</v>
      </c>
      <c r="C5699" t="s">
        <v>14402</v>
      </c>
      <c r="D5699" t="s">
        <v>14402</v>
      </c>
      <c r="E5699" t="s">
        <v>14403</v>
      </c>
    </row>
    <row r="5700" spans="1:5" x14ac:dyDescent="0.2">
      <c r="A5700" t="s">
        <v>14558</v>
      </c>
      <c r="B5700" t="s">
        <v>14559</v>
      </c>
      <c r="C5700" t="s">
        <v>14402</v>
      </c>
      <c r="D5700" t="s">
        <v>14402</v>
      </c>
      <c r="E5700" t="s">
        <v>14403</v>
      </c>
    </row>
    <row r="5701" spans="1:5" x14ac:dyDescent="0.2">
      <c r="A5701" t="s">
        <v>14560</v>
      </c>
      <c r="B5701" t="s">
        <v>14561</v>
      </c>
      <c r="C5701" t="s">
        <v>14402</v>
      </c>
      <c r="D5701" t="s">
        <v>14402</v>
      </c>
      <c r="E5701" t="s">
        <v>14412</v>
      </c>
    </row>
    <row r="5702" spans="1:5" x14ac:dyDescent="0.2">
      <c r="A5702" t="s">
        <v>14562</v>
      </c>
      <c r="B5702" t="s">
        <v>14563</v>
      </c>
      <c r="C5702" t="s">
        <v>14402</v>
      </c>
      <c r="D5702" t="s">
        <v>14402</v>
      </c>
      <c r="E5702" t="s">
        <v>14544</v>
      </c>
    </row>
    <row r="5703" spans="1:5" x14ac:dyDescent="0.2">
      <c r="A5703" t="s">
        <v>14564</v>
      </c>
      <c r="B5703" t="s">
        <v>14565</v>
      </c>
      <c r="C5703" t="s">
        <v>14402</v>
      </c>
      <c r="D5703" t="s">
        <v>14402</v>
      </c>
      <c r="E5703" t="s">
        <v>14409</v>
      </c>
    </row>
    <row r="5704" spans="1:5" x14ac:dyDescent="0.2">
      <c r="A5704" t="s">
        <v>14566</v>
      </c>
      <c r="B5704" t="s">
        <v>14567</v>
      </c>
      <c r="C5704" t="s">
        <v>14402</v>
      </c>
      <c r="D5704" t="s">
        <v>14402</v>
      </c>
      <c r="E5704" t="s">
        <v>14403</v>
      </c>
    </row>
    <row r="5705" spans="1:5" x14ac:dyDescent="0.2">
      <c r="A5705" t="s">
        <v>14568</v>
      </c>
      <c r="B5705" t="s">
        <v>14569</v>
      </c>
      <c r="C5705" t="s">
        <v>14402</v>
      </c>
      <c r="D5705" t="s">
        <v>14402</v>
      </c>
      <c r="E5705" t="s">
        <v>14409</v>
      </c>
    </row>
    <row r="5706" spans="1:5" x14ac:dyDescent="0.2">
      <c r="A5706" t="s">
        <v>14570</v>
      </c>
      <c r="B5706" t="s">
        <v>14571</v>
      </c>
      <c r="C5706" t="s">
        <v>14402</v>
      </c>
      <c r="D5706" t="s">
        <v>14402</v>
      </c>
      <c r="E5706" t="s">
        <v>14409</v>
      </c>
    </row>
    <row r="5707" spans="1:5" x14ac:dyDescent="0.2">
      <c r="A5707" t="s">
        <v>14572</v>
      </c>
      <c r="B5707" t="s">
        <v>14573</v>
      </c>
      <c r="C5707" t="s">
        <v>14402</v>
      </c>
      <c r="D5707" t="s">
        <v>14402</v>
      </c>
      <c r="E5707" t="s">
        <v>14409</v>
      </c>
    </row>
    <row r="5708" spans="1:5" x14ac:dyDescent="0.2">
      <c r="A5708" t="s">
        <v>14574</v>
      </c>
      <c r="B5708" t="s">
        <v>14575</v>
      </c>
      <c r="C5708" t="s">
        <v>14402</v>
      </c>
      <c r="D5708" t="s">
        <v>14402</v>
      </c>
      <c r="E5708" t="s">
        <v>14544</v>
      </c>
    </row>
    <row r="5709" spans="1:5" x14ac:dyDescent="0.2">
      <c r="A5709" t="s">
        <v>14576</v>
      </c>
      <c r="B5709" t="s">
        <v>14577</v>
      </c>
      <c r="C5709" t="s">
        <v>14402</v>
      </c>
      <c r="D5709" t="s">
        <v>14402</v>
      </c>
      <c r="E5709" t="s">
        <v>14403</v>
      </c>
    </row>
    <row r="5710" spans="1:5" x14ac:dyDescent="0.2">
      <c r="A5710" t="s">
        <v>14578</v>
      </c>
      <c r="B5710" t="s">
        <v>14579</v>
      </c>
      <c r="C5710" t="s">
        <v>14402</v>
      </c>
      <c r="D5710" t="s">
        <v>14402</v>
      </c>
      <c r="E5710" t="s">
        <v>14432</v>
      </c>
    </row>
    <row r="5711" spans="1:5" x14ac:dyDescent="0.2">
      <c r="A5711" t="s">
        <v>14580</v>
      </c>
      <c r="B5711" t="s">
        <v>14581</v>
      </c>
      <c r="C5711" t="s">
        <v>14402</v>
      </c>
      <c r="D5711" t="s">
        <v>14402</v>
      </c>
      <c r="E5711" t="s">
        <v>14403</v>
      </c>
    </row>
    <row r="5712" spans="1:5" x14ac:dyDescent="0.2">
      <c r="A5712" t="s">
        <v>14582</v>
      </c>
      <c r="B5712" t="s">
        <v>14583</v>
      </c>
      <c r="C5712" t="s">
        <v>14402</v>
      </c>
      <c r="D5712" t="s">
        <v>14402</v>
      </c>
      <c r="E5712" t="s">
        <v>14403</v>
      </c>
    </row>
    <row r="5713" spans="1:5" x14ac:dyDescent="0.2">
      <c r="A5713" t="s">
        <v>14584</v>
      </c>
      <c r="B5713" t="s">
        <v>14585</v>
      </c>
      <c r="C5713" t="s">
        <v>14402</v>
      </c>
      <c r="D5713" t="s">
        <v>14402</v>
      </c>
      <c r="E5713" t="s">
        <v>14432</v>
      </c>
    </row>
    <row r="5714" spans="1:5" x14ac:dyDescent="0.2">
      <c r="A5714" t="s">
        <v>14586</v>
      </c>
      <c r="B5714" t="s">
        <v>14587</v>
      </c>
      <c r="C5714" t="s">
        <v>14402</v>
      </c>
      <c r="D5714" t="s">
        <v>14402</v>
      </c>
      <c r="E5714" t="s">
        <v>14432</v>
      </c>
    </row>
    <row r="5715" spans="1:5" x14ac:dyDescent="0.2">
      <c r="A5715" t="s">
        <v>14588</v>
      </c>
      <c r="B5715" t="s">
        <v>14589</v>
      </c>
      <c r="C5715" t="s">
        <v>14402</v>
      </c>
      <c r="D5715" t="s">
        <v>14402</v>
      </c>
      <c r="E5715" t="s">
        <v>14544</v>
      </c>
    </row>
    <row r="5716" spans="1:5" x14ac:dyDescent="0.2">
      <c r="A5716" t="s">
        <v>14590</v>
      </c>
      <c r="B5716" t="s">
        <v>14591</v>
      </c>
      <c r="C5716" t="s">
        <v>14402</v>
      </c>
      <c r="D5716" t="s">
        <v>14402</v>
      </c>
      <c r="E5716" t="s">
        <v>14409</v>
      </c>
    </row>
    <row r="5717" spans="1:5" x14ac:dyDescent="0.2">
      <c r="A5717" t="s">
        <v>14592</v>
      </c>
      <c r="B5717" t="s">
        <v>14593</v>
      </c>
      <c r="C5717" t="s">
        <v>14402</v>
      </c>
      <c r="D5717" t="s">
        <v>14402</v>
      </c>
      <c r="E5717" t="s">
        <v>14432</v>
      </c>
    </row>
    <row r="5718" spans="1:5" x14ac:dyDescent="0.2">
      <c r="A5718" t="s">
        <v>14594</v>
      </c>
      <c r="B5718" t="s">
        <v>14595</v>
      </c>
      <c r="C5718" t="s">
        <v>14402</v>
      </c>
      <c r="D5718" t="s">
        <v>14402</v>
      </c>
      <c r="E5718" t="s">
        <v>14412</v>
      </c>
    </row>
    <row r="5719" spans="1:5" x14ac:dyDescent="0.2">
      <c r="A5719" t="s">
        <v>14596</v>
      </c>
      <c r="B5719" t="s">
        <v>14597</v>
      </c>
      <c r="C5719" t="s">
        <v>14402</v>
      </c>
      <c r="D5719" t="s">
        <v>14402</v>
      </c>
      <c r="E5719" t="s">
        <v>14598</v>
      </c>
    </row>
    <row r="5720" spans="1:5" x14ac:dyDescent="0.2">
      <c r="A5720" t="s">
        <v>14599</v>
      </c>
      <c r="B5720" t="s">
        <v>14600</v>
      </c>
      <c r="C5720" t="s">
        <v>14402</v>
      </c>
      <c r="D5720" t="s">
        <v>14402</v>
      </c>
      <c r="E5720" t="s">
        <v>14601</v>
      </c>
    </row>
    <row r="5721" spans="1:5" x14ac:dyDescent="0.2">
      <c r="A5721" t="s">
        <v>14602</v>
      </c>
      <c r="B5721" t="s">
        <v>14603</v>
      </c>
      <c r="C5721" t="s">
        <v>14402</v>
      </c>
      <c r="D5721" t="s">
        <v>14402</v>
      </c>
      <c r="E5721" t="s">
        <v>14544</v>
      </c>
    </row>
    <row r="5722" spans="1:5" x14ac:dyDescent="0.2">
      <c r="A5722" t="s">
        <v>14604</v>
      </c>
      <c r="B5722" t="s">
        <v>14605</v>
      </c>
      <c r="C5722" t="s">
        <v>14402</v>
      </c>
      <c r="D5722" t="s">
        <v>14402</v>
      </c>
      <c r="E5722" t="s">
        <v>14606</v>
      </c>
    </row>
    <row r="5723" spans="1:5" x14ac:dyDescent="0.2">
      <c r="A5723" t="s">
        <v>14607</v>
      </c>
      <c r="B5723" t="s">
        <v>14608</v>
      </c>
      <c r="C5723" t="s">
        <v>14402</v>
      </c>
      <c r="D5723" t="s">
        <v>14402</v>
      </c>
      <c r="E5723" t="s">
        <v>14609</v>
      </c>
    </row>
    <row r="5724" spans="1:5" x14ac:dyDescent="0.2">
      <c r="A5724" t="s">
        <v>14610</v>
      </c>
      <c r="B5724" t="s">
        <v>14611</v>
      </c>
      <c r="C5724" t="s">
        <v>14402</v>
      </c>
      <c r="D5724" t="s">
        <v>14402</v>
      </c>
      <c r="E5724" t="s">
        <v>14409</v>
      </c>
    </row>
    <row r="5725" spans="1:5" x14ac:dyDescent="0.2">
      <c r="A5725" t="s">
        <v>14612</v>
      </c>
      <c r="B5725" t="s">
        <v>14613</v>
      </c>
      <c r="C5725" t="s">
        <v>14402</v>
      </c>
      <c r="D5725" t="s">
        <v>14402</v>
      </c>
      <c r="E5725" t="s">
        <v>14544</v>
      </c>
    </row>
    <row r="5726" spans="1:5" x14ac:dyDescent="0.2">
      <c r="A5726" t="s">
        <v>14614</v>
      </c>
      <c r="B5726" t="s">
        <v>14615</v>
      </c>
      <c r="C5726" t="s">
        <v>14402</v>
      </c>
      <c r="D5726" t="s">
        <v>14402</v>
      </c>
      <c r="E5726" t="s">
        <v>14616</v>
      </c>
    </row>
    <row r="5727" spans="1:5" x14ac:dyDescent="0.2">
      <c r="A5727" t="s">
        <v>14617</v>
      </c>
      <c r="B5727" t="s">
        <v>14618</v>
      </c>
      <c r="C5727" t="s">
        <v>14402</v>
      </c>
      <c r="D5727" t="s">
        <v>14402</v>
      </c>
      <c r="E5727" t="s">
        <v>14432</v>
      </c>
    </row>
    <row r="5728" spans="1:5" x14ac:dyDescent="0.2">
      <c r="A5728" t="s">
        <v>14619</v>
      </c>
      <c r="B5728" t="s">
        <v>14620</v>
      </c>
      <c r="C5728" t="s">
        <v>14402</v>
      </c>
      <c r="D5728" t="s">
        <v>14402</v>
      </c>
      <c r="E5728" t="s">
        <v>14409</v>
      </c>
    </row>
    <row r="5729" spans="1:5" x14ac:dyDescent="0.2">
      <c r="A5729" t="s">
        <v>14621</v>
      </c>
      <c r="B5729" t="s">
        <v>14622</v>
      </c>
      <c r="C5729" t="s">
        <v>14402</v>
      </c>
      <c r="D5729" t="s">
        <v>14402</v>
      </c>
      <c r="E5729" t="s">
        <v>14623</v>
      </c>
    </row>
    <row r="5730" spans="1:5" x14ac:dyDescent="0.2">
      <c r="A5730" t="s">
        <v>14624</v>
      </c>
      <c r="B5730" t="s">
        <v>14625</v>
      </c>
      <c r="C5730" t="s">
        <v>14402</v>
      </c>
      <c r="D5730" t="s">
        <v>14402</v>
      </c>
      <c r="E5730" t="s">
        <v>14412</v>
      </c>
    </row>
    <row r="5731" spans="1:5" x14ac:dyDescent="0.2">
      <c r="A5731" t="s">
        <v>14626</v>
      </c>
      <c r="B5731" t="s">
        <v>14627</v>
      </c>
      <c r="C5731" t="s">
        <v>14402</v>
      </c>
      <c r="D5731" t="s">
        <v>14402</v>
      </c>
      <c r="E5731" t="s">
        <v>14432</v>
      </c>
    </row>
    <row r="5732" spans="1:5" x14ac:dyDescent="0.2">
      <c r="A5732" t="s">
        <v>14628</v>
      </c>
      <c r="B5732" t="s">
        <v>14629</v>
      </c>
      <c r="C5732" t="s">
        <v>14402</v>
      </c>
      <c r="D5732" t="s">
        <v>14402</v>
      </c>
      <c r="E5732" t="s">
        <v>14409</v>
      </c>
    </row>
    <row r="5733" spans="1:5" x14ac:dyDescent="0.2">
      <c r="A5733" t="s">
        <v>14630</v>
      </c>
      <c r="B5733" t="s">
        <v>14631</v>
      </c>
      <c r="C5733" t="s">
        <v>14402</v>
      </c>
      <c r="D5733" t="s">
        <v>14402</v>
      </c>
      <c r="E5733" t="s">
        <v>14632</v>
      </c>
    </row>
    <row r="5734" spans="1:5" x14ac:dyDescent="0.2">
      <c r="A5734" t="s">
        <v>14633</v>
      </c>
      <c r="B5734" t="s">
        <v>14634</v>
      </c>
      <c r="C5734" t="s">
        <v>14402</v>
      </c>
      <c r="D5734" t="s">
        <v>14402</v>
      </c>
      <c r="E5734" t="s">
        <v>14544</v>
      </c>
    </row>
    <row r="5735" spans="1:5" x14ac:dyDescent="0.2">
      <c r="A5735" t="s">
        <v>14635</v>
      </c>
      <c r="B5735" t="s">
        <v>14636</v>
      </c>
      <c r="C5735" t="s">
        <v>14402</v>
      </c>
      <c r="D5735" t="s">
        <v>14402</v>
      </c>
      <c r="E5735" t="s">
        <v>14409</v>
      </c>
    </row>
    <row r="5736" spans="1:5" x14ac:dyDescent="0.2">
      <c r="A5736" t="s">
        <v>14637</v>
      </c>
      <c r="B5736" t="s">
        <v>14638</v>
      </c>
      <c r="C5736" t="s">
        <v>14402</v>
      </c>
      <c r="D5736" t="s">
        <v>14402</v>
      </c>
      <c r="E5736" t="s">
        <v>14639</v>
      </c>
    </row>
    <row r="5737" spans="1:5" x14ac:dyDescent="0.2">
      <c r="A5737" t="s">
        <v>14640</v>
      </c>
      <c r="B5737" t="s">
        <v>14641</v>
      </c>
      <c r="C5737" t="s">
        <v>14402</v>
      </c>
      <c r="D5737" t="s">
        <v>14402</v>
      </c>
      <c r="E5737" t="s">
        <v>14403</v>
      </c>
    </row>
    <row r="5738" spans="1:5" x14ac:dyDescent="0.2">
      <c r="A5738" t="s">
        <v>14642</v>
      </c>
      <c r="B5738" t="s">
        <v>14643</v>
      </c>
      <c r="C5738" t="s">
        <v>14402</v>
      </c>
      <c r="D5738" t="s">
        <v>14402</v>
      </c>
      <c r="E5738" t="s">
        <v>14403</v>
      </c>
    </row>
    <row r="5739" spans="1:5" x14ac:dyDescent="0.2">
      <c r="A5739" t="s">
        <v>14644</v>
      </c>
      <c r="B5739" t="s">
        <v>14645</v>
      </c>
      <c r="C5739" t="s">
        <v>14646</v>
      </c>
      <c r="D5739" t="s">
        <v>14646</v>
      </c>
      <c r="E5739" t="s">
        <v>14647</v>
      </c>
    </row>
    <row r="5740" spans="1:5" x14ac:dyDescent="0.2">
      <c r="A5740" t="s">
        <v>14648</v>
      </c>
      <c r="B5740" t="s">
        <v>14649</v>
      </c>
      <c r="C5740" t="s">
        <v>14646</v>
      </c>
      <c r="D5740" t="s">
        <v>14646</v>
      </c>
      <c r="E5740" t="s">
        <v>14650</v>
      </c>
    </row>
    <row r="5741" spans="1:5" x14ac:dyDescent="0.2">
      <c r="A5741" t="s">
        <v>14651</v>
      </c>
      <c r="B5741" t="s">
        <v>14652</v>
      </c>
      <c r="C5741" t="s">
        <v>14646</v>
      </c>
      <c r="D5741" t="s">
        <v>14646</v>
      </c>
      <c r="E5741" t="s">
        <v>14653</v>
      </c>
    </row>
    <row r="5742" spans="1:5" x14ac:dyDescent="0.2">
      <c r="A5742" t="s">
        <v>14654</v>
      </c>
      <c r="B5742" t="s">
        <v>14655</v>
      </c>
      <c r="C5742" t="s">
        <v>14646</v>
      </c>
      <c r="D5742" t="s">
        <v>14646</v>
      </c>
      <c r="E5742" t="s">
        <v>14656</v>
      </c>
    </row>
    <row r="5743" spans="1:5" x14ac:dyDescent="0.2">
      <c r="A5743" t="s">
        <v>14657</v>
      </c>
      <c r="B5743" t="s">
        <v>14658</v>
      </c>
      <c r="C5743" t="s">
        <v>14646</v>
      </c>
      <c r="D5743" t="s">
        <v>14646</v>
      </c>
      <c r="E5743" t="s">
        <v>14659</v>
      </c>
    </row>
    <row r="5744" spans="1:5" x14ac:dyDescent="0.2">
      <c r="A5744" t="s">
        <v>14660</v>
      </c>
      <c r="B5744" t="s">
        <v>14661</v>
      </c>
      <c r="C5744" t="s">
        <v>14646</v>
      </c>
      <c r="D5744" t="s">
        <v>14646</v>
      </c>
      <c r="E5744" t="s">
        <v>14662</v>
      </c>
    </row>
    <row r="5745" spans="1:5" x14ac:dyDescent="0.2">
      <c r="A5745" t="s">
        <v>14663</v>
      </c>
      <c r="B5745" t="s">
        <v>14664</v>
      </c>
      <c r="C5745" t="s">
        <v>14646</v>
      </c>
      <c r="D5745" t="s">
        <v>14646</v>
      </c>
      <c r="E5745" t="s">
        <v>14665</v>
      </c>
    </row>
    <row r="5746" spans="1:5" x14ac:dyDescent="0.2">
      <c r="A5746" t="s">
        <v>14666</v>
      </c>
      <c r="B5746" t="s">
        <v>14667</v>
      </c>
      <c r="C5746" t="s">
        <v>14646</v>
      </c>
      <c r="D5746" t="s">
        <v>14646</v>
      </c>
      <c r="E5746" t="s">
        <v>14659</v>
      </c>
    </row>
    <row r="5747" spans="1:5" x14ac:dyDescent="0.2">
      <c r="A5747" t="s">
        <v>14668</v>
      </c>
      <c r="B5747" t="s">
        <v>14669</v>
      </c>
      <c r="C5747" t="s">
        <v>14646</v>
      </c>
      <c r="D5747" t="s">
        <v>14646</v>
      </c>
      <c r="E5747" t="s">
        <v>14670</v>
      </c>
    </row>
    <row r="5748" spans="1:5" x14ac:dyDescent="0.2">
      <c r="A5748" t="s">
        <v>14671</v>
      </c>
      <c r="B5748" t="s">
        <v>14672</v>
      </c>
      <c r="C5748" t="s">
        <v>14646</v>
      </c>
      <c r="D5748" t="s">
        <v>14646</v>
      </c>
      <c r="E5748" t="s">
        <v>14673</v>
      </c>
    </row>
    <row r="5749" spans="1:5" x14ac:dyDescent="0.2">
      <c r="A5749" t="s">
        <v>14674</v>
      </c>
      <c r="B5749" t="s">
        <v>14675</v>
      </c>
      <c r="C5749" t="s">
        <v>14646</v>
      </c>
      <c r="D5749" t="s">
        <v>14646</v>
      </c>
      <c r="E5749" t="s">
        <v>14676</v>
      </c>
    </row>
    <row r="5750" spans="1:5" x14ac:dyDescent="0.2">
      <c r="A5750" t="s">
        <v>14677</v>
      </c>
      <c r="B5750" t="s">
        <v>14678</v>
      </c>
      <c r="C5750" t="s">
        <v>14646</v>
      </c>
      <c r="D5750" t="s">
        <v>14646</v>
      </c>
      <c r="E5750" t="s">
        <v>14659</v>
      </c>
    </row>
    <row r="5751" spans="1:5" x14ac:dyDescent="0.2">
      <c r="A5751" t="s">
        <v>14679</v>
      </c>
      <c r="B5751" t="s">
        <v>14680</v>
      </c>
      <c r="C5751" t="s">
        <v>14646</v>
      </c>
      <c r="D5751" t="s">
        <v>14646</v>
      </c>
      <c r="E5751" t="s">
        <v>14647</v>
      </c>
    </row>
    <row r="5752" spans="1:5" x14ac:dyDescent="0.2">
      <c r="A5752" t="s">
        <v>14681</v>
      </c>
      <c r="B5752" t="s">
        <v>14682</v>
      </c>
      <c r="C5752" t="s">
        <v>14646</v>
      </c>
      <c r="D5752" t="s">
        <v>14646</v>
      </c>
      <c r="E5752" t="s">
        <v>14665</v>
      </c>
    </row>
    <row r="5753" spans="1:5" x14ac:dyDescent="0.2">
      <c r="A5753" t="s">
        <v>14683</v>
      </c>
      <c r="B5753" t="s">
        <v>14684</v>
      </c>
      <c r="C5753" t="s">
        <v>14646</v>
      </c>
      <c r="D5753" t="s">
        <v>14646</v>
      </c>
      <c r="E5753" t="s">
        <v>14685</v>
      </c>
    </row>
    <row r="5754" spans="1:5" x14ac:dyDescent="0.2">
      <c r="A5754" t="s">
        <v>14686</v>
      </c>
      <c r="B5754" t="s">
        <v>14687</v>
      </c>
      <c r="C5754" t="s">
        <v>14646</v>
      </c>
      <c r="D5754" t="s">
        <v>14646</v>
      </c>
      <c r="E5754" t="s">
        <v>14659</v>
      </c>
    </row>
    <row r="5755" spans="1:5" x14ac:dyDescent="0.2">
      <c r="A5755" t="s">
        <v>14688</v>
      </c>
      <c r="B5755" t="s">
        <v>14689</v>
      </c>
      <c r="C5755" t="s">
        <v>14646</v>
      </c>
      <c r="D5755" t="s">
        <v>14646</v>
      </c>
      <c r="E5755" t="s">
        <v>14690</v>
      </c>
    </row>
    <row r="5756" spans="1:5" x14ac:dyDescent="0.2">
      <c r="A5756" t="s">
        <v>14691</v>
      </c>
      <c r="B5756" t="s">
        <v>14692</v>
      </c>
      <c r="C5756" t="s">
        <v>14646</v>
      </c>
      <c r="D5756" t="s">
        <v>14646</v>
      </c>
      <c r="E5756" t="s">
        <v>14659</v>
      </c>
    </row>
    <row r="5757" spans="1:5" x14ac:dyDescent="0.2">
      <c r="A5757" t="s">
        <v>14693</v>
      </c>
      <c r="B5757" t="s">
        <v>14694</v>
      </c>
      <c r="C5757" t="s">
        <v>14646</v>
      </c>
      <c r="D5757" t="s">
        <v>14646</v>
      </c>
      <c r="E5757" t="s">
        <v>14647</v>
      </c>
    </row>
    <row r="5758" spans="1:5" x14ac:dyDescent="0.2">
      <c r="A5758" t="s">
        <v>14695</v>
      </c>
      <c r="B5758" t="s">
        <v>14696</v>
      </c>
      <c r="C5758" t="s">
        <v>14646</v>
      </c>
      <c r="D5758" t="s">
        <v>14646</v>
      </c>
      <c r="E5758" t="s">
        <v>14665</v>
      </c>
    </row>
    <row r="5759" spans="1:5" x14ac:dyDescent="0.2">
      <c r="A5759" t="s">
        <v>14697</v>
      </c>
      <c r="B5759" t="s">
        <v>14698</v>
      </c>
      <c r="C5759" t="s">
        <v>14646</v>
      </c>
      <c r="D5759" t="s">
        <v>14646</v>
      </c>
      <c r="E5759" t="s">
        <v>14699</v>
      </c>
    </row>
    <row r="5760" spans="1:5" x14ac:dyDescent="0.2">
      <c r="A5760" t="s">
        <v>14700</v>
      </c>
      <c r="B5760" t="s">
        <v>14701</v>
      </c>
      <c r="C5760" t="s">
        <v>14646</v>
      </c>
      <c r="D5760" t="s">
        <v>14646</v>
      </c>
      <c r="E5760" t="s">
        <v>14665</v>
      </c>
    </row>
    <row r="5761" spans="1:5" x14ac:dyDescent="0.2">
      <c r="A5761" t="s">
        <v>14702</v>
      </c>
      <c r="B5761" t="s">
        <v>14703</v>
      </c>
      <c r="C5761" t="s">
        <v>14646</v>
      </c>
      <c r="D5761" t="s">
        <v>14646</v>
      </c>
      <c r="E5761" t="s">
        <v>14659</v>
      </c>
    </row>
    <row r="5762" spans="1:5" x14ac:dyDescent="0.2">
      <c r="A5762" t="s">
        <v>14704</v>
      </c>
      <c r="B5762" t="s">
        <v>14705</v>
      </c>
      <c r="C5762" t="s">
        <v>14646</v>
      </c>
      <c r="D5762" t="s">
        <v>14646</v>
      </c>
      <c r="E5762" t="s">
        <v>14665</v>
      </c>
    </row>
    <row r="5763" spans="1:5" x14ac:dyDescent="0.2">
      <c r="A5763" t="s">
        <v>14706</v>
      </c>
      <c r="B5763" t="s">
        <v>14707</v>
      </c>
      <c r="C5763" t="s">
        <v>14646</v>
      </c>
      <c r="D5763" t="s">
        <v>14646</v>
      </c>
      <c r="E5763" t="s">
        <v>14708</v>
      </c>
    </row>
    <row r="5764" spans="1:5" x14ac:dyDescent="0.2">
      <c r="A5764" t="s">
        <v>14709</v>
      </c>
      <c r="B5764" t="s">
        <v>14710</v>
      </c>
      <c r="C5764" t="s">
        <v>14646</v>
      </c>
      <c r="D5764" t="s">
        <v>14646</v>
      </c>
      <c r="E5764" t="s">
        <v>14659</v>
      </c>
    </row>
    <row r="5765" spans="1:5" x14ac:dyDescent="0.2">
      <c r="A5765" t="s">
        <v>14711</v>
      </c>
      <c r="B5765" t="s">
        <v>14712</v>
      </c>
      <c r="C5765" t="s">
        <v>14646</v>
      </c>
      <c r="D5765" t="s">
        <v>14646</v>
      </c>
      <c r="E5765" t="s">
        <v>14647</v>
      </c>
    </row>
    <row r="5766" spans="1:5" x14ac:dyDescent="0.2">
      <c r="A5766" t="s">
        <v>14713</v>
      </c>
      <c r="B5766" t="s">
        <v>14714</v>
      </c>
      <c r="C5766" t="s">
        <v>14646</v>
      </c>
      <c r="D5766" t="s">
        <v>14646</v>
      </c>
      <c r="E5766" t="s">
        <v>14715</v>
      </c>
    </row>
    <row r="5767" spans="1:5" x14ac:dyDescent="0.2">
      <c r="A5767" t="s">
        <v>14716</v>
      </c>
      <c r="B5767" t="s">
        <v>14717</v>
      </c>
      <c r="C5767" t="s">
        <v>14646</v>
      </c>
      <c r="D5767" t="s">
        <v>14646</v>
      </c>
      <c r="E5767" t="s">
        <v>14718</v>
      </c>
    </row>
    <row r="5768" spans="1:5" x14ac:dyDescent="0.2">
      <c r="A5768" t="s">
        <v>14719</v>
      </c>
      <c r="B5768" t="s">
        <v>14720</v>
      </c>
      <c r="C5768" t="s">
        <v>14646</v>
      </c>
      <c r="D5768" t="s">
        <v>14646</v>
      </c>
      <c r="E5768" t="s">
        <v>14721</v>
      </c>
    </row>
    <row r="5769" spans="1:5" x14ac:dyDescent="0.2">
      <c r="A5769" t="s">
        <v>14722</v>
      </c>
      <c r="B5769" t="s">
        <v>14723</v>
      </c>
      <c r="C5769" t="s">
        <v>14646</v>
      </c>
      <c r="D5769" t="s">
        <v>14646</v>
      </c>
      <c r="E5769" t="s">
        <v>14724</v>
      </c>
    </row>
    <row r="5770" spans="1:5" x14ac:dyDescent="0.2">
      <c r="A5770" t="s">
        <v>14725</v>
      </c>
      <c r="B5770" t="s">
        <v>14726</v>
      </c>
      <c r="C5770" t="s">
        <v>14646</v>
      </c>
      <c r="D5770" t="s">
        <v>14646</v>
      </c>
      <c r="E5770" t="s">
        <v>14727</v>
      </c>
    </row>
    <row r="5771" spans="1:5" x14ac:dyDescent="0.2">
      <c r="A5771" t="s">
        <v>14728</v>
      </c>
      <c r="B5771" t="s">
        <v>14729</v>
      </c>
      <c r="C5771" t="s">
        <v>14646</v>
      </c>
      <c r="D5771" t="s">
        <v>14646</v>
      </c>
      <c r="E5771" t="s">
        <v>14647</v>
      </c>
    </row>
    <row r="5772" spans="1:5" x14ac:dyDescent="0.2">
      <c r="A5772" t="s">
        <v>14730</v>
      </c>
      <c r="B5772" t="s">
        <v>14731</v>
      </c>
      <c r="C5772" t="s">
        <v>14646</v>
      </c>
      <c r="D5772" t="s">
        <v>14646</v>
      </c>
      <c r="E5772" t="s">
        <v>14647</v>
      </c>
    </row>
    <row r="5773" spans="1:5" x14ac:dyDescent="0.2">
      <c r="A5773" t="s">
        <v>14732</v>
      </c>
      <c r="B5773" t="s">
        <v>14733</v>
      </c>
      <c r="C5773" t="s">
        <v>14646</v>
      </c>
      <c r="D5773" t="s">
        <v>14646</v>
      </c>
      <c r="E5773" t="s">
        <v>14670</v>
      </c>
    </row>
    <row r="5774" spans="1:5" x14ac:dyDescent="0.2">
      <c r="A5774" t="s">
        <v>14734</v>
      </c>
      <c r="B5774" t="s">
        <v>14735</v>
      </c>
      <c r="C5774" t="s">
        <v>14646</v>
      </c>
      <c r="D5774" t="s">
        <v>14646</v>
      </c>
      <c r="E5774" t="s">
        <v>14647</v>
      </c>
    </row>
    <row r="5775" spans="1:5" x14ac:dyDescent="0.2">
      <c r="A5775" t="s">
        <v>14736</v>
      </c>
      <c r="B5775" t="s">
        <v>14737</v>
      </c>
      <c r="C5775" t="s">
        <v>14646</v>
      </c>
      <c r="D5775" t="s">
        <v>14646</v>
      </c>
      <c r="E5775" t="s">
        <v>14647</v>
      </c>
    </row>
    <row r="5776" spans="1:5" x14ac:dyDescent="0.2">
      <c r="A5776" t="s">
        <v>14738</v>
      </c>
      <c r="B5776" t="s">
        <v>14739</v>
      </c>
      <c r="C5776" t="s">
        <v>14646</v>
      </c>
      <c r="D5776" t="s">
        <v>14646</v>
      </c>
      <c r="E5776" t="s">
        <v>14659</v>
      </c>
    </row>
    <row r="5777" spans="1:5" x14ac:dyDescent="0.2">
      <c r="A5777" t="s">
        <v>14740</v>
      </c>
      <c r="B5777" t="s">
        <v>14741</v>
      </c>
      <c r="C5777" t="s">
        <v>14646</v>
      </c>
      <c r="D5777" t="s">
        <v>14646</v>
      </c>
      <c r="E5777" t="s">
        <v>14665</v>
      </c>
    </row>
    <row r="5778" spans="1:5" x14ac:dyDescent="0.2">
      <c r="A5778" t="s">
        <v>14742</v>
      </c>
      <c r="B5778" t="s">
        <v>14743</v>
      </c>
      <c r="C5778" t="s">
        <v>14646</v>
      </c>
      <c r="D5778" t="s">
        <v>14646</v>
      </c>
      <c r="E5778" t="s">
        <v>14670</v>
      </c>
    </row>
    <row r="5779" spans="1:5" x14ac:dyDescent="0.2">
      <c r="A5779" t="s">
        <v>14744</v>
      </c>
      <c r="B5779" t="s">
        <v>14745</v>
      </c>
      <c r="C5779" t="s">
        <v>14646</v>
      </c>
      <c r="D5779" t="s">
        <v>14646</v>
      </c>
      <c r="E5779" t="s">
        <v>14746</v>
      </c>
    </row>
    <row r="5780" spans="1:5" x14ac:dyDescent="0.2">
      <c r="A5780" t="s">
        <v>14747</v>
      </c>
      <c r="B5780" t="s">
        <v>14748</v>
      </c>
      <c r="C5780" t="s">
        <v>14646</v>
      </c>
      <c r="D5780" t="s">
        <v>14646</v>
      </c>
      <c r="E5780" t="s">
        <v>14749</v>
      </c>
    </row>
    <row r="5781" spans="1:5" x14ac:dyDescent="0.2">
      <c r="A5781" t="s">
        <v>14750</v>
      </c>
      <c r="B5781" t="s">
        <v>14751</v>
      </c>
      <c r="C5781" t="s">
        <v>14646</v>
      </c>
      <c r="D5781" t="s">
        <v>14646</v>
      </c>
      <c r="E5781" t="s">
        <v>14752</v>
      </c>
    </row>
    <row r="5782" spans="1:5" x14ac:dyDescent="0.2">
      <c r="A5782" t="s">
        <v>14753</v>
      </c>
      <c r="B5782" t="s">
        <v>14754</v>
      </c>
      <c r="C5782" t="s">
        <v>14646</v>
      </c>
      <c r="D5782" t="s">
        <v>14646</v>
      </c>
      <c r="E5782" t="s">
        <v>14670</v>
      </c>
    </row>
    <row r="5783" spans="1:5" x14ac:dyDescent="0.2">
      <c r="A5783" t="s">
        <v>14755</v>
      </c>
      <c r="B5783" t="s">
        <v>14756</v>
      </c>
      <c r="C5783" t="s">
        <v>14646</v>
      </c>
      <c r="D5783" t="s">
        <v>14646</v>
      </c>
      <c r="E5783" t="s">
        <v>14647</v>
      </c>
    </row>
    <row r="5784" spans="1:5" x14ac:dyDescent="0.2">
      <c r="A5784" t="s">
        <v>14757</v>
      </c>
      <c r="B5784" t="s">
        <v>14758</v>
      </c>
      <c r="C5784" t="s">
        <v>14646</v>
      </c>
      <c r="D5784" t="s">
        <v>14646</v>
      </c>
      <c r="E5784" t="s">
        <v>14759</v>
      </c>
    </row>
    <row r="5785" spans="1:5" x14ac:dyDescent="0.2">
      <c r="A5785" t="s">
        <v>14760</v>
      </c>
      <c r="B5785" t="s">
        <v>14761</v>
      </c>
      <c r="C5785" t="s">
        <v>14646</v>
      </c>
      <c r="D5785" t="s">
        <v>14646</v>
      </c>
      <c r="E5785" t="s">
        <v>14670</v>
      </c>
    </row>
    <row r="5786" spans="1:5" x14ac:dyDescent="0.2">
      <c r="A5786" t="s">
        <v>14762</v>
      </c>
      <c r="B5786" t="s">
        <v>14763</v>
      </c>
      <c r="C5786" t="s">
        <v>14646</v>
      </c>
      <c r="D5786" t="s">
        <v>14646</v>
      </c>
      <c r="E5786" t="s">
        <v>14670</v>
      </c>
    </row>
    <row r="5787" spans="1:5" x14ac:dyDescent="0.2">
      <c r="A5787" t="s">
        <v>14764</v>
      </c>
      <c r="B5787" t="s">
        <v>14765</v>
      </c>
      <c r="C5787" t="s">
        <v>14646</v>
      </c>
      <c r="D5787" t="s">
        <v>14646</v>
      </c>
      <c r="E5787" t="s">
        <v>14659</v>
      </c>
    </row>
    <row r="5788" spans="1:5" x14ac:dyDescent="0.2">
      <c r="A5788" t="s">
        <v>14766</v>
      </c>
      <c r="B5788" t="s">
        <v>14767</v>
      </c>
      <c r="C5788" t="s">
        <v>14646</v>
      </c>
      <c r="D5788" t="s">
        <v>14646</v>
      </c>
      <c r="E5788" t="s">
        <v>14768</v>
      </c>
    </row>
    <row r="5789" spans="1:5" x14ac:dyDescent="0.2">
      <c r="A5789" t="s">
        <v>14769</v>
      </c>
      <c r="B5789" t="s">
        <v>14770</v>
      </c>
      <c r="C5789" t="s">
        <v>14646</v>
      </c>
      <c r="D5789" t="s">
        <v>14646</v>
      </c>
      <c r="E5789" t="s">
        <v>14771</v>
      </c>
    </row>
    <row r="5790" spans="1:5" x14ac:dyDescent="0.2">
      <c r="A5790" t="s">
        <v>14772</v>
      </c>
      <c r="B5790" t="s">
        <v>14773</v>
      </c>
      <c r="C5790" t="s">
        <v>14646</v>
      </c>
      <c r="D5790" t="s">
        <v>14646</v>
      </c>
      <c r="E5790" t="s">
        <v>14774</v>
      </c>
    </row>
    <row r="5791" spans="1:5" x14ac:dyDescent="0.2">
      <c r="A5791" t="s">
        <v>14775</v>
      </c>
      <c r="B5791" t="s">
        <v>14776</v>
      </c>
      <c r="C5791" t="s">
        <v>14646</v>
      </c>
      <c r="D5791" t="s">
        <v>14646</v>
      </c>
      <c r="E5791" t="s">
        <v>14670</v>
      </c>
    </row>
    <row r="5792" spans="1:5" x14ac:dyDescent="0.2">
      <c r="A5792" t="s">
        <v>14777</v>
      </c>
      <c r="B5792" t="s">
        <v>14778</v>
      </c>
      <c r="C5792" t="s">
        <v>14646</v>
      </c>
      <c r="D5792" t="s">
        <v>14646</v>
      </c>
      <c r="E5792" t="s">
        <v>14665</v>
      </c>
    </row>
    <row r="5793" spans="1:5" x14ac:dyDescent="0.2">
      <c r="A5793" t="s">
        <v>14779</v>
      </c>
      <c r="B5793" t="s">
        <v>14780</v>
      </c>
      <c r="C5793" t="s">
        <v>14646</v>
      </c>
      <c r="D5793" t="s">
        <v>14646</v>
      </c>
      <c r="E5793" t="s">
        <v>14781</v>
      </c>
    </row>
    <row r="5794" spans="1:5" x14ac:dyDescent="0.2">
      <c r="A5794" t="s">
        <v>14782</v>
      </c>
      <c r="B5794" t="s">
        <v>14783</v>
      </c>
      <c r="C5794" t="s">
        <v>14646</v>
      </c>
      <c r="D5794" t="s">
        <v>14646</v>
      </c>
      <c r="E5794" t="s">
        <v>14670</v>
      </c>
    </row>
    <row r="5795" spans="1:5" x14ac:dyDescent="0.2">
      <c r="A5795" t="s">
        <v>14784</v>
      </c>
      <c r="B5795" t="s">
        <v>14785</v>
      </c>
      <c r="C5795" t="s">
        <v>14646</v>
      </c>
      <c r="D5795" t="s">
        <v>14646</v>
      </c>
      <c r="E5795" t="s">
        <v>14786</v>
      </c>
    </row>
    <row r="5796" spans="1:5" x14ac:dyDescent="0.2">
      <c r="A5796" t="s">
        <v>14787</v>
      </c>
      <c r="B5796" t="s">
        <v>14788</v>
      </c>
      <c r="C5796" t="s">
        <v>14646</v>
      </c>
      <c r="D5796" t="s">
        <v>14646</v>
      </c>
      <c r="E5796" t="s">
        <v>14670</v>
      </c>
    </row>
    <row r="5797" spans="1:5" x14ac:dyDescent="0.2">
      <c r="A5797" t="s">
        <v>14789</v>
      </c>
      <c r="B5797" t="s">
        <v>14790</v>
      </c>
      <c r="C5797" t="s">
        <v>14646</v>
      </c>
      <c r="D5797" t="s">
        <v>14646</v>
      </c>
      <c r="E5797" t="s">
        <v>14791</v>
      </c>
    </row>
    <row r="5798" spans="1:5" x14ac:dyDescent="0.2">
      <c r="A5798" t="s">
        <v>14792</v>
      </c>
      <c r="B5798" t="s">
        <v>14793</v>
      </c>
      <c r="C5798" t="s">
        <v>14646</v>
      </c>
      <c r="D5798" t="s">
        <v>14646</v>
      </c>
      <c r="E5798" t="s">
        <v>14665</v>
      </c>
    </row>
    <row r="5799" spans="1:5" x14ac:dyDescent="0.2">
      <c r="A5799" t="s">
        <v>14794</v>
      </c>
      <c r="B5799" t="s">
        <v>14795</v>
      </c>
      <c r="C5799" t="s">
        <v>14646</v>
      </c>
      <c r="D5799" t="s">
        <v>14646</v>
      </c>
      <c r="E5799" t="s">
        <v>14670</v>
      </c>
    </row>
    <row r="5800" spans="1:5" x14ac:dyDescent="0.2">
      <c r="A5800" t="s">
        <v>14796</v>
      </c>
      <c r="B5800" t="s">
        <v>14797</v>
      </c>
      <c r="C5800" t="s">
        <v>14646</v>
      </c>
      <c r="D5800" t="s">
        <v>14646</v>
      </c>
      <c r="E5800" t="s">
        <v>14798</v>
      </c>
    </row>
    <row r="5801" spans="1:5" x14ac:dyDescent="0.2">
      <c r="A5801" t="s">
        <v>14799</v>
      </c>
      <c r="B5801" t="s">
        <v>14800</v>
      </c>
      <c r="C5801" t="s">
        <v>14646</v>
      </c>
      <c r="D5801" t="s">
        <v>14646</v>
      </c>
      <c r="E5801" t="s">
        <v>14665</v>
      </c>
    </row>
    <row r="5802" spans="1:5" x14ac:dyDescent="0.2">
      <c r="A5802" t="s">
        <v>14801</v>
      </c>
      <c r="B5802" t="s">
        <v>14802</v>
      </c>
      <c r="C5802" t="s">
        <v>14646</v>
      </c>
      <c r="D5802" t="s">
        <v>14646</v>
      </c>
      <c r="E5802" t="s">
        <v>14647</v>
      </c>
    </row>
    <row r="5803" spans="1:5" x14ac:dyDescent="0.2">
      <c r="A5803" t="s">
        <v>14803</v>
      </c>
      <c r="B5803" t="s">
        <v>14804</v>
      </c>
      <c r="C5803" t="s">
        <v>14646</v>
      </c>
      <c r="D5803" t="s">
        <v>14646</v>
      </c>
      <c r="E5803" t="s">
        <v>14647</v>
      </c>
    </row>
    <row r="5804" spans="1:5" x14ac:dyDescent="0.2">
      <c r="A5804" t="s">
        <v>14805</v>
      </c>
      <c r="B5804" t="s">
        <v>14806</v>
      </c>
      <c r="C5804" t="s">
        <v>14646</v>
      </c>
      <c r="D5804" t="s">
        <v>14646</v>
      </c>
      <c r="E5804" t="s">
        <v>14659</v>
      </c>
    </row>
    <row r="5805" spans="1:5" x14ac:dyDescent="0.2">
      <c r="A5805" t="s">
        <v>14807</v>
      </c>
      <c r="B5805" t="s">
        <v>14808</v>
      </c>
      <c r="C5805" t="s">
        <v>14646</v>
      </c>
      <c r="D5805" t="s">
        <v>14646</v>
      </c>
      <c r="E5805" t="s">
        <v>14659</v>
      </c>
    </row>
    <row r="5806" spans="1:5" x14ac:dyDescent="0.2">
      <c r="A5806" t="s">
        <v>14809</v>
      </c>
      <c r="B5806" t="s">
        <v>14810</v>
      </c>
      <c r="C5806" t="s">
        <v>14646</v>
      </c>
      <c r="D5806" t="s">
        <v>14646</v>
      </c>
      <c r="E5806" t="s">
        <v>14670</v>
      </c>
    </row>
    <row r="5807" spans="1:5" x14ac:dyDescent="0.2">
      <c r="A5807" t="s">
        <v>14811</v>
      </c>
      <c r="B5807" t="s">
        <v>14812</v>
      </c>
      <c r="C5807" t="s">
        <v>14646</v>
      </c>
      <c r="D5807" t="s">
        <v>14646</v>
      </c>
      <c r="E5807" t="s">
        <v>14813</v>
      </c>
    </row>
    <row r="5808" spans="1:5" x14ac:dyDescent="0.2">
      <c r="A5808" t="s">
        <v>14814</v>
      </c>
      <c r="B5808" t="s">
        <v>14815</v>
      </c>
      <c r="C5808" t="s">
        <v>14646</v>
      </c>
      <c r="D5808" t="s">
        <v>14646</v>
      </c>
      <c r="E5808" t="s">
        <v>14816</v>
      </c>
    </row>
    <row r="5809" spans="1:5" x14ac:dyDescent="0.2">
      <c r="A5809" t="s">
        <v>14817</v>
      </c>
      <c r="B5809" t="s">
        <v>14818</v>
      </c>
      <c r="C5809" t="s">
        <v>14646</v>
      </c>
      <c r="D5809" t="s">
        <v>14646</v>
      </c>
      <c r="E5809" t="s">
        <v>14665</v>
      </c>
    </row>
    <row r="5810" spans="1:5" x14ac:dyDescent="0.2">
      <c r="A5810" t="s">
        <v>14819</v>
      </c>
      <c r="B5810" t="s">
        <v>14820</v>
      </c>
      <c r="C5810" t="s">
        <v>14646</v>
      </c>
      <c r="D5810" t="s">
        <v>14646</v>
      </c>
      <c r="E5810" t="s">
        <v>14821</v>
      </c>
    </row>
    <row r="5811" spans="1:5" x14ac:dyDescent="0.2">
      <c r="A5811" t="s">
        <v>14822</v>
      </c>
      <c r="B5811" t="s">
        <v>14823</v>
      </c>
      <c r="C5811" t="s">
        <v>14646</v>
      </c>
      <c r="D5811" t="s">
        <v>14646</v>
      </c>
      <c r="E5811" t="s">
        <v>14665</v>
      </c>
    </row>
    <row r="5812" spans="1:5" x14ac:dyDescent="0.2">
      <c r="A5812" t="s">
        <v>14824</v>
      </c>
      <c r="B5812" t="s">
        <v>14825</v>
      </c>
      <c r="C5812" t="s">
        <v>14646</v>
      </c>
      <c r="D5812" t="s">
        <v>14646</v>
      </c>
      <c r="E5812" t="s">
        <v>14826</v>
      </c>
    </row>
    <row r="5813" spans="1:5" x14ac:dyDescent="0.2">
      <c r="A5813" t="s">
        <v>14827</v>
      </c>
      <c r="B5813" t="s">
        <v>14828</v>
      </c>
      <c r="C5813" t="s">
        <v>14646</v>
      </c>
      <c r="D5813" t="s">
        <v>14646</v>
      </c>
      <c r="E5813" t="s">
        <v>14829</v>
      </c>
    </row>
    <row r="5814" spans="1:5" x14ac:dyDescent="0.2">
      <c r="A5814" t="s">
        <v>14830</v>
      </c>
      <c r="B5814" t="s">
        <v>14831</v>
      </c>
      <c r="C5814" t="s">
        <v>14646</v>
      </c>
      <c r="D5814" t="s">
        <v>14646</v>
      </c>
      <c r="E5814" t="s">
        <v>14665</v>
      </c>
    </row>
    <row r="5815" spans="1:5" x14ac:dyDescent="0.2">
      <c r="A5815" t="s">
        <v>14832</v>
      </c>
      <c r="B5815" t="s">
        <v>14833</v>
      </c>
      <c r="C5815" t="s">
        <v>14646</v>
      </c>
      <c r="D5815" t="s">
        <v>14646</v>
      </c>
      <c r="E5815" t="s">
        <v>14647</v>
      </c>
    </row>
    <row r="5816" spans="1:5" x14ac:dyDescent="0.2">
      <c r="A5816" t="s">
        <v>14834</v>
      </c>
      <c r="B5816" t="s">
        <v>14835</v>
      </c>
      <c r="C5816" t="s">
        <v>14646</v>
      </c>
      <c r="D5816" t="s">
        <v>14646</v>
      </c>
      <c r="E5816" t="s">
        <v>14836</v>
      </c>
    </row>
    <row r="5817" spans="1:5" x14ac:dyDescent="0.2">
      <c r="A5817" t="s">
        <v>14837</v>
      </c>
      <c r="B5817" t="s">
        <v>14838</v>
      </c>
      <c r="C5817" t="s">
        <v>14646</v>
      </c>
      <c r="D5817" t="s">
        <v>14646</v>
      </c>
      <c r="E5817" t="s">
        <v>14839</v>
      </c>
    </row>
    <row r="5818" spans="1:5" x14ac:dyDescent="0.2">
      <c r="A5818" t="s">
        <v>14840</v>
      </c>
      <c r="B5818" t="s">
        <v>14841</v>
      </c>
      <c r="C5818" t="s">
        <v>14646</v>
      </c>
      <c r="D5818" t="s">
        <v>14646</v>
      </c>
      <c r="E5818" t="s">
        <v>14842</v>
      </c>
    </row>
    <row r="5819" spans="1:5" x14ac:dyDescent="0.2">
      <c r="A5819" t="s">
        <v>14843</v>
      </c>
      <c r="B5819" t="s">
        <v>14844</v>
      </c>
      <c r="C5819" t="s">
        <v>14646</v>
      </c>
      <c r="D5819" t="s">
        <v>14646</v>
      </c>
      <c r="E5819" t="s">
        <v>14845</v>
      </c>
    </row>
    <row r="5820" spans="1:5" x14ac:dyDescent="0.2">
      <c r="A5820" t="s">
        <v>14846</v>
      </c>
      <c r="B5820" t="s">
        <v>14847</v>
      </c>
      <c r="C5820" t="s">
        <v>14646</v>
      </c>
      <c r="D5820" t="s">
        <v>14646</v>
      </c>
      <c r="E5820" t="s">
        <v>14659</v>
      </c>
    </row>
    <row r="5821" spans="1:5" x14ac:dyDescent="0.2">
      <c r="A5821" t="s">
        <v>14848</v>
      </c>
      <c r="B5821" t="s">
        <v>14849</v>
      </c>
      <c r="C5821" t="s">
        <v>14646</v>
      </c>
      <c r="D5821" t="s">
        <v>14646</v>
      </c>
      <c r="E5821" t="s">
        <v>14850</v>
      </c>
    </row>
    <row r="5822" spans="1:5" x14ac:dyDescent="0.2">
      <c r="A5822" t="s">
        <v>14851</v>
      </c>
      <c r="B5822" t="s">
        <v>14852</v>
      </c>
      <c r="C5822" t="s">
        <v>14646</v>
      </c>
      <c r="D5822" t="s">
        <v>14646</v>
      </c>
      <c r="E5822" t="s">
        <v>14853</v>
      </c>
    </row>
    <row r="5823" spans="1:5" x14ac:dyDescent="0.2">
      <c r="A5823" t="s">
        <v>14854</v>
      </c>
      <c r="B5823" t="s">
        <v>14855</v>
      </c>
      <c r="C5823" t="s">
        <v>14856</v>
      </c>
      <c r="D5823" t="s">
        <v>14856</v>
      </c>
      <c r="E5823" t="s">
        <v>14857</v>
      </c>
    </row>
    <row r="5824" spans="1:5" x14ac:dyDescent="0.2">
      <c r="A5824" t="s">
        <v>14858</v>
      </c>
      <c r="B5824" t="s">
        <v>14859</v>
      </c>
      <c r="C5824" t="s">
        <v>14856</v>
      </c>
      <c r="D5824" t="s">
        <v>14856</v>
      </c>
      <c r="E5824" t="s">
        <v>14860</v>
      </c>
    </row>
    <row r="5825" spans="1:5" x14ac:dyDescent="0.2">
      <c r="A5825" t="s">
        <v>14861</v>
      </c>
      <c r="B5825" t="s">
        <v>14862</v>
      </c>
      <c r="C5825" t="s">
        <v>14856</v>
      </c>
      <c r="D5825" t="s">
        <v>14856</v>
      </c>
      <c r="E5825" t="s">
        <v>14863</v>
      </c>
    </row>
    <row r="5826" spans="1:5" x14ac:dyDescent="0.2">
      <c r="A5826" t="s">
        <v>14864</v>
      </c>
      <c r="B5826" t="s">
        <v>14865</v>
      </c>
      <c r="C5826" t="s">
        <v>14856</v>
      </c>
      <c r="D5826" t="s">
        <v>14856</v>
      </c>
      <c r="E5826" t="s">
        <v>14866</v>
      </c>
    </row>
    <row r="5827" spans="1:5" x14ac:dyDescent="0.2">
      <c r="A5827" t="s">
        <v>14867</v>
      </c>
      <c r="B5827" t="s">
        <v>14868</v>
      </c>
      <c r="C5827" t="s">
        <v>14856</v>
      </c>
      <c r="D5827" t="s">
        <v>14856</v>
      </c>
      <c r="E5827" t="s">
        <v>14869</v>
      </c>
    </row>
    <row r="5828" spans="1:5" x14ac:dyDescent="0.2">
      <c r="A5828" t="s">
        <v>14870</v>
      </c>
      <c r="B5828" t="s">
        <v>14871</v>
      </c>
      <c r="C5828" t="s">
        <v>14856</v>
      </c>
      <c r="D5828" t="s">
        <v>14856</v>
      </c>
      <c r="E5828" t="s">
        <v>14872</v>
      </c>
    </row>
    <row r="5829" spans="1:5" x14ac:dyDescent="0.2">
      <c r="A5829" t="s">
        <v>14873</v>
      </c>
      <c r="B5829" t="s">
        <v>14874</v>
      </c>
      <c r="C5829" t="s">
        <v>14856</v>
      </c>
      <c r="D5829" t="s">
        <v>14856</v>
      </c>
      <c r="E5829" t="s">
        <v>14875</v>
      </c>
    </row>
    <row r="5830" spans="1:5" x14ac:dyDescent="0.2">
      <c r="A5830" t="s">
        <v>14876</v>
      </c>
      <c r="B5830" t="s">
        <v>14877</v>
      </c>
      <c r="C5830" t="s">
        <v>14856</v>
      </c>
      <c r="D5830" t="s">
        <v>14856</v>
      </c>
      <c r="E5830" t="s">
        <v>14878</v>
      </c>
    </row>
    <row r="5831" spans="1:5" x14ac:dyDescent="0.2">
      <c r="A5831" t="s">
        <v>14879</v>
      </c>
      <c r="B5831" t="s">
        <v>14880</v>
      </c>
      <c r="C5831" t="s">
        <v>14856</v>
      </c>
      <c r="D5831" t="s">
        <v>14856</v>
      </c>
      <c r="E5831" t="s">
        <v>14881</v>
      </c>
    </row>
    <row r="5832" spans="1:5" x14ac:dyDescent="0.2">
      <c r="A5832" t="s">
        <v>14882</v>
      </c>
      <c r="B5832" t="s">
        <v>14883</v>
      </c>
      <c r="C5832" t="s">
        <v>14856</v>
      </c>
      <c r="D5832" t="s">
        <v>14856</v>
      </c>
      <c r="E5832" t="s">
        <v>14884</v>
      </c>
    </row>
    <row r="5833" spans="1:5" x14ac:dyDescent="0.2">
      <c r="A5833" t="s">
        <v>14885</v>
      </c>
      <c r="B5833" t="s">
        <v>14886</v>
      </c>
      <c r="C5833" t="s">
        <v>14856</v>
      </c>
      <c r="D5833" t="s">
        <v>14856</v>
      </c>
      <c r="E5833" t="s">
        <v>14887</v>
      </c>
    </row>
    <row r="5834" spans="1:5" x14ac:dyDescent="0.2">
      <c r="A5834" t="s">
        <v>14888</v>
      </c>
      <c r="B5834" t="s">
        <v>14889</v>
      </c>
      <c r="C5834" t="s">
        <v>14856</v>
      </c>
      <c r="D5834" t="s">
        <v>14856</v>
      </c>
      <c r="E5834" t="s">
        <v>14878</v>
      </c>
    </row>
    <row r="5835" spans="1:5" x14ac:dyDescent="0.2">
      <c r="A5835" t="s">
        <v>14890</v>
      </c>
      <c r="B5835" t="s">
        <v>14891</v>
      </c>
      <c r="C5835" t="s">
        <v>14856</v>
      </c>
      <c r="D5835" t="s">
        <v>14856</v>
      </c>
      <c r="E5835" t="s">
        <v>14892</v>
      </c>
    </row>
    <row r="5836" spans="1:5" x14ac:dyDescent="0.2">
      <c r="A5836" t="s">
        <v>14893</v>
      </c>
      <c r="B5836" t="s">
        <v>14894</v>
      </c>
      <c r="C5836" t="s">
        <v>14856</v>
      </c>
      <c r="D5836" t="s">
        <v>14856</v>
      </c>
      <c r="E5836" t="s">
        <v>14887</v>
      </c>
    </row>
    <row r="5837" spans="1:5" x14ac:dyDescent="0.2">
      <c r="A5837" t="s">
        <v>14895</v>
      </c>
      <c r="B5837" t="s">
        <v>14896</v>
      </c>
      <c r="C5837" t="s">
        <v>14856</v>
      </c>
      <c r="D5837" t="s">
        <v>14856</v>
      </c>
      <c r="E5837" t="s">
        <v>14897</v>
      </c>
    </row>
    <row r="5838" spans="1:5" x14ac:dyDescent="0.2">
      <c r="A5838" t="s">
        <v>14898</v>
      </c>
      <c r="B5838" t="s">
        <v>14899</v>
      </c>
      <c r="C5838" t="s">
        <v>14856</v>
      </c>
      <c r="D5838" t="s">
        <v>14856</v>
      </c>
      <c r="E5838" t="s">
        <v>14863</v>
      </c>
    </row>
    <row r="5839" spans="1:5" x14ac:dyDescent="0.2">
      <c r="A5839" t="s">
        <v>14900</v>
      </c>
      <c r="B5839" t="s">
        <v>14901</v>
      </c>
      <c r="C5839" t="s">
        <v>14856</v>
      </c>
      <c r="D5839" t="s">
        <v>14856</v>
      </c>
      <c r="E5839" t="s">
        <v>14902</v>
      </c>
    </row>
    <row r="5840" spans="1:5" x14ac:dyDescent="0.2">
      <c r="A5840" t="s">
        <v>14903</v>
      </c>
      <c r="B5840" t="s">
        <v>14904</v>
      </c>
      <c r="C5840" t="s">
        <v>14856</v>
      </c>
      <c r="D5840" t="s">
        <v>14856</v>
      </c>
      <c r="E5840" t="s">
        <v>14905</v>
      </c>
    </row>
    <row r="5841" spans="1:5" x14ac:dyDescent="0.2">
      <c r="A5841" t="s">
        <v>14906</v>
      </c>
      <c r="B5841" t="s">
        <v>14907</v>
      </c>
      <c r="C5841" t="s">
        <v>14856</v>
      </c>
      <c r="D5841" t="s">
        <v>14856</v>
      </c>
      <c r="E5841" t="s">
        <v>14863</v>
      </c>
    </row>
    <row r="5842" spans="1:5" x14ac:dyDescent="0.2">
      <c r="A5842" t="s">
        <v>14908</v>
      </c>
      <c r="B5842" t="s">
        <v>14909</v>
      </c>
      <c r="C5842" t="s">
        <v>14856</v>
      </c>
      <c r="D5842" t="s">
        <v>14856</v>
      </c>
      <c r="E5842" t="s">
        <v>14910</v>
      </c>
    </row>
    <row r="5843" spans="1:5" x14ac:dyDescent="0.2">
      <c r="A5843" t="s">
        <v>14911</v>
      </c>
      <c r="B5843" t="s">
        <v>14912</v>
      </c>
      <c r="C5843" t="s">
        <v>14856</v>
      </c>
      <c r="D5843" t="s">
        <v>14856</v>
      </c>
      <c r="E5843" t="s">
        <v>14878</v>
      </c>
    </row>
    <row r="5844" spans="1:5" x14ac:dyDescent="0.2">
      <c r="A5844" t="s">
        <v>14913</v>
      </c>
      <c r="B5844" t="s">
        <v>14914</v>
      </c>
      <c r="C5844" t="s">
        <v>14856</v>
      </c>
      <c r="D5844" t="s">
        <v>14856</v>
      </c>
      <c r="E5844" t="s">
        <v>14915</v>
      </c>
    </row>
    <row r="5845" spans="1:5" x14ac:dyDescent="0.2">
      <c r="A5845" t="s">
        <v>14916</v>
      </c>
      <c r="B5845" t="s">
        <v>14917</v>
      </c>
      <c r="C5845" t="s">
        <v>14856</v>
      </c>
      <c r="D5845" t="s">
        <v>14856</v>
      </c>
      <c r="E5845" t="s">
        <v>14863</v>
      </c>
    </row>
    <row r="5846" spans="1:5" x14ac:dyDescent="0.2">
      <c r="A5846" t="s">
        <v>14918</v>
      </c>
      <c r="B5846" t="s">
        <v>14919</v>
      </c>
      <c r="C5846" t="s">
        <v>14856</v>
      </c>
      <c r="D5846" t="s">
        <v>14856</v>
      </c>
      <c r="E5846" t="s">
        <v>14920</v>
      </c>
    </row>
    <row r="5847" spans="1:5" x14ac:dyDescent="0.2">
      <c r="A5847" t="s">
        <v>14921</v>
      </c>
      <c r="B5847" t="s">
        <v>14922</v>
      </c>
      <c r="C5847" t="s">
        <v>14856</v>
      </c>
      <c r="D5847" t="s">
        <v>14856</v>
      </c>
      <c r="E5847" t="s">
        <v>14878</v>
      </c>
    </row>
    <row r="5848" spans="1:5" x14ac:dyDescent="0.2">
      <c r="A5848" t="s">
        <v>14923</v>
      </c>
      <c r="B5848" t="s">
        <v>14924</v>
      </c>
      <c r="C5848" t="s">
        <v>14856</v>
      </c>
      <c r="D5848" t="s">
        <v>14856</v>
      </c>
      <c r="E5848" t="s">
        <v>14925</v>
      </c>
    </row>
    <row r="5849" spans="1:5" x14ac:dyDescent="0.2">
      <c r="A5849" t="s">
        <v>14926</v>
      </c>
      <c r="B5849" t="s">
        <v>14927</v>
      </c>
      <c r="C5849" t="s">
        <v>14856</v>
      </c>
      <c r="D5849" t="s">
        <v>14856</v>
      </c>
      <c r="E5849" t="s">
        <v>14878</v>
      </c>
    </row>
    <row r="5850" spans="1:5" x14ac:dyDescent="0.2">
      <c r="A5850" t="s">
        <v>14928</v>
      </c>
      <c r="B5850" t="s">
        <v>14929</v>
      </c>
      <c r="C5850" t="s">
        <v>14856</v>
      </c>
      <c r="D5850" t="s">
        <v>14856</v>
      </c>
      <c r="E5850" t="s">
        <v>14930</v>
      </c>
    </row>
    <row r="5851" spans="1:5" x14ac:dyDescent="0.2">
      <c r="A5851" t="s">
        <v>14931</v>
      </c>
      <c r="B5851" t="s">
        <v>14932</v>
      </c>
      <c r="C5851" t="s">
        <v>14856</v>
      </c>
      <c r="D5851" t="s">
        <v>14856</v>
      </c>
      <c r="E5851" t="s">
        <v>14933</v>
      </c>
    </row>
    <row r="5852" spans="1:5" x14ac:dyDescent="0.2">
      <c r="A5852" t="s">
        <v>14934</v>
      </c>
      <c r="B5852" t="s">
        <v>14935</v>
      </c>
      <c r="C5852" t="s">
        <v>14856</v>
      </c>
      <c r="D5852" t="s">
        <v>14856</v>
      </c>
      <c r="E5852" t="s">
        <v>14887</v>
      </c>
    </row>
    <row r="5853" spans="1:5" x14ac:dyDescent="0.2">
      <c r="A5853" t="s">
        <v>14936</v>
      </c>
      <c r="B5853" t="s">
        <v>14937</v>
      </c>
      <c r="C5853" t="s">
        <v>14856</v>
      </c>
      <c r="D5853" t="s">
        <v>14856</v>
      </c>
      <c r="E5853" t="s">
        <v>14863</v>
      </c>
    </row>
    <row r="5854" spans="1:5" x14ac:dyDescent="0.2">
      <c r="A5854" t="s">
        <v>14938</v>
      </c>
      <c r="B5854" t="s">
        <v>14939</v>
      </c>
      <c r="C5854" t="s">
        <v>14856</v>
      </c>
      <c r="D5854" t="s">
        <v>14856</v>
      </c>
      <c r="E5854" t="s">
        <v>14940</v>
      </c>
    </row>
    <row r="5855" spans="1:5" x14ac:dyDescent="0.2">
      <c r="A5855" t="s">
        <v>14941</v>
      </c>
      <c r="B5855" t="s">
        <v>14942</v>
      </c>
      <c r="C5855" t="s">
        <v>14856</v>
      </c>
      <c r="D5855" t="s">
        <v>14856</v>
      </c>
      <c r="E5855" t="s">
        <v>14887</v>
      </c>
    </row>
    <row r="5856" spans="1:5" x14ac:dyDescent="0.2">
      <c r="A5856" t="s">
        <v>14943</v>
      </c>
      <c r="B5856" t="s">
        <v>14944</v>
      </c>
      <c r="C5856" t="s">
        <v>14856</v>
      </c>
      <c r="D5856" t="s">
        <v>14856</v>
      </c>
      <c r="E5856" t="s">
        <v>14945</v>
      </c>
    </row>
    <row r="5857" spans="1:5" x14ac:dyDescent="0.2">
      <c r="A5857" t="s">
        <v>14946</v>
      </c>
      <c r="B5857" t="s">
        <v>14947</v>
      </c>
      <c r="C5857" t="s">
        <v>14856</v>
      </c>
      <c r="D5857" t="s">
        <v>14856</v>
      </c>
      <c r="E5857" t="s">
        <v>14948</v>
      </c>
    </row>
    <row r="5858" spans="1:5" x14ac:dyDescent="0.2">
      <c r="A5858" t="s">
        <v>14949</v>
      </c>
      <c r="B5858" t="s">
        <v>14950</v>
      </c>
      <c r="C5858" t="s">
        <v>14856</v>
      </c>
      <c r="D5858" t="s">
        <v>14856</v>
      </c>
      <c r="E5858" t="s">
        <v>14863</v>
      </c>
    </row>
    <row r="5859" spans="1:5" x14ac:dyDescent="0.2">
      <c r="A5859" t="s">
        <v>14951</v>
      </c>
      <c r="B5859" t="s">
        <v>14952</v>
      </c>
      <c r="C5859" t="s">
        <v>14856</v>
      </c>
      <c r="D5859" t="s">
        <v>14856</v>
      </c>
      <c r="E5859" t="s">
        <v>14878</v>
      </c>
    </row>
    <row r="5860" spans="1:5" x14ac:dyDescent="0.2">
      <c r="A5860" t="s">
        <v>14953</v>
      </c>
      <c r="B5860" t="s">
        <v>14954</v>
      </c>
      <c r="C5860" t="s">
        <v>14856</v>
      </c>
      <c r="D5860" t="s">
        <v>14856</v>
      </c>
      <c r="E5860" t="s">
        <v>14955</v>
      </c>
    </row>
    <row r="5861" spans="1:5" x14ac:dyDescent="0.2">
      <c r="A5861" t="s">
        <v>14956</v>
      </c>
      <c r="B5861" t="s">
        <v>14957</v>
      </c>
      <c r="C5861" t="s">
        <v>14856</v>
      </c>
      <c r="D5861" t="s">
        <v>14856</v>
      </c>
      <c r="E5861" t="s">
        <v>14878</v>
      </c>
    </row>
    <row r="5862" spans="1:5" x14ac:dyDescent="0.2">
      <c r="A5862" t="s">
        <v>14958</v>
      </c>
      <c r="B5862" t="s">
        <v>14959</v>
      </c>
      <c r="C5862" t="s">
        <v>14856</v>
      </c>
      <c r="D5862" t="s">
        <v>14856</v>
      </c>
      <c r="E5862" t="s">
        <v>14878</v>
      </c>
    </row>
    <row r="5863" spans="1:5" x14ac:dyDescent="0.2">
      <c r="A5863" t="s">
        <v>14960</v>
      </c>
      <c r="B5863" t="s">
        <v>14961</v>
      </c>
      <c r="C5863" t="s">
        <v>14856</v>
      </c>
      <c r="D5863" t="s">
        <v>14856</v>
      </c>
      <c r="E5863" t="s">
        <v>14863</v>
      </c>
    </row>
    <row r="5864" spans="1:5" x14ac:dyDescent="0.2">
      <c r="A5864" t="s">
        <v>14962</v>
      </c>
      <c r="B5864" t="s">
        <v>14963</v>
      </c>
      <c r="C5864" t="s">
        <v>14856</v>
      </c>
      <c r="D5864" t="s">
        <v>14856</v>
      </c>
      <c r="E5864" t="s">
        <v>14964</v>
      </c>
    </row>
    <row r="5865" spans="1:5" x14ac:dyDescent="0.2">
      <c r="A5865" t="s">
        <v>14965</v>
      </c>
      <c r="B5865" t="s">
        <v>14966</v>
      </c>
      <c r="C5865" t="s">
        <v>14856</v>
      </c>
      <c r="D5865" t="s">
        <v>14856</v>
      </c>
      <c r="E5865" t="s">
        <v>14967</v>
      </c>
    </row>
    <row r="5866" spans="1:5" x14ac:dyDescent="0.2">
      <c r="A5866" t="s">
        <v>14968</v>
      </c>
      <c r="B5866" t="s">
        <v>14969</v>
      </c>
      <c r="C5866" t="s">
        <v>14856</v>
      </c>
      <c r="D5866" t="s">
        <v>14856</v>
      </c>
      <c r="E5866" t="s">
        <v>14970</v>
      </c>
    </row>
    <row r="5867" spans="1:5" x14ac:dyDescent="0.2">
      <c r="A5867" t="s">
        <v>14971</v>
      </c>
      <c r="B5867" t="s">
        <v>14972</v>
      </c>
      <c r="C5867" t="s">
        <v>14856</v>
      </c>
      <c r="D5867" t="s">
        <v>14856</v>
      </c>
      <c r="E5867" t="s">
        <v>14973</v>
      </c>
    </row>
    <row r="5868" spans="1:5" x14ac:dyDescent="0.2">
      <c r="A5868" t="s">
        <v>14974</v>
      </c>
      <c r="B5868" t="s">
        <v>14975</v>
      </c>
      <c r="C5868" t="s">
        <v>14856</v>
      </c>
      <c r="D5868" t="s">
        <v>14856</v>
      </c>
      <c r="E5868" t="s">
        <v>14887</v>
      </c>
    </row>
    <row r="5869" spans="1:5" x14ac:dyDescent="0.2">
      <c r="A5869" t="s">
        <v>14976</v>
      </c>
      <c r="B5869" t="s">
        <v>14977</v>
      </c>
      <c r="C5869" t="s">
        <v>14856</v>
      </c>
      <c r="D5869" t="s">
        <v>14856</v>
      </c>
      <c r="E5869" t="s">
        <v>14978</v>
      </c>
    </row>
    <row r="5870" spans="1:5" x14ac:dyDescent="0.2">
      <c r="A5870" t="s">
        <v>14979</v>
      </c>
      <c r="B5870" t="s">
        <v>14980</v>
      </c>
      <c r="C5870" t="s">
        <v>14856</v>
      </c>
      <c r="D5870" t="s">
        <v>14856</v>
      </c>
      <c r="E5870" t="s">
        <v>14878</v>
      </c>
    </row>
    <row r="5871" spans="1:5" x14ac:dyDescent="0.2">
      <c r="A5871" t="s">
        <v>14981</v>
      </c>
      <c r="B5871" t="s">
        <v>14982</v>
      </c>
      <c r="C5871" t="s">
        <v>14856</v>
      </c>
      <c r="D5871" t="s">
        <v>14856</v>
      </c>
      <c r="E5871" t="s">
        <v>14983</v>
      </c>
    </row>
    <row r="5872" spans="1:5" x14ac:dyDescent="0.2">
      <c r="A5872" t="s">
        <v>14984</v>
      </c>
      <c r="B5872" t="s">
        <v>14985</v>
      </c>
      <c r="C5872" t="s">
        <v>14856</v>
      </c>
      <c r="D5872" t="s">
        <v>14856</v>
      </c>
      <c r="E5872" t="s">
        <v>14986</v>
      </c>
    </row>
    <row r="5873" spans="1:5" x14ac:dyDescent="0.2">
      <c r="A5873" t="s">
        <v>14987</v>
      </c>
      <c r="B5873" t="s">
        <v>14988</v>
      </c>
      <c r="C5873" t="s">
        <v>14856</v>
      </c>
      <c r="D5873" t="s">
        <v>14856</v>
      </c>
      <c r="E5873" t="s">
        <v>14878</v>
      </c>
    </row>
    <row r="5874" spans="1:5" x14ac:dyDescent="0.2">
      <c r="A5874" t="s">
        <v>14989</v>
      </c>
      <c r="B5874" t="s">
        <v>14990</v>
      </c>
      <c r="C5874" t="s">
        <v>14856</v>
      </c>
      <c r="D5874" t="s">
        <v>14856</v>
      </c>
      <c r="E5874" t="s">
        <v>14991</v>
      </c>
    </row>
    <row r="5875" spans="1:5" x14ac:dyDescent="0.2">
      <c r="A5875" t="s">
        <v>14992</v>
      </c>
      <c r="B5875" t="s">
        <v>14993</v>
      </c>
      <c r="C5875" t="s">
        <v>14856</v>
      </c>
      <c r="D5875" t="s">
        <v>14856</v>
      </c>
      <c r="E5875" t="s">
        <v>14994</v>
      </c>
    </row>
    <row r="5876" spans="1:5" x14ac:dyDescent="0.2">
      <c r="A5876" t="s">
        <v>14995</v>
      </c>
      <c r="B5876" t="s">
        <v>14996</v>
      </c>
      <c r="C5876" t="s">
        <v>14856</v>
      </c>
      <c r="D5876" t="s">
        <v>14856</v>
      </c>
      <c r="E5876" t="s">
        <v>14997</v>
      </c>
    </row>
    <row r="5877" spans="1:5" x14ac:dyDescent="0.2">
      <c r="A5877" t="s">
        <v>14998</v>
      </c>
      <c r="B5877" t="s">
        <v>14999</v>
      </c>
      <c r="C5877" t="s">
        <v>14856</v>
      </c>
      <c r="D5877" t="s">
        <v>14856</v>
      </c>
      <c r="E5877" t="s">
        <v>15000</v>
      </c>
    </row>
    <row r="5878" spans="1:5" x14ac:dyDescent="0.2">
      <c r="A5878" t="s">
        <v>15001</v>
      </c>
      <c r="B5878" t="s">
        <v>15002</v>
      </c>
      <c r="C5878" t="s">
        <v>14856</v>
      </c>
      <c r="D5878" t="s">
        <v>14856</v>
      </c>
      <c r="E5878" t="s">
        <v>15003</v>
      </c>
    </row>
    <row r="5879" spans="1:5" x14ac:dyDescent="0.2">
      <c r="A5879" t="s">
        <v>15004</v>
      </c>
      <c r="B5879" t="s">
        <v>15005</v>
      </c>
      <c r="C5879" t="s">
        <v>14856</v>
      </c>
      <c r="D5879" t="s">
        <v>14856</v>
      </c>
      <c r="E5879" t="s">
        <v>15006</v>
      </c>
    </row>
    <row r="5880" spans="1:5" x14ac:dyDescent="0.2">
      <c r="A5880" t="s">
        <v>15007</v>
      </c>
      <c r="B5880" t="s">
        <v>15008</v>
      </c>
      <c r="C5880" t="s">
        <v>14856</v>
      </c>
      <c r="D5880" t="s">
        <v>14856</v>
      </c>
      <c r="E5880" t="s">
        <v>14887</v>
      </c>
    </row>
    <row r="5881" spans="1:5" x14ac:dyDescent="0.2">
      <c r="A5881" t="s">
        <v>15009</v>
      </c>
      <c r="B5881" t="s">
        <v>15010</v>
      </c>
      <c r="C5881" t="s">
        <v>14856</v>
      </c>
      <c r="D5881" t="s">
        <v>14856</v>
      </c>
      <c r="E5881" t="s">
        <v>14887</v>
      </c>
    </row>
    <row r="5882" spans="1:5" x14ac:dyDescent="0.2">
      <c r="A5882" t="s">
        <v>15011</v>
      </c>
      <c r="B5882" t="s">
        <v>15012</v>
      </c>
      <c r="C5882" t="s">
        <v>14856</v>
      </c>
      <c r="D5882" t="s">
        <v>14856</v>
      </c>
      <c r="E5882" t="s">
        <v>14925</v>
      </c>
    </row>
    <row r="5883" spans="1:5" x14ac:dyDescent="0.2">
      <c r="A5883" t="s">
        <v>15013</v>
      </c>
      <c r="B5883" t="s">
        <v>15014</v>
      </c>
      <c r="C5883" t="s">
        <v>14856</v>
      </c>
      <c r="D5883" t="s">
        <v>14856</v>
      </c>
      <c r="E5883" t="s">
        <v>14887</v>
      </c>
    </row>
    <row r="5884" spans="1:5" x14ac:dyDescent="0.2">
      <c r="A5884" t="s">
        <v>15015</v>
      </c>
      <c r="B5884" t="s">
        <v>15016</v>
      </c>
      <c r="C5884" t="s">
        <v>15017</v>
      </c>
      <c r="D5884" t="s">
        <v>15017</v>
      </c>
      <c r="E5884" t="s">
        <v>15018</v>
      </c>
    </row>
    <row r="5885" spans="1:5" x14ac:dyDescent="0.2">
      <c r="A5885" t="s">
        <v>15019</v>
      </c>
      <c r="B5885" t="s">
        <v>15020</v>
      </c>
      <c r="C5885" t="s">
        <v>15017</v>
      </c>
      <c r="D5885" t="s">
        <v>15017</v>
      </c>
      <c r="E5885" t="s">
        <v>15021</v>
      </c>
    </row>
    <row r="5886" spans="1:5" x14ac:dyDescent="0.2">
      <c r="A5886" t="s">
        <v>15022</v>
      </c>
      <c r="B5886" t="s">
        <v>15023</v>
      </c>
      <c r="C5886" t="s">
        <v>15017</v>
      </c>
      <c r="D5886" t="s">
        <v>15017</v>
      </c>
      <c r="E5886" t="s">
        <v>15024</v>
      </c>
    </row>
    <row r="5887" spans="1:5" x14ac:dyDescent="0.2">
      <c r="A5887" t="s">
        <v>15025</v>
      </c>
      <c r="B5887" t="s">
        <v>15026</v>
      </c>
      <c r="C5887" t="s">
        <v>15017</v>
      </c>
      <c r="D5887" t="s">
        <v>15017</v>
      </c>
      <c r="E5887" t="s">
        <v>15027</v>
      </c>
    </row>
    <row r="5888" spans="1:5" x14ac:dyDescent="0.2">
      <c r="A5888" t="s">
        <v>15028</v>
      </c>
      <c r="B5888" t="s">
        <v>15029</v>
      </c>
      <c r="C5888" t="s">
        <v>15017</v>
      </c>
      <c r="D5888" t="s">
        <v>15017</v>
      </c>
      <c r="E5888" t="s">
        <v>15030</v>
      </c>
    </row>
    <row r="5889" spans="1:5" x14ac:dyDescent="0.2">
      <c r="A5889" t="s">
        <v>15031</v>
      </c>
      <c r="B5889" t="s">
        <v>15032</v>
      </c>
      <c r="C5889" t="s">
        <v>15017</v>
      </c>
      <c r="D5889" t="s">
        <v>15017</v>
      </c>
      <c r="E5889" t="s">
        <v>15033</v>
      </c>
    </row>
    <row r="5890" spans="1:5" x14ac:dyDescent="0.2">
      <c r="A5890" t="s">
        <v>15034</v>
      </c>
      <c r="B5890" t="s">
        <v>15035</v>
      </c>
      <c r="C5890" t="s">
        <v>15017</v>
      </c>
      <c r="D5890" t="s">
        <v>15017</v>
      </c>
      <c r="E5890" t="s">
        <v>15033</v>
      </c>
    </row>
    <row r="5891" spans="1:5" x14ac:dyDescent="0.2">
      <c r="A5891" t="s">
        <v>15036</v>
      </c>
      <c r="B5891" t="s">
        <v>15037</v>
      </c>
      <c r="C5891" t="s">
        <v>15017</v>
      </c>
      <c r="D5891" t="s">
        <v>15017</v>
      </c>
      <c r="E5891" t="s">
        <v>15038</v>
      </c>
    </row>
    <row r="5892" spans="1:5" x14ac:dyDescent="0.2">
      <c r="A5892" t="s">
        <v>15039</v>
      </c>
      <c r="B5892" t="s">
        <v>15040</v>
      </c>
      <c r="C5892" t="s">
        <v>15017</v>
      </c>
      <c r="D5892" t="s">
        <v>15017</v>
      </c>
      <c r="E5892" t="s">
        <v>15033</v>
      </c>
    </row>
    <row r="5893" spans="1:5" x14ac:dyDescent="0.2">
      <c r="A5893" t="s">
        <v>15041</v>
      </c>
      <c r="B5893" t="s">
        <v>15042</v>
      </c>
      <c r="C5893" t="s">
        <v>15017</v>
      </c>
      <c r="D5893" t="s">
        <v>15017</v>
      </c>
      <c r="E5893" t="s">
        <v>15021</v>
      </c>
    </row>
    <row r="5894" spans="1:5" x14ac:dyDescent="0.2">
      <c r="A5894" t="s">
        <v>15043</v>
      </c>
      <c r="B5894" t="s">
        <v>15044</v>
      </c>
      <c r="C5894" t="s">
        <v>15017</v>
      </c>
      <c r="D5894" t="s">
        <v>15017</v>
      </c>
      <c r="E5894" t="s">
        <v>15021</v>
      </c>
    </row>
    <row r="5895" spans="1:5" x14ac:dyDescent="0.2">
      <c r="A5895" t="s">
        <v>15045</v>
      </c>
      <c r="B5895" t="s">
        <v>15046</v>
      </c>
      <c r="C5895" t="s">
        <v>15017</v>
      </c>
      <c r="D5895" t="s">
        <v>15017</v>
      </c>
      <c r="E5895" t="s">
        <v>15033</v>
      </c>
    </row>
    <row r="5896" spans="1:5" x14ac:dyDescent="0.2">
      <c r="A5896" t="s">
        <v>15047</v>
      </c>
      <c r="B5896" t="s">
        <v>15048</v>
      </c>
      <c r="C5896" t="s">
        <v>15017</v>
      </c>
      <c r="D5896" t="s">
        <v>15017</v>
      </c>
      <c r="E5896" t="s">
        <v>15049</v>
      </c>
    </row>
    <row r="5897" spans="1:5" x14ac:dyDescent="0.2">
      <c r="A5897" t="s">
        <v>15050</v>
      </c>
      <c r="B5897" t="s">
        <v>15051</v>
      </c>
      <c r="C5897" t="s">
        <v>15017</v>
      </c>
      <c r="D5897" t="s">
        <v>15017</v>
      </c>
      <c r="E5897" t="s">
        <v>15021</v>
      </c>
    </row>
    <row r="5898" spans="1:5" x14ac:dyDescent="0.2">
      <c r="A5898" t="s">
        <v>15052</v>
      </c>
      <c r="B5898" t="s">
        <v>15053</v>
      </c>
      <c r="C5898" t="s">
        <v>15017</v>
      </c>
      <c r="D5898" t="s">
        <v>15017</v>
      </c>
      <c r="E5898" t="s">
        <v>15054</v>
      </c>
    </row>
    <row r="5899" spans="1:5" x14ac:dyDescent="0.2">
      <c r="A5899" t="s">
        <v>15055</v>
      </c>
      <c r="B5899" t="s">
        <v>15056</v>
      </c>
      <c r="C5899" t="s">
        <v>15017</v>
      </c>
      <c r="D5899" t="s">
        <v>15017</v>
      </c>
      <c r="E5899" t="s">
        <v>15057</v>
      </c>
    </row>
    <row r="5900" spans="1:5" x14ac:dyDescent="0.2">
      <c r="A5900" t="s">
        <v>15058</v>
      </c>
      <c r="B5900" t="s">
        <v>15059</v>
      </c>
      <c r="C5900" t="s">
        <v>15017</v>
      </c>
      <c r="D5900" t="s">
        <v>15017</v>
      </c>
      <c r="E5900" t="s">
        <v>15060</v>
      </c>
    </row>
    <row r="5901" spans="1:5" x14ac:dyDescent="0.2">
      <c r="A5901" t="s">
        <v>15061</v>
      </c>
      <c r="B5901" t="s">
        <v>15062</v>
      </c>
      <c r="C5901" t="s">
        <v>15017</v>
      </c>
      <c r="D5901" t="s">
        <v>15017</v>
      </c>
      <c r="E5901" t="s">
        <v>15063</v>
      </c>
    </row>
    <row r="5902" spans="1:5" x14ac:dyDescent="0.2">
      <c r="A5902" t="s">
        <v>15064</v>
      </c>
      <c r="B5902" t="s">
        <v>15065</v>
      </c>
      <c r="C5902" t="s">
        <v>15017</v>
      </c>
      <c r="D5902" t="s">
        <v>15017</v>
      </c>
      <c r="E5902" t="s">
        <v>15066</v>
      </c>
    </row>
    <row r="5903" spans="1:5" x14ac:dyDescent="0.2">
      <c r="A5903" t="s">
        <v>15067</v>
      </c>
      <c r="B5903" t="s">
        <v>15068</v>
      </c>
      <c r="C5903" t="s">
        <v>15017</v>
      </c>
      <c r="D5903" t="s">
        <v>15017</v>
      </c>
      <c r="E5903" t="s">
        <v>15069</v>
      </c>
    </row>
    <row r="5904" spans="1:5" x14ac:dyDescent="0.2">
      <c r="A5904" t="s">
        <v>15070</v>
      </c>
      <c r="B5904" t="s">
        <v>15071</v>
      </c>
      <c r="C5904" t="s">
        <v>15017</v>
      </c>
      <c r="D5904" t="s">
        <v>15017</v>
      </c>
      <c r="E5904" t="s">
        <v>15021</v>
      </c>
    </row>
    <row r="5905" spans="1:5" x14ac:dyDescent="0.2">
      <c r="A5905" t="s">
        <v>15072</v>
      </c>
      <c r="B5905" t="s">
        <v>15073</v>
      </c>
      <c r="C5905" t="s">
        <v>15017</v>
      </c>
      <c r="D5905" t="s">
        <v>15017</v>
      </c>
      <c r="E5905" t="s">
        <v>15074</v>
      </c>
    </row>
    <row r="5906" spans="1:5" x14ac:dyDescent="0.2">
      <c r="A5906" t="s">
        <v>15075</v>
      </c>
      <c r="B5906" t="s">
        <v>15076</v>
      </c>
      <c r="C5906" t="s">
        <v>15017</v>
      </c>
      <c r="D5906" t="s">
        <v>15017</v>
      </c>
      <c r="E5906" t="s">
        <v>15077</v>
      </c>
    </row>
    <row r="5907" spans="1:5" x14ac:dyDescent="0.2">
      <c r="A5907" t="s">
        <v>15078</v>
      </c>
      <c r="B5907" t="s">
        <v>15079</v>
      </c>
      <c r="C5907" t="s">
        <v>15017</v>
      </c>
      <c r="D5907" t="s">
        <v>15017</v>
      </c>
      <c r="E5907" t="s">
        <v>15080</v>
      </c>
    </row>
    <row r="5908" spans="1:5" x14ac:dyDescent="0.2">
      <c r="A5908" t="s">
        <v>15081</v>
      </c>
      <c r="B5908" t="s">
        <v>15082</v>
      </c>
      <c r="C5908" t="s">
        <v>15017</v>
      </c>
      <c r="D5908" t="s">
        <v>15017</v>
      </c>
      <c r="E5908" t="s">
        <v>15083</v>
      </c>
    </row>
    <row r="5909" spans="1:5" x14ac:dyDescent="0.2">
      <c r="A5909" t="s">
        <v>15084</v>
      </c>
      <c r="B5909" t="s">
        <v>15085</v>
      </c>
      <c r="C5909" t="s">
        <v>15017</v>
      </c>
      <c r="D5909" t="s">
        <v>15017</v>
      </c>
      <c r="E5909" t="s">
        <v>15086</v>
      </c>
    </row>
    <row r="5910" spans="1:5" x14ac:dyDescent="0.2">
      <c r="A5910" t="s">
        <v>15087</v>
      </c>
      <c r="B5910" t="s">
        <v>15088</v>
      </c>
      <c r="C5910" t="s">
        <v>15017</v>
      </c>
      <c r="D5910" t="e">
        <v>#N/A</v>
      </c>
      <c r="E5910" t="e">
        <v>#N/A</v>
      </c>
    </row>
    <row r="5911" spans="1:5" x14ac:dyDescent="0.2">
      <c r="A5911" t="s">
        <v>15089</v>
      </c>
      <c r="B5911" t="s">
        <v>15090</v>
      </c>
      <c r="C5911" t="s">
        <v>15017</v>
      </c>
      <c r="D5911" t="s">
        <v>15017</v>
      </c>
      <c r="E5911" t="s">
        <v>15091</v>
      </c>
    </row>
    <row r="5912" spans="1:5" x14ac:dyDescent="0.2">
      <c r="A5912" t="s">
        <v>15092</v>
      </c>
      <c r="B5912" t="s">
        <v>15093</v>
      </c>
      <c r="C5912" t="s">
        <v>15017</v>
      </c>
      <c r="D5912" t="s">
        <v>15017</v>
      </c>
      <c r="E5912" t="s">
        <v>15033</v>
      </c>
    </row>
    <row r="5913" spans="1:5" x14ac:dyDescent="0.2">
      <c r="A5913" t="s">
        <v>15094</v>
      </c>
      <c r="B5913" t="s">
        <v>15095</v>
      </c>
      <c r="C5913" t="s">
        <v>15017</v>
      </c>
      <c r="D5913" t="s">
        <v>15017</v>
      </c>
      <c r="E5913" t="s">
        <v>15096</v>
      </c>
    </row>
    <row r="5914" spans="1:5" x14ac:dyDescent="0.2">
      <c r="A5914" t="s">
        <v>15097</v>
      </c>
      <c r="B5914" t="s">
        <v>15098</v>
      </c>
      <c r="C5914" t="s">
        <v>15017</v>
      </c>
      <c r="D5914" t="s">
        <v>15017</v>
      </c>
      <c r="E5914" t="s">
        <v>15099</v>
      </c>
    </row>
    <row r="5915" spans="1:5" x14ac:dyDescent="0.2">
      <c r="A5915" t="s">
        <v>15100</v>
      </c>
      <c r="B5915" t="s">
        <v>15101</v>
      </c>
      <c r="C5915" t="s">
        <v>15017</v>
      </c>
      <c r="D5915" t="s">
        <v>15017</v>
      </c>
      <c r="E5915" t="s">
        <v>15102</v>
      </c>
    </row>
    <row r="5916" spans="1:5" x14ac:dyDescent="0.2">
      <c r="A5916" t="s">
        <v>15103</v>
      </c>
      <c r="B5916" t="s">
        <v>15104</v>
      </c>
      <c r="C5916" t="s">
        <v>15017</v>
      </c>
      <c r="D5916" t="s">
        <v>15017</v>
      </c>
      <c r="E5916" t="s">
        <v>15105</v>
      </c>
    </row>
    <row r="5917" spans="1:5" x14ac:dyDescent="0.2">
      <c r="A5917" t="s">
        <v>15106</v>
      </c>
      <c r="B5917" t="s">
        <v>15107</v>
      </c>
      <c r="C5917" t="s">
        <v>15017</v>
      </c>
      <c r="D5917" t="s">
        <v>15017</v>
      </c>
      <c r="E5917" t="s">
        <v>15021</v>
      </c>
    </row>
    <row r="5918" spans="1:5" x14ac:dyDescent="0.2">
      <c r="A5918" t="s">
        <v>15108</v>
      </c>
      <c r="B5918" t="s">
        <v>15109</v>
      </c>
      <c r="C5918" t="s">
        <v>15017</v>
      </c>
      <c r="D5918" t="s">
        <v>15017</v>
      </c>
      <c r="E5918" t="s">
        <v>15110</v>
      </c>
    </row>
    <row r="5919" spans="1:5" x14ac:dyDescent="0.2">
      <c r="A5919" t="s">
        <v>15111</v>
      </c>
      <c r="B5919" t="s">
        <v>15112</v>
      </c>
      <c r="C5919" t="s">
        <v>15017</v>
      </c>
      <c r="D5919" t="s">
        <v>15017</v>
      </c>
      <c r="E5919" t="s">
        <v>15113</v>
      </c>
    </row>
    <row r="5920" spans="1:5" x14ac:dyDescent="0.2">
      <c r="A5920" t="s">
        <v>15114</v>
      </c>
      <c r="B5920" t="s">
        <v>15115</v>
      </c>
      <c r="C5920" t="s">
        <v>15017</v>
      </c>
      <c r="D5920" t="s">
        <v>15017</v>
      </c>
      <c r="E5920" t="s">
        <v>15116</v>
      </c>
    </row>
    <row r="5921" spans="1:5" x14ac:dyDescent="0.2">
      <c r="A5921" t="s">
        <v>15117</v>
      </c>
      <c r="B5921" t="s">
        <v>15118</v>
      </c>
      <c r="C5921" t="s">
        <v>15017</v>
      </c>
      <c r="D5921" t="s">
        <v>15017</v>
      </c>
      <c r="E5921" t="s">
        <v>15033</v>
      </c>
    </row>
    <row r="5922" spans="1:5" x14ac:dyDescent="0.2">
      <c r="A5922" t="s">
        <v>15119</v>
      </c>
      <c r="B5922" t="s">
        <v>15120</v>
      </c>
      <c r="C5922" t="s">
        <v>15017</v>
      </c>
      <c r="D5922" t="s">
        <v>15017</v>
      </c>
      <c r="E5922" t="s">
        <v>15121</v>
      </c>
    </row>
    <row r="5923" spans="1:5" x14ac:dyDescent="0.2">
      <c r="A5923" t="s">
        <v>15122</v>
      </c>
      <c r="B5923" t="s">
        <v>15123</v>
      </c>
      <c r="C5923" t="s">
        <v>15017</v>
      </c>
      <c r="D5923" t="s">
        <v>15017</v>
      </c>
      <c r="E5923" t="s">
        <v>15021</v>
      </c>
    </row>
    <row r="5924" spans="1:5" x14ac:dyDescent="0.2">
      <c r="A5924" t="s">
        <v>15124</v>
      </c>
      <c r="B5924" t="s">
        <v>15125</v>
      </c>
      <c r="C5924" t="s">
        <v>15017</v>
      </c>
      <c r="D5924" t="s">
        <v>15017</v>
      </c>
      <c r="E5924" t="s">
        <v>15021</v>
      </c>
    </row>
    <row r="5925" spans="1:5" x14ac:dyDescent="0.2">
      <c r="A5925" t="s">
        <v>15126</v>
      </c>
      <c r="B5925" t="s">
        <v>15127</v>
      </c>
      <c r="C5925" t="s">
        <v>15128</v>
      </c>
      <c r="D5925" t="s">
        <v>15128</v>
      </c>
      <c r="E5925" t="s">
        <v>15129</v>
      </c>
    </row>
    <row r="5926" spans="1:5" x14ac:dyDescent="0.2">
      <c r="A5926" t="s">
        <v>15130</v>
      </c>
      <c r="B5926" t="s">
        <v>15131</v>
      </c>
      <c r="C5926" t="s">
        <v>15128</v>
      </c>
      <c r="D5926" t="s">
        <v>15128</v>
      </c>
      <c r="E5926" t="s">
        <v>15132</v>
      </c>
    </row>
    <row r="5927" spans="1:5" x14ac:dyDescent="0.2">
      <c r="A5927" t="s">
        <v>15133</v>
      </c>
      <c r="B5927" t="s">
        <v>15134</v>
      </c>
      <c r="C5927" t="s">
        <v>15128</v>
      </c>
      <c r="D5927" t="s">
        <v>15128</v>
      </c>
      <c r="E5927" t="s">
        <v>15135</v>
      </c>
    </row>
    <row r="5928" spans="1:5" x14ac:dyDescent="0.2">
      <c r="A5928" t="s">
        <v>15136</v>
      </c>
      <c r="B5928" t="s">
        <v>15137</v>
      </c>
      <c r="C5928" t="s">
        <v>15128</v>
      </c>
      <c r="D5928" t="s">
        <v>15128</v>
      </c>
      <c r="E5928" t="s">
        <v>15138</v>
      </c>
    </row>
    <row r="5929" spans="1:5" x14ac:dyDescent="0.2">
      <c r="A5929" t="s">
        <v>15139</v>
      </c>
      <c r="B5929" t="s">
        <v>15140</v>
      </c>
      <c r="C5929" t="s">
        <v>15128</v>
      </c>
      <c r="D5929" t="s">
        <v>15128</v>
      </c>
      <c r="E5929" t="s">
        <v>15129</v>
      </c>
    </row>
    <row r="5930" spans="1:5" x14ac:dyDescent="0.2">
      <c r="A5930" t="s">
        <v>15141</v>
      </c>
      <c r="B5930" t="s">
        <v>15142</v>
      </c>
      <c r="C5930" t="s">
        <v>15128</v>
      </c>
      <c r="D5930" t="s">
        <v>15128</v>
      </c>
      <c r="E5930" t="s">
        <v>15143</v>
      </c>
    </row>
    <row r="5931" spans="1:5" x14ac:dyDescent="0.2">
      <c r="A5931" t="s">
        <v>15144</v>
      </c>
      <c r="B5931" t="s">
        <v>15145</v>
      </c>
      <c r="C5931" t="s">
        <v>15128</v>
      </c>
      <c r="D5931" t="s">
        <v>15128</v>
      </c>
      <c r="E5931" t="s">
        <v>15146</v>
      </c>
    </row>
    <row r="5932" spans="1:5" x14ac:dyDescent="0.2">
      <c r="A5932" t="s">
        <v>15147</v>
      </c>
      <c r="B5932" t="s">
        <v>15148</v>
      </c>
      <c r="C5932" t="s">
        <v>15128</v>
      </c>
      <c r="D5932" t="s">
        <v>15128</v>
      </c>
      <c r="E5932" t="s">
        <v>15149</v>
      </c>
    </row>
    <row r="5933" spans="1:5" x14ac:dyDescent="0.2">
      <c r="A5933" t="s">
        <v>15150</v>
      </c>
      <c r="B5933" t="s">
        <v>15151</v>
      </c>
      <c r="C5933" t="s">
        <v>15128</v>
      </c>
      <c r="D5933" t="s">
        <v>15128</v>
      </c>
      <c r="E5933" t="s">
        <v>15152</v>
      </c>
    </row>
    <row r="5934" spans="1:5" x14ac:dyDescent="0.2">
      <c r="A5934" t="s">
        <v>15153</v>
      </c>
      <c r="B5934" t="s">
        <v>15154</v>
      </c>
      <c r="C5934" t="s">
        <v>15128</v>
      </c>
      <c r="D5934" t="s">
        <v>15128</v>
      </c>
      <c r="E5934" t="s">
        <v>15129</v>
      </c>
    </row>
    <row r="5935" spans="1:5" x14ac:dyDescent="0.2">
      <c r="A5935" t="s">
        <v>15155</v>
      </c>
      <c r="B5935" t="s">
        <v>15156</v>
      </c>
      <c r="C5935" t="s">
        <v>15128</v>
      </c>
      <c r="D5935" t="s">
        <v>15128</v>
      </c>
      <c r="E5935" t="s">
        <v>15129</v>
      </c>
    </row>
    <row r="5936" spans="1:5" x14ac:dyDescent="0.2">
      <c r="A5936" t="s">
        <v>15157</v>
      </c>
      <c r="B5936" t="s">
        <v>15158</v>
      </c>
      <c r="C5936" t="s">
        <v>15128</v>
      </c>
      <c r="D5936" t="s">
        <v>15128</v>
      </c>
      <c r="E5936" t="s">
        <v>15159</v>
      </c>
    </row>
    <row r="5937" spans="1:5" x14ac:dyDescent="0.2">
      <c r="A5937" t="s">
        <v>15160</v>
      </c>
      <c r="B5937" t="s">
        <v>15161</v>
      </c>
      <c r="C5937" t="s">
        <v>15128</v>
      </c>
      <c r="D5937" t="s">
        <v>15128</v>
      </c>
      <c r="E5937" t="s">
        <v>15162</v>
      </c>
    </row>
    <row r="5938" spans="1:5" x14ac:dyDescent="0.2">
      <c r="A5938" t="s">
        <v>15163</v>
      </c>
      <c r="B5938" t="s">
        <v>15164</v>
      </c>
      <c r="C5938" t="s">
        <v>15128</v>
      </c>
      <c r="D5938" t="s">
        <v>15128</v>
      </c>
      <c r="E5938" t="s">
        <v>15129</v>
      </c>
    </row>
    <row r="5939" spans="1:5" x14ac:dyDescent="0.2">
      <c r="A5939" t="s">
        <v>15165</v>
      </c>
      <c r="B5939" t="s">
        <v>15166</v>
      </c>
      <c r="C5939" t="s">
        <v>15128</v>
      </c>
      <c r="D5939" t="s">
        <v>15128</v>
      </c>
      <c r="E5939" t="s">
        <v>15167</v>
      </c>
    </row>
    <row r="5940" spans="1:5" x14ac:dyDescent="0.2">
      <c r="A5940" t="s">
        <v>15168</v>
      </c>
      <c r="B5940" t="s">
        <v>15169</v>
      </c>
      <c r="C5940" t="s">
        <v>15128</v>
      </c>
      <c r="D5940" t="s">
        <v>15128</v>
      </c>
      <c r="E5940" t="s">
        <v>15129</v>
      </c>
    </row>
    <row r="5941" spans="1:5" x14ac:dyDescent="0.2">
      <c r="A5941" t="s">
        <v>15170</v>
      </c>
      <c r="B5941" t="s">
        <v>15171</v>
      </c>
      <c r="C5941" t="s">
        <v>15128</v>
      </c>
      <c r="D5941" t="s">
        <v>15128</v>
      </c>
      <c r="E5941" t="s">
        <v>15129</v>
      </c>
    </row>
    <row r="5942" spans="1:5" x14ac:dyDescent="0.2">
      <c r="A5942" t="s">
        <v>15172</v>
      </c>
      <c r="B5942" t="s">
        <v>15173</v>
      </c>
      <c r="C5942" t="s">
        <v>15128</v>
      </c>
      <c r="D5942" t="s">
        <v>15128</v>
      </c>
      <c r="E5942" t="s">
        <v>15129</v>
      </c>
    </row>
    <row r="5943" spans="1:5" x14ac:dyDescent="0.2">
      <c r="A5943" t="s">
        <v>15174</v>
      </c>
      <c r="B5943" t="s">
        <v>15175</v>
      </c>
      <c r="C5943" t="s">
        <v>15128</v>
      </c>
      <c r="D5943" t="s">
        <v>15128</v>
      </c>
      <c r="E5943" t="s">
        <v>15176</v>
      </c>
    </row>
    <row r="5944" spans="1:5" x14ac:dyDescent="0.2">
      <c r="A5944" t="s">
        <v>15177</v>
      </c>
      <c r="B5944" t="s">
        <v>15178</v>
      </c>
      <c r="C5944" t="s">
        <v>15128</v>
      </c>
      <c r="D5944" t="s">
        <v>15128</v>
      </c>
      <c r="E5944" t="s">
        <v>15179</v>
      </c>
    </row>
    <row r="5945" spans="1:5" x14ac:dyDescent="0.2">
      <c r="A5945" t="s">
        <v>15180</v>
      </c>
      <c r="B5945" t="s">
        <v>15181</v>
      </c>
      <c r="C5945" t="s">
        <v>15128</v>
      </c>
      <c r="D5945" t="s">
        <v>15128</v>
      </c>
      <c r="E5945" t="s">
        <v>15182</v>
      </c>
    </row>
    <row r="5946" spans="1:5" x14ac:dyDescent="0.2">
      <c r="A5946" t="s">
        <v>15183</v>
      </c>
      <c r="B5946" t="s">
        <v>15184</v>
      </c>
      <c r="C5946" t="s">
        <v>15128</v>
      </c>
      <c r="D5946" t="s">
        <v>15128</v>
      </c>
      <c r="E5946" t="s">
        <v>15185</v>
      </c>
    </row>
    <row r="5947" spans="1:5" x14ac:dyDescent="0.2">
      <c r="A5947" t="s">
        <v>15186</v>
      </c>
      <c r="B5947" t="s">
        <v>15187</v>
      </c>
      <c r="C5947" t="s">
        <v>15128</v>
      </c>
      <c r="D5947" t="s">
        <v>15128</v>
      </c>
      <c r="E5947" t="s">
        <v>15129</v>
      </c>
    </row>
    <row r="5948" spans="1:5" x14ac:dyDescent="0.2">
      <c r="A5948" t="s">
        <v>15188</v>
      </c>
      <c r="B5948" t="s">
        <v>15189</v>
      </c>
      <c r="C5948" t="s">
        <v>15128</v>
      </c>
      <c r="D5948" t="s">
        <v>15128</v>
      </c>
      <c r="E5948" t="s">
        <v>15190</v>
      </c>
    </row>
    <row r="5949" spans="1:5" x14ac:dyDescent="0.2">
      <c r="A5949" t="s">
        <v>15191</v>
      </c>
      <c r="B5949" t="s">
        <v>15192</v>
      </c>
      <c r="C5949" t="s">
        <v>15128</v>
      </c>
      <c r="D5949" t="s">
        <v>15128</v>
      </c>
      <c r="E5949" t="s">
        <v>15129</v>
      </c>
    </row>
    <row r="5950" spans="1:5" x14ac:dyDescent="0.2">
      <c r="A5950" t="s">
        <v>15193</v>
      </c>
      <c r="B5950" t="s">
        <v>15194</v>
      </c>
      <c r="C5950" t="s">
        <v>15128</v>
      </c>
      <c r="D5950" t="s">
        <v>15128</v>
      </c>
      <c r="E5950" t="s">
        <v>15195</v>
      </c>
    </row>
    <row r="5951" spans="1:5" x14ac:dyDescent="0.2">
      <c r="A5951" t="s">
        <v>15196</v>
      </c>
      <c r="B5951" t="s">
        <v>15197</v>
      </c>
      <c r="C5951" t="s">
        <v>15128</v>
      </c>
      <c r="D5951" t="s">
        <v>15128</v>
      </c>
      <c r="E5951" t="s">
        <v>15198</v>
      </c>
    </row>
    <row r="5952" spans="1:5" x14ac:dyDescent="0.2">
      <c r="A5952" t="s">
        <v>15199</v>
      </c>
      <c r="B5952" t="s">
        <v>15200</v>
      </c>
      <c r="C5952" t="s">
        <v>15128</v>
      </c>
      <c r="D5952" t="s">
        <v>15128</v>
      </c>
      <c r="E5952" t="s">
        <v>15129</v>
      </c>
    </row>
    <row r="5953" spans="1:5" x14ac:dyDescent="0.2">
      <c r="A5953" t="s">
        <v>15201</v>
      </c>
      <c r="B5953" t="s">
        <v>15202</v>
      </c>
      <c r="C5953" t="s">
        <v>15128</v>
      </c>
      <c r="D5953" t="s">
        <v>15128</v>
      </c>
      <c r="E5953" t="s">
        <v>15203</v>
      </c>
    </row>
    <row r="5954" spans="1:5" x14ac:dyDescent="0.2">
      <c r="A5954" t="s">
        <v>15204</v>
      </c>
      <c r="B5954" t="s">
        <v>15205</v>
      </c>
      <c r="C5954" t="s">
        <v>15206</v>
      </c>
      <c r="D5954" t="s">
        <v>15206</v>
      </c>
      <c r="E5954" t="s">
        <v>15207</v>
      </c>
    </row>
    <row r="5955" spans="1:5" x14ac:dyDescent="0.2">
      <c r="A5955" t="s">
        <v>15208</v>
      </c>
      <c r="B5955" t="s">
        <v>15209</v>
      </c>
      <c r="C5955" t="s">
        <v>15206</v>
      </c>
      <c r="D5955" t="s">
        <v>15206</v>
      </c>
      <c r="E5955" t="s">
        <v>15210</v>
      </c>
    </row>
    <row r="5956" spans="1:5" x14ac:dyDescent="0.2">
      <c r="A5956" t="s">
        <v>15211</v>
      </c>
      <c r="B5956" t="s">
        <v>15212</v>
      </c>
      <c r="C5956" t="s">
        <v>15206</v>
      </c>
      <c r="D5956" t="s">
        <v>15206</v>
      </c>
      <c r="E5956" t="s">
        <v>15213</v>
      </c>
    </row>
    <row r="5957" spans="1:5" x14ac:dyDescent="0.2">
      <c r="A5957" t="s">
        <v>15214</v>
      </c>
      <c r="B5957" t="s">
        <v>15215</v>
      </c>
      <c r="C5957" t="s">
        <v>15206</v>
      </c>
      <c r="D5957" t="s">
        <v>15206</v>
      </c>
      <c r="E5957" t="s">
        <v>15216</v>
      </c>
    </row>
    <row r="5958" spans="1:5" x14ac:dyDescent="0.2">
      <c r="A5958" t="s">
        <v>15217</v>
      </c>
      <c r="B5958" t="s">
        <v>15218</v>
      </c>
      <c r="C5958" t="s">
        <v>15206</v>
      </c>
      <c r="D5958" t="s">
        <v>15206</v>
      </c>
      <c r="E5958" t="s">
        <v>15219</v>
      </c>
    </row>
    <row r="5959" spans="1:5" x14ac:dyDescent="0.2">
      <c r="A5959" t="s">
        <v>15220</v>
      </c>
      <c r="B5959" t="s">
        <v>15221</v>
      </c>
      <c r="C5959" t="s">
        <v>15206</v>
      </c>
      <c r="D5959" t="s">
        <v>15206</v>
      </c>
      <c r="E5959" t="s">
        <v>15216</v>
      </c>
    </row>
    <row r="5960" spans="1:5" x14ac:dyDescent="0.2">
      <c r="A5960" t="s">
        <v>15222</v>
      </c>
      <c r="B5960" t="s">
        <v>15223</v>
      </c>
      <c r="C5960" t="s">
        <v>15206</v>
      </c>
      <c r="D5960" t="s">
        <v>15206</v>
      </c>
      <c r="E5960" t="s">
        <v>15224</v>
      </c>
    </row>
    <row r="5961" spans="1:5" x14ac:dyDescent="0.2">
      <c r="A5961" t="s">
        <v>15225</v>
      </c>
      <c r="B5961" t="s">
        <v>15226</v>
      </c>
      <c r="C5961" t="s">
        <v>15206</v>
      </c>
      <c r="D5961" t="s">
        <v>15206</v>
      </c>
      <c r="E5961" t="s">
        <v>15227</v>
      </c>
    </row>
    <row r="5962" spans="1:5" x14ac:dyDescent="0.2">
      <c r="A5962" t="s">
        <v>15228</v>
      </c>
      <c r="B5962" t="s">
        <v>15229</v>
      </c>
      <c r="C5962" t="s">
        <v>15206</v>
      </c>
      <c r="D5962" t="s">
        <v>15206</v>
      </c>
      <c r="E5962" t="s">
        <v>15230</v>
      </c>
    </row>
    <row r="5963" spans="1:5" x14ac:dyDescent="0.2">
      <c r="A5963" t="s">
        <v>15231</v>
      </c>
      <c r="B5963" t="s">
        <v>15232</v>
      </c>
      <c r="C5963" t="s">
        <v>15206</v>
      </c>
      <c r="D5963" t="s">
        <v>15206</v>
      </c>
      <c r="E5963" t="s">
        <v>15233</v>
      </c>
    </row>
    <row r="5964" spans="1:5" x14ac:dyDescent="0.2">
      <c r="A5964" t="s">
        <v>15234</v>
      </c>
      <c r="B5964" t="s">
        <v>15235</v>
      </c>
      <c r="C5964" t="s">
        <v>15206</v>
      </c>
      <c r="D5964" t="s">
        <v>15206</v>
      </c>
      <c r="E5964" t="s">
        <v>15236</v>
      </c>
    </row>
    <row r="5965" spans="1:5" x14ac:dyDescent="0.2">
      <c r="A5965" t="s">
        <v>15237</v>
      </c>
      <c r="B5965" t="s">
        <v>15238</v>
      </c>
      <c r="C5965" t="s">
        <v>15206</v>
      </c>
      <c r="D5965" t="s">
        <v>15206</v>
      </c>
      <c r="E5965" t="s">
        <v>15239</v>
      </c>
    </row>
    <row r="5966" spans="1:5" x14ac:dyDescent="0.2">
      <c r="A5966" t="s">
        <v>15240</v>
      </c>
      <c r="B5966" t="s">
        <v>15241</v>
      </c>
      <c r="C5966" t="s">
        <v>15206</v>
      </c>
      <c r="D5966" t="s">
        <v>15206</v>
      </c>
      <c r="E5966" t="s">
        <v>15242</v>
      </c>
    </row>
    <row r="5967" spans="1:5" x14ac:dyDescent="0.2">
      <c r="A5967" t="s">
        <v>15243</v>
      </c>
      <c r="B5967" t="s">
        <v>15244</v>
      </c>
      <c r="C5967" t="s">
        <v>15206</v>
      </c>
      <c r="D5967" t="s">
        <v>15206</v>
      </c>
      <c r="E5967" t="s">
        <v>15245</v>
      </c>
    </row>
    <row r="5968" spans="1:5" x14ac:dyDescent="0.2">
      <c r="A5968" t="s">
        <v>15246</v>
      </c>
      <c r="B5968" t="s">
        <v>15247</v>
      </c>
      <c r="C5968" t="s">
        <v>15206</v>
      </c>
      <c r="D5968" t="s">
        <v>15206</v>
      </c>
      <c r="E5968" t="s">
        <v>15248</v>
      </c>
    </row>
    <row r="5969" spans="1:5" x14ac:dyDescent="0.2">
      <c r="A5969" t="s">
        <v>15249</v>
      </c>
      <c r="B5969" t="s">
        <v>15250</v>
      </c>
      <c r="C5969" t="s">
        <v>15206</v>
      </c>
      <c r="D5969" t="s">
        <v>15206</v>
      </c>
      <c r="E5969" t="s">
        <v>15251</v>
      </c>
    </row>
    <row r="5970" spans="1:5" x14ac:dyDescent="0.2">
      <c r="A5970" t="s">
        <v>15252</v>
      </c>
      <c r="B5970" t="s">
        <v>15253</v>
      </c>
      <c r="C5970" t="s">
        <v>15206</v>
      </c>
      <c r="D5970" t="s">
        <v>15206</v>
      </c>
      <c r="E5970" t="s">
        <v>15254</v>
      </c>
    </row>
    <row r="5971" spans="1:5" x14ac:dyDescent="0.2">
      <c r="A5971" t="s">
        <v>15255</v>
      </c>
      <c r="B5971" t="s">
        <v>15256</v>
      </c>
      <c r="C5971" t="s">
        <v>15206</v>
      </c>
      <c r="D5971" t="s">
        <v>15206</v>
      </c>
      <c r="E5971" t="s">
        <v>15216</v>
      </c>
    </row>
    <row r="5972" spans="1:5" x14ac:dyDescent="0.2">
      <c r="A5972" t="s">
        <v>15257</v>
      </c>
      <c r="B5972" t="s">
        <v>15258</v>
      </c>
      <c r="C5972" t="s">
        <v>15206</v>
      </c>
      <c r="D5972" t="s">
        <v>15206</v>
      </c>
      <c r="E5972" t="s">
        <v>15259</v>
      </c>
    </row>
    <row r="5973" spans="1:5" x14ac:dyDescent="0.2">
      <c r="A5973" t="s">
        <v>15260</v>
      </c>
      <c r="B5973" t="s">
        <v>15261</v>
      </c>
      <c r="C5973" t="s">
        <v>15206</v>
      </c>
      <c r="D5973" t="s">
        <v>15206</v>
      </c>
      <c r="E5973" t="s">
        <v>15262</v>
      </c>
    </row>
    <row r="5974" spans="1:5" x14ac:dyDescent="0.2">
      <c r="A5974" t="s">
        <v>15263</v>
      </c>
      <c r="B5974" t="s">
        <v>15264</v>
      </c>
      <c r="C5974" t="s">
        <v>15265</v>
      </c>
      <c r="D5974" t="s">
        <v>15265</v>
      </c>
      <c r="E5974" t="s">
        <v>15266</v>
      </c>
    </row>
    <row r="5975" spans="1:5" x14ac:dyDescent="0.2">
      <c r="A5975" t="s">
        <v>15267</v>
      </c>
      <c r="B5975" t="s">
        <v>15268</v>
      </c>
      <c r="C5975" t="s">
        <v>15265</v>
      </c>
      <c r="D5975" t="s">
        <v>15265</v>
      </c>
      <c r="E5975" t="s">
        <v>15269</v>
      </c>
    </row>
    <row r="5976" spans="1:5" x14ac:dyDescent="0.2">
      <c r="A5976" t="s">
        <v>15270</v>
      </c>
      <c r="B5976" t="s">
        <v>15271</v>
      </c>
      <c r="C5976" t="s">
        <v>15265</v>
      </c>
      <c r="D5976" t="s">
        <v>15265</v>
      </c>
      <c r="E5976" t="s">
        <v>15272</v>
      </c>
    </row>
    <row r="5977" spans="1:5" x14ac:dyDescent="0.2">
      <c r="A5977" t="s">
        <v>15273</v>
      </c>
      <c r="B5977" t="s">
        <v>15274</v>
      </c>
      <c r="C5977" t="s">
        <v>15265</v>
      </c>
      <c r="D5977" t="s">
        <v>15265</v>
      </c>
      <c r="E5977" t="s">
        <v>15275</v>
      </c>
    </row>
    <row r="5978" spans="1:5" x14ac:dyDescent="0.2">
      <c r="A5978" t="s">
        <v>15276</v>
      </c>
      <c r="B5978" t="s">
        <v>15277</v>
      </c>
      <c r="C5978" t="s">
        <v>15265</v>
      </c>
      <c r="D5978" t="s">
        <v>15265</v>
      </c>
      <c r="E5978" t="s">
        <v>15272</v>
      </c>
    </row>
    <row r="5979" spans="1:5" x14ac:dyDescent="0.2">
      <c r="A5979" t="s">
        <v>15278</v>
      </c>
      <c r="B5979" t="s">
        <v>15279</v>
      </c>
      <c r="C5979" t="s">
        <v>15265</v>
      </c>
      <c r="D5979" t="s">
        <v>15265</v>
      </c>
      <c r="E5979" t="s">
        <v>15280</v>
      </c>
    </row>
    <row r="5980" spans="1:5" x14ac:dyDescent="0.2">
      <c r="A5980" t="s">
        <v>15281</v>
      </c>
      <c r="B5980" t="s">
        <v>15282</v>
      </c>
      <c r="C5980" t="s">
        <v>15265</v>
      </c>
      <c r="D5980" t="s">
        <v>15265</v>
      </c>
      <c r="E5980" t="s">
        <v>15283</v>
      </c>
    </row>
    <row r="5981" spans="1:5" x14ac:dyDescent="0.2">
      <c r="A5981" t="s">
        <v>15284</v>
      </c>
      <c r="B5981" t="s">
        <v>15285</v>
      </c>
      <c r="C5981" t="s">
        <v>15265</v>
      </c>
      <c r="D5981" t="s">
        <v>15265</v>
      </c>
      <c r="E5981" t="s">
        <v>15283</v>
      </c>
    </row>
    <row r="5982" spans="1:5" x14ac:dyDescent="0.2">
      <c r="A5982" t="s">
        <v>15286</v>
      </c>
      <c r="B5982" t="s">
        <v>15287</v>
      </c>
      <c r="C5982" t="s">
        <v>15265</v>
      </c>
      <c r="D5982" t="s">
        <v>15265</v>
      </c>
      <c r="E5982" t="s">
        <v>15288</v>
      </c>
    </row>
    <row r="5983" spans="1:5" x14ac:dyDescent="0.2">
      <c r="A5983" t="s">
        <v>15289</v>
      </c>
      <c r="B5983" t="s">
        <v>15290</v>
      </c>
      <c r="C5983" t="s">
        <v>15265</v>
      </c>
      <c r="D5983" t="s">
        <v>15265</v>
      </c>
      <c r="E5983" t="s">
        <v>15291</v>
      </c>
    </row>
    <row r="5984" spans="1:5" x14ac:dyDescent="0.2">
      <c r="A5984" t="s">
        <v>15292</v>
      </c>
      <c r="B5984" t="s">
        <v>15293</v>
      </c>
      <c r="C5984" t="s">
        <v>15265</v>
      </c>
      <c r="D5984" t="s">
        <v>15265</v>
      </c>
      <c r="E5984" t="s">
        <v>15283</v>
      </c>
    </row>
    <row r="5985" spans="1:5" x14ac:dyDescent="0.2">
      <c r="A5985" t="s">
        <v>15294</v>
      </c>
      <c r="B5985" t="s">
        <v>15295</v>
      </c>
      <c r="C5985" t="s">
        <v>15265</v>
      </c>
      <c r="D5985" t="s">
        <v>15265</v>
      </c>
      <c r="E5985" t="s">
        <v>15280</v>
      </c>
    </row>
    <row r="5986" spans="1:5" x14ac:dyDescent="0.2">
      <c r="A5986" t="s">
        <v>15296</v>
      </c>
      <c r="B5986" t="s">
        <v>15297</v>
      </c>
      <c r="C5986" t="s">
        <v>15265</v>
      </c>
      <c r="D5986" t="s">
        <v>15265</v>
      </c>
      <c r="E5986" t="s">
        <v>15298</v>
      </c>
    </row>
    <row r="5987" spans="1:5" x14ac:dyDescent="0.2">
      <c r="A5987" t="s">
        <v>15299</v>
      </c>
      <c r="B5987" t="s">
        <v>15300</v>
      </c>
      <c r="C5987" t="s">
        <v>15265</v>
      </c>
      <c r="D5987" t="s">
        <v>15265</v>
      </c>
      <c r="E5987" t="s">
        <v>15283</v>
      </c>
    </row>
    <row r="5988" spans="1:5" x14ac:dyDescent="0.2">
      <c r="A5988" t="s">
        <v>15301</v>
      </c>
      <c r="B5988" t="s">
        <v>15302</v>
      </c>
      <c r="C5988" t="s">
        <v>15265</v>
      </c>
      <c r="D5988" t="s">
        <v>15265</v>
      </c>
      <c r="E5988" t="s">
        <v>15303</v>
      </c>
    </row>
    <row r="5989" spans="1:5" x14ac:dyDescent="0.2">
      <c r="A5989" t="s">
        <v>15304</v>
      </c>
      <c r="B5989" t="s">
        <v>15305</v>
      </c>
      <c r="C5989" t="s">
        <v>15265</v>
      </c>
      <c r="D5989" t="s">
        <v>15265</v>
      </c>
      <c r="E5989" t="s">
        <v>15283</v>
      </c>
    </row>
    <row r="5990" spans="1:5" x14ac:dyDescent="0.2">
      <c r="A5990" t="s">
        <v>15306</v>
      </c>
      <c r="B5990" t="s">
        <v>15307</v>
      </c>
      <c r="C5990" t="s">
        <v>15265</v>
      </c>
      <c r="D5990" t="s">
        <v>15265</v>
      </c>
      <c r="E5990" t="s">
        <v>15283</v>
      </c>
    </row>
    <row r="5991" spans="1:5" x14ac:dyDescent="0.2">
      <c r="A5991" t="s">
        <v>15308</v>
      </c>
      <c r="B5991" t="s">
        <v>15309</v>
      </c>
      <c r="C5991" t="s">
        <v>15265</v>
      </c>
      <c r="D5991" t="s">
        <v>15265</v>
      </c>
      <c r="E5991" t="s">
        <v>15272</v>
      </c>
    </row>
    <row r="5992" spans="1:5" x14ac:dyDescent="0.2">
      <c r="A5992" t="s">
        <v>15310</v>
      </c>
      <c r="B5992" t="s">
        <v>15311</v>
      </c>
      <c r="C5992" t="s">
        <v>15265</v>
      </c>
      <c r="D5992" t="s">
        <v>15265</v>
      </c>
      <c r="E5992" t="s">
        <v>15283</v>
      </c>
    </row>
    <row r="5993" spans="1:5" x14ac:dyDescent="0.2">
      <c r="A5993" t="s">
        <v>15312</v>
      </c>
      <c r="B5993" t="s">
        <v>15313</v>
      </c>
      <c r="C5993" t="s">
        <v>15265</v>
      </c>
      <c r="D5993" t="s">
        <v>15265</v>
      </c>
      <c r="E5993" t="s">
        <v>15272</v>
      </c>
    </row>
    <row r="5994" spans="1:5" x14ac:dyDescent="0.2">
      <c r="A5994" t="s">
        <v>15314</v>
      </c>
      <c r="B5994" t="s">
        <v>15315</v>
      </c>
      <c r="C5994" t="s">
        <v>15265</v>
      </c>
      <c r="D5994" t="s">
        <v>15265</v>
      </c>
      <c r="E5994" t="s">
        <v>15316</v>
      </c>
    </row>
    <row r="5995" spans="1:5" x14ac:dyDescent="0.2">
      <c r="A5995" t="s">
        <v>15317</v>
      </c>
      <c r="B5995" t="s">
        <v>15318</v>
      </c>
      <c r="C5995" t="s">
        <v>15265</v>
      </c>
      <c r="D5995" t="s">
        <v>15265</v>
      </c>
      <c r="E5995" t="s">
        <v>15319</v>
      </c>
    </row>
    <row r="5996" spans="1:5" x14ac:dyDescent="0.2">
      <c r="A5996" t="s">
        <v>15320</v>
      </c>
      <c r="B5996" t="s">
        <v>15321</v>
      </c>
      <c r="C5996" t="s">
        <v>15265</v>
      </c>
      <c r="D5996" t="s">
        <v>15265</v>
      </c>
      <c r="E5996" t="s">
        <v>15322</v>
      </c>
    </row>
    <row r="5997" spans="1:5" x14ac:dyDescent="0.2">
      <c r="A5997" t="s">
        <v>15323</v>
      </c>
      <c r="B5997" t="s">
        <v>15324</v>
      </c>
      <c r="C5997" t="s">
        <v>15265</v>
      </c>
      <c r="D5997" t="s">
        <v>15265</v>
      </c>
      <c r="E5997" t="s">
        <v>15283</v>
      </c>
    </row>
    <row r="5998" spans="1:5" x14ac:dyDescent="0.2">
      <c r="A5998" t="s">
        <v>15325</v>
      </c>
      <c r="B5998" t="s">
        <v>15326</v>
      </c>
      <c r="C5998" t="s">
        <v>15265</v>
      </c>
      <c r="D5998" t="s">
        <v>15265</v>
      </c>
      <c r="E5998" t="s">
        <v>15283</v>
      </c>
    </row>
    <row r="5999" spans="1:5" x14ac:dyDescent="0.2">
      <c r="A5999" t="s">
        <v>15327</v>
      </c>
      <c r="B5999" t="s">
        <v>15328</v>
      </c>
      <c r="C5999" t="s">
        <v>15265</v>
      </c>
      <c r="D5999" t="s">
        <v>15265</v>
      </c>
      <c r="E5999" t="s">
        <v>15329</v>
      </c>
    </row>
    <row r="6000" spans="1:5" x14ac:dyDescent="0.2">
      <c r="A6000" t="s">
        <v>15330</v>
      </c>
      <c r="B6000" t="s">
        <v>15331</v>
      </c>
      <c r="C6000" t="s">
        <v>15265</v>
      </c>
      <c r="D6000" t="s">
        <v>15265</v>
      </c>
      <c r="E6000" t="s">
        <v>15332</v>
      </c>
    </row>
    <row r="6001" spans="1:5" x14ac:dyDescent="0.2">
      <c r="A6001" t="s">
        <v>15333</v>
      </c>
      <c r="B6001" t="s">
        <v>15334</v>
      </c>
      <c r="C6001" t="s">
        <v>15265</v>
      </c>
      <c r="D6001" t="s">
        <v>15265</v>
      </c>
      <c r="E6001" t="s">
        <v>15335</v>
      </c>
    </row>
    <row r="6002" spans="1:5" x14ac:dyDescent="0.2">
      <c r="A6002" t="s">
        <v>15336</v>
      </c>
      <c r="B6002" t="s">
        <v>15337</v>
      </c>
      <c r="C6002" t="s">
        <v>15265</v>
      </c>
      <c r="D6002" t="s">
        <v>15265</v>
      </c>
      <c r="E6002" t="s">
        <v>15338</v>
      </c>
    </row>
    <row r="6003" spans="1:5" x14ac:dyDescent="0.2">
      <c r="A6003" t="s">
        <v>15339</v>
      </c>
      <c r="B6003" t="s">
        <v>15340</v>
      </c>
      <c r="C6003" t="s">
        <v>15265</v>
      </c>
      <c r="D6003" t="s">
        <v>15265</v>
      </c>
      <c r="E6003" t="s">
        <v>15341</v>
      </c>
    </row>
    <row r="6004" spans="1:5" x14ac:dyDescent="0.2">
      <c r="A6004" t="s">
        <v>15342</v>
      </c>
      <c r="B6004" t="s">
        <v>15343</v>
      </c>
      <c r="C6004" t="s">
        <v>15265</v>
      </c>
      <c r="D6004" t="s">
        <v>15265</v>
      </c>
      <c r="E6004" t="s">
        <v>15329</v>
      </c>
    </row>
    <row r="6005" spans="1:5" x14ac:dyDescent="0.2">
      <c r="A6005" t="s">
        <v>15344</v>
      </c>
      <c r="B6005" t="s">
        <v>15345</v>
      </c>
      <c r="C6005" t="s">
        <v>15265</v>
      </c>
      <c r="D6005" t="s">
        <v>15265</v>
      </c>
      <c r="E6005" t="s">
        <v>15283</v>
      </c>
    </row>
    <row r="6006" spans="1:5" x14ac:dyDescent="0.2">
      <c r="A6006" t="s">
        <v>15346</v>
      </c>
      <c r="B6006" t="s">
        <v>15347</v>
      </c>
      <c r="C6006" t="s">
        <v>15265</v>
      </c>
      <c r="D6006" t="s">
        <v>15265</v>
      </c>
      <c r="E6006" t="s">
        <v>15280</v>
      </c>
    </row>
    <row r="6007" spans="1:5" x14ac:dyDescent="0.2">
      <c r="A6007" t="s">
        <v>15348</v>
      </c>
      <c r="B6007" t="s">
        <v>15349</v>
      </c>
      <c r="C6007" t="s">
        <v>15265</v>
      </c>
      <c r="D6007" t="s">
        <v>15265</v>
      </c>
      <c r="E6007" t="s">
        <v>15350</v>
      </c>
    </row>
    <row r="6008" spans="1:5" x14ac:dyDescent="0.2">
      <c r="A6008" t="s">
        <v>15351</v>
      </c>
      <c r="B6008" t="s">
        <v>15352</v>
      </c>
      <c r="C6008" t="s">
        <v>15265</v>
      </c>
      <c r="D6008" t="s">
        <v>15265</v>
      </c>
      <c r="E6008" t="s">
        <v>15280</v>
      </c>
    </row>
    <row r="6009" spans="1:5" x14ac:dyDescent="0.2">
      <c r="A6009" t="s">
        <v>15353</v>
      </c>
      <c r="B6009" t="s">
        <v>15354</v>
      </c>
      <c r="C6009" t="s">
        <v>15265</v>
      </c>
      <c r="D6009" t="s">
        <v>15265</v>
      </c>
      <c r="E6009" t="s">
        <v>15355</v>
      </c>
    </row>
    <row r="6010" spans="1:5" x14ac:dyDescent="0.2">
      <c r="A6010" t="s">
        <v>15356</v>
      </c>
      <c r="B6010" t="s">
        <v>15357</v>
      </c>
      <c r="C6010" t="s">
        <v>15265</v>
      </c>
      <c r="D6010" t="s">
        <v>15265</v>
      </c>
      <c r="E6010" t="s">
        <v>15358</v>
      </c>
    </row>
    <row r="6011" spans="1:5" x14ac:dyDescent="0.2">
      <c r="A6011" t="s">
        <v>15359</v>
      </c>
      <c r="B6011" t="s">
        <v>15360</v>
      </c>
      <c r="C6011" t="s">
        <v>15265</v>
      </c>
      <c r="D6011" t="s">
        <v>15265</v>
      </c>
      <c r="E6011" t="s">
        <v>15361</v>
      </c>
    </row>
    <row r="6012" spans="1:5" x14ac:dyDescent="0.2">
      <c r="A6012" t="s">
        <v>15362</v>
      </c>
      <c r="B6012" t="s">
        <v>15363</v>
      </c>
      <c r="C6012" t="s">
        <v>15265</v>
      </c>
      <c r="D6012" t="s">
        <v>15265</v>
      </c>
      <c r="E6012" t="s">
        <v>15364</v>
      </c>
    </row>
    <row r="6013" spans="1:5" x14ac:dyDescent="0.2">
      <c r="A6013" t="s">
        <v>15365</v>
      </c>
      <c r="B6013" t="s">
        <v>15366</v>
      </c>
      <c r="C6013" t="s">
        <v>15265</v>
      </c>
      <c r="D6013" t="s">
        <v>15265</v>
      </c>
      <c r="E6013" t="s">
        <v>15283</v>
      </c>
    </row>
    <row r="6014" spans="1:5" x14ac:dyDescent="0.2">
      <c r="A6014" t="s">
        <v>15367</v>
      </c>
      <c r="B6014" t="s">
        <v>15368</v>
      </c>
      <c r="C6014" t="s">
        <v>15265</v>
      </c>
      <c r="D6014" t="s">
        <v>15265</v>
      </c>
      <c r="E6014" t="s">
        <v>15369</v>
      </c>
    </row>
    <row r="6015" spans="1:5" x14ac:dyDescent="0.2">
      <c r="A6015" t="s">
        <v>15370</v>
      </c>
      <c r="B6015" t="s">
        <v>15371</v>
      </c>
      <c r="C6015" t="s">
        <v>15265</v>
      </c>
      <c r="D6015" t="s">
        <v>15265</v>
      </c>
      <c r="E6015" t="s">
        <v>15372</v>
      </c>
    </row>
    <row r="6016" spans="1:5" x14ac:dyDescent="0.2">
      <c r="A6016" t="s">
        <v>15373</v>
      </c>
      <c r="B6016" t="s">
        <v>15374</v>
      </c>
      <c r="C6016" t="s">
        <v>15265</v>
      </c>
      <c r="D6016" t="s">
        <v>15265</v>
      </c>
      <c r="E6016" t="s">
        <v>15272</v>
      </c>
    </row>
    <row r="6017" spans="1:5" x14ac:dyDescent="0.2">
      <c r="A6017" t="s">
        <v>15375</v>
      </c>
      <c r="B6017" t="s">
        <v>15376</v>
      </c>
      <c r="C6017" t="s">
        <v>15265</v>
      </c>
      <c r="D6017" t="s">
        <v>15265</v>
      </c>
      <c r="E6017" t="s">
        <v>15283</v>
      </c>
    </row>
    <row r="6018" spans="1:5" x14ac:dyDescent="0.2">
      <c r="A6018" t="s">
        <v>15377</v>
      </c>
      <c r="B6018" t="s">
        <v>15378</v>
      </c>
      <c r="C6018" t="s">
        <v>15265</v>
      </c>
      <c r="D6018" t="s">
        <v>15265</v>
      </c>
      <c r="E6018" t="s">
        <v>15379</v>
      </c>
    </row>
    <row r="6019" spans="1:5" x14ac:dyDescent="0.2">
      <c r="A6019" t="s">
        <v>15380</v>
      </c>
      <c r="B6019" t="s">
        <v>15381</v>
      </c>
      <c r="C6019" t="s">
        <v>15265</v>
      </c>
      <c r="D6019" t="s">
        <v>15265</v>
      </c>
      <c r="E6019" t="s">
        <v>15382</v>
      </c>
    </row>
    <row r="6020" spans="1:5" x14ac:dyDescent="0.2">
      <c r="A6020" t="s">
        <v>15383</v>
      </c>
      <c r="B6020" t="s">
        <v>15384</v>
      </c>
      <c r="C6020" t="s">
        <v>15265</v>
      </c>
      <c r="D6020" t="s">
        <v>15265</v>
      </c>
      <c r="E6020" t="s">
        <v>15385</v>
      </c>
    </row>
    <row r="6021" spans="1:5" x14ac:dyDescent="0.2">
      <c r="A6021" t="s">
        <v>15386</v>
      </c>
      <c r="B6021" t="s">
        <v>15387</v>
      </c>
      <c r="C6021" t="s">
        <v>15265</v>
      </c>
      <c r="D6021" t="s">
        <v>15265</v>
      </c>
      <c r="E6021" t="s">
        <v>15329</v>
      </c>
    </row>
    <row r="6022" spans="1:5" x14ac:dyDescent="0.2">
      <c r="A6022" t="s">
        <v>15388</v>
      </c>
      <c r="B6022" t="s">
        <v>15389</v>
      </c>
      <c r="C6022" t="s">
        <v>15265</v>
      </c>
      <c r="D6022" t="s">
        <v>15265</v>
      </c>
      <c r="E6022" t="s">
        <v>15272</v>
      </c>
    </row>
    <row r="6023" spans="1:5" x14ac:dyDescent="0.2">
      <c r="A6023" t="s">
        <v>15390</v>
      </c>
      <c r="B6023" t="s">
        <v>15391</v>
      </c>
      <c r="C6023" t="s">
        <v>15265</v>
      </c>
      <c r="D6023" t="s">
        <v>15265</v>
      </c>
      <c r="E6023" t="s">
        <v>15392</v>
      </c>
    </row>
    <row r="6024" spans="1:5" x14ac:dyDescent="0.2">
      <c r="A6024" t="s">
        <v>15393</v>
      </c>
      <c r="B6024" t="s">
        <v>15394</v>
      </c>
      <c r="C6024" t="s">
        <v>15265</v>
      </c>
      <c r="D6024" t="s">
        <v>15265</v>
      </c>
      <c r="E6024" t="s">
        <v>15395</v>
      </c>
    </row>
    <row r="6025" spans="1:5" x14ac:dyDescent="0.2">
      <c r="A6025" t="s">
        <v>15396</v>
      </c>
      <c r="B6025" t="s">
        <v>15397</v>
      </c>
      <c r="C6025" t="s">
        <v>15265</v>
      </c>
      <c r="D6025" t="s">
        <v>15265</v>
      </c>
      <c r="E6025" t="s">
        <v>15272</v>
      </c>
    </row>
    <row r="6026" spans="1:5" x14ac:dyDescent="0.2">
      <c r="A6026" t="s">
        <v>15398</v>
      </c>
      <c r="B6026" t="s">
        <v>15399</v>
      </c>
      <c r="C6026" t="s">
        <v>15265</v>
      </c>
      <c r="D6026" t="s">
        <v>15265</v>
      </c>
      <c r="E6026" t="s">
        <v>15283</v>
      </c>
    </row>
    <row r="6027" spans="1:5" x14ac:dyDescent="0.2">
      <c r="A6027" t="s">
        <v>15400</v>
      </c>
      <c r="B6027" t="s">
        <v>15401</v>
      </c>
      <c r="C6027" t="s">
        <v>15265</v>
      </c>
      <c r="D6027" t="s">
        <v>15265</v>
      </c>
      <c r="E6027" t="s">
        <v>15402</v>
      </c>
    </row>
    <row r="6028" spans="1:5" x14ac:dyDescent="0.2">
      <c r="A6028" t="s">
        <v>15403</v>
      </c>
      <c r="B6028" t="s">
        <v>15404</v>
      </c>
      <c r="C6028" t="s">
        <v>15265</v>
      </c>
      <c r="D6028" t="s">
        <v>15265</v>
      </c>
      <c r="E6028" t="s">
        <v>15329</v>
      </c>
    </row>
    <row r="6029" spans="1:5" x14ac:dyDescent="0.2">
      <c r="A6029" t="s">
        <v>15405</v>
      </c>
      <c r="B6029" t="s">
        <v>15406</v>
      </c>
      <c r="C6029" t="s">
        <v>15265</v>
      </c>
      <c r="D6029" t="s">
        <v>15265</v>
      </c>
      <c r="E6029" t="s">
        <v>15407</v>
      </c>
    </row>
    <row r="6030" spans="1:5" x14ac:dyDescent="0.2">
      <c r="A6030" t="s">
        <v>15408</v>
      </c>
      <c r="B6030" t="s">
        <v>15409</v>
      </c>
      <c r="C6030" t="s">
        <v>15265</v>
      </c>
      <c r="D6030" t="s">
        <v>15265</v>
      </c>
      <c r="E6030" t="s">
        <v>15283</v>
      </c>
    </row>
    <row r="6031" spans="1:5" x14ac:dyDescent="0.2">
      <c r="A6031" t="s">
        <v>15410</v>
      </c>
      <c r="B6031" t="s">
        <v>15411</v>
      </c>
      <c r="C6031" t="s">
        <v>15265</v>
      </c>
      <c r="D6031" t="s">
        <v>15265</v>
      </c>
      <c r="E6031" t="s">
        <v>15412</v>
      </c>
    </row>
    <row r="6032" spans="1:5" x14ac:dyDescent="0.2">
      <c r="A6032" t="s">
        <v>15413</v>
      </c>
      <c r="B6032" t="s">
        <v>15414</v>
      </c>
      <c r="C6032" t="s">
        <v>15265</v>
      </c>
      <c r="D6032" t="s">
        <v>15265</v>
      </c>
      <c r="E6032" t="s">
        <v>15415</v>
      </c>
    </row>
    <row r="6033" spans="1:5" x14ac:dyDescent="0.2">
      <c r="A6033" t="s">
        <v>15416</v>
      </c>
      <c r="B6033" t="s">
        <v>15417</v>
      </c>
      <c r="C6033" t="s">
        <v>15265</v>
      </c>
      <c r="D6033" t="s">
        <v>15265</v>
      </c>
      <c r="E6033" t="s">
        <v>15418</v>
      </c>
    </row>
    <row r="6034" spans="1:5" x14ac:dyDescent="0.2">
      <c r="A6034" t="s">
        <v>15419</v>
      </c>
      <c r="B6034" t="s">
        <v>15420</v>
      </c>
      <c r="C6034" t="s">
        <v>15265</v>
      </c>
      <c r="D6034" t="s">
        <v>15265</v>
      </c>
      <c r="E6034" t="s">
        <v>15421</v>
      </c>
    </row>
    <row r="6035" spans="1:5" x14ac:dyDescent="0.2">
      <c r="A6035" t="s">
        <v>15422</v>
      </c>
      <c r="B6035" t="s">
        <v>15423</v>
      </c>
      <c r="C6035" t="s">
        <v>15265</v>
      </c>
      <c r="D6035" t="s">
        <v>15265</v>
      </c>
      <c r="E6035" t="s">
        <v>15424</v>
      </c>
    </row>
    <row r="6036" spans="1:5" x14ac:dyDescent="0.2">
      <c r="A6036" t="s">
        <v>15425</v>
      </c>
      <c r="B6036" t="s">
        <v>15426</v>
      </c>
      <c r="C6036" t="s">
        <v>15265</v>
      </c>
      <c r="D6036" t="s">
        <v>15265</v>
      </c>
      <c r="E6036" t="s">
        <v>15427</v>
      </c>
    </row>
    <row r="6037" spans="1:5" x14ac:dyDescent="0.2">
      <c r="A6037" t="s">
        <v>15428</v>
      </c>
      <c r="B6037" t="s">
        <v>15429</v>
      </c>
      <c r="C6037" t="s">
        <v>15265</v>
      </c>
      <c r="D6037" t="s">
        <v>15265</v>
      </c>
      <c r="E6037" t="s">
        <v>15430</v>
      </c>
    </row>
    <row r="6038" spans="1:5" x14ac:dyDescent="0.2">
      <c r="A6038" t="s">
        <v>15431</v>
      </c>
      <c r="B6038" t="s">
        <v>15432</v>
      </c>
      <c r="C6038" t="s">
        <v>15265</v>
      </c>
      <c r="D6038" t="s">
        <v>15265</v>
      </c>
      <c r="E6038" t="s">
        <v>15329</v>
      </c>
    </row>
    <row r="6039" spans="1:5" x14ac:dyDescent="0.2">
      <c r="A6039" t="s">
        <v>15433</v>
      </c>
      <c r="B6039" t="s">
        <v>15434</v>
      </c>
      <c r="C6039" t="s">
        <v>15265</v>
      </c>
      <c r="D6039" t="s">
        <v>15265</v>
      </c>
      <c r="E6039" t="s">
        <v>15435</v>
      </c>
    </row>
    <row r="6040" spans="1:5" x14ac:dyDescent="0.2">
      <c r="A6040" t="s">
        <v>15436</v>
      </c>
      <c r="B6040" t="s">
        <v>15437</v>
      </c>
      <c r="C6040" t="s">
        <v>15265</v>
      </c>
      <c r="D6040" t="s">
        <v>15265</v>
      </c>
      <c r="E6040" t="s">
        <v>15280</v>
      </c>
    </row>
    <row r="6041" spans="1:5" x14ac:dyDescent="0.2">
      <c r="A6041" t="s">
        <v>15438</v>
      </c>
      <c r="B6041" t="s">
        <v>15439</v>
      </c>
      <c r="C6041" t="s">
        <v>15265</v>
      </c>
      <c r="D6041" t="s">
        <v>15265</v>
      </c>
      <c r="E6041" t="s">
        <v>15440</v>
      </c>
    </row>
    <row r="6042" spans="1:5" x14ac:dyDescent="0.2">
      <c r="A6042" t="s">
        <v>15441</v>
      </c>
      <c r="B6042" t="s">
        <v>15442</v>
      </c>
      <c r="C6042" t="s">
        <v>15265</v>
      </c>
      <c r="D6042" t="s">
        <v>15265</v>
      </c>
      <c r="E6042" t="s">
        <v>15280</v>
      </c>
    </row>
    <row r="6043" spans="1:5" x14ac:dyDescent="0.2">
      <c r="A6043" t="s">
        <v>15443</v>
      </c>
      <c r="B6043" t="s">
        <v>15444</v>
      </c>
      <c r="C6043" t="s">
        <v>15265</v>
      </c>
      <c r="D6043" t="s">
        <v>15265</v>
      </c>
      <c r="E6043" t="s">
        <v>15283</v>
      </c>
    </row>
    <row r="6044" spans="1:5" x14ac:dyDescent="0.2">
      <c r="A6044" t="s">
        <v>15445</v>
      </c>
      <c r="B6044" t="s">
        <v>15446</v>
      </c>
      <c r="C6044" t="s">
        <v>15265</v>
      </c>
      <c r="D6044" t="s">
        <v>15265</v>
      </c>
      <c r="E6044" t="s">
        <v>15283</v>
      </c>
    </row>
    <row r="6045" spans="1:5" x14ac:dyDescent="0.2">
      <c r="A6045" t="s">
        <v>15447</v>
      </c>
      <c r="B6045" t="s">
        <v>15448</v>
      </c>
      <c r="C6045" t="s">
        <v>15265</v>
      </c>
      <c r="D6045" t="s">
        <v>15265</v>
      </c>
      <c r="E6045" t="s">
        <v>15430</v>
      </c>
    </row>
    <row r="6046" spans="1:5" x14ac:dyDescent="0.2">
      <c r="A6046" t="s">
        <v>15449</v>
      </c>
      <c r="B6046" t="s">
        <v>15450</v>
      </c>
      <c r="C6046" t="s">
        <v>15265</v>
      </c>
      <c r="D6046" t="s">
        <v>15265</v>
      </c>
      <c r="E6046" t="s">
        <v>15280</v>
      </c>
    </row>
    <row r="6047" spans="1:5" x14ac:dyDescent="0.2">
      <c r="A6047" t="s">
        <v>15451</v>
      </c>
      <c r="B6047" t="s">
        <v>15452</v>
      </c>
      <c r="C6047" t="s">
        <v>15265</v>
      </c>
      <c r="D6047" t="s">
        <v>15265</v>
      </c>
      <c r="E6047" t="s">
        <v>15280</v>
      </c>
    </row>
    <row r="6048" spans="1:5" x14ac:dyDescent="0.2">
      <c r="A6048" t="s">
        <v>15453</v>
      </c>
      <c r="B6048" t="s">
        <v>15454</v>
      </c>
      <c r="C6048" t="s">
        <v>15265</v>
      </c>
      <c r="D6048" t="s">
        <v>15265</v>
      </c>
      <c r="E6048" t="s">
        <v>15272</v>
      </c>
    </row>
    <row r="6049" spans="1:5" x14ac:dyDescent="0.2">
      <c r="A6049" t="s">
        <v>15455</v>
      </c>
      <c r="B6049" t="s">
        <v>15456</v>
      </c>
      <c r="C6049" t="s">
        <v>15265</v>
      </c>
      <c r="D6049" t="s">
        <v>15265</v>
      </c>
      <c r="E6049" t="s">
        <v>15457</v>
      </c>
    </row>
    <row r="6050" spans="1:5" x14ac:dyDescent="0.2">
      <c r="A6050" t="s">
        <v>15458</v>
      </c>
      <c r="B6050" t="s">
        <v>15459</v>
      </c>
      <c r="C6050" t="s">
        <v>15265</v>
      </c>
      <c r="D6050" t="s">
        <v>15265</v>
      </c>
      <c r="E6050" t="s">
        <v>15460</v>
      </c>
    </row>
    <row r="6051" spans="1:5" x14ac:dyDescent="0.2">
      <c r="A6051" t="s">
        <v>15461</v>
      </c>
      <c r="B6051" t="s">
        <v>15462</v>
      </c>
      <c r="C6051" t="s">
        <v>15265</v>
      </c>
      <c r="D6051" t="s">
        <v>15265</v>
      </c>
      <c r="E6051" t="s">
        <v>15280</v>
      </c>
    </row>
    <row r="6052" spans="1:5" x14ac:dyDescent="0.2">
      <c r="A6052" t="s">
        <v>15463</v>
      </c>
      <c r="B6052" t="s">
        <v>15464</v>
      </c>
      <c r="C6052" t="s">
        <v>15265</v>
      </c>
      <c r="D6052" t="s">
        <v>15265</v>
      </c>
      <c r="E6052" t="s">
        <v>15272</v>
      </c>
    </row>
    <row r="6053" spans="1:5" x14ac:dyDescent="0.2">
      <c r="A6053" t="s">
        <v>15465</v>
      </c>
      <c r="B6053" t="s">
        <v>15466</v>
      </c>
      <c r="C6053" t="s">
        <v>15265</v>
      </c>
      <c r="D6053" t="s">
        <v>15265</v>
      </c>
      <c r="E6053" t="s">
        <v>15329</v>
      </c>
    </row>
    <row r="6054" spans="1:5" x14ac:dyDescent="0.2">
      <c r="A6054" t="s">
        <v>15467</v>
      </c>
      <c r="B6054" t="s">
        <v>15468</v>
      </c>
      <c r="C6054" t="s">
        <v>15265</v>
      </c>
      <c r="D6054" t="s">
        <v>15265</v>
      </c>
      <c r="E6054" t="s">
        <v>15280</v>
      </c>
    </row>
    <row r="6055" spans="1:5" x14ac:dyDescent="0.2">
      <c r="A6055" t="s">
        <v>15469</v>
      </c>
      <c r="B6055" t="s">
        <v>15470</v>
      </c>
      <c r="C6055" t="s">
        <v>15265</v>
      </c>
      <c r="D6055" t="s">
        <v>15265</v>
      </c>
      <c r="E6055" t="s">
        <v>15471</v>
      </c>
    </row>
    <row r="6056" spans="1:5" x14ac:dyDescent="0.2">
      <c r="A6056" t="s">
        <v>15472</v>
      </c>
      <c r="B6056" t="s">
        <v>15473</v>
      </c>
      <c r="C6056" t="s">
        <v>15265</v>
      </c>
      <c r="D6056" t="s">
        <v>15265</v>
      </c>
      <c r="E6056" t="s">
        <v>15474</v>
      </c>
    </row>
    <row r="6057" spans="1:5" x14ac:dyDescent="0.2">
      <c r="A6057" t="s">
        <v>15475</v>
      </c>
      <c r="B6057" t="s">
        <v>15476</v>
      </c>
      <c r="C6057" t="s">
        <v>15265</v>
      </c>
      <c r="D6057" t="s">
        <v>15265</v>
      </c>
      <c r="E6057" t="s">
        <v>15329</v>
      </c>
    </row>
    <row r="6058" spans="1:5" x14ac:dyDescent="0.2">
      <c r="A6058" t="s">
        <v>15477</v>
      </c>
      <c r="B6058" t="s">
        <v>15478</v>
      </c>
      <c r="C6058" t="s">
        <v>15265</v>
      </c>
      <c r="D6058" t="s">
        <v>15265</v>
      </c>
      <c r="E6058" t="s">
        <v>15479</v>
      </c>
    </row>
    <row r="6059" spans="1:5" x14ac:dyDescent="0.2">
      <c r="A6059" t="s">
        <v>15480</v>
      </c>
      <c r="B6059" t="s">
        <v>15481</v>
      </c>
      <c r="C6059" t="s">
        <v>15265</v>
      </c>
      <c r="D6059" t="s">
        <v>15265</v>
      </c>
      <c r="E6059" t="s">
        <v>15482</v>
      </c>
    </row>
    <row r="6060" spans="1:5" x14ac:dyDescent="0.2">
      <c r="A6060" t="s">
        <v>15483</v>
      </c>
      <c r="B6060" t="s">
        <v>15484</v>
      </c>
      <c r="C6060" t="s">
        <v>15265</v>
      </c>
      <c r="D6060" t="s">
        <v>15265</v>
      </c>
      <c r="E6060" t="s">
        <v>15485</v>
      </c>
    </row>
    <row r="6061" spans="1:5" x14ac:dyDescent="0.2">
      <c r="A6061" t="s">
        <v>15486</v>
      </c>
      <c r="B6061" t="s">
        <v>15487</v>
      </c>
      <c r="C6061" t="s">
        <v>15265</v>
      </c>
      <c r="D6061" t="s">
        <v>15265</v>
      </c>
      <c r="E6061" t="s">
        <v>15488</v>
      </c>
    </row>
    <row r="6062" spans="1:5" x14ac:dyDescent="0.2">
      <c r="A6062" t="s">
        <v>15489</v>
      </c>
      <c r="B6062" t="s">
        <v>15490</v>
      </c>
      <c r="C6062" t="s">
        <v>15265</v>
      </c>
      <c r="D6062" t="s">
        <v>15265</v>
      </c>
      <c r="E6062" t="s">
        <v>15283</v>
      </c>
    </row>
    <row r="6063" spans="1:5" x14ac:dyDescent="0.2">
      <c r="A6063" t="s">
        <v>15491</v>
      </c>
      <c r="B6063" t="s">
        <v>15492</v>
      </c>
      <c r="C6063" t="s">
        <v>15265</v>
      </c>
      <c r="D6063" t="s">
        <v>15265</v>
      </c>
      <c r="E6063" t="s">
        <v>15280</v>
      </c>
    </row>
    <row r="6064" spans="1:5" x14ac:dyDescent="0.2">
      <c r="A6064" t="s">
        <v>15493</v>
      </c>
      <c r="B6064" t="s">
        <v>15494</v>
      </c>
      <c r="C6064" t="s">
        <v>15265</v>
      </c>
      <c r="D6064" t="s">
        <v>15265</v>
      </c>
      <c r="E6064" t="s">
        <v>15495</v>
      </c>
    </row>
    <row r="6065" spans="1:5" x14ac:dyDescent="0.2">
      <c r="A6065" t="s">
        <v>15496</v>
      </c>
      <c r="B6065" t="s">
        <v>15497</v>
      </c>
      <c r="C6065" t="s">
        <v>15265</v>
      </c>
      <c r="D6065" t="s">
        <v>15265</v>
      </c>
      <c r="E6065" t="s">
        <v>15280</v>
      </c>
    </row>
    <row r="6066" spans="1:5" x14ac:dyDescent="0.2">
      <c r="A6066" t="s">
        <v>15498</v>
      </c>
      <c r="B6066" t="s">
        <v>15499</v>
      </c>
      <c r="C6066" t="s">
        <v>15265</v>
      </c>
      <c r="D6066" t="s">
        <v>15265</v>
      </c>
      <c r="E6066" t="s">
        <v>15283</v>
      </c>
    </row>
    <row r="6067" spans="1:5" x14ac:dyDescent="0.2">
      <c r="A6067" t="s">
        <v>5022</v>
      </c>
      <c r="B6067" t="s">
        <v>15500</v>
      </c>
      <c r="C6067" t="s">
        <v>15265</v>
      </c>
      <c r="D6067" t="s">
        <v>4880</v>
      </c>
      <c r="E6067" t="s">
        <v>5024</v>
      </c>
    </row>
    <row r="6068" spans="1:5" x14ac:dyDescent="0.2">
      <c r="A6068" t="s">
        <v>15501</v>
      </c>
      <c r="B6068" t="s">
        <v>15502</v>
      </c>
      <c r="C6068" t="s">
        <v>15265</v>
      </c>
      <c r="D6068" t="s">
        <v>15265</v>
      </c>
      <c r="E6068" t="s">
        <v>15280</v>
      </c>
    </row>
    <row r="6069" spans="1:5" x14ac:dyDescent="0.2">
      <c r="A6069" t="s">
        <v>15503</v>
      </c>
      <c r="B6069" t="s">
        <v>15504</v>
      </c>
      <c r="C6069" t="s">
        <v>15265</v>
      </c>
      <c r="D6069" t="e">
        <v>#N/A</v>
      </c>
      <c r="E6069" t="e">
        <v>#N/A</v>
      </c>
    </row>
    <row r="6070" spans="1:5" x14ac:dyDescent="0.2">
      <c r="A6070" t="s">
        <v>15505</v>
      </c>
      <c r="B6070" t="s">
        <v>15506</v>
      </c>
      <c r="C6070" t="s">
        <v>15507</v>
      </c>
      <c r="D6070" t="s">
        <v>15507</v>
      </c>
      <c r="E6070" t="s">
        <v>15508</v>
      </c>
    </row>
    <row r="6071" spans="1:5" x14ac:dyDescent="0.2">
      <c r="A6071" t="s">
        <v>15509</v>
      </c>
      <c r="B6071" t="s">
        <v>15510</v>
      </c>
      <c r="C6071" t="s">
        <v>15507</v>
      </c>
      <c r="D6071" t="s">
        <v>15507</v>
      </c>
      <c r="E6071" t="s">
        <v>15511</v>
      </c>
    </row>
    <row r="6072" spans="1:5" x14ac:dyDescent="0.2">
      <c r="A6072" t="s">
        <v>15512</v>
      </c>
      <c r="B6072" t="s">
        <v>15513</v>
      </c>
      <c r="C6072" t="s">
        <v>15507</v>
      </c>
      <c r="D6072" t="s">
        <v>15507</v>
      </c>
      <c r="E6072" t="s">
        <v>15508</v>
      </c>
    </row>
    <row r="6073" spans="1:5" x14ac:dyDescent="0.2">
      <c r="A6073" t="s">
        <v>15514</v>
      </c>
      <c r="B6073" t="s">
        <v>15515</v>
      </c>
      <c r="C6073" t="s">
        <v>15507</v>
      </c>
      <c r="D6073" t="s">
        <v>15507</v>
      </c>
      <c r="E6073" t="s">
        <v>15508</v>
      </c>
    </row>
    <row r="6074" spans="1:5" x14ac:dyDescent="0.2">
      <c r="A6074" t="s">
        <v>15516</v>
      </c>
      <c r="B6074" t="s">
        <v>15517</v>
      </c>
      <c r="C6074" t="s">
        <v>15507</v>
      </c>
      <c r="D6074" t="s">
        <v>15507</v>
      </c>
      <c r="E6074" t="s">
        <v>15508</v>
      </c>
    </row>
    <row r="6075" spans="1:5" x14ac:dyDescent="0.2">
      <c r="A6075" t="s">
        <v>15518</v>
      </c>
      <c r="B6075" t="s">
        <v>15519</v>
      </c>
      <c r="C6075" t="s">
        <v>15507</v>
      </c>
      <c r="D6075" t="s">
        <v>15507</v>
      </c>
      <c r="E6075" t="s">
        <v>15520</v>
      </c>
    </row>
    <row r="6076" spans="1:5" x14ac:dyDescent="0.2">
      <c r="A6076" t="s">
        <v>15521</v>
      </c>
      <c r="B6076" t="s">
        <v>15522</v>
      </c>
      <c r="C6076" t="s">
        <v>15507</v>
      </c>
      <c r="D6076" t="s">
        <v>15507</v>
      </c>
      <c r="E6076" t="s">
        <v>15523</v>
      </c>
    </row>
    <row r="6077" spans="1:5" x14ac:dyDescent="0.2">
      <c r="A6077" t="s">
        <v>15524</v>
      </c>
      <c r="B6077" t="s">
        <v>15525</v>
      </c>
      <c r="C6077" t="s">
        <v>15507</v>
      </c>
      <c r="D6077" t="s">
        <v>15507</v>
      </c>
      <c r="E6077" t="s">
        <v>15526</v>
      </c>
    </row>
    <row r="6078" spans="1:5" x14ac:dyDescent="0.2">
      <c r="A6078" t="s">
        <v>15527</v>
      </c>
      <c r="B6078" t="s">
        <v>15528</v>
      </c>
      <c r="C6078" t="s">
        <v>15507</v>
      </c>
      <c r="D6078" t="s">
        <v>15507</v>
      </c>
      <c r="E6078" t="s">
        <v>15508</v>
      </c>
    </row>
    <row r="6079" spans="1:5" x14ac:dyDescent="0.2">
      <c r="A6079" t="s">
        <v>15529</v>
      </c>
      <c r="B6079" t="s">
        <v>15530</v>
      </c>
      <c r="C6079" t="s">
        <v>15507</v>
      </c>
      <c r="D6079" t="s">
        <v>15507</v>
      </c>
      <c r="E6079" t="s">
        <v>15526</v>
      </c>
    </row>
    <row r="6080" spans="1:5" x14ac:dyDescent="0.2">
      <c r="A6080" t="s">
        <v>15531</v>
      </c>
      <c r="B6080" t="s">
        <v>15532</v>
      </c>
      <c r="C6080" t="s">
        <v>15507</v>
      </c>
      <c r="D6080" t="s">
        <v>15507</v>
      </c>
      <c r="E6080" t="s">
        <v>15533</v>
      </c>
    </row>
    <row r="6081" spans="1:5" x14ac:dyDescent="0.2">
      <c r="A6081" t="s">
        <v>15534</v>
      </c>
      <c r="B6081" t="s">
        <v>15535</v>
      </c>
      <c r="C6081" t="s">
        <v>15507</v>
      </c>
      <c r="D6081" t="s">
        <v>15507</v>
      </c>
      <c r="E6081" t="s">
        <v>15536</v>
      </c>
    </row>
    <row r="6082" spans="1:5" x14ac:dyDescent="0.2">
      <c r="A6082" t="s">
        <v>15537</v>
      </c>
      <c r="B6082" t="s">
        <v>15538</v>
      </c>
      <c r="C6082" t="s">
        <v>15507</v>
      </c>
      <c r="D6082" t="s">
        <v>15507</v>
      </c>
      <c r="E6082" t="s">
        <v>15526</v>
      </c>
    </row>
    <row r="6083" spans="1:5" x14ac:dyDescent="0.2">
      <c r="A6083" t="s">
        <v>15539</v>
      </c>
      <c r="B6083" t="s">
        <v>15540</v>
      </c>
      <c r="C6083" t="s">
        <v>15507</v>
      </c>
      <c r="D6083" t="s">
        <v>15507</v>
      </c>
      <c r="E6083" t="s">
        <v>15508</v>
      </c>
    </row>
    <row r="6084" spans="1:5" x14ac:dyDescent="0.2">
      <c r="A6084" t="s">
        <v>15541</v>
      </c>
      <c r="B6084" t="s">
        <v>15542</v>
      </c>
      <c r="C6084" t="s">
        <v>15507</v>
      </c>
      <c r="D6084" t="s">
        <v>15507</v>
      </c>
      <c r="E6084" t="s">
        <v>15508</v>
      </c>
    </row>
    <row r="6085" spans="1:5" x14ac:dyDescent="0.2">
      <c r="A6085" t="s">
        <v>15543</v>
      </c>
      <c r="B6085" t="s">
        <v>15544</v>
      </c>
      <c r="C6085" t="s">
        <v>15507</v>
      </c>
      <c r="D6085" t="s">
        <v>15507</v>
      </c>
      <c r="E6085" t="s">
        <v>15545</v>
      </c>
    </row>
    <row r="6086" spans="1:5" x14ac:dyDescent="0.2">
      <c r="A6086" t="s">
        <v>15546</v>
      </c>
      <c r="B6086" t="s">
        <v>15547</v>
      </c>
      <c r="C6086" t="s">
        <v>15507</v>
      </c>
      <c r="D6086" t="s">
        <v>15507</v>
      </c>
      <c r="E6086" t="s">
        <v>15508</v>
      </c>
    </row>
    <row r="6087" spans="1:5" x14ac:dyDescent="0.2">
      <c r="A6087" t="s">
        <v>15548</v>
      </c>
      <c r="B6087" t="s">
        <v>15549</v>
      </c>
      <c r="C6087" t="s">
        <v>15507</v>
      </c>
      <c r="D6087" t="s">
        <v>15507</v>
      </c>
      <c r="E6087" t="s">
        <v>15508</v>
      </c>
    </row>
    <row r="6088" spans="1:5" x14ac:dyDescent="0.2">
      <c r="A6088" t="s">
        <v>15550</v>
      </c>
      <c r="B6088" t="s">
        <v>15551</v>
      </c>
      <c r="C6088" t="s">
        <v>15507</v>
      </c>
      <c r="D6088" t="s">
        <v>15507</v>
      </c>
      <c r="E6088" t="s">
        <v>15545</v>
      </c>
    </row>
    <row r="6089" spans="1:5" x14ac:dyDescent="0.2">
      <c r="A6089" t="s">
        <v>15552</v>
      </c>
      <c r="B6089" t="s">
        <v>15553</v>
      </c>
      <c r="C6089" t="s">
        <v>15507</v>
      </c>
      <c r="D6089" t="s">
        <v>15507</v>
      </c>
      <c r="E6089" t="s">
        <v>15545</v>
      </c>
    </row>
    <row r="6090" spans="1:5" x14ac:dyDescent="0.2">
      <c r="A6090" t="s">
        <v>15554</v>
      </c>
      <c r="B6090" t="s">
        <v>15555</v>
      </c>
      <c r="C6090" t="s">
        <v>15507</v>
      </c>
      <c r="D6090" t="s">
        <v>15507</v>
      </c>
      <c r="E6090" t="s">
        <v>15526</v>
      </c>
    </row>
    <row r="6091" spans="1:5" x14ac:dyDescent="0.2">
      <c r="A6091" t="s">
        <v>15556</v>
      </c>
      <c r="B6091" t="s">
        <v>15557</v>
      </c>
      <c r="C6091" t="s">
        <v>15507</v>
      </c>
      <c r="D6091" t="s">
        <v>15507</v>
      </c>
      <c r="E6091" t="s">
        <v>15558</v>
      </c>
    </row>
    <row r="6092" spans="1:5" x14ac:dyDescent="0.2">
      <c r="A6092" t="s">
        <v>15559</v>
      </c>
      <c r="B6092" t="s">
        <v>15560</v>
      </c>
      <c r="C6092" t="s">
        <v>15507</v>
      </c>
      <c r="D6092" t="s">
        <v>15507</v>
      </c>
      <c r="E6092" t="s">
        <v>15558</v>
      </c>
    </row>
    <row r="6093" spans="1:5" x14ac:dyDescent="0.2">
      <c r="A6093" t="s">
        <v>15561</v>
      </c>
      <c r="B6093" t="s">
        <v>15562</v>
      </c>
      <c r="C6093" t="s">
        <v>15507</v>
      </c>
      <c r="D6093" t="s">
        <v>15507</v>
      </c>
      <c r="E6093" t="s">
        <v>15508</v>
      </c>
    </row>
    <row r="6094" spans="1:5" x14ac:dyDescent="0.2">
      <c r="A6094" t="s">
        <v>15563</v>
      </c>
      <c r="B6094" t="s">
        <v>15564</v>
      </c>
      <c r="C6094" t="s">
        <v>15507</v>
      </c>
      <c r="D6094" t="s">
        <v>15507</v>
      </c>
      <c r="E6094" t="s">
        <v>15565</v>
      </c>
    </row>
    <row r="6095" spans="1:5" x14ac:dyDescent="0.2">
      <c r="A6095" t="s">
        <v>15566</v>
      </c>
      <c r="B6095" t="s">
        <v>15567</v>
      </c>
      <c r="C6095" t="s">
        <v>15507</v>
      </c>
      <c r="D6095" t="s">
        <v>15507</v>
      </c>
      <c r="E6095" t="s">
        <v>15545</v>
      </c>
    </row>
    <row r="6096" spans="1:5" x14ac:dyDescent="0.2">
      <c r="A6096" t="s">
        <v>15568</v>
      </c>
      <c r="B6096" t="s">
        <v>15569</v>
      </c>
      <c r="C6096" t="s">
        <v>15507</v>
      </c>
      <c r="D6096" t="s">
        <v>15507</v>
      </c>
      <c r="E6096" t="s">
        <v>15545</v>
      </c>
    </row>
    <row r="6097" spans="1:5" x14ac:dyDescent="0.2">
      <c r="A6097" t="s">
        <v>15570</v>
      </c>
      <c r="B6097" t="s">
        <v>15571</v>
      </c>
      <c r="C6097" t="s">
        <v>15507</v>
      </c>
      <c r="D6097" t="s">
        <v>15507</v>
      </c>
      <c r="E6097" t="s">
        <v>15572</v>
      </c>
    </row>
    <row r="6098" spans="1:5" x14ac:dyDescent="0.2">
      <c r="A6098" t="s">
        <v>15573</v>
      </c>
      <c r="B6098" t="s">
        <v>15574</v>
      </c>
      <c r="C6098" t="s">
        <v>15507</v>
      </c>
      <c r="D6098" t="s">
        <v>15507</v>
      </c>
      <c r="E6098" t="s">
        <v>15575</v>
      </c>
    </row>
    <row r="6099" spans="1:5" x14ac:dyDescent="0.2">
      <c r="A6099" t="s">
        <v>15576</v>
      </c>
      <c r="B6099" t="s">
        <v>15577</v>
      </c>
      <c r="C6099" t="s">
        <v>15507</v>
      </c>
      <c r="D6099" t="s">
        <v>15507</v>
      </c>
      <c r="E6099" t="s">
        <v>15578</v>
      </c>
    </row>
    <row r="6100" spans="1:5" x14ac:dyDescent="0.2">
      <c r="A6100" t="s">
        <v>15579</v>
      </c>
      <c r="B6100" t="s">
        <v>15580</v>
      </c>
      <c r="C6100" t="s">
        <v>15507</v>
      </c>
      <c r="D6100" t="s">
        <v>15507</v>
      </c>
      <c r="E6100" t="s">
        <v>15581</v>
      </c>
    </row>
    <row r="6101" spans="1:5" x14ac:dyDescent="0.2">
      <c r="A6101" t="s">
        <v>15582</v>
      </c>
      <c r="B6101" t="s">
        <v>15583</v>
      </c>
      <c r="C6101" t="s">
        <v>15507</v>
      </c>
      <c r="D6101" t="s">
        <v>15507</v>
      </c>
      <c r="E6101" t="s">
        <v>15520</v>
      </c>
    </row>
    <row r="6102" spans="1:5" x14ac:dyDescent="0.2">
      <c r="A6102" t="s">
        <v>15584</v>
      </c>
      <c r="B6102" t="s">
        <v>15585</v>
      </c>
      <c r="C6102" t="s">
        <v>15507</v>
      </c>
      <c r="D6102" t="s">
        <v>15507</v>
      </c>
      <c r="E6102" t="s">
        <v>15586</v>
      </c>
    </row>
    <row r="6103" spans="1:5" x14ac:dyDescent="0.2">
      <c r="A6103" t="s">
        <v>15587</v>
      </c>
      <c r="B6103" t="s">
        <v>15588</v>
      </c>
      <c r="C6103" t="s">
        <v>15507</v>
      </c>
      <c r="D6103" t="s">
        <v>15507</v>
      </c>
      <c r="E6103" t="s">
        <v>15581</v>
      </c>
    </row>
    <row r="6104" spans="1:5" x14ac:dyDescent="0.2">
      <c r="A6104" t="s">
        <v>15589</v>
      </c>
      <c r="B6104" t="s">
        <v>15590</v>
      </c>
      <c r="C6104" t="s">
        <v>15507</v>
      </c>
      <c r="D6104" t="s">
        <v>15507</v>
      </c>
      <c r="E6104" t="s">
        <v>15508</v>
      </c>
    </row>
    <row r="6105" spans="1:5" x14ac:dyDescent="0.2">
      <c r="A6105" t="s">
        <v>15591</v>
      </c>
      <c r="B6105" t="s">
        <v>15592</v>
      </c>
      <c r="C6105" t="s">
        <v>15507</v>
      </c>
      <c r="D6105" t="s">
        <v>15507</v>
      </c>
      <c r="E6105" t="s">
        <v>15593</v>
      </c>
    </row>
    <row r="6106" spans="1:5" x14ac:dyDescent="0.2">
      <c r="A6106" t="s">
        <v>15594</v>
      </c>
      <c r="B6106" t="s">
        <v>15595</v>
      </c>
      <c r="C6106" t="s">
        <v>15507</v>
      </c>
      <c r="D6106" t="s">
        <v>15507</v>
      </c>
      <c r="E6106" t="s">
        <v>15526</v>
      </c>
    </row>
    <row r="6107" spans="1:5" x14ac:dyDescent="0.2">
      <c r="A6107" t="s">
        <v>15596</v>
      </c>
      <c r="B6107" t="s">
        <v>15597</v>
      </c>
      <c r="C6107" t="s">
        <v>15507</v>
      </c>
      <c r="D6107" t="s">
        <v>15507</v>
      </c>
      <c r="E6107" t="s">
        <v>15508</v>
      </c>
    </row>
    <row r="6108" spans="1:5" x14ac:dyDescent="0.2">
      <c r="A6108" t="s">
        <v>15598</v>
      </c>
      <c r="B6108" t="s">
        <v>15599</v>
      </c>
      <c r="C6108" t="s">
        <v>15507</v>
      </c>
      <c r="D6108" t="s">
        <v>15507</v>
      </c>
      <c r="E6108" t="s">
        <v>15600</v>
      </c>
    </row>
    <row r="6109" spans="1:5" x14ac:dyDescent="0.2">
      <c r="A6109" t="s">
        <v>15601</v>
      </c>
      <c r="B6109" t="s">
        <v>15602</v>
      </c>
      <c r="C6109" t="s">
        <v>15507</v>
      </c>
      <c r="D6109" t="s">
        <v>15507</v>
      </c>
      <c r="E6109" t="s">
        <v>15603</v>
      </c>
    </row>
    <row r="6110" spans="1:5" x14ac:dyDescent="0.2">
      <c r="A6110" t="s">
        <v>15604</v>
      </c>
      <c r="B6110" t="s">
        <v>15605</v>
      </c>
      <c r="C6110" t="s">
        <v>15507</v>
      </c>
      <c r="D6110" t="s">
        <v>15507</v>
      </c>
      <c r="E6110" t="s">
        <v>15606</v>
      </c>
    </row>
    <row r="6111" spans="1:5" x14ac:dyDescent="0.2">
      <c r="A6111" t="s">
        <v>15607</v>
      </c>
      <c r="B6111" t="s">
        <v>15608</v>
      </c>
      <c r="C6111" t="s">
        <v>15507</v>
      </c>
      <c r="D6111" t="s">
        <v>15507</v>
      </c>
      <c r="E6111" t="s">
        <v>15609</v>
      </c>
    </row>
    <row r="6112" spans="1:5" x14ac:dyDescent="0.2">
      <c r="A6112" t="s">
        <v>15610</v>
      </c>
      <c r="B6112" t="s">
        <v>15611</v>
      </c>
      <c r="C6112" t="s">
        <v>15507</v>
      </c>
      <c r="D6112" t="s">
        <v>15507</v>
      </c>
      <c r="E6112" t="s">
        <v>15612</v>
      </c>
    </row>
    <row r="6113" spans="1:5" x14ac:dyDescent="0.2">
      <c r="A6113" t="s">
        <v>15613</v>
      </c>
      <c r="B6113" t="s">
        <v>15614</v>
      </c>
      <c r="C6113" t="s">
        <v>15507</v>
      </c>
      <c r="D6113" t="s">
        <v>15507</v>
      </c>
      <c r="E6113" t="s">
        <v>15615</v>
      </c>
    </row>
    <row r="6114" spans="1:5" x14ac:dyDescent="0.2">
      <c r="A6114" t="s">
        <v>15616</v>
      </c>
      <c r="B6114" t="s">
        <v>15617</v>
      </c>
      <c r="C6114" t="s">
        <v>15507</v>
      </c>
      <c r="D6114" t="s">
        <v>15507</v>
      </c>
      <c r="E6114" t="s">
        <v>15618</v>
      </c>
    </row>
    <row r="6115" spans="1:5" x14ac:dyDescent="0.2">
      <c r="A6115" t="s">
        <v>15619</v>
      </c>
      <c r="B6115" t="s">
        <v>15620</v>
      </c>
      <c r="C6115" t="s">
        <v>15507</v>
      </c>
      <c r="D6115" t="s">
        <v>15507</v>
      </c>
      <c r="E6115" t="s">
        <v>15526</v>
      </c>
    </row>
    <row r="6116" spans="1:5" x14ac:dyDescent="0.2">
      <c r="A6116" t="s">
        <v>15621</v>
      </c>
      <c r="B6116" t="s">
        <v>15622</v>
      </c>
      <c r="C6116" t="s">
        <v>15507</v>
      </c>
      <c r="D6116" t="s">
        <v>15507</v>
      </c>
      <c r="E6116" t="s">
        <v>15520</v>
      </c>
    </row>
    <row r="6117" spans="1:5" x14ac:dyDescent="0.2">
      <c r="A6117" t="s">
        <v>15623</v>
      </c>
      <c r="B6117" t="s">
        <v>15624</v>
      </c>
      <c r="C6117" t="s">
        <v>15507</v>
      </c>
      <c r="D6117" t="s">
        <v>15507</v>
      </c>
      <c r="E6117" t="s">
        <v>15625</v>
      </c>
    </row>
    <row r="6118" spans="1:5" x14ac:dyDescent="0.2">
      <c r="A6118" t="s">
        <v>15626</v>
      </c>
      <c r="B6118" t="s">
        <v>15627</v>
      </c>
      <c r="C6118" t="s">
        <v>15507</v>
      </c>
      <c r="D6118" t="s">
        <v>15507</v>
      </c>
      <c r="E6118" t="s">
        <v>15508</v>
      </c>
    </row>
    <row r="6119" spans="1:5" x14ac:dyDescent="0.2">
      <c r="A6119" t="s">
        <v>15628</v>
      </c>
      <c r="B6119" t="s">
        <v>15629</v>
      </c>
      <c r="C6119" t="s">
        <v>15507</v>
      </c>
      <c r="D6119" t="s">
        <v>15507</v>
      </c>
      <c r="E6119" t="s">
        <v>15630</v>
      </c>
    </row>
    <row r="6120" spans="1:5" x14ac:dyDescent="0.2">
      <c r="A6120" t="s">
        <v>15631</v>
      </c>
      <c r="B6120" t="s">
        <v>15632</v>
      </c>
      <c r="C6120" t="s">
        <v>15507</v>
      </c>
      <c r="D6120" t="s">
        <v>15507</v>
      </c>
      <c r="E6120" t="s">
        <v>15520</v>
      </c>
    </row>
    <row r="6121" spans="1:5" x14ac:dyDescent="0.2">
      <c r="A6121" t="s">
        <v>15633</v>
      </c>
      <c r="B6121" t="s">
        <v>15634</v>
      </c>
      <c r="C6121" t="s">
        <v>15507</v>
      </c>
      <c r="D6121" t="s">
        <v>15507</v>
      </c>
      <c r="E6121" t="s">
        <v>15635</v>
      </c>
    </row>
    <row r="6122" spans="1:5" x14ac:dyDescent="0.2">
      <c r="A6122" t="s">
        <v>15636</v>
      </c>
      <c r="B6122" t="s">
        <v>15637</v>
      </c>
      <c r="C6122" t="s">
        <v>15507</v>
      </c>
      <c r="D6122" t="s">
        <v>15507</v>
      </c>
      <c r="E6122" t="s">
        <v>15638</v>
      </c>
    </row>
    <row r="6123" spans="1:5" x14ac:dyDescent="0.2">
      <c r="A6123" t="s">
        <v>15639</v>
      </c>
      <c r="B6123" t="s">
        <v>15640</v>
      </c>
      <c r="C6123" t="s">
        <v>15507</v>
      </c>
      <c r="D6123" t="s">
        <v>15507</v>
      </c>
      <c r="E6123" t="s">
        <v>15558</v>
      </c>
    </row>
    <row r="6124" spans="1:5" x14ac:dyDescent="0.2">
      <c r="A6124" t="s">
        <v>15641</v>
      </c>
      <c r="B6124" t="s">
        <v>15642</v>
      </c>
      <c r="C6124" t="s">
        <v>15507</v>
      </c>
      <c r="D6124" t="s">
        <v>15507</v>
      </c>
      <c r="E6124" t="s">
        <v>15643</v>
      </c>
    </row>
    <row r="6125" spans="1:5" x14ac:dyDescent="0.2">
      <c r="A6125" t="s">
        <v>15644</v>
      </c>
      <c r="B6125" t="s">
        <v>15645</v>
      </c>
      <c r="C6125" t="s">
        <v>15507</v>
      </c>
      <c r="D6125" t="s">
        <v>15507</v>
      </c>
      <c r="E6125" t="s">
        <v>15646</v>
      </c>
    </row>
    <row r="6126" spans="1:5" x14ac:dyDescent="0.2">
      <c r="A6126" t="s">
        <v>15647</v>
      </c>
      <c r="B6126" t="s">
        <v>15648</v>
      </c>
      <c r="C6126" t="s">
        <v>15507</v>
      </c>
      <c r="D6126" t="s">
        <v>15507</v>
      </c>
      <c r="E6126" t="s">
        <v>15649</v>
      </c>
    </row>
    <row r="6127" spans="1:5" x14ac:dyDescent="0.2">
      <c r="A6127" t="s">
        <v>15650</v>
      </c>
      <c r="B6127" t="s">
        <v>15651</v>
      </c>
      <c r="C6127" t="s">
        <v>15507</v>
      </c>
      <c r="D6127" t="s">
        <v>15507</v>
      </c>
      <c r="E6127" t="s">
        <v>15520</v>
      </c>
    </row>
    <row r="6128" spans="1:5" x14ac:dyDescent="0.2">
      <c r="A6128" t="s">
        <v>15652</v>
      </c>
      <c r="B6128" t="s">
        <v>15653</v>
      </c>
      <c r="C6128" t="s">
        <v>15507</v>
      </c>
      <c r="D6128" t="s">
        <v>15507</v>
      </c>
      <c r="E6128" t="s">
        <v>15654</v>
      </c>
    </row>
    <row r="6129" spans="1:5" x14ac:dyDescent="0.2">
      <c r="A6129" t="s">
        <v>15655</v>
      </c>
      <c r="B6129" t="s">
        <v>15656</v>
      </c>
      <c r="C6129" t="s">
        <v>15507</v>
      </c>
      <c r="D6129" t="s">
        <v>15507</v>
      </c>
      <c r="E6129" t="s">
        <v>15657</v>
      </c>
    </row>
    <row r="6130" spans="1:5" x14ac:dyDescent="0.2">
      <c r="A6130" t="s">
        <v>15658</v>
      </c>
      <c r="B6130" t="s">
        <v>15659</v>
      </c>
      <c r="C6130" t="s">
        <v>15507</v>
      </c>
      <c r="D6130" t="s">
        <v>15507</v>
      </c>
      <c r="E6130" t="s">
        <v>15508</v>
      </c>
    </row>
    <row r="6131" spans="1:5" x14ac:dyDescent="0.2">
      <c r="A6131" t="s">
        <v>15660</v>
      </c>
      <c r="B6131" t="s">
        <v>15661</v>
      </c>
      <c r="C6131" t="s">
        <v>15507</v>
      </c>
      <c r="D6131" t="s">
        <v>15507</v>
      </c>
      <c r="E6131" t="s">
        <v>15508</v>
      </c>
    </row>
    <row r="6132" spans="1:5" x14ac:dyDescent="0.2">
      <c r="A6132" t="s">
        <v>15662</v>
      </c>
      <c r="B6132" t="s">
        <v>15663</v>
      </c>
      <c r="C6132" t="s">
        <v>15507</v>
      </c>
      <c r="D6132" t="s">
        <v>15507</v>
      </c>
      <c r="E6132" t="s">
        <v>15664</v>
      </c>
    </row>
    <row r="6133" spans="1:5" x14ac:dyDescent="0.2">
      <c r="A6133" t="s">
        <v>15665</v>
      </c>
      <c r="B6133" t="s">
        <v>15666</v>
      </c>
      <c r="C6133" t="s">
        <v>15507</v>
      </c>
      <c r="D6133" t="s">
        <v>15507</v>
      </c>
      <c r="E6133" t="s">
        <v>15667</v>
      </c>
    </row>
    <row r="6134" spans="1:5" x14ac:dyDescent="0.2">
      <c r="A6134" t="s">
        <v>15668</v>
      </c>
      <c r="B6134" t="s">
        <v>15669</v>
      </c>
      <c r="C6134" t="s">
        <v>15507</v>
      </c>
      <c r="D6134" t="s">
        <v>15507</v>
      </c>
      <c r="E6134" t="s">
        <v>15520</v>
      </c>
    </row>
    <row r="6135" spans="1:5" x14ac:dyDescent="0.2">
      <c r="A6135" t="s">
        <v>15670</v>
      </c>
      <c r="B6135" t="s">
        <v>15671</v>
      </c>
      <c r="C6135" t="s">
        <v>15507</v>
      </c>
      <c r="D6135" t="s">
        <v>15507</v>
      </c>
      <c r="E6135" t="s">
        <v>15672</v>
      </c>
    </row>
    <row r="6136" spans="1:5" x14ac:dyDescent="0.2">
      <c r="A6136" t="s">
        <v>15673</v>
      </c>
      <c r="B6136" t="s">
        <v>15674</v>
      </c>
      <c r="C6136" t="s">
        <v>15507</v>
      </c>
      <c r="D6136" t="s">
        <v>15507</v>
      </c>
      <c r="E6136" t="s">
        <v>15520</v>
      </c>
    </row>
    <row r="6137" spans="1:5" x14ac:dyDescent="0.2">
      <c r="A6137" t="s">
        <v>15675</v>
      </c>
      <c r="B6137" t="s">
        <v>15676</v>
      </c>
      <c r="C6137" t="s">
        <v>15507</v>
      </c>
      <c r="D6137" t="s">
        <v>15507</v>
      </c>
      <c r="E6137" t="s">
        <v>15558</v>
      </c>
    </row>
    <row r="6138" spans="1:5" x14ac:dyDescent="0.2">
      <c r="A6138" t="s">
        <v>15677</v>
      </c>
      <c r="B6138" t="s">
        <v>15678</v>
      </c>
      <c r="C6138" t="s">
        <v>15507</v>
      </c>
      <c r="D6138" t="s">
        <v>15507</v>
      </c>
      <c r="E6138" t="s">
        <v>15679</v>
      </c>
    </row>
    <row r="6139" spans="1:5" x14ac:dyDescent="0.2">
      <c r="A6139" t="s">
        <v>15680</v>
      </c>
      <c r="B6139" t="s">
        <v>15681</v>
      </c>
      <c r="C6139" t="s">
        <v>15507</v>
      </c>
      <c r="D6139" t="s">
        <v>15507</v>
      </c>
      <c r="E6139" t="s">
        <v>15682</v>
      </c>
    </row>
    <row r="6140" spans="1:5" x14ac:dyDescent="0.2">
      <c r="A6140" t="s">
        <v>15683</v>
      </c>
      <c r="B6140" t="s">
        <v>15684</v>
      </c>
      <c r="C6140" t="s">
        <v>15507</v>
      </c>
      <c r="D6140" t="s">
        <v>15507</v>
      </c>
      <c r="E6140" t="s">
        <v>15685</v>
      </c>
    </row>
    <row r="6141" spans="1:5" x14ac:dyDescent="0.2">
      <c r="A6141" t="s">
        <v>15686</v>
      </c>
      <c r="B6141" t="s">
        <v>15687</v>
      </c>
      <c r="C6141" t="s">
        <v>15507</v>
      </c>
      <c r="D6141" t="s">
        <v>15507</v>
      </c>
      <c r="E6141" t="s">
        <v>15520</v>
      </c>
    </row>
    <row r="6142" spans="1:5" x14ac:dyDescent="0.2">
      <c r="A6142" t="s">
        <v>15688</v>
      </c>
      <c r="B6142" t="s">
        <v>15689</v>
      </c>
      <c r="C6142" t="s">
        <v>15507</v>
      </c>
      <c r="D6142" t="s">
        <v>15507</v>
      </c>
      <c r="E6142" t="s">
        <v>15508</v>
      </c>
    </row>
    <row r="6143" spans="1:5" x14ac:dyDescent="0.2">
      <c r="A6143" t="s">
        <v>15690</v>
      </c>
      <c r="B6143" t="s">
        <v>15691</v>
      </c>
      <c r="C6143" t="s">
        <v>15507</v>
      </c>
      <c r="D6143" t="s">
        <v>15507</v>
      </c>
      <c r="E6143" t="s">
        <v>15545</v>
      </c>
    </row>
    <row r="6144" spans="1:5" x14ac:dyDescent="0.2">
      <c r="A6144" t="s">
        <v>15692</v>
      </c>
      <c r="B6144" t="s">
        <v>15693</v>
      </c>
      <c r="C6144" t="s">
        <v>15507</v>
      </c>
      <c r="D6144" t="s">
        <v>15507</v>
      </c>
      <c r="E6144" t="s">
        <v>15545</v>
      </c>
    </row>
    <row r="6145" spans="1:5" x14ac:dyDescent="0.2">
      <c r="A6145" t="s">
        <v>15694</v>
      </c>
      <c r="B6145" t="s">
        <v>15695</v>
      </c>
      <c r="C6145" t="s">
        <v>15507</v>
      </c>
      <c r="D6145" t="s">
        <v>15507</v>
      </c>
      <c r="E6145" t="s">
        <v>15520</v>
      </c>
    </row>
    <row r="6146" spans="1:5" x14ac:dyDescent="0.2">
      <c r="A6146" t="s">
        <v>15696</v>
      </c>
      <c r="B6146" t="s">
        <v>15697</v>
      </c>
      <c r="C6146" t="s">
        <v>15507</v>
      </c>
      <c r="D6146" t="s">
        <v>15507</v>
      </c>
      <c r="E6146" t="s">
        <v>15545</v>
      </c>
    </row>
    <row r="6147" spans="1:5" x14ac:dyDescent="0.2">
      <c r="A6147" t="s">
        <v>15698</v>
      </c>
      <c r="B6147" t="s">
        <v>15699</v>
      </c>
      <c r="C6147" t="s">
        <v>15507</v>
      </c>
      <c r="D6147" t="s">
        <v>15507</v>
      </c>
      <c r="E6147" t="s">
        <v>15545</v>
      </c>
    </row>
    <row r="6148" spans="1:5" x14ac:dyDescent="0.2">
      <c r="A6148" t="s">
        <v>15700</v>
      </c>
      <c r="B6148" t="s">
        <v>15701</v>
      </c>
      <c r="C6148" t="s">
        <v>15507</v>
      </c>
      <c r="D6148" t="s">
        <v>15507</v>
      </c>
      <c r="E6148" t="s">
        <v>15526</v>
      </c>
    </row>
    <row r="6149" spans="1:5" x14ac:dyDescent="0.2">
      <c r="A6149" t="s">
        <v>15702</v>
      </c>
      <c r="B6149" t="s">
        <v>15703</v>
      </c>
      <c r="C6149" t="s">
        <v>15507</v>
      </c>
      <c r="D6149" t="s">
        <v>15507</v>
      </c>
      <c r="E6149" t="s">
        <v>15704</v>
      </c>
    </row>
    <row r="6150" spans="1:5" x14ac:dyDescent="0.2">
      <c r="A6150" t="s">
        <v>15705</v>
      </c>
      <c r="B6150" t="s">
        <v>15706</v>
      </c>
      <c r="C6150" t="s">
        <v>15507</v>
      </c>
      <c r="D6150" t="s">
        <v>15507</v>
      </c>
      <c r="E6150" t="s">
        <v>15526</v>
      </c>
    </row>
    <row r="6151" spans="1:5" x14ac:dyDescent="0.2">
      <c r="A6151" t="s">
        <v>15707</v>
      </c>
      <c r="B6151" t="s">
        <v>15708</v>
      </c>
      <c r="C6151" t="s">
        <v>15507</v>
      </c>
      <c r="D6151" t="s">
        <v>15507</v>
      </c>
      <c r="E6151" t="s">
        <v>15526</v>
      </c>
    </row>
    <row r="6152" spans="1:5" x14ac:dyDescent="0.2">
      <c r="A6152" t="s">
        <v>15709</v>
      </c>
      <c r="B6152" t="s">
        <v>15710</v>
      </c>
      <c r="C6152" t="s">
        <v>15507</v>
      </c>
      <c r="D6152" t="s">
        <v>15507</v>
      </c>
      <c r="E6152" t="s">
        <v>15526</v>
      </c>
    </row>
    <row r="6153" spans="1:5" x14ac:dyDescent="0.2">
      <c r="A6153" t="s">
        <v>15711</v>
      </c>
      <c r="B6153" t="s">
        <v>15712</v>
      </c>
      <c r="C6153" t="s">
        <v>15507</v>
      </c>
      <c r="D6153" t="s">
        <v>15507</v>
      </c>
      <c r="E6153" t="s">
        <v>15526</v>
      </c>
    </row>
    <row r="6154" spans="1:5" x14ac:dyDescent="0.2">
      <c r="A6154" t="s">
        <v>15713</v>
      </c>
      <c r="B6154" t="s">
        <v>15714</v>
      </c>
      <c r="C6154" t="s">
        <v>15507</v>
      </c>
      <c r="D6154" t="s">
        <v>15507</v>
      </c>
      <c r="E6154" t="s">
        <v>15715</v>
      </c>
    </row>
    <row r="6155" spans="1:5" x14ac:dyDescent="0.2">
      <c r="A6155" t="s">
        <v>15716</v>
      </c>
      <c r="B6155" t="s">
        <v>15717</v>
      </c>
      <c r="C6155" t="s">
        <v>15507</v>
      </c>
      <c r="D6155" t="s">
        <v>15507</v>
      </c>
      <c r="E6155" t="s">
        <v>15718</v>
      </c>
    </row>
    <row r="6156" spans="1:5" x14ac:dyDescent="0.2">
      <c r="A6156" t="s">
        <v>15719</v>
      </c>
      <c r="B6156" t="s">
        <v>15720</v>
      </c>
      <c r="C6156" t="s">
        <v>15507</v>
      </c>
      <c r="D6156" t="s">
        <v>15507</v>
      </c>
      <c r="E6156" t="s">
        <v>15572</v>
      </c>
    </row>
    <row r="6157" spans="1:5" x14ac:dyDescent="0.2">
      <c r="A6157" t="s">
        <v>15721</v>
      </c>
      <c r="B6157" t="s">
        <v>15722</v>
      </c>
      <c r="C6157" t="s">
        <v>15507</v>
      </c>
      <c r="D6157" t="s">
        <v>15507</v>
      </c>
      <c r="E6157" t="s">
        <v>15545</v>
      </c>
    </row>
    <row r="6158" spans="1:5" x14ac:dyDescent="0.2">
      <c r="A6158" t="s">
        <v>15723</v>
      </c>
      <c r="B6158" t="s">
        <v>15724</v>
      </c>
      <c r="C6158" t="s">
        <v>15507</v>
      </c>
      <c r="D6158" t="s">
        <v>15507</v>
      </c>
      <c r="E6158" t="s">
        <v>15526</v>
      </c>
    </row>
    <row r="6159" spans="1:5" x14ac:dyDescent="0.2">
      <c r="A6159" t="s">
        <v>15725</v>
      </c>
      <c r="B6159" t="s">
        <v>15726</v>
      </c>
      <c r="C6159" t="s">
        <v>15507</v>
      </c>
      <c r="D6159" t="s">
        <v>15507</v>
      </c>
      <c r="E6159" t="s">
        <v>15727</v>
      </c>
    </row>
    <row r="6160" spans="1:5" x14ac:dyDescent="0.2">
      <c r="A6160" t="s">
        <v>15728</v>
      </c>
      <c r="B6160" t="s">
        <v>15729</v>
      </c>
      <c r="C6160" t="s">
        <v>15507</v>
      </c>
      <c r="D6160" t="s">
        <v>15507</v>
      </c>
      <c r="E6160" t="s">
        <v>15730</v>
      </c>
    </row>
    <row r="6161" spans="1:5" x14ac:dyDescent="0.2">
      <c r="A6161" t="s">
        <v>15731</v>
      </c>
      <c r="B6161" t="s">
        <v>15732</v>
      </c>
      <c r="C6161" t="s">
        <v>15507</v>
      </c>
      <c r="D6161" t="s">
        <v>15507</v>
      </c>
      <c r="E6161" t="s">
        <v>15733</v>
      </c>
    </row>
    <row r="6162" spans="1:5" x14ac:dyDescent="0.2">
      <c r="A6162" t="s">
        <v>15734</v>
      </c>
      <c r="B6162" t="s">
        <v>15735</v>
      </c>
      <c r="C6162" t="s">
        <v>15507</v>
      </c>
      <c r="D6162" t="s">
        <v>15507</v>
      </c>
      <c r="E6162" t="s">
        <v>15736</v>
      </c>
    </row>
    <row r="6163" spans="1:5" x14ac:dyDescent="0.2">
      <c r="A6163" t="s">
        <v>15737</v>
      </c>
      <c r="B6163" t="s">
        <v>15738</v>
      </c>
      <c r="C6163" t="s">
        <v>15507</v>
      </c>
      <c r="D6163" t="s">
        <v>15507</v>
      </c>
      <c r="E6163" t="s">
        <v>15508</v>
      </c>
    </row>
    <row r="6164" spans="1:5" x14ac:dyDescent="0.2">
      <c r="A6164" t="s">
        <v>15739</v>
      </c>
      <c r="B6164" t="s">
        <v>15740</v>
      </c>
      <c r="C6164" t="s">
        <v>15507</v>
      </c>
      <c r="D6164" t="s">
        <v>15507</v>
      </c>
      <c r="E6164" t="s">
        <v>15741</v>
      </c>
    </row>
    <row r="6165" spans="1:5" x14ac:dyDescent="0.2">
      <c r="A6165" t="s">
        <v>15742</v>
      </c>
      <c r="B6165" t="s">
        <v>15743</v>
      </c>
      <c r="C6165" t="s">
        <v>15507</v>
      </c>
      <c r="D6165" t="s">
        <v>15507</v>
      </c>
      <c r="E6165" t="s">
        <v>15744</v>
      </c>
    </row>
    <row r="6166" spans="1:5" x14ac:dyDescent="0.2">
      <c r="A6166" t="s">
        <v>15745</v>
      </c>
      <c r="B6166" t="s">
        <v>15746</v>
      </c>
      <c r="C6166" t="s">
        <v>15507</v>
      </c>
      <c r="D6166" t="s">
        <v>15507</v>
      </c>
      <c r="E6166" t="s">
        <v>15558</v>
      </c>
    </row>
    <row r="6167" spans="1:5" x14ac:dyDescent="0.2">
      <c r="A6167" t="s">
        <v>15747</v>
      </c>
      <c r="B6167" t="s">
        <v>15748</v>
      </c>
      <c r="C6167" t="s">
        <v>15507</v>
      </c>
      <c r="D6167" t="s">
        <v>15507</v>
      </c>
      <c r="E6167" t="s">
        <v>15749</v>
      </c>
    </row>
    <row r="6168" spans="1:5" x14ac:dyDescent="0.2">
      <c r="A6168" t="s">
        <v>15750</v>
      </c>
      <c r="B6168" t="s">
        <v>15751</v>
      </c>
      <c r="C6168" t="s">
        <v>15507</v>
      </c>
      <c r="D6168" t="s">
        <v>15507</v>
      </c>
      <c r="E6168" t="s">
        <v>15520</v>
      </c>
    </row>
    <row r="6169" spans="1:5" x14ac:dyDescent="0.2">
      <c r="A6169" t="s">
        <v>15752</v>
      </c>
      <c r="B6169" t="s">
        <v>15753</v>
      </c>
      <c r="C6169" t="s">
        <v>15507</v>
      </c>
      <c r="D6169" t="s">
        <v>15507</v>
      </c>
      <c r="E6169" t="s">
        <v>15526</v>
      </c>
    </row>
    <row r="6170" spans="1:5" x14ac:dyDescent="0.2">
      <c r="A6170" t="s">
        <v>15754</v>
      </c>
      <c r="B6170" t="s">
        <v>15755</v>
      </c>
      <c r="C6170" t="s">
        <v>15756</v>
      </c>
      <c r="D6170" t="s">
        <v>15756</v>
      </c>
      <c r="E6170" t="s">
        <v>15757</v>
      </c>
    </row>
    <row r="6171" spans="1:5" x14ac:dyDescent="0.2">
      <c r="A6171" t="s">
        <v>15758</v>
      </c>
      <c r="B6171" t="s">
        <v>15759</v>
      </c>
      <c r="C6171" t="s">
        <v>15756</v>
      </c>
      <c r="D6171" t="s">
        <v>15756</v>
      </c>
      <c r="E6171" t="s">
        <v>15760</v>
      </c>
    </row>
    <row r="6172" spans="1:5" x14ac:dyDescent="0.2">
      <c r="A6172" t="s">
        <v>15761</v>
      </c>
      <c r="B6172" t="s">
        <v>15762</v>
      </c>
      <c r="C6172" t="s">
        <v>15756</v>
      </c>
      <c r="D6172" t="s">
        <v>15756</v>
      </c>
      <c r="E6172" t="s">
        <v>15763</v>
      </c>
    </row>
    <row r="6173" spans="1:5" x14ac:dyDescent="0.2">
      <c r="A6173" t="s">
        <v>15764</v>
      </c>
      <c r="B6173" t="s">
        <v>15765</v>
      </c>
      <c r="C6173" t="s">
        <v>15756</v>
      </c>
      <c r="D6173" t="s">
        <v>15756</v>
      </c>
      <c r="E6173" t="s">
        <v>15760</v>
      </c>
    </row>
    <row r="6174" spans="1:5" x14ac:dyDescent="0.2">
      <c r="A6174" t="s">
        <v>15766</v>
      </c>
      <c r="B6174" t="s">
        <v>15767</v>
      </c>
      <c r="C6174" t="s">
        <v>15756</v>
      </c>
      <c r="D6174" t="s">
        <v>15756</v>
      </c>
      <c r="E6174" t="s">
        <v>15760</v>
      </c>
    </row>
    <row r="6175" spans="1:5" x14ac:dyDescent="0.2">
      <c r="A6175" t="s">
        <v>15768</v>
      </c>
      <c r="B6175" t="s">
        <v>15769</v>
      </c>
      <c r="C6175" t="s">
        <v>15756</v>
      </c>
      <c r="D6175" t="s">
        <v>15756</v>
      </c>
      <c r="E6175" t="s">
        <v>15770</v>
      </c>
    </row>
    <row r="6176" spans="1:5" x14ac:dyDescent="0.2">
      <c r="A6176" t="s">
        <v>15771</v>
      </c>
      <c r="B6176" t="s">
        <v>15772</v>
      </c>
      <c r="C6176" t="s">
        <v>15756</v>
      </c>
      <c r="D6176" t="s">
        <v>15756</v>
      </c>
      <c r="E6176" t="s">
        <v>15760</v>
      </c>
    </row>
    <row r="6177" spans="1:5" x14ac:dyDescent="0.2">
      <c r="A6177" t="s">
        <v>15773</v>
      </c>
      <c r="B6177" t="s">
        <v>15774</v>
      </c>
      <c r="C6177" t="s">
        <v>15756</v>
      </c>
      <c r="D6177" t="s">
        <v>15756</v>
      </c>
      <c r="E6177" t="s">
        <v>15775</v>
      </c>
    </row>
    <row r="6178" spans="1:5" x14ac:dyDescent="0.2">
      <c r="A6178" t="s">
        <v>15776</v>
      </c>
      <c r="B6178" t="s">
        <v>15777</v>
      </c>
      <c r="C6178" t="s">
        <v>15756</v>
      </c>
      <c r="D6178" t="s">
        <v>15756</v>
      </c>
      <c r="E6178" t="s">
        <v>15760</v>
      </c>
    </row>
    <row r="6179" spans="1:5" x14ac:dyDescent="0.2">
      <c r="A6179" t="s">
        <v>15778</v>
      </c>
      <c r="B6179" t="s">
        <v>15779</v>
      </c>
      <c r="C6179" t="s">
        <v>15756</v>
      </c>
      <c r="D6179" t="s">
        <v>15756</v>
      </c>
      <c r="E6179" t="s">
        <v>15760</v>
      </c>
    </row>
    <row r="6180" spans="1:5" x14ac:dyDescent="0.2">
      <c r="A6180" t="s">
        <v>15780</v>
      </c>
      <c r="B6180" t="s">
        <v>15781</v>
      </c>
      <c r="C6180" t="s">
        <v>15756</v>
      </c>
      <c r="D6180" t="s">
        <v>15756</v>
      </c>
      <c r="E6180" t="s">
        <v>15782</v>
      </c>
    </row>
    <row r="6181" spans="1:5" x14ac:dyDescent="0.2">
      <c r="A6181" t="s">
        <v>15783</v>
      </c>
      <c r="B6181" t="s">
        <v>15784</v>
      </c>
      <c r="C6181" t="s">
        <v>15756</v>
      </c>
      <c r="D6181" t="s">
        <v>15756</v>
      </c>
      <c r="E6181" t="s">
        <v>15760</v>
      </c>
    </row>
    <row r="6182" spans="1:5" x14ac:dyDescent="0.2">
      <c r="A6182" t="s">
        <v>15785</v>
      </c>
      <c r="B6182" t="s">
        <v>15786</v>
      </c>
      <c r="C6182" t="s">
        <v>15756</v>
      </c>
      <c r="D6182" t="s">
        <v>15756</v>
      </c>
      <c r="E6182" t="s">
        <v>15787</v>
      </c>
    </row>
    <row r="6183" spans="1:5" x14ac:dyDescent="0.2">
      <c r="A6183" t="s">
        <v>15788</v>
      </c>
      <c r="B6183" t="s">
        <v>15789</v>
      </c>
      <c r="C6183" t="s">
        <v>15756</v>
      </c>
      <c r="D6183" t="s">
        <v>15756</v>
      </c>
      <c r="E6183" t="s">
        <v>15790</v>
      </c>
    </row>
    <row r="6184" spans="1:5" x14ac:dyDescent="0.2">
      <c r="A6184" t="s">
        <v>15791</v>
      </c>
      <c r="B6184" t="s">
        <v>15792</v>
      </c>
      <c r="C6184" t="s">
        <v>15756</v>
      </c>
      <c r="D6184" t="s">
        <v>15756</v>
      </c>
      <c r="E6184" t="s">
        <v>15760</v>
      </c>
    </row>
    <row r="6185" spans="1:5" x14ac:dyDescent="0.2">
      <c r="A6185" t="s">
        <v>15793</v>
      </c>
      <c r="B6185" t="s">
        <v>15794</v>
      </c>
      <c r="C6185" t="s">
        <v>15756</v>
      </c>
      <c r="D6185" t="s">
        <v>15756</v>
      </c>
      <c r="E6185" t="s">
        <v>15795</v>
      </c>
    </row>
    <row r="6186" spans="1:5" x14ac:dyDescent="0.2">
      <c r="A6186" t="s">
        <v>15796</v>
      </c>
      <c r="B6186" t="s">
        <v>15797</v>
      </c>
      <c r="C6186" t="s">
        <v>15756</v>
      </c>
      <c r="D6186" t="s">
        <v>15756</v>
      </c>
      <c r="E6186" t="s">
        <v>15798</v>
      </c>
    </row>
    <row r="6187" spans="1:5" x14ac:dyDescent="0.2">
      <c r="A6187" t="s">
        <v>15799</v>
      </c>
      <c r="B6187" t="s">
        <v>15800</v>
      </c>
      <c r="C6187" t="s">
        <v>15756</v>
      </c>
      <c r="D6187" t="s">
        <v>15756</v>
      </c>
      <c r="E6187" t="s">
        <v>15801</v>
      </c>
    </row>
    <row r="6188" spans="1:5" x14ac:dyDescent="0.2">
      <c r="A6188" t="s">
        <v>15802</v>
      </c>
      <c r="B6188" t="s">
        <v>15803</v>
      </c>
      <c r="C6188" t="s">
        <v>15756</v>
      </c>
      <c r="D6188" t="s">
        <v>15756</v>
      </c>
      <c r="E6188" t="s">
        <v>15760</v>
      </c>
    </row>
    <row r="6189" spans="1:5" x14ac:dyDescent="0.2">
      <c r="A6189" t="s">
        <v>15804</v>
      </c>
      <c r="B6189" t="s">
        <v>15805</v>
      </c>
      <c r="C6189" t="s">
        <v>15756</v>
      </c>
      <c r="D6189" t="s">
        <v>15756</v>
      </c>
      <c r="E6189" t="s">
        <v>15806</v>
      </c>
    </row>
    <row r="6190" spans="1:5" x14ac:dyDescent="0.2">
      <c r="A6190" t="s">
        <v>15807</v>
      </c>
      <c r="B6190" t="s">
        <v>15808</v>
      </c>
      <c r="C6190" t="s">
        <v>15756</v>
      </c>
      <c r="D6190" t="s">
        <v>15756</v>
      </c>
      <c r="E6190" t="s">
        <v>15809</v>
      </c>
    </row>
    <row r="6191" spans="1:5" x14ac:dyDescent="0.2">
      <c r="A6191" t="s">
        <v>15810</v>
      </c>
      <c r="B6191" t="s">
        <v>15811</v>
      </c>
      <c r="C6191" t="s">
        <v>15756</v>
      </c>
      <c r="D6191" t="s">
        <v>15756</v>
      </c>
      <c r="E6191" t="s">
        <v>15812</v>
      </c>
    </row>
    <row r="6192" spans="1:5" x14ac:dyDescent="0.2">
      <c r="A6192" t="s">
        <v>15813</v>
      </c>
      <c r="B6192" t="s">
        <v>15814</v>
      </c>
      <c r="C6192" t="s">
        <v>15756</v>
      </c>
      <c r="D6192" t="s">
        <v>15756</v>
      </c>
      <c r="E6192" t="s">
        <v>15815</v>
      </c>
    </row>
    <row r="6193" spans="1:5" x14ac:dyDescent="0.2">
      <c r="A6193" t="s">
        <v>15816</v>
      </c>
      <c r="B6193" t="s">
        <v>15817</v>
      </c>
      <c r="C6193" t="s">
        <v>15756</v>
      </c>
      <c r="D6193" t="s">
        <v>15756</v>
      </c>
      <c r="E6193" t="s">
        <v>15818</v>
      </c>
    </row>
    <row r="6194" spans="1:5" x14ac:dyDescent="0.2">
      <c r="A6194" t="s">
        <v>15819</v>
      </c>
      <c r="B6194" t="s">
        <v>15820</v>
      </c>
      <c r="C6194" t="s">
        <v>15756</v>
      </c>
      <c r="D6194" t="s">
        <v>15756</v>
      </c>
      <c r="E6194" t="s">
        <v>15821</v>
      </c>
    </row>
    <row r="6195" spans="1:5" x14ac:dyDescent="0.2">
      <c r="A6195" t="s">
        <v>15822</v>
      </c>
      <c r="B6195" t="s">
        <v>15823</v>
      </c>
      <c r="C6195" t="s">
        <v>15756</v>
      </c>
      <c r="D6195" t="s">
        <v>15756</v>
      </c>
      <c r="E6195" t="s">
        <v>15760</v>
      </c>
    </row>
    <row r="6196" spans="1:5" x14ac:dyDescent="0.2">
      <c r="A6196" t="s">
        <v>15824</v>
      </c>
      <c r="B6196" t="s">
        <v>15825</v>
      </c>
      <c r="C6196" t="s">
        <v>15756</v>
      </c>
      <c r="D6196" t="s">
        <v>15756</v>
      </c>
      <c r="E6196" t="s">
        <v>15826</v>
      </c>
    </row>
    <row r="6197" spans="1:5" x14ac:dyDescent="0.2">
      <c r="A6197" t="s">
        <v>15827</v>
      </c>
      <c r="B6197" t="s">
        <v>15828</v>
      </c>
      <c r="C6197" t="s">
        <v>15756</v>
      </c>
      <c r="D6197" t="s">
        <v>15756</v>
      </c>
      <c r="E6197" t="s">
        <v>15829</v>
      </c>
    </row>
    <row r="6198" spans="1:5" x14ac:dyDescent="0.2">
      <c r="A6198" t="s">
        <v>15830</v>
      </c>
      <c r="B6198" t="s">
        <v>15831</v>
      </c>
      <c r="C6198" t="s">
        <v>15756</v>
      </c>
      <c r="D6198" t="s">
        <v>15756</v>
      </c>
      <c r="E6198" t="s">
        <v>15832</v>
      </c>
    </row>
    <row r="6199" spans="1:5" x14ac:dyDescent="0.2">
      <c r="A6199" t="s">
        <v>15833</v>
      </c>
      <c r="B6199" t="s">
        <v>15834</v>
      </c>
      <c r="C6199" t="s">
        <v>15756</v>
      </c>
      <c r="D6199" t="s">
        <v>15756</v>
      </c>
      <c r="E6199" t="s">
        <v>15835</v>
      </c>
    </row>
    <row r="6200" spans="1:5" x14ac:dyDescent="0.2">
      <c r="A6200" t="s">
        <v>15836</v>
      </c>
      <c r="B6200" t="s">
        <v>15837</v>
      </c>
      <c r="C6200" t="s">
        <v>15756</v>
      </c>
      <c r="D6200" t="s">
        <v>15756</v>
      </c>
      <c r="E6200" t="s">
        <v>15801</v>
      </c>
    </row>
    <row r="6201" spans="1:5" x14ac:dyDescent="0.2">
      <c r="A6201" t="s">
        <v>15838</v>
      </c>
      <c r="B6201" t="s">
        <v>15839</v>
      </c>
      <c r="C6201" t="s">
        <v>15840</v>
      </c>
      <c r="D6201" t="s">
        <v>15840</v>
      </c>
      <c r="E6201" t="s">
        <v>15841</v>
      </c>
    </row>
    <row r="6202" spans="1:5" x14ac:dyDescent="0.2">
      <c r="A6202" t="s">
        <v>15842</v>
      </c>
      <c r="B6202" t="s">
        <v>15843</v>
      </c>
      <c r="C6202" t="s">
        <v>15840</v>
      </c>
      <c r="D6202" t="s">
        <v>15840</v>
      </c>
      <c r="E6202" t="s">
        <v>15844</v>
      </c>
    </row>
    <row r="6203" spans="1:5" x14ac:dyDescent="0.2">
      <c r="A6203" t="s">
        <v>15845</v>
      </c>
      <c r="B6203" t="s">
        <v>15846</v>
      </c>
      <c r="C6203" t="s">
        <v>15840</v>
      </c>
      <c r="D6203" t="s">
        <v>15840</v>
      </c>
      <c r="E6203" t="s">
        <v>15847</v>
      </c>
    </row>
    <row r="6204" spans="1:5" x14ac:dyDescent="0.2">
      <c r="A6204" t="s">
        <v>15848</v>
      </c>
      <c r="B6204" t="s">
        <v>15849</v>
      </c>
      <c r="C6204" t="s">
        <v>15840</v>
      </c>
      <c r="D6204" t="s">
        <v>15840</v>
      </c>
      <c r="E6204" t="s">
        <v>15850</v>
      </c>
    </row>
    <row r="6205" spans="1:5" x14ac:dyDescent="0.2">
      <c r="A6205" t="s">
        <v>15851</v>
      </c>
      <c r="B6205" t="s">
        <v>15852</v>
      </c>
      <c r="C6205" t="s">
        <v>15840</v>
      </c>
      <c r="D6205" t="s">
        <v>15840</v>
      </c>
      <c r="E6205" t="s">
        <v>15844</v>
      </c>
    </row>
    <row r="6206" spans="1:5" x14ac:dyDescent="0.2">
      <c r="A6206" t="s">
        <v>15853</v>
      </c>
      <c r="B6206" t="s">
        <v>15854</v>
      </c>
      <c r="C6206" t="s">
        <v>15840</v>
      </c>
      <c r="D6206" t="s">
        <v>15840</v>
      </c>
      <c r="E6206" t="s">
        <v>15855</v>
      </c>
    </row>
    <row r="6207" spans="1:5" x14ac:dyDescent="0.2">
      <c r="A6207" t="s">
        <v>15856</v>
      </c>
      <c r="B6207" t="s">
        <v>15857</v>
      </c>
      <c r="C6207" t="s">
        <v>15840</v>
      </c>
      <c r="D6207" t="s">
        <v>15840</v>
      </c>
      <c r="E6207" t="s">
        <v>15855</v>
      </c>
    </row>
    <row r="6208" spans="1:5" x14ac:dyDescent="0.2">
      <c r="A6208" t="s">
        <v>15858</v>
      </c>
      <c r="B6208" t="s">
        <v>15859</v>
      </c>
      <c r="C6208" t="s">
        <v>15840</v>
      </c>
      <c r="D6208" t="s">
        <v>15840</v>
      </c>
      <c r="E6208" t="s">
        <v>15860</v>
      </c>
    </row>
    <row r="6209" spans="1:5" x14ac:dyDescent="0.2">
      <c r="A6209" t="s">
        <v>15861</v>
      </c>
      <c r="B6209" t="s">
        <v>15862</v>
      </c>
      <c r="C6209" t="s">
        <v>15840</v>
      </c>
      <c r="D6209" t="s">
        <v>15840</v>
      </c>
      <c r="E6209" t="s">
        <v>15863</v>
      </c>
    </row>
    <row r="6210" spans="1:5" x14ac:dyDescent="0.2">
      <c r="A6210" t="s">
        <v>15864</v>
      </c>
      <c r="B6210" t="s">
        <v>15865</v>
      </c>
      <c r="C6210" t="s">
        <v>15840</v>
      </c>
      <c r="D6210" t="s">
        <v>15840</v>
      </c>
      <c r="E6210" t="s">
        <v>15866</v>
      </c>
    </row>
    <row r="6211" spans="1:5" x14ac:dyDescent="0.2">
      <c r="A6211" t="s">
        <v>15867</v>
      </c>
      <c r="B6211" t="s">
        <v>15868</v>
      </c>
      <c r="C6211" t="s">
        <v>15840</v>
      </c>
      <c r="D6211" t="s">
        <v>15840</v>
      </c>
      <c r="E6211" t="s">
        <v>15869</v>
      </c>
    </row>
    <row r="6212" spans="1:5" x14ac:dyDescent="0.2">
      <c r="A6212" t="s">
        <v>15870</v>
      </c>
      <c r="B6212" t="s">
        <v>15871</v>
      </c>
      <c r="C6212" t="s">
        <v>15840</v>
      </c>
      <c r="D6212" t="s">
        <v>15840</v>
      </c>
      <c r="E6212" t="s">
        <v>15872</v>
      </c>
    </row>
    <row r="6213" spans="1:5" x14ac:dyDescent="0.2">
      <c r="A6213" t="s">
        <v>15873</v>
      </c>
      <c r="B6213" t="s">
        <v>15874</v>
      </c>
      <c r="C6213" t="s">
        <v>15840</v>
      </c>
      <c r="D6213" t="s">
        <v>15840</v>
      </c>
      <c r="E6213" t="s">
        <v>15875</v>
      </c>
    </row>
    <row r="6214" spans="1:5" x14ac:dyDescent="0.2">
      <c r="A6214" t="s">
        <v>15876</v>
      </c>
      <c r="B6214" t="s">
        <v>15877</v>
      </c>
      <c r="C6214" t="s">
        <v>15840</v>
      </c>
      <c r="D6214" t="s">
        <v>15840</v>
      </c>
      <c r="E6214" t="s">
        <v>15878</v>
      </c>
    </row>
    <row r="6215" spans="1:5" x14ac:dyDescent="0.2">
      <c r="A6215" t="s">
        <v>15879</v>
      </c>
      <c r="B6215" t="s">
        <v>15880</v>
      </c>
      <c r="C6215" t="s">
        <v>15840</v>
      </c>
      <c r="D6215" t="s">
        <v>15840</v>
      </c>
      <c r="E6215" t="s">
        <v>15881</v>
      </c>
    </row>
    <row r="6216" spans="1:5" x14ac:dyDescent="0.2">
      <c r="A6216" t="s">
        <v>15882</v>
      </c>
      <c r="B6216" t="s">
        <v>15883</v>
      </c>
      <c r="C6216" t="s">
        <v>15840</v>
      </c>
      <c r="D6216" t="s">
        <v>15840</v>
      </c>
      <c r="E6216" t="s">
        <v>15884</v>
      </c>
    </row>
    <row r="6217" spans="1:5" x14ac:dyDescent="0.2">
      <c r="A6217" t="s">
        <v>15885</v>
      </c>
      <c r="B6217" t="s">
        <v>15886</v>
      </c>
      <c r="C6217" t="s">
        <v>15840</v>
      </c>
      <c r="D6217" t="s">
        <v>15840</v>
      </c>
      <c r="E6217" t="s">
        <v>15887</v>
      </c>
    </row>
    <row r="6218" spans="1:5" x14ac:dyDescent="0.2">
      <c r="A6218" t="s">
        <v>15888</v>
      </c>
      <c r="B6218" t="s">
        <v>15889</v>
      </c>
      <c r="C6218" t="s">
        <v>15840</v>
      </c>
      <c r="D6218" t="s">
        <v>15840</v>
      </c>
      <c r="E6218" t="s">
        <v>15890</v>
      </c>
    </row>
    <row r="6219" spans="1:5" x14ac:dyDescent="0.2">
      <c r="A6219" t="s">
        <v>15891</v>
      </c>
      <c r="B6219" t="s">
        <v>15892</v>
      </c>
      <c r="C6219" t="s">
        <v>15840</v>
      </c>
      <c r="D6219" t="s">
        <v>15840</v>
      </c>
      <c r="E6219" t="s">
        <v>15844</v>
      </c>
    </row>
    <row r="6220" spans="1:5" x14ac:dyDescent="0.2">
      <c r="A6220" t="s">
        <v>15893</v>
      </c>
      <c r="B6220" t="s">
        <v>15894</v>
      </c>
      <c r="C6220" t="s">
        <v>15840</v>
      </c>
      <c r="D6220" t="s">
        <v>15840</v>
      </c>
      <c r="E6220" t="s">
        <v>15844</v>
      </c>
    </row>
    <row r="6221" spans="1:5" x14ac:dyDescent="0.2">
      <c r="A6221" t="s">
        <v>15895</v>
      </c>
      <c r="B6221" t="s">
        <v>15896</v>
      </c>
      <c r="C6221" t="s">
        <v>15840</v>
      </c>
      <c r="D6221" t="s">
        <v>15840</v>
      </c>
      <c r="E6221" t="s">
        <v>15890</v>
      </c>
    </row>
    <row r="6222" spans="1:5" x14ac:dyDescent="0.2">
      <c r="A6222" t="s">
        <v>15897</v>
      </c>
      <c r="B6222" t="s">
        <v>15898</v>
      </c>
      <c r="C6222" t="s">
        <v>15840</v>
      </c>
      <c r="D6222" t="s">
        <v>15840</v>
      </c>
      <c r="E6222" t="s">
        <v>15890</v>
      </c>
    </row>
    <row r="6223" spans="1:5" x14ac:dyDescent="0.2">
      <c r="A6223" t="s">
        <v>15899</v>
      </c>
      <c r="B6223" t="s">
        <v>15900</v>
      </c>
      <c r="C6223" t="s">
        <v>15840</v>
      </c>
      <c r="D6223" t="s">
        <v>15840</v>
      </c>
      <c r="E6223" t="s">
        <v>15901</v>
      </c>
    </row>
    <row r="6224" spans="1:5" x14ac:dyDescent="0.2">
      <c r="A6224" t="s">
        <v>15902</v>
      </c>
      <c r="B6224" t="s">
        <v>15903</v>
      </c>
      <c r="C6224" t="s">
        <v>15840</v>
      </c>
      <c r="D6224" t="s">
        <v>15840</v>
      </c>
      <c r="E6224" t="s">
        <v>15855</v>
      </c>
    </row>
    <row r="6225" spans="1:5" x14ac:dyDescent="0.2">
      <c r="A6225" t="s">
        <v>15904</v>
      </c>
      <c r="B6225" t="s">
        <v>15905</v>
      </c>
      <c r="C6225" t="s">
        <v>15840</v>
      </c>
      <c r="D6225" t="s">
        <v>15840</v>
      </c>
      <c r="E6225" t="s">
        <v>15906</v>
      </c>
    </row>
    <row r="6226" spans="1:5" x14ac:dyDescent="0.2">
      <c r="A6226" t="s">
        <v>15907</v>
      </c>
      <c r="B6226" t="s">
        <v>15908</v>
      </c>
      <c r="C6226" t="s">
        <v>15840</v>
      </c>
      <c r="D6226" t="s">
        <v>15840</v>
      </c>
      <c r="E6226" t="s">
        <v>15878</v>
      </c>
    </row>
    <row r="6227" spans="1:5" x14ac:dyDescent="0.2">
      <c r="A6227" t="s">
        <v>15909</v>
      </c>
      <c r="B6227" t="s">
        <v>15910</v>
      </c>
      <c r="C6227" t="s">
        <v>15840</v>
      </c>
      <c r="D6227" t="s">
        <v>15840</v>
      </c>
      <c r="E6227" t="s">
        <v>15884</v>
      </c>
    </row>
    <row r="6228" spans="1:5" x14ac:dyDescent="0.2">
      <c r="A6228" t="s">
        <v>15911</v>
      </c>
      <c r="B6228" t="s">
        <v>15912</v>
      </c>
      <c r="C6228" t="s">
        <v>15840</v>
      </c>
      <c r="D6228" t="s">
        <v>15840</v>
      </c>
      <c r="E6228" t="s">
        <v>15913</v>
      </c>
    </row>
    <row r="6229" spans="1:5" x14ac:dyDescent="0.2">
      <c r="A6229" t="s">
        <v>15914</v>
      </c>
      <c r="B6229" t="s">
        <v>15915</v>
      </c>
      <c r="C6229" t="s">
        <v>15840</v>
      </c>
      <c r="D6229" t="s">
        <v>15840</v>
      </c>
      <c r="E6229" t="s">
        <v>15860</v>
      </c>
    </row>
    <row r="6230" spans="1:5" x14ac:dyDescent="0.2">
      <c r="A6230" t="s">
        <v>15916</v>
      </c>
      <c r="B6230" t="s">
        <v>15917</v>
      </c>
      <c r="C6230" t="s">
        <v>15840</v>
      </c>
      <c r="D6230" t="s">
        <v>15840</v>
      </c>
      <c r="E6230" t="s">
        <v>15860</v>
      </c>
    </row>
    <row r="6231" spans="1:5" x14ac:dyDescent="0.2">
      <c r="A6231" t="s">
        <v>15918</v>
      </c>
      <c r="B6231" t="s">
        <v>15919</v>
      </c>
      <c r="C6231" t="s">
        <v>15840</v>
      </c>
      <c r="D6231" t="s">
        <v>15840</v>
      </c>
      <c r="E6231" t="s">
        <v>15855</v>
      </c>
    </row>
    <row r="6232" spans="1:5" x14ac:dyDescent="0.2">
      <c r="A6232" t="s">
        <v>15920</v>
      </c>
      <c r="B6232" t="s">
        <v>15921</v>
      </c>
      <c r="C6232" t="s">
        <v>15840</v>
      </c>
      <c r="D6232" t="s">
        <v>15840</v>
      </c>
      <c r="E6232" t="s">
        <v>15922</v>
      </c>
    </row>
    <row r="6233" spans="1:5" x14ac:dyDescent="0.2">
      <c r="A6233" t="s">
        <v>15923</v>
      </c>
      <c r="B6233" t="s">
        <v>15924</v>
      </c>
      <c r="C6233" t="s">
        <v>15840</v>
      </c>
      <c r="D6233" t="s">
        <v>15840</v>
      </c>
      <c r="E6233" t="s">
        <v>15925</v>
      </c>
    </row>
    <row r="6234" spans="1:5" x14ac:dyDescent="0.2">
      <c r="A6234" t="s">
        <v>15926</v>
      </c>
      <c r="B6234" t="s">
        <v>15927</v>
      </c>
      <c r="C6234" t="s">
        <v>15840</v>
      </c>
      <c r="D6234" t="s">
        <v>15840</v>
      </c>
      <c r="E6234" t="s">
        <v>15884</v>
      </c>
    </row>
    <row r="6235" spans="1:5" x14ac:dyDescent="0.2">
      <c r="A6235" t="s">
        <v>15928</v>
      </c>
      <c r="B6235" t="s">
        <v>15929</v>
      </c>
      <c r="C6235" t="s">
        <v>15840</v>
      </c>
      <c r="D6235" t="s">
        <v>15840</v>
      </c>
      <c r="E6235" t="s">
        <v>15855</v>
      </c>
    </row>
    <row r="6236" spans="1:5" x14ac:dyDescent="0.2">
      <c r="A6236" t="s">
        <v>15930</v>
      </c>
      <c r="B6236" t="s">
        <v>15931</v>
      </c>
      <c r="C6236" t="s">
        <v>15840</v>
      </c>
      <c r="D6236" t="s">
        <v>15840</v>
      </c>
      <c r="E6236" t="s">
        <v>15932</v>
      </c>
    </row>
    <row r="6237" spans="1:5" x14ac:dyDescent="0.2">
      <c r="A6237" t="s">
        <v>15933</v>
      </c>
      <c r="B6237" t="s">
        <v>15934</v>
      </c>
      <c r="C6237" t="s">
        <v>15840</v>
      </c>
      <c r="D6237" t="s">
        <v>15840</v>
      </c>
      <c r="E6237" t="s">
        <v>15841</v>
      </c>
    </row>
    <row r="6238" spans="1:5" x14ac:dyDescent="0.2">
      <c r="A6238" t="s">
        <v>15935</v>
      </c>
      <c r="B6238" t="s">
        <v>15936</v>
      </c>
      <c r="C6238" t="s">
        <v>15840</v>
      </c>
      <c r="D6238" t="s">
        <v>15840</v>
      </c>
      <c r="E6238" t="s">
        <v>15860</v>
      </c>
    </row>
    <row r="6239" spans="1:5" x14ac:dyDescent="0.2">
      <c r="A6239" t="s">
        <v>15937</v>
      </c>
      <c r="B6239" t="s">
        <v>15938</v>
      </c>
      <c r="C6239" t="s">
        <v>15840</v>
      </c>
      <c r="D6239" t="s">
        <v>15840</v>
      </c>
      <c r="E6239" t="s">
        <v>15939</v>
      </c>
    </row>
    <row r="6240" spans="1:5" x14ac:dyDescent="0.2">
      <c r="A6240" t="s">
        <v>15940</v>
      </c>
      <c r="B6240" t="s">
        <v>15941</v>
      </c>
      <c r="C6240" t="s">
        <v>15840</v>
      </c>
      <c r="D6240" t="s">
        <v>15840</v>
      </c>
      <c r="E6240" t="s">
        <v>15841</v>
      </c>
    </row>
    <row r="6241" spans="1:5" x14ac:dyDescent="0.2">
      <c r="A6241" t="s">
        <v>15942</v>
      </c>
      <c r="B6241" t="s">
        <v>15943</v>
      </c>
      <c r="C6241" t="s">
        <v>15840</v>
      </c>
      <c r="D6241" t="s">
        <v>15840</v>
      </c>
      <c r="E6241" t="s">
        <v>15878</v>
      </c>
    </row>
    <row r="6242" spans="1:5" x14ac:dyDescent="0.2">
      <c r="A6242" t="s">
        <v>15944</v>
      </c>
      <c r="B6242" t="s">
        <v>15945</v>
      </c>
      <c r="C6242" t="s">
        <v>15840</v>
      </c>
      <c r="D6242" t="s">
        <v>15840</v>
      </c>
      <c r="E6242" t="s">
        <v>15884</v>
      </c>
    </row>
    <row r="6243" spans="1:5" x14ac:dyDescent="0.2">
      <c r="A6243" t="s">
        <v>15946</v>
      </c>
      <c r="B6243" t="s">
        <v>15947</v>
      </c>
      <c r="C6243" t="s">
        <v>15840</v>
      </c>
      <c r="D6243" t="s">
        <v>15840</v>
      </c>
      <c r="E6243" t="s">
        <v>15948</v>
      </c>
    </row>
    <row r="6244" spans="1:5" x14ac:dyDescent="0.2">
      <c r="A6244" t="s">
        <v>15949</v>
      </c>
      <c r="B6244" t="s">
        <v>15950</v>
      </c>
      <c r="C6244" t="s">
        <v>15840</v>
      </c>
      <c r="D6244" t="s">
        <v>15840</v>
      </c>
      <c r="E6244" t="s">
        <v>15890</v>
      </c>
    </row>
    <row r="6245" spans="1:5" x14ac:dyDescent="0.2">
      <c r="A6245" t="s">
        <v>15951</v>
      </c>
      <c r="B6245" t="s">
        <v>15952</v>
      </c>
      <c r="C6245" t="s">
        <v>15840</v>
      </c>
      <c r="D6245" t="s">
        <v>15840</v>
      </c>
      <c r="E6245" t="s">
        <v>15890</v>
      </c>
    </row>
    <row r="6246" spans="1:5" x14ac:dyDescent="0.2">
      <c r="A6246" t="s">
        <v>15953</v>
      </c>
      <c r="B6246" t="s">
        <v>15954</v>
      </c>
      <c r="C6246" t="s">
        <v>15840</v>
      </c>
      <c r="D6246" t="s">
        <v>15840</v>
      </c>
      <c r="E6246" t="s">
        <v>15955</v>
      </c>
    </row>
    <row r="6247" spans="1:5" x14ac:dyDescent="0.2">
      <c r="A6247" t="s">
        <v>15956</v>
      </c>
      <c r="B6247" t="s">
        <v>15957</v>
      </c>
      <c r="C6247" t="s">
        <v>15840</v>
      </c>
      <c r="D6247" t="s">
        <v>15840</v>
      </c>
      <c r="E6247" t="s">
        <v>15958</v>
      </c>
    </row>
    <row r="6248" spans="1:5" x14ac:dyDescent="0.2">
      <c r="A6248" t="s">
        <v>15959</v>
      </c>
      <c r="B6248" t="s">
        <v>15960</v>
      </c>
      <c r="C6248" t="s">
        <v>15840</v>
      </c>
      <c r="D6248" t="s">
        <v>15840</v>
      </c>
      <c r="E6248" t="s">
        <v>15878</v>
      </c>
    </row>
    <row r="6249" spans="1:5" x14ac:dyDescent="0.2">
      <c r="A6249" t="s">
        <v>15961</v>
      </c>
      <c r="B6249" t="s">
        <v>15962</v>
      </c>
      <c r="C6249" t="s">
        <v>15840</v>
      </c>
      <c r="D6249" t="s">
        <v>15840</v>
      </c>
      <c r="E6249" t="s">
        <v>15963</v>
      </c>
    </row>
    <row r="6250" spans="1:5" x14ac:dyDescent="0.2">
      <c r="A6250" t="s">
        <v>15964</v>
      </c>
      <c r="B6250" t="s">
        <v>15965</v>
      </c>
      <c r="C6250" t="s">
        <v>15840</v>
      </c>
      <c r="D6250" t="s">
        <v>15840</v>
      </c>
      <c r="E6250" t="s">
        <v>15878</v>
      </c>
    </row>
    <row r="6251" spans="1:5" x14ac:dyDescent="0.2">
      <c r="A6251" t="s">
        <v>15966</v>
      </c>
      <c r="B6251" t="s">
        <v>15967</v>
      </c>
      <c r="C6251" t="s">
        <v>15840</v>
      </c>
      <c r="D6251" t="s">
        <v>15840</v>
      </c>
      <c r="E6251" t="s">
        <v>15884</v>
      </c>
    </row>
    <row r="6252" spans="1:5" x14ac:dyDescent="0.2">
      <c r="A6252" t="s">
        <v>15968</v>
      </c>
      <c r="B6252" t="s">
        <v>15969</v>
      </c>
      <c r="C6252" t="s">
        <v>15840</v>
      </c>
      <c r="D6252" t="s">
        <v>15840</v>
      </c>
      <c r="E6252" t="s">
        <v>15841</v>
      </c>
    </row>
    <row r="6253" spans="1:5" x14ac:dyDescent="0.2">
      <c r="A6253" t="s">
        <v>15970</v>
      </c>
      <c r="B6253" t="s">
        <v>15971</v>
      </c>
      <c r="C6253" t="s">
        <v>15840</v>
      </c>
      <c r="D6253" t="s">
        <v>15840</v>
      </c>
      <c r="E6253" t="s">
        <v>15878</v>
      </c>
    </row>
    <row r="6254" spans="1:5" x14ac:dyDescent="0.2">
      <c r="A6254" t="s">
        <v>15972</v>
      </c>
      <c r="B6254" t="s">
        <v>15973</v>
      </c>
      <c r="C6254" t="s">
        <v>15840</v>
      </c>
      <c r="D6254" t="s">
        <v>15840</v>
      </c>
      <c r="E6254" t="s">
        <v>15974</v>
      </c>
    </row>
    <row r="6255" spans="1:5" x14ac:dyDescent="0.2">
      <c r="A6255" t="s">
        <v>15975</v>
      </c>
      <c r="B6255" t="s">
        <v>15976</v>
      </c>
      <c r="C6255" t="s">
        <v>15840</v>
      </c>
      <c r="D6255" t="s">
        <v>15840</v>
      </c>
      <c r="E6255" t="s">
        <v>15841</v>
      </c>
    </row>
    <row r="6256" spans="1:5" x14ac:dyDescent="0.2">
      <c r="A6256" t="s">
        <v>15977</v>
      </c>
      <c r="B6256" t="s">
        <v>15978</v>
      </c>
      <c r="C6256" t="s">
        <v>15840</v>
      </c>
      <c r="D6256" t="s">
        <v>15840</v>
      </c>
      <c r="E6256" t="s">
        <v>15979</v>
      </c>
    </row>
    <row r="6257" spans="1:5" x14ac:dyDescent="0.2">
      <c r="A6257" t="s">
        <v>15980</v>
      </c>
      <c r="B6257" t="s">
        <v>15981</v>
      </c>
      <c r="C6257" t="s">
        <v>15840</v>
      </c>
      <c r="D6257" t="s">
        <v>15840</v>
      </c>
      <c r="E6257" t="s">
        <v>15982</v>
      </c>
    </row>
    <row r="6258" spans="1:5" x14ac:dyDescent="0.2">
      <c r="A6258" t="s">
        <v>15983</v>
      </c>
      <c r="B6258" t="s">
        <v>15984</v>
      </c>
      <c r="C6258" t="s">
        <v>15840</v>
      </c>
      <c r="D6258" t="s">
        <v>15840</v>
      </c>
      <c r="E6258" t="s">
        <v>15844</v>
      </c>
    </row>
    <row r="6259" spans="1:5" x14ac:dyDescent="0.2">
      <c r="A6259" t="s">
        <v>15985</v>
      </c>
      <c r="B6259" t="s">
        <v>15986</v>
      </c>
      <c r="C6259" t="s">
        <v>15840</v>
      </c>
      <c r="D6259" t="s">
        <v>15840</v>
      </c>
      <c r="E6259" t="s">
        <v>15844</v>
      </c>
    </row>
    <row r="6260" spans="1:5" x14ac:dyDescent="0.2">
      <c r="A6260" t="s">
        <v>15987</v>
      </c>
      <c r="B6260" t="s">
        <v>15988</v>
      </c>
      <c r="C6260" t="s">
        <v>15840</v>
      </c>
      <c r="D6260" t="s">
        <v>15840</v>
      </c>
      <c r="E6260" t="s">
        <v>15989</v>
      </c>
    </row>
    <row r="6261" spans="1:5" x14ac:dyDescent="0.2">
      <c r="A6261" t="s">
        <v>15990</v>
      </c>
      <c r="B6261" t="s">
        <v>15991</v>
      </c>
      <c r="C6261" t="s">
        <v>15840</v>
      </c>
      <c r="D6261" t="s">
        <v>15840</v>
      </c>
      <c r="E6261" t="s">
        <v>15992</v>
      </c>
    </row>
    <row r="6262" spans="1:5" x14ac:dyDescent="0.2">
      <c r="A6262" t="s">
        <v>15993</v>
      </c>
      <c r="B6262" t="s">
        <v>15994</v>
      </c>
      <c r="C6262" t="s">
        <v>15840</v>
      </c>
      <c r="D6262" t="s">
        <v>15840</v>
      </c>
      <c r="E6262" t="s">
        <v>15995</v>
      </c>
    </row>
    <row r="6263" spans="1:5" x14ac:dyDescent="0.2">
      <c r="A6263" t="s">
        <v>15996</v>
      </c>
      <c r="B6263" t="s">
        <v>15997</v>
      </c>
      <c r="C6263" t="s">
        <v>15840</v>
      </c>
      <c r="D6263" t="s">
        <v>15840</v>
      </c>
      <c r="E6263" t="s">
        <v>15884</v>
      </c>
    </row>
    <row r="6264" spans="1:5" x14ac:dyDescent="0.2">
      <c r="A6264" t="s">
        <v>15998</v>
      </c>
      <c r="B6264" t="s">
        <v>15999</v>
      </c>
      <c r="C6264" t="s">
        <v>15840</v>
      </c>
      <c r="D6264" t="s">
        <v>15840</v>
      </c>
      <c r="E6264" t="s">
        <v>15841</v>
      </c>
    </row>
    <row r="6265" spans="1:5" x14ac:dyDescent="0.2">
      <c r="A6265" t="s">
        <v>16000</v>
      </c>
      <c r="B6265" t="s">
        <v>16001</v>
      </c>
      <c r="C6265" t="s">
        <v>15840</v>
      </c>
      <c r="D6265" t="s">
        <v>15840</v>
      </c>
      <c r="E6265" t="s">
        <v>15878</v>
      </c>
    </row>
    <row r="6266" spans="1:5" x14ac:dyDescent="0.2">
      <c r="A6266" t="s">
        <v>16002</v>
      </c>
      <c r="B6266" t="s">
        <v>16003</v>
      </c>
      <c r="C6266" t="s">
        <v>15840</v>
      </c>
      <c r="D6266" t="s">
        <v>15840</v>
      </c>
      <c r="E6266" t="s">
        <v>16004</v>
      </c>
    </row>
    <row r="6267" spans="1:5" x14ac:dyDescent="0.2">
      <c r="A6267" t="s">
        <v>16005</v>
      </c>
      <c r="B6267" t="s">
        <v>16006</v>
      </c>
      <c r="C6267" t="s">
        <v>15840</v>
      </c>
      <c r="D6267" t="s">
        <v>15840</v>
      </c>
      <c r="E6267" t="s">
        <v>15841</v>
      </c>
    </row>
    <row r="6268" spans="1:5" x14ac:dyDescent="0.2">
      <c r="A6268" t="s">
        <v>16007</v>
      </c>
      <c r="B6268" t="s">
        <v>16008</v>
      </c>
      <c r="C6268" t="s">
        <v>15840</v>
      </c>
      <c r="D6268" t="s">
        <v>15840</v>
      </c>
      <c r="E6268" t="s">
        <v>15860</v>
      </c>
    </row>
    <row r="6269" spans="1:5" x14ac:dyDescent="0.2">
      <c r="A6269" t="s">
        <v>16009</v>
      </c>
      <c r="B6269" t="s">
        <v>16010</v>
      </c>
      <c r="C6269" t="s">
        <v>15840</v>
      </c>
      <c r="D6269" t="s">
        <v>15840</v>
      </c>
      <c r="E6269" t="s">
        <v>15844</v>
      </c>
    </row>
    <row r="6270" spans="1:5" x14ac:dyDescent="0.2">
      <c r="A6270" t="s">
        <v>16011</v>
      </c>
      <c r="B6270" t="s">
        <v>16012</v>
      </c>
      <c r="C6270" t="s">
        <v>15840</v>
      </c>
      <c r="D6270" t="s">
        <v>15840</v>
      </c>
      <c r="E6270" t="s">
        <v>15878</v>
      </c>
    </row>
    <row r="6271" spans="1:5" x14ac:dyDescent="0.2">
      <c r="A6271" t="s">
        <v>16013</v>
      </c>
      <c r="B6271" t="s">
        <v>16014</v>
      </c>
      <c r="C6271" t="s">
        <v>15840</v>
      </c>
      <c r="D6271" t="s">
        <v>15840</v>
      </c>
      <c r="E6271" t="s">
        <v>15841</v>
      </c>
    </row>
    <row r="6272" spans="1:5" x14ac:dyDescent="0.2">
      <c r="A6272" t="s">
        <v>16015</v>
      </c>
      <c r="B6272" t="s">
        <v>16016</v>
      </c>
      <c r="C6272" t="s">
        <v>15840</v>
      </c>
      <c r="D6272" t="s">
        <v>15840</v>
      </c>
      <c r="E6272" t="s">
        <v>15890</v>
      </c>
    </row>
    <row r="6273" spans="1:5" x14ac:dyDescent="0.2">
      <c r="A6273" t="s">
        <v>16017</v>
      </c>
      <c r="B6273" t="s">
        <v>16018</v>
      </c>
      <c r="C6273" t="s">
        <v>15840</v>
      </c>
      <c r="D6273" t="s">
        <v>15840</v>
      </c>
      <c r="E6273" t="s">
        <v>15884</v>
      </c>
    </row>
    <row r="6274" spans="1:5" x14ac:dyDescent="0.2">
      <c r="A6274" t="s">
        <v>16019</v>
      </c>
      <c r="B6274" t="s">
        <v>16020</v>
      </c>
      <c r="C6274" t="s">
        <v>15840</v>
      </c>
      <c r="D6274" t="s">
        <v>15840</v>
      </c>
      <c r="E6274" t="s">
        <v>15860</v>
      </c>
    </row>
    <row r="6275" spans="1:5" x14ac:dyDescent="0.2">
      <c r="A6275" t="s">
        <v>16021</v>
      </c>
      <c r="B6275" t="s">
        <v>16022</v>
      </c>
      <c r="C6275" t="s">
        <v>15840</v>
      </c>
      <c r="D6275" t="s">
        <v>15840</v>
      </c>
      <c r="E6275" t="s">
        <v>15860</v>
      </c>
    </row>
    <row r="6276" spans="1:5" x14ac:dyDescent="0.2">
      <c r="A6276" t="s">
        <v>16023</v>
      </c>
      <c r="B6276" t="s">
        <v>16024</v>
      </c>
      <c r="C6276" t="s">
        <v>15840</v>
      </c>
      <c r="D6276" t="s">
        <v>15840</v>
      </c>
      <c r="E6276" t="s">
        <v>15884</v>
      </c>
    </row>
    <row r="6277" spans="1:5" x14ac:dyDescent="0.2">
      <c r="A6277" t="s">
        <v>16025</v>
      </c>
      <c r="B6277" t="s">
        <v>16026</v>
      </c>
      <c r="C6277" t="s">
        <v>15840</v>
      </c>
      <c r="D6277" t="s">
        <v>15840</v>
      </c>
      <c r="E6277" t="s">
        <v>15860</v>
      </c>
    </row>
    <row r="6278" spans="1:5" x14ac:dyDescent="0.2">
      <c r="A6278" t="s">
        <v>16027</v>
      </c>
      <c r="B6278" t="s">
        <v>16028</v>
      </c>
      <c r="C6278" t="s">
        <v>15840</v>
      </c>
      <c r="D6278" t="s">
        <v>15840</v>
      </c>
      <c r="E6278" t="s">
        <v>15860</v>
      </c>
    </row>
    <row r="6279" spans="1:5" x14ac:dyDescent="0.2">
      <c r="A6279" t="s">
        <v>16029</v>
      </c>
      <c r="B6279" t="s">
        <v>16030</v>
      </c>
      <c r="C6279" t="s">
        <v>15840</v>
      </c>
      <c r="D6279" t="s">
        <v>15840</v>
      </c>
      <c r="E6279" t="s">
        <v>16031</v>
      </c>
    </row>
    <row r="6280" spans="1:5" x14ac:dyDescent="0.2">
      <c r="A6280" t="s">
        <v>16032</v>
      </c>
      <c r="B6280" t="s">
        <v>16033</v>
      </c>
      <c r="C6280" t="s">
        <v>15840</v>
      </c>
      <c r="D6280" t="s">
        <v>15840</v>
      </c>
      <c r="E6280" t="s">
        <v>15855</v>
      </c>
    </row>
    <row r="6281" spans="1:5" x14ac:dyDescent="0.2">
      <c r="A6281" t="s">
        <v>16034</v>
      </c>
      <c r="B6281" t="s">
        <v>16035</v>
      </c>
      <c r="C6281" t="s">
        <v>15840</v>
      </c>
      <c r="D6281" t="s">
        <v>15840</v>
      </c>
      <c r="E6281" t="s">
        <v>16036</v>
      </c>
    </row>
    <row r="6282" spans="1:5" x14ac:dyDescent="0.2">
      <c r="A6282" t="s">
        <v>16037</v>
      </c>
      <c r="B6282" t="s">
        <v>16038</v>
      </c>
      <c r="C6282" t="s">
        <v>15840</v>
      </c>
      <c r="D6282" t="s">
        <v>15840</v>
      </c>
      <c r="E6282" t="s">
        <v>16039</v>
      </c>
    </row>
    <row r="6283" spans="1:5" x14ac:dyDescent="0.2">
      <c r="A6283" t="s">
        <v>16040</v>
      </c>
      <c r="B6283" t="s">
        <v>16041</v>
      </c>
      <c r="C6283" t="s">
        <v>15840</v>
      </c>
      <c r="D6283" t="s">
        <v>15840</v>
      </c>
      <c r="E6283" t="s">
        <v>15841</v>
      </c>
    </row>
    <row r="6284" spans="1:5" x14ac:dyDescent="0.2">
      <c r="A6284" t="s">
        <v>16042</v>
      </c>
      <c r="B6284" t="s">
        <v>16043</v>
      </c>
      <c r="C6284" t="s">
        <v>15840</v>
      </c>
      <c r="D6284" t="s">
        <v>15840</v>
      </c>
      <c r="E6284" t="s">
        <v>15855</v>
      </c>
    </row>
    <row r="6285" spans="1:5" x14ac:dyDescent="0.2">
      <c r="A6285" t="s">
        <v>16044</v>
      </c>
      <c r="B6285" t="s">
        <v>16045</v>
      </c>
      <c r="C6285" t="s">
        <v>15840</v>
      </c>
      <c r="D6285" t="s">
        <v>15840</v>
      </c>
      <c r="E6285" t="s">
        <v>16046</v>
      </c>
    </row>
    <row r="6286" spans="1:5" x14ac:dyDescent="0.2">
      <c r="A6286" t="s">
        <v>16047</v>
      </c>
      <c r="B6286" t="s">
        <v>16048</v>
      </c>
      <c r="C6286" t="s">
        <v>15840</v>
      </c>
      <c r="D6286" t="s">
        <v>15840</v>
      </c>
      <c r="E6286" t="s">
        <v>15844</v>
      </c>
    </row>
    <row r="6287" spans="1:5" x14ac:dyDescent="0.2">
      <c r="A6287" t="s">
        <v>16049</v>
      </c>
      <c r="B6287" t="s">
        <v>16050</v>
      </c>
      <c r="C6287" t="s">
        <v>15840</v>
      </c>
      <c r="D6287" t="s">
        <v>15840</v>
      </c>
      <c r="E6287" t="s">
        <v>15890</v>
      </c>
    </row>
    <row r="6288" spans="1:5" x14ac:dyDescent="0.2">
      <c r="A6288" t="s">
        <v>16051</v>
      </c>
      <c r="B6288" t="s">
        <v>16052</v>
      </c>
      <c r="C6288" t="s">
        <v>15840</v>
      </c>
      <c r="D6288" t="s">
        <v>15840</v>
      </c>
      <c r="E6288" t="s">
        <v>15884</v>
      </c>
    </row>
    <row r="6289" spans="1:5" x14ac:dyDescent="0.2">
      <c r="A6289" t="s">
        <v>16053</v>
      </c>
      <c r="B6289" t="s">
        <v>16054</v>
      </c>
      <c r="C6289" t="s">
        <v>15840</v>
      </c>
      <c r="D6289" t="s">
        <v>15840</v>
      </c>
      <c r="E6289" t="s">
        <v>16055</v>
      </c>
    </row>
    <row r="6290" spans="1:5" x14ac:dyDescent="0.2">
      <c r="A6290" t="s">
        <v>16056</v>
      </c>
      <c r="B6290" t="s">
        <v>16057</v>
      </c>
      <c r="C6290" t="s">
        <v>15840</v>
      </c>
      <c r="D6290" t="s">
        <v>15840</v>
      </c>
      <c r="E6290" t="s">
        <v>15844</v>
      </c>
    </row>
    <row r="6291" spans="1:5" x14ac:dyDescent="0.2">
      <c r="A6291" t="s">
        <v>16058</v>
      </c>
      <c r="B6291" t="s">
        <v>16059</v>
      </c>
      <c r="C6291" t="s">
        <v>15840</v>
      </c>
      <c r="D6291" t="s">
        <v>15840</v>
      </c>
      <c r="E6291" t="s">
        <v>15860</v>
      </c>
    </row>
    <row r="6292" spans="1:5" x14ac:dyDescent="0.2">
      <c r="A6292" t="s">
        <v>16060</v>
      </c>
      <c r="B6292" t="s">
        <v>16061</v>
      </c>
      <c r="C6292" t="s">
        <v>15840</v>
      </c>
      <c r="D6292" t="s">
        <v>15840</v>
      </c>
      <c r="E6292" t="s">
        <v>15860</v>
      </c>
    </row>
    <row r="6293" spans="1:5" x14ac:dyDescent="0.2">
      <c r="A6293" t="s">
        <v>16062</v>
      </c>
      <c r="B6293" t="s">
        <v>16063</v>
      </c>
      <c r="C6293" t="s">
        <v>15840</v>
      </c>
      <c r="D6293" t="s">
        <v>15840</v>
      </c>
      <c r="E6293" t="s">
        <v>15884</v>
      </c>
    </row>
    <row r="6294" spans="1:5" x14ac:dyDescent="0.2">
      <c r="A6294" t="s">
        <v>16064</v>
      </c>
      <c r="B6294" t="s">
        <v>16065</v>
      </c>
      <c r="C6294" t="s">
        <v>15840</v>
      </c>
      <c r="D6294" t="s">
        <v>15840</v>
      </c>
      <c r="E6294" t="s">
        <v>15884</v>
      </c>
    </row>
    <row r="6295" spans="1:5" x14ac:dyDescent="0.2">
      <c r="A6295" t="s">
        <v>16066</v>
      </c>
      <c r="B6295" t="s">
        <v>16067</v>
      </c>
      <c r="C6295" t="s">
        <v>15840</v>
      </c>
      <c r="D6295" t="s">
        <v>15840</v>
      </c>
      <c r="E6295" t="s">
        <v>15884</v>
      </c>
    </row>
    <row r="6296" spans="1:5" x14ac:dyDescent="0.2">
      <c r="A6296" t="s">
        <v>16068</v>
      </c>
      <c r="B6296" t="s">
        <v>16069</v>
      </c>
      <c r="C6296" t="s">
        <v>15840</v>
      </c>
      <c r="D6296" t="s">
        <v>15840</v>
      </c>
      <c r="E6296" t="s">
        <v>15890</v>
      </c>
    </row>
    <row r="6297" spans="1:5" x14ac:dyDescent="0.2">
      <c r="A6297" t="s">
        <v>16070</v>
      </c>
      <c r="B6297" t="s">
        <v>16071</v>
      </c>
      <c r="C6297" t="s">
        <v>15840</v>
      </c>
      <c r="D6297" t="s">
        <v>15840</v>
      </c>
      <c r="E6297" t="s">
        <v>15855</v>
      </c>
    </row>
    <row r="6298" spans="1:5" x14ac:dyDescent="0.2">
      <c r="A6298" t="s">
        <v>16072</v>
      </c>
      <c r="B6298" t="s">
        <v>16073</v>
      </c>
      <c r="C6298" t="s">
        <v>15840</v>
      </c>
      <c r="D6298" t="s">
        <v>15840</v>
      </c>
      <c r="E6298" t="s">
        <v>16074</v>
      </c>
    </row>
    <row r="6299" spans="1:5" x14ac:dyDescent="0.2">
      <c r="A6299" t="s">
        <v>16075</v>
      </c>
      <c r="B6299" t="s">
        <v>16076</v>
      </c>
      <c r="C6299" t="s">
        <v>15840</v>
      </c>
      <c r="D6299" t="s">
        <v>15840</v>
      </c>
      <c r="E6299" t="s">
        <v>16077</v>
      </c>
    </row>
    <row r="6300" spans="1:5" x14ac:dyDescent="0.2">
      <c r="A6300" t="s">
        <v>16078</v>
      </c>
      <c r="B6300" t="s">
        <v>16079</v>
      </c>
      <c r="C6300" t="s">
        <v>15840</v>
      </c>
      <c r="D6300" t="s">
        <v>15840</v>
      </c>
      <c r="E6300" t="s">
        <v>16080</v>
      </c>
    </row>
    <row r="6301" spans="1:5" x14ac:dyDescent="0.2">
      <c r="A6301" t="s">
        <v>16081</v>
      </c>
      <c r="B6301" t="s">
        <v>16082</v>
      </c>
      <c r="C6301" t="s">
        <v>15840</v>
      </c>
      <c r="D6301" t="s">
        <v>15840</v>
      </c>
      <c r="E6301" t="s">
        <v>16083</v>
      </c>
    </row>
    <row r="6302" spans="1:5" x14ac:dyDescent="0.2">
      <c r="A6302" t="s">
        <v>16084</v>
      </c>
      <c r="B6302" t="s">
        <v>16085</v>
      </c>
      <c r="C6302" t="s">
        <v>15840</v>
      </c>
      <c r="D6302" t="s">
        <v>15840</v>
      </c>
      <c r="E6302" t="s">
        <v>16086</v>
      </c>
    </row>
    <row r="6303" spans="1:5" x14ac:dyDescent="0.2">
      <c r="A6303" t="s">
        <v>16087</v>
      </c>
      <c r="B6303" t="s">
        <v>16088</v>
      </c>
      <c r="C6303" t="s">
        <v>15840</v>
      </c>
      <c r="D6303" t="s">
        <v>15840</v>
      </c>
      <c r="E6303" t="s">
        <v>15860</v>
      </c>
    </row>
    <row r="6304" spans="1:5" x14ac:dyDescent="0.2">
      <c r="A6304" t="s">
        <v>16089</v>
      </c>
      <c r="B6304" t="s">
        <v>16090</v>
      </c>
      <c r="C6304" t="s">
        <v>15840</v>
      </c>
      <c r="D6304" t="s">
        <v>15840</v>
      </c>
      <c r="E6304" t="s">
        <v>15855</v>
      </c>
    </row>
    <row r="6305" spans="1:5" x14ac:dyDescent="0.2">
      <c r="A6305" t="s">
        <v>16091</v>
      </c>
      <c r="B6305" t="s">
        <v>16092</v>
      </c>
      <c r="C6305" t="s">
        <v>15840</v>
      </c>
      <c r="D6305" t="s">
        <v>15840</v>
      </c>
      <c r="E6305" t="s">
        <v>15841</v>
      </c>
    </row>
    <row r="6306" spans="1:5" x14ac:dyDescent="0.2">
      <c r="A6306" t="s">
        <v>16093</v>
      </c>
      <c r="B6306" t="s">
        <v>16094</v>
      </c>
      <c r="C6306" t="s">
        <v>15840</v>
      </c>
      <c r="D6306" t="s">
        <v>15840</v>
      </c>
      <c r="E6306" t="s">
        <v>15884</v>
      </c>
    </row>
    <row r="6307" spans="1:5" x14ac:dyDescent="0.2">
      <c r="A6307" t="s">
        <v>16095</v>
      </c>
      <c r="B6307" t="s">
        <v>16096</v>
      </c>
      <c r="C6307" t="s">
        <v>15840</v>
      </c>
      <c r="D6307" t="s">
        <v>15840</v>
      </c>
      <c r="E6307" t="s">
        <v>15841</v>
      </c>
    </row>
    <row r="6308" spans="1:5" x14ac:dyDescent="0.2">
      <c r="A6308" t="s">
        <v>16097</v>
      </c>
      <c r="B6308" t="s">
        <v>16098</v>
      </c>
      <c r="C6308" t="s">
        <v>15840</v>
      </c>
      <c r="D6308" t="s">
        <v>15840</v>
      </c>
      <c r="E6308" t="s">
        <v>15860</v>
      </c>
    </row>
    <row r="6309" spans="1:5" x14ac:dyDescent="0.2">
      <c r="A6309" t="s">
        <v>16099</v>
      </c>
      <c r="B6309" t="s">
        <v>16100</v>
      </c>
      <c r="C6309" t="s">
        <v>15840</v>
      </c>
      <c r="D6309" t="s">
        <v>15840</v>
      </c>
      <c r="E6309" t="s">
        <v>15890</v>
      </c>
    </row>
    <row r="6310" spans="1:5" x14ac:dyDescent="0.2">
      <c r="A6310" t="s">
        <v>16101</v>
      </c>
      <c r="B6310" t="s">
        <v>16102</v>
      </c>
      <c r="C6310" t="s">
        <v>15840</v>
      </c>
      <c r="D6310" t="s">
        <v>15840</v>
      </c>
      <c r="E6310" t="s">
        <v>16103</v>
      </c>
    </row>
    <row r="6311" spans="1:5" x14ac:dyDescent="0.2">
      <c r="A6311" t="s">
        <v>16104</v>
      </c>
      <c r="B6311" t="s">
        <v>16105</v>
      </c>
      <c r="C6311" t="s">
        <v>15840</v>
      </c>
      <c r="D6311" t="s">
        <v>15840</v>
      </c>
      <c r="E6311" t="s">
        <v>15841</v>
      </c>
    </row>
    <row r="6312" spans="1:5" x14ac:dyDescent="0.2">
      <c r="A6312" t="s">
        <v>16106</v>
      </c>
      <c r="B6312" t="s">
        <v>16107</v>
      </c>
      <c r="C6312" t="s">
        <v>15840</v>
      </c>
      <c r="D6312" t="s">
        <v>15840</v>
      </c>
      <c r="E6312" t="s">
        <v>16108</v>
      </c>
    </row>
    <row r="6313" spans="1:5" x14ac:dyDescent="0.2">
      <c r="A6313" t="s">
        <v>16109</v>
      </c>
      <c r="B6313" t="s">
        <v>16110</v>
      </c>
      <c r="C6313" t="s">
        <v>15840</v>
      </c>
      <c r="D6313" t="s">
        <v>15840</v>
      </c>
      <c r="E6313" t="s">
        <v>15844</v>
      </c>
    </row>
    <row r="6314" spans="1:5" x14ac:dyDescent="0.2">
      <c r="A6314" t="s">
        <v>16111</v>
      </c>
      <c r="B6314" t="s">
        <v>16112</v>
      </c>
      <c r="C6314" t="s">
        <v>15840</v>
      </c>
      <c r="D6314" t="s">
        <v>15840</v>
      </c>
      <c r="E6314" t="s">
        <v>15890</v>
      </c>
    </row>
    <row r="6315" spans="1:5" x14ac:dyDescent="0.2">
      <c r="A6315" t="s">
        <v>16113</v>
      </c>
      <c r="B6315" t="s">
        <v>16114</v>
      </c>
      <c r="C6315" t="s">
        <v>15840</v>
      </c>
      <c r="D6315" t="s">
        <v>15840</v>
      </c>
      <c r="E6315" t="s">
        <v>16115</v>
      </c>
    </row>
    <row r="6316" spans="1:5" x14ac:dyDescent="0.2">
      <c r="A6316" t="s">
        <v>16116</v>
      </c>
      <c r="B6316" t="s">
        <v>16117</v>
      </c>
      <c r="C6316" t="s">
        <v>15840</v>
      </c>
      <c r="D6316" t="s">
        <v>15840</v>
      </c>
      <c r="E6316" t="s">
        <v>15855</v>
      </c>
    </row>
    <row r="6317" spans="1:5" x14ac:dyDescent="0.2">
      <c r="A6317" t="s">
        <v>16118</v>
      </c>
      <c r="B6317" t="s">
        <v>16119</v>
      </c>
      <c r="C6317" t="s">
        <v>15840</v>
      </c>
      <c r="D6317" t="s">
        <v>15840</v>
      </c>
      <c r="E6317" t="s">
        <v>15860</v>
      </c>
    </row>
    <row r="6318" spans="1:5" x14ac:dyDescent="0.2">
      <c r="A6318" t="s">
        <v>16120</v>
      </c>
      <c r="B6318" t="s">
        <v>16121</v>
      </c>
      <c r="C6318" t="s">
        <v>15840</v>
      </c>
      <c r="D6318" t="s">
        <v>15840</v>
      </c>
      <c r="E6318" t="s">
        <v>16122</v>
      </c>
    </row>
    <row r="6319" spans="1:5" x14ac:dyDescent="0.2">
      <c r="A6319" t="s">
        <v>16123</v>
      </c>
      <c r="B6319" t="s">
        <v>16124</v>
      </c>
      <c r="C6319" t="s">
        <v>15840</v>
      </c>
      <c r="D6319" t="s">
        <v>15840</v>
      </c>
      <c r="E6319" t="s">
        <v>16125</v>
      </c>
    </row>
    <row r="6320" spans="1:5" x14ac:dyDescent="0.2">
      <c r="A6320" t="s">
        <v>16126</v>
      </c>
      <c r="B6320" t="s">
        <v>16127</v>
      </c>
      <c r="C6320" t="s">
        <v>15840</v>
      </c>
      <c r="D6320" t="s">
        <v>15840</v>
      </c>
      <c r="E6320" t="s">
        <v>15841</v>
      </c>
    </row>
    <row r="6321" spans="1:5" x14ac:dyDescent="0.2">
      <c r="A6321" t="s">
        <v>16128</v>
      </c>
      <c r="B6321" t="s">
        <v>16129</v>
      </c>
      <c r="C6321" t="s">
        <v>15840</v>
      </c>
      <c r="D6321" t="s">
        <v>15840</v>
      </c>
      <c r="E6321" t="s">
        <v>15844</v>
      </c>
    </row>
    <row r="6322" spans="1:5" x14ac:dyDescent="0.2">
      <c r="A6322" t="s">
        <v>16130</v>
      </c>
      <c r="B6322" t="s">
        <v>16131</v>
      </c>
      <c r="C6322" t="s">
        <v>15840</v>
      </c>
      <c r="D6322" t="s">
        <v>15840</v>
      </c>
      <c r="E6322" t="s">
        <v>15878</v>
      </c>
    </row>
    <row r="6323" spans="1:5" x14ac:dyDescent="0.2">
      <c r="A6323" t="s">
        <v>16132</v>
      </c>
      <c r="B6323" t="s">
        <v>16133</v>
      </c>
      <c r="C6323" t="s">
        <v>15840</v>
      </c>
      <c r="D6323" t="s">
        <v>15840</v>
      </c>
      <c r="E6323" t="s">
        <v>16134</v>
      </c>
    </row>
    <row r="6324" spans="1:5" x14ac:dyDescent="0.2">
      <c r="A6324" t="s">
        <v>16135</v>
      </c>
      <c r="B6324" t="s">
        <v>16136</v>
      </c>
      <c r="C6324" t="s">
        <v>15840</v>
      </c>
      <c r="D6324" t="s">
        <v>15840</v>
      </c>
      <c r="E6324" t="s">
        <v>15841</v>
      </c>
    </row>
    <row r="6325" spans="1:5" x14ac:dyDescent="0.2">
      <c r="A6325" t="s">
        <v>16137</v>
      </c>
      <c r="B6325" t="s">
        <v>16138</v>
      </c>
      <c r="C6325" t="s">
        <v>15840</v>
      </c>
      <c r="D6325" t="s">
        <v>15840</v>
      </c>
      <c r="E6325" t="s">
        <v>15841</v>
      </c>
    </row>
    <row r="6326" spans="1:5" x14ac:dyDescent="0.2">
      <c r="A6326" t="s">
        <v>16139</v>
      </c>
      <c r="B6326" t="s">
        <v>16140</v>
      </c>
      <c r="C6326" t="s">
        <v>15840</v>
      </c>
      <c r="D6326" t="s">
        <v>15840</v>
      </c>
      <c r="E6326" t="s">
        <v>15844</v>
      </c>
    </row>
    <row r="6327" spans="1:5" x14ac:dyDescent="0.2">
      <c r="A6327" t="s">
        <v>16141</v>
      </c>
      <c r="B6327" t="s">
        <v>16142</v>
      </c>
      <c r="C6327" t="s">
        <v>15840</v>
      </c>
      <c r="D6327" t="s">
        <v>15840</v>
      </c>
      <c r="E6327" t="s">
        <v>15841</v>
      </c>
    </row>
    <row r="6328" spans="1:5" x14ac:dyDescent="0.2">
      <c r="A6328" t="s">
        <v>16143</v>
      </c>
      <c r="B6328" t="s">
        <v>16144</v>
      </c>
      <c r="C6328" t="s">
        <v>15840</v>
      </c>
      <c r="D6328" t="s">
        <v>15840</v>
      </c>
      <c r="E6328" t="s">
        <v>15844</v>
      </c>
    </row>
    <row r="6329" spans="1:5" x14ac:dyDescent="0.2">
      <c r="A6329" t="s">
        <v>16145</v>
      </c>
      <c r="B6329" t="s">
        <v>16146</v>
      </c>
      <c r="C6329" t="s">
        <v>15840</v>
      </c>
      <c r="D6329" t="s">
        <v>15840</v>
      </c>
      <c r="E6329" t="s">
        <v>16147</v>
      </c>
    </row>
    <row r="6330" spans="1:5" x14ac:dyDescent="0.2">
      <c r="A6330" t="s">
        <v>16148</v>
      </c>
      <c r="B6330" t="s">
        <v>16149</v>
      </c>
      <c r="C6330" t="s">
        <v>15840</v>
      </c>
      <c r="D6330" t="s">
        <v>15840</v>
      </c>
      <c r="E6330" t="s">
        <v>16150</v>
      </c>
    </row>
    <row r="6331" spans="1:5" x14ac:dyDescent="0.2">
      <c r="A6331" t="s">
        <v>16151</v>
      </c>
      <c r="B6331" t="s">
        <v>16152</v>
      </c>
      <c r="C6331" t="s">
        <v>15840</v>
      </c>
      <c r="D6331" t="s">
        <v>15840</v>
      </c>
      <c r="E6331" t="s">
        <v>15878</v>
      </c>
    </row>
    <row r="6332" spans="1:5" x14ac:dyDescent="0.2">
      <c r="A6332" t="s">
        <v>16153</v>
      </c>
      <c r="B6332" t="s">
        <v>16154</v>
      </c>
      <c r="C6332" t="s">
        <v>15840</v>
      </c>
      <c r="D6332" t="s">
        <v>15840</v>
      </c>
      <c r="E6332" t="s">
        <v>15841</v>
      </c>
    </row>
    <row r="6333" spans="1:5" x14ac:dyDescent="0.2">
      <c r="A6333" t="s">
        <v>16155</v>
      </c>
      <c r="B6333" t="s">
        <v>16156</v>
      </c>
      <c r="C6333" t="s">
        <v>15840</v>
      </c>
      <c r="D6333" t="s">
        <v>15840</v>
      </c>
      <c r="E6333" t="s">
        <v>15890</v>
      </c>
    </row>
    <row r="6334" spans="1:5" x14ac:dyDescent="0.2">
      <c r="A6334" t="s">
        <v>16157</v>
      </c>
      <c r="B6334" t="s">
        <v>16158</v>
      </c>
      <c r="C6334" t="s">
        <v>15840</v>
      </c>
      <c r="D6334" t="s">
        <v>15840</v>
      </c>
      <c r="E6334" t="s">
        <v>16159</v>
      </c>
    </row>
    <row r="6335" spans="1:5" x14ac:dyDescent="0.2">
      <c r="A6335" t="s">
        <v>16160</v>
      </c>
      <c r="B6335" t="s">
        <v>16161</v>
      </c>
      <c r="C6335" t="s">
        <v>15840</v>
      </c>
      <c r="D6335" t="s">
        <v>15840</v>
      </c>
      <c r="E6335" t="s">
        <v>16162</v>
      </c>
    </row>
    <row r="6336" spans="1:5" x14ac:dyDescent="0.2">
      <c r="A6336" t="s">
        <v>16163</v>
      </c>
      <c r="B6336" t="s">
        <v>16164</v>
      </c>
      <c r="C6336" t="s">
        <v>15840</v>
      </c>
      <c r="D6336" t="s">
        <v>15840</v>
      </c>
      <c r="E6336" t="s">
        <v>15878</v>
      </c>
    </row>
    <row r="6337" spans="1:5" x14ac:dyDescent="0.2">
      <c r="A6337" t="s">
        <v>16165</v>
      </c>
      <c r="B6337" t="s">
        <v>16166</v>
      </c>
      <c r="C6337" t="s">
        <v>15840</v>
      </c>
      <c r="D6337" t="s">
        <v>15840</v>
      </c>
      <c r="E6337" t="s">
        <v>16167</v>
      </c>
    </row>
    <row r="6338" spans="1:5" x14ac:dyDescent="0.2">
      <c r="A6338" t="s">
        <v>16168</v>
      </c>
      <c r="B6338" t="s">
        <v>16169</v>
      </c>
      <c r="C6338" t="s">
        <v>15840</v>
      </c>
      <c r="D6338" t="s">
        <v>15840</v>
      </c>
      <c r="E6338" t="s">
        <v>16170</v>
      </c>
    </row>
    <row r="6339" spans="1:5" x14ac:dyDescent="0.2">
      <c r="A6339" t="s">
        <v>16171</v>
      </c>
      <c r="B6339" t="s">
        <v>16172</v>
      </c>
      <c r="C6339" t="s">
        <v>15840</v>
      </c>
      <c r="D6339" t="s">
        <v>15840</v>
      </c>
      <c r="E6339" t="s">
        <v>15860</v>
      </c>
    </row>
    <row r="6340" spans="1:5" x14ac:dyDescent="0.2">
      <c r="A6340" t="s">
        <v>16173</v>
      </c>
      <c r="B6340" t="s">
        <v>16174</v>
      </c>
      <c r="C6340" t="s">
        <v>15840</v>
      </c>
      <c r="D6340" t="s">
        <v>15840</v>
      </c>
      <c r="E6340" t="s">
        <v>15841</v>
      </c>
    </row>
    <row r="6341" spans="1:5" x14ac:dyDescent="0.2">
      <c r="A6341" t="s">
        <v>16175</v>
      </c>
      <c r="B6341" t="s">
        <v>16176</v>
      </c>
      <c r="C6341" t="s">
        <v>15840</v>
      </c>
      <c r="D6341" t="s">
        <v>15840</v>
      </c>
      <c r="E6341" t="s">
        <v>15890</v>
      </c>
    </row>
    <row r="6342" spans="1:5" x14ac:dyDescent="0.2">
      <c r="A6342" t="s">
        <v>16177</v>
      </c>
      <c r="B6342" t="s">
        <v>16178</v>
      </c>
      <c r="C6342" t="s">
        <v>15840</v>
      </c>
      <c r="D6342" t="s">
        <v>15840</v>
      </c>
      <c r="E6342" t="s">
        <v>15841</v>
      </c>
    </row>
    <row r="6343" spans="1:5" x14ac:dyDescent="0.2">
      <c r="A6343" t="s">
        <v>16179</v>
      </c>
      <c r="B6343" t="s">
        <v>16180</v>
      </c>
      <c r="C6343" t="s">
        <v>15840</v>
      </c>
      <c r="D6343" t="s">
        <v>15840</v>
      </c>
      <c r="E6343" t="s">
        <v>15844</v>
      </c>
    </row>
    <row r="6344" spans="1:5" x14ac:dyDescent="0.2">
      <c r="A6344" t="s">
        <v>16181</v>
      </c>
      <c r="B6344" t="s">
        <v>16182</v>
      </c>
      <c r="C6344" t="s">
        <v>15840</v>
      </c>
      <c r="D6344" t="s">
        <v>15840</v>
      </c>
      <c r="E6344" t="s">
        <v>16183</v>
      </c>
    </row>
    <row r="6345" spans="1:5" x14ac:dyDescent="0.2">
      <c r="A6345" t="s">
        <v>16184</v>
      </c>
      <c r="B6345" t="s">
        <v>16185</v>
      </c>
      <c r="C6345" t="s">
        <v>15840</v>
      </c>
      <c r="D6345" t="s">
        <v>15840</v>
      </c>
      <c r="E6345" t="s">
        <v>15890</v>
      </c>
    </row>
    <row r="6346" spans="1:5" x14ac:dyDescent="0.2">
      <c r="A6346" t="s">
        <v>16186</v>
      </c>
      <c r="B6346" t="s">
        <v>16187</v>
      </c>
      <c r="C6346" t="s">
        <v>15840</v>
      </c>
      <c r="D6346" t="s">
        <v>15840</v>
      </c>
      <c r="E6346" t="s">
        <v>15844</v>
      </c>
    </row>
    <row r="6347" spans="1:5" x14ac:dyDescent="0.2">
      <c r="A6347" t="s">
        <v>16188</v>
      </c>
      <c r="B6347" t="s">
        <v>16189</v>
      </c>
      <c r="C6347" t="s">
        <v>15840</v>
      </c>
      <c r="D6347" t="s">
        <v>15840</v>
      </c>
      <c r="E6347" t="s">
        <v>16190</v>
      </c>
    </row>
    <row r="6348" spans="1:5" x14ac:dyDescent="0.2">
      <c r="A6348" t="s">
        <v>16191</v>
      </c>
      <c r="B6348" t="s">
        <v>16192</v>
      </c>
      <c r="C6348" t="s">
        <v>15840</v>
      </c>
      <c r="D6348" t="s">
        <v>15840</v>
      </c>
      <c r="E6348" t="s">
        <v>15860</v>
      </c>
    </row>
    <row r="6349" spans="1:5" x14ac:dyDescent="0.2">
      <c r="A6349" t="s">
        <v>16193</v>
      </c>
      <c r="B6349" t="s">
        <v>16194</v>
      </c>
      <c r="C6349" t="s">
        <v>15840</v>
      </c>
      <c r="D6349" t="e">
        <v>#N/A</v>
      </c>
      <c r="E6349" t="e">
        <v>#N/A</v>
      </c>
    </row>
    <row r="6350" spans="1:5" x14ac:dyDescent="0.2">
      <c r="A6350" t="s">
        <v>16195</v>
      </c>
      <c r="B6350" t="s">
        <v>16196</v>
      </c>
      <c r="C6350" t="s">
        <v>15840</v>
      </c>
      <c r="D6350" t="e">
        <v>#N/A</v>
      </c>
      <c r="E6350" t="e">
        <v>#N/A</v>
      </c>
    </row>
    <row r="6351" spans="1:5" x14ac:dyDescent="0.2">
      <c r="A6351" t="s">
        <v>16197</v>
      </c>
      <c r="B6351" t="s">
        <v>16198</v>
      </c>
      <c r="C6351" t="s">
        <v>16199</v>
      </c>
      <c r="D6351" t="s">
        <v>16199</v>
      </c>
      <c r="E6351" t="s">
        <v>16200</v>
      </c>
    </row>
    <row r="6352" spans="1:5" x14ac:dyDescent="0.2">
      <c r="A6352" t="s">
        <v>16201</v>
      </c>
      <c r="B6352" t="s">
        <v>16202</v>
      </c>
      <c r="C6352" t="s">
        <v>16199</v>
      </c>
      <c r="D6352" t="s">
        <v>16199</v>
      </c>
      <c r="E6352" t="s">
        <v>16203</v>
      </c>
    </row>
    <row r="6353" spans="1:5" x14ac:dyDescent="0.2">
      <c r="A6353" t="s">
        <v>16204</v>
      </c>
      <c r="B6353" t="s">
        <v>16205</v>
      </c>
      <c r="C6353" t="s">
        <v>16199</v>
      </c>
      <c r="D6353" t="s">
        <v>16199</v>
      </c>
      <c r="E6353" t="s">
        <v>16206</v>
      </c>
    </row>
    <row r="6354" spans="1:5" x14ac:dyDescent="0.2">
      <c r="A6354" t="s">
        <v>16207</v>
      </c>
      <c r="B6354" t="s">
        <v>16208</v>
      </c>
      <c r="C6354" t="s">
        <v>16199</v>
      </c>
      <c r="D6354" t="s">
        <v>16199</v>
      </c>
      <c r="E6354" t="s">
        <v>16203</v>
      </c>
    </row>
    <row r="6355" spans="1:5" x14ac:dyDescent="0.2">
      <c r="A6355" t="s">
        <v>16209</v>
      </c>
      <c r="B6355" t="s">
        <v>16210</v>
      </c>
      <c r="C6355" t="s">
        <v>16199</v>
      </c>
      <c r="D6355" t="s">
        <v>16199</v>
      </c>
      <c r="E6355" t="s">
        <v>16211</v>
      </c>
    </row>
    <row r="6356" spans="1:5" x14ac:dyDescent="0.2">
      <c r="A6356" t="s">
        <v>16212</v>
      </c>
      <c r="B6356" t="s">
        <v>16213</v>
      </c>
      <c r="C6356" t="s">
        <v>16199</v>
      </c>
      <c r="D6356" t="s">
        <v>16199</v>
      </c>
      <c r="E6356" t="s">
        <v>16211</v>
      </c>
    </row>
    <row r="6357" spans="1:5" x14ac:dyDescent="0.2">
      <c r="A6357" t="s">
        <v>16214</v>
      </c>
      <c r="B6357" t="s">
        <v>16215</v>
      </c>
      <c r="C6357" t="s">
        <v>16199</v>
      </c>
      <c r="D6357" t="s">
        <v>16199</v>
      </c>
      <c r="E6357" t="s">
        <v>16203</v>
      </c>
    </row>
    <row r="6358" spans="1:5" x14ac:dyDescent="0.2">
      <c r="A6358" t="s">
        <v>16216</v>
      </c>
      <c r="B6358" t="s">
        <v>16217</v>
      </c>
      <c r="C6358" t="s">
        <v>16199</v>
      </c>
      <c r="D6358" t="s">
        <v>16199</v>
      </c>
      <c r="E6358" t="s">
        <v>16218</v>
      </c>
    </row>
    <row r="6359" spans="1:5" x14ac:dyDescent="0.2">
      <c r="A6359" t="s">
        <v>16219</v>
      </c>
      <c r="B6359" t="s">
        <v>16220</v>
      </c>
      <c r="C6359" t="s">
        <v>16199</v>
      </c>
      <c r="D6359" t="s">
        <v>16199</v>
      </c>
      <c r="E6359" t="s">
        <v>16221</v>
      </c>
    </row>
    <row r="6360" spans="1:5" x14ac:dyDescent="0.2">
      <c r="A6360" t="s">
        <v>16222</v>
      </c>
      <c r="B6360" t="s">
        <v>16223</v>
      </c>
      <c r="C6360" t="s">
        <v>16199</v>
      </c>
      <c r="D6360" t="s">
        <v>16199</v>
      </c>
      <c r="E6360" t="s">
        <v>16203</v>
      </c>
    </row>
    <row r="6361" spans="1:5" x14ac:dyDescent="0.2">
      <c r="A6361" t="s">
        <v>16224</v>
      </c>
      <c r="B6361" t="s">
        <v>16225</v>
      </c>
      <c r="C6361" t="s">
        <v>16199</v>
      </c>
      <c r="D6361" t="s">
        <v>16199</v>
      </c>
      <c r="E6361" t="s">
        <v>16226</v>
      </c>
    </row>
    <row r="6362" spans="1:5" x14ac:dyDescent="0.2">
      <c r="A6362" t="s">
        <v>16227</v>
      </c>
      <c r="B6362" t="s">
        <v>16228</v>
      </c>
      <c r="C6362" t="s">
        <v>16199</v>
      </c>
      <c r="D6362" t="s">
        <v>16199</v>
      </c>
      <c r="E6362" t="s">
        <v>16206</v>
      </c>
    </row>
    <row r="6363" spans="1:5" x14ac:dyDescent="0.2">
      <c r="A6363" t="s">
        <v>16229</v>
      </c>
      <c r="B6363" t="s">
        <v>16230</v>
      </c>
      <c r="C6363" t="s">
        <v>16199</v>
      </c>
      <c r="D6363" t="s">
        <v>16199</v>
      </c>
      <c r="E6363" t="s">
        <v>16231</v>
      </c>
    </row>
    <row r="6364" spans="1:5" x14ac:dyDescent="0.2">
      <c r="A6364" t="s">
        <v>16232</v>
      </c>
      <c r="B6364" t="s">
        <v>16233</v>
      </c>
      <c r="C6364" t="s">
        <v>16199</v>
      </c>
      <c r="D6364" t="s">
        <v>16199</v>
      </c>
      <c r="E6364" t="s">
        <v>16234</v>
      </c>
    </row>
    <row r="6365" spans="1:5" x14ac:dyDescent="0.2">
      <c r="A6365" t="s">
        <v>16235</v>
      </c>
      <c r="B6365" t="s">
        <v>16236</v>
      </c>
      <c r="C6365" t="s">
        <v>16199</v>
      </c>
      <c r="D6365" t="s">
        <v>16199</v>
      </c>
      <c r="E6365" t="s">
        <v>16234</v>
      </c>
    </row>
    <row r="6366" spans="1:5" x14ac:dyDescent="0.2">
      <c r="A6366" t="s">
        <v>16237</v>
      </c>
      <c r="B6366" t="s">
        <v>16238</v>
      </c>
      <c r="C6366" t="s">
        <v>16199</v>
      </c>
      <c r="D6366" t="s">
        <v>16199</v>
      </c>
      <c r="E6366" t="s">
        <v>16203</v>
      </c>
    </row>
    <row r="6367" spans="1:5" x14ac:dyDescent="0.2">
      <c r="A6367" t="s">
        <v>16239</v>
      </c>
      <c r="B6367" t="s">
        <v>16240</v>
      </c>
      <c r="C6367" t="s">
        <v>16199</v>
      </c>
      <c r="D6367" t="s">
        <v>16199</v>
      </c>
      <c r="E6367" t="s">
        <v>16241</v>
      </c>
    </row>
    <row r="6368" spans="1:5" x14ac:dyDescent="0.2">
      <c r="A6368" t="s">
        <v>16242</v>
      </c>
      <c r="B6368" t="s">
        <v>16243</v>
      </c>
      <c r="C6368" t="s">
        <v>16199</v>
      </c>
      <c r="D6368" t="s">
        <v>16199</v>
      </c>
      <c r="E6368" t="s">
        <v>16206</v>
      </c>
    </row>
    <row r="6369" spans="1:5" x14ac:dyDescent="0.2">
      <c r="A6369" t="s">
        <v>16244</v>
      </c>
      <c r="B6369" t="s">
        <v>16245</v>
      </c>
      <c r="C6369" t="s">
        <v>16199</v>
      </c>
      <c r="D6369" t="s">
        <v>16199</v>
      </c>
      <c r="E6369" t="s">
        <v>16206</v>
      </c>
    </row>
    <row r="6370" spans="1:5" x14ac:dyDescent="0.2">
      <c r="A6370" t="s">
        <v>16246</v>
      </c>
      <c r="B6370" t="s">
        <v>16247</v>
      </c>
      <c r="C6370" t="s">
        <v>16199</v>
      </c>
      <c r="D6370" t="s">
        <v>16199</v>
      </c>
      <c r="E6370" t="s">
        <v>16248</v>
      </c>
    </row>
    <row r="6371" spans="1:5" x14ac:dyDescent="0.2">
      <c r="A6371" t="s">
        <v>16249</v>
      </c>
      <c r="B6371" t="s">
        <v>16250</v>
      </c>
      <c r="C6371" t="s">
        <v>16199</v>
      </c>
      <c r="D6371" t="s">
        <v>16199</v>
      </c>
      <c r="E6371" t="s">
        <v>16251</v>
      </c>
    </row>
    <row r="6372" spans="1:5" x14ac:dyDescent="0.2">
      <c r="A6372" t="s">
        <v>16252</v>
      </c>
      <c r="B6372" t="s">
        <v>16253</v>
      </c>
      <c r="C6372" t="s">
        <v>16199</v>
      </c>
      <c r="D6372" t="s">
        <v>16199</v>
      </c>
      <c r="E6372" t="s">
        <v>16254</v>
      </c>
    </row>
    <row r="6373" spans="1:5" x14ac:dyDescent="0.2">
      <c r="A6373" t="s">
        <v>16255</v>
      </c>
      <c r="B6373" t="s">
        <v>16256</v>
      </c>
      <c r="C6373" t="s">
        <v>16199</v>
      </c>
      <c r="D6373" t="s">
        <v>16199</v>
      </c>
      <c r="E6373" t="s">
        <v>16211</v>
      </c>
    </row>
    <row r="6374" spans="1:5" x14ac:dyDescent="0.2">
      <c r="A6374" t="s">
        <v>16257</v>
      </c>
      <c r="B6374" t="s">
        <v>16258</v>
      </c>
      <c r="C6374" t="s">
        <v>16199</v>
      </c>
      <c r="D6374" t="s">
        <v>16199</v>
      </c>
      <c r="E6374" t="s">
        <v>16259</v>
      </c>
    </row>
    <row r="6375" spans="1:5" x14ac:dyDescent="0.2">
      <c r="A6375" t="s">
        <v>16260</v>
      </c>
      <c r="B6375" t="s">
        <v>16261</v>
      </c>
      <c r="C6375" t="s">
        <v>16199</v>
      </c>
      <c r="D6375" t="s">
        <v>16199</v>
      </c>
      <c r="E6375" t="s">
        <v>16262</v>
      </c>
    </row>
    <row r="6376" spans="1:5" x14ac:dyDescent="0.2">
      <c r="A6376" t="s">
        <v>16263</v>
      </c>
      <c r="B6376" t="s">
        <v>16264</v>
      </c>
      <c r="C6376" t="s">
        <v>16199</v>
      </c>
      <c r="D6376" t="s">
        <v>16199</v>
      </c>
      <c r="E6376" t="s">
        <v>16206</v>
      </c>
    </row>
    <row r="6377" spans="1:5" x14ac:dyDescent="0.2">
      <c r="A6377" t="s">
        <v>16265</v>
      </c>
      <c r="B6377" t="s">
        <v>16266</v>
      </c>
      <c r="C6377" t="s">
        <v>16199</v>
      </c>
      <c r="D6377" t="s">
        <v>16199</v>
      </c>
      <c r="E6377" t="s">
        <v>16203</v>
      </c>
    </row>
    <row r="6378" spans="1:5" x14ac:dyDescent="0.2">
      <c r="A6378" t="s">
        <v>16267</v>
      </c>
      <c r="B6378" t="s">
        <v>16268</v>
      </c>
      <c r="C6378" t="s">
        <v>16199</v>
      </c>
      <c r="D6378" t="s">
        <v>16199</v>
      </c>
      <c r="E6378" t="s">
        <v>16211</v>
      </c>
    </row>
    <row r="6379" spans="1:5" x14ac:dyDescent="0.2">
      <c r="A6379" t="s">
        <v>16269</v>
      </c>
      <c r="B6379" t="s">
        <v>16270</v>
      </c>
      <c r="C6379" t="s">
        <v>16199</v>
      </c>
      <c r="D6379" t="s">
        <v>16199</v>
      </c>
      <c r="E6379" t="s">
        <v>16211</v>
      </c>
    </row>
    <row r="6380" spans="1:5" x14ac:dyDescent="0.2">
      <c r="A6380" t="s">
        <v>16271</v>
      </c>
      <c r="B6380" t="s">
        <v>16272</v>
      </c>
      <c r="C6380" t="s">
        <v>16199</v>
      </c>
      <c r="D6380" t="s">
        <v>16199</v>
      </c>
      <c r="E6380" t="s">
        <v>16273</v>
      </c>
    </row>
    <row r="6381" spans="1:5" x14ac:dyDescent="0.2">
      <c r="A6381" t="s">
        <v>16274</v>
      </c>
      <c r="B6381" t="s">
        <v>16275</v>
      </c>
      <c r="C6381" t="s">
        <v>16199</v>
      </c>
      <c r="D6381" t="s">
        <v>16199</v>
      </c>
      <c r="E6381" t="s">
        <v>16276</v>
      </c>
    </row>
    <row r="6382" spans="1:5" x14ac:dyDescent="0.2">
      <c r="A6382" t="s">
        <v>16277</v>
      </c>
      <c r="B6382" t="s">
        <v>16278</v>
      </c>
      <c r="C6382" t="s">
        <v>16199</v>
      </c>
      <c r="D6382" t="s">
        <v>16199</v>
      </c>
      <c r="E6382" t="s">
        <v>16206</v>
      </c>
    </row>
    <row r="6383" spans="1:5" x14ac:dyDescent="0.2">
      <c r="A6383" t="s">
        <v>16279</v>
      </c>
      <c r="B6383" t="s">
        <v>16280</v>
      </c>
      <c r="C6383" t="s">
        <v>16199</v>
      </c>
      <c r="D6383" t="s">
        <v>16199</v>
      </c>
      <c r="E6383" t="s">
        <v>16281</v>
      </c>
    </row>
    <row r="6384" spans="1:5" x14ac:dyDescent="0.2">
      <c r="A6384" t="s">
        <v>16282</v>
      </c>
      <c r="B6384" t="s">
        <v>16283</v>
      </c>
      <c r="C6384" t="s">
        <v>16199</v>
      </c>
      <c r="D6384" t="s">
        <v>16199</v>
      </c>
      <c r="E6384" t="s">
        <v>16211</v>
      </c>
    </row>
    <row r="6385" spans="1:5" x14ac:dyDescent="0.2">
      <c r="A6385" t="s">
        <v>16284</v>
      </c>
      <c r="B6385" t="s">
        <v>16285</v>
      </c>
      <c r="C6385" t="s">
        <v>16199</v>
      </c>
      <c r="D6385" t="s">
        <v>16199</v>
      </c>
      <c r="E6385" t="s">
        <v>16248</v>
      </c>
    </row>
    <row r="6386" spans="1:5" x14ac:dyDescent="0.2">
      <c r="A6386" t="s">
        <v>16286</v>
      </c>
      <c r="B6386" t="s">
        <v>16287</v>
      </c>
      <c r="C6386" t="s">
        <v>16199</v>
      </c>
      <c r="D6386" t="s">
        <v>16199</v>
      </c>
      <c r="E6386" t="s">
        <v>16203</v>
      </c>
    </row>
    <row r="6387" spans="1:5" x14ac:dyDescent="0.2">
      <c r="A6387" t="s">
        <v>16288</v>
      </c>
      <c r="B6387" t="s">
        <v>16289</v>
      </c>
      <c r="C6387" t="s">
        <v>16199</v>
      </c>
      <c r="D6387" t="s">
        <v>16199</v>
      </c>
      <c r="E6387" t="s">
        <v>16290</v>
      </c>
    </row>
    <row r="6388" spans="1:5" x14ac:dyDescent="0.2">
      <c r="A6388" t="s">
        <v>16291</v>
      </c>
      <c r="B6388" t="s">
        <v>16292</v>
      </c>
      <c r="C6388" t="s">
        <v>16199</v>
      </c>
      <c r="D6388" t="s">
        <v>16199</v>
      </c>
      <c r="E6388" t="s">
        <v>16203</v>
      </c>
    </row>
    <row r="6389" spans="1:5" x14ac:dyDescent="0.2">
      <c r="A6389" t="s">
        <v>16293</v>
      </c>
      <c r="B6389" t="s">
        <v>16294</v>
      </c>
      <c r="C6389" t="s">
        <v>16199</v>
      </c>
      <c r="D6389" t="s">
        <v>16199</v>
      </c>
      <c r="E6389" t="s">
        <v>16295</v>
      </c>
    </row>
    <row r="6390" spans="1:5" x14ac:dyDescent="0.2">
      <c r="A6390" t="s">
        <v>16296</v>
      </c>
      <c r="B6390" t="s">
        <v>16297</v>
      </c>
      <c r="C6390" t="s">
        <v>16199</v>
      </c>
      <c r="D6390" t="s">
        <v>16199</v>
      </c>
      <c r="E6390" t="s">
        <v>16206</v>
      </c>
    </row>
    <row r="6391" spans="1:5" x14ac:dyDescent="0.2">
      <c r="A6391" t="s">
        <v>16298</v>
      </c>
      <c r="B6391" t="s">
        <v>16299</v>
      </c>
      <c r="C6391" t="s">
        <v>16199</v>
      </c>
      <c r="D6391" t="s">
        <v>16199</v>
      </c>
      <c r="E6391" t="s">
        <v>16206</v>
      </c>
    </row>
    <row r="6392" spans="1:5" x14ac:dyDescent="0.2">
      <c r="A6392" t="s">
        <v>16300</v>
      </c>
      <c r="B6392" t="s">
        <v>16301</v>
      </c>
      <c r="C6392" t="s">
        <v>16199</v>
      </c>
      <c r="D6392" t="s">
        <v>16199</v>
      </c>
      <c r="E6392" t="s">
        <v>16206</v>
      </c>
    </row>
    <row r="6393" spans="1:5" x14ac:dyDescent="0.2">
      <c r="A6393" t="s">
        <v>16302</v>
      </c>
      <c r="B6393" t="s">
        <v>16303</v>
      </c>
      <c r="C6393" t="s">
        <v>16199</v>
      </c>
      <c r="D6393" t="s">
        <v>16199</v>
      </c>
      <c r="E6393" t="s">
        <v>16211</v>
      </c>
    </row>
    <row r="6394" spans="1:5" x14ac:dyDescent="0.2">
      <c r="A6394" t="s">
        <v>16304</v>
      </c>
      <c r="B6394" t="s">
        <v>16305</v>
      </c>
      <c r="C6394" t="s">
        <v>16199</v>
      </c>
      <c r="D6394" t="s">
        <v>16199</v>
      </c>
      <c r="E6394" t="s">
        <v>16211</v>
      </c>
    </row>
    <row r="6395" spans="1:5" x14ac:dyDescent="0.2">
      <c r="A6395" t="s">
        <v>16306</v>
      </c>
      <c r="B6395" t="s">
        <v>16307</v>
      </c>
      <c r="C6395" t="s">
        <v>16199</v>
      </c>
      <c r="D6395" t="s">
        <v>16199</v>
      </c>
      <c r="E6395" t="s">
        <v>16206</v>
      </c>
    </row>
    <row r="6396" spans="1:5" x14ac:dyDescent="0.2">
      <c r="A6396" t="s">
        <v>16308</v>
      </c>
      <c r="B6396" t="s">
        <v>16309</v>
      </c>
      <c r="C6396" t="s">
        <v>16199</v>
      </c>
      <c r="D6396" t="s">
        <v>16199</v>
      </c>
      <c r="E6396" t="s">
        <v>16310</v>
      </c>
    </row>
    <row r="6397" spans="1:5" x14ac:dyDescent="0.2">
      <c r="A6397" t="s">
        <v>16311</v>
      </c>
      <c r="B6397" t="s">
        <v>16312</v>
      </c>
      <c r="C6397" t="s">
        <v>16199</v>
      </c>
      <c r="D6397" t="s">
        <v>16199</v>
      </c>
      <c r="E6397" t="s">
        <v>16234</v>
      </c>
    </row>
    <row r="6398" spans="1:5" x14ac:dyDescent="0.2">
      <c r="A6398" t="s">
        <v>16313</v>
      </c>
      <c r="B6398" t="s">
        <v>16314</v>
      </c>
      <c r="C6398" t="s">
        <v>16199</v>
      </c>
      <c r="D6398" t="s">
        <v>16199</v>
      </c>
      <c r="E6398" t="s">
        <v>16203</v>
      </c>
    </row>
    <row r="6399" spans="1:5" x14ac:dyDescent="0.2">
      <c r="A6399" t="s">
        <v>16315</v>
      </c>
      <c r="B6399" t="s">
        <v>16316</v>
      </c>
      <c r="C6399" t="s">
        <v>16199</v>
      </c>
      <c r="D6399" t="s">
        <v>16199</v>
      </c>
      <c r="E6399" t="s">
        <v>16203</v>
      </c>
    </row>
    <row r="6400" spans="1:5" x14ac:dyDescent="0.2">
      <c r="A6400" t="s">
        <v>16317</v>
      </c>
      <c r="B6400" t="s">
        <v>16318</v>
      </c>
      <c r="C6400" t="s">
        <v>16199</v>
      </c>
      <c r="D6400" t="s">
        <v>16199</v>
      </c>
      <c r="E6400" t="s">
        <v>16211</v>
      </c>
    </row>
    <row r="6401" spans="1:5" x14ac:dyDescent="0.2">
      <c r="A6401" t="s">
        <v>16319</v>
      </c>
      <c r="B6401" t="s">
        <v>16320</v>
      </c>
      <c r="C6401" t="s">
        <v>16199</v>
      </c>
      <c r="D6401" t="s">
        <v>16199</v>
      </c>
      <c r="E6401" t="s">
        <v>16203</v>
      </c>
    </row>
    <row r="6402" spans="1:5" x14ac:dyDescent="0.2">
      <c r="A6402" t="s">
        <v>16321</v>
      </c>
      <c r="B6402" t="s">
        <v>16322</v>
      </c>
      <c r="C6402" t="s">
        <v>16199</v>
      </c>
      <c r="D6402" t="s">
        <v>16199</v>
      </c>
      <c r="E6402" t="s">
        <v>16206</v>
      </c>
    </row>
    <row r="6403" spans="1:5" x14ac:dyDescent="0.2">
      <c r="A6403" t="s">
        <v>16323</v>
      </c>
      <c r="B6403" t="s">
        <v>16324</v>
      </c>
      <c r="C6403" t="s">
        <v>16199</v>
      </c>
      <c r="D6403" t="s">
        <v>16199</v>
      </c>
      <c r="E6403" t="s">
        <v>16206</v>
      </c>
    </row>
    <row r="6404" spans="1:5" x14ac:dyDescent="0.2">
      <c r="A6404" t="s">
        <v>16325</v>
      </c>
      <c r="B6404" t="s">
        <v>16326</v>
      </c>
      <c r="C6404" t="s">
        <v>16199</v>
      </c>
      <c r="D6404" t="s">
        <v>16199</v>
      </c>
      <c r="E6404" t="s">
        <v>16218</v>
      </c>
    </row>
    <row r="6405" spans="1:5" x14ac:dyDescent="0.2">
      <c r="A6405" t="s">
        <v>16327</v>
      </c>
      <c r="B6405" t="s">
        <v>16328</v>
      </c>
      <c r="C6405" t="s">
        <v>16199</v>
      </c>
      <c r="D6405" t="s">
        <v>16199</v>
      </c>
      <c r="E6405" t="s">
        <v>16206</v>
      </c>
    </row>
    <row r="6406" spans="1:5" x14ac:dyDescent="0.2">
      <c r="A6406" t="s">
        <v>16329</v>
      </c>
      <c r="B6406" t="s">
        <v>16330</v>
      </c>
      <c r="C6406" t="s">
        <v>16199</v>
      </c>
      <c r="D6406" t="s">
        <v>16199</v>
      </c>
      <c r="E6406" t="s">
        <v>16290</v>
      </c>
    </row>
    <row r="6407" spans="1:5" x14ac:dyDescent="0.2">
      <c r="A6407" t="s">
        <v>16331</v>
      </c>
      <c r="B6407" t="s">
        <v>16332</v>
      </c>
      <c r="C6407" t="s">
        <v>16199</v>
      </c>
      <c r="D6407" t="s">
        <v>16199</v>
      </c>
      <c r="E6407" t="s">
        <v>16206</v>
      </c>
    </row>
    <row r="6408" spans="1:5" x14ac:dyDescent="0.2">
      <c r="A6408" t="s">
        <v>16333</v>
      </c>
      <c r="B6408" t="s">
        <v>16334</v>
      </c>
      <c r="C6408" t="s">
        <v>16199</v>
      </c>
      <c r="D6408" t="s">
        <v>16199</v>
      </c>
      <c r="E6408" t="s">
        <v>16211</v>
      </c>
    </row>
    <row r="6409" spans="1:5" x14ac:dyDescent="0.2">
      <c r="A6409" t="s">
        <v>16335</v>
      </c>
      <c r="B6409" t="s">
        <v>16336</v>
      </c>
      <c r="C6409" t="s">
        <v>16199</v>
      </c>
      <c r="D6409" t="s">
        <v>16199</v>
      </c>
      <c r="E6409" t="s">
        <v>16211</v>
      </c>
    </row>
    <row r="6410" spans="1:5" x14ac:dyDescent="0.2">
      <c r="A6410" t="s">
        <v>16337</v>
      </c>
      <c r="B6410" t="s">
        <v>16338</v>
      </c>
      <c r="C6410" t="s">
        <v>16199</v>
      </c>
      <c r="D6410" t="s">
        <v>16199</v>
      </c>
      <c r="E6410" t="s">
        <v>16211</v>
      </c>
    </row>
    <row r="6411" spans="1:5" x14ac:dyDescent="0.2">
      <c r="A6411" t="s">
        <v>16339</v>
      </c>
      <c r="B6411" t="s">
        <v>16340</v>
      </c>
      <c r="C6411" t="s">
        <v>16199</v>
      </c>
      <c r="D6411" t="s">
        <v>16199</v>
      </c>
      <c r="E6411" t="s">
        <v>16234</v>
      </c>
    </row>
    <row r="6412" spans="1:5" x14ac:dyDescent="0.2">
      <c r="A6412" t="s">
        <v>16341</v>
      </c>
      <c r="B6412" t="s">
        <v>16342</v>
      </c>
      <c r="C6412" t="s">
        <v>16199</v>
      </c>
      <c r="D6412" t="s">
        <v>16199</v>
      </c>
      <c r="E6412" t="s">
        <v>16211</v>
      </c>
    </row>
    <row r="6413" spans="1:5" x14ac:dyDescent="0.2">
      <c r="A6413" t="s">
        <v>16343</v>
      </c>
      <c r="B6413" t="s">
        <v>16344</v>
      </c>
      <c r="C6413" t="s">
        <v>16199</v>
      </c>
      <c r="D6413" t="s">
        <v>16199</v>
      </c>
      <c r="E6413" t="s">
        <v>16203</v>
      </c>
    </row>
    <row r="6414" spans="1:5" x14ac:dyDescent="0.2">
      <c r="A6414" t="s">
        <v>16345</v>
      </c>
      <c r="B6414" t="s">
        <v>16346</v>
      </c>
      <c r="C6414" t="s">
        <v>16199</v>
      </c>
      <c r="D6414" t="s">
        <v>16199</v>
      </c>
      <c r="E6414" t="s">
        <v>16203</v>
      </c>
    </row>
    <row r="6415" spans="1:5" x14ac:dyDescent="0.2">
      <c r="A6415" t="s">
        <v>16347</v>
      </c>
      <c r="B6415" t="s">
        <v>16348</v>
      </c>
      <c r="C6415" t="s">
        <v>16199</v>
      </c>
      <c r="D6415" t="s">
        <v>16199</v>
      </c>
      <c r="E6415" t="s">
        <v>16206</v>
      </c>
    </row>
    <row r="6416" spans="1:5" x14ac:dyDescent="0.2">
      <c r="A6416" t="s">
        <v>16349</v>
      </c>
      <c r="B6416" t="s">
        <v>16350</v>
      </c>
      <c r="C6416" t="s">
        <v>16199</v>
      </c>
      <c r="D6416" t="s">
        <v>16199</v>
      </c>
      <c r="E6416" t="s">
        <v>16351</v>
      </c>
    </row>
    <row r="6417" spans="1:5" x14ac:dyDescent="0.2">
      <c r="A6417" t="s">
        <v>16352</v>
      </c>
      <c r="B6417" t="s">
        <v>16353</v>
      </c>
      <c r="C6417" t="s">
        <v>16199</v>
      </c>
      <c r="D6417" t="s">
        <v>16199</v>
      </c>
      <c r="E6417" t="s">
        <v>16206</v>
      </c>
    </row>
    <row r="6418" spans="1:5" x14ac:dyDescent="0.2">
      <c r="A6418" t="s">
        <v>16354</v>
      </c>
      <c r="B6418" t="s">
        <v>16355</v>
      </c>
      <c r="C6418" t="s">
        <v>16199</v>
      </c>
      <c r="D6418" t="s">
        <v>16199</v>
      </c>
      <c r="E6418" t="s">
        <v>16203</v>
      </c>
    </row>
    <row r="6419" spans="1:5" x14ac:dyDescent="0.2">
      <c r="A6419" t="s">
        <v>16356</v>
      </c>
      <c r="B6419" t="s">
        <v>16357</v>
      </c>
      <c r="C6419" t="s">
        <v>16199</v>
      </c>
      <c r="D6419" t="s">
        <v>16199</v>
      </c>
      <c r="E6419" t="s">
        <v>16203</v>
      </c>
    </row>
    <row r="6420" spans="1:5" x14ac:dyDescent="0.2">
      <c r="A6420" t="s">
        <v>16358</v>
      </c>
      <c r="B6420" t="s">
        <v>16359</v>
      </c>
      <c r="C6420" t="s">
        <v>16199</v>
      </c>
      <c r="D6420" t="s">
        <v>16199</v>
      </c>
      <c r="E6420" t="s">
        <v>16360</v>
      </c>
    </row>
    <row r="6421" spans="1:5" x14ac:dyDescent="0.2">
      <c r="A6421" t="s">
        <v>16361</v>
      </c>
      <c r="B6421" t="s">
        <v>16362</v>
      </c>
      <c r="C6421" t="s">
        <v>16199</v>
      </c>
      <c r="D6421" t="s">
        <v>16199</v>
      </c>
      <c r="E6421" t="s">
        <v>16363</v>
      </c>
    </row>
    <row r="6422" spans="1:5" x14ac:dyDescent="0.2">
      <c r="A6422" t="s">
        <v>16364</v>
      </c>
      <c r="B6422" t="s">
        <v>16365</v>
      </c>
      <c r="C6422" t="s">
        <v>16199</v>
      </c>
      <c r="D6422" t="s">
        <v>16199</v>
      </c>
      <c r="E6422" t="s">
        <v>16203</v>
      </c>
    </row>
    <row r="6423" spans="1:5" x14ac:dyDescent="0.2">
      <c r="A6423" t="s">
        <v>16366</v>
      </c>
      <c r="B6423" t="s">
        <v>16367</v>
      </c>
      <c r="C6423" t="s">
        <v>16199</v>
      </c>
      <c r="D6423" t="s">
        <v>16199</v>
      </c>
      <c r="E6423" t="s">
        <v>16368</v>
      </c>
    </row>
    <row r="6424" spans="1:5" x14ac:dyDescent="0.2">
      <c r="A6424" t="s">
        <v>16369</v>
      </c>
      <c r="B6424" t="s">
        <v>16370</v>
      </c>
      <c r="C6424" t="s">
        <v>16199</v>
      </c>
      <c r="D6424" t="s">
        <v>16199</v>
      </c>
      <c r="E6424" t="s">
        <v>16368</v>
      </c>
    </row>
    <row r="6425" spans="1:5" x14ac:dyDescent="0.2">
      <c r="A6425" t="s">
        <v>16371</v>
      </c>
      <c r="B6425" t="s">
        <v>16372</v>
      </c>
      <c r="C6425" t="s">
        <v>16199</v>
      </c>
      <c r="D6425" t="s">
        <v>16199</v>
      </c>
      <c r="E6425" t="s">
        <v>16200</v>
      </c>
    </row>
    <row r="6426" spans="1:5" x14ac:dyDescent="0.2">
      <c r="A6426" t="s">
        <v>16373</v>
      </c>
      <c r="B6426" t="s">
        <v>16374</v>
      </c>
      <c r="C6426" t="s">
        <v>16199</v>
      </c>
      <c r="D6426" t="s">
        <v>16199</v>
      </c>
      <c r="E6426" t="s">
        <v>16375</v>
      </c>
    </row>
    <row r="6427" spans="1:5" x14ac:dyDescent="0.2">
      <c r="A6427" t="s">
        <v>16376</v>
      </c>
      <c r="B6427" t="s">
        <v>16377</v>
      </c>
      <c r="C6427" t="s">
        <v>16199</v>
      </c>
      <c r="D6427" t="s">
        <v>16199</v>
      </c>
      <c r="E6427" t="s">
        <v>16211</v>
      </c>
    </row>
    <row r="6428" spans="1:5" x14ac:dyDescent="0.2">
      <c r="A6428" t="s">
        <v>16378</v>
      </c>
      <c r="B6428" t="s">
        <v>16379</v>
      </c>
      <c r="C6428" t="s">
        <v>16199</v>
      </c>
      <c r="D6428" t="s">
        <v>16199</v>
      </c>
      <c r="E6428" t="s">
        <v>16203</v>
      </c>
    </row>
    <row r="6429" spans="1:5" x14ac:dyDescent="0.2">
      <c r="A6429" t="s">
        <v>16380</v>
      </c>
      <c r="B6429" t="s">
        <v>16381</v>
      </c>
      <c r="C6429" t="s">
        <v>16199</v>
      </c>
      <c r="D6429" t="s">
        <v>16199</v>
      </c>
      <c r="E6429" t="s">
        <v>16203</v>
      </c>
    </row>
    <row r="6430" spans="1:5" x14ac:dyDescent="0.2">
      <c r="A6430" t="s">
        <v>16382</v>
      </c>
      <c r="B6430" t="s">
        <v>16383</v>
      </c>
      <c r="C6430" t="s">
        <v>16199</v>
      </c>
      <c r="D6430" t="s">
        <v>16199</v>
      </c>
      <c r="E6430" t="s">
        <v>16384</v>
      </c>
    </row>
    <row r="6431" spans="1:5" x14ac:dyDescent="0.2">
      <c r="A6431" t="s">
        <v>16385</v>
      </c>
      <c r="B6431" t="s">
        <v>16386</v>
      </c>
      <c r="C6431" t="s">
        <v>16387</v>
      </c>
      <c r="D6431" t="s">
        <v>16387</v>
      </c>
      <c r="E6431" t="s">
        <v>16388</v>
      </c>
    </row>
    <row r="6432" spans="1:5" x14ac:dyDescent="0.2">
      <c r="A6432" t="s">
        <v>16389</v>
      </c>
      <c r="B6432" t="s">
        <v>16390</v>
      </c>
      <c r="C6432" t="s">
        <v>16387</v>
      </c>
      <c r="D6432" t="s">
        <v>16387</v>
      </c>
      <c r="E6432" t="s">
        <v>16391</v>
      </c>
    </row>
    <row r="6433" spans="1:5" x14ac:dyDescent="0.2">
      <c r="A6433" t="s">
        <v>16392</v>
      </c>
      <c r="B6433" t="s">
        <v>16393</v>
      </c>
      <c r="C6433" t="s">
        <v>16387</v>
      </c>
      <c r="D6433" t="s">
        <v>16387</v>
      </c>
      <c r="E6433" t="s">
        <v>16394</v>
      </c>
    </row>
    <row r="6434" spans="1:5" x14ac:dyDescent="0.2">
      <c r="A6434" t="s">
        <v>16395</v>
      </c>
      <c r="B6434" t="s">
        <v>16396</v>
      </c>
      <c r="C6434" t="s">
        <v>16387</v>
      </c>
      <c r="D6434" t="s">
        <v>16387</v>
      </c>
      <c r="E6434" t="s">
        <v>16391</v>
      </c>
    </row>
    <row r="6435" spans="1:5" x14ac:dyDescent="0.2">
      <c r="A6435" t="s">
        <v>16397</v>
      </c>
      <c r="B6435" t="s">
        <v>16398</v>
      </c>
      <c r="C6435" t="s">
        <v>16387</v>
      </c>
      <c r="D6435" t="s">
        <v>16387</v>
      </c>
      <c r="E6435" t="s">
        <v>16399</v>
      </c>
    </row>
    <row r="6436" spans="1:5" x14ac:dyDescent="0.2">
      <c r="A6436" t="s">
        <v>16400</v>
      </c>
      <c r="B6436" t="s">
        <v>16401</v>
      </c>
      <c r="C6436" t="s">
        <v>16387</v>
      </c>
      <c r="D6436" t="s">
        <v>16387</v>
      </c>
      <c r="E6436" t="s">
        <v>16402</v>
      </c>
    </row>
    <row r="6437" spans="1:5" x14ac:dyDescent="0.2">
      <c r="A6437" t="s">
        <v>16403</v>
      </c>
      <c r="B6437" t="s">
        <v>16404</v>
      </c>
      <c r="C6437" t="s">
        <v>16387</v>
      </c>
      <c r="D6437" t="s">
        <v>16387</v>
      </c>
      <c r="E6437" t="s">
        <v>16405</v>
      </c>
    </row>
    <row r="6438" spans="1:5" x14ac:dyDescent="0.2">
      <c r="A6438" t="s">
        <v>16406</v>
      </c>
      <c r="B6438" t="s">
        <v>16407</v>
      </c>
      <c r="C6438" t="s">
        <v>16387</v>
      </c>
      <c r="D6438" t="s">
        <v>16387</v>
      </c>
      <c r="E6438" t="s">
        <v>16388</v>
      </c>
    </row>
    <row r="6439" spans="1:5" x14ac:dyDescent="0.2">
      <c r="A6439" t="s">
        <v>16408</v>
      </c>
      <c r="B6439" t="s">
        <v>16409</v>
      </c>
      <c r="C6439" t="s">
        <v>16387</v>
      </c>
      <c r="D6439" t="s">
        <v>16387</v>
      </c>
      <c r="E6439" t="s">
        <v>16410</v>
      </c>
    </row>
    <row r="6440" spans="1:5" x14ac:dyDescent="0.2">
      <c r="A6440" t="s">
        <v>16411</v>
      </c>
      <c r="B6440" t="s">
        <v>16412</v>
      </c>
      <c r="C6440" t="s">
        <v>16387</v>
      </c>
      <c r="D6440" t="s">
        <v>16387</v>
      </c>
      <c r="E6440" t="s">
        <v>16391</v>
      </c>
    </row>
    <row r="6441" spans="1:5" x14ac:dyDescent="0.2">
      <c r="A6441" t="s">
        <v>16413</v>
      </c>
      <c r="B6441" t="s">
        <v>16414</v>
      </c>
      <c r="C6441" t="s">
        <v>16387</v>
      </c>
      <c r="D6441" t="s">
        <v>16387</v>
      </c>
      <c r="E6441" t="s">
        <v>16415</v>
      </c>
    </row>
    <row r="6442" spans="1:5" x14ac:dyDescent="0.2">
      <c r="A6442" t="s">
        <v>16416</v>
      </c>
      <c r="B6442" t="s">
        <v>16417</v>
      </c>
      <c r="C6442" t="s">
        <v>16387</v>
      </c>
      <c r="D6442" t="s">
        <v>16387</v>
      </c>
      <c r="E6442" t="s">
        <v>16418</v>
      </c>
    </row>
    <row r="6443" spans="1:5" x14ac:dyDescent="0.2">
      <c r="A6443" t="s">
        <v>16419</v>
      </c>
      <c r="B6443" t="s">
        <v>16420</v>
      </c>
      <c r="C6443" t="s">
        <v>16387</v>
      </c>
      <c r="D6443" t="s">
        <v>16387</v>
      </c>
      <c r="E6443" t="s">
        <v>16421</v>
      </c>
    </row>
    <row r="6444" spans="1:5" x14ac:dyDescent="0.2">
      <c r="A6444" t="s">
        <v>16422</v>
      </c>
      <c r="B6444" t="s">
        <v>16423</v>
      </c>
      <c r="C6444" t="s">
        <v>16387</v>
      </c>
      <c r="D6444" t="s">
        <v>16387</v>
      </c>
      <c r="E6444" t="s">
        <v>16424</v>
      </c>
    </row>
    <row r="6445" spans="1:5" x14ac:dyDescent="0.2">
      <c r="A6445" t="s">
        <v>16425</v>
      </c>
      <c r="B6445" t="s">
        <v>16426</v>
      </c>
      <c r="C6445" t="s">
        <v>16387</v>
      </c>
      <c r="D6445" t="s">
        <v>16387</v>
      </c>
      <c r="E6445" t="s">
        <v>16388</v>
      </c>
    </row>
    <row r="6446" spans="1:5" x14ac:dyDescent="0.2">
      <c r="A6446" t="s">
        <v>16427</v>
      </c>
      <c r="B6446" t="s">
        <v>16428</v>
      </c>
      <c r="C6446" t="s">
        <v>16387</v>
      </c>
      <c r="D6446" t="s">
        <v>16387</v>
      </c>
      <c r="E6446" t="s">
        <v>16429</v>
      </c>
    </row>
    <row r="6447" spans="1:5" x14ac:dyDescent="0.2">
      <c r="A6447" t="s">
        <v>16430</v>
      </c>
      <c r="B6447" t="s">
        <v>16431</v>
      </c>
      <c r="C6447" t="s">
        <v>16387</v>
      </c>
      <c r="D6447" t="s">
        <v>16387</v>
      </c>
      <c r="E6447" t="s">
        <v>16391</v>
      </c>
    </row>
    <row r="6448" spans="1:5" x14ac:dyDescent="0.2">
      <c r="A6448" t="s">
        <v>16432</v>
      </c>
      <c r="B6448" t="s">
        <v>16433</v>
      </c>
      <c r="C6448" t="s">
        <v>16387</v>
      </c>
      <c r="D6448" t="s">
        <v>16387</v>
      </c>
      <c r="E6448" t="s">
        <v>16434</v>
      </c>
    </row>
    <row r="6449" spans="1:5" x14ac:dyDescent="0.2">
      <c r="A6449" t="s">
        <v>16435</v>
      </c>
      <c r="B6449" t="s">
        <v>16436</v>
      </c>
      <c r="C6449" t="s">
        <v>16387</v>
      </c>
      <c r="D6449" t="s">
        <v>16387</v>
      </c>
      <c r="E6449" t="s">
        <v>16394</v>
      </c>
    </row>
    <row r="6450" spans="1:5" x14ac:dyDescent="0.2">
      <c r="A6450" t="s">
        <v>16437</v>
      </c>
      <c r="B6450" t="s">
        <v>16438</v>
      </c>
      <c r="C6450" t="s">
        <v>16387</v>
      </c>
      <c r="D6450" t="s">
        <v>16387</v>
      </c>
      <c r="E6450" t="s">
        <v>16391</v>
      </c>
    </row>
    <row r="6451" spans="1:5" x14ac:dyDescent="0.2">
      <c r="A6451" t="s">
        <v>16439</v>
      </c>
      <c r="B6451" t="s">
        <v>16440</v>
      </c>
      <c r="C6451" t="s">
        <v>16387</v>
      </c>
      <c r="D6451" t="s">
        <v>16387</v>
      </c>
      <c r="E6451" t="s">
        <v>16388</v>
      </c>
    </row>
    <row r="6452" spans="1:5" x14ac:dyDescent="0.2">
      <c r="A6452" t="s">
        <v>16441</v>
      </c>
      <c r="B6452" t="s">
        <v>16442</v>
      </c>
      <c r="C6452" t="s">
        <v>16387</v>
      </c>
      <c r="D6452" t="s">
        <v>16387</v>
      </c>
      <c r="E6452" t="s">
        <v>16402</v>
      </c>
    </row>
    <row r="6453" spans="1:5" x14ac:dyDescent="0.2">
      <c r="A6453" t="s">
        <v>16443</v>
      </c>
      <c r="B6453" t="s">
        <v>16444</v>
      </c>
      <c r="C6453" t="s">
        <v>16387</v>
      </c>
      <c r="D6453" t="s">
        <v>16387</v>
      </c>
      <c r="E6453" t="s">
        <v>16388</v>
      </c>
    </row>
    <row r="6454" spans="1:5" x14ac:dyDescent="0.2">
      <c r="A6454" t="s">
        <v>16445</v>
      </c>
      <c r="B6454" t="s">
        <v>16446</v>
      </c>
      <c r="C6454" t="s">
        <v>16387</v>
      </c>
      <c r="D6454" t="s">
        <v>16387</v>
      </c>
      <c r="E6454" t="s">
        <v>16388</v>
      </c>
    </row>
    <row r="6455" spans="1:5" x14ac:dyDescent="0.2">
      <c r="A6455" t="s">
        <v>16447</v>
      </c>
      <c r="B6455" t="s">
        <v>16448</v>
      </c>
      <c r="C6455" t="s">
        <v>16387</v>
      </c>
      <c r="D6455" t="s">
        <v>16387</v>
      </c>
      <c r="E6455" t="s">
        <v>16449</v>
      </c>
    </row>
    <row r="6456" spans="1:5" x14ac:dyDescent="0.2">
      <c r="A6456" t="s">
        <v>16450</v>
      </c>
      <c r="B6456" t="s">
        <v>16451</v>
      </c>
      <c r="C6456" t="s">
        <v>16387</v>
      </c>
      <c r="D6456" t="s">
        <v>16387</v>
      </c>
      <c r="E6456" t="s">
        <v>16391</v>
      </c>
    </row>
    <row r="6457" spans="1:5" x14ac:dyDescent="0.2">
      <c r="A6457" t="s">
        <v>16452</v>
      </c>
      <c r="B6457" t="s">
        <v>16453</v>
      </c>
      <c r="C6457" t="s">
        <v>16387</v>
      </c>
      <c r="D6457" t="s">
        <v>16387</v>
      </c>
      <c r="E6457" t="s">
        <v>16454</v>
      </c>
    </row>
    <row r="6458" spans="1:5" x14ac:dyDescent="0.2">
      <c r="A6458" t="s">
        <v>16455</v>
      </c>
      <c r="B6458" t="s">
        <v>16456</v>
      </c>
      <c r="C6458" t="s">
        <v>16387</v>
      </c>
      <c r="D6458" t="s">
        <v>16387</v>
      </c>
      <c r="E6458" t="s">
        <v>16457</v>
      </c>
    </row>
    <row r="6459" spans="1:5" x14ac:dyDescent="0.2">
      <c r="A6459" t="s">
        <v>16458</v>
      </c>
      <c r="B6459" t="s">
        <v>16459</v>
      </c>
      <c r="C6459" t="s">
        <v>16387</v>
      </c>
      <c r="D6459" t="s">
        <v>16387</v>
      </c>
      <c r="E6459" t="s">
        <v>16388</v>
      </c>
    </row>
    <row r="6460" spans="1:5" x14ac:dyDescent="0.2">
      <c r="A6460" t="s">
        <v>16460</v>
      </c>
      <c r="B6460" t="s">
        <v>16461</v>
      </c>
      <c r="C6460" t="s">
        <v>16387</v>
      </c>
      <c r="D6460" t="s">
        <v>16387</v>
      </c>
      <c r="E6460" t="s">
        <v>16429</v>
      </c>
    </row>
    <row r="6461" spans="1:5" x14ac:dyDescent="0.2">
      <c r="A6461" t="s">
        <v>16462</v>
      </c>
      <c r="B6461" t="s">
        <v>16463</v>
      </c>
      <c r="C6461" t="s">
        <v>16387</v>
      </c>
      <c r="D6461" t="s">
        <v>16387</v>
      </c>
      <c r="E6461" t="s">
        <v>16464</v>
      </c>
    </row>
    <row r="6462" spans="1:5" x14ac:dyDescent="0.2">
      <c r="A6462" t="s">
        <v>16465</v>
      </c>
      <c r="B6462" t="s">
        <v>16466</v>
      </c>
      <c r="C6462" t="s">
        <v>16387</v>
      </c>
      <c r="D6462" t="s">
        <v>16387</v>
      </c>
      <c r="E6462" t="s">
        <v>16429</v>
      </c>
    </row>
    <row r="6463" spans="1:5" x14ac:dyDescent="0.2">
      <c r="A6463" t="s">
        <v>16467</v>
      </c>
      <c r="B6463" t="s">
        <v>16468</v>
      </c>
      <c r="C6463" t="s">
        <v>16387</v>
      </c>
      <c r="D6463" t="s">
        <v>16387</v>
      </c>
      <c r="E6463" t="s">
        <v>16388</v>
      </c>
    </row>
    <row r="6464" spans="1:5" x14ac:dyDescent="0.2">
      <c r="A6464" t="s">
        <v>16469</v>
      </c>
      <c r="B6464" t="s">
        <v>16470</v>
      </c>
      <c r="C6464" t="s">
        <v>16387</v>
      </c>
      <c r="D6464" t="s">
        <v>16387</v>
      </c>
      <c r="E6464" t="s">
        <v>16429</v>
      </c>
    </row>
    <row r="6465" spans="1:5" x14ac:dyDescent="0.2">
      <c r="A6465" t="s">
        <v>16471</v>
      </c>
      <c r="B6465" t="s">
        <v>16472</v>
      </c>
      <c r="C6465" t="s">
        <v>16387</v>
      </c>
      <c r="D6465" t="s">
        <v>16387</v>
      </c>
      <c r="E6465" t="s">
        <v>16473</v>
      </c>
    </row>
    <row r="6466" spans="1:5" x14ac:dyDescent="0.2">
      <c r="A6466" t="s">
        <v>16474</v>
      </c>
      <c r="B6466" t="s">
        <v>16475</v>
      </c>
      <c r="C6466" t="s">
        <v>16387</v>
      </c>
      <c r="D6466" t="s">
        <v>16387</v>
      </c>
      <c r="E6466" t="s">
        <v>16391</v>
      </c>
    </row>
    <row r="6467" spans="1:5" x14ac:dyDescent="0.2">
      <c r="A6467" t="s">
        <v>16476</v>
      </c>
      <c r="B6467" t="s">
        <v>16477</v>
      </c>
      <c r="C6467" t="s">
        <v>16387</v>
      </c>
      <c r="D6467" t="s">
        <v>16387</v>
      </c>
      <c r="E6467" t="s">
        <v>16394</v>
      </c>
    </row>
    <row r="6468" spans="1:5" x14ac:dyDescent="0.2">
      <c r="A6468" t="s">
        <v>16478</v>
      </c>
      <c r="B6468" t="s">
        <v>16479</v>
      </c>
      <c r="C6468" t="s">
        <v>16387</v>
      </c>
      <c r="D6468" t="s">
        <v>16387</v>
      </c>
      <c r="E6468" t="s">
        <v>16480</v>
      </c>
    </row>
    <row r="6469" spans="1:5" x14ac:dyDescent="0.2">
      <c r="A6469" t="s">
        <v>16481</v>
      </c>
      <c r="B6469" t="s">
        <v>16482</v>
      </c>
      <c r="C6469" t="s">
        <v>16387</v>
      </c>
      <c r="D6469" t="s">
        <v>16387</v>
      </c>
      <c r="E6469" t="s">
        <v>16483</v>
      </c>
    </row>
    <row r="6470" spans="1:5" x14ac:dyDescent="0.2">
      <c r="A6470" t="s">
        <v>16484</v>
      </c>
      <c r="B6470" t="s">
        <v>16485</v>
      </c>
      <c r="C6470" t="s">
        <v>16387</v>
      </c>
      <c r="D6470" t="s">
        <v>16387</v>
      </c>
      <c r="E6470" t="s">
        <v>16486</v>
      </c>
    </row>
    <row r="6471" spans="1:5" x14ac:dyDescent="0.2">
      <c r="A6471" t="s">
        <v>16487</v>
      </c>
      <c r="B6471" t="s">
        <v>16488</v>
      </c>
      <c r="C6471" t="s">
        <v>16387</v>
      </c>
      <c r="D6471" t="s">
        <v>16387</v>
      </c>
      <c r="E6471" t="s">
        <v>16429</v>
      </c>
    </row>
    <row r="6472" spans="1:5" x14ac:dyDescent="0.2">
      <c r="A6472" t="s">
        <v>16489</v>
      </c>
      <c r="B6472" t="s">
        <v>16490</v>
      </c>
      <c r="C6472" t="s">
        <v>16387</v>
      </c>
      <c r="D6472" t="s">
        <v>16387</v>
      </c>
      <c r="E6472" t="s">
        <v>16491</v>
      </c>
    </row>
    <row r="6473" spans="1:5" x14ac:dyDescent="0.2">
      <c r="A6473" t="s">
        <v>16492</v>
      </c>
      <c r="B6473" t="s">
        <v>16493</v>
      </c>
      <c r="C6473" t="s">
        <v>16387</v>
      </c>
      <c r="D6473" t="s">
        <v>16387</v>
      </c>
      <c r="E6473" t="s">
        <v>16494</v>
      </c>
    </row>
    <row r="6474" spans="1:5" x14ac:dyDescent="0.2">
      <c r="A6474" t="s">
        <v>16495</v>
      </c>
      <c r="B6474" t="s">
        <v>16496</v>
      </c>
      <c r="C6474" t="s">
        <v>16387</v>
      </c>
      <c r="D6474" t="s">
        <v>16387</v>
      </c>
      <c r="E6474" t="s">
        <v>16497</v>
      </c>
    </row>
    <row r="6475" spans="1:5" x14ac:dyDescent="0.2">
      <c r="A6475" t="s">
        <v>16498</v>
      </c>
      <c r="B6475" t="s">
        <v>16499</v>
      </c>
      <c r="C6475" t="s">
        <v>16387</v>
      </c>
      <c r="D6475" t="s">
        <v>16387</v>
      </c>
      <c r="E6475" t="s">
        <v>16500</v>
      </c>
    </row>
    <row r="6476" spans="1:5" x14ac:dyDescent="0.2">
      <c r="A6476" t="s">
        <v>16501</v>
      </c>
      <c r="B6476" t="s">
        <v>16502</v>
      </c>
      <c r="C6476" t="s">
        <v>16387</v>
      </c>
      <c r="D6476" t="s">
        <v>16387</v>
      </c>
      <c r="E6476" t="s">
        <v>16394</v>
      </c>
    </row>
    <row r="6477" spans="1:5" x14ac:dyDescent="0.2">
      <c r="A6477" t="s">
        <v>16503</v>
      </c>
      <c r="B6477" t="s">
        <v>16504</v>
      </c>
      <c r="C6477" t="s">
        <v>16387</v>
      </c>
      <c r="D6477" t="s">
        <v>16387</v>
      </c>
      <c r="E6477" t="s">
        <v>16391</v>
      </c>
    </row>
    <row r="6478" spans="1:5" x14ac:dyDescent="0.2">
      <c r="A6478" t="s">
        <v>16505</v>
      </c>
      <c r="B6478" t="s">
        <v>16506</v>
      </c>
      <c r="C6478" t="s">
        <v>16387</v>
      </c>
      <c r="D6478" t="s">
        <v>16387</v>
      </c>
      <c r="E6478" t="s">
        <v>16394</v>
      </c>
    </row>
    <row r="6479" spans="1:5" x14ac:dyDescent="0.2">
      <c r="A6479" t="s">
        <v>16507</v>
      </c>
      <c r="B6479" t="s">
        <v>16508</v>
      </c>
      <c r="C6479" t="s">
        <v>16387</v>
      </c>
      <c r="D6479" t="s">
        <v>16387</v>
      </c>
      <c r="E6479" t="s">
        <v>16394</v>
      </c>
    </row>
    <row r="6480" spans="1:5" x14ac:dyDescent="0.2">
      <c r="A6480" t="s">
        <v>16509</v>
      </c>
      <c r="B6480" t="s">
        <v>16510</v>
      </c>
      <c r="C6480" t="s">
        <v>16387</v>
      </c>
      <c r="D6480" t="s">
        <v>16387</v>
      </c>
      <c r="E6480" t="s">
        <v>16511</v>
      </c>
    </row>
    <row r="6481" spans="1:5" x14ac:dyDescent="0.2">
      <c r="A6481" t="s">
        <v>16512</v>
      </c>
      <c r="B6481" t="s">
        <v>16513</v>
      </c>
      <c r="C6481" t="s">
        <v>16387</v>
      </c>
      <c r="D6481" t="s">
        <v>16387</v>
      </c>
      <c r="E6481" t="s">
        <v>16514</v>
      </c>
    </row>
    <row r="6482" spans="1:5" x14ac:dyDescent="0.2">
      <c r="A6482" t="s">
        <v>16515</v>
      </c>
      <c r="B6482" t="s">
        <v>16516</v>
      </c>
      <c r="C6482" t="s">
        <v>16387</v>
      </c>
      <c r="D6482" t="s">
        <v>16387</v>
      </c>
      <c r="E6482" t="s">
        <v>16391</v>
      </c>
    </row>
    <row r="6483" spans="1:5" x14ac:dyDescent="0.2">
      <c r="A6483" t="s">
        <v>16517</v>
      </c>
      <c r="B6483" t="s">
        <v>16518</v>
      </c>
      <c r="C6483" t="s">
        <v>16387</v>
      </c>
      <c r="D6483" t="e">
        <v>#N/A</v>
      </c>
      <c r="E6483" t="e">
        <v>#N/A</v>
      </c>
    </row>
    <row r="6484" spans="1:5" x14ac:dyDescent="0.2">
      <c r="A6484" t="s">
        <v>16519</v>
      </c>
      <c r="B6484" t="s">
        <v>16520</v>
      </c>
      <c r="C6484" t="s">
        <v>16387</v>
      </c>
      <c r="D6484" t="s">
        <v>16387</v>
      </c>
      <c r="E6484" t="s">
        <v>16521</v>
      </c>
    </row>
    <row r="6485" spans="1:5" x14ac:dyDescent="0.2">
      <c r="A6485" t="s">
        <v>16522</v>
      </c>
      <c r="B6485" t="s">
        <v>16523</v>
      </c>
      <c r="C6485" t="s">
        <v>16387</v>
      </c>
      <c r="D6485" t="s">
        <v>16387</v>
      </c>
      <c r="E6485" t="s">
        <v>16524</v>
      </c>
    </row>
    <row r="6486" spans="1:5" x14ac:dyDescent="0.2">
      <c r="A6486" t="s">
        <v>16525</v>
      </c>
      <c r="B6486" t="s">
        <v>16526</v>
      </c>
      <c r="C6486" t="s">
        <v>16387</v>
      </c>
      <c r="D6486" t="s">
        <v>16387</v>
      </c>
      <c r="E6486" t="s">
        <v>16527</v>
      </c>
    </row>
    <row r="6487" spans="1:5" x14ac:dyDescent="0.2">
      <c r="A6487" t="s">
        <v>16528</v>
      </c>
      <c r="B6487" t="s">
        <v>16529</v>
      </c>
      <c r="C6487" t="s">
        <v>16387</v>
      </c>
      <c r="D6487" t="s">
        <v>16387</v>
      </c>
      <c r="E6487" t="s">
        <v>16530</v>
      </c>
    </row>
    <row r="6488" spans="1:5" x14ac:dyDescent="0.2">
      <c r="A6488" t="s">
        <v>16531</v>
      </c>
      <c r="B6488" t="s">
        <v>16532</v>
      </c>
      <c r="C6488" t="s">
        <v>16387</v>
      </c>
      <c r="D6488" t="s">
        <v>16387</v>
      </c>
      <c r="E6488" t="s">
        <v>16391</v>
      </c>
    </row>
    <row r="6489" spans="1:5" x14ac:dyDescent="0.2">
      <c r="A6489" t="s">
        <v>16533</v>
      </c>
      <c r="B6489" t="s">
        <v>16534</v>
      </c>
      <c r="C6489" t="s">
        <v>16387</v>
      </c>
      <c r="D6489" t="s">
        <v>16387</v>
      </c>
      <c r="E6489" t="s">
        <v>16391</v>
      </c>
    </row>
    <row r="6490" spans="1:5" x14ac:dyDescent="0.2">
      <c r="A6490" t="s">
        <v>16535</v>
      </c>
      <c r="B6490" t="s">
        <v>16536</v>
      </c>
      <c r="C6490" t="s">
        <v>16387</v>
      </c>
      <c r="D6490" t="s">
        <v>16387</v>
      </c>
      <c r="E6490" t="s">
        <v>16537</v>
      </c>
    </row>
    <row r="6491" spans="1:5" x14ac:dyDescent="0.2">
      <c r="A6491" t="s">
        <v>16538</v>
      </c>
      <c r="B6491" t="s">
        <v>16539</v>
      </c>
      <c r="C6491" t="s">
        <v>16387</v>
      </c>
      <c r="D6491" t="s">
        <v>16387</v>
      </c>
      <c r="E6491" t="s">
        <v>16540</v>
      </c>
    </row>
    <row r="6492" spans="1:5" x14ac:dyDescent="0.2">
      <c r="A6492" t="s">
        <v>16541</v>
      </c>
      <c r="B6492" t="s">
        <v>16542</v>
      </c>
      <c r="C6492" t="s">
        <v>16387</v>
      </c>
      <c r="D6492" t="s">
        <v>16387</v>
      </c>
      <c r="E6492" t="s">
        <v>16391</v>
      </c>
    </row>
    <row r="6493" spans="1:5" x14ac:dyDescent="0.2">
      <c r="A6493" t="s">
        <v>16543</v>
      </c>
      <c r="B6493" t="s">
        <v>16544</v>
      </c>
      <c r="C6493" t="s">
        <v>16387</v>
      </c>
      <c r="D6493" t="e">
        <v>#N/A</v>
      </c>
      <c r="E6493" t="e">
        <v>#N/A</v>
      </c>
    </row>
    <row r="6494" spans="1:5" x14ac:dyDescent="0.2">
      <c r="A6494" t="s">
        <v>16545</v>
      </c>
      <c r="B6494" t="s">
        <v>16546</v>
      </c>
      <c r="C6494" t="s">
        <v>16387</v>
      </c>
      <c r="D6494" t="s">
        <v>16387</v>
      </c>
      <c r="E6494" t="s">
        <v>16391</v>
      </c>
    </row>
    <row r="6495" spans="1:5" x14ac:dyDescent="0.2">
      <c r="A6495" t="s">
        <v>16547</v>
      </c>
      <c r="B6495" t="s">
        <v>16548</v>
      </c>
      <c r="C6495" t="s">
        <v>16387</v>
      </c>
      <c r="D6495" t="s">
        <v>16387</v>
      </c>
      <c r="E6495" t="s">
        <v>16549</v>
      </c>
    </row>
    <row r="6496" spans="1:5" x14ac:dyDescent="0.2">
      <c r="A6496" t="s">
        <v>16550</v>
      </c>
      <c r="B6496" t="s">
        <v>16551</v>
      </c>
      <c r="C6496" t="s">
        <v>16387</v>
      </c>
      <c r="D6496" t="s">
        <v>16387</v>
      </c>
      <c r="E6496" t="s">
        <v>16402</v>
      </c>
    </row>
    <row r="6497" spans="1:5" x14ac:dyDescent="0.2">
      <c r="A6497" t="s">
        <v>16552</v>
      </c>
      <c r="B6497" t="s">
        <v>16553</v>
      </c>
      <c r="C6497" t="s">
        <v>16387</v>
      </c>
      <c r="D6497" t="s">
        <v>16387</v>
      </c>
      <c r="E6497" t="s">
        <v>16554</v>
      </c>
    </row>
    <row r="6498" spans="1:5" x14ac:dyDescent="0.2">
      <c r="A6498" t="s">
        <v>16555</v>
      </c>
      <c r="B6498" t="s">
        <v>16556</v>
      </c>
      <c r="C6498" t="s">
        <v>16387</v>
      </c>
      <c r="D6498" t="s">
        <v>16387</v>
      </c>
      <c r="E6498" t="s">
        <v>16402</v>
      </c>
    </row>
    <row r="6499" spans="1:5" x14ac:dyDescent="0.2">
      <c r="A6499" t="s">
        <v>16557</v>
      </c>
      <c r="B6499" t="s">
        <v>16558</v>
      </c>
      <c r="C6499" t="s">
        <v>16387</v>
      </c>
      <c r="D6499" t="s">
        <v>16387</v>
      </c>
      <c r="E6499" t="s">
        <v>16559</v>
      </c>
    </row>
    <row r="6500" spans="1:5" x14ac:dyDescent="0.2">
      <c r="A6500" t="s">
        <v>16560</v>
      </c>
      <c r="B6500" t="s">
        <v>16561</v>
      </c>
      <c r="C6500" t="s">
        <v>16387</v>
      </c>
      <c r="D6500" t="s">
        <v>16387</v>
      </c>
      <c r="E6500" t="s">
        <v>16388</v>
      </c>
    </row>
    <row r="6501" spans="1:5" x14ac:dyDescent="0.2">
      <c r="A6501" t="s">
        <v>16562</v>
      </c>
      <c r="B6501" t="s">
        <v>16563</v>
      </c>
      <c r="C6501" t="s">
        <v>16387</v>
      </c>
      <c r="D6501" t="s">
        <v>16387</v>
      </c>
      <c r="E6501" t="s">
        <v>16564</v>
      </c>
    </row>
    <row r="6502" spans="1:5" x14ac:dyDescent="0.2">
      <c r="A6502" t="s">
        <v>16565</v>
      </c>
      <c r="B6502" t="s">
        <v>16566</v>
      </c>
      <c r="C6502" t="s">
        <v>16387</v>
      </c>
      <c r="D6502" t="s">
        <v>16387</v>
      </c>
      <c r="E6502" t="s">
        <v>16391</v>
      </c>
    </row>
    <row r="6503" spans="1:5" x14ac:dyDescent="0.2">
      <c r="A6503" t="s">
        <v>16567</v>
      </c>
      <c r="B6503" t="s">
        <v>16568</v>
      </c>
      <c r="C6503" t="s">
        <v>16387</v>
      </c>
      <c r="D6503" t="s">
        <v>16387</v>
      </c>
      <c r="E6503" t="s">
        <v>16569</v>
      </c>
    </row>
    <row r="6504" spans="1:5" x14ac:dyDescent="0.2">
      <c r="A6504" t="s">
        <v>16570</v>
      </c>
      <c r="B6504" t="s">
        <v>16571</v>
      </c>
      <c r="C6504" t="s">
        <v>16387</v>
      </c>
      <c r="D6504" t="s">
        <v>16387</v>
      </c>
      <c r="E6504" t="s">
        <v>16388</v>
      </c>
    </row>
    <row r="6505" spans="1:5" x14ac:dyDescent="0.2">
      <c r="A6505" t="s">
        <v>16572</v>
      </c>
      <c r="B6505" t="s">
        <v>16573</v>
      </c>
      <c r="C6505" t="s">
        <v>16387</v>
      </c>
      <c r="D6505" t="s">
        <v>16387</v>
      </c>
      <c r="E6505" t="s">
        <v>16394</v>
      </c>
    </row>
    <row r="6506" spans="1:5" x14ac:dyDescent="0.2">
      <c r="A6506" t="s">
        <v>16574</v>
      </c>
      <c r="B6506" t="s">
        <v>16575</v>
      </c>
      <c r="C6506" t="s">
        <v>16387</v>
      </c>
      <c r="D6506" t="s">
        <v>16387</v>
      </c>
      <c r="E6506" t="s">
        <v>16394</v>
      </c>
    </row>
    <row r="6507" spans="1:5" x14ac:dyDescent="0.2">
      <c r="A6507" t="s">
        <v>16576</v>
      </c>
      <c r="B6507" t="s">
        <v>16577</v>
      </c>
      <c r="C6507" t="s">
        <v>16387</v>
      </c>
      <c r="D6507" t="s">
        <v>16387</v>
      </c>
      <c r="E6507" t="s">
        <v>16429</v>
      </c>
    </row>
    <row r="6508" spans="1:5" x14ac:dyDescent="0.2">
      <c r="A6508" t="s">
        <v>16578</v>
      </c>
      <c r="B6508" t="s">
        <v>16579</v>
      </c>
      <c r="C6508" t="s">
        <v>16387</v>
      </c>
      <c r="D6508" t="s">
        <v>16387</v>
      </c>
      <c r="E6508" t="s">
        <v>16580</v>
      </c>
    </row>
    <row r="6509" spans="1:5" x14ac:dyDescent="0.2">
      <c r="A6509" t="s">
        <v>16581</v>
      </c>
      <c r="B6509" t="s">
        <v>16582</v>
      </c>
      <c r="C6509" t="s">
        <v>16387</v>
      </c>
      <c r="D6509" t="s">
        <v>16387</v>
      </c>
      <c r="E6509" t="s">
        <v>16388</v>
      </c>
    </row>
    <row r="6510" spans="1:5" x14ac:dyDescent="0.2">
      <c r="A6510" t="s">
        <v>16583</v>
      </c>
      <c r="B6510" t="s">
        <v>16584</v>
      </c>
      <c r="C6510" t="s">
        <v>16387</v>
      </c>
      <c r="D6510" t="s">
        <v>16387</v>
      </c>
      <c r="E6510" t="s">
        <v>16429</v>
      </c>
    </row>
    <row r="6511" spans="1:5" x14ac:dyDescent="0.2">
      <c r="A6511" t="s">
        <v>16585</v>
      </c>
      <c r="B6511" t="s">
        <v>16586</v>
      </c>
      <c r="C6511" t="s">
        <v>16387</v>
      </c>
      <c r="D6511" t="s">
        <v>16387</v>
      </c>
      <c r="E6511" t="s">
        <v>16587</v>
      </c>
    </row>
    <row r="6512" spans="1:5" x14ac:dyDescent="0.2">
      <c r="A6512" t="s">
        <v>16588</v>
      </c>
      <c r="B6512" t="s">
        <v>16589</v>
      </c>
      <c r="C6512" t="s">
        <v>16387</v>
      </c>
      <c r="D6512" t="s">
        <v>16387</v>
      </c>
      <c r="E6512" t="s">
        <v>16391</v>
      </c>
    </row>
    <row r="6513" spans="1:5" x14ac:dyDescent="0.2">
      <c r="A6513" t="s">
        <v>16590</v>
      </c>
      <c r="B6513" t="s">
        <v>16591</v>
      </c>
      <c r="C6513" t="s">
        <v>16387</v>
      </c>
      <c r="D6513" t="s">
        <v>16387</v>
      </c>
      <c r="E6513" t="s">
        <v>16592</v>
      </c>
    </row>
    <row r="6514" spans="1:5" x14ac:dyDescent="0.2">
      <c r="A6514" t="s">
        <v>16593</v>
      </c>
      <c r="B6514" t="s">
        <v>16594</v>
      </c>
      <c r="C6514" t="s">
        <v>16387</v>
      </c>
      <c r="D6514" t="s">
        <v>16387</v>
      </c>
      <c r="E6514" t="s">
        <v>16514</v>
      </c>
    </row>
    <row r="6515" spans="1:5" x14ac:dyDescent="0.2">
      <c r="A6515" t="s">
        <v>16595</v>
      </c>
      <c r="B6515" t="s">
        <v>16596</v>
      </c>
      <c r="C6515" t="s">
        <v>16387</v>
      </c>
      <c r="D6515" t="s">
        <v>16387</v>
      </c>
      <c r="E6515" t="s">
        <v>16597</v>
      </c>
    </row>
    <row r="6516" spans="1:5" x14ac:dyDescent="0.2">
      <c r="A6516" t="s">
        <v>16598</v>
      </c>
      <c r="B6516" t="s">
        <v>16599</v>
      </c>
      <c r="C6516" t="s">
        <v>16387</v>
      </c>
      <c r="D6516" t="s">
        <v>16387</v>
      </c>
      <c r="E6516" t="s">
        <v>16600</v>
      </c>
    </row>
    <row r="6517" spans="1:5" x14ac:dyDescent="0.2">
      <c r="A6517" t="s">
        <v>16601</v>
      </c>
      <c r="B6517" t="s">
        <v>16602</v>
      </c>
      <c r="C6517" t="s">
        <v>16387</v>
      </c>
      <c r="D6517" t="s">
        <v>16387</v>
      </c>
      <c r="E6517" t="s">
        <v>16394</v>
      </c>
    </row>
    <row r="6518" spans="1:5" x14ac:dyDescent="0.2">
      <c r="A6518" t="s">
        <v>16603</v>
      </c>
      <c r="B6518" t="s">
        <v>16604</v>
      </c>
      <c r="C6518" t="s">
        <v>16387</v>
      </c>
      <c r="D6518" t="s">
        <v>16387</v>
      </c>
      <c r="E6518" t="s">
        <v>16605</v>
      </c>
    </row>
    <row r="6519" spans="1:5" x14ac:dyDescent="0.2">
      <c r="A6519" t="s">
        <v>16606</v>
      </c>
      <c r="B6519" t="s">
        <v>16607</v>
      </c>
      <c r="C6519" t="s">
        <v>16387</v>
      </c>
      <c r="D6519" t="s">
        <v>16387</v>
      </c>
      <c r="E6519" t="s">
        <v>16394</v>
      </c>
    </row>
    <row r="6520" spans="1:5" x14ac:dyDescent="0.2">
      <c r="A6520" t="s">
        <v>16608</v>
      </c>
      <c r="B6520" t="s">
        <v>16609</v>
      </c>
      <c r="C6520" t="s">
        <v>16387</v>
      </c>
      <c r="D6520" t="s">
        <v>16387</v>
      </c>
      <c r="E6520" t="s">
        <v>16388</v>
      </c>
    </row>
    <row r="6521" spans="1:5" x14ac:dyDescent="0.2">
      <c r="A6521" t="s">
        <v>16610</v>
      </c>
      <c r="B6521" t="s">
        <v>16611</v>
      </c>
      <c r="C6521" t="s">
        <v>16387</v>
      </c>
      <c r="D6521" t="s">
        <v>16387</v>
      </c>
      <c r="E6521" t="s">
        <v>16391</v>
      </c>
    </row>
    <row r="6522" spans="1:5" x14ac:dyDescent="0.2">
      <c r="A6522" t="s">
        <v>16612</v>
      </c>
      <c r="B6522" t="s">
        <v>16613</v>
      </c>
      <c r="C6522" t="s">
        <v>16387</v>
      </c>
      <c r="D6522" t="s">
        <v>16387</v>
      </c>
      <c r="E6522" t="s">
        <v>16614</v>
      </c>
    </row>
    <row r="6523" spans="1:5" x14ac:dyDescent="0.2">
      <c r="A6523" t="s">
        <v>16615</v>
      </c>
      <c r="B6523" t="s">
        <v>16616</v>
      </c>
      <c r="C6523" t="s">
        <v>16387</v>
      </c>
      <c r="D6523" t="s">
        <v>16387</v>
      </c>
      <c r="E6523" t="s">
        <v>16617</v>
      </c>
    </row>
    <row r="6524" spans="1:5" x14ac:dyDescent="0.2">
      <c r="A6524" t="s">
        <v>16618</v>
      </c>
      <c r="B6524" t="s">
        <v>16619</v>
      </c>
      <c r="C6524" t="s">
        <v>16387</v>
      </c>
      <c r="D6524" t="s">
        <v>16387</v>
      </c>
      <c r="E6524" t="s">
        <v>16514</v>
      </c>
    </row>
    <row r="6525" spans="1:5" x14ac:dyDescent="0.2">
      <c r="A6525" t="s">
        <v>16620</v>
      </c>
      <c r="B6525" t="s">
        <v>16621</v>
      </c>
      <c r="C6525" t="s">
        <v>16387</v>
      </c>
      <c r="D6525" t="s">
        <v>16387</v>
      </c>
      <c r="E6525" t="s">
        <v>16514</v>
      </c>
    </row>
    <row r="6526" spans="1:5" x14ac:dyDescent="0.2">
      <c r="A6526" t="s">
        <v>16622</v>
      </c>
      <c r="B6526" t="s">
        <v>16623</v>
      </c>
      <c r="C6526" t="s">
        <v>16387</v>
      </c>
      <c r="D6526" t="s">
        <v>16387</v>
      </c>
      <c r="E6526" t="s">
        <v>16624</v>
      </c>
    </row>
    <row r="6527" spans="1:5" x14ac:dyDescent="0.2">
      <c r="A6527" t="s">
        <v>16625</v>
      </c>
      <c r="B6527" t="s">
        <v>16626</v>
      </c>
      <c r="C6527" t="s">
        <v>16387</v>
      </c>
      <c r="D6527" t="s">
        <v>16387</v>
      </c>
      <c r="E6527" t="s">
        <v>16627</v>
      </c>
    </row>
    <row r="6528" spans="1:5" x14ac:dyDescent="0.2">
      <c r="A6528" t="s">
        <v>16628</v>
      </c>
      <c r="B6528" t="s">
        <v>16629</v>
      </c>
      <c r="C6528" t="s">
        <v>16630</v>
      </c>
      <c r="D6528" t="s">
        <v>16630</v>
      </c>
      <c r="E6528" t="s">
        <v>16631</v>
      </c>
    </row>
    <row r="6529" spans="1:5" x14ac:dyDescent="0.2">
      <c r="A6529" t="s">
        <v>16632</v>
      </c>
      <c r="B6529" t="s">
        <v>16633</v>
      </c>
      <c r="C6529" t="s">
        <v>16630</v>
      </c>
      <c r="D6529" t="s">
        <v>16630</v>
      </c>
      <c r="E6529" t="s">
        <v>16634</v>
      </c>
    </row>
    <row r="6530" spans="1:5" x14ac:dyDescent="0.2">
      <c r="A6530" t="s">
        <v>16635</v>
      </c>
      <c r="B6530" t="s">
        <v>16636</v>
      </c>
      <c r="C6530" t="s">
        <v>16630</v>
      </c>
      <c r="D6530" t="e">
        <v>#N/A</v>
      </c>
      <c r="E6530" t="e">
        <v>#N/A</v>
      </c>
    </row>
    <row r="6531" spans="1:5" x14ac:dyDescent="0.2">
      <c r="A6531" t="s">
        <v>16637</v>
      </c>
      <c r="B6531" t="s">
        <v>16638</v>
      </c>
      <c r="C6531" t="s">
        <v>16630</v>
      </c>
      <c r="D6531" t="s">
        <v>16630</v>
      </c>
      <c r="E6531" t="s">
        <v>16639</v>
      </c>
    </row>
    <row r="6532" spans="1:5" x14ac:dyDescent="0.2">
      <c r="A6532" t="s">
        <v>16640</v>
      </c>
      <c r="B6532" t="s">
        <v>16641</v>
      </c>
      <c r="C6532" t="s">
        <v>16630</v>
      </c>
      <c r="D6532" t="s">
        <v>16630</v>
      </c>
      <c r="E6532" t="s">
        <v>16642</v>
      </c>
    </row>
    <row r="6533" spans="1:5" x14ac:dyDescent="0.2">
      <c r="A6533" t="s">
        <v>16643</v>
      </c>
      <c r="B6533" t="s">
        <v>16644</v>
      </c>
      <c r="C6533" t="s">
        <v>16630</v>
      </c>
      <c r="D6533" t="s">
        <v>16630</v>
      </c>
      <c r="E6533" t="s">
        <v>16645</v>
      </c>
    </row>
    <row r="6534" spans="1:5" x14ac:dyDescent="0.2">
      <c r="A6534" t="s">
        <v>16646</v>
      </c>
      <c r="B6534" t="s">
        <v>16647</v>
      </c>
      <c r="C6534" t="s">
        <v>16630</v>
      </c>
      <c r="D6534" t="s">
        <v>16630</v>
      </c>
      <c r="E6534" t="s">
        <v>16648</v>
      </c>
    </row>
    <row r="6535" spans="1:5" x14ac:dyDescent="0.2">
      <c r="A6535" t="s">
        <v>16649</v>
      </c>
      <c r="B6535" t="s">
        <v>16650</v>
      </c>
      <c r="C6535" t="s">
        <v>16630</v>
      </c>
      <c r="D6535" t="s">
        <v>16630</v>
      </c>
      <c r="E6535" t="s">
        <v>16651</v>
      </c>
    </row>
    <row r="6536" spans="1:5" x14ac:dyDescent="0.2">
      <c r="A6536" t="s">
        <v>16652</v>
      </c>
      <c r="B6536" t="s">
        <v>16653</v>
      </c>
      <c r="C6536" t="s">
        <v>16630</v>
      </c>
      <c r="D6536" t="s">
        <v>16630</v>
      </c>
      <c r="E6536" t="s">
        <v>16654</v>
      </c>
    </row>
    <row r="6537" spans="1:5" x14ac:dyDescent="0.2">
      <c r="A6537" t="s">
        <v>16655</v>
      </c>
      <c r="B6537" t="s">
        <v>16656</v>
      </c>
      <c r="C6537" t="s">
        <v>16630</v>
      </c>
      <c r="D6537" t="s">
        <v>16630</v>
      </c>
      <c r="E6537" t="s">
        <v>16657</v>
      </c>
    </row>
    <row r="6538" spans="1:5" x14ac:dyDescent="0.2">
      <c r="A6538" t="s">
        <v>16658</v>
      </c>
      <c r="B6538" t="s">
        <v>16659</v>
      </c>
      <c r="C6538" t="s">
        <v>16630</v>
      </c>
      <c r="D6538" t="s">
        <v>16630</v>
      </c>
      <c r="E6538" t="s">
        <v>16660</v>
      </c>
    </row>
    <row r="6539" spans="1:5" x14ac:dyDescent="0.2">
      <c r="A6539" t="s">
        <v>16661</v>
      </c>
      <c r="B6539" t="s">
        <v>16662</v>
      </c>
      <c r="C6539" t="s">
        <v>16630</v>
      </c>
      <c r="D6539" t="s">
        <v>16630</v>
      </c>
      <c r="E6539" t="s">
        <v>16663</v>
      </c>
    </row>
    <row r="6540" spans="1:5" x14ac:dyDescent="0.2">
      <c r="A6540" t="s">
        <v>16664</v>
      </c>
      <c r="B6540" t="s">
        <v>16665</v>
      </c>
      <c r="C6540" t="s">
        <v>16630</v>
      </c>
      <c r="D6540" t="s">
        <v>16630</v>
      </c>
      <c r="E6540" t="s">
        <v>16666</v>
      </c>
    </row>
    <row r="6541" spans="1:5" x14ac:dyDescent="0.2">
      <c r="A6541" t="s">
        <v>16667</v>
      </c>
      <c r="B6541" t="s">
        <v>16668</v>
      </c>
      <c r="C6541" t="s">
        <v>16630</v>
      </c>
      <c r="D6541" t="s">
        <v>16630</v>
      </c>
      <c r="E6541" t="s">
        <v>16669</v>
      </c>
    </row>
    <row r="6542" spans="1:5" x14ac:dyDescent="0.2">
      <c r="A6542" t="s">
        <v>16670</v>
      </c>
      <c r="B6542" t="s">
        <v>16671</v>
      </c>
      <c r="C6542" t="s">
        <v>16630</v>
      </c>
      <c r="D6542" t="s">
        <v>16630</v>
      </c>
      <c r="E6542" t="s">
        <v>16672</v>
      </c>
    </row>
    <row r="6543" spans="1:5" x14ac:dyDescent="0.2">
      <c r="A6543" t="s">
        <v>16673</v>
      </c>
      <c r="B6543" t="s">
        <v>16674</v>
      </c>
      <c r="C6543" t="s">
        <v>16630</v>
      </c>
      <c r="D6543" t="s">
        <v>16630</v>
      </c>
      <c r="E6543" t="s">
        <v>16675</v>
      </c>
    </row>
    <row r="6544" spans="1:5" x14ac:dyDescent="0.2">
      <c r="A6544" t="s">
        <v>16676</v>
      </c>
      <c r="B6544" t="s">
        <v>16677</v>
      </c>
      <c r="C6544" t="s">
        <v>16630</v>
      </c>
      <c r="D6544" t="s">
        <v>16630</v>
      </c>
      <c r="E6544" t="s">
        <v>16675</v>
      </c>
    </row>
    <row r="6545" spans="1:5" x14ac:dyDescent="0.2">
      <c r="A6545" t="s">
        <v>16678</v>
      </c>
      <c r="B6545" t="s">
        <v>16679</v>
      </c>
      <c r="C6545" t="s">
        <v>16630</v>
      </c>
      <c r="D6545" t="s">
        <v>16630</v>
      </c>
      <c r="E6545" t="s">
        <v>16680</v>
      </c>
    </row>
    <row r="6546" spans="1:5" x14ac:dyDescent="0.2">
      <c r="A6546" t="s">
        <v>16681</v>
      </c>
      <c r="B6546" t="s">
        <v>16682</v>
      </c>
      <c r="C6546" t="s">
        <v>16630</v>
      </c>
      <c r="D6546" t="s">
        <v>16630</v>
      </c>
      <c r="E6546" t="s">
        <v>16683</v>
      </c>
    </row>
    <row r="6547" spans="1:5" x14ac:dyDescent="0.2">
      <c r="A6547" t="s">
        <v>16684</v>
      </c>
      <c r="B6547" t="s">
        <v>16685</v>
      </c>
      <c r="C6547" t="s">
        <v>16630</v>
      </c>
      <c r="D6547" t="s">
        <v>16630</v>
      </c>
      <c r="E6547" t="s">
        <v>16686</v>
      </c>
    </row>
    <row r="6548" spans="1:5" x14ac:dyDescent="0.2">
      <c r="A6548" t="s">
        <v>16687</v>
      </c>
      <c r="B6548" t="s">
        <v>16688</v>
      </c>
      <c r="C6548" t="s">
        <v>16630</v>
      </c>
      <c r="D6548" t="s">
        <v>16630</v>
      </c>
      <c r="E6548" t="s">
        <v>16689</v>
      </c>
    </row>
    <row r="6549" spans="1:5" x14ac:dyDescent="0.2">
      <c r="A6549" t="s">
        <v>16690</v>
      </c>
      <c r="B6549" t="s">
        <v>16691</v>
      </c>
      <c r="C6549" t="s">
        <v>16630</v>
      </c>
      <c r="D6549" t="s">
        <v>16630</v>
      </c>
      <c r="E6549" t="s">
        <v>16692</v>
      </c>
    </row>
    <row r="6550" spans="1:5" x14ac:dyDescent="0.2">
      <c r="A6550" t="s">
        <v>16693</v>
      </c>
      <c r="B6550" t="s">
        <v>16694</v>
      </c>
      <c r="C6550" t="s">
        <v>16630</v>
      </c>
      <c r="D6550" t="s">
        <v>16630</v>
      </c>
      <c r="E6550" t="s">
        <v>16686</v>
      </c>
    </row>
    <row r="6551" spans="1:5" x14ac:dyDescent="0.2">
      <c r="A6551" t="s">
        <v>16695</v>
      </c>
      <c r="B6551" t="s">
        <v>16696</v>
      </c>
      <c r="C6551" t="s">
        <v>16630</v>
      </c>
      <c r="D6551" t="s">
        <v>16630</v>
      </c>
      <c r="E6551" t="s">
        <v>16675</v>
      </c>
    </row>
    <row r="6552" spans="1:5" x14ac:dyDescent="0.2">
      <c r="A6552" t="s">
        <v>16697</v>
      </c>
      <c r="B6552" t="s">
        <v>16698</v>
      </c>
      <c r="C6552" t="s">
        <v>16630</v>
      </c>
      <c r="D6552" t="e">
        <v>#N/A</v>
      </c>
      <c r="E6552" t="e">
        <v>#N/A</v>
      </c>
    </row>
    <row r="6553" spans="1:5" x14ac:dyDescent="0.2">
      <c r="A6553" t="s">
        <v>16699</v>
      </c>
      <c r="B6553" t="s">
        <v>16700</v>
      </c>
      <c r="C6553" t="s">
        <v>16701</v>
      </c>
      <c r="D6553" t="s">
        <v>16701</v>
      </c>
      <c r="E6553" t="s">
        <v>16702</v>
      </c>
    </row>
    <row r="6554" spans="1:5" x14ac:dyDescent="0.2">
      <c r="A6554" t="s">
        <v>16703</v>
      </c>
      <c r="B6554" t="s">
        <v>16704</v>
      </c>
      <c r="C6554" t="s">
        <v>16701</v>
      </c>
      <c r="D6554" t="s">
        <v>16701</v>
      </c>
      <c r="E6554" t="s">
        <v>16705</v>
      </c>
    </row>
    <row r="6555" spans="1:5" x14ac:dyDescent="0.2">
      <c r="A6555" t="s">
        <v>16706</v>
      </c>
      <c r="B6555" t="s">
        <v>16707</v>
      </c>
      <c r="C6555" t="s">
        <v>16701</v>
      </c>
      <c r="D6555" t="s">
        <v>16701</v>
      </c>
      <c r="E6555" t="s">
        <v>16705</v>
      </c>
    </row>
    <row r="6556" spans="1:5" x14ac:dyDescent="0.2">
      <c r="A6556" t="s">
        <v>16708</v>
      </c>
      <c r="B6556" t="s">
        <v>16709</v>
      </c>
      <c r="C6556" t="s">
        <v>16701</v>
      </c>
      <c r="D6556" t="s">
        <v>16701</v>
      </c>
      <c r="E6556" t="s">
        <v>16710</v>
      </c>
    </row>
    <row r="6557" spans="1:5" x14ac:dyDescent="0.2">
      <c r="A6557" t="s">
        <v>16711</v>
      </c>
      <c r="B6557" t="s">
        <v>16712</v>
      </c>
      <c r="C6557" t="s">
        <v>16701</v>
      </c>
      <c r="D6557" t="s">
        <v>16701</v>
      </c>
      <c r="E6557" t="s">
        <v>16713</v>
      </c>
    </row>
    <row r="6558" spans="1:5" x14ac:dyDescent="0.2">
      <c r="A6558" t="s">
        <v>16714</v>
      </c>
      <c r="B6558" t="s">
        <v>16715</v>
      </c>
      <c r="C6558" t="s">
        <v>16701</v>
      </c>
      <c r="D6558" t="s">
        <v>16701</v>
      </c>
      <c r="E6558" t="s">
        <v>16716</v>
      </c>
    </row>
    <row r="6559" spans="1:5" x14ac:dyDescent="0.2">
      <c r="A6559" t="s">
        <v>16717</v>
      </c>
      <c r="B6559" t="s">
        <v>16718</v>
      </c>
      <c r="C6559" t="s">
        <v>16701</v>
      </c>
      <c r="D6559" t="s">
        <v>16701</v>
      </c>
      <c r="E6559" t="s">
        <v>16719</v>
      </c>
    </row>
    <row r="6560" spans="1:5" x14ac:dyDescent="0.2">
      <c r="A6560" t="s">
        <v>16720</v>
      </c>
      <c r="B6560" t="s">
        <v>16721</v>
      </c>
      <c r="C6560" t="s">
        <v>16701</v>
      </c>
      <c r="D6560" t="s">
        <v>16701</v>
      </c>
      <c r="E6560" t="s">
        <v>16705</v>
      </c>
    </row>
    <row r="6561" spans="1:5" x14ac:dyDescent="0.2">
      <c r="A6561" t="s">
        <v>16722</v>
      </c>
      <c r="B6561" t="s">
        <v>16723</v>
      </c>
      <c r="C6561" t="s">
        <v>16701</v>
      </c>
      <c r="D6561" t="s">
        <v>16701</v>
      </c>
      <c r="E6561" t="s">
        <v>16724</v>
      </c>
    </row>
    <row r="6562" spans="1:5" x14ac:dyDescent="0.2">
      <c r="A6562" t="s">
        <v>16725</v>
      </c>
      <c r="B6562" t="s">
        <v>16726</v>
      </c>
      <c r="C6562" t="s">
        <v>16701</v>
      </c>
      <c r="D6562" t="s">
        <v>16701</v>
      </c>
      <c r="E6562" t="s">
        <v>16727</v>
      </c>
    </row>
    <row r="6563" spans="1:5" x14ac:dyDescent="0.2">
      <c r="A6563" t="s">
        <v>16728</v>
      </c>
      <c r="B6563" t="s">
        <v>16729</v>
      </c>
      <c r="C6563" t="s">
        <v>16701</v>
      </c>
      <c r="D6563" t="s">
        <v>16701</v>
      </c>
      <c r="E6563" t="s">
        <v>16713</v>
      </c>
    </row>
    <row r="6564" spans="1:5" x14ac:dyDescent="0.2">
      <c r="A6564" t="s">
        <v>16730</v>
      </c>
      <c r="B6564" t="s">
        <v>16731</v>
      </c>
      <c r="C6564" t="s">
        <v>16701</v>
      </c>
      <c r="D6564" t="s">
        <v>16701</v>
      </c>
      <c r="E6564" t="s">
        <v>16705</v>
      </c>
    </row>
    <row r="6565" spans="1:5" x14ac:dyDescent="0.2">
      <c r="A6565" t="s">
        <v>16732</v>
      </c>
      <c r="B6565" t="s">
        <v>16733</v>
      </c>
      <c r="C6565" t="s">
        <v>16701</v>
      </c>
      <c r="D6565" t="s">
        <v>16701</v>
      </c>
      <c r="E6565" t="s">
        <v>16734</v>
      </c>
    </row>
    <row r="6566" spans="1:5" x14ac:dyDescent="0.2">
      <c r="A6566" t="s">
        <v>16735</v>
      </c>
      <c r="B6566" t="s">
        <v>16736</v>
      </c>
      <c r="C6566" t="s">
        <v>16701</v>
      </c>
      <c r="D6566" t="s">
        <v>16701</v>
      </c>
      <c r="E6566" t="s">
        <v>16737</v>
      </c>
    </row>
    <row r="6567" spans="1:5" x14ac:dyDescent="0.2">
      <c r="A6567" t="s">
        <v>16738</v>
      </c>
      <c r="B6567" t="s">
        <v>16739</v>
      </c>
      <c r="C6567" t="s">
        <v>16701</v>
      </c>
      <c r="D6567" t="s">
        <v>16701</v>
      </c>
      <c r="E6567" t="s">
        <v>16740</v>
      </c>
    </row>
    <row r="6568" spans="1:5" x14ac:dyDescent="0.2">
      <c r="A6568" t="s">
        <v>16741</v>
      </c>
      <c r="B6568" t="s">
        <v>16742</v>
      </c>
      <c r="C6568" t="s">
        <v>16701</v>
      </c>
      <c r="D6568" t="s">
        <v>16701</v>
      </c>
      <c r="E6568" t="s">
        <v>16713</v>
      </c>
    </row>
    <row r="6569" spans="1:5" x14ac:dyDescent="0.2">
      <c r="A6569" t="s">
        <v>16743</v>
      </c>
      <c r="B6569" t="s">
        <v>16744</v>
      </c>
      <c r="C6569" t="s">
        <v>16701</v>
      </c>
      <c r="D6569" t="s">
        <v>16701</v>
      </c>
      <c r="E6569" t="s">
        <v>16710</v>
      </c>
    </row>
    <row r="6570" spans="1:5" x14ac:dyDescent="0.2">
      <c r="A6570" t="s">
        <v>16745</v>
      </c>
      <c r="B6570" t="s">
        <v>16746</v>
      </c>
      <c r="C6570" t="s">
        <v>16701</v>
      </c>
      <c r="D6570" t="s">
        <v>16701</v>
      </c>
      <c r="E6570" t="s">
        <v>16713</v>
      </c>
    </row>
    <row r="6571" spans="1:5" x14ac:dyDescent="0.2">
      <c r="A6571" t="s">
        <v>16747</v>
      </c>
      <c r="B6571" t="s">
        <v>16748</v>
      </c>
      <c r="C6571" t="s">
        <v>16701</v>
      </c>
      <c r="D6571" t="s">
        <v>16701</v>
      </c>
      <c r="E6571" t="s">
        <v>16749</v>
      </c>
    </row>
    <row r="6572" spans="1:5" x14ac:dyDescent="0.2">
      <c r="A6572" t="s">
        <v>16750</v>
      </c>
      <c r="B6572" t="s">
        <v>16751</v>
      </c>
      <c r="C6572" t="s">
        <v>16701</v>
      </c>
      <c r="D6572" t="s">
        <v>16701</v>
      </c>
      <c r="E6572" t="s">
        <v>16752</v>
      </c>
    </row>
    <row r="6573" spans="1:5" x14ac:dyDescent="0.2">
      <c r="A6573" t="s">
        <v>16753</v>
      </c>
      <c r="B6573" t="s">
        <v>16754</v>
      </c>
      <c r="C6573" t="s">
        <v>16701</v>
      </c>
      <c r="D6573" t="s">
        <v>16701</v>
      </c>
      <c r="E6573" t="s">
        <v>16755</v>
      </c>
    </row>
    <row r="6574" spans="1:5" x14ac:dyDescent="0.2">
      <c r="A6574" t="s">
        <v>16756</v>
      </c>
      <c r="B6574" t="s">
        <v>16757</v>
      </c>
      <c r="C6574" t="s">
        <v>16701</v>
      </c>
      <c r="D6574" t="s">
        <v>16701</v>
      </c>
      <c r="E6574" t="s">
        <v>16758</v>
      </c>
    </row>
    <row r="6575" spans="1:5" x14ac:dyDescent="0.2">
      <c r="A6575" t="s">
        <v>16759</v>
      </c>
      <c r="B6575" t="s">
        <v>16760</v>
      </c>
      <c r="C6575" t="s">
        <v>16701</v>
      </c>
      <c r="D6575" t="s">
        <v>16701</v>
      </c>
      <c r="E6575" t="s">
        <v>16761</v>
      </c>
    </row>
    <row r="6576" spans="1:5" x14ac:dyDescent="0.2">
      <c r="A6576" t="s">
        <v>16762</v>
      </c>
      <c r="B6576" t="s">
        <v>16763</v>
      </c>
      <c r="C6576" t="s">
        <v>16701</v>
      </c>
      <c r="D6576" t="s">
        <v>16701</v>
      </c>
      <c r="E6576" t="s">
        <v>16705</v>
      </c>
    </row>
    <row r="6577" spans="1:5" x14ac:dyDescent="0.2">
      <c r="A6577" t="s">
        <v>16764</v>
      </c>
      <c r="B6577" t="s">
        <v>16765</v>
      </c>
      <c r="C6577" t="s">
        <v>16701</v>
      </c>
      <c r="D6577" t="s">
        <v>16701</v>
      </c>
      <c r="E6577" t="s">
        <v>16713</v>
      </c>
    </row>
    <row r="6578" spans="1:5" x14ac:dyDescent="0.2">
      <c r="A6578" t="s">
        <v>16766</v>
      </c>
      <c r="B6578" t="s">
        <v>16767</v>
      </c>
      <c r="C6578" t="s">
        <v>16701</v>
      </c>
      <c r="D6578" t="s">
        <v>16701</v>
      </c>
      <c r="E6578" t="s">
        <v>16713</v>
      </c>
    </row>
    <row r="6579" spans="1:5" x14ac:dyDescent="0.2">
      <c r="A6579" t="s">
        <v>16768</v>
      </c>
      <c r="B6579" t="s">
        <v>16769</v>
      </c>
      <c r="C6579" t="s">
        <v>16701</v>
      </c>
      <c r="D6579" t="s">
        <v>16701</v>
      </c>
      <c r="E6579" t="s">
        <v>16770</v>
      </c>
    </row>
    <row r="6580" spans="1:5" x14ac:dyDescent="0.2">
      <c r="A6580" t="s">
        <v>16771</v>
      </c>
      <c r="B6580" t="s">
        <v>16772</v>
      </c>
      <c r="C6580" t="s">
        <v>16701</v>
      </c>
      <c r="D6580" t="s">
        <v>16701</v>
      </c>
      <c r="E6580" t="s">
        <v>16710</v>
      </c>
    </row>
    <row r="6581" spans="1:5" x14ac:dyDescent="0.2">
      <c r="A6581" t="s">
        <v>16773</v>
      </c>
      <c r="B6581" t="s">
        <v>16774</v>
      </c>
      <c r="C6581" t="s">
        <v>16701</v>
      </c>
      <c r="D6581" t="s">
        <v>16701</v>
      </c>
      <c r="E6581" t="s">
        <v>16775</v>
      </c>
    </row>
    <row r="6582" spans="1:5" x14ac:dyDescent="0.2">
      <c r="A6582" t="s">
        <v>16776</v>
      </c>
      <c r="B6582" t="s">
        <v>16777</v>
      </c>
      <c r="C6582" t="s">
        <v>16701</v>
      </c>
      <c r="D6582" t="s">
        <v>16701</v>
      </c>
      <c r="E6582" t="s">
        <v>16778</v>
      </c>
    </row>
    <row r="6583" spans="1:5" x14ac:dyDescent="0.2">
      <c r="A6583" t="s">
        <v>16779</v>
      </c>
      <c r="B6583" t="s">
        <v>16780</v>
      </c>
      <c r="C6583" t="s">
        <v>16701</v>
      </c>
      <c r="D6583" t="s">
        <v>16701</v>
      </c>
      <c r="E6583" t="s">
        <v>16781</v>
      </c>
    </row>
    <row r="6584" spans="1:5" x14ac:dyDescent="0.2">
      <c r="A6584" t="s">
        <v>16782</v>
      </c>
      <c r="B6584" t="s">
        <v>16783</v>
      </c>
      <c r="C6584" t="s">
        <v>16701</v>
      </c>
      <c r="D6584" t="s">
        <v>16701</v>
      </c>
      <c r="E6584" t="s">
        <v>16784</v>
      </c>
    </row>
    <row r="6585" spans="1:5" x14ac:dyDescent="0.2">
      <c r="A6585" t="s">
        <v>16785</v>
      </c>
      <c r="B6585" t="s">
        <v>16786</v>
      </c>
      <c r="C6585" t="s">
        <v>16701</v>
      </c>
      <c r="D6585" t="s">
        <v>16701</v>
      </c>
      <c r="E6585" t="s">
        <v>16713</v>
      </c>
    </row>
    <row r="6586" spans="1:5" x14ac:dyDescent="0.2">
      <c r="A6586" t="s">
        <v>16787</v>
      </c>
      <c r="B6586" t="s">
        <v>16788</v>
      </c>
      <c r="C6586" t="s">
        <v>16701</v>
      </c>
      <c r="D6586" t="s">
        <v>16701</v>
      </c>
      <c r="E6586" t="s">
        <v>16789</v>
      </c>
    </row>
    <row r="6587" spans="1:5" x14ac:dyDescent="0.2">
      <c r="A6587" t="s">
        <v>16790</v>
      </c>
      <c r="B6587" t="s">
        <v>16791</v>
      </c>
      <c r="C6587" t="s">
        <v>16701</v>
      </c>
      <c r="D6587" t="s">
        <v>16701</v>
      </c>
      <c r="E6587" t="s">
        <v>16710</v>
      </c>
    </row>
    <row r="6588" spans="1:5" x14ac:dyDescent="0.2">
      <c r="A6588" t="s">
        <v>16792</v>
      </c>
      <c r="B6588" t="s">
        <v>16793</v>
      </c>
      <c r="C6588" t="s">
        <v>16701</v>
      </c>
      <c r="D6588" t="s">
        <v>16701</v>
      </c>
      <c r="E6588" t="s">
        <v>16794</v>
      </c>
    </row>
    <row r="6589" spans="1:5" x14ac:dyDescent="0.2">
      <c r="A6589" t="s">
        <v>16795</v>
      </c>
      <c r="B6589" t="s">
        <v>16796</v>
      </c>
      <c r="C6589" t="s">
        <v>16701</v>
      </c>
      <c r="D6589" t="s">
        <v>16701</v>
      </c>
      <c r="E6589" t="s">
        <v>16710</v>
      </c>
    </row>
    <row r="6590" spans="1:5" x14ac:dyDescent="0.2">
      <c r="A6590" t="s">
        <v>16797</v>
      </c>
      <c r="B6590" t="s">
        <v>16798</v>
      </c>
      <c r="C6590" t="s">
        <v>16701</v>
      </c>
      <c r="D6590" t="s">
        <v>16701</v>
      </c>
      <c r="E6590" t="s">
        <v>16752</v>
      </c>
    </row>
    <row r="6591" spans="1:5" x14ac:dyDescent="0.2">
      <c r="A6591" t="s">
        <v>16799</v>
      </c>
      <c r="B6591" t="s">
        <v>16800</v>
      </c>
      <c r="C6591" t="s">
        <v>16701</v>
      </c>
      <c r="D6591" t="s">
        <v>16701</v>
      </c>
      <c r="E6591" t="s">
        <v>16713</v>
      </c>
    </row>
    <row r="6592" spans="1:5" x14ac:dyDescent="0.2">
      <c r="A6592" t="s">
        <v>16801</v>
      </c>
      <c r="B6592" t="s">
        <v>16802</v>
      </c>
      <c r="C6592" t="s">
        <v>16701</v>
      </c>
      <c r="D6592" t="s">
        <v>16701</v>
      </c>
      <c r="E6592" t="s">
        <v>16713</v>
      </c>
    </row>
    <row r="6593" spans="1:5" x14ac:dyDescent="0.2">
      <c r="A6593" t="s">
        <v>16803</v>
      </c>
      <c r="B6593" t="s">
        <v>16804</v>
      </c>
      <c r="C6593" t="s">
        <v>16701</v>
      </c>
      <c r="D6593" t="s">
        <v>16701</v>
      </c>
      <c r="E6593" t="s">
        <v>16710</v>
      </c>
    </row>
    <row r="6594" spans="1:5" x14ac:dyDescent="0.2">
      <c r="A6594" t="s">
        <v>16805</v>
      </c>
      <c r="B6594" t="s">
        <v>16806</v>
      </c>
      <c r="C6594" t="s">
        <v>16701</v>
      </c>
      <c r="D6594" t="s">
        <v>16701</v>
      </c>
      <c r="E6594" t="s">
        <v>16710</v>
      </c>
    </row>
    <row r="6595" spans="1:5" x14ac:dyDescent="0.2">
      <c r="A6595" t="s">
        <v>16807</v>
      </c>
      <c r="B6595" t="s">
        <v>16808</v>
      </c>
      <c r="C6595" t="s">
        <v>16701</v>
      </c>
      <c r="D6595" t="s">
        <v>16701</v>
      </c>
      <c r="E6595" t="s">
        <v>16752</v>
      </c>
    </row>
    <row r="6596" spans="1:5" x14ac:dyDescent="0.2">
      <c r="A6596" t="s">
        <v>16809</v>
      </c>
      <c r="B6596" t="s">
        <v>16810</v>
      </c>
      <c r="C6596" t="s">
        <v>16701</v>
      </c>
      <c r="D6596" t="s">
        <v>16701</v>
      </c>
      <c r="E6596" t="s">
        <v>16710</v>
      </c>
    </row>
    <row r="6597" spans="1:5" x14ac:dyDescent="0.2">
      <c r="A6597" t="s">
        <v>16811</v>
      </c>
      <c r="B6597" t="s">
        <v>16812</v>
      </c>
      <c r="C6597" t="s">
        <v>16701</v>
      </c>
      <c r="D6597" t="s">
        <v>16701</v>
      </c>
      <c r="E6597" t="s">
        <v>16813</v>
      </c>
    </row>
    <row r="6598" spans="1:5" x14ac:dyDescent="0.2">
      <c r="A6598" t="s">
        <v>16814</v>
      </c>
      <c r="B6598" t="s">
        <v>16815</v>
      </c>
      <c r="C6598" t="s">
        <v>16701</v>
      </c>
      <c r="D6598" t="s">
        <v>16701</v>
      </c>
      <c r="E6598" t="s">
        <v>16816</v>
      </c>
    </row>
    <row r="6599" spans="1:5" x14ac:dyDescent="0.2">
      <c r="A6599" t="s">
        <v>16817</v>
      </c>
      <c r="B6599" t="s">
        <v>16818</v>
      </c>
      <c r="C6599" t="s">
        <v>16701</v>
      </c>
      <c r="D6599" t="s">
        <v>16701</v>
      </c>
      <c r="E6599" t="s">
        <v>16713</v>
      </c>
    </row>
    <row r="6600" spans="1:5" x14ac:dyDescent="0.2">
      <c r="A6600" t="s">
        <v>16819</v>
      </c>
      <c r="B6600" t="s">
        <v>16820</v>
      </c>
      <c r="C6600" t="s">
        <v>16701</v>
      </c>
      <c r="D6600" t="s">
        <v>16701</v>
      </c>
      <c r="E6600" t="s">
        <v>16821</v>
      </c>
    </row>
    <row r="6601" spans="1:5" x14ac:dyDescent="0.2">
      <c r="A6601" t="s">
        <v>16822</v>
      </c>
      <c r="B6601" t="s">
        <v>16823</v>
      </c>
      <c r="C6601" t="s">
        <v>16701</v>
      </c>
      <c r="D6601" t="s">
        <v>16701</v>
      </c>
      <c r="E6601" t="s">
        <v>16824</v>
      </c>
    </row>
    <row r="6602" spans="1:5" x14ac:dyDescent="0.2">
      <c r="A6602" t="s">
        <v>16825</v>
      </c>
      <c r="B6602" t="s">
        <v>16826</v>
      </c>
      <c r="C6602" t="s">
        <v>16701</v>
      </c>
      <c r="D6602" t="s">
        <v>16701</v>
      </c>
      <c r="E6602" t="s">
        <v>16752</v>
      </c>
    </row>
    <row r="6603" spans="1:5" x14ac:dyDescent="0.2">
      <c r="A6603" t="s">
        <v>16827</v>
      </c>
      <c r="B6603" t="s">
        <v>16828</v>
      </c>
      <c r="C6603" t="s">
        <v>16701</v>
      </c>
      <c r="D6603" t="s">
        <v>16701</v>
      </c>
      <c r="E6603" t="s">
        <v>16705</v>
      </c>
    </row>
    <row r="6604" spans="1:5" x14ac:dyDescent="0.2">
      <c r="A6604" t="s">
        <v>16829</v>
      </c>
      <c r="B6604" t="s">
        <v>16830</v>
      </c>
      <c r="C6604" t="s">
        <v>16701</v>
      </c>
      <c r="D6604" t="s">
        <v>16701</v>
      </c>
      <c r="E6604" t="s">
        <v>16713</v>
      </c>
    </row>
    <row r="6605" spans="1:5" x14ac:dyDescent="0.2">
      <c r="A6605" t="s">
        <v>16831</v>
      </c>
      <c r="B6605" t="s">
        <v>16832</v>
      </c>
      <c r="C6605" t="s">
        <v>16701</v>
      </c>
      <c r="D6605" t="s">
        <v>16701</v>
      </c>
      <c r="E6605" t="s">
        <v>16833</v>
      </c>
    </row>
    <row r="6606" spans="1:5" x14ac:dyDescent="0.2">
      <c r="A6606" t="s">
        <v>16834</v>
      </c>
      <c r="B6606" t="s">
        <v>16835</v>
      </c>
      <c r="C6606" t="s">
        <v>16701</v>
      </c>
      <c r="D6606" t="s">
        <v>16701</v>
      </c>
      <c r="E6606" t="s">
        <v>16836</v>
      </c>
    </row>
    <row r="6607" spans="1:5" x14ac:dyDescent="0.2">
      <c r="A6607" t="s">
        <v>16837</v>
      </c>
      <c r="B6607" t="s">
        <v>16838</v>
      </c>
      <c r="C6607" t="s">
        <v>16701</v>
      </c>
      <c r="D6607" t="s">
        <v>16701</v>
      </c>
      <c r="E6607" t="s">
        <v>16839</v>
      </c>
    </row>
    <row r="6608" spans="1:5" x14ac:dyDescent="0.2">
      <c r="A6608" t="s">
        <v>16840</v>
      </c>
      <c r="B6608" t="s">
        <v>16841</v>
      </c>
      <c r="C6608" t="s">
        <v>16701</v>
      </c>
      <c r="D6608" t="s">
        <v>16701</v>
      </c>
      <c r="E6608" t="s">
        <v>16842</v>
      </c>
    </row>
    <row r="6609" spans="1:5" x14ac:dyDescent="0.2">
      <c r="A6609" t="s">
        <v>16843</v>
      </c>
      <c r="B6609" t="s">
        <v>16844</v>
      </c>
      <c r="C6609" t="s">
        <v>16701</v>
      </c>
      <c r="D6609" t="s">
        <v>16701</v>
      </c>
      <c r="E6609" t="s">
        <v>16845</v>
      </c>
    </row>
    <row r="6610" spans="1:5" x14ac:dyDescent="0.2">
      <c r="A6610" t="s">
        <v>16846</v>
      </c>
      <c r="B6610" t="s">
        <v>16847</v>
      </c>
      <c r="C6610" t="s">
        <v>16701</v>
      </c>
      <c r="D6610" t="s">
        <v>16701</v>
      </c>
      <c r="E6610" t="s">
        <v>16848</v>
      </c>
    </row>
    <row r="6611" spans="1:5" x14ac:dyDescent="0.2">
      <c r="A6611" t="s">
        <v>16849</v>
      </c>
      <c r="B6611" t="s">
        <v>16850</v>
      </c>
      <c r="C6611" t="s">
        <v>16701</v>
      </c>
      <c r="D6611" t="s">
        <v>16701</v>
      </c>
      <c r="E6611" t="s">
        <v>16710</v>
      </c>
    </row>
    <row r="6612" spans="1:5" x14ac:dyDescent="0.2">
      <c r="A6612" t="s">
        <v>16851</v>
      </c>
      <c r="B6612" t="s">
        <v>16852</v>
      </c>
      <c r="C6612" t="s">
        <v>16701</v>
      </c>
      <c r="D6612" t="s">
        <v>16701</v>
      </c>
      <c r="E6612" t="s">
        <v>16853</v>
      </c>
    </row>
    <row r="6613" spans="1:5" x14ac:dyDescent="0.2">
      <c r="A6613" t="s">
        <v>16854</v>
      </c>
      <c r="B6613" t="s">
        <v>16855</v>
      </c>
      <c r="C6613" t="s">
        <v>16701</v>
      </c>
      <c r="D6613" t="s">
        <v>16701</v>
      </c>
      <c r="E6613" t="s">
        <v>16752</v>
      </c>
    </row>
    <row r="6614" spans="1:5" x14ac:dyDescent="0.2">
      <c r="A6614" t="s">
        <v>16856</v>
      </c>
      <c r="B6614" t="s">
        <v>16857</v>
      </c>
      <c r="C6614" t="s">
        <v>16701</v>
      </c>
      <c r="D6614" t="s">
        <v>16701</v>
      </c>
      <c r="E6614" t="s">
        <v>16705</v>
      </c>
    </row>
    <row r="6615" spans="1:5" x14ac:dyDescent="0.2">
      <c r="A6615" t="s">
        <v>16858</v>
      </c>
      <c r="B6615" t="s">
        <v>16859</v>
      </c>
      <c r="C6615" t="s">
        <v>16701</v>
      </c>
      <c r="D6615" t="s">
        <v>16701</v>
      </c>
      <c r="E6615" t="s">
        <v>16752</v>
      </c>
    </row>
    <row r="6616" spans="1:5" x14ac:dyDescent="0.2">
      <c r="A6616" t="s">
        <v>16860</v>
      </c>
      <c r="B6616" t="s">
        <v>16861</v>
      </c>
      <c r="C6616" t="s">
        <v>16701</v>
      </c>
      <c r="D6616" t="s">
        <v>16701</v>
      </c>
      <c r="E6616" t="s">
        <v>16862</v>
      </c>
    </row>
    <row r="6617" spans="1:5" x14ac:dyDescent="0.2">
      <c r="A6617" t="s">
        <v>16863</v>
      </c>
      <c r="B6617" t="s">
        <v>16864</v>
      </c>
      <c r="C6617" t="s">
        <v>16701</v>
      </c>
      <c r="D6617" t="s">
        <v>16701</v>
      </c>
      <c r="E6617" t="s">
        <v>16710</v>
      </c>
    </row>
    <row r="6618" spans="1:5" x14ac:dyDescent="0.2">
      <c r="A6618" t="s">
        <v>16865</v>
      </c>
      <c r="B6618" t="s">
        <v>16866</v>
      </c>
      <c r="C6618" t="s">
        <v>16701</v>
      </c>
      <c r="D6618" t="s">
        <v>16701</v>
      </c>
      <c r="E6618" t="s">
        <v>16713</v>
      </c>
    </row>
    <row r="6619" spans="1:5" x14ac:dyDescent="0.2">
      <c r="A6619" t="s">
        <v>16867</v>
      </c>
      <c r="B6619" t="s">
        <v>16868</v>
      </c>
      <c r="C6619" t="s">
        <v>16701</v>
      </c>
      <c r="D6619" t="s">
        <v>16701</v>
      </c>
      <c r="E6619" t="s">
        <v>16869</v>
      </c>
    </row>
    <row r="6620" spans="1:5" x14ac:dyDescent="0.2">
      <c r="A6620" t="s">
        <v>16870</v>
      </c>
      <c r="B6620" t="s">
        <v>16871</v>
      </c>
      <c r="C6620" t="s">
        <v>16701</v>
      </c>
      <c r="D6620" t="s">
        <v>16701</v>
      </c>
      <c r="E6620" t="s">
        <v>16705</v>
      </c>
    </row>
    <row r="6621" spans="1:5" x14ac:dyDescent="0.2">
      <c r="A6621" t="s">
        <v>16872</v>
      </c>
      <c r="B6621" t="s">
        <v>16873</v>
      </c>
      <c r="C6621" t="s">
        <v>16701</v>
      </c>
      <c r="D6621" t="s">
        <v>16701</v>
      </c>
      <c r="E6621" t="s">
        <v>16705</v>
      </c>
    </row>
    <row r="6622" spans="1:5" x14ac:dyDescent="0.2">
      <c r="A6622" t="s">
        <v>16874</v>
      </c>
      <c r="B6622" t="s">
        <v>16875</v>
      </c>
      <c r="C6622" t="s">
        <v>16701</v>
      </c>
      <c r="D6622" t="s">
        <v>16701</v>
      </c>
      <c r="E6622" t="s">
        <v>16876</v>
      </c>
    </row>
    <row r="6623" spans="1:5" x14ac:dyDescent="0.2">
      <c r="A6623" t="s">
        <v>16877</v>
      </c>
      <c r="B6623" t="s">
        <v>16878</v>
      </c>
      <c r="C6623" t="s">
        <v>16701</v>
      </c>
      <c r="D6623" t="s">
        <v>16701</v>
      </c>
      <c r="E6623" t="s">
        <v>16879</v>
      </c>
    </row>
    <row r="6624" spans="1:5" x14ac:dyDescent="0.2">
      <c r="A6624" t="s">
        <v>16880</v>
      </c>
      <c r="B6624" t="s">
        <v>16881</v>
      </c>
      <c r="C6624" t="s">
        <v>16701</v>
      </c>
      <c r="D6624" t="s">
        <v>16701</v>
      </c>
      <c r="E6624" t="s">
        <v>16752</v>
      </c>
    </row>
    <row r="6625" spans="1:5" x14ac:dyDescent="0.2">
      <c r="A6625" t="s">
        <v>16882</v>
      </c>
      <c r="B6625" t="s">
        <v>16883</v>
      </c>
      <c r="C6625" t="s">
        <v>16701</v>
      </c>
      <c r="D6625" t="s">
        <v>16701</v>
      </c>
      <c r="E6625" t="s">
        <v>16884</v>
      </c>
    </row>
    <row r="6626" spans="1:5" x14ac:dyDescent="0.2">
      <c r="A6626" t="s">
        <v>16885</v>
      </c>
      <c r="B6626" t="s">
        <v>16886</v>
      </c>
      <c r="C6626" t="s">
        <v>16701</v>
      </c>
      <c r="D6626" t="s">
        <v>16701</v>
      </c>
      <c r="E6626" t="s">
        <v>16752</v>
      </c>
    </row>
    <row r="6627" spans="1:5" x14ac:dyDescent="0.2">
      <c r="A6627" t="s">
        <v>16887</v>
      </c>
      <c r="B6627" t="s">
        <v>16888</v>
      </c>
      <c r="C6627" t="s">
        <v>16701</v>
      </c>
      <c r="D6627" t="s">
        <v>16701</v>
      </c>
      <c r="E6627" t="s">
        <v>16710</v>
      </c>
    </row>
    <row r="6628" spans="1:5" x14ac:dyDescent="0.2">
      <c r="A6628" t="s">
        <v>16889</v>
      </c>
      <c r="B6628" t="s">
        <v>16890</v>
      </c>
      <c r="C6628" t="s">
        <v>16701</v>
      </c>
      <c r="D6628" t="s">
        <v>16701</v>
      </c>
      <c r="E6628" t="s">
        <v>16891</v>
      </c>
    </row>
    <row r="6629" spans="1:5" x14ac:dyDescent="0.2">
      <c r="A6629" t="s">
        <v>16892</v>
      </c>
      <c r="B6629" t="s">
        <v>16893</v>
      </c>
      <c r="C6629" t="s">
        <v>16701</v>
      </c>
      <c r="D6629" t="s">
        <v>16701</v>
      </c>
      <c r="E6629" t="s">
        <v>16705</v>
      </c>
    </row>
    <row r="6630" spans="1:5" x14ac:dyDescent="0.2">
      <c r="A6630" t="s">
        <v>16894</v>
      </c>
      <c r="B6630" t="s">
        <v>16895</v>
      </c>
      <c r="C6630" t="s">
        <v>16701</v>
      </c>
      <c r="D6630" t="s">
        <v>16701</v>
      </c>
      <c r="E6630" t="s">
        <v>16705</v>
      </c>
    </row>
    <row r="6631" spans="1:5" x14ac:dyDescent="0.2">
      <c r="A6631" t="s">
        <v>16896</v>
      </c>
      <c r="B6631" t="s">
        <v>16897</v>
      </c>
      <c r="C6631" t="s">
        <v>16701</v>
      </c>
      <c r="D6631" t="s">
        <v>16701</v>
      </c>
      <c r="E6631" t="s">
        <v>16898</v>
      </c>
    </row>
    <row r="6632" spans="1:5" x14ac:dyDescent="0.2">
      <c r="A6632" t="s">
        <v>16899</v>
      </c>
      <c r="B6632" t="s">
        <v>16900</v>
      </c>
      <c r="C6632" t="s">
        <v>16701</v>
      </c>
      <c r="D6632" t="s">
        <v>16701</v>
      </c>
      <c r="E6632" t="s">
        <v>16713</v>
      </c>
    </row>
    <row r="6633" spans="1:5" x14ac:dyDescent="0.2">
      <c r="A6633" t="s">
        <v>16901</v>
      </c>
      <c r="B6633" t="s">
        <v>16902</v>
      </c>
      <c r="C6633" t="s">
        <v>16701</v>
      </c>
      <c r="D6633" t="s">
        <v>16701</v>
      </c>
      <c r="E6633" t="s">
        <v>16705</v>
      </c>
    </row>
    <row r="6634" spans="1:5" x14ac:dyDescent="0.2">
      <c r="A6634" t="s">
        <v>16903</v>
      </c>
      <c r="B6634" t="s">
        <v>16904</v>
      </c>
      <c r="C6634" t="s">
        <v>16701</v>
      </c>
      <c r="D6634" t="s">
        <v>16701</v>
      </c>
      <c r="E6634" t="s">
        <v>16705</v>
      </c>
    </row>
    <row r="6635" spans="1:5" x14ac:dyDescent="0.2">
      <c r="A6635" t="s">
        <v>16905</v>
      </c>
      <c r="B6635" t="s">
        <v>16906</v>
      </c>
      <c r="C6635" t="s">
        <v>16907</v>
      </c>
      <c r="D6635" t="s">
        <v>16907</v>
      </c>
      <c r="E6635" t="s">
        <v>16908</v>
      </c>
    </row>
    <row r="6636" spans="1:5" x14ac:dyDescent="0.2">
      <c r="A6636" t="s">
        <v>16909</v>
      </c>
      <c r="B6636" t="s">
        <v>16910</v>
      </c>
      <c r="C6636" t="s">
        <v>16907</v>
      </c>
      <c r="D6636" t="s">
        <v>16907</v>
      </c>
      <c r="E6636" t="s">
        <v>16911</v>
      </c>
    </row>
    <row r="6637" spans="1:5" x14ac:dyDescent="0.2">
      <c r="A6637" t="s">
        <v>16912</v>
      </c>
      <c r="B6637" t="s">
        <v>16913</v>
      </c>
      <c r="C6637" t="s">
        <v>16907</v>
      </c>
      <c r="D6637" t="s">
        <v>16907</v>
      </c>
      <c r="E6637" t="s">
        <v>16914</v>
      </c>
    </row>
    <row r="6638" spans="1:5" x14ac:dyDescent="0.2">
      <c r="A6638" t="s">
        <v>16915</v>
      </c>
      <c r="B6638" t="s">
        <v>16916</v>
      </c>
      <c r="C6638" t="s">
        <v>16907</v>
      </c>
      <c r="D6638" t="s">
        <v>16907</v>
      </c>
      <c r="E6638" t="s">
        <v>16917</v>
      </c>
    </row>
    <row r="6639" spans="1:5" x14ac:dyDescent="0.2">
      <c r="A6639" t="s">
        <v>16918</v>
      </c>
      <c r="B6639" t="s">
        <v>16919</v>
      </c>
      <c r="C6639" t="s">
        <v>16907</v>
      </c>
      <c r="D6639" t="s">
        <v>16907</v>
      </c>
      <c r="E6639" t="s">
        <v>16920</v>
      </c>
    </row>
    <row r="6640" spans="1:5" x14ac:dyDescent="0.2">
      <c r="A6640" t="s">
        <v>16921</v>
      </c>
      <c r="B6640" t="s">
        <v>16922</v>
      </c>
      <c r="C6640" t="s">
        <v>16907</v>
      </c>
      <c r="D6640" t="s">
        <v>16907</v>
      </c>
      <c r="E6640" t="s">
        <v>16923</v>
      </c>
    </row>
    <row r="6641" spans="1:5" x14ac:dyDescent="0.2">
      <c r="A6641" t="s">
        <v>16924</v>
      </c>
      <c r="B6641" t="s">
        <v>16925</v>
      </c>
      <c r="C6641" t="s">
        <v>16907</v>
      </c>
      <c r="D6641" t="s">
        <v>16907</v>
      </c>
      <c r="E6641" t="s">
        <v>16926</v>
      </c>
    </row>
    <row r="6642" spans="1:5" x14ac:dyDescent="0.2">
      <c r="A6642" t="s">
        <v>16927</v>
      </c>
      <c r="B6642" t="s">
        <v>16928</v>
      </c>
      <c r="C6642" t="s">
        <v>16907</v>
      </c>
      <c r="D6642" t="s">
        <v>16907</v>
      </c>
      <c r="E6642" t="s">
        <v>16929</v>
      </c>
    </row>
    <row r="6643" spans="1:5" x14ac:dyDescent="0.2">
      <c r="A6643" t="s">
        <v>16930</v>
      </c>
      <c r="B6643" t="s">
        <v>16931</v>
      </c>
      <c r="C6643" t="s">
        <v>16907</v>
      </c>
      <c r="D6643" t="s">
        <v>16907</v>
      </c>
      <c r="E6643" t="s">
        <v>16932</v>
      </c>
    </row>
    <row r="6644" spans="1:5" x14ac:dyDescent="0.2">
      <c r="A6644" t="s">
        <v>16933</v>
      </c>
      <c r="B6644" t="s">
        <v>16934</v>
      </c>
      <c r="C6644" t="s">
        <v>16907</v>
      </c>
      <c r="D6644" t="s">
        <v>16907</v>
      </c>
      <c r="E6644" t="s">
        <v>16908</v>
      </c>
    </row>
    <row r="6645" spans="1:5" x14ac:dyDescent="0.2">
      <c r="A6645" t="s">
        <v>16935</v>
      </c>
      <c r="B6645" t="s">
        <v>16936</v>
      </c>
      <c r="C6645" t="s">
        <v>16907</v>
      </c>
      <c r="D6645" t="s">
        <v>16907</v>
      </c>
      <c r="E6645" t="s">
        <v>16937</v>
      </c>
    </row>
    <row r="6646" spans="1:5" x14ac:dyDescent="0.2">
      <c r="A6646" t="s">
        <v>16938</v>
      </c>
      <c r="B6646" t="s">
        <v>16939</v>
      </c>
      <c r="C6646" t="s">
        <v>16907</v>
      </c>
      <c r="D6646" t="s">
        <v>16907</v>
      </c>
      <c r="E6646" t="s">
        <v>16940</v>
      </c>
    </row>
    <row r="6647" spans="1:5" x14ac:dyDescent="0.2">
      <c r="A6647" t="s">
        <v>16941</v>
      </c>
      <c r="B6647" t="s">
        <v>16942</v>
      </c>
      <c r="C6647" t="s">
        <v>16907</v>
      </c>
      <c r="D6647" t="s">
        <v>16907</v>
      </c>
      <c r="E6647" t="s">
        <v>16908</v>
      </c>
    </row>
    <row r="6648" spans="1:5" x14ac:dyDescent="0.2">
      <c r="A6648" t="s">
        <v>16943</v>
      </c>
      <c r="B6648" t="s">
        <v>16944</v>
      </c>
      <c r="C6648" t="s">
        <v>16907</v>
      </c>
      <c r="D6648" t="s">
        <v>16907</v>
      </c>
      <c r="E6648" t="s">
        <v>16908</v>
      </c>
    </row>
    <row r="6649" spans="1:5" x14ac:dyDescent="0.2">
      <c r="A6649" t="s">
        <v>16945</v>
      </c>
      <c r="B6649" t="s">
        <v>16946</v>
      </c>
      <c r="C6649" t="s">
        <v>16907</v>
      </c>
      <c r="D6649" t="s">
        <v>16907</v>
      </c>
      <c r="E6649" t="s">
        <v>16917</v>
      </c>
    </row>
    <row r="6650" spans="1:5" x14ac:dyDescent="0.2">
      <c r="A6650" t="s">
        <v>16947</v>
      </c>
      <c r="B6650" t="s">
        <v>16948</v>
      </c>
      <c r="C6650" t="s">
        <v>16907</v>
      </c>
      <c r="D6650" t="s">
        <v>16907</v>
      </c>
      <c r="E6650" t="s">
        <v>16949</v>
      </c>
    </row>
    <row r="6651" spans="1:5" x14ac:dyDescent="0.2">
      <c r="A6651" t="s">
        <v>16950</v>
      </c>
      <c r="B6651" t="s">
        <v>16951</v>
      </c>
      <c r="C6651" t="s">
        <v>16907</v>
      </c>
      <c r="D6651" t="s">
        <v>16907</v>
      </c>
      <c r="E6651" t="s">
        <v>16952</v>
      </c>
    </row>
    <row r="6652" spans="1:5" x14ac:dyDescent="0.2">
      <c r="A6652" t="s">
        <v>16953</v>
      </c>
      <c r="B6652" t="s">
        <v>16954</v>
      </c>
      <c r="C6652" t="s">
        <v>16907</v>
      </c>
      <c r="D6652" t="s">
        <v>16907</v>
      </c>
      <c r="E6652" t="s">
        <v>16955</v>
      </c>
    </row>
    <row r="6653" spans="1:5" x14ac:dyDescent="0.2">
      <c r="A6653" t="s">
        <v>16956</v>
      </c>
      <c r="B6653" t="s">
        <v>16957</v>
      </c>
      <c r="C6653" t="s">
        <v>16907</v>
      </c>
      <c r="D6653" t="s">
        <v>16907</v>
      </c>
      <c r="E6653" t="s">
        <v>16923</v>
      </c>
    </row>
    <row r="6654" spans="1:5" x14ac:dyDescent="0.2">
      <c r="A6654" t="s">
        <v>16958</v>
      </c>
      <c r="B6654" t="s">
        <v>16959</v>
      </c>
      <c r="C6654" t="s">
        <v>16907</v>
      </c>
      <c r="D6654" t="s">
        <v>16907</v>
      </c>
      <c r="E6654" t="s">
        <v>16960</v>
      </c>
    </row>
    <row r="6655" spans="1:5" x14ac:dyDescent="0.2">
      <c r="A6655" t="s">
        <v>16961</v>
      </c>
      <c r="B6655" t="s">
        <v>16962</v>
      </c>
      <c r="C6655" t="s">
        <v>16907</v>
      </c>
      <c r="D6655" t="s">
        <v>16907</v>
      </c>
      <c r="E6655" t="s">
        <v>16963</v>
      </c>
    </row>
    <row r="6656" spans="1:5" x14ac:dyDescent="0.2">
      <c r="A6656" t="s">
        <v>16964</v>
      </c>
      <c r="B6656" t="s">
        <v>16965</v>
      </c>
      <c r="C6656" t="s">
        <v>16907</v>
      </c>
      <c r="D6656" t="s">
        <v>16907</v>
      </c>
      <c r="E6656" t="s">
        <v>16917</v>
      </c>
    </row>
    <row r="6657" spans="1:5" x14ac:dyDescent="0.2">
      <c r="A6657" t="s">
        <v>16966</v>
      </c>
      <c r="B6657" t="s">
        <v>16967</v>
      </c>
      <c r="C6657" t="s">
        <v>16907</v>
      </c>
      <c r="D6657" t="s">
        <v>16907</v>
      </c>
      <c r="E6657" t="s">
        <v>16968</v>
      </c>
    </row>
    <row r="6658" spans="1:5" x14ac:dyDescent="0.2">
      <c r="A6658" t="s">
        <v>16969</v>
      </c>
      <c r="B6658" t="s">
        <v>16970</v>
      </c>
      <c r="C6658" t="s">
        <v>16907</v>
      </c>
      <c r="D6658" t="s">
        <v>16907</v>
      </c>
      <c r="E6658" t="s">
        <v>16917</v>
      </c>
    </row>
    <row r="6659" spans="1:5" x14ac:dyDescent="0.2">
      <c r="A6659" t="s">
        <v>16971</v>
      </c>
      <c r="B6659" t="s">
        <v>16972</v>
      </c>
      <c r="C6659" t="s">
        <v>16907</v>
      </c>
      <c r="D6659" t="s">
        <v>16907</v>
      </c>
      <c r="E6659" t="s">
        <v>16973</v>
      </c>
    </row>
    <row r="6660" spans="1:5" x14ac:dyDescent="0.2">
      <c r="A6660" t="s">
        <v>16974</v>
      </c>
      <c r="B6660" t="s">
        <v>16975</v>
      </c>
      <c r="C6660" t="s">
        <v>16907</v>
      </c>
      <c r="D6660" t="s">
        <v>16907</v>
      </c>
      <c r="E6660" t="s">
        <v>16908</v>
      </c>
    </row>
    <row r="6661" spans="1:5" x14ac:dyDescent="0.2">
      <c r="A6661" t="s">
        <v>16976</v>
      </c>
      <c r="B6661" t="s">
        <v>16977</v>
      </c>
      <c r="C6661" t="s">
        <v>16907</v>
      </c>
      <c r="D6661" t="s">
        <v>16907</v>
      </c>
      <c r="E6661" t="s">
        <v>16978</v>
      </c>
    </row>
    <row r="6662" spans="1:5" x14ac:dyDescent="0.2">
      <c r="A6662" t="s">
        <v>16979</v>
      </c>
      <c r="B6662" t="s">
        <v>16980</v>
      </c>
      <c r="C6662" t="s">
        <v>16907</v>
      </c>
      <c r="D6662" t="s">
        <v>16907</v>
      </c>
      <c r="E6662" t="s">
        <v>16981</v>
      </c>
    </row>
    <row r="6663" spans="1:5" x14ac:dyDescent="0.2">
      <c r="A6663" t="s">
        <v>16982</v>
      </c>
      <c r="B6663" t="s">
        <v>16983</v>
      </c>
      <c r="C6663" t="s">
        <v>16907</v>
      </c>
      <c r="D6663" t="s">
        <v>16907</v>
      </c>
      <c r="E6663" t="s">
        <v>16917</v>
      </c>
    </row>
    <row r="6664" spans="1:5" x14ac:dyDescent="0.2">
      <c r="A6664" t="s">
        <v>16984</v>
      </c>
      <c r="B6664" t="s">
        <v>16985</v>
      </c>
      <c r="C6664" t="s">
        <v>16907</v>
      </c>
      <c r="D6664" t="s">
        <v>16907</v>
      </c>
      <c r="E6664" t="s">
        <v>16908</v>
      </c>
    </row>
    <row r="6665" spans="1:5" x14ac:dyDescent="0.2">
      <c r="A6665" t="s">
        <v>16986</v>
      </c>
      <c r="B6665" t="s">
        <v>16987</v>
      </c>
      <c r="C6665" t="s">
        <v>16907</v>
      </c>
      <c r="D6665" t="s">
        <v>16907</v>
      </c>
      <c r="E6665" t="s">
        <v>16917</v>
      </c>
    </row>
    <row r="6666" spans="1:5" x14ac:dyDescent="0.2">
      <c r="A6666" t="s">
        <v>16988</v>
      </c>
      <c r="B6666" t="s">
        <v>16989</v>
      </c>
      <c r="C6666" t="s">
        <v>16907</v>
      </c>
      <c r="D6666" t="s">
        <v>16907</v>
      </c>
      <c r="E6666" t="s">
        <v>16990</v>
      </c>
    </row>
    <row r="6667" spans="1:5" x14ac:dyDescent="0.2">
      <c r="A6667" t="s">
        <v>16991</v>
      </c>
      <c r="B6667" t="s">
        <v>16992</v>
      </c>
      <c r="C6667" t="s">
        <v>16907</v>
      </c>
      <c r="D6667" t="s">
        <v>16907</v>
      </c>
      <c r="E6667" t="s">
        <v>16993</v>
      </c>
    </row>
    <row r="6668" spans="1:5" x14ac:dyDescent="0.2">
      <c r="A6668" t="s">
        <v>16994</v>
      </c>
      <c r="B6668" t="s">
        <v>16995</v>
      </c>
      <c r="C6668" t="s">
        <v>16907</v>
      </c>
      <c r="D6668" t="s">
        <v>16907</v>
      </c>
      <c r="E6668" t="s">
        <v>16996</v>
      </c>
    </row>
    <row r="6669" spans="1:5" x14ac:dyDescent="0.2">
      <c r="A6669" t="s">
        <v>16997</v>
      </c>
      <c r="B6669" t="s">
        <v>16998</v>
      </c>
      <c r="C6669" t="s">
        <v>16907</v>
      </c>
      <c r="D6669" t="s">
        <v>16907</v>
      </c>
      <c r="E6669" t="s">
        <v>16955</v>
      </c>
    </row>
    <row r="6670" spans="1:5" x14ac:dyDescent="0.2">
      <c r="A6670" t="s">
        <v>16999</v>
      </c>
      <c r="B6670" t="s">
        <v>17000</v>
      </c>
      <c r="C6670" t="s">
        <v>16907</v>
      </c>
      <c r="D6670" t="s">
        <v>16907</v>
      </c>
      <c r="E6670" t="s">
        <v>17001</v>
      </c>
    </row>
    <row r="6671" spans="1:5" x14ac:dyDescent="0.2">
      <c r="A6671" t="s">
        <v>17002</v>
      </c>
      <c r="B6671" t="s">
        <v>17003</v>
      </c>
      <c r="C6671" t="s">
        <v>16907</v>
      </c>
      <c r="D6671" t="s">
        <v>16907</v>
      </c>
      <c r="E6671" t="s">
        <v>16968</v>
      </c>
    </row>
    <row r="6672" spans="1:5" x14ac:dyDescent="0.2">
      <c r="A6672" t="s">
        <v>17004</v>
      </c>
      <c r="B6672" t="s">
        <v>17005</v>
      </c>
      <c r="C6672" t="s">
        <v>16907</v>
      </c>
      <c r="D6672" t="s">
        <v>16907</v>
      </c>
      <c r="E6672" t="s">
        <v>17006</v>
      </c>
    </row>
    <row r="6673" spans="1:5" x14ac:dyDescent="0.2">
      <c r="A6673" t="s">
        <v>17007</v>
      </c>
      <c r="B6673" t="s">
        <v>17008</v>
      </c>
      <c r="C6673" t="s">
        <v>16907</v>
      </c>
      <c r="D6673" t="s">
        <v>16907</v>
      </c>
      <c r="E6673" t="s">
        <v>17009</v>
      </c>
    </row>
    <row r="6674" spans="1:5" x14ac:dyDescent="0.2">
      <c r="A6674" t="s">
        <v>17010</v>
      </c>
      <c r="B6674" t="s">
        <v>17011</v>
      </c>
      <c r="C6674" t="s">
        <v>16907</v>
      </c>
      <c r="D6674" t="s">
        <v>16907</v>
      </c>
      <c r="E6674" t="s">
        <v>16917</v>
      </c>
    </row>
    <row r="6675" spans="1:5" x14ac:dyDescent="0.2">
      <c r="A6675" t="s">
        <v>17012</v>
      </c>
      <c r="B6675" t="s">
        <v>17013</v>
      </c>
      <c r="C6675" t="s">
        <v>16907</v>
      </c>
      <c r="D6675" t="s">
        <v>16907</v>
      </c>
      <c r="E6675" t="s">
        <v>17014</v>
      </c>
    </row>
    <row r="6676" spans="1:5" x14ac:dyDescent="0.2">
      <c r="A6676" t="s">
        <v>17015</v>
      </c>
      <c r="B6676" t="s">
        <v>17016</v>
      </c>
      <c r="C6676" t="s">
        <v>16907</v>
      </c>
      <c r="D6676" t="s">
        <v>16907</v>
      </c>
      <c r="E6676" t="s">
        <v>16908</v>
      </c>
    </row>
    <row r="6677" spans="1:5" x14ac:dyDescent="0.2">
      <c r="A6677" t="s">
        <v>17017</v>
      </c>
      <c r="B6677" t="s">
        <v>17018</v>
      </c>
      <c r="C6677" t="s">
        <v>16907</v>
      </c>
      <c r="D6677" t="s">
        <v>16907</v>
      </c>
      <c r="E6677" t="s">
        <v>16968</v>
      </c>
    </row>
    <row r="6678" spans="1:5" x14ac:dyDescent="0.2">
      <c r="A6678" t="s">
        <v>17019</v>
      </c>
      <c r="B6678" t="s">
        <v>17020</v>
      </c>
      <c r="C6678" t="s">
        <v>16907</v>
      </c>
      <c r="D6678" t="s">
        <v>16907</v>
      </c>
      <c r="E6678" t="s">
        <v>16917</v>
      </c>
    </row>
    <row r="6679" spans="1:5" x14ac:dyDescent="0.2">
      <c r="A6679" t="s">
        <v>17021</v>
      </c>
      <c r="B6679" t="s">
        <v>17022</v>
      </c>
      <c r="C6679" t="s">
        <v>16907</v>
      </c>
      <c r="D6679" t="s">
        <v>16907</v>
      </c>
      <c r="E6679" t="s">
        <v>16911</v>
      </c>
    </row>
    <row r="6680" spans="1:5" x14ac:dyDescent="0.2">
      <c r="A6680" t="s">
        <v>17023</v>
      </c>
      <c r="B6680" t="s">
        <v>17024</v>
      </c>
      <c r="C6680" t="s">
        <v>16907</v>
      </c>
      <c r="D6680" t="s">
        <v>16907</v>
      </c>
      <c r="E6680" t="s">
        <v>17025</v>
      </c>
    </row>
    <row r="6681" spans="1:5" x14ac:dyDescent="0.2">
      <c r="A6681" t="s">
        <v>17026</v>
      </c>
      <c r="B6681" t="s">
        <v>17027</v>
      </c>
      <c r="C6681" t="s">
        <v>16907</v>
      </c>
      <c r="D6681" t="s">
        <v>16907</v>
      </c>
      <c r="E6681" t="s">
        <v>16955</v>
      </c>
    </row>
    <row r="6682" spans="1:5" x14ac:dyDescent="0.2">
      <c r="A6682" t="s">
        <v>17028</v>
      </c>
      <c r="B6682" t="s">
        <v>17029</v>
      </c>
      <c r="C6682" t="s">
        <v>16907</v>
      </c>
      <c r="D6682" t="s">
        <v>16907</v>
      </c>
      <c r="E6682" t="s">
        <v>17030</v>
      </c>
    </row>
    <row r="6683" spans="1:5" x14ac:dyDescent="0.2">
      <c r="A6683" t="s">
        <v>17031</v>
      </c>
      <c r="B6683" t="s">
        <v>17032</v>
      </c>
      <c r="C6683" t="s">
        <v>16907</v>
      </c>
      <c r="D6683" t="s">
        <v>16907</v>
      </c>
      <c r="E6683" t="s">
        <v>17033</v>
      </c>
    </row>
    <row r="6684" spans="1:5" x14ac:dyDescent="0.2">
      <c r="A6684" t="s">
        <v>17034</v>
      </c>
      <c r="B6684" t="s">
        <v>17035</v>
      </c>
      <c r="C6684" t="s">
        <v>16907</v>
      </c>
      <c r="D6684" t="s">
        <v>16907</v>
      </c>
      <c r="E6684" t="s">
        <v>16908</v>
      </c>
    </row>
    <row r="6685" spans="1:5" x14ac:dyDescent="0.2">
      <c r="A6685" t="s">
        <v>17036</v>
      </c>
      <c r="B6685" t="s">
        <v>17037</v>
      </c>
      <c r="C6685" t="s">
        <v>16907</v>
      </c>
      <c r="D6685" t="s">
        <v>16907</v>
      </c>
      <c r="E6685" t="s">
        <v>16908</v>
      </c>
    </row>
    <row r="6686" spans="1:5" x14ac:dyDescent="0.2">
      <c r="A6686" t="s">
        <v>17038</v>
      </c>
      <c r="B6686" t="s">
        <v>17039</v>
      </c>
      <c r="C6686" t="s">
        <v>16907</v>
      </c>
      <c r="D6686" t="s">
        <v>16907</v>
      </c>
      <c r="E6686" t="s">
        <v>17040</v>
      </c>
    </row>
    <row r="6687" spans="1:5" x14ac:dyDescent="0.2">
      <c r="A6687" t="s">
        <v>17041</v>
      </c>
      <c r="B6687" t="s">
        <v>17042</v>
      </c>
      <c r="C6687" t="s">
        <v>16907</v>
      </c>
      <c r="D6687" t="s">
        <v>16907</v>
      </c>
      <c r="E6687" t="s">
        <v>16917</v>
      </c>
    </row>
    <row r="6688" spans="1:5" x14ac:dyDescent="0.2">
      <c r="A6688" t="s">
        <v>17043</v>
      </c>
      <c r="B6688" t="s">
        <v>17044</v>
      </c>
      <c r="C6688" t="s">
        <v>16907</v>
      </c>
      <c r="D6688" t="s">
        <v>16907</v>
      </c>
      <c r="E6688" t="s">
        <v>17045</v>
      </c>
    </row>
    <row r="6689" spans="1:5" x14ac:dyDescent="0.2">
      <c r="A6689" t="s">
        <v>17046</v>
      </c>
      <c r="B6689" t="s">
        <v>17047</v>
      </c>
      <c r="C6689" t="s">
        <v>16907</v>
      </c>
      <c r="D6689" t="s">
        <v>16907</v>
      </c>
      <c r="E6689" t="s">
        <v>16917</v>
      </c>
    </row>
    <row r="6690" spans="1:5" x14ac:dyDescent="0.2">
      <c r="A6690" t="s">
        <v>17048</v>
      </c>
      <c r="B6690" t="s">
        <v>17049</v>
      </c>
      <c r="C6690" t="s">
        <v>16907</v>
      </c>
      <c r="D6690" t="s">
        <v>16907</v>
      </c>
      <c r="E6690" t="s">
        <v>16923</v>
      </c>
    </row>
    <row r="6691" spans="1:5" x14ac:dyDescent="0.2">
      <c r="A6691" t="s">
        <v>17050</v>
      </c>
      <c r="B6691" t="s">
        <v>17051</v>
      </c>
      <c r="C6691" t="s">
        <v>16907</v>
      </c>
      <c r="D6691" t="s">
        <v>16907</v>
      </c>
      <c r="E6691" t="s">
        <v>17052</v>
      </c>
    </row>
    <row r="6692" spans="1:5" x14ac:dyDescent="0.2">
      <c r="A6692" t="s">
        <v>17053</v>
      </c>
      <c r="B6692" t="s">
        <v>17054</v>
      </c>
      <c r="C6692" t="s">
        <v>16907</v>
      </c>
      <c r="D6692" t="s">
        <v>16907</v>
      </c>
      <c r="E6692" t="s">
        <v>16917</v>
      </c>
    </row>
    <row r="6693" spans="1:5" x14ac:dyDescent="0.2">
      <c r="A6693" t="s">
        <v>17055</v>
      </c>
      <c r="B6693" t="s">
        <v>17056</v>
      </c>
      <c r="C6693" t="s">
        <v>16907</v>
      </c>
      <c r="D6693" t="s">
        <v>16907</v>
      </c>
      <c r="E6693" t="s">
        <v>16908</v>
      </c>
    </row>
    <row r="6694" spans="1:5" x14ac:dyDescent="0.2">
      <c r="A6694" t="s">
        <v>17057</v>
      </c>
      <c r="B6694" t="s">
        <v>17058</v>
      </c>
      <c r="C6694" t="s">
        <v>16907</v>
      </c>
      <c r="D6694" t="s">
        <v>16907</v>
      </c>
      <c r="E6694" t="s">
        <v>17059</v>
      </c>
    </row>
    <row r="6695" spans="1:5" x14ac:dyDescent="0.2">
      <c r="A6695" t="s">
        <v>17060</v>
      </c>
      <c r="B6695" t="s">
        <v>17061</v>
      </c>
      <c r="C6695" t="s">
        <v>16907</v>
      </c>
      <c r="D6695" t="s">
        <v>16907</v>
      </c>
      <c r="E6695" t="s">
        <v>17062</v>
      </c>
    </row>
    <row r="6696" spans="1:5" x14ac:dyDescent="0.2">
      <c r="A6696" t="s">
        <v>17063</v>
      </c>
      <c r="B6696" t="s">
        <v>17064</v>
      </c>
      <c r="C6696" t="s">
        <v>16907</v>
      </c>
      <c r="D6696" t="s">
        <v>16907</v>
      </c>
      <c r="E6696" t="s">
        <v>17065</v>
      </c>
    </row>
    <row r="6697" spans="1:5" x14ac:dyDescent="0.2">
      <c r="A6697" t="s">
        <v>17066</v>
      </c>
      <c r="B6697" t="s">
        <v>17067</v>
      </c>
      <c r="C6697" t="s">
        <v>16907</v>
      </c>
      <c r="D6697" t="s">
        <v>16907</v>
      </c>
      <c r="E6697" t="s">
        <v>16923</v>
      </c>
    </row>
    <row r="6698" spans="1:5" x14ac:dyDescent="0.2">
      <c r="A6698" t="s">
        <v>17068</v>
      </c>
      <c r="B6698" t="s">
        <v>17069</v>
      </c>
      <c r="C6698" t="s">
        <v>16907</v>
      </c>
      <c r="D6698" t="s">
        <v>16907</v>
      </c>
      <c r="E6698" t="s">
        <v>17070</v>
      </c>
    </row>
    <row r="6699" spans="1:5" x14ac:dyDescent="0.2">
      <c r="A6699" t="s">
        <v>17071</v>
      </c>
      <c r="B6699" t="s">
        <v>17072</v>
      </c>
      <c r="C6699" t="s">
        <v>16907</v>
      </c>
      <c r="D6699" t="s">
        <v>16907</v>
      </c>
      <c r="E6699" t="s">
        <v>16911</v>
      </c>
    </row>
    <row r="6700" spans="1:5" x14ac:dyDescent="0.2">
      <c r="A6700" t="s">
        <v>17073</v>
      </c>
      <c r="B6700" t="s">
        <v>17074</v>
      </c>
      <c r="C6700" t="s">
        <v>16907</v>
      </c>
      <c r="D6700" t="s">
        <v>16907</v>
      </c>
      <c r="E6700" t="s">
        <v>17075</v>
      </c>
    </row>
    <row r="6701" spans="1:5" x14ac:dyDescent="0.2">
      <c r="A6701" t="s">
        <v>17076</v>
      </c>
      <c r="B6701" t="s">
        <v>17077</v>
      </c>
      <c r="C6701" t="s">
        <v>16907</v>
      </c>
      <c r="D6701" t="s">
        <v>16907</v>
      </c>
      <c r="E6701" t="s">
        <v>16908</v>
      </c>
    </row>
    <row r="6702" spans="1:5" x14ac:dyDescent="0.2">
      <c r="A6702" t="s">
        <v>17078</v>
      </c>
      <c r="B6702" t="s">
        <v>17079</v>
      </c>
      <c r="C6702" t="s">
        <v>16907</v>
      </c>
      <c r="D6702" t="s">
        <v>16907</v>
      </c>
      <c r="E6702" t="s">
        <v>16923</v>
      </c>
    </row>
    <row r="6703" spans="1:5" x14ac:dyDescent="0.2">
      <c r="A6703" t="s">
        <v>17080</v>
      </c>
      <c r="B6703" t="s">
        <v>17081</v>
      </c>
      <c r="C6703" t="s">
        <v>16907</v>
      </c>
      <c r="D6703" t="s">
        <v>16907</v>
      </c>
      <c r="E6703" t="s">
        <v>17082</v>
      </c>
    </row>
    <row r="6704" spans="1:5" x14ac:dyDescent="0.2">
      <c r="A6704" t="s">
        <v>17083</v>
      </c>
      <c r="B6704" t="s">
        <v>17084</v>
      </c>
      <c r="C6704" t="s">
        <v>16907</v>
      </c>
      <c r="D6704" t="s">
        <v>16907</v>
      </c>
      <c r="E6704" t="s">
        <v>16908</v>
      </c>
    </row>
    <row r="6705" spans="1:5" x14ac:dyDescent="0.2">
      <c r="A6705" t="s">
        <v>17085</v>
      </c>
      <c r="B6705" t="s">
        <v>17086</v>
      </c>
      <c r="C6705" t="s">
        <v>16907</v>
      </c>
      <c r="D6705" t="s">
        <v>16907</v>
      </c>
      <c r="E6705" t="s">
        <v>16917</v>
      </c>
    </row>
    <row r="6706" spans="1:5" x14ac:dyDescent="0.2">
      <c r="A6706" t="s">
        <v>17087</v>
      </c>
      <c r="B6706" t="s">
        <v>17088</v>
      </c>
      <c r="C6706" t="s">
        <v>16907</v>
      </c>
      <c r="D6706" t="s">
        <v>16907</v>
      </c>
      <c r="E6706" t="s">
        <v>17089</v>
      </c>
    </row>
    <row r="6707" spans="1:5" x14ac:dyDescent="0.2">
      <c r="A6707" t="s">
        <v>17090</v>
      </c>
      <c r="B6707" t="s">
        <v>17091</v>
      </c>
      <c r="C6707" t="s">
        <v>16907</v>
      </c>
      <c r="D6707" t="s">
        <v>16907</v>
      </c>
      <c r="E6707" t="s">
        <v>16955</v>
      </c>
    </row>
    <row r="6708" spans="1:5" x14ac:dyDescent="0.2">
      <c r="A6708" t="s">
        <v>17092</v>
      </c>
      <c r="B6708" t="s">
        <v>17093</v>
      </c>
      <c r="C6708" t="s">
        <v>16907</v>
      </c>
      <c r="D6708" t="s">
        <v>16907</v>
      </c>
      <c r="E6708" t="s">
        <v>16917</v>
      </c>
    </row>
    <row r="6709" spans="1:5" x14ac:dyDescent="0.2">
      <c r="A6709" t="s">
        <v>17094</v>
      </c>
      <c r="B6709" t="s">
        <v>17095</v>
      </c>
      <c r="C6709" t="s">
        <v>16907</v>
      </c>
      <c r="D6709" t="s">
        <v>16907</v>
      </c>
      <c r="E6709" t="s">
        <v>17096</v>
      </c>
    </row>
    <row r="6710" spans="1:5" x14ac:dyDescent="0.2">
      <c r="A6710" t="s">
        <v>17097</v>
      </c>
      <c r="B6710" t="s">
        <v>17098</v>
      </c>
      <c r="C6710" t="s">
        <v>16907</v>
      </c>
      <c r="D6710" t="s">
        <v>16907</v>
      </c>
      <c r="E6710" t="s">
        <v>17099</v>
      </c>
    </row>
    <row r="6711" spans="1:5" x14ac:dyDescent="0.2">
      <c r="A6711" t="s">
        <v>17100</v>
      </c>
      <c r="B6711" t="s">
        <v>17101</v>
      </c>
      <c r="C6711" t="s">
        <v>16907</v>
      </c>
      <c r="D6711" t="s">
        <v>16907</v>
      </c>
      <c r="E6711" t="s">
        <v>17102</v>
      </c>
    </row>
    <row r="6712" spans="1:5" x14ac:dyDescent="0.2">
      <c r="A6712" t="s">
        <v>17103</v>
      </c>
      <c r="B6712" t="s">
        <v>17104</v>
      </c>
      <c r="C6712" t="s">
        <v>16907</v>
      </c>
      <c r="D6712" t="s">
        <v>16907</v>
      </c>
      <c r="E6712" t="s">
        <v>17105</v>
      </c>
    </row>
    <row r="6713" spans="1:5" x14ac:dyDescent="0.2">
      <c r="A6713" t="s">
        <v>17106</v>
      </c>
      <c r="B6713" t="s">
        <v>17107</v>
      </c>
      <c r="C6713" t="s">
        <v>16907</v>
      </c>
      <c r="D6713" t="s">
        <v>16907</v>
      </c>
      <c r="E6713" t="s">
        <v>16908</v>
      </c>
    </row>
    <row r="6714" spans="1:5" x14ac:dyDescent="0.2">
      <c r="A6714" t="s">
        <v>17108</v>
      </c>
      <c r="B6714" t="s">
        <v>17109</v>
      </c>
      <c r="C6714" t="s">
        <v>16907</v>
      </c>
      <c r="D6714" t="s">
        <v>16907</v>
      </c>
      <c r="E6714" t="s">
        <v>17110</v>
      </c>
    </row>
    <row r="6715" spans="1:5" x14ac:dyDescent="0.2">
      <c r="A6715" t="s">
        <v>17111</v>
      </c>
      <c r="B6715" t="s">
        <v>17112</v>
      </c>
      <c r="C6715" t="s">
        <v>16907</v>
      </c>
      <c r="D6715" t="s">
        <v>16907</v>
      </c>
      <c r="E6715" t="s">
        <v>17113</v>
      </c>
    </row>
    <row r="6716" spans="1:5" x14ac:dyDescent="0.2">
      <c r="A6716" t="s">
        <v>17114</v>
      </c>
      <c r="B6716" t="s">
        <v>17115</v>
      </c>
      <c r="C6716" t="s">
        <v>16907</v>
      </c>
      <c r="D6716" t="s">
        <v>16907</v>
      </c>
      <c r="E6716" t="s">
        <v>16908</v>
      </c>
    </row>
    <row r="6717" spans="1:5" x14ac:dyDescent="0.2">
      <c r="A6717" t="s">
        <v>17116</v>
      </c>
      <c r="B6717" t="s">
        <v>17117</v>
      </c>
      <c r="C6717" t="s">
        <v>16907</v>
      </c>
      <c r="D6717" t="s">
        <v>16907</v>
      </c>
      <c r="E6717" t="s">
        <v>16917</v>
      </c>
    </row>
    <row r="6718" spans="1:5" x14ac:dyDescent="0.2">
      <c r="A6718" t="s">
        <v>17118</v>
      </c>
      <c r="B6718" t="s">
        <v>17119</v>
      </c>
      <c r="C6718" t="s">
        <v>16907</v>
      </c>
      <c r="D6718" t="s">
        <v>16907</v>
      </c>
      <c r="E6718" t="s">
        <v>17120</v>
      </c>
    </row>
    <row r="6719" spans="1:5" x14ac:dyDescent="0.2">
      <c r="A6719" t="s">
        <v>17121</v>
      </c>
      <c r="B6719" t="s">
        <v>17122</v>
      </c>
      <c r="C6719" t="s">
        <v>16907</v>
      </c>
      <c r="D6719" t="s">
        <v>16907</v>
      </c>
      <c r="E6719" t="s">
        <v>16917</v>
      </c>
    </row>
    <row r="6720" spans="1:5" x14ac:dyDescent="0.2">
      <c r="A6720" t="s">
        <v>17123</v>
      </c>
      <c r="B6720" t="s">
        <v>17124</v>
      </c>
      <c r="C6720" t="s">
        <v>16907</v>
      </c>
      <c r="D6720" t="s">
        <v>16907</v>
      </c>
      <c r="E6720" t="s">
        <v>17125</v>
      </c>
    </row>
    <row r="6721" spans="1:5" x14ac:dyDescent="0.2">
      <c r="A6721" t="s">
        <v>17126</v>
      </c>
      <c r="B6721" t="s">
        <v>17127</v>
      </c>
      <c r="C6721" t="s">
        <v>16907</v>
      </c>
      <c r="D6721" t="s">
        <v>16907</v>
      </c>
      <c r="E6721" t="s">
        <v>16968</v>
      </c>
    </row>
    <row r="6722" spans="1:5" x14ac:dyDescent="0.2">
      <c r="A6722" t="s">
        <v>17128</v>
      </c>
      <c r="B6722" t="s">
        <v>17129</v>
      </c>
      <c r="C6722" t="s">
        <v>16907</v>
      </c>
      <c r="D6722" t="s">
        <v>16907</v>
      </c>
      <c r="E6722" t="s">
        <v>16923</v>
      </c>
    </row>
    <row r="6723" spans="1:5" x14ac:dyDescent="0.2">
      <c r="A6723" t="s">
        <v>17130</v>
      </c>
      <c r="B6723" t="s">
        <v>17131</v>
      </c>
      <c r="C6723" t="s">
        <v>16907</v>
      </c>
      <c r="D6723" t="s">
        <v>16907</v>
      </c>
      <c r="E6723" t="s">
        <v>17132</v>
      </c>
    </row>
    <row r="6724" spans="1:5" x14ac:dyDescent="0.2">
      <c r="A6724" t="s">
        <v>17133</v>
      </c>
      <c r="B6724" t="s">
        <v>17134</v>
      </c>
      <c r="C6724" t="s">
        <v>16907</v>
      </c>
      <c r="D6724" t="s">
        <v>16907</v>
      </c>
      <c r="E6724" t="s">
        <v>16917</v>
      </c>
    </row>
    <row r="6725" spans="1:5" x14ac:dyDescent="0.2">
      <c r="A6725" t="s">
        <v>17135</v>
      </c>
      <c r="B6725" t="s">
        <v>17136</v>
      </c>
      <c r="C6725" t="s">
        <v>16907</v>
      </c>
      <c r="D6725" t="s">
        <v>16907</v>
      </c>
      <c r="E6725" t="s">
        <v>17137</v>
      </c>
    </row>
    <row r="6726" spans="1:5" x14ac:dyDescent="0.2">
      <c r="A6726" t="s">
        <v>17138</v>
      </c>
      <c r="B6726" t="s">
        <v>17139</v>
      </c>
      <c r="C6726" t="s">
        <v>16907</v>
      </c>
      <c r="D6726" t="s">
        <v>16907</v>
      </c>
      <c r="E6726" t="s">
        <v>17140</v>
      </c>
    </row>
    <row r="6727" spans="1:5" x14ac:dyDescent="0.2">
      <c r="A6727" t="s">
        <v>17141</v>
      </c>
      <c r="B6727" t="s">
        <v>17142</v>
      </c>
      <c r="C6727" t="s">
        <v>16907</v>
      </c>
      <c r="D6727" t="s">
        <v>16907</v>
      </c>
      <c r="E6727" t="s">
        <v>17143</v>
      </c>
    </row>
    <row r="6728" spans="1:5" x14ac:dyDescent="0.2">
      <c r="A6728" t="s">
        <v>17144</v>
      </c>
      <c r="B6728" t="s">
        <v>17145</v>
      </c>
      <c r="C6728" t="s">
        <v>16907</v>
      </c>
      <c r="D6728" t="s">
        <v>16907</v>
      </c>
      <c r="E6728" t="s">
        <v>17146</v>
      </c>
    </row>
    <row r="6729" spans="1:5" x14ac:dyDescent="0.2">
      <c r="A6729" t="s">
        <v>17147</v>
      </c>
      <c r="B6729" t="s">
        <v>17148</v>
      </c>
      <c r="C6729" t="s">
        <v>16907</v>
      </c>
      <c r="D6729" t="s">
        <v>16907</v>
      </c>
      <c r="E6729" t="s">
        <v>17149</v>
      </c>
    </row>
    <row r="6730" spans="1:5" x14ac:dyDescent="0.2">
      <c r="A6730" t="s">
        <v>17150</v>
      </c>
      <c r="B6730" t="s">
        <v>17151</v>
      </c>
      <c r="C6730" t="s">
        <v>16907</v>
      </c>
      <c r="D6730" t="s">
        <v>16907</v>
      </c>
      <c r="E6730" t="s">
        <v>17152</v>
      </c>
    </row>
    <row r="6731" spans="1:5" x14ac:dyDescent="0.2">
      <c r="A6731" t="s">
        <v>17153</v>
      </c>
      <c r="B6731" t="s">
        <v>17154</v>
      </c>
      <c r="C6731" t="s">
        <v>16907</v>
      </c>
      <c r="D6731" t="s">
        <v>16907</v>
      </c>
      <c r="E6731" t="s">
        <v>17155</v>
      </c>
    </row>
    <row r="6732" spans="1:5" x14ac:dyDescent="0.2">
      <c r="A6732" t="s">
        <v>17156</v>
      </c>
      <c r="B6732" t="s">
        <v>17157</v>
      </c>
      <c r="C6732" t="s">
        <v>16907</v>
      </c>
      <c r="D6732" t="s">
        <v>16907</v>
      </c>
      <c r="E6732" t="s">
        <v>16955</v>
      </c>
    </row>
    <row r="6733" spans="1:5" x14ac:dyDescent="0.2">
      <c r="A6733" t="s">
        <v>17158</v>
      </c>
      <c r="B6733" t="s">
        <v>17159</v>
      </c>
      <c r="C6733" t="s">
        <v>16907</v>
      </c>
      <c r="D6733" t="s">
        <v>16907</v>
      </c>
      <c r="E6733" t="s">
        <v>17160</v>
      </c>
    </row>
    <row r="6734" spans="1:5" x14ac:dyDescent="0.2">
      <c r="A6734" t="s">
        <v>17161</v>
      </c>
      <c r="B6734" t="s">
        <v>17162</v>
      </c>
      <c r="C6734" t="s">
        <v>16907</v>
      </c>
      <c r="D6734" t="s">
        <v>16907</v>
      </c>
      <c r="E6734" t="s">
        <v>16923</v>
      </c>
    </row>
    <row r="6735" spans="1:5" x14ac:dyDescent="0.2">
      <c r="A6735" t="s">
        <v>17163</v>
      </c>
      <c r="B6735" t="s">
        <v>17164</v>
      </c>
      <c r="C6735" t="s">
        <v>16907</v>
      </c>
      <c r="D6735" t="s">
        <v>16907</v>
      </c>
      <c r="E6735" t="s">
        <v>17165</v>
      </c>
    </row>
    <row r="6736" spans="1:5" x14ac:dyDescent="0.2">
      <c r="A6736" t="s">
        <v>17166</v>
      </c>
      <c r="B6736" t="s">
        <v>17167</v>
      </c>
      <c r="C6736" t="s">
        <v>16907</v>
      </c>
      <c r="D6736" t="s">
        <v>16907</v>
      </c>
      <c r="E6736" t="s">
        <v>16923</v>
      </c>
    </row>
    <row r="6737" spans="1:5" x14ac:dyDescent="0.2">
      <c r="A6737" t="s">
        <v>17168</v>
      </c>
      <c r="B6737" t="s">
        <v>17169</v>
      </c>
      <c r="C6737" t="s">
        <v>16907</v>
      </c>
      <c r="D6737" t="s">
        <v>16907</v>
      </c>
      <c r="E6737" t="s">
        <v>16955</v>
      </c>
    </row>
    <row r="6738" spans="1:5" x14ac:dyDescent="0.2">
      <c r="A6738" t="s">
        <v>17170</v>
      </c>
      <c r="B6738" t="s">
        <v>17171</v>
      </c>
      <c r="C6738" t="s">
        <v>16907</v>
      </c>
      <c r="D6738" t="s">
        <v>16907</v>
      </c>
      <c r="E6738" t="s">
        <v>16955</v>
      </c>
    </row>
    <row r="6739" spans="1:5" x14ac:dyDescent="0.2">
      <c r="A6739" t="s">
        <v>17172</v>
      </c>
      <c r="B6739" t="s">
        <v>17173</v>
      </c>
      <c r="C6739" t="s">
        <v>16907</v>
      </c>
      <c r="D6739" t="s">
        <v>16907</v>
      </c>
      <c r="E6739" t="s">
        <v>17174</v>
      </c>
    </row>
    <row r="6740" spans="1:5" x14ac:dyDescent="0.2">
      <c r="A6740" t="s">
        <v>17175</v>
      </c>
      <c r="B6740" t="s">
        <v>17176</v>
      </c>
      <c r="C6740" t="s">
        <v>16907</v>
      </c>
      <c r="D6740" t="s">
        <v>16907</v>
      </c>
      <c r="E6740" t="s">
        <v>16968</v>
      </c>
    </row>
    <row r="6741" spans="1:5" x14ac:dyDescent="0.2">
      <c r="A6741" t="s">
        <v>17177</v>
      </c>
      <c r="B6741" t="s">
        <v>17178</v>
      </c>
      <c r="C6741" t="s">
        <v>16907</v>
      </c>
      <c r="D6741" t="s">
        <v>16907</v>
      </c>
      <c r="E6741" t="s">
        <v>16908</v>
      </c>
    </row>
    <row r="6742" spans="1:5" x14ac:dyDescent="0.2">
      <c r="A6742" t="s">
        <v>17179</v>
      </c>
      <c r="B6742" t="s">
        <v>17180</v>
      </c>
      <c r="C6742" t="s">
        <v>16907</v>
      </c>
      <c r="D6742" t="s">
        <v>16907</v>
      </c>
      <c r="E6742" t="s">
        <v>16908</v>
      </c>
    </row>
    <row r="6743" spans="1:5" x14ac:dyDescent="0.2">
      <c r="A6743" t="s">
        <v>17181</v>
      </c>
      <c r="B6743" t="s">
        <v>17182</v>
      </c>
      <c r="C6743" t="s">
        <v>17183</v>
      </c>
      <c r="D6743" t="s">
        <v>17183</v>
      </c>
      <c r="E6743" t="s">
        <v>17184</v>
      </c>
    </row>
    <row r="6744" spans="1:5" x14ac:dyDescent="0.2">
      <c r="A6744" t="s">
        <v>17185</v>
      </c>
      <c r="B6744" t="s">
        <v>17186</v>
      </c>
      <c r="C6744" t="s">
        <v>17183</v>
      </c>
      <c r="D6744" t="s">
        <v>17183</v>
      </c>
      <c r="E6744" t="s">
        <v>17187</v>
      </c>
    </row>
    <row r="6745" spans="1:5" x14ac:dyDescent="0.2">
      <c r="A6745" t="s">
        <v>17188</v>
      </c>
      <c r="B6745" t="s">
        <v>17189</v>
      </c>
      <c r="C6745" t="s">
        <v>17183</v>
      </c>
      <c r="D6745" t="s">
        <v>17183</v>
      </c>
      <c r="E6745" t="s">
        <v>17190</v>
      </c>
    </row>
    <row r="6746" spans="1:5" x14ac:dyDescent="0.2">
      <c r="A6746" t="s">
        <v>17191</v>
      </c>
      <c r="B6746" t="s">
        <v>17192</v>
      </c>
      <c r="C6746" t="s">
        <v>17183</v>
      </c>
      <c r="D6746" t="s">
        <v>17183</v>
      </c>
      <c r="E6746" t="s">
        <v>17187</v>
      </c>
    </row>
    <row r="6747" spans="1:5" x14ac:dyDescent="0.2">
      <c r="A6747" t="s">
        <v>17193</v>
      </c>
      <c r="B6747" t="s">
        <v>17194</v>
      </c>
      <c r="C6747" t="s">
        <v>17183</v>
      </c>
      <c r="D6747" t="s">
        <v>17183</v>
      </c>
      <c r="E6747" t="s">
        <v>17187</v>
      </c>
    </row>
    <row r="6748" spans="1:5" x14ac:dyDescent="0.2">
      <c r="A6748" t="s">
        <v>17195</v>
      </c>
      <c r="B6748" t="s">
        <v>17196</v>
      </c>
      <c r="C6748" t="s">
        <v>17183</v>
      </c>
      <c r="D6748" t="s">
        <v>17183</v>
      </c>
      <c r="E6748" t="s">
        <v>17187</v>
      </c>
    </row>
    <row r="6749" spans="1:5" x14ac:dyDescent="0.2">
      <c r="A6749" t="s">
        <v>17197</v>
      </c>
      <c r="B6749" t="s">
        <v>17198</v>
      </c>
      <c r="C6749" t="s">
        <v>17183</v>
      </c>
      <c r="D6749" t="s">
        <v>17183</v>
      </c>
      <c r="E6749" t="s">
        <v>17187</v>
      </c>
    </row>
    <row r="6750" spans="1:5" x14ac:dyDescent="0.2">
      <c r="A6750" t="s">
        <v>17199</v>
      </c>
      <c r="B6750" t="s">
        <v>17200</v>
      </c>
      <c r="C6750" t="s">
        <v>17183</v>
      </c>
      <c r="D6750" t="s">
        <v>17183</v>
      </c>
      <c r="E6750" t="s">
        <v>17201</v>
      </c>
    </row>
    <row r="6751" spans="1:5" x14ac:dyDescent="0.2">
      <c r="A6751" t="s">
        <v>17202</v>
      </c>
      <c r="B6751" t="s">
        <v>17203</v>
      </c>
      <c r="C6751" t="s">
        <v>17183</v>
      </c>
      <c r="D6751" t="s">
        <v>17183</v>
      </c>
      <c r="E6751" t="s">
        <v>17204</v>
      </c>
    </row>
    <row r="6752" spans="1:5" x14ac:dyDescent="0.2">
      <c r="A6752" t="s">
        <v>17205</v>
      </c>
      <c r="B6752" t="s">
        <v>17206</v>
      </c>
      <c r="C6752" t="s">
        <v>17183</v>
      </c>
      <c r="D6752" t="s">
        <v>17183</v>
      </c>
      <c r="E6752" t="s">
        <v>17207</v>
      </c>
    </row>
    <row r="6753" spans="1:5" x14ac:dyDescent="0.2">
      <c r="A6753" t="s">
        <v>17208</v>
      </c>
      <c r="B6753" t="s">
        <v>17209</v>
      </c>
      <c r="C6753" t="s">
        <v>17183</v>
      </c>
      <c r="D6753" t="s">
        <v>17183</v>
      </c>
      <c r="E6753" t="s">
        <v>17210</v>
      </c>
    </row>
    <row r="6754" spans="1:5" x14ac:dyDescent="0.2">
      <c r="A6754" t="s">
        <v>17211</v>
      </c>
      <c r="B6754" t="s">
        <v>17212</v>
      </c>
      <c r="C6754" t="s">
        <v>17183</v>
      </c>
      <c r="D6754" t="s">
        <v>17183</v>
      </c>
      <c r="E6754" t="s">
        <v>17213</v>
      </c>
    </row>
    <row r="6755" spans="1:5" x14ac:dyDescent="0.2">
      <c r="A6755" t="s">
        <v>17214</v>
      </c>
      <c r="B6755" t="s">
        <v>17215</v>
      </c>
      <c r="C6755" t="s">
        <v>17183</v>
      </c>
      <c r="D6755" t="s">
        <v>17183</v>
      </c>
      <c r="E6755" t="s">
        <v>17201</v>
      </c>
    </row>
    <row r="6756" spans="1:5" x14ac:dyDescent="0.2">
      <c r="A6756" t="s">
        <v>17216</v>
      </c>
      <c r="B6756" t="s">
        <v>17217</v>
      </c>
      <c r="C6756" t="s">
        <v>17183</v>
      </c>
      <c r="D6756" t="s">
        <v>17183</v>
      </c>
      <c r="E6756" t="s">
        <v>17218</v>
      </c>
    </row>
    <row r="6757" spans="1:5" x14ac:dyDescent="0.2">
      <c r="A6757" t="s">
        <v>17219</v>
      </c>
      <c r="B6757" t="s">
        <v>17220</v>
      </c>
      <c r="C6757" t="s">
        <v>17183</v>
      </c>
      <c r="D6757" t="s">
        <v>17183</v>
      </c>
      <c r="E6757" t="s">
        <v>17221</v>
      </c>
    </row>
    <row r="6758" spans="1:5" x14ac:dyDescent="0.2">
      <c r="A6758" t="s">
        <v>17222</v>
      </c>
      <c r="B6758" t="s">
        <v>17223</v>
      </c>
      <c r="C6758" t="s">
        <v>17183</v>
      </c>
      <c r="D6758" t="s">
        <v>17183</v>
      </c>
      <c r="E6758" t="s">
        <v>17201</v>
      </c>
    </row>
    <row r="6759" spans="1:5" x14ac:dyDescent="0.2">
      <c r="A6759" t="s">
        <v>17224</v>
      </c>
      <c r="B6759" t="s">
        <v>17225</v>
      </c>
      <c r="C6759" t="s">
        <v>17183</v>
      </c>
      <c r="D6759" t="s">
        <v>17183</v>
      </c>
      <c r="E6759" t="s">
        <v>17226</v>
      </c>
    </row>
    <row r="6760" spans="1:5" x14ac:dyDescent="0.2">
      <c r="A6760" t="s">
        <v>17227</v>
      </c>
      <c r="B6760" t="s">
        <v>17228</v>
      </c>
      <c r="C6760" t="s">
        <v>17183</v>
      </c>
      <c r="D6760" t="s">
        <v>17183</v>
      </c>
      <c r="E6760" t="s">
        <v>17201</v>
      </c>
    </row>
    <row r="6761" spans="1:5" x14ac:dyDescent="0.2">
      <c r="A6761" t="s">
        <v>17229</v>
      </c>
      <c r="B6761" t="s">
        <v>17230</v>
      </c>
      <c r="C6761" t="s">
        <v>17183</v>
      </c>
      <c r="D6761" t="s">
        <v>17183</v>
      </c>
      <c r="E6761" t="s">
        <v>17187</v>
      </c>
    </row>
    <row r="6762" spans="1:5" x14ac:dyDescent="0.2">
      <c r="A6762" t="s">
        <v>17231</v>
      </c>
      <c r="B6762" t="s">
        <v>17232</v>
      </c>
      <c r="C6762" t="s">
        <v>17183</v>
      </c>
      <c r="D6762" t="s">
        <v>17183</v>
      </c>
      <c r="E6762" t="s">
        <v>17187</v>
      </c>
    </row>
    <row r="6763" spans="1:5" x14ac:dyDescent="0.2">
      <c r="A6763" t="s">
        <v>17233</v>
      </c>
      <c r="B6763" t="s">
        <v>17234</v>
      </c>
      <c r="C6763" t="s">
        <v>17183</v>
      </c>
      <c r="D6763" t="s">
        <v>17183</v>
      </c>
      <c r="E6763" t="s">
        <v>17235</v>
      </c>
    </row>
    <row r="6764" spans="1:5" x14ac:dyDescent="0.2">
      <c r="A6764" t="s">
        <v>17236</v>
      </c>
      <c r="B6764" t="s">
        <v>17237</v>
      </c>
      <c r="C6764" t="s">
        <v>17183</v>
      </c>
      <c r="D6764" t="s">
        <v>17183</v>
      </c>
      <c r="E6764" t="s">
        <v>17187</v>
      </c>
    </row>
    <row r="6765" spans="1:5" x14ac:dyDescent="0.2">
      <c r="A6765" t="s">
        <v>17238</v>
      </c>
      <c r="B6765" t="s">
        <v>17239</v>
      </c>
      <c r="C6765" t="s">
        <v>17183</v>
      </c>
      <c r="D6765" t="s">
        <v>17183</v>
      </c>
      <c r="E6765" t="s">
        <v>17240</v>
      </c>
    </row>
    <row r="6766" spans="1:5" x14ac:dyDescent="0.2">
      <c r="A6766" t="s">
        <v>17241</v>
      </c>
      <c r="B6766" t="s">
        <v>17242</v>
      </c>
      <c r="C6766" t="s">
        <v>17183</v>
      </c>
      <c r="D6766" t="s">
        <v>17183</v>
      </c>
      <c r="E6766" t="s">
        <v>17187</v>
      </c>
    </row>
    <row r="6767" spans="1:5" x14ac:dyDescent="0.2">
      <c r="A6767" t="s">
        <v>17243</v>
      </c>
      <c r="B6767" t="s">
        <v>17244</v>
      </c>
      <c r="C6767" t="s">
        <v>17183</v>
      </c>
      <c r="D6767" t="s">
        <v>17183</v>
      </c>
      <c r="E6767" t="s">
        <v>17187</v>
      </c>
    </row>
    <row r="6768" spans="1:5" x14ac:dyDescent="0.2">
      <c r="A6768" t="s">
        <v>17245</v>
      </c>
      <c r="B6768" t="s">
        <v>17246</v>
      </c>
      <c r="C6768" t="s">
        <v>17183</v>
      </c>
      <c r="D6768" t="s">
        <v>17183</v>
      </c>
      <c r="E6768" t="s">
        <v>17247</v>
      </c>
    </row>
    <row r="6769" spans="1:5" x14ac:dyDescent="0.2">
      <c r="A6769" t="s">
        <v>17248</v>
      </c>
      <c r="B6769" t="s">
        <v>17249</v>
      </c>
      <c r="C6769" t="s">
        <v>17183</v>
      </c>
      <c r="D6769" t="s">
        <v>17183</v>
      </c>
      <c r="E6769" t="s">
        <v>17201</v>
      </c>
    </row>
    <row r="6770" spans="1:5" x14ac:dyDescent="0.2">
      <c r="A6770" t="s">
        <v>17250</v>
      </c>
      <c r="B6770" t="s">
        <v>17251</v>
      </c>
      <c r="C6770" t="s">
        <v>17183</v>
      </c>
      <c r="D6770" t="s">
        <v>17183</v>
      </c>
      <c r="E6770" t="s">
        <v>17252</v>
      </c>
    </row>
    <row r="6771" spans="1:5" x14ac:dyDescent="0.2">
      <c r="A6771" t="s">
        <v>17253</v>
      </c>
      <c r="B6771" t="s">
        <v>17254</v>
      </c>
      <c r="C6771" t="s">
        <v>17183</v>
      </c>
      <c r="D6771" t="s">
        <v>17183</v>
      </c>
      <c r="E6771" t="s">
        <v>17201</v>
      </c>
    </row>
    <row r="6772" spans="1:5" x14ac:dyDescent="0.2">
      <c r="A6772" t="s">
        <v>17255</v>
      </c>
      <c r="B6772" t="s">
        <v>17256</v>
      </c>
      <c r="C6772" t="s">
        <v>17183</v>
      </c>
      <c r="D6772" t="s">
        <v>17183</v>
      </c>
      <c r="E6772" t="s">
        <v>17257</v>
      </c>
    </row>
    <row r="6773" spans="1:5" x14ac:dyDescent="0.2">
      <c r="A6773" t="s">
        <v>17258</v>
      </c>
      <c r="B6773" t="s">
        <v>17259</v>
      </c>
      <c r="C6773" t="s">
        <v>17183</v>
      </c>
      <c r="D6773" t="s">
        <v>17183</v>
      </c>
      <c r="E6773" t="s">
        <v>17260</v>
      </c>
    </row>
    <row r="6774" spans="1:5" x14ac:dyDescent="0.2">
      <c r="A6774" t="s">
        <v>17261</v>
      </c>
      <c r="B6774" t="s">
        <v>17262</v>
      </c>
      <c r="C6774" t="s">
        <v>17183</v>
      </c>
      <c r="D6774" t="s">
        <v>17183</v>
      </c>
      <c r="E6774" t="s">
        <v>17187</v>
      </c>
    </row>
    <row r="6775" spans="1:5" x14ac:dyDescent="0.2">
      <c r="A6775" t="s">
        <v>17263</v>
      </c>
      <c r="B6775" t="s">
        <v>17264</v>
      </c>
      <c r="C6775" t="s">
        <v>17183</v>
      </c>
      <c r="D6775" t="s">
        <v>17183</v>
      </c>
      <c r="E6775" t="s">
        <v>17265</v>
      </c>
    </row>
    <row r="6776" spans="1:5" x14ac:dyDescent="0.2">
      <c r="A6776" t="s">
        <v>17266</v>
      </c>
      <c r="B6776" t="s">
        <v>17267</v>
      </c>
      <c r="C6776" t="s">
        <v>17183</v>
      </c>
      <c r="D6776" t="s">
        <v>17183</v>
      </c>
      <c r="E6776" t="s">
        <v>17268</v>
      </c>
    </row>
    <row r="6777" spans="1:5" x14ac:dyDescent="0.2">
      <c r="A6777" t="s">
        <v>17269</v>
      </c>
      <c r="B6777" t="s">
        <v>17270</v>
      </c>
      <c r="C6777" t="s">
        <v>17183</v>
      </c>
      <c r="D6777" t="s">
        <v>17183</v>
      </c>
      <c r="E6777" t="s">
        <v>17201</v>
      </c>
    </row>
    <row r="6778" spans="1:5" x14ac:dyDescent="0.2">
      <c r="A6778" t="s">
        <v>17271</v>
      </c>
      <c r="B6778" t="s">
        <v>17272</v>
      </c>
      <c r="C6778" t="s">
        <v>17183</v>
      </c>
      <c r="D6778" t="s">
        <v>17183</v>
      </c>
      <c r="E6778" t="s">
        <v>17201</v>
      </c>
    </row>
    <row r="6779" spans="1:5" x14ac:dyDescent="0.2">
      <c r="A6779" t="s">
        <v>17273</v>
      </c>
      <c r="B6779" t="s">
        <v>17274</v>
      </c>
      <c r="C6779" t="s">
        <v>17183</v>
      </c>
      <c r="D6779" t="s">
        <v>17183</v>
      </c>
      <c r="E6779" t="s">
        <v>17201</v>
      </c>
    </row>
    <row r="6780" spans="1:5" x14ac:dyDescent="0.2">
      <c r="A6780" t="s">
        <v>17275</v>
      </c>
      <c r="B6780" t="s">
        <v>17276</v>
      </c>
      <c r="C6780" t="s">
        <v>17183</v>
      </c>
      <c r="D6780" t="s">
        <v>17183</v>
      </c>
      <c r="E6780" t="s">
        <v>17277</v>
      </c>
    </row>
    <row r="6781" spans="1:5" x14ac:dyDescent="0.2">
      <c r="A6781" t="s">
        <v>17278</v>
      </c>
      <c r="B6781" t="s">
        <v>17279</v>
      </c>
      <c r="C6781" t="s">
        <v>17183</v>
      </c>
      <c r="D6781" t="s">
        <v>17183</v>
      </c>
      <c r="E6781" t="s">
        <v>17201</v>
      </c>
    </row>
    <row r="6782" spans="1:5" x14ac:dyDescent="0.2">
      <c r="A6782" t="s">
        <v>17280</v>
      </c>
      <c r="B6782" t="s">
        <v>17281</v>
      </c>
      <c r="C6782" t="s">
        <v>17183</v>
      </c>
      <c r="D6782" t="s">
        <v>17183</v>
      </c>
      <c r="E6782" t="s">
        <v>17201</v>
      </c>
    </row>
    <row r="6783" spans="1:5" x14ac:dyDescent="0.2">
      <c r="A6783" t="s">
        <v>17282</v>
      </c>
      <c r="B6783" t="s">
        <v>17283</v>
      </c>
      <c r="C6783" t="s">
        <v>17183</v>
      </c>
      <c r="D6783" t="s">
        <v>17183</v>
      </c>
      <c r="E6783" t="s">
        <v>17284</v>
      </c>
    </row>
    <row r="6784" spans="1:5" x14ac:dyDescent="0.2">
      <c r="A6784" t="s">
        <v>17285</v>
      </c>
      <c r="B6784" t="s">
        <v>17286</v>
      </c>
      <c r="C6784" t="s">
        <v>17183</v>
      </c>
      <c r="D6784" t="s">
        <v>17183</v>
      </c>
      <c r="E6784" t="s">
        <v>17187</v>
      </c>
    </row>
    <row r="6785" spans="1:5" x14ac:dyDescent="0.2">
      <c r="A6785" t="s">
        <v>17287</v>
      </c>
      <c r="B6785" t="s">
        <v>17288</v>
      </c>
      <c r="C6785" t="s">
        <v>17183</v>
      </c>
      <c r="D6785" t="s">
        <v>17183</v>
      </c>
      <c r="E6785" t="s">
        <v>17201</v>
      </c>
    </row>
    <row r="6786" spans="1:5" x14ac:dyDescent="0.2">
      <c r="A6786" t="s">
        <v>17289</v>
      </c>
      <c r="B6786" t="s">
        <v>17290</v>
      </c>
      <c r="C6786" t="s">
        <v>17291</v>
      </c>
      <c r="D6786" t="s">
        <v>17291</v>
      </c>
      <c r="E6786" t="s">
        <v>17292</v>
      </c>
    </row>
    <row r="6787" spans="1:5" x14ac:dyDescent="0.2">
      <c r="A6787" t="s">
        <v>17293</v>
      </c>
      <c r="B6787" t="s">
        <v>17294</v>
      </c>
      <c r="C6787" t="s">
        <v>17291</v>
      </c>
      <c r="D6787" t="s">
        <v>17291</v>
      </c>
      <c r="E6787" t="s">
        <v>17292</v>
      </c>
    </row>
    <row r="6788" spans="1:5" x14ac:dyDescent="0.2">
      <c r="A6788" t="s">
        <v>17295</v>
      </c>
      <c r="B6788" t="s">
        <v>17296</v>
      </c>
      <c r="C6788" t="s">
        <v>17291</v>
      </c>
      <c r="D6788" t="s">
        <v>17291</v>
      </c>
      <c r="E6788" t="s">
        <v>17297</v>
      </c>
    </row>
    <row r="6789" spans="1:5" x14ac:dyDescent="0.2">
      <c r="A6789" t="s">
        <v>17298</v>
      </c>
      <c r="B6789" t="s">
        <v>17299</v>
      </c>
      <c r="C6789" t="s">
        <v>17291</v>
      </c>
      <c r="D6789" t="s">
        <v>17291</v>
      </c>
      <c r="E6789" t="s">
        <v>17300</v>
      </c>
    </row>
    <row r="6790" spans="1:5" x14ac:dyDescent="0.2">
      <c r="A6790" t="s">
        <v>17301</v>
      </c>
      <c r="B6790" t="s">
        <v>17302</v>
      </c>
      <c r="C6790" t="s">
        <v>17291</v>
      </c>
      <c r="D6790" t="s">
        <v>17291</v>
      </c>
      <c r="E6790" t="s">
        <v>17292</v>
      </c>
    </row>
    <row r="6791" spans="1:5" x14ac:dyDescent="0.2">
      <c r="A6791" t="s">
        <v>17303</v>
      </c>
      <c r="B6791" t="s">
        <v>17304</v>
      </c>
      <c r="C6791" t="s">
        <v>17291</v>
      </c>
      <c r="D6791" t="s">
        <v>17291</v>
      </c>
      <c r="E6791" t="s">
        <v>17292</v>
      </c>
    </row>
    <row r="6792" spans="1:5" x14ac:dyDescent="0.2">
      <c r="A6792" t="s">
        <v>17305</v>
      </c>
      <c r="B6792" t="s">
        <v>17306</v>
      </c>
      <c r="C6792" t="s">
        <v>17291</v>
      </c>
      <c r="D6792" t="s">
        <v>17291</v>
      </c>
      <c r="E6792" t="s">
        <v>17307</v>
      </c>
    </row>
    <row r="6793" spans="1:5" x14ac:dyDescent="0.2">
      <c r="A6793" t="s">
        <v>17308</v>
      </c>
      <c r="B6793" t="s">
        <v>17309</v>
      </c>
      <c r="C6793" t="s">
        <v>17291</v>
      </c>
      <c r="D6793" t="s">
        <v>17291</v>
      </c>
      <c r="E6793" t="s">
        <v>17292</v>
      </c>
    </row>
    <row r="6794" spans="1:5" x14ac:dyDescent="0.2">
      <c r="A6794" t="s">
        <v>17310</v>
      </c>
      <c r="B6794" t="s">
        <v>17311</v>
      </c>
      <c r="C6794" t="s">
        <v>17291</v>
      </c>
      <c r="D6794" t="s">
        <v>17291</v>
      </c>
      <c r="E6794" t="s">
        <v>17312</v>
      </c>
    </row>
    <row r="6795" spans="1:5" x14ac:dyDescent="0.2">
      <c r="A6795" t="s">
        <v>17313</v>
      </c>
      <c r="B6795" t="s">
        <v>17314</v>
      </c>
      <c r="C6795" t="s">
        <v>17291</v>
      </c>
      <c r="D6795" t="s">
        <v>17291</v>
      </c>
      <c r="E6795" t="s">
        <v>17292</v>
      </c>
    </row>
    <row r="6796" spans="1:5" x14ac:dyDescent="0.2">
      <c r="A6796" t="s">
        <v>17315</v>
      </c>
      <c r="B6796" t="s">
        <v>17316</v>
      </c>
      <c r="C6796" t="s">
        <v>17291</v>
      </c>
      <c r="D6796" t="s">
        <v>17291</v>
      </c>
      <c r="E6796" t="s">
        <v>17292</v>
      </c>
    </row>
    <row r="6797" spans="1:5" x14ac:dyDescent="0.2">
      <c r="A6797" t="s">
        <v>17317</v>
      </c>
      <c r="B6797" t="s">
        <v>17318</v>
      </c>
      <c r="C6797" t="s">
        <v>17291</v>
      </c>
      <c r="D6797" t="s">
        <v>17291</v>
      </c>
      <c r="E6797" t="s">
        <v>17319</v>
      </c>
    </row>
    <row r="6798" spans="1:5" x14ac:dyDescent="0.2">
      <c r="A6798" t="s">
        <v>17320</v>
      </c>
      <c r="B6798" t="s">
        <v>17321</v>
      </c>
      <c r="C6798" t="s">
        <v>17291</v>
      </c>
      <c r="D6798" t="s">
        <v>17291</v>
      </c>
      <c r="E6798" t="s">
        <v>17322</v>
      </c>
    </row>
    <row r="6799" spans="1:5" x14ac:dyDescent="0.2">
      <c r="A6799" t="s">
        <v>17323</v>
      </c>
      <c r="B6799" t="s">
        <v>17324</v>
      </c>
      <c r="C6799" t="s">
        <v>17291</v>
      </c>
      <c r="D6799" t="s">
        <v>17291</v>
      </c>
      <c r="E6799" t="s">
        <v>17292</v>
      </c>
    </row>
    <row r="6800" spans="1:5" x14ac:dyDescent="0.2">
      <c r="A6800" t="s">
        <v>17325</v>
      </c>
      <c r="B6800" t="s">
        <v>17326</v>
      </c>
      <c r="C6800" t="s">
        <v>17291</v>
      </c>
      <c r="D6800" t="s">
        <v>17291</v>
      </c>
      <c r="E6800" t="s">
        <v>17327</v>
      </c>
    </row>
    <row r="6801" spans="1:5" x14ac:dyDescent="0.2">
      <c r="A6801" t="s">
        <v>17328</v>
      </c>
      <c r="B6801" t="s">
        <v>17329</v>
      </c>
      <c r="C6801" t="s">
        <v>17291</v>
      </c>
      <c r="D6801" t="s">
        <v>17291</v>
      </c>
      <c r="E6801" t="s">
        <v>17330</v>
      </c>
    </row>
    <row r="6802" spans="1:5" x14ac:dyDescent="0.2">
      <c r="A6802" t="s">
        <v>17331</v>
      </c>
      <c r="B6802" t="s">
        <v>17332</v>
      </c>
      <c r="C6802" t="s">
        <v>17291</v>
      </c>
      <c r="D6802" t="s">
        <v>17291</v>
      </c>
      <c r="E6802" t="s">
        <v>17333</v>
      </c>
    </row>
    <row r="6803" spans="1:5" x14ac:dyDescent="0.2">
      <c r="A6803" t="s">
        <v>17334</v>
      </c>
      <c r="B6803" t="s">
        <v>17335</v>
      </c>
      <c r="C6803" t="s">
        <v>17291</v>
      </c>
      <c r="D6803" t="s">
        <v>17291</v>
      </c>
      <c r="E6803" t="s">
        <v>17292</v>
      </c>
    </row>
    <row r="6804" spans="1:5" x14ac:dyDescent="0.2">
      <c r="A6804" t="s">
        <v>17336</v>
      </c>
      <c r="B6804" t="s">
        <v>17337</v>
      </c>
      <c r="C6804" t="s">
        <v>17291</v>
      </c>
      <c r="D6804" t="s">
        <v>17291</v>
      </c>
      <c r="E6804" t="s">
        <v>17338</v>
      </c>
    </row>
    <row r="6805" spans="1:5" x14ac:dyDescent="0.2">
      <c r="A6805" t="s">
        <v>17339</v>
      </c>
      <c r="B6805" t="s">
        <v>17340</v>
      </c>
      <c r="C6805" t="s">
        <v>17291</v>
      </c>
      <c r="D6805" t="s">
        <v>17291</v>
      </c>
      <c r="E6805" t="s">
        <v>17292</v>
      </c>
    </row>
    <row r="6806" spans="1:5" x14ac:dyDescent="0.2">
      <c r="A6806" t="s">
        <v>17341</v>
      </c>
      <c r="B6806" t="s">
        <v>17342</v>
      </c>
      <c r="C6806" t="s">
        <v>17291</v>
      </c>
      <c r="D6806" t="s">
        <v>17291</v>
      </c>
      <c r="E6806" t="s">
        <v>17292</v>
      </c>
    </row>
    <row r="6807" spans="1:5" x14ac:dyDescent="0.2">
      <c r="A6807" t="s">
        <v>17343</v>
      </c>
      <c r="B6807" t="s">
        <v>17344</v>
      </c>
      <c r="C6807" t="s">
        <v>17291</v>
      </c>
      <c r="D6807" t="s">
        <v>17291</v>
      </c>
      <c r="E6807" t="s">
        <v>17292</v>
      </c>
    </row>
    <row r="6808" spans="1:5" x14ac:dyDescent="0.2">
      <c r="A6808" t="s">
        <v>17345</v>
      </c>
      <c r="B6808" t="s">
        <v>17346</v>
      </c>
      <c r="C6808" t="s">
        <v>17347</v>
      </c>
      <c r="D6808" t="s">
        <v>17347</v>
      </c>
      <c r="E6808" t="s">
        <v>17348</v>
      </c>
    </row>
    <row r="6809" spans="1:5" x14ac:dyDescent="0.2">
      <c r="A6809" t="s">
        <v>17349</v>
      </c>
      <c r="B6809" t="s">
        <v>17350</v>
      </c>
      <c r="C6809" t="s">
        <v>17347</v>
      </c>
      <c r="D6809" t="s">
        <v>17347</v>
      </c>
      <c r="E6809" t="s">
        <v>17351</v>
      </c>
    </row>
    <row r="6810" spans="1:5" x14ac:dyDescent="0.2">
      <c r="A6810" t="s">
        <v>17352</v>
      </c>
      <c r="B6810" t="s">
        <v>17353</v>
      </c>
      <c r="C6810" t="s">
        <v>17347</v>
      </c>
      <c r="D6810" t="s">
        <v>17347</v>
      </c>
      <c r="E6810" t="s">
        <v>17351</v>
      </c>
    </row>
    <row r="6811" spans="1:5" x14ac:dyDescent="0.2">
      <c r="A6811" t="s">
        <v>17354</v>
      </c>
      <c r="B6811" t="s">
        <v>17355</v>
      </c>
      <c r="C6811" t="s">
        <v>17347</v>
      </c>
      <c r="D6811" t="s">
        <v>17347</v>
      </c>
      <c r="E6811" t="s">
        <v>17356</v>
      </c>
    </row>
    <row r="6812" spans="1:5" x14ac:dyDescent="0.2">
      <c r="A6812" t="s">
        <v>17357</v>
      </c>
      <c r="B6812" t="s">
        <v>17358</v>
      </c>
      <c r="C6812" t="s">
        <v>17347</v>
      </c>
      <c r="D6812" t="s">
        <v>17347</v>
      </c>
      <c r="E6812" t="s">
        <v>17351</v>
      </c>
    </row>
    <row r="6813" spans="1:5" x14ac:dyDescent="0.2">
      <c r="A6813" t="s">
        <v>17359</v>
      </c>
      <c r="B6813" t="s">
        <v>17360</v>
      </c>
      <c r="C6813" t="s">
        <v>17347</v>
      </c>
      <c r="D6813" t="s">
        <v>17347</v>
      </c>
      <c r="E6813" t="s">
        <v>17351</v>
      </c>
    </row>
    <row r="6814" spans="1:5" x14ac:dyDescent="0.2">
      <c r="A6814" t="s">
        <v>17361</v>
      </c>
      <c r="B6814" t="s">
        <v>17362</v>
      </c>
      <c r="C6814" t="s">
        <v>17347</v>
      </c>
      <c r="D6814" t="s">
        <v>17347</v>
      </c>
      <c r="E6814" t="s">
        <v>17351</v>
      </c>
    </row>
    <row r="6815" spans="1:5" x14ac:dyDescent="0.2">
      <c r="A6815" t="s">
        <v>17363</v>
      </c>
      <c r="B6815" t="s">
        <v>17364</v>
      </c>
      <c r="C6815" t="s">
        <v>17347</v>
      </c>
      <c r="D6815" t="s">
        <v>17347</v>
      </c>
      <c r="E6815" t="s">
        <v>17351</v>
      </c>
    </row>
    <row r="6816" spans="1:5" x14ac:dyDescent="0.2">
      <c r="A6816" t="s">
        <v>17365</v>
      </c>
      <c r="B6816" t="s">
        <v>17366</v>
      </c>
      <c r="C6816" t="s">
        <v>17347</v>
      </c>
      <c r="D6816" t="s">
        <v>17347</v>
      </c>
      <c r="E6816" t="s">
        <v>17367</v>
      </c>
    </row>
    <row r="6817" spans="1:5" x14ac:dyDescent="0.2">
      <c r="A6817" t="s">
        <v>17368</v>
      </c>
      <c r="B6817" t="s">
        <v>17369</v>
      </c>
      <c r="C6817" t="s">
        <v>17347</v>
      </c>
      <c r="D6817" t="s">
        <v>17347</v>
      </c>
      <c r="E6817" t="s">
        <v>17351</v>
      </c>
    </row>
    <row r="6818" spans="1:5" x14ac:dyDescent="0.2">
      <c r="A6818" t="s">
        <v>17370</v>
      </c>
      <c r="B6818" t="s">
        <v>17371</v>
      </c>
      <c r="C6818" t="s">
        <v>17347</v>
      </c>
      <c r="D6818" t="s">
        <v>17347</v>
      </c>
      <c r="E6818" t="s">
        <v>17372</v>
      </c>
    </row>
    <row r="6819" spans="1:5" x14ac:dyDescent="0.2">
      <c r="A6819" t="s">
        <v>17373</v>
      </c>
      <c r="B6819" t="s">
        <v>17374</v>
      </c>
      <c r="C6819" t="s">
        <v>17347</v>
      </c>
      <c r="D6819" t="s">
        <v>17347</v>
      </c>
      <c r="E6819" t="s">
        <v>17375</v>
      </c>
    </row>
    <row r="6820" spans="1:5" x14ac:dyDescent="0.2">
      <c r="A6820" t="s">
        <v>17376</v>
      </c>
      <c r="B6820" t="s">
        <v>17377</v>
      </c>
      <c r="C6820" t="s">
        <v>17347</v>
      </c>
      <c r="D6820" t="s">
        <v>17347</v>
      </c>
      <c r="E6820" t="s">
        <v>17351</v>
      </c>
    </row>
    <row r="6821" spans="1:5" x14ac:dyDescent="0.2">
      <c r="A6821" t="s">
        <v>17378</v>
      </c>
      <c r="B6821" t="s">
        <v>17379</v>
      </c>
      <c r="C6821" t="s">
        <v>17347</v>
      </c>
      <c r="D6821" t="s">
        <v>17347</v>
      </c>
      <c r="E6821" t="s">
        <v>17380</v>
      </c>
    </row>
    <row r="6822" spans="1:5" x14ac:dyDescent="0.2">
      <c r="A6822" t="s">
        <v>17381</v>
      </c>
      <c r="B6822" t="s">
        <v>17382</v>
      </c>
      <c r="C6822" t="s">
        <v>17347</v>
      </c>
      <c r="D6822" t="s">
        <v>17347</v>
      </c>
      <c r="E6822" t="s">
        <v>17383</v>
      </c>
    </row>
    <row r="6823" spans="1:5" x14ac:dyDescent="0.2">
      <c r="A6823" t="s">
        <v>17384</v>
      </c>
      <c r="B6823" t="s">
        <v>17385</v>
      </c>
      <c r="C6823" t="s">
        <v>17347</v>
      </c>
      <c r="D6823" t="s">
        <v>17347</v>
      </c>
      <c r="E6823" t="s">
        <v>17386</v>
      </c>
    </row>
    <row r="6824" spans="1:5" x14ac:dyDescent="0.2">
      <c r="A6824" t="s">
        <v>17387</v>
      </c>
      <c r="B6824" t="s">
        <v>17388</v>
      </c>
      <c r="C6824" t="s">
        <v>17347</v>
      </c>
      <c r="D6824" t="s">
        <v>17347</v>
      </c>
      <c r="E6824" t="s">
        <v>17351</v>
      </c>
    </row>
    <row r="6825" spans="1:5" x14ac:dyDescent="0.2">
      <c r="A6825" t="s">
        <v>17389</v>
      </c>
      <c r="B6825" t="s">
        <v>17390</v>
      </c>
      <c r="C6825" t="s">
        <v>17347</v>
      </c>
      <c r="D6825" t="s">
        <v>17347</v>
      </c>
      <c r="E6825" t="s">
        <v>17391</v>
      </c>
    </row>
    <row r="6826" spans="1:5" x14ac:dyDescent="0.2">
      <c r="A6826" t="s">
        <v>17392</v>
      </c>
      <c r="B6826" t="s">
        <v>17393</v>
      </c>
      <c r="C6826" t="s">
        <v>17347</v>
      </c>
      <c r="D6826" t="s">
        <v>17347</v>
      </c>
      <c r="E6826" t="s">
        <v>17394</v>
      </c>
    </row>
    <row r="6827" spans="1:5" x14ac:dyDescent="0.2">
      <c r="A6827" t="s">
        <v>17395</v>
      </c>
      <c r="B6827" t="s">
        <v>17396</v>
      </c>
      <c r="C6827" t="s">
        <v>17347</v>
      </c>
      <c r="D6827" t="s">
        <v>17347</v>
      </c>
      <c r="E6827" t="s">
        <v>17351</v>
      </c>
    </row>
    <row r="6828" spans="1:5" x14ac:dyDescent="0.2">
      <c r="A6828" t="s">
        <v>17397</v>
      </c>
      <c r="B6828" t="s">
        <v>17398</v>
      </c>
      <c r="C6828" t="s">
        <v>17399</v>
      </c>
      <c r="D6828" t="s">
        <v>17399</v>
      </c>
      <c r="E6828" t="s">
        <v>17400</v>
      </c>
    </row>
    <row r="6829" spans="1:5" x14ac:dyDescent="0.2">
      <c r="A6829" t="s">
        <v>17401</v>
      </c>
      <c r="B6829" t="s">
        <v>17402</v>
      </c>
      <c r="C6829" t="s">
        <v>17399</v>
      </c>
      <c r="D6829" t="s">
        <v>17399</v>
      </c>
      <c r="E6829" t="s">
        <v>17403</v>
      </c>
    </row>
    <row r="6830" spans="1:5" x14ac:dyDescent="0.2">
      <c r="A6830" t="s">
        <v>17404</v>
      </c>
      <c r="B6830" t="s">
        <v>17405</v>
      </c>
      <c r="C6830" t="s">
        <v>17399</v>
      </c>
      <c r="D6830" t="s">
        <v>17399</v>
      </c>
      <c r="E6830" t="s">
        <v>17406</v>
      </c>
    </row>
    <row r="6831" spans="1:5" x14ac:dyDescent="0.2">
      <c r="A6831" t="s">
        <v>17407</v>
      </c>
      <c r="B6831" t="s">
        <v>17408</v>
      </c>
      <c r="C6831" t="s">
        <v>17399</v>
      </c>
      <c r="D6831" t="s">
        <v>17399</v>
      </c>
      <c r="E6831" t="s">
        <v>17409</v>
      </c>
    </row>
    <row r="6832" spans="1:5" x14ac:dyDescent="0.2">
      <c r="A6832" t="s">
        <v>17410</v>
      </c>
      <c r="B6832" t="s">
        <v>17411</v>
      </c>
      <c r="C6832" t="s">
        <v>17399</v>
      </c>
      <c r="D6832" t="s">
        <v>17399</v>
      </c>
      <c r="E6832" t="s">
        <v>17412</v>
      </c>
    </row>
    <row r="6833" spans="1:5" x14ac:dyDescent="0.2">
      <c r="A6833" t="s">
        <v>17413</v>
      </c>
      <c r="B6833" t="s">
        <v>17414</v>
      </c>
      <c r="C6833" t="s">
        <v>17399</v>
      </c>
      <c r="D6833" t="s">
        <v>17399</v>
      </c>
      <c r="E6833" t="s">
        <v>17415</v>
      </c>
    </row>
    <row r="6834" spans="1:5" x14ac:dyDescent="0.2">
      <c r="A6834" t="s">
        <v>17416</v>
      </c>
      <c r="B6834" t="s">
        <v>17417</v>
      </c>
      <c r="C6834" t="s">
        <v>17399</v>
      </c>
      <c r="D6834" t="s">
        <v>17399</v>
      </c>
      <c r="E6834" t="s">
        <v>17418</v>
      </c>
    </row>
    <row r="6835" spans="1:5" x14ac:dyDescent="0.2">
      <c r="A6835" t="s">
        <v>17419</v>
      </c>
      <c r="B6835" t="s">
        <v>17420</v>
      </c>
      <c r="C6835" t="s">
        <v>17399</v>
      </c>
      <c r="D6835" t="s">
        <v>17399</v>
      </c>
      <c r="E6835" t="s">
        <v>17421</v>
      </c>
    </row>
    <row r="6836" spans="1:5" x14ac:dyDescent="0.2">
      <c r="A6836" t="s">
        <v>17422</v>
      </c>
      <c r="B6836" t="s">
        <v>17423</v>
      </c>
      <c r="C6836" t="s">
        <v>17399</v>
      </c>
      <c r="D6836" t="s">
        <v>17399</v>
      </c>
      <c r="E6836" t="s">
        <v>17424</v>
      </c>
    </row>
    <row r="6837" spans="1:5" x14ac:dyDescent="0.2">
      <c r="A6837" t="s">
        <v>17425</v>
      </c>
      <c r="B6837" t="s">
        <v>17426</v>
      </c>
      <c r="C6837" t="s">
        <v>17399</v>
      </c>
      <c r="D6837" t="s">
        <v>17399</v>
      </c>
      <c r="E6837" t="s">
        <v>17427</v>
      </c>
    </row>
    <row r="6838" spans="1:5" x14ac:dyDescent="0.2">
      <c r="A6838" t="s">
        <v>17428</v>
      </c>
      <c r="B6838" t="s">
        <v>17429</v>
      </c>
      <c r="C6838" t="s">
        <v>17399</v>
      </c>
      <c r="D6838" t="s">
        <v>17399</v>
      </c>
      <c r="E6838" t="s">
        <v>17430</v>
      </c>
    </row>
    <row r="6839" spans="1:5" x14ac:dyDescent="0.2">
      <c r="A6839" t="s">
        <v>17431</v>
      </c>
      <c r="B6839" t="s">
        <v>17432</v>
      </c>
      <c r="C6839" t="s">
        <v>17399</v>
      </c>
      <c r="D6839" t="s">
        <v>17399</v>
      </c>
      <c r="E6839" t="s">
        <v>17433</v>
      </c>
    </row>
    <row r="6840" spans="1:5" x14ac:dyDescent="0.2">
      <c r="A6840" t="s">
        <v>17434</v>
      </c>
      <c r="B6840" t="s">
        <v>17435</v>
      </c>
      <c r="C6840" t="s">
        <v>17399</v>
      </c>
      <c r="D6840" t="s">
        <v>17399</v>
      </c>
      <c r="E6840" t="s">
        <v>17433</v>
      </c>
    </row>
    <row r="6841" spans="1:5" x14ac:dyDescent="0.2">
      <c r="A6841" t="s">
        <v>17436</v>
      </c>
      <c r="B6841" t="s">
        <v>17437</v>
      </c>
      <c r="C6841" t="s">
        <v>17399</v>
      </c>
      <c r="D6841" t="s">
        <v>17399</v>
      </c>
      <c r="E6841" t="s">
        <v>17438</v>
      </c>
    </row>
    <row r="6842" spans="1:5" x14ac:dyDescent="0.2">
      <c r="A6842" t="s">
        <v>17439</v>
      </c>
      <c r="B6842" t="s">
        <v>17440</v>
      </c>
      <c r="C6842" t="s">
        <v>17399</v>
      </c>
      <c r="D6842" t="s">
        <v>17399</v>
      </c>
      <c r="E6842" t="s">
        <v>17441</v>
      </c>
    </row>
    <row r="6843" spans="1:5" x14ac:dyDescent="0.2">
      <c r="A6843" t="s">
        <v>17442</v>
      </c>
      <c r="B6843" t="s">
        <v>17443</v>
      </c>
      <c r="C6843" t="s">
        <v>17399</v>
      </c>
      <c r="D6843" t="s">
        <v>17399</v>
      </c>
      <c r="E6843" t="s">
        <v>17444</v>
      </c>
    </row>
    <row r="6844" spans="1:5" x14ac:dyDescent="0.2">
      <c r="A6844" t="s">
        <v>17445</v>
      </c>
      <c r="B6844" t="s">
        <v>17446</v>
      </c>
      <c r="C6844" t="s">
        <v>17399</v>
      </c>
      <c r="D6844" t="s">
        <v>17399</v>
      </c>
      <c r="E6844" t="s">
        <v>17447</v>
      </c>
    </row>
    <row r="6845" spans="1:5" x14ac:dyDescent="0.2">
      <c r="A6845" t="s">
        <v>17448</v>
      </c>
      <c r="B6845" t="s">
        <v>17449</v>
      </c>
      <c r="C6845" t="s">
        <v>17399</v>
      </c>
      <c r="D6845" t="s">
        <v>17399</v>
      </c>
      <c r="E6845" t="s">
        <v>17450</v>
      </c>
    </row>
    <row r="6846" spans="1:5" x14ac:dyDescent="0.2">
      <c r="A6846" t="s">
        <v>17451</v>
      </c>
      <c r="B6846" t="s">
        <v>17452</v>
      </c>
      <c r="C6846" t="s">
        <v>17399</v>
      </c>
      <c r="D6846" t="s">
        <v>17399</v>
      </c>
      <c r="E6846" t="s">
        <v>17453</v>
      </c>
    </row>
    <row r="6847" spans="1:5" x14ac:dyDescent="0.2">
      <c r="A6847" t="s">
        <v>17454</v>
      </c>
      <c r="B6847" t="s">
        <v>17455</v>
      </c>
      <c r="C6847" t="s">
        <v>17399</v>
      </c>
      <c r="D6847" t="s">
        <v>17399</v>
      </c>
      <c r="E6847" t="s">
        <v>17433</v>
      </c>
    </row>
    <row r="6848" spans="1:5" x14ac:dyDescent="0.2">
      <c r="A6848" t="s">
        <v>17456</v>
      </c>
      <c r="B6848" t="s">
        <v>17457</v>
      </c>
      <c r="C6848" t="s">
        <v>17399</v>
      </c>
      <c r="D6848" t="s">
        <v>17399</v>
      </c>
      <c r="E6848" t="s">
        <v>17458</v>
      </c>
    </row>
    <row r="6849" spans="1:5" x14ac:dyDescent="0.2">
      <c r="A6849" t="s">
        <v>17459</v>
      </c>
      <c r="B6849" t="s">
        <v>17460</v>
      </c>
      <c r="C6849" t="s">
        <v>17399</v>
      </c>
      <c r="D6849" t="s">
        <v>17399</v>
      </c>
      <c r="E6849" t="s">
        <v>17461</v>
      </c>
    </row>
    <row r="6850" spans="1:5" x14ac:dyDescent="0.2">
      <c r="A6850" t="s">
        <v>17462</v>
      </c>
      <c r="B6850" t="s">
        <v>17463</v>
      </c>
      <c r="C6850" t="s">
        <v>17399</v>
      </c>
      <c r="D6850" t="s">
        <v>17399</v>
      </c>
      <c r="E6850" t="s">
        <v>17464</v>
      </c>
    </row>
    <row r="6851" spans="1:5" x14ac:dyDescent="0.2">
      <c r="A6851" t="s">
        <v>17465</v>
      </c>
      <c r="B6851" t="s">
        <v>17466</v>
      </c>
      <c r="C6851" t="s">
        <v>17399</v>
      </c>
      <c r="D6851" t="s">
        <v>17399</v>
      </c>
      <c r="E6851" t="s">
        <v>17453</v>
      </c>
    </row>
    <row r="6852" spans="1:5" x14ac:dyDescent="0.2">
      <c r="A6852" t="s">
        <v>17467</v>
      </c>
      <c r="B6852" t="s">
        <v>17468</v>
      </c>
      <c r="C6852" t="s">
        <v>17399</v>
      </c>
      <c r="D6852" t="s">
        <v>17399</v>
      </c>
      <c r="E6852" t="s">
        <v>17469</v>
      </c>
    </row>
    <row r="6853" spans="1:5" x14ac:dyDescent="0.2">
      <c r="A6853" t="s">
        <v>17470</v>
      </c>
      <c r="B6853" t="s">
        <v>17471</v>
      </c>
      <c r="C6853" t="s">
        <v>17399</v>
      </c>
      <c r="D6853" t="s">
        <v>17399</v>
      </c>
      <c r="E6853" t="s">
        <v>17472</v>
      </c>
    </row>
    <row r="6854" spans="1:5" x14ac:dyDescent="0.2">
      <c r="A6854" t="s">
        <v>17473</v>
      </c>
      <c r="B6854" t="s">
        <v>17474</v>
      </c>
      <c r="C6854" t="s">
        <v>17399</v>
      </c>
      <c r="D6854" t="s">
        <v>17399</v>
      </c>
      <c r="E6854" t="s">
        <v>17475</v>
      </c>
    </row>
    <row r="6855" spans="1:5" x14ac:dyDescent="0.2">
      <c r="A6855" t="s">
        <v>17476</v>
      </c>
      <c r="B6855" t="s">
        <v>17477</v>
      </c>
      <c r="C6855" t="s">
        <v>17399</v>
      </c>
      <c r="D6855" t="s">
        <v>17399</v>
      </c>
      <c r="E6855" t="s">
        <v>17433</v>
      </c>
    </row>
    <row r="6856" spans="1:5" x14ac:dyDescent="0.2">
      <c r="A6856" t="s">
        <v>17478</v>
      </c>
      <c r="B6856" t="s">
        <v>17479</v>
      </c>
      <c r="C6856" t="s">
        <v>17399</v>
      </c>
      <c r="D6856" t="s">
        <v>17399</v>
      </c>
      <c r="E6856" t="s">
        <v>17480</v>
      </c>
    </row>
    <row r="6857" spans="1:5" x14ac:dyDescent="0.2">
      <c r="A6857" t="s">
        <v>17481</v>
      </c>
      <c r="B6857" t="s">
        <v>17482</v>
      </c>
      <c r="C6857" t="s">
        <v>17399</v>
      </c>
      <c r="D6857" t="s">
        <v>17399</v>
      </c>
      <c r="E6857" t="s">
        <v>17433</v>
      </c>
    </row>
    <row r="6858" spans="1:5" x14ac:dyDescent="0.2">
      <c r="A6858" t="s">
        <v>17483</v>
      </c>
      <c r="B6858" t="s">
        <v>17484</v>
      </c>
      <c r="C6858" t="s">
        <v>17399</v>
      </c>
      <c r="D6858" t="s">
        <v>17399</v>
      </c>
      <c r="E6858" t="s">
        <v>17453</v>
      </c>
    </row>
    <row r="6859" spans="1:5" x14ac:dyDescent="0.2">
      <c r="A6859" t="s">
        <v>17485</v>
      </c>
      <c r="B6859" t="s">
        <v>17486</v>
      </c>
      <c r="C6859" t="s">
        <v>17399</v>
      </c>
      <c r="D6859" t="s">
        <v>17399</v>
      </c>
      <c r="E6859" t="s">
        <v>17487</v>
      </c>
    </row>
    <row r="6860" spans="1:5" x14ac:dyDescent="0.2">
      <c r="A6860" t="s">
        <v>17488</v>
      </c>
      <c r="B6860" t="s">
        <v>17489</v>
      </c>
      <c r="C6860" t="s">
        <v>17399</v>
      </c>
      <c r="D6860" t="s">
        <v>17399</v>
      </c>
      <c r="E6860" t="s">
        <v>17490</v>
      </c>
    </row>
    <row r="6861" spans="1:5" x14ac:dyDescent="0.2">
      <c r="A6861" t="s">
        <v>17491</v>
      </c>
      <c r="B6861" t="s">
        <v>17492</v>
      </c>
      <c r="C6861" t="s">
        <v>17399</v>
      </c>
      <c r="D6861" t="s">
        <v>17399</v>
      </c>
      <c r="E6861" t="s">
        <v>17453</v>
      </c>
    </row>
    <row r="6862" spans="1:5" x14ac:dyDescent="0.2">
      <c r="A6862" t="s">
        <v>17493</v>
      </c>
      <c r="B6862" t="s">
        <v>17494</v>
      </c>
      <c r="C6862" t="s">
        <v>17399</v>
      </c>
      <c r="D6862" t="s">
        <v>17399</v>
      </c>
      <c r="E6862" t="s">
        <v>17495</v>
      </c>
    </row>
    <row r="6863" spans="1:5" x14ac:dyDescent="0.2">
      <c r="A6863" t="s">
        <v>17496</v>
      </c>
      <c r="B6863" t="s">
        <v>17497</v>
      </c>
      <c r="C6863" t="s">
        <v>17399</v>
      </c>
      <c r="D6863" t="s">
        <v>17399</v>
      </c>
      <c r="E6863" t="s">
        <v>17433</v>
      </c>
    </row>
    <row r="6864" spans="1:5" x14ac:dyDescent="0.2">
      <c r="A6864" t="s">
        <v>17498</v>
      </c>
      <c r="B6864" t="s">
        <v>17499</v>
      </c>
      <c r="C6864" t="s">
        <v>17399</v>
      </c>
      <c r="D6864" t="s">
        <v>17399</v>
      </c>
      <c r="E6864" t="s">
        <v>17433</v>
      </c>
    </row>
    <row r="6865" spans="1:5" x14ac:dyDescent="0.2">
      <c r="A6865" t="s">
        <v>17500</v>
      </c>
      <c r="B6865" t="s">
        <v>17501</v>
      </c>
      <c r="C6865" t="s">
        <v>17399</v>
      </c>
      <c r="D6865" t="s">
        <v>17399</v>
      </c>
      <c r="E6865" t="s">
        <v>17502</v>
      </c>
    </row>
    <row r="6866" spans="1:5" x14ac:dyDescent="0.2">
      <c r="A6866" t="s">
        <v>17503</v>
      </c>
      <c r="B6866" t="s">
        <v>17504</v>
      </c>
      <c r="C6866" t="s">
        <v>17399</v>
      </c>
      <c r="D6866" t="s">
        <v>17399</v>
      </c>
      <c r="E6866" t="s">
        <v>17505</v>
      </c>
    </row>
    <row r="6867" spans="1:5" x14ac:dyDescent="0.2">
      <c r="A6867" t="s">
        <v>17506</v>
      </c>
      <c r="B6867" t="s">
        <v>17507</v>
      </c>
      <c r="C6867" t="s">
        <v>17399</v>
      </c>
      <c r="D6867" t="s">
        <v>17399</v>
      </c>
      <c r="E6867" t="s">
        <v>17433</v>
      </c>
    </row>
    <row r="6868" spans="1:5" x14ac:dyDescent="0.2">
      <c r="A6868" t="s">
        <v>17508</v>
      </c>
      <c r="B6868" t="s">
        <v>17509</v>
      </c>
      <c r="C6868" t="s">
        <v>17399</v>
      </c>
      <c r="D6868" t="s">
        <v>17399</v>
      </c>
      <c r="E6868" t="s">
        <v>17510</v>
      </c>
    </row>
    <row r="6869" spans="1:5" x14ac:dyDescent="0.2">
      <c r="A6869" t="s">
        <v>17511</v>
      </c>
      <c r="B6869" t="s">
        <v>17512</v>
      </c>
      <c r="C6869" t="s">
        <v>17399</v>
      </c>
      <c r="D6869" t="s">
        <v>17399</v>
      </c>
      <c r="E6869" t="s">
        <v>17513</v>
      </c>
    </row>
    <row r="6870" spans="1:5" x14ac:dyDescent="0.2">
      <c r="A6870" t="s">
        <v>17514</v>
      </c>
      <c r="B6870" t="s">
        <v>17515</v>
      </c>
      <c r="C6870" t="s">
        <v>17399</v>
      </c>
      <c r="D6870" t="s">
        <v>17399</v>
      </c>
      <c r="E6870" t="s">
        <v>17433</v>
      </c>
    </row>
    <row r="6871" spans="1:5" x14ac:dyDescent="0.2">
      <c r="A6871" t="s">
        <v>17516</v>
      </c>
      <c r="B6871" t="s">
        <v>17517</v>
      </c>
      <c r="C6871" t="s">
        <v>17399</v>
      </c>
      <c r="D6871" t="s">
        <v>17399</v>
      </c>
      <c r="E6871" t="s">
        <v>17453</v>
      </c>
    </row>
    <row r="6872" spans="1:5" x14ac:dyDescent="0.2">
      <c r="A6872" t="s">
        <v>17518</v>
      </c>
      <c r="B6872" t="s">
        <v>17519</v>
      </c>
      <c r="C6872" t="s">
        <v>17399</v>
      </c>
      <c r="D6872" t="s">
        <v>17399</v>
      </c>
      <c r="E6872" t="s">
        <v>17453</v>
      </c>
    </row>
    <row r="6873" spans="1:5" x14ac:dyDescent="0.2">
      <c r="A6873" t="s">
        <v>17520</v>
      </c>
      <c r="B6873" t="s">
        <v>17521</v>
      </c>
      <c r="C6873" t="s">
        <v>17399</v>
      </c>
      <c r="D6873" t="s">
        <v>17399</v>
      </c>
      <c r="E6873" t="s">
        <v>17472</v>
      </c>
    </row>
    <row r="6874" spans="1:5" x14ac:dyDescent="0.2">
      <c r="A6874" t="s">
        <v>17522</v>
      </c>
      <c r="B6874" t="s">
        <v>17523</v>
      </c>
      <c r="C6874" t="s">
        <v>17399</v>
      </c>
      <c r="D6874" t="s">
        <v>17399</v>
      </c>
      <c r="E6874" t="s">
        <v>17524</v>
      </c>
    </row>
    <row r="6875" spans="1:5" x14ac:dyDescent="0.2">
      <c r="A6875" t="s">
        <v>17525</v>
      </c>
      <c r="B6875" t="s">
        <v>17526</v>
      </c>
      <c r="C6875" t="s">
        <v>17399</v>
      </c>
      <c r="D6875" t="s">
        <v>17399</v>
      </c>
      <c r="E6875" t="s">
        <v>17472</v>
      </c>
    </row>
    <row r="6876" spans="1:5" x14ac:dyDescent="0.2">
      <c r="A6876" t="s">
        <v>17527</v>
      </c>
      <c r="B6876" t="s">
        <v>17528</v>
      </c>
      <c r="C6876" t="s">
        <v>17399</v>
      </c>
      <c r="D6876" t="s">
        <v>17399</v>
      </c>
      <c r="E6876" t="s">
        <v>17529</v>
      </c>
    </row>
    <row r="6877" spans="1:5" x14ac:dyDescent="0.2">
      <c r="A6877" t="s">
        <v>17530</v>
      </c>
      <c r="B6877" t="s">
        <v>17531</v>
      </c>
      <c r="C6877" t="s">
        <v>17399</v>
      </c>
      <c r="D6877" t="s">
        <v>17399</v>
      </c>
      <c r="E6877" t="s">
        <v>17532</v>
      </c>
    </row>
    <row r="6878" spans="1:5" x14ac:dyDescent="0.2">
      <c r="A6878" t="s">
        <v>17533</v>
      </c>
      <c r="B6878" t="s">
        <v>17534</v>
      </c>
      <c r="C6878" t="s">
        <v>17399</v>
      </c>
      <c r="D6878" t="s">
        <v>17399</v>
      </c>
      <c r="E6878" t="s">
        <v>17453</v>
      </c>
    </row>
    <row r="6879" spans="1:5" x14ac:dyDescent="0.2">
      <c r="A6879" t="s">
        <v>17535</v>
      </c>
      <c r="B6879" t="s">
        <v>17536</v>
      </c>
      <c r="C6879" t="s">
        <v>17399</v>
      </c>
      <c r="D6879" t="s">
        <v>5917</v>
      </c>
      <c r="E6879" t="s">
        <v>5933</v>
      </c>
    </row>
    <row r="6880" spans="1:5" x14ac:dyDescent="0.2">
      <c r="A6880" t="s">
        <v>17537</v>
      </c>
      <c r="B6880" t="s">
        <v>17538</v>
      </c>
      <c r="C6880" t="s">
        <v>17399</v>
      </c>
      <c r="D6880" t="s">
        <v>17399</v>
      </c>
      <c r="E6880" t="s">
        <v>17539</v>
      </c>
    </row>
    <row r="6881" spans="1:5" x14ac:dyDescent="0.2">
      <c r="A6881" t="s">
        <v>17540</v>
      </c>
      <c r="B6881" t="s">
        <v>17541</v>
      </c>
      <c r="C6881" t="s">
        <v>17399</v>
      </c>
      <c r="D6881" t="s">
        <v>17399</v>
      </c>
      <c r="E6881" t="s">
        <v>17542</v>
      </c>
    </row>
    <row r="6882" spans="1:5" x14ac:dyDescent="0.2">
      <c r="A6882" t="s">
        <v>17543</v>
      </c>
      <c r="B6882" t="s">
        <v>17544</v>
      </c>
      <c r="C6882" t="s">
        <v>17399</v>
      </c>
      <c r="D6882" t="s">
        <v>17399</v>
      </c>
      <c r="E6882" t="s">
        <v>17545</v>
      </c>
    </row>
    <row r="6883" spans="1:5" x14ac:dyDescent="0.2">
      <c r="A6883" t="s">
        <v>17546</v>
      </c>
      <c r="B6883" t="s">
        <v>17547</v>
      </c>
      <c r="C6883" t="s">
        <v>17399</v>
      </c>
      <c r="D6883" t="s">
        <v>17399</v>
      </c>
      <c r="E6883" t="s">
        <v>17433</v>
      </c>
    </row>
    <row r="6884" spans="1:5" x14ac:dyDescent="0.2">
      <c r="A6884" t="s">
        <v>17548</v>
      </c>
      <c r="B6884" t="s">
        <v>17549</v>
      </c>
      <c r="C6884" t="s">
        <v>17399</v>
      </c>
      <c r="D6884" t="s">
        <v>17399</v>
      </c>
      <c r="E6884" t="s">
        <v>17453</v>
      </c>
    </row>
    <row r="6885" spans="1:5" x14ac:dyDescent="0.2">
      <c r="A6885" t="s">
        <v>17550</v>
      </c>
      <c r="B6885" t="s">
        <v>17551</v>
      </c>
      <c r="C6885" t="s">
        <v>17399</v>
      </c>
      <c r="D6885" t="s">
        <v>17399</v>
      </c>
      <c r="E6885" t="s">
        <v>17453</v>
      </c>
    </row>
    <row r="6886" spans="1:5" x14ac:dyDescent="0.2">
      <c r="A6886" t="s">
        <v>17552</v>
      </c>
      <c r="B6886" t="s">
        <v>17553</v>
      </c>
      <c r="C6886" t="s">
        <v>17554</v>
      </c>
      <c r="D6886" t="s">
        <v>17554</v>
      </c>
      <c r="E6886" t="s">
        <v>17555</v>
      </c>
    </row>
    <row r="6887" spans="1:5" x14ac:dyDescent="0.2">
      <c r="A6887" t="s">
        <v>17556</v>
      </c>
      <c r="B6887" t="s">
        <v>17557</v>
      </c>
      <c r="C6887" t="s">
        <v>17554</v>
      </c>
      <c r="D6887" t="s">
        <v>17554</v>
      </c>
      <c r="E6887" t="s">
        <v>17558</v>
      </c>
    </row>
    <row r="6888" spans="1:5" x14ac:dyDescent="0.2">
      <c r="A6888" t="s">
        <v>17559</v>
      </c>
      <c r="B6888" t="s">
        <v>17560</v>
      </c>
      <c r="C6888" t="s">
        <v>17554</v>
      </c>
      <c r="D6888" t="s">
        <v>17554</v>
      </c>
      <c r="E6888" t="s">
        <v>17561</v>
      </c>
    </row>
    <row r="6889" spans="1:5" x14ac:dyDescent="0.2">
      <c r="A6889" t="s">
        <v>17562</v>
      </c>
      <c r="B6889" t="s">
        <v>17563</v>
      </c>
      <c r="C6889" t="s">
        <v>17554</v>
      </c>
      <c r="D6889" t="s">
        <v>17554</v>
      </c>
      <c r="E6889" t="s">
        <v>17564</v>
      </c>
    </row>
    <row r="6890" spans="1:5" x14ac:dyDescent="0.2">
      <c r="A6890" t="s">
        <v>17565</v>
      </c>
      <c r="B6890" t="s">
        <v>17566</v>
      </c>
      <c r="C6890" t="s">
        <v>17554</v>
      </c>
      <c r="D6890" t="s">
        <v>17554</v>
      </c>
      <c r="E6890" t="s">
        <v>17567</v>
      </c>
    </row>
    <row r="6891" spans="1:5" x14ac:dyDescent="0.2">
      <c r="A6891" t="s">
        <v>17568</v>
      </c>
      <c r="B6891" t="s">
        <v>17569</v>
      </c>
      <c r="C6891" t="s">
        <v>17554</v>
      </c>
      <c r="D6891" t="s">
        <v>17554</v>
      </c>
      <c r="E6891" t="s">
        <v>17570</v>
      </c>
    </row>
    <row r="6892" spans="1:5" x14ac:dyDescent="0.2">
      <c r="A6892" t="s">
        <v>17571</v>
      </c>
      <c r="B6892" t="s">
        <v>17572</v>
      </c>
      <c r="C6892" t="s">
        <v>17554</v>
      </c>
      <c r="D6892" t="s">
        <v>17554</v>
      </c>
      <c r="E6892" t="s">
        <v>17564</v>
      </c>
    </row>
    <row r="6893" spans="1:5" x14ac:dyDescent="0.2">
      <c r="A6893" t="s">
        <v>17573</v>
      </c>
      <c r="B6893" t="s">
        <v>17574</v>
      </c>
      <c r="C6893" t="s">
        <v>17554</v>
      </c>
      <c r="D6893" t="s">
        <v>17554</v>
      </c>
      <c r="E6893" t="s">
        <v>17575</v>
      </c>
    </row>
    <row r="6894" spans="1:5" x14ac:dyDescent="0.2">
      <c r="A6894" t="s">
        <v>17576</v>
      </c>
      <c r="B6894" t="s">
        <v>17577</v>
      </c>
      <c r="C6894" t="s">
        <v>17554</v>
      </c>
      <c r="D6894" t="s">
        <v>17554</v>
      </c>
      <c r="E6894" t="s">
        <v>17578</v>
      </c>
    </row>
    <row r="6895" spans="1:5" x14ac:dyDescent="0.2">
      <c r="A6895" t="s">
        <v>17579</v>
      </c>
      <c r="B6895" t="s">
        <v>17580</v>
      </c>
      <c r="C6895" t="s">
        <v>17554</v>
      </c>
      <c r="D6895" t="s">
        <v>17554</v>
      </c>
      <c r="E6895" t="s">
        <v>17581</v>
      </c>
    </row>
    <row r="6896" spans="1:5" x14ac:dyDescent="0.2">
      <c r="A6896" t="s">
        <v>17582</v>
      </c>
      <c r="B6896" t="s">
        <v>17583</v>
      </c>
      <c r="C6896" t="s">
        <v>17554</v>
      </c>
      <c r="D6896" t="s">
        <v>17554</v>
      </c>
      <c r="E6896" t="s">
        <v>17584</v>
      </c>
    </row>
    <row r="6897" spans="1:5" x14ac:dyDescent="0.2">
      <c r="A6897" t="s">
        <v>17585</v>
      </c>
      <c r="B6897" t="s">
        <v>17586</v>
      </c>
      <c r="C6897" t="s">
        <v>17554</v>
      </c>
      <c r="D6897" t="s">
        <v>17554</v>
      </c>
      <c r="E6897" t="s">
        <v>17587</v>
      </c>
    </row>
    <row r="6898" spans="1:5" x14ac:dyDescent="0.2">
      <c r="A6898" t="s">
        <v>17588</v>
      </c>
      <c r="B6898" t="s">
        <v>17589</v>
      </c>
      <c r="C6898" t="s">
        <v>17590</v>
      </c>
      <c r="D6898" t="s">
        <v>17590</v>
      </c>
      <c r="E6898" t="s">
        <v>17591</v>
      </c>
    </row>
    <row r="6899" spans="1:5" x14ac:dyDescent="0.2">
      <c r="A6899" t="s">
        <v>17592</v>
      </c>
      <c r="B6899" t="s">
        <v>17593</v>
      </c>
      <c r="C6899" t="s">
        <v>17590</v>
      </c>
      <c r="D6899" t="s">
        <v>17590</v>
      </c>
      <c r="E6899" t="s">
        <v>17594</v>
      </c>
    </row>
    <row r="6900" spans="1:5" x14ac:dyDescent="0.2">
      <c r="A6900" t="s">
        <v>17595</v>
      </c>
      <c r="B6900" t="s">
        <v>17596</v>
      </c>
      <c r="C6900" t="s">
        <v>17590</v>
      </c>
      <c r="D6900" t="s">
        <v>17590</v>
      </c>
      <c r="E6900" t="s">
        <v>17597</v>
      </c>
    </row>
    <row r="6901" spans="1:5" x14ac:dyDescent="0.2">
      <c r="A6901" t="s">
        <v>17598</v>
      </c>
      <c r="B6901" t="s">
        <v>17599</v>
      </c>
      <c r="C6901" t="s">
        <v>17590</v>
      </c>
      <c r="D6901" t="s">
        <v>17590</v>
      </c>
      <c r="E6901" t="s">
        <v>17597</v>
      </c>
    </row>
    <row r="6902" spans="1:5" x14ac:dyDescent="0.2">
      <c r="A6902" t="s">
        <v>17600</v>
      </c>
      <c r="B6902" t="s">
        <v>17601</v>
      </c>
      <c r="C6902" t="s">
        <v>17590</v>
      </c>
      <c r="D6902" t="s">
        <v>17590</v>
      </c>
      <c r="E6902" t="s">
        <v>17597</v>
      </c>
    </row>
    <row r="6903" spans="1:5" x14ac:dyDescent="0.2">
      <c r="A6903" t="s">
        <v>17602</v>
      </c>
      <c r="B6903" t="s">
        <v>17603</v>
      </c>
      <c r="C6903" t="s">
        <v>17590</v>
      </c>
      <c r="D6903" t="s">
        <v>17590</v>
      </c>
      <c r="E6903" t="s">
        <v>17604</v>
      </c>
    </row>
    <row r="6904" spans="1:5" x14ac:dyDescent="0.2">
      <c r="A6904" t="s">
        <v>17605</v>
      </c>
      <c r="B6904" t="s">
        <v>17606</v>
      </c>
      <c r="C6904" t="s">
        <v>17590</v>
      </c>
      <c r="D6904" t="s">
        <v>17590</v>
      </c>
      <c r="E6904" t="s">
        <v>17597</v>
      </c>
    </row>
    <row r="6905" spans="1:5" x14ac:dyDescent="0.2">
      <c r="A6905" t="s">
        <v>17607</v>
      </c>
      <c r="B6905" t="s">
        <v>17608</v>
      </c>
      <c r="C6905" t="s">
        <v>17590</v>
      </c>
      <c r="D6905" t="s">
        <v>17590</v>
      </c>
      <c r="E6905" t="s">
        <v>17597</v>
      </c>
    </row>
    <row r="6906" spans="1:5" x14ac:dyDescent="0.2">
      <c r="A6906" t="s">
        <v>17609</v>
      </c>
      <c r="B6906" t="s">
        <v>17610</v>
      </c>
      <c r="C6906" t="s">
        <v>17590</v>
      </c>
      <c r="D6906" t="s">
        <v>17590</v>
      </c>
      <c r="E6906" t="s">
        <v>17611</v>
      </c>
    </row>
    <row r="6907" spans="1:5" x14ac:dyDescent="0.2">
      <c r="A6907" t="s">
        <v>17612</v>
      </c>
      <c r="B6907" t="s">
        <v>17613</v>
      </c>
      <c r="C6907" t="s">
        <v>17590</v>
      </c>
      <c r="D6907" t="s">
        <v>17590</v>
      </c>
      <c r="E6907" t="s">
        <v>17614</v>
      </c>
    </row>
    <row r="6908" spans="1:5" x14ac:dyDescent="0.2">
      <c r="A6908" t="s">
        <v>17615</v>
      </c>
      <c r="B6908" t="s">
        <v>17616</v>
      </c>
      <c r="C6908" t="s">
        <v>17590</v>
      </c>
      <c r="D6908" t="s">
        <v>17590</v>
      </c>
      <c r="E6908" t="s">
        <v>17617</v>
      </c>
    </row>
    <row r="6909" spans="1:5" x14ac:dyDescent="0.2">
      <c r="A6909" t="s">
        <v>17618</v>
      </c>
      <c r="B6909" t="s">
        <v>17619</v>
      </c>
      <c r="C6909" t="s">
        <v>17590</v>
      </c>
      <c r="D6909" t="s">
        <v>17590</v>
      </c>
      <c r="E6909" t="s">
        <v>17597</v>
      </c>
    </row>
    <row r="6910" spans="1:5" x14ac:dyDescent="0.2">
      <c r="A6910" t="s">
        <v>17620</v>
      </c>
      <c r="B6910" t="s">
        <v>17621</v>
      </c>
      <c r="C6910" t="s">
        <v>17590</v>
      </c>
      <c r="D6910" t="s">
        <v>17590</v>
      </c>
      <c r="E6910" t="s">
        <v>17622</v>
      </c>
    </row>
    <row r="6911" spans="1:5" x14ac:dyDescent="0.2">
      <c r="A6911" t="s">
        <v>17623</v>
      </c>
      <c r="B6911" t="s">
        <v>17624</v>
      </c>
      <c r="C6911" t="s">
        <v>17590</v>
      </c>
      <c r="D6911" t="s">
        <v>17590</v>
      </c>
      <c r="E6911" t="s">
        <v>17625</v>
      </c>
    </row>
    <row r="6912" spans="1:5" x14ac:dyDescent="0.2">
      <c r="A6912" t="s">
        <v>17626</v>
      </c>
      <c r="B6912" t="s">
        <v>17627</v>
      </c>
      <c r="C6912" t="s">
        <v>17590</v>
      </c>
      <c r="D6912" t="s">
        <v>17590</v>
      </c>
      <c r="E6912" t="s">
        <v>17597</v>
      </c>
    </row>
    <row r="6913" spans="1:5" x14ac:dyDescent="0.2">
      <c r="A6913" t="s">
        <v>17628</v>
      </c>
      <c r="B6913" t="s">
        <v>17629</v>
      </c>
      <c r="C6913" t="s">
        <v>17590</v>
      </c>
      <c r="D6913" t="s">
        <v>17590</v>
      </c>
      <c r="E6913" t="s">
        <v>17630</v>
      </c>
    </row>
    <row r="6914" spans="1:5" x14ac:dyDescent="0.2">
      <c r="A6914" t="s">
        <v>17631</v>
      </c>
      <c r="B6914" t="s">
        <v>17632</v>
      </c>
      <c r="C6914" t="s">
        <v>17590</v>
      </c>
      <c r="D6914" t="s">
        <v>17590</v>
      </c>
      <c r="E6914" t="s">
        <v>17633</v>
      </c>
    </row>
    <row r="6915" spans="1:5" x14ac:dyDescent="0.2">
      <c r="A6915" t="s">
        <v>17634</v>
      </c>
      <c r="B6915" t="s">
        <v>17635</v>
      </c>
      <c r="C6915" t="s">
        <v>17590</v>
      </c>
      <c r="D6915" t="s">
        <v>17590</v>
      </c>
      <c r="E6915" t="s">
        <v>17597</v>
      </c>
    </row>
    <row r="6916" spans="1:5" x14ac:dyDescent="0.2">
      <c r="A6916" t="s">
        <v>17636</v>
      </c>
      <c r="B6916" t="s">
        <v>17637</v>
      </c>
      <c r="C6916" t="s">
        <v>17590</v>
      </c>
      <c r="D6916" t="s">
        <v>17590</v>
      </c>
      <c r="E6916" t="s">
        <v>17597</v>
      </c>
    </row>
    <row r="6917" spans="1:5" x14ac:dyDescent="0.2">
      <c r="A6917" t="s">
        <v>17638</v>
      </c>
      <c r="B6917" t="s">
        <v>17639</v>
      </c>
      <c r="C6917" t="s">
        <v>17590</v>
      </c>
      <c r="D6917" t="s">
        <v>17590</v>
      </c>
      <c r="E6917" t="s">
        <v>17597</v>
      </c>
    </row>
    <row r="6918" spans="1:5" x14ac:dyDescent="0.2">
      <c r="A6918" t="s">
        <v>17640</v>
      </c>
      <c r="B6918" t="s">
        <v>17641</v>
      </c>
      <c r="C6918" t="s">
        <v>17590</v>
      </c>
      <c r="D6918" t="s">
        <v>17590</v>
      </c>
      <c r="E6918" t="s">
        <v>17597</v>
      </c>
    </row>
    <row r="6919" spans="1:5" x14ac:dyDescent="0.2">
      <c r="A6919" t="s">
        <v>17642</v>
      </c>
      <c r="B6919" t="s">
        <v>17643</v>
      </c>
      <c r="C6919" t="s">
        <v>17644</v>
      </c>
      <c r="D6919" t="s">
        <v>17645</v>
      </c>
      <c r="E6919" t="s">
        <v>17646</v>
      </c>
    </row>
    <row r="6920" spans="1:5" x14ac:dyDescent="0.2">
      <c r="A6920" t="s">
        <v>17647</v>
      </c>
      <c r="B6920" t="s">
        <v>17648</v>
      </c>
      <c r="C6920" t="s">
        <v>17644</v>
      </c>
      <c r="D6920" t="s">
        <v>17645</v>
      </c>
      <c r="E6920" t="s">
        <v>17646</v>
      </c>
    </row>
    <row r="6921" spans="1:5" x14ac:dyDescent="0.2">
      <c r="A6921" t="s">
        <v>17649</v>
      </c>
      <c r="B6921" t="s">
        <v>17650</v>
      </c>
      <c r="C6921" t="s">
        <v>17644</v>
      </c>
      <c r="D6921" t="s">
        <v>17644</v>
      </c>
      <c r="E6921" t="s">
        <v>17651</v>
      </c>
    </row>
    <row r="6922" spans="1:5" x14ac:dyDescent="0.2">
      <c r="A6922" t="s">
        <v>17652</v>
      </c>
      <c r="B6922" t="s">
        <v>17653</v>
      </c>
      <c r="C6922" t="s">
        <v>17644</v>
      </c>
      <c r="D6922" t="s">
        <v>17644</v>
      </c>
      <c r="E6922" t="s">
        <v>17654</v>
      </c>
    </row>
    <row r="6923" spans="1:5" x14ac:dyDescent="0.2">
      <c r="A6923" t="s">
        <v>17655</v>
      </c>
      <c r="B6923" t="s">
        <v>17656</v>
      </c>
      <c r="C6923" t="s">
        <v>17644</v>
      </c>
      <c r="D6923" t="s">
        <v>17644</v>
      </c>
      <c r="E6923" t="s">
        <v>17654</v>
      </c>
    </row>
    <row r="6924" spans="1:5" x14ac:dyDescent="0.2">
      <c r="A6924" t="s">
        <v>17657</v>
      </c>
      <c r="B6924" t="s">
        <v>17658</v>
      </c>
      <c r="C6924" t="s">
        <v>17644</v>
      </c>
      <c r="D6924" t="s">
        <v>17645</v>
      </c>
      <c r="E6924" t="s">
        <v>17659</v>
      </c>
    </row>
    <row r="6925" spans="1:5" x14ac:dyDescent="0.2">
      <c r="A6925" t="s">
        <v>17660</v>
      </c>
      <c r="B6925" t="s">
        <v>17661</v>
      </c>
      <c r="C6925" t="s">
        <v>17644</v>
      </c>
      <c r="D6925" t="s">
        <v>17644</v>
      </c>
      <c r="E6925" t="s">
        <v>17662</v>
      </c>
    </row>
    <row r="6926" spans="1:5" x14ac:dyDescent="0.2">
      <c r="A6926" t="s">
        <v>17663</v>
      </c>
      <c r="B6926" t="s">
        <v>17664</v>
      </c>
      <c r="C6926" t="s">
        <v>17644</v>
      </c>
      <c r="D6926" t="s">
        <v>17644</v>
      </c>
      <c r="E6926" t="s">
        <v>17654</v>
      </c>
    </row>
    <row r="6927" spans="1:5" x14ac:dyDescent="0.2">
      <c r="A6927" t="s">
        <v>17665</v>
      </c>
      <c r="B6927" t="s">
        <v>17666</v>
      </c>
      <c r="C6927" t="s">
        <v>17644</v>
      </c>
      <c r="D6927" t="s">
        <v>17645</v>
      </c>
      <c r="E6927" t="s">
        <v>17667</v>
      </c>
    </row>
    <row r="6928" spans="1:5" x14ac:dyDescent="0.2">
      <c r="A6928" t="s">
        <v>17668</v>
      </c>
      <c r="B6928" t="s">
        <v>17669</v>
      </c>
      <c r="C6928" t="s">
        <v>17644</v>
      </c>
      <c r="D6928" t="s">
        <v>17644</v>
      </c>
      <c r="E6928" t="s">
        <v>17662</v>
      </c>
    </row>
    <row r="6929" spans="1:5" x14ac:dyDescent="0.2">
      <c r="A6929" t="s">
        <v>17670</v>
      </c>
      <c r="B6929" t="s">
        <v>17671</v>
      </c>
      <c r="C6929" t="s">
        <v>17644</v>
      </c>
      <c r="D6929" t="s">
        <v>17644</v>
      </c>
      <c r="E6929" t="s">
        <v>17672</v>
      </c>
    </row>
    <row r="6930" spans="1:5" x14ac:dyDescent="0.2">
      <c r="A6930" t="s">
        <v>17673</v>
      </c>
      <c r="B6930" t="s">
        <v>17674</v>
      </c>
      <c r="C6930" t="s">
        <v>17644</v>
      </c>
      <c r="D6930" t="s">
        <v>17644</v>
      </c>
      <c r="E6930" t="s">
        <v>17675</v>
      </c>
    </row>
    <row r="6931" spans="1:5" x14ac:dyDescent="0.2">
      <c r="A6931" t="s">
        <v>17676</v>
      </c>
      <c r="B6931" t="s">
        <v>17677</v>
      </c>
      <c r="C6931" t="s">
        <v>17644</v>
      </c>
      <c r="D6931" t="s">
        <v>17644</v>
      </c>
      <c r="E6931" t="s">
        <v>17678</v>
      </c>
    </row>
    <row r="6932" spans="1:5" x14ac:dyDescent="0.2">
      <c r="A6932" t="s">
        <v>17679</v>
      </c>
      <c r="B6932" t="s">
        <v>17680</v>
      </c>
      <c r="C6932" t="s">
        <v>17644</v>
      </c>
      <c r="D6932" t="s">
        <v>17645</v>
      </c>
      <c r="E6932" t="s">
        <v>17681</v>
      </c>
    </row>
    <row r="6933" spans="1:5" x14ac:dyDescent="0.2">
      <c r="A6933" t="s">
        <v>17682</v>
      </c>
      <c r="B6933" t="s">
        <v>17683</v>
      </c>
      <c r="C6933" t="s">
        <v>17644</v>
      </c>
      <c r="D6933" t="s">
        <v>17644</v>
      </c>
      <c r="E6933" t="s">
        <v>17662</v>
      </c>
    </row>
    <row r="6934" spans="1:5" x14ac:dyDescent="0.2">
      <c r="A6934" t="s">
        <v>17684</v>
      </c>
      <c r="B6934" t="s">
        <v>17685</v>
      </c>
      <c r="C6934" t="s">
        <v>17644</v>
      </c>
      <c r="D6934" t="s">
        <v>17644</v>
      </c>
      <c r="E6934" t="s">
        <v>17654</v>
      </c>
    </row>
    <row r="6935" spans="1:5" x14ac:dyDescent="0.2">
      <c r="A6935" t="s">
        <v>17686</v>
      </c>
      <c r="B6935" t="s">
        <v>17687</v>
      </c>
      <c r="C6935" t="s">
        <v>17644</v>
      </c>
      <c r="D6935" t="s">
        <v>17645</v>
      </c>
      <c r="E6935" t="s">
        <v>17646</v>
      </c>
    </row>
    <row r="6936" spans="1:5" x14ac:dyDescent="0.2">
      <c r="A6936" t="s">
        <v>17688</v>
      </c>
      <c r="B6936" t="s">
        <v>17689</v>
      </c>
      <c r="C6936" t="s">
        <v>17644</v>
      </c>
      <c r="D6936" t="s">
        <v>17644</v>
      </c>
      <c r="E6936" t="s">
        <v>17654</v>
      </c>
    </row>
    <row r="6937" spans="1:5" x14ac:dyDescent="0.2">
      <c r="A6937" t="s">
        <v>17690</v>
      </c>
      <c r="B6937" t="s">
        <v>17691</v>
      </c>
      <c r="C6937" t="s">
        <v>17644</v>
      </c>
      <c r="D6937" t="s">
        <v>17644</v>
      </c>
      <c r="E6937" t="s">
        <v>17681</v>
      </c>
    </row>
    <row r="6938" spans="1:5" x14ac:dyDescent="0.2">
      <c r="A6938" t="s">
        <v>17692</v>
      </c>
      <c r="B6938" t="s">
        <v>17693</v>
      </c>
      <c r="C6938" t="s">
        <v>17644</v>
      </c>
      <c r="D6938" t="s">
        <v>17644</v>
      </c>
      <c r="E6938" t="s">
        <v>17654</v>
      </c>
    </row>
    <row r="6939" spans="1:5" x14ac:dyDescent="0.2">
      <c r="A6939" t="s">
        <v>17694</v>
      </c>
      <c r="B6939" t="s">
        <v>17695</v>
      </c>
      <c r="C6939" t="s">
        <v>17644</v>
      </c>
      <c r="D6939" t="s">
        <v>17645</v>
      </c>
      <c r="E6939" t="s">
        <v>17696</v>
      </c>
    </row>
    <row r="6940" spans="1:5" x14ac:dyDescent="0.2">
      <c r="A6940" t="s">
        <v>17697</v>
      </c>
      <c r="B6940" t="s">
        <v>17698</v>
      </c>
      <c r="C6940" t="s">
        <v>17644</v>
      </c>
      <c r="D6940" t="s">
        <v>17644</v>
      </c>
      <c r="E6940" t="s">
        <v>17681</v>
      </c>
    </row>
    <row r="6941" spans="1:5" x14ac:dyDescent="0.2">
      <c r="A6941" t="s">
        <v>17699</v>
      </c>
      <c r="B6941" t="s">
        <v>17700</v>
      </c>
      <c r="C6941" t="s">
        <v>17644</v>
      </c>
      <c r="D6941" t="s">
        <v>17644</v>
      </c>
      <c r="E6941" t="s">
        <v>17701</v>
      </c>
    </row>
    <row r="6942" spans="1:5" x14ac:dyDescent="0.2">
      <c r="A6942" t="s">
        <v>17702</v>
      </c>
      <c r="B6942" t="s">
        <v>17703</v>
      </c>
      <c r="C6942" t="s">
        <v>17644</v>
      </c>
      <c r="D6942" t="s">
        <v>17644</v>
      </c>
      <c r="E6942" t="s">
        <v>17662</v>
      </c>
    </row>
    <row r="6943" spans="1:5" x14ac:dyDescent="0.2">
      <c r="A6943" t="s">
        <v>17704</v>
      </c>
      <c r="B6943" t="s">
        <v>17705</v>
      </c>
      <c r="C6943" t="s">
        <v>17644</v>
      </c>
      <c r="D6943" t="s">
        <v>17644</v>
      </c>
      <c r="E6943" t="s">
        <v>17681</v>
      </c>
    </row>
    <row r="6944" spans="1:5" x14ac:dyDescent="0.2">
      <c r="A6944" t="s">
        <v>17706</v>
      </c>
      <c r="B6944" t="s">
        <v>17707</v>
      </c>
      <c r="C6944" t="s">
        <v>17644</v>
      </c>
      <c r="D6944" t="s">
        <v>17644</v>
      </c>
      <c r="E6944" t="s">
        <v>17662</v>
      </c>
    </row>
    <row r="6945" spans="1:5" x14ac:dyDescent="0.2">
      <c r="A6945" t="s">
        <v>17708</v>
      </c>
      <c r="B6945" t="s">
        <v>17709</v>
      </c>
      <c r="C6945" t="s">
        <v>17644</v>
      </c>
      <c r="D6945" t="s">
        <v>17644</v>
      </c>
      <c r="E6945" t="s">
        <v>17654</v>
      </c>
    </row>
    <row r="6946" spans="1:5" x14ac:dyDescent="0.2">
      <c r="A6946" t="s">
        <v>17710</v>
      </c>
      <c r="B6946" t="s">
        <v>17711</v>
      </c>
      <c r="C6946" t="s">
        <v>17644</v>
      </c>
      <c r="D6946" t="s">
        <v>17644</v>
      </c>
      <c r="E6946" t="s">
        <v>17654</v>
      </c>
    </row>
    <row r="6947" spans="1:5" x14ac:dyDescent="0.2">
      <c r="A6947" t="s">
        <v>17712</v>
      </c>
      <c r="B6947" t="s">
        <v>17713</v>
      </c>
      <c r="C6947" t="s">
        <v>17644</v>
      </c>
      <c r="D6947" t="s">
        <v>17644</v>
      </c>
      <c r="E6947" t="s">
        <v>17681</v>
      </c>
    </row>
    <row r="6948" spans="1:5" x14ac:dyDescent="0.2">
      <c r="A6948" t="s">
        <v>17714</v>
      </c>
      <c r="B6948" t="s">
        <v>17715</v>
      </c>
      <c r="C6948" t="s">
        <v>17644</v>
      </c>
      <c r="D6948" t="s">
        <v>17644</v>
      </c>
      <c r="E6948" t="s">
        <v>17654</v>
      </c>
    </row>
    <row r="6949" spans="1:5" x14ac:dyDescent="0.2">
      <c r="A6949" t="s">
        <v>17716</v>
      </c>
      <c r="B6949" t="s">
        <v>17717</v>
      </c>
      <c r="C6949" t="s">
        <v>17644</v>
      </c>
      <c r="D6949" t="s">
        <v>17644</v>
      </c>
      <c r="E6949" t="s">
        <v>17654</v>
      </c>
    </row>
    <row r="6950" spans="1:5" x14ac:dyDescent="0.2">
      <c r="A6950" t="s">
        <v>17718</v>
      </c>
      <c r="B6950" t="s">
        <v>17719</v>
      </c>
      <c r="C6950" t="s">
        <v>17644</v>
      </c>
      <c r="D6950" t="s">
        <v>17644</v>
      </c>
      <c r="E6950" t="s">
        <v>17654</v>
      </c>
    </row>
    <row r="6951" spans="1:5" x14ac:dyDescent="0.2">
      <c r="A6951" t="s">
        <v>17720</v>
      </c>
      <c r="B6951" t="s">
        <v>17721</v>
      </c>
      <c r="C6951" t="s">
        <v>17644</v>
      </c>
      <c r="D6951" t="s">
        <v>17644</v>
      </c>
      <c r="E6951" t="s">
        <v>17722</v>
      </c>
    </row>
    <row r="6952" spans="1:5" x14ac:dyDescent="0.2">
      <c r="A6952" t="s">
        <v>17723</v>
      </c>
      <c r="B6952" t="s">
        <v>17724</v>
      </c>
      <c r="C6952" t="s">
        <v>17644</v>
      </c>
      <c r="D6952" t="s">
        <v>17644</v>
      </c>
      <c r="E6952" t="s">
        <v>17681</v>
      </c>
    </row>
    <row r="6953" spans="1:5" x14ac:dyDescent="0.2">
      <c r="A6953" t="s">
        <v>17725</v>
      </c>
      <c r="B6953" t="s">
        <v>17726</v>
      </c>
      <c r="C6953" t="s">
        <v>17644</v>
      </c>
      <c r="D6953" t="s">
        <v>17645</v>
      </c>
      <c r="E6953" t="s">
        <v>17727</v>
      </c>
    </row>
    <row r="6954" spans="1:5" x14ac:dyDescent="0.2">
      <c r="A6954" t="s">
        <v>17728</v>
      </c>
      <c r="B6954" t="s">
        <v>17729</v>
      </c>
      <c r="C6954" t="s">
        <v>17644</v>
      </c>
      <c r="D6954" t="s">
        <v>17645</v>
      </c>
      <c r="E6954" t="s">
        <v>17646</v>
      </c>
    </row>
    <row r="6955" spans="1:5" x14ac:dyDescent="0.2">
      <c r="A6955" t="s">
        <v>17730</v>
      </c>
      <c r="B6955" t="s">
        <v>17731</v>
      </c>
      <c r="C6955" t="s">
        <v>17644</v>
      </c>
      <c r="D6955" t="s">
        <v>17645</v>
      </c>
      <c r="E6955" t="s">
        <v>17732</v>
      </c>
    </row>
    <row r="6956" spans="1:5" x14ac:dyDescent="0.2">
      <c r="A6956" t="s">
        <v>17733</v>
      </c>
      <c r="B6956" t="s">
        <v>17734</v>
      </c>
      <c r="C6956" t="s">
        <v>17644</v>
      </c>
      <c r="D6956" t="s">
        <v>17644</v>
      </c>
      <c r="E6956" t="s">
        <v>17654</v>
      </c>
    </row>
    <row r="6957" spans="1:5" x14ac:dyDescent="0.2">
      <c r="A6957" t="s">
        <v>17735</v>
      </c>
      <c r="B6957" t="s">
        <v>17736</v>
      </c>
      <c r="C6957" t="s">
        <v>17644</v>
      </c>
      <c r="D6957" t="s">
        <v>17644</v>
      </c>
      <c r="E6957" t="s">
        <v>17681</v>
      </c>
    </row>
    <row r="6958" spans="1:5" x14ac:dyDescent="0.2">
      <c r="A6958" t="s">
        <v>17737</v>
      </c>
      <c r="B6958" t="s">
        <v>17738</v>
      </c>
      <c r="C6958" t="s">
        <v>17644</v>
      </c>
      <c r="D6958" t="s">
        <v>17644</v>
      </c>
      <c r="E6958" t="s">
        <v>17654</v>
      </c>
    </row>
    <row r="6959" spans="1:5" x14ac:dyDescent="0.2">
      <c r="A6959" t="s">
        <v>17739</v>
      </c>
      <c r="B6959" t="s">
        <v>17740</v>
      </c>
      <c r="C6959" t="s">
        <v>17644</v>
      </c>
      <c r="D6959" t="s">
        <v>17645</v>
      </c>
      <c r="E6959" t="s">
        <v>17646</v>
      </c>
    </row>
    <row r="6960" spans="1:5" x14ac:dyDescent="0.2">
      <c r="A6960" t="s">
        <v>17741</v>
      </c>
      <c r="B6960" t="s">
        <v>17742</v>
      </c>
      <c r="C6960" t="s">
        <v>17644</v>
      </c>
      <c r="D6960" t="s">
        <v>17644</v>
      </c>
      <c r="E6960" t="s">
        <v>17743</v>
      </c>
    </row>
    <row r="6961" spans="1:5" x14ac:dyDescent="0.2">
      <c r="A6961" t="s">
        <v>17744</v>
      </c>
      <c r="B6961" t="s">
        <v>17745</v>
      </c>
      <c r="C6961" t="s">
        <v>17644</v>
      </c>
      <c r="D6961" t="s">
        <v>17644</v>
      </c>
      <c r="E6961" t="s">
        <v>17681</v>
      </c>
    </row>
    <row r="6962" spans="1:5" x14ac:dyDescent="0.2">
      <c r="A6962" t="s">
        <v>17746</v>
      </c>
      <c r="B6962" t="s">
        <v>17747</v>
      </c>
      <c r="C6962" t="s">
        <v>17644</v>
      </c>
      <c r="D6962" t="s">
        <v>17644</v>
      </c>
      <c r="E6962" t="s">
        <v>17654</v>
      </c>
    </row>
    <row r="6963" spans="1:5" x14ac:dyDescent="0.2">
      <c r="A6963" t="s">
        <v>17748</v>
      </c>
      <c r="B6963" t="s">
        <v>17749</v>
      </c>
      <c r="C6963" t="s">
        <v>17644</v>
      </c>
      <c r="D6963" t="s">
        <v>17644</v>
      </c>
      <c r="E6963" t="s">
        <v>17654</v>
      </c>
    </row>
    <row r="6964" spans="1:5" x14ac:dyDescent="0.2">
      <c r="A6964" t="s">
        <v>17750</v>
      </c>
      <c r="B6964" t="s">
        <v>17751</v>
      </c>
      <c r="C6964" t="s">
        <v>17644</v>
      </c>
      <c r="D6964" t="s">
        <v>17644</v>
      </c>
      <c r="E6964" t="s">
        <v>17752</v>
      </c>
    </row>
    <row r="6965" spans="1:5" x14ac:dyDescent="0.2">
      <c r="A6965" t="s">
        <v>17753</v>
      </c>
      <c r="B6965" t="s">
        <v>17754</v>
      </c>
      <c r="C6965" t="s">
        <v>17644</v>
      </c>
      <c r="D6965" t="s">
        <v>17645</v>
      </c>
      <c r="E6965" t="s">
        <v>17755</v>
      </c>
    </row>
    <row r="6966" spans="1:5" x14ac:dyDescent="0.2">
      <c r="A6966" t="s">
        <v>17756</v>
      </c>
      <c r="B6966" t="s">
        <v>17757</v>
      </c>
      <c r="C6966" t="s">
        <v>17644</v>
      </c>
      <c r="D6966" t="s">
        <v>17644</v>
      </c>
      <c r="E6966" t="s">
        <v>17662</v>
      </c>
    </row>
    <row r="6967" spans="1:5" x14ac:dyDescent="0.2">
      <c r="A6967" t="s">
        <v>17758</v>
      </c>
      <c r="B6967" t="s">
        <v>17759</v>
      </c>
      <c r="C6967" t="s">
        <v>17644</v>
      </c>
      <c r="D6967" t="s">
        <v>17645</v>
      </c>
      <c r="E6967" t="s">
        <v>17760</v>
      </c>
    </row>
    <row r="6968" spans="1:5" x14ac:dyDescent="0.2">
      <c r="A6968" t="s">
        <v>17761</v>
      </c>
      <c r="B6968" t="s">
        <v>17762</v>
      </c>
      <c r="C6968" t="s">
        <v>17644</v>
      </c>
      <c r="D6968" t="s">
        <v>17644</v>
      </c>
      <c r="E6968" t="s">
        <v>17763</v>
      </c>
    </row>
    <row r="6969" spans="1:5" x14ac:dyDescent="0.2">
      <c r="A6969" t="s">
        <v>17764</v>
      </c>
      <c r="B6969" t="s">
        <v>17765</v>
      </c>
      <c r="C6969" t="s">
        <v>17644</v>
      </c>
      <c r="D6969" t="s">
        <v>17644</v>
      </c>
      <c r="E6969" t="s">
        <v>17766</v>
      </c>
    </row>
    <row r="6970" spans="1:5" x14ac:dyDescent="0.2">
      <c r="A6970" t="s">
        <v>17767</v>
      </c>
      <c r="B6970" t="s">
        <v>17768</v>
      </c>
      <c r="C6970" t="s">
        <v>17644</v>
      </c>
      <c r="D6970" t="s">
        <v>17644</v>
      </c>
      <c r="E6970" t="s">
        <v>17769</v>
      </c>
    </row>
    <row r="6971" spans="1:5" x14ac:dyDescent="0.2">
      <c r="A6971" t="s">
        <v>17770</v>
      </c>
      <c r="B6971" t="s">
        <v>17771</v>
      </c>
      <c r="C6971" t="s">
        <v>17644</v>
      </c>
      <c r="D6971" t="s">
        <v>17644</v>
      </c>
      <c r="E6971" t="s">
        <v>17772</v>
      </c>
    </row>
    <row r="6972" spans="1:5" x14ac:dyDescent="0.2">
      <c r="A6972" t="s">
        <v>17773</v>
      </c>
      <c r="B6972" t="s">
        <v>17774</v>
      </c>
      <c r="C6972" t="s">
        <v>17644</v>
      </c>
      <c r="D6972" t="s">
        <v>17645</v>
      </c>
      <c r="E6972" t="s">
        <v>17646</v>
      </c>
    </row>
    <row r="6973" spans="1:5" x14ac:dyDescent="0.2">
      <c r="A6973" t="s">
        <v>17775</v>
      </c>
      <c r="B6973" t="s">
        <v>17776</v>
      </c>
      <c r="C6973" t="s">
        <v>17644</v>
      </c>
      <c r="D6973" t="s">
        <v>17644</v>
      </c>
      <c r="E6973" t="s">
        <v>17777</v>
      </c>
    </row>
    <row r="6974" spans="1:5" x14ac:dyDescent="0.2">
      <c r="A6974" t="s">
        <v>17778</v>
      </c>
      <c r="B6974" t="s">
        <v>17779</v>
      </c>
      <c r="C6974" t="s">
        <v>17644</v>
      </c>
      <c r="D6974" t="s">
        <v>17644</v>
      </c>
      <c r="E6974" t="s">
        <v>17780</v>
      </c>
    </row>
    <row r="6975" spans="1:5" x14ac:dyDescent="0.2">
      <c r="A6975" t="s">
        <v>17781</v>
      </c>
      <c r="B6975" t="s">
        <v>17782</v>
      </c>
      <c r="C6975" t="s">
        <v>17644</v>
      </c>
      <c r="D6975" t="s">
        <v>17644</v>
      </c>
      <c r="E6975" t="s">
        <v>17783</v>
      </c>
    </row>
    <row r="6976" spans="1:5" x14ac:dyDescent="0.2">
      <c r="A6976" t="s">
        <v>17784</v>
      </c>
      <c r="B6976" t="s">
        <v>17785</v>
      </c>
      <c r="C6976" t="s">
        <v>17644</v>
      </c>
      <c r="D6976" t="s">
        <v>17644</v>
      </c>
      <c r="E6976" t="s">
        <v>17786</v>
      </c>
    </row>
    <row r="6977" spans="1:5" x14ac:dyDescent="0.2">
      <c r="A6977" t="s">
        <v>17787</v>
      </c>
      <c r="B6977" t="s">
        <v>17788</v>
      </c>
      <c r="C6977" t="s">
        <v>17644</v>
      </c>
      <c r="D6977" t="s">
        <v>17644</v>
      </c>
      <c r="E6977" t="s">
        <v>17789</v>
      </c>
    </row>
    <row r="6978" spans="1:5" x14ac:dyDescent="0.2">
      <c r="A6978" t="s">
        <v>17790</v>
      </c>
      <c r="B6978" t="s">
        <v>17791</v>
      </c>
      <c r="C6978" t="s">
        <v>17644</v>
      </c>
      <c r="D6978" t="s">
        <v>17644</v>
      </c>
      <c r="E6978" t="s">
        <v>17662</v>
      </c>
    </row>
    <row r="6979" spans="1:5" x14ac:dyDescent="0.2">
      <c r="A6979" t="s">
        <v>17792</v>
      </c>
      <c r="B6979" t="s">
        <v>17793</v>
      </c>
      <c r="C6979" t="s">
        <v>17644</v>
      </c>
      <c r="D6979" t="s">
        <v>17644</v>
      </c>
      <c r="E6979" t="s">
        <v>17654</v>
      </c>
    </row>
    <row r="6980" spans="1:5" x14ac:dyDescent="0.2">
      <c r="A6980" t="s">
        <v>17794</v>
      </c>
      <c r="B6980" t="s">
        <v>17795</v>
      </c>
      <c r="C6980" t="s">
        <v>17644</v>
      </c>
      <c r="D6980" t="s">
        <v>17645</v>
      </c>
      <c r="E6980" t="s">
        <v>17646</v>
      </c>
    </row>
    <row r="6981" spans="1:5" x14ac:dyDescent="0.2">
      <c r="A6981" t="s">
        <v>17796</v>
      </c>
      <c r="B6981" t="s">
        <v>17797</v>
      </c>
      <c r="C6981" t="s">
        <v>17644</v>
      </c>
      <c r="D6981" t="s">
        <v>17645</v>
      </c>
      <c r="E6981" t="s">
        <v>17798</v>
      </c>
    </row>
    <row r="6982" spans="1:5" x14ac:dyDescent="0.2">
      <c r="A6982" t="s">
        <v>17799</v>
      </c>
      <c r="B6982" t="s">
        <v>17800</v>
      </c>
      <c r="C6982" t="s">
        <v>17644</v>
      </c>
      <c r="D6982" t="s">
        <v>17644</v>
      </c>
      <c r="E6982" t="s">
        <v>17801</v>
      </c>
    </row>
    <row r="6983" spans="1:5" x14ac:dyDescent="0.2">
      <c r="A6983" t="s">
        <v>17802</v>
      </c>
      <c r="B6983" t="s">
        <v>17803</v>
      </c>
      <c r="C6983" t="s">
        <v>17644</v>
      </c>
      <c r="D6983" t="s">
        <v>17644</v>
      </c>
      <c r="E6983" t="s">
        <v>17804</v>
      </c>
    </row>
    <row r="6984" spans="1:5" x14ac:dyDescent="0.2">
      <c r="A6984" t="s">
        <v>17805</v>
      </c>
      <c r="B6984" t="s">
        <v>17806</v>
      </c>
      <c r="C6984" t="s">
        <v>17644</v>
      </c>
      <c r="D6984" t="s">
        <v>17644</v>
      </c>
      <c r="E6984" t="s">
        <v>17654</v>
      </c>
    </row>
    <row r="6985" spans="1:5" x14ac:dyDescent="0.2">
      <c r="A6985" t="s">
        <v>17807</v>
      </c>
      <c r="B6985" t="s">
        <v>17808</v>
      </c>
      <c r="C6985" t="s">
        <v>17644</v>
      </c>
      <c r="D6985" t="s">
        <v>17644</v>
      </c>
      <c r="E6985" t="s">
        <v>17809</v>
      </c>
    </row>
    <row r="6986" spans="1:5" x14ac:dyDescent="0.2">
      <c r="A6986" t="s">
        <v>17810</v>
      </c>
      <c r="B6986" t="s">
        <v>17811</v>
      </c>
      <c r="C6986" t="s">
        <v>17644</v>
      </c>
      <c r="D6986" t="s">
        <v>17644</v>
      </c>
      <c r="E6986" t="s">
        <v>17662</v>
      </c>
    </row>
    <row r="6987" spans="1:5" x14ac:dyDescent="0.2">
      <c r="A6987" t="s">
        <v>17812</v>
      </c>
      <c r="B6987" t="s">
        <v>17813</v>
      </c>
      <c r="C6987" t="s">
        <v>17644</v>
      </c>
      <c r="D6987" t="s">
        <v>17644</v>
      </c>
      <c r="E6987" t="s">
        <v>17814</v>
      </c>
    </row>
    <row r="6988" spans="1:5" x14ac:dyDescent="0.2">
      <c r="A6988" t="s">
        <v>17815</v>
      </c>
      <c r="B6988" t="s">
        <v>17816</v>
      </c>
      <c r="C6988" t="s">
        <v>17644</v>
      </c>
      <c r="D6988" t="s">
        <v>17645</v>
      </c>
      <c r="E6988" t="s">
        <v>17817</v>
      </c>
    </row>
    <row r="6989" spans="1:5" x14ac:dyDescent="0.2">
      <c r="A6989" t="s">
        <v>17818</v>
      </c>
      <c r="B6989" t="s">
        <v>17819</v>
      </c>
      <c r="C6989" t="s">
        <v>17644</v>
      </c>
      <c r="D6989" t="s">
        <v>17644</v>
      </c>
      <c r="E6989" t="s">
        <v>17820</v>
      </c>
    </row>
    <row r="6990" spans="1:5" x14ac:dyDescent="0.2">
      <c r="A6990" t="s">
        <v>17821</v>
      </c>
      <c r="B6990" t="s">
        <v>17822</v>
      </c>
      <c r="C6990" t="s">
        <v>17644</v>
      </c>
      <c r="D6990" t="s">
        <v>17644</v>
      </c>
      <c r="E6990" t="s">
        <v>17662</v>
      </c>
    </row>
    <row r="6991" spans="1:5" x14ac:dyDescent="0.2">
      <c r="A6991" t="s">
        <v>17823</v>
      </c>
      <c r="B6991" t="s">
        <v>17824</v>
      </c>
      <c r="C6991" t="s">
        <v>17644</v>
      </c>
      <c r="D6991" t="s">
        <v>17644</v>
      </c>
      <c r="E6991" t="s">
        <v>17825</v>
      </c>
    </row>
    <row r="6992" spans="1:5" x14ac:dyDescent="0.2">
      <c r="A6992" t="s">
        <v>17826</v>
      </c>
      <c r="B6992" t="s">
        <v>17827</v>
      </c>
      <c r="C6992" t="s">
        <v>17644</v>
      </c>
      <c r="D6992" t="s">
        <v>17645</v>
      </c>
      <c r="E6992" t="s">
        <v>17828</v>
      </c>
    </row>
    <row r="6993" spans="1:5" x14ac:dyDescent="0.2">
      <c r="A6993" t="s">
        <v>17829</v>
      </c>
      <c r="B6993" t="s">
        <v>17830</v>
      </c>
      <c r="C6993" t="s">
        <v>17644</v>
      </c>
      <c r="D6993" t="s">
        <v>17644</v>
      </c>
      <c r="E6993" t="s">
        <v>17654</v>
      </c>
    </row>
    <row r="6994" spans="1:5" x14ac:dyDescent="0.2">
      <c r="A6994" t="s">
        <v>17831</v>
      </c>
      <c r="B6994" t="s">
        <v>17832</v>
      </c>
      <c r="C6994" t="s">
        <v>17644</v>
      </c>
      <c r="D6994" t="s">
        <v>17644</v>
      </c>
      <c r="E6994" t="s">
        <v>17662</v>
      </c>
    </row>
    <row r="6995" spans="1:5" x14ac:dyDescent="0.2">
      <c r="A6995" t="s">
        <v>17833</v>
      </c>
      <c r="B6995" t="s">
        <v>17834</v>
      </c>
      <c r="C6995" t="s">
        <v>17644</v>
      </c>
      <c r="D6995" t="s">
        <v>17644</v>
      </c>
      <c r="E6995" t="s">
        <v>17835</v>
      </c>
    </row>
    <row r="6996" spans="1:5" x14ac:dyDescent="0.2">
      <c r="A6996" t="s">
        <v>17836</v>
      </c>
      <c r="B6996" t="s">
        <v>17837</v>
      </c>
      <c r="C6996" t="s">
        <v>17644</v>
      </c>
      <c r="D6996" t="s">
        <v>17644</v>
      </c>
      <c r="E6996" t="s">
        <v>17838</v>
      </c>
    </row>
    <row r="6997" spans="1:5" x14ac:dyDescent="0.2">
      <c r="A6997" t="s">
        <v>17839</v>
      </c>
      <c r="B6997" t="s">
        <v>17840</v>
      </c>
      <c r="C6997" t="s">
        <v>17644</v>
      </c>
      <c r="D6997" t="s">
        <v>17644</v>
      </c>
      <c r="E6997" t="s">
        <v>17841</v>
      </c>
    </row>
    <row r="6998" spans="1:5" x14ac:dyDescent="0.2">
      <c r="A6998" t="s">
        <v>17842</v>
      </c>
      <c r="B6998" t="s">
        <v>17843</v>
      </c>
      <c r="C6998" t="s">
        <v>17644</v>
      </c>
      <c r="D6998" t="s">
        <v>17645</v>
      </c>
      <c r="E6998" t="s">
        <v>17646</v>
      </c>
    </row>
    <row r="6999" spans="1:5" x14ac:dyDescent="0.2">
      <c r="A6999" t="s">
        <v>17844</v>
      </c>
      <c r="B6999" t="s">
        <v>17845</v>
      </c>
      <c r="C6999" t="s">
        <v>17644</v>
      </c>
      <c r="D6999" t="s">
        <v>17645</v>
      </c>
      <c r="E6999" t="s">
        <v>17681</v>
      </c>
    </row>
    <row r="7000" spans="1:5" x14ac:dyDescent="0.2">
      <c r="A7000" t="s">
        <v>17846</v>
      </c>
      <c r="B7000" t="s">
        <v>17847</v>
      </c>
      <c r="C7000" t="s">
        <v>17644</v>
      </c>
      <c r="D7000" t="s">
        <v>17644</v>
      </c>
      <c r="E7000" t="s">
        <v>17681</v>
      </c>
    </row>
    <row r="7001" spans="1:5" x14ac:dyDescent="0.2">
      <c r="A7001" t="s">
        <v>17848</v>
      </c>
      <c r="B7001" t="s">
        <v>17849</v>
      </c>
      <c r="C7001" t="s">
        <v>17644</v>
      </c>
      <c r="D7001" t="s">
        <v>17645</v>
      </c>
      <c r="E7001" t="s">
        <v>17646</v>
      </c>
    </row>
    <row r="7002" spans="1:5" x14ac:dyDescent="0.2">
      <c r="A7002" t="s">
        <v>17850</v>
      </c>
      <c r="B7002" t="s">
        <v>17851</v>
      </c>
      <c r="C7002" t="s">
        <v>17644</v>
      </c>
      <c r="D7002" t="s">
        <v>17645</v>
      </c>
      <c r="E7002" t="s">
        <v>17646</v>
      </c>
    </row>
    <row r="7003" spans="1:5" x14ac:dyDescent="0.2">
      <c r="A7003" t="s">
        <v>17852</v>
      </c>
      <c r="B7003" t="s">
        <v>17853</v>
      </c>
      <c r="C7003" t="s">
        <v>17644</v>
      </c>
      <c r="D7003" t="s">
        <v>17645</v>
      </c>
      <c r="E7003" t="s">
        <v>17681</v>
      </c>
    </row>
    <row r="7004" spans="1:5" x14ac:dyDescent="0.2">
      <c r="A7004" t="s">
        <v>17854</v>
      </c>
      <c r="B7004" t="s">
        <v>17855</v>
      </c>
      <c r="C7004" t="s">
        <v>17644</v>
      </c>
      <c r="D7004" t="s">
        <v>17644</v>
      </c>
      <c r="E7004" t="s">
        <v>17681</v>
      </c>
    </row>
    <row r="7005" spans="1:5" x14ac:dyDescent="0.2">
      <c r="A7005" t="s">
        <v>17856</v>
      </c>
      <c r="B7005" t="s">
        <v>17857</v>
      </c>
      <c r="C7005" t="s">
        <v>17644</v>
      </c>
      <c r="D7005" t="s">
        <v>17644</v>
      </c>
      <c r="E7005" t="s">
        <v>17681</v>
      </c>
    </row>
    <row r="7006" spans="1:5" x14ac:dyDescent="0.2">
      <c r="A7006" t="s">
        <v>17858</v>
      </c>
      <c r="B7006" t="s">
        <v>17859</v>
      </c>
      <c r="C7006" t="s">
        <v>17644</v>
      </c>
      <c r="D7006" t="s">
        <v>17644</v>
      </c>
      <c r="E7006" t="s">
        <v>17681</v>
      </c>
    </row>
    <row r="7007" spans="1:5" x14ac:dyDescent="0.2">
      <c r="A7007" t="s">
        <v>17860</v>
      </c>
      <c r="B7007" t="s">
        <v>17861</v>
      </c>
      <c r="C7007" t="s">
        <v>17644</v>
      </c>
      <c r="D7007" t="s">
        <v>17644</v>
      </c>
      <c r="E7007" t="s">
        <v>17662</v>
      </c>
    </row>
    <row r="7008" spans="1:5" x14ac:dyDescent="0.2">
      <c r="A7008" t="s">
        <v>17862</v>
      </c>
      <c r="B7008" t="s">
        <v>17863</v>
      </c>
      <c r="C7008" t="s">
        <v>17644</v>
      </c>
      <c r="D7008" t="s">
        <v>17645</v>
      </c>
      <c r="E7008" t="s">
        <v>17646</v>
      </c>
    </row>
    <row r="7009" spans="1:5" x14ac:dyDescent="0.2">
      <c r="A7009" t="s">
        <v>17864</v>
      </c>
      <c r="B7009" t="s">
        <v>17865</v>
      </c>
      <c r="C7009" t="s">
        <v>17644</v>
      </c>
      <c r="D7009" t="s">
        <v>17645</v>
      </c>
      <c r="E7009" t="s">
        <v>17866</v>
      </c>
    </row>
    <row r="7010" spans="1:5" x14ac:dyDescent="0.2">
      <c r="A7010" t="s">
        <v>17133</v>
      </c>
      <c r="B7010" t="s">
        <v>17867</v>
      </c>
      <c r="C7010" t="s">
        <v>17644</v>
      </c>
      <c r="D7010" t="s">
        <v>16907</v>
      </c>
      <c r="E7010" t="s">
        <v>16917</v>
      </c>
    </row>
    <row r="7011" spans="1:5" x14ac:dyDescent="0.2">
      <c r="A7011" t="s">
        <v>17868</v>
      </c>
      <c r="B7011" t="s">
        <v>17869</v>
      </c>
      <c r="C7011" t="s">
        <v>17870</v>
      </c>
      <c r="D7011" t="s">
        <v>17870</v>
      </c>
      <c r="E7011" t="s">
        <v>17871</v>
      </c>
    </row>
    <row r="7012" spans="1:5" x14ac:dyDescent="0.2">
      <c r="A7012" t="s">
        <v>17872</v>
      </c>
      <c r="B7012" t="s">
        <v>17873</v>
      </c>
      <c r="C7012" t="s">
        <v>17870</v>
      </c>
      <c r="D7012" t="s">
        <v>17874</v>
      </c>
      <c r="E7012" t="s">
        <v>17875</v>
      </c>
    </row>
    <row r="7013" spans="1:5" x14ac:dyDescent="0.2">
      <c r="A7013" t="s">
        <v>17876</v>
      </c>
      <c r="B7013" t="s">
        <v>17877</v>
      </c>
      <c r="C7013" t="s">
        <v>17870</v>
      </c>
      <c r="D7013" t="s">
        <v>17870</v>
      </c>
      <c r="E7013" t="s">
        <v>17878</v>
      </c>
    </row>
    <row r="7014" spans="1:5" x14ac:dyDescent="0.2">
      <c r="A7014" t="s">
        <v>17879</v>
      </c>
      <c r="B7014" t="s">
        <v>17880</v>
      </c>
      <c r="C7014" t="s">
        <v>17870</v>
      </c>
      <c r="D7014" t="s">
        <v>17870</v>
      </c>
      <c r="E7014" t="s">
        <v>17878</v>
      </c>
    </row>
    <row r="7015" spans="1:5" x14ac:dyDescent="0.2">
      <c r="A7015" t="s">
        <v>17881</v>
      </c>
      <c r="B7015" t="s">
        <v>17882</v>
      </c>
      <c r="C7015" t="s">
        <v>17870</v>
      </c>
      <c r="D7015" t="s">
        <v>17874</v>
      </c>
      <c r="E7015" t="s">
        <v>17883</v>
      </c>
    </row>
    <row r="7016" spans="1:5" x14ac:dyDescent="0.2">
      <c r="A7016" t="s">
        <v>17884</v>
      </c>
      <c r="B7016" t="s">
        <v>17885</v>
      </c>
      <c r="C7016" t="s">
        <v>17870</v>
      </c>
      <c r="D7016" t="s">
        <v>17874</v>
      </c>
      <c r="E7016" t="s">
        <v>17875</v>
      </c>
    </row>
    <row r="7017" spans="1:5" x14ac:dyDescent="0.2">
      <c r="A7017" t="s">
        <v>17886</v>
      </c>
      <c r="B7017" t="s">
        <v>17887</v>
      </c>
      <c r="C7017" t="s">
        <v>17870</v>
      </c>
      <c r="D7017" t="s">
        <v>17870</v>
      </c>
      <c r="E7017" t="s">
        <v>17878</v>
      </c>
    </row>
    <row r="7018" spans="1:5" x14ac:dyDescent="0.2">
      <c r="A7018" t="s">
        <v>17888</v>
      </c>
      <c r="B7018" t="s">
        <v>17889</v>
      </c>
      <c r="C7018" t="s">
        <v>17870</v>
      </c>
      <c r="D7018" t="s">
        <v>17870</v>
      </c>
      <c r="E7018" t="s">
        <v>17890</v>
      </c>
    </row>
    <row r="7019" spans="1:5" x14ac:dyDescent="0.2">
      <c r="A7019" t="s">
        <v>17891</v>
      </c>
      <c r="B7019" t="s">
        <v>17892</v>
      </c>
      <c r="C7019" t="s">
        <v>17870</v>
      </c>
      <c r="D7019" t="s">
        <v>17870</v>
      </c>
      <c r="E7019" t="s">
        <v>17893</v>
      </c>
    </row>
    <row r="7020" spans="1:5" x14ac:dyDescent="0.2">
      <c r="A7020" t="s">
        <v>17894</v>
      </c>
      <c r="B7020" t="s">
        <v>17895</v>
      </c>
      <c r="C7020" t="s">
        <v>17870</v>
      </c>
      <c r="D7020" t="s">
        <v>17870</v>
      </c>
      <c r="E7020" t="s">
        <v>17896</v>
      </c>
    </row>
    <row r="7021" spans="1:5" x14ac:dyDescent="0.2">
      <c r="A7021" t="s">
        <v>17897</v>
      </c>
      <c r="B7021" t="s">
        <v>17898</v>
      </c>
      <c r="C7021" t="s">
        <v>17870</v>
      </c>
      <c r="D7021" t="s">
        <v>17870</v>
      </c>
      <c r="E7021" t="s">
        <v>17899</v>
      </c>
    </row>
    <row r="7022" spans="1:5" x14ac:dyDescent="0.2">
      <c r="A7022" t="s">
        <v>17900</v>
      </c>
      <c r="B7022" t="s">
        <v>17901</v>
      </c>
      <c r="C7022" t="s">
        <v>17870</v>
      </c>
      <c r="D7022" t="s">
        <v>17870</v>
      </c>
      <c r="E7022" t="s">
        <v>17902</v>
      </c>
    </row>
    <row r="7023" spans="1:5" x14ac:dyDescent="0.2">
      <c r="A7023" t="s">
        <v>17903</v>
      </c>
      <c r="B7023" t="s">
        <v>17904</v>
      </c>
      <c r="C7023" t="s">
        <v>17870</v>
      </c>
      <c r="D7023" t="s">
        <v>17870</v>
      </c>
      <c r="E7023" t="s">
        <v>17905</v>
      </c>
    </row>
    <row r="7024" spans="1:5" x14ac:dyDescent="0.2">
      <c r="A7024" t="s">
        <v>17906</v>
      </c>
      <c r="B7024" t="s">
        <v>17907</v>
      </c>
      <c r="C7024" t="s">
        <v>17870</v>
      </c>
      <c r="D7024" t="s">
        <v>17870</v>
      </c>
      <c r="E7024" t="s">
        <v>17908</v>
      </c>
    </row>
    <row r="7025" spans="1:5" x14ac:dyDescent="0.2">
      <c r="A7025" t="s">
        <v>17909</v>
      </c>
      <c r="B7025" t="s">
        <v>17910</v>
      </c>
      <c r="C7025" t="s">
        <v>17870</v>
      </c>
      <c r="D7025" t="s">
        <v>17870</v>
      </c>
      <c r="E7025" t="s">
        <v>17890</v>
      </c>
    </row>
    <row r="7026" spans="1:5" x14ac:dyDescent="0.2">
      <c r="A7026" t="s">
        <v>17911</v>
      </c>
      <c r="B7026" t="s">
        <v>17912</v>
      </c>
      <c r="C7026" t="s">
        <v>17870</v>
      </c>
      <c r="D7026" t="s">
        <v>17874</v>
      </c>
      <c r="E7026" t="s">
        <v>17875</v>
      </c>
    </row>
    <row r="7027" spans="1:5" x14ac:dyDescent="0.2">
      <c r="A7027" t="s">
        <v>17913</v>
      </c>
      <c r="B7027" t="s">
        <v>17914</v>
      </c>
      <c r="C7027" t="s">
        <v>17870</v>
      </c>
      <c r="D7027" t="s">
        <v>17870</v>
      </c>
      <c r="E7027" t="s">
        <v>17915</v>
      </c>
    </row>
    <row r="7028" spans="1:5" x14ac:dyDescent="0.2">
      <c r="A7028" t="s">
        <v>17916</v>
      </c>
      <c r="B7028" t="s">
        <v>17917</v>
      </c>
      <c r="C7028" t="s">
        <v>17870</v>
      </c>
      <c r="D7028" t="s">
        <v>17870</v>
      </c>
      <c r="E7028" t="s">
        <v>17878</v>
      </c>
    </row>
    <row r="7029" spans="1:5" x14ac:dyDescent="0.2">
      <c r="A7029" t="s">
        <v>17918</v>
      </c>
      <c r="B7029" t="s">
        <v>17919</v>
      </c>
      <c r="C7029" t="s">
        <v>17870</v>
      </c>
      <c r="D7029" t="s">
        <v>17874</v>
      </c>
      <c r="E7029" t="s">
        <v>17875</v>
      </c>
    </row>
    <row r="7030" spans="1:5" x14ac:dyDescent="0.2">
      <c r="A7030" t="s">
        <v>17920</v>
      </c>
      <c r="B7030" t="s">
        <v>17921</v>
      </c>
      <c r="C7030" t="s">
        <v>17870</v>
      </c>
      <c r="D7030" t="s">
        <v>17870</v>
      </c>
      <c r="E7030" t="s">
        <v>17866</v>
      </c>
    </row>
    <row r="7031" spans="1:5" x14ac:dyDescent="0.2">
      <c r="A7031" t="s">
        <v>17922</v>
      </c>
      <c r="B7031" t="s">
        <v>17923</v>
      </c>
      <c r="C7031" t="s">
        <v>17870</v>
      </c>
      <c r="D7031" t="s">
        <v>17870</v>
      </c>
      <c r="E7031" t="s">
        <v>17866</v>
      </c>
    </row>
    <row r="7032" spans="1:5" x14ac:dyDescent="0.2">
      <c r="A7032" t="s">
        <v>17924</v>
      </c>
      <c r="B7032" t="s">
        <v>17925</v>
      </c>
      <c r="C7032" t="s">
        <v>17870</v>
      </c>
      <c r="D7032" t="s">
        <v>17874</v>
      </c>
      <c r="E7032" t="s">
        <v>17875</v>
      </c>
    </row>
    <row r="7033" spans="1:5" x14ac:dyDescent="0.2">
      <c r="A7033" t="s">
        <v>17926</v>
      </c>
      <c r="B7033" t="s">
        <v>17927</v>
      </c>
      <c r="C7033" t="s">
        <v>17870</v>
      </c>
      <c r="D7033" t="s">
        <v>17874</v>
      </c>
      <c r="E7033" t="s">
        <v>17875</v>
      </c>
    </row>
    <row r="7034" spans="1:5" x14ac:dyDescent="0.2">
      <c r="A7034" t="s">
        <v>17928</v>
      </c>
      <c r="B7034" t="s">
        <v>17929</v>
      </c>
      <c r="C7034" t="s">
        <v>17870</v>
      </c>
      <c r="D7034" t="s">
        <v>17870</v>
      </c>
      <c r="E7034" t="s">
        <v>17866</v>
      </c>
    </row>
    <row r="7035" spans="1:5" x14ac:dyDescent="0.2">
      <c r="A7035" t="s">
        <v>17930</v>
      </c>
      <c r="B7035" t="s">
        <v>17931</v>
      </c>
      <c r="C7035" t="s">
        <v>17870</v>
      </c>
      <c r="D7035" t="s">
        <v>17874</v>
      </c>
      <c r="E7035" t="s">
        <v>17932</v>
      </c>
    </row>
    <row r="7036" spans="1:5" x14ac:dyDescent="0.2">
      <c r="A7036" t="s">
        <v>17933</v>
      </c>
      <c r="B7036" t="s">
        <v>17934</v>
      </c>
      <c r="C7036" t="s">
        <v>17870</v>
      </c>
      <c r="D7036" t="s">
        <v>17874</v>
      </c>
      <c r="E7036" t="s">
        <v>17935</v>
      </c>
    </row>
    <row r="7037" spans="1:5" x14ac:dyDescent="0.2">
      <c r="A7037" t="s">
        <v>17936</v>
      </c>
      <c r="B7037" t="s">
        <v>17937</v>
      </c>
      <c r="C7037" t="s">
        <v>17870</v>
      </c>
      <c r="D7037" t="s">
        <v>17870</v>
      </c>
      <c r="E7037" t="s">
        <v>17890</v>
      </c>
    </row>
    <row r="7038" spans="1:5" x14ac:dyDescent="0.2">
      <c r="A7038" t="s">
        <v>17938</v>
      </c>
      <c r="B7038" t="s">
        <v>17939</v>
      </c>
      <c r="C7038" t="s">
        <v>17870</v>
      </c>
      <c r="D7038" t="s">
        <v>17874</v>
      </c>
      <c r="E7038" t="s">
        <v>17875</v>
      </c>
    </row>
    <row r="7039" spans="1:5" x14ac:dyDescent="0.2">
      <c r="A7039" t="s">
        <v>17940</v>
      </c>
      <c r="B7039" t="s">
        <v>17941</v>
      </c>
      <c r="C7039" t="s">
        <v>17870</v>
      </c>
      <c r="D7039" t="s">
        <v>17870</v>
      </c>
      <c r="E7039" t="s">
        <v>17866</v>
      </c>
    </row>
    <row r="7040" spans="1:5" x14ac:dyDescent="0.2">
      <c r="A7040" t="s">
        <v>17942</v>
      </c>
      <c r="B7040" t="s">
        <v>17943</v>
      </c>
      <c r="C7040" t="s">
        <v>17870</v>
      </c>
      <c r="D7040" t="s">
        <v>17870</v>
      </c>
      <c r="E7040" t="s">
        <v>17866</v>
      </c>
    </row>
    <row r="7041" spans="1:5" x14ac:dyDescent="0.2">
      <c r="A7041" t="s">
        <v>17944</v>
      </c>
      <c r="B7041" t="s">
        <v>17945</v>
      </c>
      <c r="C7041" t="s">
        <v>17870</v>
      </c>
      <c r="D7041" t="s">
        <v>17874</v>
      </c>
      <c r="E7041" t="s">
        <v>17875</v>
      </c>
    </row>
    <row r="7042" spans="1:5" x14ac:dyDescent="0.2">
      <c r="A7042" t="s">
        <v>17946</v>
      </c>
      <c r="B7042" t="s">
        <v>17947</v>
      </c>
      <c r="C7042" t="s">
        <v>17870</v>
      </c>
      <c r="D7042" t="s">
        <v>17870</v>
      </c>
      <c r="E7042" t="s">
        <v>17866</v>
      </c>
    </row>
    <row r="7043" spans="1:5" x14ac:dyDescent="0.2">
      <c r="A7043" t="s">
        <v>17948</v>
      </c>
      <c r="B7043" t="s">
        <v>17949</v>
      </c>
      <c r="C7043" t="s">
        <v>17870</v>
      </c>
      <c r="D7043" t="s">
        <v>17870</v>
      </c>
      <c r="E7043" t="s">
        <v>17950</v>
      </c>
    </row>
    <row r="7044" spans="1:5" x14ac:dyDescent="0.2">
      <c r="A7044" t="s">
        <v>17951</v>
      </c>
      <c r="B7044" t="s">
        <v>17952</v>
      </c>
      <c r="C7044" t="s">
        <v>17870</v>
      </c>
      <c r="D7044" t="s">
        <v>17870</v>
      </c>
      <c r="E7044" t="s">
        <v>17953</v>
      </c>
    </row>
    <row r="7045" spans="1:5" x14ac:dyDescent="0.2">
      <c r="A7045" t="s">
        <v>17954</v>
      </c>
      <c r="B7045" t="s">
        <v>17955</v>
      </c>
      <c r="C7045" t="s">
        <v>17870</v>
      </c>
      <c r="D7045" t="s">
        <v>17870</v>
      </c>
      <c r="E7045" t="s">
        <v>17878</v>
      </c>
    </row>
    <row r="7046" spans="1:5" x14ac:dyDescent="0.2">
      <c r="A7046" t="s">
        <v>17956</v>
      </c>
      <c r="B7046" t="s">
        <v>17957</v>
      </c>
      <c r="C7046" t="s">
        <v>17870</v>
      </c>
      <c r="D7046" t="s">
        <v>17870</v>
      </c>
      <c r="E7046" t="s">
        <v>17890</v>
      </c>
    </row>
    <row r="7047" spans="1:5" x14ac:dyDescent="0.2">
      <c r="A7047" t="s">
        <v>17958</v>
      </c>
      <c r="B7047" t="s">
        <v>17959</v>
      </c>
      <c r="C7047" t="s">
        <v>17870</v>
      </c>
      <c r="D7047" t="s">
        <v>17870</v>
      </c>
      <c r="E7047" t="s">
        <v>17960</v>
      </c>
    </row>
    <row r="7048" spans="1:5" x14ac:dyDescent="0.2">
      <c r="A7048" t="s">
        <v>17961</v>
      </c>
      <c r="B7048" t="s">
        <v>17962</v>
      </c>
      <c r="C7048" t="s">
        <v>17870</v>
      </c>
      <c r="D7048" t="s">
        <v>17870</v>
      </c>
      <c r="E7048" t="s">
        <v>17963</v>
      </c>
    </row>
    <row r="7049" spans="1:5" x14ac:dyDescent="0.2">
      <c r="A7049" t="s">
        <v>17964</v>
      </c>
      <c r="B7049" t="s">
        <v>17965</v>
      </c>
      <c r="C7049" t="s">
        <v>17870</v>
      </c>
      <c r="D7049" t="s">
        <v>17870</v>
      </c>
      <c r="E7049" t="s">
        <v>17866</v>
      </c>
    </row>
    <row r="7050" spans="1:5" x14ac:dyDescent="0.2">
      <c r="A7050" t="s">
        <v>17966</v>
      </c>
      <c r="B7050" t="s">
        <v>17967</v>
      </c>
      <c r="C7050" t="s">
        <v>17870</v>
      </c>
      <c r="D7050" t="s">
        <v>17870</v>
      </c>
      <c r="E7050" t="s">
        <v>17866</v>
      </c>
    </row>
    <row r="7051" spans="1:5" x14ac:dyDescent="0.2">
      <c r="A7051" t="s">
        <v>17968</v>
      </c>
      <c r="B7051" t="s">
        <v>17969</v>
      </c>
      <c r="C7051" t="s">
        <v>17870</v>
      </c>
      <c r="D7051" t="s">
        <v>17870</v>
      </c>
      <c r="E7051" t="s">
        <v>17866</v>
      </c>
    </row>
    <row r="7052" spans="1:5" x14ac:dyDescent="0.2">
      <c r="A7052" t="s">
        <v>17970</v>
      </c>
      <c r="B7052" t="s">
        <v>17971</v>
      </c>
      <c r="C7052" t="s">
        <v>17870</v>
      </c>
      <c r="D7052" t="s">
        <v>17870</v>
      </c>
      <c r="E7052" t="s">
        <v>17866</v>
      </c>
    </row>
    <row r="7053" spans="1:5" x14ac:dyDescent="0.2">
      <c r="A7053" t="s">
        <v>17972</v>
      </c>
      <c r="B7053" t="s">
        <v>17973</v>
      </c>
      <c r="C7053" t="s">
        <v>17870</v>
      </c>
      <c r="D7053" t="s">
        <v>17870</v>
      </c>
      <c r="E7053" t="s">
        <v>17866</v>
      </c>
    </row>
    <row r="7054" spans="1:5" x14ac:dyDescent="0.2">
      <c r="A7054" t="s">
        <v>17974</v>
      </c>
      <c r="B7054" t="s">
        <v>17975</v>
      </c>
      <c r="C7054" t="s">
        <v>17870</v>
      </c>
      <c r="D7054" t="s">
        <v>17870</v>
      </c>
      <c r="E7054" t="s">
        <v>17976</v>
      </c>
    </row>
    <row r="7055" spans="1:5" x14ac:dyDescent="0.2">
      <c r="A7055" t="s">
        <v>17977</v>
      </c>
      <c r="B7055" t="s">
        <v>17978</v>
      </c>
      <c r="C7055" t="s">
        <v>17870</v>
      </c>
      <c r="D7055" t="s">
        <v>17870</v>
      </c>
      <c r="E7055" t="s">
        <v>17979</v>
      </c>
    </row>
    <row r="7056" spans="1:5" x14ac:dyDescent="0.2">
      <c r="A7056" t="s">
        <v>17980</v>
      </c>
      <c r="B7056" t="s">
        <v>17981</v>
      </c>
      <c r="C7056" t="s">
        <v>17870</v>
      </c>
      <c r="D7056" t="s">
        <v>17870</v>
      </c>
      <c r="E7056" t="s">
        <v>17982</v>
      </c>
    </row>
    <row r="7057" spans="1:5" x14ac:dyDescent="0.2">
      <c r="A7057" t="s">
        <v>17983</v>
      </c>
      <c r="B7057" t="s">
        <v>17984</v>
      </c>
      <c r="C7057" t="s">
        <v>17870</v>
      </c>
      <c r="D7057" t="s">
        <v>17870</v>
      </c>
      <c r="E7057" t="s">
        <v>17866</v>
      </c>
    </row>
    <row r="7058" spans="1:5" x14ac:dyDescent="0.2">
      <c r="A7058" t="s">
        <v>17985</v>
      </c>
      <c r="B7058" t="s">
        <v>17986</v>
      </c>
      <c r="C7058" t="s">
        <v>17870</v>
      </c>
      <c r="D7058" t="s">
        <v>17870</v>
      </c>
      <c r="E7058" t="s">
        <v>17987</v>
      </c>
    </row>
    <row r="7059" spans="1:5" x14ac:dyDescent="0.2">
      <c r="A7059" t="s">
        <v>17988</v>
      </c>
      <c r="B7059" t="s">
        <v>17989</v>
      </c>
      <c r="C7059" t="s">
        <v>17870</v>
      </c>
      <c r="D7059" t="s">
        <v>17870</v>
      </c>
      <c r="E7059" t="s">
        <v>17866</v>
      </c>
    </row>
    <row r="7060" spans="1:5" x14ac:dyDescent="0.2">
      <c r="A7060" t="s">
        <v>17990</v>
      </c>
      <c r="B7060" t="s">
        <v>17991</v>
      </c>
      <c r="C7060" t="s">
        <v>17870</v>
      </c>
      <c r="D7060" t="s">
        <v>17870</v>
      </c>
      <c r="E7060" t="s">
        <v>17866</v>
      </c>
    </row>
    <row r="7061" spans="1:5" x14ac:dyDescent="0.2">
      <c r="A7061" t="s">
        <v>17992</v>
      </c>
      <c r="B7061" t="s">
        <v>17993</v>
      </c>
      <c r="C7061" t="s">
        <v>17870</v>
      </c>
      <c r="D7061" t="s">
        <v>17874</v>
      </c>
      <c r="E7061" t="s">
        <v>17875</v>
      </c>
    </row>
    <row r="7062" spans="1:5" x14ac:dyDescent="0.2">
      <c r="A7062" t="s">
        <v>17994</v>
      </c>
      <c r="B7062" t="s">
        <v>17995</v>
      </c>
      <c r="C7062" t="s">
        <v>17870</v>
      </c>
      <c r="D7062" t="s">
        <v>17870</v>
      </c>
      <c r="E7062" t="s">
        <v>17866</v>
      </c>
    </row>
    <row r="7063" spans="1:5" x14ac:dyDescent="0.2">
      <c r="A7063" t="s">
        <v>17996</v>
      </c>
      <c r="B7063" t="s">
        <v>17997</v>
      </c>
      <c r="C7063" t="s">
        <v>17870</v>
      </c>
      <c r="D7063" t="s">
        <v>17870</v>
      </c>
      <c r="E7063" t="s">
        <v>17866</v>
      </c>
    </row>
    <row r="7064" spans="1:5" x14ac:dyDescent="0.2">
      <c r="A7064" t="s">
        <v>17998</v>
      </c>
      <c r="B7064" t="s">
        <v>17999</v>
      </c>
      <c r="C7064" t="s">
        <v>17870</v>
      </c>
      <c r="D7064" t="s">
        <v>17874</v>
      </c>
      <c r="E7064" t="s">
        <v>18000</v>
      </c>
    </row>
    <row r="7065" spans="1:5" x14ac:dyDescent="0.2">
      <c r="A7065" t="s">
        <v>18001</v>
      </c>
      <c r="B7065" t="s">
        <v>18002</v>
      </c>
      <c r="C7065" t="s">
        <v>17870</v>
      </c>
      <c r="D7065" t="s">
        <v>17870</v>
      </c>
      <c r="E7065" t="s">
        <v>17866</v>
      </c>
    </row>
    <row r="7066" spans="1:5" x14ac:dyDescent="0.2">
      <c r="A7066" t="s">
        <v>18003</v>
      </c>
      <c r="B7066" t="s">
        <v>18004</v>
      </c>
      <c r="C7066" t="s">
        <v>17870</v>
      </c>
      <c r="D7066" t="s">
        <v>17870</v>
      </c>
      <c r="E7066" t="s">
        <v>17866</v>
      </c>
    </row>
    <row r="7067" spans="1:5" x14ac:dyDescent="0.2">
      <c r="A7067" t="s">
        <v>18005</v>
      </c>
      <c r="B7067" t="s">
        <v>18006</v>
      </c>
      <c r="C7067" t="s">
        <v>17870</v>
      </c>
      <c r="D7067" t="s">
        <v>17870</v>
      </c>
      <c r="E7067" t="s">
        <v>18007</v>
      </c>
    </row>
    <row r="7068" spans="1:5" x14ac:dyDescent="0.2">
      <c r="A7068" t="s">
        <v>18008</v>
      </c>
      <c r="B7068" t="s">
        <v>18009</v>
      </c>
      <c r="C7068" t="s">
        <v>17870</v>
      </c>
      <c r="D7068" t="s">
        <v>17870</v>
      </c>
      <c r="E7068" t="s">
        <v>18010</v>
      </c>
    </row>
    <row r="7069" spans="1:5" x14ac:dyDescent="0.2">
      <c r="A7069" t="s">
        <v>18011</v>
      </c>
      <c r="B7069" t="s">
        <v>18012</v>
      </c>
      <c r="C7069" t="s">
        <v>17870</v>
      </c>
      <c r="D7069" t="s">
        <v>17870</v>
      </c>
      <c r="E7069" t="s">
        <v>18013</v>
      </c>
    </row>
    <row r="7070" spans="1:5" x14ac:dyDescent="0.2">
      <c r="A7070" t="s">
        <v>18014</v>
      </c>
      <c r="B7070" t="s">
        <v>18015</v>
      </c>
      <c r="C7070" t="s">
        <v>17870</v>
      </c>
      <c r="D7070" t="s">
        <v>17870</v>
      </c>
      <c r="E7070" t="s">
        <v>18016</v>
      </c>
    </row>
    <row r="7071" spans="1:5" x14ac:dyDescent="0.2">
      <c r="A7071" t="s">
        <v>18017</v>
      </c>
      <c r="B7071" t="s">
        <v>18018</v>
      </c>
      <c r="C7071" t="s">
        <v>17870</v>
      </c>
      <c r="D7071" t="s">
        <v>17874</v>
      </c>
      <c r="E7071" t="s">
        <v>17875</v>
      </c>
    </row>
    <row r="7072" spans="1:5" x14ac:dyDescent="0.2">
      <c r="A7072" t="s">
        <v>18019</v>
      </c>
      <c r="B7072" t="s">
        <v>18020</v>
      </c>
      <c r="C7072" t="s">
        <v>17870</v>
      </c>
      <c r="D7072" t="s">
        <v>17874</v>
      </c>
      <c r="E7072" t="s">
        <v>18021</v>
      </c>
    </row>
    <row r="7073" spans="1:5" x14ac:dyDescent="0.2">
      <c r="A7073" t="s">
        <v>18022</v>
      </c>
      <c r="B7073" t="s">
        <v>18023</v>
      </c>
      <c r="C7073" t="s">
        <v>17870</v>
      </c>
      <c r="D7073" t="s">
        <v>17870</v>
      </c>
      <c r="E7073" t="s">
        <v>17878</v>
      </c>
    </row>
    <row r="7074" spans="1:5" x14ac:dyDescent="0.2">
      <c r="A7074" t="s">
        <v>18024</v>
      </c>
      <c r="B7074" t="s">
        <v>18025</v>
      </c>
      <c r="C7074" t="s">
        <v>17870</v>
      </c>
      <c r="D7074" t="s">
        <v>17870</v>
      </c>
      <c r="E7074" t="s">
        <v>17866</v>
      </c>
    </row>
    <row r="7075" spans="1:5" x14ac:dyDescent="0.2">
      <c r="A7075" t="s">
        <v>18026</v>
      </c>
      <c r="B7075" t="s">
        <v>18027</v>
      </c>
      <c r="C7075" t="s">
        <v>17870</v>
      </c>
      <c r="D7075" t="s">
        <v>17870</v>
      </c>
      <c r="E7075" t="s">
        <v>18028</v>
      </c>
    </row>
    <row r="7076" spans="1:5" x14ac:dyDescent="0.2">
      <c r="A7076" t="s">
        <v>18029</v>
      </c>
      <c r="B7076" t="s">
        <v>18030</v>
      </c>
      <c r="C7076" t="s">
        <v>17870</v>
      </c>
      <c r="D7076" t="s">
        <v>17870</v>
      </c>
      <c r="E7076" t="s">
        <v>17866</v>
      </c>
    </row>
    <row r="7077" spans="1:5" x14ac:dyDescent="0.2">
      <c r="A7077" t="s">
        <v>18031</v>
      </c>
      <c r="B7077" t="s">
        <v>18032</v>
      </c>
      <c r="C7077" t="s">
        <v>17870</v>
      </c>
      <c r="D7077" t="s">
        <v>17874</v>
      </c>
      <c r="E7077" t="s">
        <v>18033</v>
      </c>
    </row>
    <row r="7078" spans="1:5" x14ac:dyDescent="0.2">
      <c r="A7078" t="s">
        <v>18034</v>
      </c>
      <c r="B7078" t="s">
        <v>18035</v>
      </c>
      <c r="C7078" t="s">
        <v>17870</v>
      </c>
      <c r="D7078" t="s">
        <v>17874</v>
      </c>
      <c r="E7078" t="s">
        <v>17875</v>
      </c>
    </row>
    <row r="7079" spans="1:5" x14ac:dyDescent="0.2">
      <c r="A7079" t="s">
        <v>18036</v>
      </c>
      <c r="B7079" t="s">
        <v>18037</v>
      </c>
      <c r="C7079" t="s">
        <v>17870</v>
      </c>
      <c r="D7079" t="s">
        <v>17874</v>
      </c>
      <c r="E7079" t="s">
        <v>17875</v>
      </c>
    </row>
    <row r="7080" spans="1:5" x14ac:dyDescent="0.2">
      <c r="A7080" t="s">
        <v>18038</v>
      </c>
      <c r="B7080" t="s">
        <v>18039</v>
      </c>
      <c r="C7080" t="s">
        <v>17870</v>
      </c>
      <c r="D7080" t="s">
        <v>17874</v>
      </c>
      <c r="E7080" t="s">
        <v>17875</v>
      </c>
    </row>
    <row r="7081" spans="1:5" x14ac:dyDescent="0.2">
      <c r="A7081" t="s">
        <v>18040</v>
      </c>
      <c r="B7081" t="s">
        <v>18041</v>
      </c>
      <c r="C7081" t="s">
        <v>17870</v>
      </c>
      <c r="D7081" t="s">
        <v>17874</v>
      </c>
      <c r="E7081" t="s">
        <v>17875</v>
      </c>
    </row>
    <row r="7082" spans="1:5" x14ac:dyDescent="0.2">
      <c r="A7082" t="s">
        <v>18042</v>
      </c>
      <c r="B7082" t="s">
        <v>18043</v>
      </c>
      <c r="C7082" t="s">
        <v>17870</v>
      </c>
      <c r="D7082" t="s">
        <v>17874</v>
      </c>
      <c r="E7082" t="s">
        <v>18044</v>
      </c>
    </row>
    <row r="7083" spans="1:5" x14ac:dyDescent="0.2">
      <c r="A7083" t="s">
        <v>18045</v>
      </c>
      <c r="B7083" t="s">
        <v>18046</v>
      </c>
      <c r="C7083" t="s">
        <v>17870</v>
      </c>
      <c r="D7083" t="s">
        <v>17874</v>
      </c>
      <c r="E7083" t="s">
        <v>17875</v>
      </c>
    </row>
    <row r="7084" spans="1:5" x14ac:dyDescent="0.2">
      <c r="A7084" t="s">
        <v>18047</v>
      </c>
      <c r="B7084" t="s">
        <v>18048</v>
      </c>
      <c r="C7084" t="s">
        <v>17870</v>
      </c>
      <c r="D7084" t="s">
        <v>17870</v>
      </c>
      <c r="E7084" t="s">
        <v>17866</v>
      </c>
    </row>
    <row r="7085" spans="1:5" x14ac:dyDescent="0.2">
      <c r="A7085" t="s">
        <v>18049</v>
      </c>
      <c r="B7085" t="s">
        <v>18050</v>
      </c>
      <c r="C7085" t="s">
        <v>18051</v>
      </c>
      <c r="D7085" t="s">
        <v>18051</v>
      </c>
      <c r="E7085" t="s">
        <v>18052</v>
      </c>
    </row>
    <row r="7086" spans="1:5" x14ac:dyDescent="0.2">
      <c r="A7086" t="s">
        <v>18053</v>
      </c>
      <c r="B7086" t="s">
        <v>18054</v>
      </c>
      <c r="C7086" t="s">
        <v>18051</v>
      </c>
      <c r="D7086" t="s">
        <v>18051</v>
      </c>
      <c r="E7086" t="s">
        <v>18055</v>
      </c>
    </row>
    <row r="7087" spans="1:5" x14ac:dyDescent="0.2">
      <c r="A7087" t="s">
        <v>18056</v>
      </c>
      <c r="B7087" t="s">
        <v>18057</v>
      </c>
      <c r="C7087" t="s">
        <v>18051</v>
      </c>
      <c r="D7087" t="s">
        <v>18051</v>
      </c>
      <c r="E7087" t="s">
        <v>18058</v>
      </c>
    </row>
    <row r="7088" spans="1:5" x14ac:dyDescent="0.2">
      <c r="A7088" t="s">
        <v>18059</v>
      </c>
      <c r="B7088" t="s">
        <v>18060</v>
      </c>
      <c r="C7088" t="s">
        <v>18051</v>
      </c>
      <c r="D7088" t="s">
        <v>18051</v>
      </c>
      <c r="E7088" t="s">
        <v>18061</v>
      </c>
    </row>
    <row r="7089" spans="1:5" x14ac:dyDescent="0.2">
      <c r="A7089" t="s">
        <v>18062</v>
      </c>
      <c r="B7089" t="s">
        <v>18063</v>
      </c>
      <c r="C7089" t="s">
        <v>18051</v>
      </c>
      <c r="D7089" t="s">
        <v>18051</v>
      </c>
      <c r="E7089" t="s">
        <v>18064</v>
      </c>
    </row>
    <row r="7090" spans="1:5" x14ac:dyDescent="0.2">
      <c r="A7090" t="s">
        <v>18065</v>
      </c>
      <c r="B7090" t="s">
        <v>18066</v>
      </c>
      <c r="C7090" t="s">
        <v>18051</v>
      </c>
      <c r="D7090" t="s">
        <v>18051</v>
      </c>
      <c r="E7090" t="s">
        <v>18067</v>
      </c>
    </row>
    <row r="7091" spans="1:5" x14ac:dyDescent="0.2">
      <c r="A7091" t="s">
        <v>18068</v>
      </c>
      <c r="B7091" t="s">
        <v>18069</v>
      </c>
      <c r="C7091" t="s">
        <v>18051</v>
      </c>
      <c r="D7091" t="s">
        <v>18051</v>
      </c>
      <c r="E7091" t="s">
        <v>18070</v>
      </c>
    </row>
    <row r="7092" spans="1:5" x14ac:dyDescent="0.2">
      <c r="A7092" t="s">
        <v>18071</v>
      </c>
      <c r="B7092" t="s">
        <v>18072</v>
      </c>
      <c r="C7092" t="s">
        <v>18051</v>
      </c>
      <c r="D7092" t="s">
        <v>18051</v>
      </c>
      <c r="E7092" t="s">
        <v>18073</v>
      </c>
    </row>
    <row r="7093" spans="1:5" x14ac:dyDescent="0.2">
      <c r="A7093" t="s">
        <v>18074</v>
      </c>
      <c r="B7093" t="s">
        <v>18075</v>
      </c>
      <c r="C7093" t="s">
        <v>18051</v>
      </c>
      <c r="D7093" t="s">
        <v>18051</v>
      </c>
      <c r="E7093" t="s">
        <v>18076</v>
      </c>
    </row>
    <row r="7094" spans="1:5" x14ac:dyDescent="0.2">
      <c r="A7094" t="s">
        <v>18077</v>
      </c>
      <c r="B7094" t="s">
        <v>18078</v>
      </c>
      <c r="C7094" t="s">
        <v>18051</v>
      </c>
      <c r="D7094" t="s">
        <v>18051</v>
      </c>
      <c r="E7094" t="s">
        <v>18079</v>
      </c>
    </row>
    <row r="7095" spans="1:5" x14ac:dyDescent="0.2">
      <c r="A7095" t="s">
        <v>18080</v>
      </c>
      <c r="B7095" t="s">
        <v>18081</v>
      </c>
      <c r="C7095" t="s">
        <v>18051</v>
      </c>
      <c r="D7095" t="s">
        <v>18051</v>
      </c>
      <c r="E7095" t="s">
        <v>18064</v>
      </c>
    </row>
    <row r="7096" spans="1:5" x14ac:dyDescent="0.2">
      <c r="A7096" t="s">
        <v>18082</v>
      </c>
      <c r="B7096" t="s">
        <v>18083</v>
      </c>
      <c r="C7096" t="s">
        <v>18051</v>
      </c>
      <c r="D7096" t="s">
        <v>18051</v>
      </c>
      <c r="E7096" t="s">
        <v>18084</v>
      </c>
    </row>
    <row r="7097" spans="1:5" x14ac:dyDescent="0.2">
      <c r="A7097" t="s">
        <v>18085</v>
      </c>
      <c r="B7097" t="s">
        <v>18086</v>
      </c>
      <c r="C7097" t="s">
        <v>18051</v>
      </c>
      <c r="D7097" t="s">
        <v>18051</v>
      </c>
      <c r="E7097" t="s">
        <v>18067</v>
      </c>
    </row>
    <row r="7098" spans="1:5" x14ac:dyDescent="0.2">
      <c r="A7098" t="s">
        <v>18087</v>
      </c>
      <c r="B7098" t="s">
        <v>18088</v>
      </c>
      <c r="C7098" t="s">
        <v>18051</v>
      </c>
      <c r="D7098" t="s">
        <v>18051</v>
      </c>
      <c r="E7098" t="s">
        <v>18067</v>
      </c>
    </row>
    <row r="7099" spans="1:5" x14ac:dyDescent="0.2">
      <c r="A7099" t="s">
        <v>18089</v>
      </c>
      <c r="B7099" t="s">
        <v>18090</v>
      </c>
      <c r="C7099" t="s">
        <v>18051</v>
      </c>
      <c r="D7099" t="s">
        <v>18051</v>
      </c>
      <c r="E7099" t="s">
        <v>18091</v>
      </c>
    </row>
    <row r="7100" spans="1:5" x14ac:dyDescent="0.2">
      <c r="A7100" t="s">
        <v>18092</v>
      </c>
      <c r="B7100" t="s">
        <v>18093</v>
      </c>
      <c r="C7100" t="s">
        <v>18051</v>
      </c>
      <c r="D7100" t="s">
        <v>18051</v>
      </c>
      <c r="E7100" t="s">
        <v>18094</v>
      </c>
    </row>
    <row r="7101" spans="1:5" x14ac:dyDescent="0.2">
      <c r="A7101" t="s">
        <v>18095</v>
      </c>
      <c r="B7101" t="s">
        <v>18096</v>
      </c>
      <c r="C7101" t="s">
        <v>18051</v>
      </c>
      <c r="D7101" t="s">
        <v>18051</v>
      </c>
      <c r="E7101" t="s">
        <v>18097</v>
      </c>
    </row>
    <row r="7102" spans="1:5" x14ac:dyDescent="0.2">
      <c r="A7102" t="s">
        <v>18098</v>
      </c>
      <c r="B7102" t="s">
        <v>18099</v>
      </c>
      <c r="C7102" t="s">
        <v>18100</v>
      </c>
      <c r="D7102" t="s">
        <v>18100</v>
      </c>
      <c r="E7102" t="s">
        <v>18101</v>
      </c>
    </row>
    <row r="7103" spans="1:5" x14ac:dyDescent="0.2">
      <c r="A7103" t="s">
        <v>18102</v>
      </c>
      <c r="B7103" t="s">
        <v>18103</v>
      </c>
      <c r="C7103" t="s">
        <v>18100</v>
      </c>
      <c r="D7103" t="s">
        <v>18100</v>
      </c>
      <c r="E7103" t="s">
        <v>18104</v>
      </c>
    </row>
    <row r="7104" spans="1:5" x14ac:dyDescent="0.2">
      <c r="A7104" t="s">
        <v>18105</v>
      </c>
      <c r="B7104" t="s">
        <v>18106</v>
      </c>
      <c r="C7104" t="s">
        <v>18100</v>
      </c>
      <c r="D7104" t="s">
        <v>18100</v>
      </c>
      <c r="E7104" t="s">
        <v>18107</v>
      </c>
    </row>
    <row r="7105" spans="1:5" x14ac:dyDescent="0.2">
      <c r="A7105" t="s">
        <v>18108</v>
      </c>
      <c r="B7105" t="s">
        <v>18109</v>
      </c>
      <c r="C7105" t="s">
        <v>18100</v>
      </c>
      <c r="D7105" t="s">
        <v>18100</v>
      </c>
      <c r="E7105" t="s">
        <v>18110</v>
      </c>
    </row>
    <row r="7106" spans="1:5" x14ac:dyDescent="0.2">
      <c r="A7106" t="s">
        <v>18111</v>
      </c>
      <c r="B7106" t="s">
        <v>18112</v>
      </c>
      <c r="C7106" t="s">
        <v>18100</v>
      </c>
      <c r="D7106" t="s">
        <v>18100</v>
      </c>
      <c r="E7106" t="s">
        <v>18101</v>
      </c>
    </row>
    <row r="7107" spans="1:5" x14ac:dyDescent="0.2">
      <c r="A7107" t="s">
        <v>18113</v>
      </c>
      <c r="B7107" t="s">
        <v>18114</v>
      </c>
      <c r="C7107" t="s">
        <v>18100</v>
      </c>
      <c r="D7107" t="s">
        <v>18100</v>
      </c>
      <c r="E7107" t="s">
        <v>18115</v>
      </c>
    </row>
    <row r="7108" spans="1:5" x14ac:dyDescent="0.2">
      <c r="A7108" t="s">
        <v>18116</v>
      </c>
      <c r="B7108" t="s">
        <v>18117</v>
      </c>
      <c r="C7108" t="s">
        <v>18100</v>
      </c>
      <c r="D7108" t="s">
        <v>18100</v>
      </c>
      <c r="E7108" t="s">
        <v>18115</v>
      </c>
    </row>
    <row r="7109" spans="1:5" x14ac:dyDescent="0.2">
      <c r="A7109" t="s">
        <v>18118</v>
      </c>
      <c r="B7109" t="s">
        <v>18119</v>
      </c>
      <c r="C7109" t="s">
        <v>18100</v>
      </c>
      <c r="D7109" t="s">
        <v>18100</v>
      </c>
      <c r="E7109" t="s">
        <v>18115</v>
      </c>
    </row>
    <row r="7110" spans="1:5" x14ac:dyDescent="0.2">
      <c r="A7110" t="s">
        <v>18120</v>
      </c>
      <c r="B7110" t="s">
        <v>18121</v>
      </c>
      <c r="C7110" t="s">
        <v>18100</v>
      </c>
      <c r="D7110" t="s">
        <v>18100</v>
      </c>
      <c r="E7110" t="s">
        <v>18122</v>
      </c>
    </row>
    <row r="7111" spans="1:5" x14ac:dyDescent="0.2">
      <c r="A7111" t="s">
        <v>18123</v>
      </c>
      <c r="B7111" t="s">
        <v>18124</v>
      </c>
      <c r="C7111" t="s">
        <v>18100</v>
      </c>
      <c r="D7111" t="s">
        <v>18100</v>
      </c>
      <c r="E7111" t="s">
        <v>18104</v>
      </c>
    </row>
    <row r="7112" spans="1:5" x14ac:dyDescent="0.2">
      <c r="A7112" t="s">
        <v>18125</v>
      </c>
      <c r="B7112" t="s">
        <v>18126</v>
      </c>
      <c r="C7112" t="s">
        <v>18100</v>
      </c>
      <c r="D7112" t="s">
        <v>18100</v>
      </c>
      <c r="E7112" t="s">
        <v>18127</v>
      </c>
    </row>
    <row r="7113" spans="1:5" x14ac:dyDescent="0.2">
      <c r="A7113" t="s">
        <v>18128</v>
      </c>
      <c r="B7113" t="s">
        <v>18129</v>
      </c>
      <c r="C7113" t="s">
        <v>18100</v>
      </c>
      <c r="D7113" t="s">
        <v>18100</v>
      </c>
      <c r="E7113" t="s">
        <v>18130</v>
      </c>
    </row>
    <row r="7114" spans="1:5" x14ac:dyDescent="0.2">
      <c r="A7114" t="s">
        <v>18131</v>
      </c>
      <c r="B7114" t="s">
        <v>18132</v>
      </c>
      <c r="C7114" t="s">
        <v>18100</v>
      </c>
      <c r="D7114" t="s">
        <v>18100</v>
      </c>
      <c r="E7114" t="s">
        <v>18101</v>
      </c>
    </row>
    <row r="7115" spans="1:5" x14ac:dyDescent="0.2">
      <c r="A7115" t="s">
        <v>18133</v>
      </c>
      <c r="B7115" t="s">
        <v>18134</v>
      </c>
      <c r="C7115" t="s">
        <v>18100</v>
      </c>
      <c r="D7115" t="s">
        <v>18100</v>
      </c>
      <c r="E7115" t="s">
        <v>18101</v>
      </c>
    </row>
    <row r="7116" spans="1:5" x14ac:dyDescent="0.2">
      <c r="A7116" t="s">
        <v>18135</v>
      </c>
      <c r="B7116" t="s">
        <v>18136</v>
      </c>
      <c r="C7116" t="s">
        <v>18100</v>
      </c>
      <c r="D7116" t="s">
        <v>18100</v>
      </c>
      <c r="E7116" t="s">
        <v>18104</v>
      </c>
    </row>
    <row r="7117" spans="1:5" x14ac:dyDescent="0.2">
      <c r="A7117" t="s">
        <v>18137</v>
      </c>
      <c r="B7117" t="s">
        <v>18138</v>
      </c>
      <c r="C7117" t="s">
        <v>18100</v>
      </c>
      <c r="D7117" t="s">
        <v>18100</v>
      </c>
      <c r="E7117" t="s">
        <v>18139</v>
      </c>
    </row>
    <row r="7118" spans="1:5" x14ac:dyDescent="0.2">
      <c r="A7118" t="s">
        <v>18140</v>
      </c>
      <c r="B7118" t="s">
        <v>18141</v>
      </c>
      <c r="C7118" t="s">
        <v>18100</v>
      </c>
      <c r="D7118" t="s">
        <v>18100</v>
      </c>
      <c r="E7118" t="s">
        <v>18142</v>
      </c>
    </row>
    <row r="7119" spans="1:5" x14ac:dyDescent="0.2">
      <c r="A7119" t="s">
        <v>18143</v>
      </c>
      <c r="B7119" t="s">
        <v>18144</v>
      </c>
      <c r="C7119" t="s">
        <v>18100</v>
      </c>
      <c r="D7119" t="s">
        <v>18100</v>
      </c>
      <c r="E7119" t="s">
        <v>18101</v>
      </c>
    </row>
    <row r="7120" spans="1:5" x14ac:dyDescent="0.2">
      <c r="A7120" t="s">
        <v>18145</v>
      </c>
      <c r="B7120" t="s">
        <v>18146</v>
      </c>
      <c r="C7120" t="s">
        <v>18100</v>
      </c>
      <c r="D7120" t="s">
        <v>18100</v>
      </c>
      <c r="E7120" t="s">
        <v>18127</v>
      </c>
    </row>
    <row r="7121" spans="1:5" x14ac:dyDescent="0.2">
      <c r="A7121" t="s">
        <v>18147</v>
      </c>
      <c r="B7121" t="s">
        <v>18148</v>
      </c>
      <c r="C7121" t="s">
        <v>18100</v>
      </c>
      <c r="D7121" t="s">
        <v>18100</v>
      </c>
      <c r="E7121" t="s">
        <v>18101</v>
      </c>
    </row>
    <row r="7122" spans="1:5" x14ac:dyDescent="0.2">
      <c r="A7122" t="s">
        <v>18149</v>
      </c>
      <c r="B7122" t="s">
        <v>18150</v>
      </c>
      <c r="C7122" t="s">
        <v>18100</v>
      </c>
      <c r="D7122" t="s">
        <v>18100</v>
      </c>
      <c r="E7122" t="s">
        <v>18151</v>
      </c>
    </row>
    <row r="7123" spans="1:5" x14ac:dyDescent="0.2">
      <c r="A7123" t="s">
        <v>18152</v>
      </c>
      <c r="B7123" t="s">
        <v>18153</v>
      </c>
      <c r="C7123" t="s">
        <v>18100</v>
      </c>
      <c r="D7123" t="s">
        <v>18100</v>
      </c>
      <c r="E7123" t="s">
        <v>18101</v>
      </c>
    </row>
    <row r="7124" spans="1:5" x14ac:dyDescent="0.2">
      <c r="A7124" t="s">
        <v>18154</v>
      </c>
      <c r="B7124" t="s">
        <v>18155</v>
      </c>
      <c r="C7124" t="s">
        <v>18100</v>
      </c>
      <c r="D7124" t="s">
        <v>18100</v>
      </c>
      <c r="E7124" t="s">
        <v>18156</v>
      </c>
    </row>
    <row r="7125" spans="1:5" x14ac:dyDescent="0.2">
      <c r="A7125" t="s">
        <v>18157</v>
      </c>
      <c r="B7125" t="s">
        <v>18158</v>
      </c>
      <c r="C7125" t="s">
        <v>18100</v>
      </c>
      <c r="D7125" t="s">
        <v>18100</v>
      </c>
      <c r="E7125" t="s">
        <v>18127</v>
      </c>
    </row>
    <row r="7126" spans="1:5" x14ac:dyDescent="0.2">
      <c r="A7126" t="s">
        <v>18159</v>
      </c>
      <c r="B7126" t="s">
        <v>18160</v>
      </c>
      <c r="C7126" t="s">
        <v>18100</v>
      </c>
      <c r="D7126" t="s">
        <v>18100</v>
      </c>
      <c r="E7126" t="s">
        <v>18161</v>
      </c>
    </row>
    <row r="7127" spans="1:5" x14ac:dyDescent="0.2">
      <c r="A7127" t="s">
        <v>18162</v>
      </c>
      <c r="B7127" t="s">
        <v>18163</v>
      </c>
      <c r="C7127" t="s">
        <v>18100</v>
      </c>
      <c r="D7127" t="s">
        <v>18100</v>
      </c>
      <c r="E7127" t="s">
        <v>18142</v>
      </c>
    </row>
    <row r="7128" spans="1:5" x14ac:dyDescent="0.2">
      <c r="A7128" t="s">
        <v>18164</v>
      </c>
      <c r="B7128" t="s">
        <v>18165</v>
      </c>
      <c r="C7128" t="s">
        <v>18100</v>
      </c>
      <c r="D7128" t="s">
        <v>18100</v>
      </c>
      <c r="E7128" t="s">
        <v>18166</v>
      </c>
    </row>
    <row r="7129" spans="1:5" x14ac:dyDescent="0.2">
      <c r="A7129" t="s">
        <v>18167</v>
      </c>
      <c r="B7129" t="s">
        <v>18168</v>
      </c>
      <c r="C7129" t="s">
        <v>18100</v>
      </c>
      <c r="D7129" t="s">
        <v>18100</v>
      </c>
      <c r="E7129" t="s">
        <v>18169</v>
      </c>
    </row>
    <row r="7130" spans="1:5" x14ac:dyDescent="0.2">
      <c r="A7130" t="s">
        <v>18170</v>
      </c>
      <c r="B7130" t="s">
        <v>18171</v>
      </c>
      <c r="C7130" t="s">
        <v>18100</v>
      </c>
      <c r="D7130" t="s">
        <v>18100</v>
      </c>
      <c r="E7130" t="s">
        <v>18115</v>
      </c>
    </row>
    <row r="7131" spans="1:5" x14ac:dyDescent="0.2">
      <c r="A7131" t="s">
        <v>18172</v>
      </c>
      <c r="B7131" t="s">
        <v>18173</v>
      </c>
      <c r="C7131" t="s">
        <v>18100</v>
      </c>
      <c r="D7131" t="s">
        <v>18100</v>
      </c>
      <c r="E7131" t="s">
        <v>18101</v>
      </c>
    </row>
    <row r="7132" spans="1:5" x14ac:dyDescent="0.2">
      <c r="A7132" t="s">
        <v>18174</v>
      </c>
      <c r="B7132" t="s">
        <v>18175</v>
      </c>
      <c r="C7132" t="s">
        <v>18100</v>
      </c>
      <c r="D7132" t="s">
        <v>18100</v>
      </c>
      <c r="E7132" t="s">
        <v>18176</v>
      </c>
    </row>
    <row r="7133" spans="1:5" x14ac:dyDescent="0.2">
      <c r="A7133" t="s">
        <v>18177</v>
      </c>
      <c r="B7133" t="s">
        <v>18178</v>
      </c>
      <c r="C7133" t="s">
        <v>18100</v>
      </c>
      <c r="D7133" t="s">
        <v>18100</v>
      </c>
      <c r="E7133" t="s">
        <v>18101</v>
      </c>
    </row>
    <row r="7134" spans="1:5" x14ac:dyDescent="0.2">
      <c r="A7134" t="s">
        <v>18179</v>
      </c>
      <c r="B7134" t="s">
        <v>18180</v>
      </c>
      <c r="C7134" t="s">
        <v>18100</v>
      </c>
      <c r="D7134" t="s">
        <v>18100</v>
      </c>
      <c r="E7134" t="s">
        <v>18181</v>
      </c>
    </row>
    <row r="7135" spans="1:5" x14ac:dyDescent="0.2">
      <c r="A7135" t="s">
        <v>18182</v>
      </c>
      <c r="B7135" t="s">
        <v>18183</v>
      </c>
      <c r="C7135" t="s">
        <v>18100</v>
      </c>
      <c r="D7135" t="s">
        <v>18100</v>
      </c>
      <c r="E7135" t="s">
        <v>18101</v>
      </c>
    </row>
    <row r="7136" spans="1:5" x14ac:dyDescent="0.2">
      <c r="A7136" t="s">
        <v>18184</v>
      </c>
      <c r="B7136" t="s">
        <v>18185</v>
      </c>
      <c r="C7136" t="s">
        <v>18100</v>
      </c>
      <c r="D7136" t="s">
        <v>18100</v>
      </c>
      <c r="E7136" t="s">
        <v>18186</v>
      </c>
    </row>
    <row r="7137" spans="1:5" x14ac:dyDescent="0.2">
      <c r="A7137" t="s">
        <v>18187</v>
      </c>
      <c r="B7137" t="s">
        <v>18188</v>
      </c>
      <c r="C7137" t="s">
        <v>18100</v>
      </c>
      <c r="D7137" t="s">
        <v>18100</v>
      </c>
      <c r="E7137" t="s">
        <v>18189</v>
      </c>
    </row>
    <row r="7138" spans="1:5" x14ac:dyDescent="0.2">
      <c r="A7138" t="s">
        <v>18190</v>
      </c>
      <c r="B7138" t="s">
        <v>18191</v>
      </c>
      <c r="C7138" t="s">
        <v>18100</v>
      </c>
      <c r="D7138" t="s">
        <v>18100</v>
      </c>
      <c r="E7138" t="s">
        <v>18192</v>
      </c>
    </row>
    <row r="7139" spans="1:5" x14ac:dyDescent="0.2">
      <c r="A7139" t="s">
        <v>18193</v>
      </c>
      <c r="B7139" t="s">
        <v>18194</v>
      </c>
      <c r="C7139" t="s">
        <v>18100</v>
      </c>
      <c r="D7139" t="s">
        <v>18100</v>
      </c>
      <c r="E7139" t="s">
        <v>18101</v>
      </c>
    </row>
    <row r="7140" spans="1:5" x14ac:dyDescent="0.2">
      <c r="A7140" t="s">
        <v>18195</v>
      </c>
      <c r="B7140" t="s">
        <v>18196</v>
      </c>
      <c r="C7140" t="s">
        <v>18100</v>
      </c>
      <c r="D7140" t="s">
        <v>18100</v>
      </c>
      <c r="E7140" t="s">
        <v>18197</v>
      </c>
    </row>
    <row r="7141" spans="1:5" x14ac:dyDescent="0.2">
      <c r="A7141" t="s">
        <v>18198</v>
      </c>
      <c r="B7141" t="s">
        <v>18199</v>
      </c>
      <c r="C7141" t="s">
        <v>18100</v>
      </c>
      <c r="D7141" t="s">
        <v>18100</v>
      </c>
      <c r="E7141" t="s">
        <v>18104</v>
      </c>
    </row>
    <row r="7142" spans="1:5" x14ac:dyDescent="0.2">
      <c r="A7142" t="s">
        <v>18200</v>
      </c>
      <c r="B7142" t="s">
        <v>18201</v>
      </c>
      <c r="C7142" t="s">
        <v>18100</v>
      </c>
      <c r="D7142" t="s">
        <v>18100</v>
      </c>
      <c r="E7142" t="s">
        <v>18202</v>
      </c>
    </row>
    <row r="7143" spans="1:5" x14ac:dyDescent="0.2">
      <c r="A7143" t="s">
        <v>18203</v>
      </c>
      <c r="B7143" t="s">
        <v>18204</v>
      </c>
      <c r="C7143" t="s">
        <v>18100</v>
      </c>
      <c r="D7143" t="s">
        <v>18100</v>
      </c>
      <c r="E7143" t="s">
        <v>18205</v>
      </c>
    </row>
    <row r="7144" spans="1:5" x14ac:dyDescent="0.2">
      <c r="A7144" t="s">
        <v>18206</v>
      </c>
      <c r="B7144" t="s">
        <v>18207</v>
      </c>
      <c r="C7144" t="s">
        <v>18100</v>
      </c>
      <c r="D7144" t="s">
        <v>18100</v>
      </c>
      <c r="E7144" t="s">
        <v>18104</v>
      </c>
    </row>
    <row r="7145" spans="1:5" x14ac:dyDescent="0.2">
      <c r="A7145" t="s">
        <v>18208</v>
      </c>
      <c r="B7145" t="s">
        <v>18209</v>
      </c>
      <c r="C7145" t="s">
        <v>18100</v>
      </c>
      <c r="D7145" t="s">
        <v>18100</v>
      </c>
      <c r="E7145" t="s">
        <v>18104</v>
      </c>
    </row>
    <row r="7146" spans="1:5" x14ac:dyDescent="0.2">
      <c r="A7146" t="s">
        <v>18210</v>
      </c>
      <c r="B7146" t="s">
        <v>18211</v>
      </c>
      <c r="C7146" t="s">
        <v>18100</v>
      </c>
      <c r="D7146" t="s">
        <v>18100</v>
      </c>
      <c r="E7146" t="s">
        <v>18104</v>
      </c>
    </row>
    <row r="7147" spans="1:5" x14ac:dyDescent="0.2">
      <c r="A7147" t="s">
        <v>18212</v>
      </c>
      <c r="B7147" t="s">
        <v>18213</v>
      </c>
      <c r="C7147" t="s">
        <v>18100</v>
      </c>
      <c r="D7147" t="s">
        <v>18100</v>
      </c>
      <c r="E7147" t="s">
        <v>18104</v>
      </c>
    </row>
    <row r="7148" spans="1:5" x14ac:dyDescent="0.2">
      <c r="A7148" t="s">
        <v>18214</v>
      </c>
      <c r="B7148" t="s">
        <v>18215</v>
      </c>
      <c r="C7148" t="s">
        <v>18100</v>
      </c>
      <c r="D7148" t="s">
        <v>18100</v>
      </c>
      <c r="E7148" t="s">
        <v>18216</v>
      </c>
    </row>
    <row r="7149" spans="1:5" x14ac:dyDescent="0.2">
      <c r="A7149" t="s">
        <v>18217</v>
      </c>
      <c r="B7149" t="s">
        <v>18218</v>
      </c>
      <c r="C7149" t="s">
        <v>18100</v>
      </c>
      <c r="D7149" t="s">
        <v>18100</v>
      </c>
      <c r="E7149" t="s">
        <v>18101</v>
      </c>
    </row>
    <row r="7150" spans="1:5" x14ac:dyDescent="0.2">
      <c r="A7150" t="s">
        <v>18219</v>
      </c>
      <c r="B7150" t="s">
        <v>18220</v>
      </c>
      <c r="C7150" t="s">
        <v>18100</v>
      </c>
      <c r="D7150" t="s">
        <v>18100</v>
      </c>
      <c r="E7150" t="s">
        <v>18101</v>
      </c>
    </row>
    <row r="7151" spans="1:5" x14ac:dyDescent="0.2">
      <c r="A7151" t="s">
        <v>18221</v>
      </c>
      <c r="B7151" t="s">
        <v>18222</v>
      </c>
      <c r="C7151" t="s">
        <v>18100</v>
      </c>
      <c r="D7151" t="e">
        <v>#N/A</v>
      </c>
      <c r="E7151" t="e">
        <v>#N/A</v>
      </c>
    </row>
    <row r="7152" spans="1:5" x14ac:dyDescent="0.2">
      <c r="A7152" t="s">
        <v>18223</v>
      </c>
      <c r="B7152" t="s">
        <v>18224</v>
      </c>
      <c r="C7152" t="s">
        <v>18225</v>
      </c>
      <c r="D7152" t="s">
        <v>18225</v>
      </c>
      <c r="E7152" t="s">
        <v>18226</v>
      </c>
    </row>
    <row r="7153" spans="1:5" x14ac:dyDescent="0.2">
      <c r="A7153" t="s">
        <v>18227</v>
      </c>
      <c r="B7153" t="s">
        <v>18228</v>
      </c>
      <c r="C7153" t="s">
        <v>18225</v>
      </c>
      <c r="D7153" t="s">
        <v>18225</v>
      </c>
      <c r="E7153" t="s">
        <v>18229</v>
      </c>
    </row>
    <row r="7154" spans="1:5" x14ac:dyDescent="0.2">
      <c r="A7154" t="s">
        <v>18230</v>
      </c>
      <c r="B7154" t="s">
        <v>18231</v>
      </c>
      <c r="C7154" t="s">
        <v>18225</v>
      </c>
      <c r="D7154" t="s">
        <v>18225</v>
      </c>
      <c r="E7154" t="s">
        <v>18232</v>
      </c>
    </row>
    <row r="7155" spans="1:5" x14ac:dyDescent="0.2">
      <c r="A7155" t="s">
        <v>18233</v>
      </c>
      <c r="B7155" t="s">
        <v>18234</v>
      </c>
      <c r="C7155" t="s">
        <v>18225</v>
      </c>
      <c r="D7155" t="s">
        <v>18225</v>
      </c>
      <c r="E7155" t="s">
        <v>18226</v>
      </c>
    </row>
    <row r="7156" spans="1:5" x14ac:dyDescent="0.2">
      <c r="A7156" t="s">
        <v>18235</v>
      </c>
      <c r="B7156" t="s">
        <v>18236</v>
      </c>
      <c r="C7156" t="s">
        <v>18225</v>
      </c>
      <c r="D7156" t="s">
        <v>18225</v>
      </c>
      <c r="E7156" t="s">
        <v>18237</v>
      </c>
    </row>
    <row r="7157" spans="1:5" x14ac:dyDescent="0.2">
      <c r="A7157" t="s">
        <v>18238</v>
      </c>
      <c r="B7157" t="s">
        <v>18239</v>
      </c>
      <c r="C7157" t="s">
        <v>18225</v>
      </c>
      <c r="D7157" t="s">
        <v>18225</v>
      </c>
      <c r="E7157" t="s">
        <v>18240</v>
      </c>
    </row>
    <row r="7158" spans="1:5" x14ac:dyDescent="0.2">
      <c r="A7158" t="s">
        <v>18241</v>
      </c>
      <c r="B7158" t="s">
        <v>18242</v>
      </c>
      <c r="C7158" t="s">
        <v>18225</v>
      </c>
      <c r="D7158" t="s">
        <v>18225</v>
      </c>
      <c r="E7158" t="s">
        <v>18243</v>
      </c>
    </row>
    <row r="7159" spans="1:5" x14ac:dyDescent="0.2">
      <c r="A7159" t="s">
        <v>18244</v>
      </c>
      <c r="B7159" t="s">
        <v>18245</v>
      </c>
      <c r="C7159" t="s">
        <v>18225</v>
      </c>
      <c r="D7159" t="s">
        <v>18225</v>
      </c>
      <c r="E7159" t="s">
        <v>18246</v>
      </c>
    </row>
    <row r="7160" spans="1:5" x14ac:dyDescent="0.2">
      <c r="A7160" t="s">
        <v>18247</v>
      </c>
      <c r="B7160" t="s">
        <v>18248</v>
      </c>
      <c r="C7160" t="s">
        <v>18225</v>
      </c>
      <c r="D7160" t="s">
        <v>18225</v>
      </c>
      <c r="E7160" t="s">
        <v>18226</v>
      </c>
    </row>
    <row r="7161" spans="1:5" x14ac:dyDescent="0.2">
      <c r="A7161" t="s">
        <v>18249</v>
      </c>
      <c r="B7161" t="s">
        <v>18250</v>
      </c>
      <c r="C7161" t="s">
        <v>18225</v>
      </c>
      <c r="D7161" t="s">
        <v>18225</v>
      </c>
      <c r="E7161" t="s">
        <v>18251</v>
      </c>
    </row>
    <row r="7162" spans="1:5" x14ac:dyDescent="0.2">
      <c r="A7162" t="s">
        <v>18252</v>
      </c>
      <c r="B7162" t="s">
        <v>18253</v>
      </c>
      <c r="C7162" t="s">
        <v>18225</v>
      </c>
      <c r="D7162" t="s">
        <v>18225</v>
      </c>
      <c r="E7162" t="s">
        <v>18251</v>
      </c>
    </row>
    <row r="7163" spans="1:5" x14ac:dyDescent="0.2">
      <c r="A7163" t="s">
        <v>18254</v>
      </c>
      <c r="B7163" t="s">
        <v>18255</v>
      </c>
      <c r="C7163" t="s">
        <v>18225</v>
      </c>
      <c r="D7163" t="s">
        <v>18225</v>
      </c>
      <c r="E7163" t="s">
        <v>18256</v>
      </c>
    </row>
    <row r="7164" spans="1:5" x14ac:dyDescent="0.2">
      <c r="A7164" t="s">
        <v>18257</v>
      </c>
      <c r="B7164" t="s">
        <v>18258</v>
      </c>
      <c r="C7164" t="s">
        <v>18225</v>
      </c>
      <c r="D7164" t="s">
        <v>18225</v>
      </c>
      <c r="E7164" t="s">
        <v>18226</v>
      </c>
    </row>
    <row r="7165" spans="1:5" x14ac:dyDescent="0.2">
      <c r="A7165" t="s">
        <v>18259</v>
      </c>
      <c r="B7165" t="s">
        <v>18260</v>
      </c>
      <c r="C7165" t="s">
        <v>18225</v>
      </c>
      <c r="D7165" t="s">
        <v>18225</v>
      </c>
      <c r="E7165" t="s">
        <v>18261</v>
      </c>
    </row>
    <row r="7166" spans="1:5" x14ac:dyDescent="0.2">
      <c r="A7166" t="s">
        <v>18262</v>
      </c>
      <c r="B7166" t="s">
        <v>18263</v>
      </c>
      <c r="C7166" t="s">
        <v>18225</v>
      </c>
      <c r="D7166" t="s">
        <v>18225</v>
      </c>
      <c r="E7166" t="s">
        <v>18264</v>
      </c>
    </row>
    <row r="7167" spans="1:5" x14ac:dyDescent="0.2">
      <c r="A7167" t="s">
        <v>18265</v>
      </c>
      <c r="B7167" t="s">
        <v>18266</v>
      </c>
      <c r="C7167" t="s">
        <v>18225</v>
      </c>
      <c r="D7167" t="s">
        <v>18225</v>
      </c>
      <c r="E7167" t="s">
        <v>18267</v>
      </c>
    </row>
    <row r="7168" spans="1:5" x14ac:dyDescent="0.2">
      <c r="A7168" t="s">
        <v>18268</v>
      </c>
      <c r="B7168" t="s">
        <v>18269</v>
      </c>
      <c r="C7168" t="s">
        <v>18225</v>
      </c>
      <c r="D7168" t="s">
        <v>18225</v>
      </c>
      <c r="E7168" t="s">
        <v>18270</v>
      </c>
    </row>
    <row r="7169" spans="1:5" x14ac:dyDescent="0.2">
      <c r="A7169" t="s">
        <v>18271</v>
      </c>
      <c r="B7169" t="s">
        <v>18272</v>
      </c>
      <c r="C7169" t="s">
        <v>18225</v>
      </c>
      <c r="D7169" t="s">
        <v>18225</v>
      </c>
      <c r="E7169" t="s">
        <v>18273</v>
      </c>
    </row>
    <row r="7170" spans="1:5" x14ac:dyDescent="0.2">
      <c r="A7170" t="s">
        <v>18274</v>
      </c>
      <c r="B7170" t="s">
        <v>18275</v>
      </c>
      <c r="C7170" t="s">
        <v>18225</v>
      </c>
      <c r="D7170" t="s">
        <v>18225</v>
      </c>
      <c r="E7170" t="s">
        <v>18276</v>
      </c>
    </row>
    <row r="7171" spans="1:5" x14ac:dyDescent="0.2">
      <c r="A7171" t="s">
        <v>18277</v>
      </c>
      <c r="B7171" t="s">
        <v>18278</v>
      </c>
      <c r="C7171" t="s">
        <v>18225</v>
      </c>
      <c r="D7171" t="s">
        <v>18225</v>
      </c>
      <c r="E7171" t="s">
        <v>18279</v>
      </c>
    </row>
    <row r="7172" spans="1:5" x14ac:dyDescent="0.2">
      <c r="A7172" t="s">
        <v>18280</v>
      </c>
      <c r="B7172" t="s">
        <v>18281</v>
      </c>
      <c r="C7172" t="s">
        <v>18225</v>
      </c>
      <c r="D7172" t="s">
        <v>18225</v>
      </c>
      <c r="E7172" t="s">
        <v>18273</v>
      </c>
    </row>
    <row r="7173" spans="1:5" x14ac:dyDescent="0.2">
      <c r="A7173" t="s">
        <v>18282</v>
      </c>
      <c r="B7173" t="s">
        <v>18283</v>
      </c>
      <c r="C7173" t="s">
        <v>18225</v>
      </c>
      <c r="D7173" t="s">
        <v>18225</v>
      </c>
      <c r="E7173" t="s">
        <v>18284</v>
      </c>
    </row>
    <row r="7174" spans="1:5" x14ac:dyDescent="0.2">
      <c r="A7174" t="s">
        <v>18285</v>
      </c>
      <c r="B7174" t="s">
        <v>18286</v>
      </c>
      <c r="C7174" t="s">
        <v>18225</v>
      </c>
      <c r="D7174" t="s">
        <v>18225</v>
      </c>
      <c r="E7174" t="s">
        <v>18287</v>
      </c>
    </row>
    <row r="7175" spans="1:5" x14ac:dyDescent="0.2">
      <c r="A7175" t="s">
        <v>18288</v>
      </c>
      <c r="B7175" t="s">
        <v>18289</v>
      </c>
      <c r="C7175" t="s">
        <v>18225</v>
      </c>
      <c r="D7175" t="s">
        <v>18225</v>
      </c>
      <c r="E7175" t="s">
        <v>18251</v>
      </c>
    </row>
    <row r="7176" spans="1:5" x14ac:dyDescent="0.2">
      <c r="A7176" t="s">
        <v>18290</v>
      </c>
      <c r="B7176" t="s">
        <v>18291</v>
      </c>
      <c r="C7176" t="s">
        <v>18225</v>
      </c>
      <c r="D7176" t="s">
        <v>18225</v>
      </c>
      <c r="E7176" t="s">
        <v>18273</v>
      </c>
    </row>
    <row r="7177" spans="1:5" x14ac:dyDescent="0.2">
      <c r="A7177" t="s">
        <v>18292</v>
      </c>
      <c r="B7177" t="s">
        <v>18293</v>
      </c>
      <c r="C7177" t="s">
        <v>18225</v>
      </c>
      <c r="D7177" t="s">
        <v>18225</v>
      </c>
      <c r="E7177" t="s">
        <v>18294</v>
      </c>
    </row>
    <row r="7178" spans="1:5" x14ac:dyDescent="0.2">
      <c r="A7178" t="s">
        <v>18295</v>
      </c>
      <c r="B7178" t="s">
        <v>18296</v>
      </c>
      <c r="C7178" t="s">
        <v>18225</v>
      </c>
      <c r="D7178" t="s">
        <v>18225</v>
      </c>
      <c r="E7178" t="s">
        <v>18226</v>
      </c>
    </row>
    <row r="7179" spans="1:5" x14ac:dyDescent="0.2">
      <c r="A7179" t="s">
        <v>18297</v>
      </c>
      <c r="B7179" t="s">
        <v>18298</v>
      </c>
      <c r="C7179" t="s">
        <v>18225</v>
      </c>
      <c r="D7179" t="s">
        <v>18225</v>
      </c>
      <c r="E7179" t="s">
        <v>18273</v>
      </c>
    </row>
    <row r="7180" spans="1:5" x14ac:dyDescent="0.2">
      <c r="A7180" t="s">
        <v>18299</v>
      </c>
      <c r="B7180" t="s">
        <v>18300</v>
      </c>
      <c r="C7180" t="s">
        <v>18225</v>
      </c>
      <c r="D7180" t="s">
        <v>18225</v>
      </c>
      <c r="E7180" t="s">
        <v>18226</v>
      </c>
    </row>
    <row r="7181" spans="1:5" x14ac:dyDescent="0.2">
      <c r="A7181" t="s">
        <v>18301</v>
      </c>
      <c r="B7181" t="s">
        <v>18302</v>
      </c>
      <c r="C7181" t="s">
        <v>18225</v>
      </c>
      <c r="D7181" t="s">
        <v>18225</v>
      </c>
      <c r="E7181" t="s">
        <v>18303</v>
      </c>
    </row>
    <row r="7182" spans="1:5" x14ac:dyDescent="0.2">
      <c r="A7182" t="s">
        <v>18304</v>
      </c>
      <c r="B7182" t="s">
        <v>18305</v>
      </c>
      <c r="C7182" t="s">
        <v>18225</v>
      </c>
      <c r="D7182" t="s">
        <v>18225</v>
      </c>
      <c r="E7182" t="s">
        <v>18251</v>
      </c>
    </row>
    <row r="7183" spans="1:5" x14ac:dyDescent="0.2">
      <c r="A7183" t="s">
        <v>18306</v>
      </c>
      <c r="B7183" t="s">
        <v>18307</v>
      </c>
      <c r="C7183" t="s">
        <v>18225</v>
      </c>
      <c r="D7183" t="s">
        <v>18225</v>
      </c>
      <c r="E7183" t="s">
        <v>18264</v>
      </c>
    </row>
    <row r="7184" spans="1:5" x14ac:dyDescent="0.2">
      <c r="A7184" t="s">
        <v>18308</v>
      </c>
      <c r="B7184" t="s">
        <v>18309</v>
      </c>
      <c r="C7184" t="s">
        <v>18225</v>
      </c>
      <c r="D7184" t="s">
        <v>18225</v>
      </c>
      <c r="E7184" t="s">
        <v>18226</v>
      </c>
    </row>
    <row r="7185" spans="1:5" x14ac:dyDescent="0.2">
      <c r="A7185" t="s">
        <v>18310</v>
      </c>
      <c r="B7185" t="s">
        <v>18311</v>
      </c>
      <c r="C7185" t="s">
        <v>18225</v>
      </c>
      <c r="D7185" t="s">
        <v>18225</v>
      </c>
      <c r="E7185" t="s">
        <v>18251</v>
      </c>
    </row>
    <row r="7186" spans="1:5" x14ac:dyDescent="0.2">
      <c r="A7186" t="s">
        <v>18312</v>
      </c>
      <c r="B7186" t="s">
        <v>18313</v>
      </c>
      <c r="C7186" t="s">
        <v>18225</v>
      </c>
      <c r="D7186" t="s">
        <v>18225</v>
      </c>
      <c r="E7186" t="s">
        <v>18314</v>
      </c>
    </row>
    <row r="7187" spans="1:5" x14ac:dyDescent="0.2">
      <c r="A7187" t="s">
        <v>18315</v>
      </c>
      <c r="B7187" t="s">
        <v>18316</v>
      </c>
      <c r="C7187" t="s">
        <v>18225</v>
      </c>
      <c r="D7187" t="s">
        <v>18225</v>
      </c>
      <c r="E7187" t="s">
        <v>18256</v>
      </c>
    </row>
    <row r="7188" spans="1:5" x14ac:dyDescent="0.2">
      <c r="A7188" t="s">
        <v>18317</v>
      </c>
      <c r="B7188" t="s">
        <v>18318</v>
      </c>
      <c r="C7188" t="s">
        <v>18225</v>
      </c>
      <c r="D7188" t="s">
        <v>18225</v>
      </c>
      <c r="E7188" t="s">
        <v>18319</v>
      </c>
    </row>
    <row r="7189" spans="1:5" x14ac:dyDescent="0.2">
      <c r="A7189" t="s">
        <v>18320</v>
      </c>
      <c r="B7189" t="s">
        <v>18321</v>
      </c>
      <c r="C7189" t="s">
        <v>18225</v>
      </c>
      <c r="D7189" t="s">
        <v>18225</v>
      </c>
      <c r="E7189" t="s">
        <v>18322</v>
      </c>
    </row>
    <row r="7190" spans="1:5" x14ac:dyDescent="0.2">
      <c r="A7190" t="s">
        <v>18323</v>
      </c>
      <c r="B7190" t="s">
        <v>18324</v>
      </c>
      <c r="C7190" t="s">
        <v>18225</v>
      </c>
      <c r="D7190" t="s">
        <v>18225</v>
      </c>
      <c r="E7190" t="s">
        <v>18325</v>
      </c>
    </row>
    <row r="7191" spans="1:5" x14ac:dyDescent="0.2">
      <c r="A7191" t="s">
        <v>18326</v>
      </c>
      <c r="B7191" t="s">
        <v>18327</v>
      </c>
      <c r="C7191" t="s">
        <v>18225</v>
      </c>
      <c r="D7191" t="s">
        <v>18225</v>
      </c>
      <c r="E7191" t="s">
        <v>18237</v>
      </c>
    </row>
    <row r="7192" spans="1:5" x14ac:dyDescent="0.2">
      <c r="A7192" t="s">
        <v>18328</v>
      </c>
      <c r="B7192" t="s">
        <v>18329</v>
      </c>
      <c r="C7192" t="s">
        <v>18225</v>
      </c>
      <c r="D7192" t="s">
        <v>18225</v>
      </c>
      <c r="E7192" t="s">
        <v>18226</v>
      </c>
    </row>
    <row r="7193" spans="1:5" x14ac:dyDescent="0.2">
      <c r="A7193" t="s">
        <v>18330</v>
      </c>
      <c r="B7193" t="s">
        <v>18331</v>
      </c>
      <c r="C7193" t="s">
        <v>18225</v>
      </c>
      <c r="D7193" t="s">
        <v>18225</v>
      </c>
      <c r="E7193" t="s">
        <v>18273</v>
      </c>
    </row>
    <row r="7194" spans="1:5" x14ac:dyDescent="0.2">
      <c r="A7194" t="s">
        <v>18332</v>
      </c>
      <c r="B7194" t="s">
        <v>18333</v>
      </c>
      <c r="C7194" t="s">
        <v>18225</v>
      </c>
      <c r="D7194" t="s">
        <v>18225</v>
      </c>
      <c r="E7194" t="s">
        <v>18334</v>
      </c>
    </row>
    <row r="7195" spans="1:5" x14ac:dyDescent="0.2">
      <c r="A7195" t="s">
        <v>18335</v>
      </c>
      <c r="B7195" t="s">
        <v>18336</v>
      </c>
      <c r="C7195" t="s">
        <v>18225</v>
      </c>
      <c r="D7195" t="s">
        <v>18225</v>
      </c>
      <c r="E7195" t="s">
        <v>18273</v>
      </c>
    </row>
    <row r="7196" spans="1:5" x14ac:dyDescent="0.2">
      <c r="A7196" t="s">
        <v>18337</v>
      </c>
      <c r="B7196" t="s">
        <v>18338</v>
      </c>
      <c r="C7196" t="s">
        <v>18225</v>
      </c>
      <c r="D7196" t="s">
        <v>18225</v>
      </c>
      <c r="E7196" t="s">
        <v>18294</v>
      </c>
    </row>
    <row r="7197" spans="1:5" x14ac:dyDescent="0.2">
      <c r="A7197" t="s">
        <v>18339</v>
      </c>
      <c r="B7197" t="s">
        <v>18340</v>
      </c>
      <c r="C7197" t="s">
        <v>18225</v>
      </c>
      <c r="D7197" t="s">
        <v>18225</v>
      </c>
      <c r="E7197" t="s">
        <v>18226</v>
      </c>
    </row>
    <row r="7198" spans="1:5" x14ac:dyDescent="0.2">
      <c r="A7198" t="s">
        <v>18341</v>
      </c>
      <c r="B7198" t="s">
        <v>18342</v>
      </c>
      <c r="C7198" t="s">
        <v>18225</v>
      </c>
      <c r="D7198" t="s">
        <v>18225</v>
      </c>
      <c r="E7198" t="s">
        <v>18284</v>
      </c>
    </row>
    <row r="7199" spans="1:5" x14ac:dyDescent="0.2">
      <c r="A7199" t="s">
        <v>18343</v>
      </c>
      <c r="B7199" t="s">
        <v>18344</v>
      </c>
      <c r="C7199" t="s">
        <v>18225</v>
      </c>
      <c r="D7199" t="s">
        <v>18225</v>
      </c>
      <c r="E7199" t="s">
        <v>18273</v>
      </c>
    </row>
    <row r="7200" spans="1:5" x14ac:dyDescent="0.2">
      <c r="A7200" t="s">
        <v>18345</v>
      </c>
      <c r="B7200" t="s">
        <v>18346</v>
      </c>
      <c r="C7200" t="s">
        <v>18225</v>
      </c>
      <c r="D7200" t="s">
        <v>18225</v>
      </c>
      <c r="E7200" t="s">
        <v>18264</v>
      </c>
    </row>
    <row r="7201" spans="1:5" x14ac:dyDescent="0.2">
      <c r="A7201" t="s">
        <v>18347</v>
      </c>
      <c r="B7201" t="s">
        <v>18348</v>
      </c>
      <c r="C7201" t="s">
        <v>18225</v>
      </c>
      <c r="D7201" t="s">
        <v>18225</v>
      </c>
      <c r="E7201" t="s">
        <v>18349</v>
      </c>
    </row>
    <row r="7202" spans="1:5" x14ac:dyDescent="0.2">
      <c r="A7202" t="s">
        <v>18350</v>
      </c>
      <c r="B7202" t="s">
        <v>18351</v>
      </c>
      <c r="C7202" t="s">
        <v>18225</v>
      </c>
      <c r="D7202" t="s">
        <v>18225</v>
      </c>
      <c r="E7202" t="s">
        <v>18352</v>
      </c>
    </row>
    <row r="7203" spans="1:5" x14ac:dyDescent="0.2">
      <c r="A7203" t="s">
        <v>18353</v>
      </c>
      <c r="B7203" t="s">
        <v>18354</v>
      </c>
      <c r="C7203" t="s">
        <v>18225</v>
      </c>
      <c r="D7203" t="s">
        <v>18225</v>
      </c>
      <c r="E7203" t="s">
        <v>18355</v>
      </c>
    </row>
    <row r="7204" spans="1:5" x14ac:dyDescent="0.2">
      <c r="A7204" t="s">
        <v>18356</v>
      </c>
      <c r="B7204" t="s">
        <v>18357</v>
      </c>
      <c r="C7204" t="s">
        <v>18358</v>
      </c>
      <c r="D7204" t="s">
        <v>18358</v>
      </c>
      <c r="E7204" t="s">
        <v>18359</v>
      </c>
    </row>
    <row r="7205" spans="1:5" x14ac:dyDescent="0.2">
      <c r="A7205" t="s">
        <v>18360</v>
      </c>
      <c r="B7205" t="s">
        <v>18361</v>
      </c>
      <c r="C7205" t="s">
        <v>18358</v>
      </c>
      <c r="D7205" t="s">
        <v>18358</v>
      </c>
      <c r="E7205" t="s">
        <v>18362</v>
      </c>
    </row>
    <row r="7206" spans="1:5" x14ac:dyDescent="0.2">
      <c r="A7206" t="s">
        <v>18363</v>
      </c>
      <c r="B7206" t="s">
        <v>18364</v>
      </c>
      <c r="C7206" t="s">
        <v>18358</v>
      </c>
      <c r="D7206" t="s">
        <v>18358</v>
      </c>
      <c r="E7206" t="s">
        <v>18365</v>
      </c>
    </row>
    <row r="7207" spans="1:5" x14ac:dyDescent="0.2">
      <c r="A7207" t="s">
        <v>18366</v>
      </c>
      <c r="B7207" t="s">
        <v>18367</v>
      </c>
      <c r="C7207" t="s">
        <v>18358</v>
      </c>
      <c r="D7207" t="s">
        <v>18358</v>
      </c>
      <c r="E7207" t="s">
        <v>18368</v>
      </c>
    </row>
    <row r="7208" spans="1:5" x14ac:dyDescent="0.2">
      <c r="A7208" t="s">
        <v>18369</v>
      </c>
      <c r="B7208" t="s">
        <v>18370</v>
      </c>
      <c r="C7208" t="s">
        <v>18358</v>
      </c>
      <c r="D7208" t="s">
        <v>18358</v>
      </c>
      <c r="E7208" t="s">
        <v>18371</v>
      </c>
    </row>
    <row r="7209" spans="1:5" x14ac:dyDescent="0.2">
      <c r="A7209" t="s">
        <v>18372</v>
      </c>
      <c r="B7209" t="s">
        <v>18373</v>
      </c>
      <c r="C7209" t="s">
        <v>18358</v>
      </c>
      <c r="D7209" t="s">
        <v>18358</v>
      </c>
      <c r="E7209" t="s">
        <v>18374</v>
      </c>
    </row>
    <row r="7210" spans="1:5" x14ac:dyDescent="0.2">
      <c r="A7210" t="s">
        <v>18375</v>
      </c>
      <c r="B7210" t="s">
        <v>18376</v>
      </c>
      <c r="C7210" t="s">
        <v>18358</v>
      </c>
      <c r="D7210" t="s">
        <v>18358</v>
      </c>
      <c r="E7210" t="s">
        <v>18377</v>
      </c>
    </row>
    <row r="7211" spans="1:5" x14ac:dyDescent="0.2">
      <c r="A7211" t="s">
        <v>18378</v>
      </c>
      <c r="B7211" t="s">
        <v>18379</v>
      </c>
      <c r="C7211" t="s">
        <v>18358</v>
      </c>
      <c r="D7211" t="s">
        <v>18358</v>
      </c>
      <c r="E7211" t="s">
        <v>18371</v>
      </c>
    </row>
    <row r="7212" spans="1:5" x14ac:dyDescent="0.2">
      <c r="A7212" t="s">
        <v>18380</v>
      </c>
      <c r="B7212" t="s">
        <v>18381</v>
      </c>
      <c r="C7212" t="s">
        <v>18358</v>
      </c>
      <c r="D7212" t="s">
        <v>18358</v>
      </c>
      <c r="E7212" t="s">
        <v>18371</v>
      </c>
    </row>
    <row r="7213" spans="1:5" x14ac:dyDescent="0.2">
      <c r="A7213" t="s">
        <v>18382</v>
      </c>
      <c r="B7213" t="s">
        <v>18383</v>
      </c>
      <c r="C7213" t="s">
        <v>18358</v>
      </c>
      <c r="D7213" t="s">
        <v>18358</v>
      </c>
      <c r="E7213" t="s">
        <v>18365</v>
      </c>
    </row>
    <row r="7214" spans="1:5" x14ac:dyDescent="0.2">
      <c r="A7214" t="s">
        <v>18384</v>
      </c>
      <c r="B7214" t="s">
        <v>18385</v>
      </c>
      <c r="C7214" t="s">
        <v>18358</v>
      </c>
      <c r="D7214" t="s">
        <v>18358</v>
      </c>
      <c r="E7214" t="s">
        <v>18362</v>
      </c>
    </row>
    <row r="7215" spans="1:5" x14ac:dyDescent="0.2">
      <c r="A7215" t="s">
        <v>18386</v>
      </c>
      <c r="B7215" t="s">
        <v>18387</v>
      </c>
      <c r="C7215" t="s">
        <v>18358</v>
      </c>
      <c r="D7215" t="s">
        <v>18358</v>
      </c>
      <c r="E7215" t="s">
        <v>18365</v>
      </c>
    </row>
    <row r="7216" spans="1:5" x14ac:dyDescent="0.2">
      <c r="A7216" t="s">
        <v>18388</v>
      </c>
      <c r="B7216" t="s">
        <v>18389</v>
      </c>
      <c r="C7216" t="s">
        <v>18358</v>
      </c>
      <c r="D7216" t="s">
        <v>18358</v>
      </c>
      <c r="E7216" t="s">
        <v>18362</v>
      </c>
    </row>
    <row r="7217" spans="1:5" x14ac:dyDescent="0.2">
      <c r="A7217" t="s">
        <v>18390</v>
      </c>
      <c r="B7217" t="s">
        <v>18391</v>
      </c>
      <c r="C7217" t="s">
        <v>18358</v>
      </c>
      <c r="D7217" t="s">
        <v>18358</v>
      </c>
      <c r="E7217" t="s">
        <v>18371</v>
      </c>
    </row>
    <row r="7218" spans="1:5" x14ac:dyDescent="0.2">
      <c r="A7218" t="s">
        <v>18392</v>
      </c>
      <c r="B7218" t="s">
        <v>18393</v>
      </c>
      <c r="C7218" t="s">
        <v>18358</v>
      </c>
      <c r="D7218" t="s">
        <v>18358</v>
      </c>
      <c r="E7218" t="s">
        <v>18362</v>
      </c>
    </row>
    <row r="7219" spans="1:5" x14ac:dyDescent="0.2">
      <c r="A7219" t="s">
        <v>18394</v>
      </c>
      <c r="B7219" t="s">
        <v>18395</v>
      </c>
      <c r="C7219" t="s">
        <v>18358</v>
      </c>
      <c r="D7219" t="s">
        <v>18358</v>
      </c>
      <c r="E7219" t="s">
        <v>18371</v>
      </c>
    </row>
    <row r="7220" spans="1:5" x14ac:dyDescent="0.2">
      <c r="A7220" t="s">
        <v>18396</v>
      </c>
      <c r="B7220" t="s">
        <v>18397</v>
      </c>
      <c r="C7220" t="s">
        <v>18358</v>
      </c>
      <c r="D7220" t="s">
        <v>18358</v>
      </c>
      <c r="E7220" t="s">
        <v>18398</v>
      </c>
    </row>
    <row r="7221" spans="1:5" x14ac:dyDescent="0.2">
      <c r="A7221" t="s">
        <v>18399</v>
      </c>
      <c r="B7221" t="s">
        <v>18400</v>
      </c>
      <c r="C7221" t="s">
        <v>18358</v>
      </c>
      <c r="D7221" t="s">
        <v>18358</v>
      </c>
      <c r="E7221" t="s">
        <v>18401</v>
      </c>
    </row>
    <row r="7222" spans="1:5" x14ac:dyDescent="0.2">
      <c r="A7222" t="s">
        <v>18402</v>
      </c>
      <c r="B7222" t="s">
        <v>18403</v>
      </c>
      <c r="C7222" t="s">
        <v>18358</v>
      </c>
      <c r="D7222" t="s">
        <v>18358</v>
      </c>
      <c r="E7222" t="s">
        <v>18404</v>
      </c>
    </row>
    <row r="7223" spans="1:5" x14ac:dyDescent="0.2">
      <c r="A7223" t="s">
        <v>18405</v>
      </c>
      <c r="B7223" t="s">
        <v>18406</v>
      </c>
      <c r="C7223" t="s">
        <v>18358</v>
      </c>
      <c r="D7223" t="s">
        <v>18358</v>
      </c>
      <c r="E7223" t="s">
        <v>18407</v>
      </c>
    </row>
    <row r="7224" spans="1:5" x14ac:dyDescent="0.2">
      <c r="A7224" t="s">
        <v>18408</v>
      </c>
      <c r="B7224" t="s">
        <v>18409</v>
      </c>
      <c r="C7224" t="s">
        <v>18358</v>
      </c>
      <c r="D7224" t="s">
        <v>18358</v>
      </c>
      <c r="E7224" t="s">
        <v>18410</v>
      </c>
    </row>
    <row r="7225" spans="1:5" x14ac:dyDescent="0.2">
      <c r="A7225" t="s">
        <v>18411</v>
      </c>
      <c r="B7225" t="s">
        <v>18412</v>
      </c>
      <c r="C7225" t="s">
        <v>18358</v>
      </c>
      <c r="D7225" t="s">
        <v>18358</v>
      </c>
      <c r="E7225" t="s">
        <v>18365</v>
      </c>
    </row>
    <row r="7226" spans="1:5" x14ac:dyDescent="0.2">
      <c r="A7226" t="s">
        <v>18413</v>
      </c>
      <c r="B7226" t="s">
        <v>18414</v>
      </c>
      <c r="C7226" t="s">
        <v>18358</v>
      </c>
      <c r="D7226" t="s">
        <v>18358</v>
      </c>
      <c r="E7226" t="s">
        <v>18365</v>
      </c>
    </row>
    <row r="7227" spans="1:5" x14ac:dyDescent="0.2">
      <c r="A7227" t="s">
        <v>18415</v>
      </c>
      <c r="B7227" t="s">
        <v>18416</v>
      </c>
      <c r="C7227" t="s">
        <v>18358</v>
      </c>
      <c r="D7227" t="s">
        <v>18358</v>
      </c>
      <c r="E7227" t="s">
        <v>18417</v>
      </c>
    </row>
    <row r="7228" spans="1:5" x14ac:dyDescent="0.2">
      <c r="A7228" t="s">
        <v>18418</v>
      </c>
      <c r="B7228" t="s">
        <v>18419</v>
      </c>
      <c r="C7228" t="s">
        <v>18358</v>
      </c>
      <c r="D7228" t="s">
        <v>18358</v>
      </c>
      <c r="E7228" t="s">
        <v>18420</v>
      </c>
    </row>
    <row r="7229" spans="1:5" x14ac:dyDescent="0.2">
      <c r="A7229" t="s">
        <v>18421</v>
      </c>
      <c r="B7229" t="s">
        <v>18422</v>
      </c>
      <c r="C7229" t="s">
        <v>18358</v>
      </c>
      <c r="D7229" t="s">
        <v>18358</v>
      </c>
      <c r="E7229" t="s">
        <v>18365</v>
      </c>
    </row>
    <row r="7230" spans="1:5" x14ac:dyDescent="0.2">
      <c r="A7230" t="s">
        <v>18423</v>
      </c>
      <c r="B7230" t="s">
        <v>18424</v>
      </c>
      <c r="C7230" t="s">
        <v>18358</v>
      </c>
      <c r="D7230" t="s">
        <v>18358</v>
      </c>
      <c r="E7230" t="s">
        <v>18362</v>
      </c>
    </row>
    <row r="7231" spans="1:5" x14ac:dyDescent="0.2">
      <c r="A7231" t="s">
        <v>18425</v>
      </c>
      <c r="B7231" t="s">
        <v>18426</v>
      </c>
      <c r="C7231" t="s">
        <v>18358</v>
      </c>
      <c r="D7231" t="s">
        <v>18358</v>
      </c>
      <c r="E7231" t="s">
        <v>18371</v>
      </c>
    </row>
    <row r="7232" spans="1:5" x14ac:dyDescent="0.2">
      <c r="A7232" t="s">
        <v>18427</v>
      </c>
      <c r="B7232" t="s">
        <v>18428</v>
      </c>
      <c r="C7232" t="s">
        <v>18358</v>
      </c>
      <c r="D7232" t="s">
        <v>18358</v>
      </c>
      <c r="E7232" t="s">
        <v>18429</v>
      </c>
    </row>
    <row r="7233" spans="1:5" x14ac:dyDescent="0.2">
      <c r="A7233" t="s">
        <v>18430</v>
      </c>
      <c r="B7233" t="s">
        <v>18431</v>
      </c>
      <c r="C7233" t="s">
        <v>18358</v>
      </c>
      <c r="D7233" t="s">
        <v>18358</v>
      </c>
      <c r="E7233" t="s">
        <v>18365</v>
      </c>
    </row>
    <row r="7234" spans="1:5" x14ac:dyDescent="0.2">
      <c r="A7234" t="s">
        <v>18432</v>
      </c>
      <c r="B7234" t="s">
        <v>18433</v>
      </c>
      <c r="C7234" t="s">
        <v>18358</v>
      </c>
      <c r="D7234" t="s">
        <v>18358</v>
      </c>
      <c r="E7234" t="s">
        <v>18362</v>
      </c>
    </row>
    <row r="7235" spans="1:5" x14ac:dyDescent="0.2">
      <c r="A7235" t="s">
        <v>18434</v>
      </c>
      <c r="B7235" t="s">
        <v>18435</v>
      </c>
      <c r="C7235" t="s">
        <v>18358</v>
      </c>
      <c r="D7235" t="s">
        <v>18358</v>
      </c>
      <c r="E7235" t="s">
        <v>18371</v>
      </c>
    </row>
    <row r="7236" spans="1:5" x14ac:dyDescent="0.2">
      <c r="A7236" t="s">
        <v>18436</v>
      </c>
      <c r="B7236" t="s">
        <v>18437</v>
      </c>
      <c r="C7236" t="s">
        <v>18358</v>
      </c>
      <c r="D7236" t="s">
        <v>18358</v>
      </c>
      <c r="E7236" t="s">
        <v>18362</v>
      </c>
    </row>
    <row r="7237" spans="1:5" x14ac:dyDescent="0.2">
      <c r="A7237" t="s">
        <v>18438</v>
      </c>
      <c r="B7237" t="s">
        <v>18439</v>
      </c>
      <c r="C7237" t="s">
        <v>18358</v>
      </c>
      <c r="D7237" t="s">
        <v>18358</v>
      </c>
      <c r="E7237" t="s">
        <v>18371</v>
      </c>
    </row>
    <row r="7238" spans="1:5" x14ac:dyDescent="0.2">
      <c r="A7238" t="s">
        <v>18440</v>
      </c>
      <c r="B7238" t="s">
        <v>18441</v>
      </c>
      <c r="C7238" t="s">
        <v>18358</v>
      </c>
      <c r="D7238" t="s">
        <v>18358</v>
      </c>
      <c r="E7238" t="s">
        <v>18362</v>
      </c>
    </row>
    <row r="7239" spans="1:5" x14ac:dyDescent="0.2">
      <c r="A7239" t="s">
        <v>18442</v>
      </c>
      <c r="B7239" t="s">
        <v>18443</v>
      </c>
      <c r="C7239" t="s">
        <v>18358</v>
      </c>
      <c r="D7239" t="s">
        <v>18358</v>
      </c>
      <c r="E7239" t="s">
        <v>18371</v>
      </c>
    </row>
    <row r="7240" spans="1:5" x14ac:dyDescent="0.2">
      <c r="A7240" t="s">
        <v>18444</v>
      </c>
      <c r="B7240" t="s">
        <v>18445</v>
      </c>
      <c r="C7240" t="s">
        <v>18358</v>
      </c>
      <c r="D7240" t="s">
        <v>18358</v>
      </c>
      <c r="E7240" t="s">
        <v>18446</v>
      </c>
    </row>
    <row r="7241" spans="1:5" x14ac:dyDescent="0.2">
      <c r="A7241" t="s">
        <v>18447</v>
      </c>
      <c r="B7241" t="s">
        <v>18448</v>
      </c>
      <c r="C7241" t="s">
        <v>18358</v>
      </c>
      <c r="D7241" t="s">
        <v>18358</v>
      </c>
      <c r="E7241" t="s">
        <v>18449</v>
      </c>
    </row>
    <row r="7242" spans="1:5" x14ac:dyDescent="0.2">
      <c r="A7242" t="s">
        <v>18450</v>
      </c>
      <c r="B7242" t="s">
        <v>18451</v>
      </c>
      <c r="C7242" t="s">
        <v>18358</v>
      </c>
      <c r="D7242" t="s">
        <v>18358</v>
      </c>
      <c r="E7242" t="s">
        <v>18365</v>
      </c>
    </row>
    <row r="7243" spans="1:5" x14ac:dyDescent="0.2">
      <c r="A7243" t="s">
        <v>18452</v>
      </c>
      <c r="B7243" t="s">
        <v>18453</v>
      </c>
      <c r="C7243" t="s">
        <v>18358</v>
      </c>
      <c r="D7243" t="s">
        <v>18358</v>
      </c>
      <c r="E7243" t="s">
        <v>18365</v>
      </c>
    </row>
    <row r="7244" spans="1:5" x14ac:dyDescent="0.2">
      <c r="A7244" t="s">
        <v>18454</v>
      </c>
      <c r="B7244" t="s">
        <v>18455</v>
      </c>
      <c r="C7244" t="s">
        <v>18358</v>
      </c>
      <c r="D7244" t="s">
        <v>18358</v>
      </c>
      <c r="E7244" t="s">
        <v>18362</v>
      </c>
    </row>
    <row r="7245" spans="1:5" x14ac:dyDescent="0.2">
      <c r="A7245" t="s">
        <v>18456</v>
      </c>
      <c r="B7245" t="s">
        <v>18457</v>
      </c>
      <c r="C7245" t="s">
        <v>18358</v>
      </c>
      <c r="D7245" t="s">
        <v>18358</v>
      </c>
      <c r="E7245" t="s">
        <v>18417</v>
      </c>
    </row>
    <row r="7246" spans="1:5" x14ac:dyDescent="0.2">
      <c r="A7246" t="s">
        <v>18458</v>
      </c>
      <c r="B7246" t="s">
        <v>18459</v>
      </c>
      <c r="C7246" t="s">
        <v>18358</v>
      </c>
      <c r="D7246" t="s">
        <v>18358</v>
      </c>
      <c r="E7246" t="s">
        <v>18362</v>
      </c>
    </row>
    <row r="7247" spans="1:5" x14ac:dyDescent="0.2">
      <c r="A7247" t="s">
        <v>18460</v>
      </c>
      <c r="B7247" t="s">
        <v>18461</v>
      </c>
      <c r="C7247" t="s">
        <v>18358</v>
      </c>
      <c r="D7247" t="s">
        <v>18358</v>
      </c>
      <c r="E7247" t="s">
        <v>18462</v>
      </c>
    </row>
    <row r="7248" spans="1:5" x14ac:dyDescent="0.2">
      <c r="A7248" t="s">
        <v>18463</v>
      </c>
      <c r="B7248" t="s">
        <v>18464</v>
      </c>
      <c r="C7248" t="s">
        <v>18358</v>
      </c>
      <c r="D7248" t="s">
        <v>18358</v>
      </c>
      <c r="E7248" t="s">
        <v>18465</v>
      </c>
    </row>
    <row r="7249" spans="1:5" x14ac:dyDescent="0.2">
      <c r="A7249" t="s">
        <v>18466</v>
      </c>
      <c r="B7249" t="s">
        <v>18467</v>
      </c>
      <c r="C7249" t="s">
        <v>18358</v>
      </c>
      <c r="D7249" t="s">
        <v>18358</v>
      </c>
      <c r="E7249" t="s">
        <v>18468</v>
      </c>
    </row>
    <row r="7250" spans="1:5" x14ac:dyDescent="0.2">
      <c r="A7250" t="s">
        <v>18469</v>
      </c>
      <c r="B7250" t="s">
        <v>18470</v>
      </c>
      <c r="C7250" t="s">
        <v>18358</v>
      </c>
      <c r="D7250" t="s">
        <v>18358</v>
      </c>
      <c r="E7250" t="s">
        <v>18471</v>
      </c>
    </row>
    <row r="7251" spans="1:5" x14ac:dyDescent="0.2">
      <c r="A7251" t="s">
        <v>18472</v>
      </c>
      <c r="B7251" t="s">
        <v>18473</v>
      </c>
      <c r="C7251" t="s">
        <v>18358</v>
      </c>
      <c r="D7251" t="s">
        <v>18358</v>
      </c>
      <c r="E7251" t="s">
        <v>18371</v>
      </c>
    </row>
    <row r="7252" spans="1:5" x14ac:dyDescent="0.2">
      <c r="A7252" t="s">
        <v>18474</v>
      </c>
      <c r="B7252" t="s">
        <v>18475</v>
      </c>
      <c r="C7252" t="s">
        <v>18358</v>
      </c>
      <c r="D7252" t="s">
        <v>18358</v>
      </c>
      <c r="E7252" t="s">
        <v>18476</v>
      </c>
    </row>
    <row r="7253" spans="1:5" x14ac:dyDescent="0.2">
      <c r="A7253" t="s">
        <v>18477</v>
      </c>
      <c r="B7253" t="s">
        <v>18478</v>
      </c>
      <c r="C7253" t="s">
        <v>18358</v>
      </c>
      <c r="D7253" t="s">
        <v>18358</v>
      </c>
      <c r="E7253" t="s">
        <v>18362</v>
      </c>
    </row>
    <row r="7254" spans="1:5" x14ac:dyDescent="0.2">
      <c r="A7254" t="s">
        <v>18479</v>
      </c>
      <c r="B7254" t="s">
        <v>18480</v>
      </c>
      <c r="C7254" t="s">
        <v>18358</v>
      </c>
      <c r="D7254" t="s">
        <v>18358</v>
      </c>
      <c r="E7254" t="s">
        <v>18481</v>
      </c>
    </row>
    <row r="7255" spans="1:5" x14ac:dyDescent="0.2">
      <c r="A7255" t="s">
        <v>18482</v>
      </c>
      <c r="B7255" t="s">
        <v>18483</v>
      </c>
      <c r="C7255" t="s">
        <v>18358</v>
      </c>
      <c r="D7255" t="s">
        <v>18358</v>
      </c>
      <c r="E7255" t="s">
        <v>18484</v>
      </c>
    </row>
    <row r="7256" spans="1:5" x14ac:dyDescent="0.2">
      <c r="A7256" t="s">
        <v>18485</v>
      </c>
      <c r="B7256" t="s">
        <v>18486</v>
      </c>
      <c r="C7256" t="s">
        <v>18358</v>
      </c>
      <c r="D7256" t="s">
        <v>18358</v>
      </c>
      <c r="E7256" t="s">
        <v>18362</v>
      </c>
    </row>
    <row r="7257" spans="1:5" x14ac:dyDescent="0.2">
      <c r="A7257" t="s">
        <v>18487</v>
      </c>
      <c r="B7257" t="s">
        <v>18488</v>
      </c>
      <c r="C7257" t="s">
        <v>18358</v>
      </c>
      <c r="D7257" t="s">
        <v>18358</v>
      </c>
      <c r="E7257" t="s">
        <v>18371</v>
      </c>
    </row>
    <row r="7258" spans="1:5" x14ac:dyDescent="0.2">
      <c r="A7258" t="s">
        <v>18489</v>
      </c>
      <c r="B7258" t="s">
        <v>18490</v>
      </c>
      <c r="C7258" t="s">
        <v>18358</v>
      </c>
      <c r="D7258" t="s">
        <v>18358</v>
      </c>
      <c r="E7258" t="s">
        <v>18481</v>
      </c>
    </row>
    <row r="7259" spans="1:5" x14ac:dyDescent="0.2">
      <c r="A7259" t="s">
        <v>18491</v>
      </c>
      <c r="B7259" t="s">
        <v>18492</v>
      </c>
      <c r="C7259" t="s">
        <v>18358</v>
      </c>
      <c r="D7259" t="s">
        <v>18358</v>
      </c>
      <c r="E7259" t="s">
        <v>18362</v>
      </c>
    </row>
    <row r="7260" spans="1:5" x14ac:dyDescent="0.2">
      <c r="A7260" t="s">
        <v>18493</v>
      </c>
      <c r="B7260" t="s">
        <v>18494</v>
      </c>
      <c r="C7260" t="s">
        <v>18358</v>
      </c>
      <c r="D7260" t="s">
        <v>18358</v>
      </c>
      <c r="E7260" t="s">
        <v>18371</v>
      </c>
    </row>
    <row r="7261" spans="1:5" x14ac:dyDescent="0.2">
      <c r="A7261" t="s">
        <v>18495</v>
      </c>
      <c r="B7261" t="s">
        <v>18496</v>
      </c>
      <c r="C7261" t="s">
        <v>18358</v>
      </c>
      <c r="D7261" t="s">
        <v>18358</v>
      </c>
      <c r="E7261" t="s">
        <v>18365</v>
      </c>
    </row>
    <row r="7262" spans="1:5" x14ac:dyDescent="0.2">
      <c r="A7262" t="s">
        <v>18497</v>
      </c>
      <c r="B7262" t="s">
        <v>18498</v>
      </c>
      <c r="C7262" t="s">
        <v>18358</v>
      </c>
      <c r="D7262" t="s">
        <v>18358</v>
      </c>
      <c r="E7262" t="s">
        <v>18446</v>
      </c>
    </row>
    <row r="7263" spans="1:5" x14ac:dyDescent="0.2">
      <c r="A7263" t="s">
        <v>18499</v>
      </c>
      <c r="B7263" t="s">
        <v>18500</v>
      </c>
      <c r="C7263" t="s">
        <v>18358</v>
      </c>
      <c r="D7263" t="s">
        <v>18358</v>
      </c>
      <c r="E7263" t="s">
        <v>18365</v>
      </c>
    </row>
    <row r="7264" spans="1:5" x14ac:dyDescent="0.2">
      <c r="A7264" t="s">
        <v>18501</v>
      </c>
      <c r="B7264" t="s">
        <v>18502</v>
      </c>
      <c r="C7264" t="s">
        <v>18358</v>
      </c>
      <c r="D7264" t="s">
        <v>18358</v>
      </c>
      <c r="E7264" t="s">
        <v>18365</v>
      </c>
    </row>
    <row r="7265" spans="1:5" x14ac:dyDescent="0.2">
      <c r="A7265" t="s">
        <v>18503</v>
      </c>
      <c r="B7265" t="s">
        <v>18504</v>
      </c>
      <c r="C7265" t="s">
        <v>18358</v>
      </c>
      <c r="D7265" t="s">
        <v>18358</v>
      </c>
      <c r="E7265" t="s">
        <v>18505</v>
      </c>
    </row>
    <row r="7266" spans="1:5" x14ac:dyDescent="0.2">
      <c r="A7266" t="s">
        <v>18506</v>
      </c>
      <c r="B7266" t="s">
        <v>18507</v>
      </c>
      <c r="C7266" t="s">
        <v>18358</v>
      </c>
      <c r="D7266" t="s">
        <v>18358</v>
      </c>
      <c r="E7266" t="s">
        <v>18371</v>
      </c>
    </row>
    <row r="7267" spans="1:5" x14ac:dyDescent="0.2">
      <c r="A7267" t="s">
        <v>18508</v>
      </c>
      <c r="B7267" t="s">
        <v>18509</v>
      </c>
      <c r="C7267" t="s">
        <v>18358</v>
      </c>
      <c r="D7267" t="s">
        <v>18358</v>
      </c>
      <c r="E7267" t="s">
        <v>18371</v>
      </c>
    </row>
    <row r="7268" spans="1:5" x14ac:dyDescent="0.2">
      <c r="A7268" t="s">
        <v>18510</v>
      </c>
      <c r="B7268" t="s">
        <v>18511</v>
      </c>
      <c r="C7268" t="s">
        <v>18358</v>
      </c>
      <c r="D7268" t="s">
        <v>18358</v>
      </c>
      <c r="E7268" t="s">
        <v>18512</v>
      </c>
    </row>
    <row r="7269" spans="1:5" x14ac:dyDescent="0.2">
      <c r="A7269" t="s">
        <v>18513</v>
      </c>
      <c r="B7269" t="s">
        <v>18514</v>
      </c>
      <c r="C7269" t="s">
        <v>18358</v>
      </c>
      <c r="D7269" t="s">
        <v>18358</v>
      </c>
      <c r="E7269" t="s">
        <v>18362</v>
      </c>
    </row>
    <row r="7270" spans="1:5" x14ac:dyDescent="0.2">
      <c r="A7270" t="s">
        <v>18515</v>
      </c>
      <c r="B7270" t="s">
        <v>18516</v>
      </c>
      <c r="C7270" t="s">
        <v>18358</v>
      </c>
      <c r="D7270" t="s">
        <v>18358</v>
      </c>
      <c r="E7270" t="s">
        <v>18517</v>
      </c>
    </row>
    <row r="7271" spans="1:5" x14ac:dyDescent="0.2">
      <c r="A7271" t="s">
        <v>18518</v>
      </c>
      <c r="B7271" t="s">
        <v>18519</v>
      </c>
      <c r="C7271" t="s">
        <v>18358</v>
      </c>
      <c r="D7271" t="s">
        <v>18358</v>
      </c>
      <c r="E7271" t="s">
        <v>18371</v>
      </c>
    </row>
    <row r="7272" spans="1:5" x14ac:dyDescent="0.2">
      <c r="A7272" t="s">
        <v>18520</v>
      </c>
      <c r="B7272" t="s">
        <v>18521</v>
      </c>
      <c r="C7272" t="s">
        <v>18358</v>
      </c>
      <c r="D7272" t="s">
        <v>18358</v>
      </c>
      <c r="E7272" t="s">
        <v>18522</v>
      </c>
    </row>
    <row r="7273" spans="1:5" x14ac:dyDescent="0.2">
      <c r="A7273" t="s">
        <v>18523</v>
      </c>
      <c r="B7273" t="s">
        <v>18524</v>
      </c>
      <c r="C7273" t="s">
        <v>18358</v>
      </c>
      <c r="D7273" t="s">
        <v>18358</v>
      </c>
      <c r="E7273" t="s">
        <v>18365</v>
      </c>
    </row>
    <row r="7274" spans="1:5" x14ac:dyDescent="0.2">
      <c r="A7274" t="s">
        <v>18525</v>
      </c>
      <c r="B7274" t="s">
        <v>18526</v>
      </c>
      <c r="C7274" t="s">
        <v>18358</v>
      </c>
      <c r="D7274" t="s">
        <v>18358</v>
      </c>
      <c r="E7274" t="s">
        <v>18527</v>
      </c>
    </row>
    <row r="7275" spans="1:5" x14ac:dyDescent="0.2">
      <c r="A7275" t="s">
        <v>18528</v>
      </c>
      <c r="B7275" t="s">
        <v>18529</v>
      </c>
      <c r="C7275" t="s">
        <v>18358</v>
      </c>
      <c r="D7275" t="s">
        <v>18358</v>
      </c>
      <c r="E7275" t="s">
        <v>18371</v>
      </c>
    </row>
    <row r="7276" spans="1:5" x14ac:dyDescent="0.2">
      <c r="A7276" t="s">
        <v>18530</v>
      </c>
      <c r="B7276" t="s">
        <v>18531</v>
      </c>
      <c r="C7276" t="s">
        <v>18358</v>
      </c>
      <c r="D7276" t="s">
        <v>18358</v>
      </c>
      <c r="E7276" t="s">
        <v>18365</v>
      </c>
    </row>
    <row r="7277" spans="1:5" x14ac:dyDescent="0.2">
      <c r="A7277" t="s">
        <v>18532</v>
      </c>
      <c r="B7277" t="s">
        <v>18533</v>
      </c>
      <c r="C7277" t="s">
        <v>18358</v>
      </c>
      <c r="D7277" t="s">
        <v>18358</v>
      </c>
      <c r="E7277" t="s">
        <v>18362</v>
      </c>
    </row>
    <row r="7278" spans="1:5" x14ac:dyDescent="0.2">
      <c r="A7278" t="s">
        <v>18534</v>
      </c>
      <c r="B7278" t="s">
        <v>18535</v>
      </c>
      <c r="C7278" t="s">
        <v>18358</v>
      </c>
      <c r="D7278" t="s">
        <v>18358</v>
      </c>
      <c r="E7278" t="s">
        <v>18362</v>
      </c>
    </row>
    <row r="7279" spans="1:5" x14ac:dyDescent="0.2">
      <c r="A7279" t="s">
        <v>18536</v>
      </c>
      <c r="B7279" t="s">
        <v>18537</v>
      </c>
      <c r="C7279" t="s">
        <v>18358</v>
      </c>
      <c r="D7279" t="s">
        <v>18358</v>
      </c>
      <c r="E7279" t="s">
        <v>18371</v>
      </c>
    </row>
    <row r="7280" spans="1:5" x14ac:dyDescent="0.2">
      <c r="A7280" t="s">
        <v>18538</v>
      </c>
      <c r="B7280" t="s">
        <v>18539</v>
      </c>
      <c r="C7280" t="s">
        <v>18358</v>
      </c>
      <c r="D7280" t="s">
        <v>18358</v>
      </c>
      <c r="E7280" t="s">
        <v>18365</v>
      </c>
    </row>
    <row r="7281" spans="1:5" x14ac:dyDescent="0.2">
      <c r="A7281" t="s">
        <v>18540</v>
      </c>
      <c r="B7281" t="s">
        <v>18541</v>
      </c>
      <c r="C7281" t="s">
        <v>18358</v>
      </c>
      <c r="D7281" t="s">
        <v>18358</v>
      </c>
      <c r="E7281" t="s">
        <v>18371</v>
      </c>
    </row>
    <row r="7282" spans="1:5" x14ac:dyDescent="0.2">
      <c r="A7282" t="s">
        <v>18542</v>
      </c>
      <c r="B7282" t="s">
        <v>18543</v>
      </c>
      <c r="C7282" t="s">
        <v>18358</v>
      </c>
      <c r="D7282" t="s">
        <v>18358</v>
      </c>
      <c r="E7282" t="s">
        <v>18544</v>
      </c>
    </row>
    <row r="7283" spans="1:5" x14ac:dyDescent="0.2">
      <c r="A7283" t="s">
        <v>18545</v>
      </c>
      <c r="B7283" t="s">
        <v>18546</v>
      </c>
      <c r="C7283" t="s">
        <v>18358</v>
      </c>
      <c r="D7283" t="s">
        <v>18358</v>
      </c>
      <c r="E7283" t="s">
        <v>17890</v>
      </c>
    </row>
    <row r="7284" spans="1:5" x14ac:dyDescent="0.2">
      <c r="A7284" t="s">
        <v>18547</v>
      </c>
      <c r="B7284" t="s">
        <v>18548</v>
      </c>
      <c r="C7284" t="s">
        <v>18358</v>
      </c>
      <c r="D7284" t="s">
        <v>18358</v>
      </c>
      <c r="E7284" t="s">
        <v>18549</v>
      </c>
    </row>
    <row r="7285" spans="1:5" x14ac:dyDescent="0.2">
      <c r="A7285" t="s">
        <v>18550</v>
      </c>
      <c r="B7285" t="s">
        <v>18551</v>
      </c>
      <c r="C7285" t="s">
        <v>18358</v>
      </c>
      <c r="D7285" t="s">
        <v>18358</v>
      </c>
      <c r="E7285" t="s">
        <v>17890</v>
      </c>
    </row>
    <row r="7286" spans="1:5" x14ac:dyDescent="0.2">
      <c r="A7286" t="s">
        <v>18552</v>
      </c>
      <c r="B7286" t="s">
        <v>18553</v>
      </c>
      <c r="C7286" t="s">
        <v>18358</v>
      </c>
      <c r="D7286" t="s">
        <v>18358</v>
      </c>
      <c r="E7286" t="s">
        <v>18554</v>
      </c>
    </row>
    <row r="7287" spans="1:5" x14ac:dyDescent="0.2">
      <c r="A7287" t="s">
        <v>18555</v>
      </c>
      <c r="B7287" t="s">
        <v>18556</v>
      </c>
      <c r="C7287" t="s">
        <v>18358</v>
      </c>
      <c r="D7287" t="s">
        <v>18358</v>
      </c>
      <c r="E7287" t="s">
        <v>17890</v>
      </c>
    </row>
    <row r="7288" spans="1:5" x14ac:dyDescent="0.2">
      <c r="A7288" t="s">
        <v>18557</v>
      </c>
      <c r="B7288" t="s">
        <v>18558</v>
      </c>
      <c r="C7288" t="s">
        <v>18358</v>
      </c>
      <c r="D7288" t="s">
        <v>18358</v>
      </c>
      <c r="E7288" t="s">
        <v>17890</v>
      </c>
    </row>
    <row r="7289" spans="1:5" x14ac:dyDescent="0.2">
      <c r="A7289" t="s">
        <v>18559</v>
      </c>
      <c r="B7289" t="s">
        <v>18560</v>
      </c>
      <c r="C7289" t="s">
        <v>18358</v>
      </c>
      <c r="D7289" t="s">
        <v>18358</v>
      </c>
      <c r="E7289" t="s">
        <v>17890</v>
      </c>
    </row>
    <row r="7290" spans="1:5" x14ac:dyDescent="0.2">
      <c r="A7290" t="s">
        <v>18561</v>
      </c>
      <c r="B7290" t="s">
        <v>18562</v>
      </c>
      <c r="C7290" t="s">
        <v>18358</v>
      </c>
      <c r="D7290" t="s">
        <v>18358</v>
      </c>
      <c r="E7290" t="s">
        <v>17890</v>
      </c>
    </row>
    <row r="7291" spans="1:5" x14ac:dyDescent="0.2">
      <c r="A7291" t="s">
        <v>18563</v>
      </c>
      <c r="B7291" t="s">
        <v>18564</v>
      </c>
      <c r="C7291" t="s">
        <v>18565</v>
      </c>
      <c r="D7291" t="s">
        <v>18565</v>
      </c>
      <c r="E7291" t="s">
        <v>18566</v>
      </c>
    </row>
    <row r="7292" spans="1:5" x14ac:dyDescent="0.2">
      <c r="A7292" t="s">
        <v>18567</v>
      </c>
      <c r="B7292" t="s">
        <v>18568</v>
      </c>
      <c r="C7292" t="s">
        <v>18565</v>
      </c>
      <c r="D7292" t="s">
        <v>18565</v>
      </c>
      <c r="E7292" t="s">
        <v>18569</v>
      </c>
    </row>
    <row r="7293" spans="1:5" x14ac:dyDescent="0.2">
      <c r="A7293" t="s">
        <v>18570</v>
      </c>
      <c r="B7293" t="s">
        <v>18571</v>
      </c>
      <c r="C7293" t="s">
        <v>18565</v>
      </c>
      <c r="D7293" t="s">
        <v>18565</v>
      </c>
      <c r="E7293" t="s">
        <v>18572</v>
      </c>
    </row>
    <row r="7294" spans="1:5" x14ac:dyDescent="0.2">
      <c r="A7294" t="s">
        <v>18573</v>
      </c>
      <c r="B7294" t="s">
        <v>18574</v>
      </c>
      <c r="C7294" t="s">
        <v>18565</v>
      </c>
      <c r="D7294" t="s">
        <v>18565</v>
      </c>
      <c r="E7294" t="s">
        <v>18575</v>
      </c>
    </row>
    <row r="7295" spans="1:5" x14ac:dyDescent="0.2">
      <c r="A7295" t="s">
        <v>18576</v>
      </c>
      <c r="B7295" t="s">
        <v>18577</v>
      </c>
      <c r="C7295" t="s">
        <v>18565</v>
      </c>
      <c r="D7295" t="s">
        <v>18565</v>
      </c>
      <c r="E7295" t="s">
        <v>18578</v>
      </c>
    </row>
    <row r="7296" spans="1:5" x14ac:dyDescent="0.2">
      <c r="A7296" t="s">
        <v>18579</v>
      </c>
      <c r="B7296" t="s">
        <v>18580</v>
      </c>
      <c r="C7296" t="s">
        <v>18565</v>
      </c>
      <c r="D7296" t="s">
        <v>18565</v>
      </c>
      <c r="E7296" t="s">
        <v>18581</v>
      </c>
    </row>
    <row r="7297" spans="1:5" x14ac:dyDescent="0.2">
      <c r="A7297" t="s">
        <v>18582</v>
      </c>
      <c r="B7297" t="s">
        <v>18583</v>
      </c>
      <c r="C7297" t="s">
        <v>18565</v>
      </c>
      <c r="D7297" t="s">
        <v>18565</v>
      </c>
      <c r="E7297" t="s">
        <v>18584</v>
      </c>
    </row>
    <row r="7298" spans="1:5" x14ac:dyDescent="0.2">
      <c r="A7298" t="s">
        <v>18585</v>
      </c>
      <c r="B7298" t="s">
        <v>18586</v>
      </c>
      <c r="C7298" t="s">
        <v>18565</v>
      </c>
      <c r="D7298" t="s">
        <v>18565</v>
      </c>
      <c r="E7298" t="s">
        <v>18587</v>
      </c>
    </row>
    <row r="7299" spans="1:5" x14ac:dyDescent="0.2">
      <c r="A7299" t="s">
        <v>18588</v>
      </c>
      <c r="B7299" t="s">
        <v>18589</v>
      </c>
      <c r="C7299" t="s">
        <v>18565</v>
      </c>
      <c r="D7299" t="s">
        <v>18565</v>
      </c>
      <c r="E7299" t="s">
        <v>18587</v>
      </c>
    </row>
    <row r="7300" spans="1:5" x14ac:dyDescent="0.2">
      <c r="A7300" t="s">
        <v>18590</v>
      </c>
      <c r="B7300" t="s">
        <v>18591</v>
      </c>
      <c r="C7300" t="s">
        <v>18565</v>
      </c>
      <c r="D7300" t="s">
        <v>18565</v>
      </c>
      <c r="E7300" t="s">
        <v>18592</v>
      </c>
    </row>
    <row r="7301" spans="1:5" x14ac:dyDescent="0.2">
      <c r="A7301" t="s">
        <v>18593</v>
      </c>
      <c r="B7301" t="s">
        <v>18594</v>
      </c>
      <c r="C7301" t="s">
        <v>18565</v>
      </c>
      <c r="D7301" t="s">
        <v>18565</v>
      </c>
      <c r="E7301" t="s">
        <v>18595</v>
      </c>
    </row>
    <row r="7302" spans="1:5" x14ac:dyDescent="0.2">
      <c r="A7302" t="s">
        <v>18596</v>
      </c>
      <c r="B7302" t="s">
        <v>18597</v>
      </c>
      <c r="C7302" t="s">
        <v>18565</v>
      </c>
      <c r="D7302" t="s">
        <v>18565</v>
      </c>
      <c r="E7302" t="s">
        <v>18598</v>
      </c>
    </row>
    <row r="7303" spans="1:5" x14ac:dyDescent="0.2">
      <c r="A7303" t="s">
        <v>18599</v>
      </c>
      <c r="B7303" t="s">
        <v>18600</v>
      </c>
      <c r="C7303" t="s">
        <v>18565</v>
      </c>
      <c r="D7303" t="s">
        <v>18565</v>
      </c>
      <c r="E7303" t="s">
        <v>18601</v>
      </c>
    </row>
    <row r="7304" spans="1:5" x14ac:dyDescent="0.2">
      <c r="A7304" t="s">
        <v>18602</v>
      </c>
      <c r="B7304" t="s">
        <v>18603</v>
      </c>
      <c r="C7304" t="s">
        <v>18565</v>
      </c>
      <c r="D7304" t="s">
        <v>18565</v>
      </c>
      <c r="E7304" t="s">
        <v>18604</v>
      </c>
    </row>
    <row r="7305" spans="1:5" x14ac:dyDescent="0.2">
      <c r="A7305" t="s">
        <v>18605</v>
      </c>
      <c r="B7305" t="s">
        <v>18606</v>
      </c>
      <c r="C7305" t="s">
        <v>18565</v>
      </c>
      <c r="D7305" t="s">
        <v>18565</v>
      </c>
      <c r="E7305" t="s">
        <v>18607</v>
      </c>
    </row>
    <row r="7306" spans="1:5" x14ac:dyDescent="0.2">
      <c r="A7306" t="s">
        <v>18608</v>
      </c>
      <c r="B7306" t="s">
        <v>18609</v>
      </c>
      <c r="C7306" t="s">
        <v>18565</v>
      </c>
      <c r="D7306" t="s">
        <v>18565</v>
      </c>
      <c r="E7306" t="s">
        <v>18610</v>
      </c>
    </row>
    <row r="7307" spans="1:5" x14ac:dyDescent="0.2">
      <c r="A7307" t="s">
        <v>18611</v>
      </c>
      <c r="B7307" t="s">
        <v>18612</v>
      </c>
      <c r="C7307" t="s">
        <v>18565</v>
      </c>
      <c r="D7307" t="s">
        <v>18565</v>
      </c>
      <c r="E7307" t="s">
        <v>18613</v>
      </c>
    </row>
    <row r="7308" spans="1:5" x14ac:dyDescent="0.2">
      <c r="A7308" t="s">
        <v>18614</v>
      </c>
      <c r="B7308" t="s">
        <v>18615</v>
      </c>
      <c r="C7308" t="s">
        <v>18565</v>
      </c>
      <c r="D7308" t="s">
        <v>18565</v>
      </c>
      <c r="E7308" t="s">
        <v>18616</v>
      </c>
    </row>
    <row r="7309" spans="1:5" x14ac:dyDescent="0.2">
      <c r="A7309" t="s">
        <v>18617</v>
      </c>
      <c r="B7309" t="s">
        <v>18618</v>
      </c>
      <c r="C7309" t="s">
        <v>18565</v>
      </c>
      <c r="D7309" t="s">
        <v>18565</v>
      </c>
      <c r="E7309" t="s">
        <v>18598</v>
      </c>
    </row>
    <row r="7310" spans="1:5" x14ac:dyDescent="0.2">
      <c r="A7310" t="s">
        <v>18619</v>
      </c>
      <c r="B7310" t="s">
        <v>18620</v>
      </c>
      <c r="C7310" t="s">
        <v>18565</v>
      </c>
      <c r="D7310" t="s">
        <v>18565</v>
      </c>
      <c r="E7310" t="s">
        <v>18621</v>
      </c>
    </row>
    <row r="7311" spans="1:5" x14ac:dyDescent="0.2">
      <c r="A7311" t="s">
        <v>18622</v>
      </c>
      <c r="B7311" t="s">
        <v>18623</v>
      </c>
      <c r="C7311" t="s">
        <v>18565</v>
      </c>
      <c r="D7311" t="s">
        <v>18565</v>
      </c>
      <c r="E7311" t="s">
        <v>18624</v>
      </c>
    </row>
    <row r="7312" spans="1:5" x14ac:dyDescent="0.2">
      <c r="A7312" t="s">
        <v>18625</v>
      </c>
      <c r="B7312" t="s">
        <v>18626</v>
      </c>
      <c r="C7312" t="s">
        <v>18565</v>
      </c>
      <c r="D7312" t="s">
        <v>18565</v>
      </c>
      <c r="E7312" t="s">
        <v>18607</v>
      </c>
    </row>
    <row r="7313" spans="1:5" x14ac:dyDescent="0.2">
      <c r="A7313" t="s">
        <v>18627</v>
      </c>
      <c r="B7313" t="s">
        <v>18628</v>
      </c>
      <c r="C7313" t="s">
        <v>18565</v>
      </c>
      <c r="D7313" t="s">
        <v>18565</v>
      </c>
      <c r="E7313" t="s">
        <v>18629</v>
      </c>
    </row>
    <row r="7314" spans="1:5" x14ac:dyDescent="0.2">
      <c r="A7314" t="s">
        <v>18630</v>
      </c>
      <c r="B7314" t="s">
        <v>18631</v>
      </c>
      <c r="C7314" t="s">
        <v>18565</v>
      </c>
      <c r="D7314" t="s">
        <v>18565</v>
      </c>
      <c r="E7314" t="s">
        <v>18632</v>
      </c>
    </row>
    <row r="7315" spans="1:5" x14ac:dyDescent="0.2">
      <c r="A7315" t="s">
        <v>18633</v>
      </c>
      <c r="B7315" t="s">
        <v>18634</v>
      </c>
      <c r="C7315" t="s">
        <v>18565</v>
      </c>
      <c r="D7315" t="s">
        <v>18565</v>
      </c>
      <c r="E7315" t="s">
        <v>18635</v>
      </c>
    </row>
    <row r="7316" spans="1:5" x14ac:dyDescent="0.2">
      <c r="A7316" t="s">
        <v>18636</v>
      </c>
      <c r="B7316" t="s">
        <v>18637</v>
      </c>
      <c r="C7316" t="s">
        <v>18565</v>
      </c>
      <c r="D7316" t="s">
        <v>18565</v>
      </c>
      <c r="E7316" t="s">
        <v>18638</v>
      </c>
    </row>
    <row r="7317" spans="1:5" x14ac:dyDescent="0.2">
      <c r="A7317" t="s">
        <v>18639</v>
      </c>
      <c r="B7317" t="s">
        <v>18640</v>
      </c>
      <c r="C7317" t="s">
        <v>18565</v>
      </c>
      <c r="D7317" t="s">
        <v>18565</v>
      </c>
      <c r="E7317" t="s">
        <v>18641</v>
      </c>
    </row>
    <row r="7318" spans="1:5" x14ac:dyDescent="0.2">
      <c r="A7318" t="s">
        <v>18642</v>
      </c>
      <c r="B7318" t="s">
        <v>18643</v>
      </c>
      <c r="C7318" t="s">
        <v>18565</v>
      </c>
      <c r="D7318" t="s">
        <v>18565</v>
      </c>
      <c r="E7318" t="s">
        <v>18601</v>
      </c>
    </row>
    <row r="7319" spans="1:5" x14ac:dyDescent="0.2">
      <c r="A7319" t="s">
        <v>18644</v>
      </c>
      <c r="B7319" t="s">
        <v>18645</v>
      </c>
      <c r="C7319" t="s">
        <v>18565</v>
      </c>
      <c r="D7319" t="s">
        <v>18565</v>
      </c>
      <c r="E7319" t="s">
        <v>18646</v>
      </c>
    </row>
    <row r="7320" spans="1:5" x14ac:dyDescent="0.2">
      <c r="A7320" t="s">
        <v>18647</v>
      </c>
      <c r="B7320" t="s">
        <v>18648</v>
      </c>
      <c r="C7320" t="s">
        <v>18565</v>
      </c>
      <c r="D7320" t="s">
        <v>18565</v>
      </c>
      <c r="E7320" t="s">
        <v>18649</v>
      </c>
    </row>
    <row r="7321" spans="1:5" x14ac:dyDescent="0.2">
      <c r="A7321" t="s">
        <v>18650</v>
      </c>
      <c r="B7321" t="s">
        <v>18651</v>
      </c>
      <c r="C7321" t="s">
        <v>18565</v>
      </c>
      <c r="D7321" t="s">
        <v>18565</v>
      </c>
      <c r="E7321" t="s">
        <v>18652</v>
      </c>
    </row>
    <row r="7322" spans="1:5" x14ac:dyDescent="0.2">
      <c r="A7322" t="s">
        <v>18653</v>
      </c>
      <c r="B7322" t="s">
        <v>18654</v>
      </c>
      <c r="C7322" t="s">
        <v>18565</v>
      </c>
      <c r="D7322" t="s">
        <v>18565</v>
      </c>
      <c r="E7322" t="s">
        <v>18632</v>
      </c>
    </row>
    <row r="7323" spans="1:5" x14ac:dyDescent="0.2">
      <c r="A7323" t="s">
        <v>18655</v>
      </c>
      <c r="B7323" t="s">
        <v>18656</v>
      </c>
      <c r="C7323" t="s">
        <v>18565</v>
      </c>
      <c r="D7323" t="s">
        <v>18565</v>
      </c>
      <c r="E7323" t="s">
        <v>18635</v>
      </c>
    </row>
    <row r="7324" spans="1:5" x14ac:dyDescent="0.2">
      <c r="A7324" t="s">
        <v>18657</v>
      </c>
      <c r="B7324" t="s">
        <v>18658</v>
      </c>
      <c r="C7324" t="s">
        <v>18565</v>
      </c>
      <c r="D7324" t="s">
        <v>18565</v>
      </c>
      <c r="E7324" t="s">
        <v>18659</v>
      </c>
    </row>
    <row r="7325" spans="1:5" x14ac:dyDescent="0.2">
      <c r="A7325" t="s">
        <v>18660</v>
      </c>
      <c r="B7325" t="s">
        <v>18661</v>
      </c>
      <c r="C7325" t="s">
        <v>18565</v>
      </c>
      <c r="D7325" t="s">
        <v>18565</v>
      </c>
      <c r="E7325" t="s">
        <v>18662</v>
      </c>
    </row>
    <row r="7326" spans="1:5" x14ac:dyDescent="0.2">
      <c r="A7326" t="s">
        <v>18663</v>
      </c>
      <c r="B7326" t="s">
        <v>18664</v>
      </c>
      <c r="C7326" t="s">
        <v>18565</v>
      </c>
      <c r="D7326" t="s">
        <v>18565</v>
      </c>
      <c r="E7326" t="s">
        <v>18665</v>
      </c>
    </row>
    <row r="7327" spans="1:5" x14ac:dyDescent="0.2">
      <c r="A7327" t="s">
        <v>18666</v>
      </c>
      <c r="B7327" t="s">
        <v>18667</v>
      </c>
      <c r="C7327" t="s">
        <v>18565</v>
      </c>
      <c r="D7327" t="s">
        <v>18565</v>
      </c>
      <c r="E7327" t="s">
        <v>18668</v>
      </c>
    </row>
    <row r="7328" spans="1:5" x14ac:dyDescent="0.2">
      <c r="A7328" t="s">
        <v>18669</v>
      </c>
      <c r="B7328" t="s">
        <v>18670</v>
      </c>
      <c r="C7328" t="s">
        <v>18565</v>
      </c>
      <c r="D7328" t="s">
        <v>18565</v>
      </c>
      <c r="E7328" t="s">
        <v>18671</v>
      </c>
    </row>
    <row r="7329" spans="1:5" x14ac:dyDescent="0.2">
      <c r="A7329" t="s">
        <v>18672</v>
      </c>
      <c r="B7329" t="s">
        <v>18673</v>
      </c>
      <c r="C7329" t="s">
        <v>18565</v>
      </c>
      <c r="D7329" t="s">
        <v>18565</v>
      </c>
      <c r="E7329" t="s">
        <v>18674</v>
      </c>
    </row>
    <row r="7330" spans="1:5" x14ac:dyDescent="0.2">
      <c r="A7330" t="s">
        <v>18675</v>
      </c>
      <c r="B7330" t="s">
        <v>18676</v>
      </c>
      <c r="C7330" t="s">
        <v>18565</v>
      </c>
      <c r="D7330" t="s">
        <v>18565</v>
      </c>
      <c r="E7330" t="s">
        <v>18677</v>
      </c>
    </row>
    <row r="7331" spans="1:5" x14ac:dyDescent="0.2">
      <c r="A7331" t="s">
        <v>18678</v>
      </c>
      <c r="B7331" t="s">
        <v>18679</v>
      </c>
      <c r="C7331" t="s">
        <v>18565</v>
      </c>
      <c r="D7331" t="s">
        <v>18565</v>
      </c>
      <c r="E7331" t="s">
        <v>18680</v>
      </c>
    </row>
    <row r="7332" spans="1:5" x14ac:dyDescent="0.2">
      <c r="A7332" t="s">
        <v>18681</v>
      </c>
      <c r="B7332" t="s">
        <v>18682</v>
      </c>
      <c r="C7332" t="s">
        <v>18565</v>
      </c>
      <c r="D7332" t="s">
        <v>18565</v>
      </c>
      <c r="E7332" t="s">
        <v>18683</v>
      </c>
    </row>
    <row r="7333" spans="1:5" x14ac:dyDescent="0.2">
      <c r="A7333" t="s">
        <v>18684</v>
      </c>
      <c r="B7333" t="s">
        <v>18685</v>
      </c>
      <c r="C7333" t="s">
        <v>18565</v>
      </c>
      <c r="D7333" t="s">
        <v>18565</v>
      </c>
      <c r="E7333" t="s">
        <v>18686</v>
      </c>
    </row>
    <row r="7334" spans="1:5" x14ac:dyDescent="0.2">
      <c r="A7334" t="s">
        <v>18687</v>
      </c>
      <c r="B7334" t="s">
        <v>18688</v>
      </c>
      <c r="C7334" t="s">
        <v>18565</v>
      </c>
      <c r="D7334" t="s">
        <v>18565</v>
      </c>
      <c r="E7334" t="s">
        <v>18689</v>
      </c>
    </row>
    <row r="7335" spans="1:5" x14ac:dyDescent="0.2">
      <c r="A7335" t="s">
        <v>18690</v>
      </c>
      <c r="B7335" t="s">
        <v>18691</v>
      </c>
      <c r="C7335" t="s">
        <v>18565</v>
      </c>
      <c r="D7335" t="s">
        <v>18565</v>
      </c>
      <c r="E7335" t="s">
        <v>18692</v>
      </c>
    </row>
    <row r="7336" spans="1:5" x14ac:dyDescent="0.2">
      <c r="A7336" t="s">
        <v>18693</v>
      </c>
      <c r="B7336" t="s">
        <v>18694</v>
      </c>
      <c r="C7336" t="s">
        <v>18565</v>
      </c>
      <c r="D7336" t="s">
        <v>18565</v>
      </c>
      <c r="E7336" t="s">
        <v>18695</v>
      </c>
    </row>
    <row r="7337" spans="1:5" x14ac:dyDescent="0.2">
      <c r="A7337" t="s">
        <v>18696</v>
      </c>
      <c r="B7337" t="s">
        <v>18697</v>
      </c>
      <c r="C7337" t="s">
        <v>18565</v>
      </c>
      <c r="D7337" t="s">
        <v>18565</v>
      </c>
      <c r="E7337" t="s">
        <v>18698</v>
      </c>
    </row>
    <row r="7338" spans="1:5" x14ac:dyDescent="0.2">
      <c r="A7338" t="s">
        <v>18699</v>
      </c>
      <c r="B7338" t="s">
        <v>18700</v>
      </c>
      <c r="C7338" t="s">
        <v>18565</v>
      </c>
      <c r="D7338" t="s">
        <v>18565</v>
      </c>
      <c r="E7338" t="s">
        <v>18649</v>
      </c>
    </row>
    <row r="7339" spans="1:5" x14ac:dyDescent="0.2">
      <c r="A7339" t="s">
        <v>18701</v>
      </c>
      <c r="B7339" t="s">
        <v>18702</v>
      </c>
      <c r="C7339" t="s">
        <v>18565</v>
      </c>
      <c r="D7339" t="s">
        <v>18565</v>
      </c>
      <c r="E7339" t="s">
        <v>18703</v>
      </c>
    </row>
    <row r="7340" spans="1:5" x14ac:dyDescent="0.2">
      <c r="A7340" t="s">
        <v>18704</v>
      </c>
      <c r="B7340" t="s">
        <v>18705</v>
      </c>
      <c r="C7340" t="s">
        <v>18565</v>
      </c>
      <c r="D7340" t="s">
        <v>18565</v>
      </c>
      <c r="E7340" t="s">
        <v>18706</v>
      </c>
    </row>
    <row r="7341" spans="1:5" x14ac:dyDescent="0.2">
      <c r="A7341" t="s">
        <v>18707</v>
      </c>
      <c r="B7341" t="s">
        <v>18708</v>
      </c>
      <c r="C7341" t="s">
        <v>18565</v>
      </c>
      <c r="D7341" t="s">
        <v>18565</v>
      </c>
      <c r="E7341" t="s">
        <v>18709</v>
      </c>
    </row>
    <row r="7342" spans="1:5" x14ac:dyDescent="0.2">
      <c r="A7342" t="s">
        <v>18710</v>
      </c>
      <c r="B7342" t="s">
        <v>18711</v>
      </c>
      <c r="C7342" t="s">
        <v>18565</v>
      </c>
      <c r="D7342" t="s">
        <v>18565</v>
      </c>
      <c r="E7342" t="s">
        <v>18712</v>
      </c>
    </row>
    <row r="7343" spans="1:5" x14ac:dyDescent="0.2">
      <c r="A7343" t="s">
        <v>18713</v>
      </c>
      <c r="B7343" t="s">
        <v>18714</v>
      </c>
      <c r="C7343" t="s">
        <v>18565</v>
      </c>
      <c r="D7343" t="s">
        <v>18565</v>
      </c>
      <c r="E7343" t="s">
        <v>18715</v>
      </c>
    </row>
    <row r="7344" spans="1:5" x14ac:dyDescent="0.2">
      <c r="A7344" t="s">
        <v>18716</v>
      </c>
      <c r="B7344" t="s">
        <v>18717</v>
      </c>
      <c r="C7344" t="s">
        <v>18565</v>
      </c>
      <c r="D7344" t="s">
        <v>18565</v>
      </c>
      <c r="E7344" t="s">
        <v>18718</v>
      </c>
    </row>
    <row r="7345" spans="1:5" x14ac:dyDescent="0.2">
      <c r="A7345" t="s">
        <v>18719</v>
      </c>
      <c r="B7345" t="s">
        <v>18720</v>
      </c>
      <c r="C7345" t="s">
        <v>18565</v>
      </c>
      <c r="D7345" t="s">
        <v>18565</v>
      </c>
      <c r="E7345" t="s">
        <v>18569</v>
      </c>
    </row>
    <row r="7346" spans="1:5" x14ac:dyDescent="0.2">
      <c r="A7346" t="s">
        <v>18721</v>
      </c>
      <c r="B7346" t="s">
        <v>18722</v>
      </c>
      <c r="C7346" t="s">
        <v>18565</v>
      </c>
      <c r="D7346" t="s">
        <v>18565</v>
      </c>
      <c r="E7346" t="s">
        <v>18671</v>
      </c>
    </row>
    <row r="7347" spans="1:5" x14ac:dyDescent="0.2">
      <c r="A7347" t="s">
        <v>18723</v>
      </c>
      <c r="B7347" t="s">
        <v>18724</v>
      </c>
      <c r="C7347" t="s">
        <v>18565</v>
      </c>
      <c r="D7347" t="s">
        <v>18565</v>
      </c>
      <c r="E7347" t="s">
        <v>18725</v>
      </c>
    </row>
    <row r="7348" spans="1:5" x14ac:dyDescent="0.2">
      <c r="A7348" t="s">
        <v>18726</v>
      </c>
      <c r="B7348" t="s">
        <v>18727</v>
      </c>
      <c r="C7348" t="s">
        <v>18565</v>
      </c>
      <c r="D7348" t="s">
        <v>18565</v>
      </c>
      <c r="E7348" t="s">
        <v>18703</v>
      </c>
    </row>
    <row r="7349" spans="1:5" x14ac:dyDescent="0.2">
      <c r="A7349" t="s">
        <v>18728</v>
      </c>
      <c r="B7349" t="s">
        <v>18729</v>
      </c>
      <c r="C7349" t="s">
        <v>18565</v>
      </c>
      <c r="D7349" t="s">
        <v>18565</v>
      </c>
      <c r="E7349" t="s">
        <v>18730</v>
      </c>
    </row>
    <row r="7350" spans="1:5" x14ac:dyDescent="0.2">
      <c r="A7350" t="s">
        <v>18731</v>
      </c>
      <c r="B7350" t="s">
        <v>18732</v>
      </c>
      <c r="C7350" t="s">
        <v>18565</v>
      </c>
      <c r="D7350" t="s">
        <v>18565</v>
      </c>
      <c r="E7350" t="s">
        <v>18733</v>
      </c>
    </row>
    <row r="7351" spans="1:5" x14ac:dyDescent="0.2">
      <c r="A7351" t="s">
        <v>18734</v>
      </c>
      <c r="B7351" t="s">
        <v>18735</v>
      </c>
      <c r="C7351" t="s">
        <v>18565</v>
      </c>
      <c r="D7351" t="s">
        <v>18565</v>
      </c>
      <c r="E7351" t="s">
        <v>18733</v>
      </c>
    </row>
    <row r="7352" spans="1:5" x14ac:dyDescent="0.2">
      <c r="A7352" t="s">
        <v>18736</v>
      </c>
      <c r="B7352" t="s">
        <v>18737</v>
      </c>
      <c r="C7352" t="s">
        <v>18565</v>
      </c>
      <c r="D7352" t="s">
        <v>18565</v>
      </c>
      <c r="E7352" t="s">
        <v>18738</v>
      </c>
    </row>
    <row r="7353" spans="1:5" x14ac:dyDescent="0.2">
      <c r="A7353" t="s">
        <v>18739</v>
      </c>
      <c r="B7353" t="s">
        <v>18740</v>
      </c>
      <c r="C7353" t="s">
        <v>18565</v>
      </c>
      <c r="D7353" t="s">
        <v>18565</v>
      </c>
      <c r="E7353" t="s">
        <v>18572</v>
      </c>
    </row>
    <row r="7354" spans="1:5" x14ac:dyDescent="0.2">
      <c r="A7354" t="s">
        <v>18741</v>
      </c>
      <c r="B7354" t="s">
        <v>18742</v>
      </c>
      <c r="C7354" t="s">
        <v>18565</v>
      </c>
      <c r="D7354" t="s">
        <v>18565</v>
      </c>
      <c r="E7354" t="s">
        <v>18743</v>
      </c>
    </row>
    <row r="7355" spans="1:5" x14ac:dyDescent="0.2">
      <c r="A7355" t="s">
        <v>18744</v>
      </c>
      <c r="B7355" t="s">
        <v>18745</v>
      </c>
      <c r="C7355" t="s">
        <v>18565</v>
      </c>
      <c r="D7355" t="s">
        <v>18565</v>
      </c>
      <c r="E7355" t="s">
        <v>18715</v>
      </c>
    </row>
    <row r="7356" spans="1:5" x14ac:dyDescent="0.2">
      <c r="A7356" t="s">
        <v>18746</v>
      </c>
      <c r="B7356" t="s">
        <v>18747</v>
      </c>
      <c r="C7356" t="s">
        <v>18565</v>
      </c>
      <c r="D7356" t="s">
        <v>18565</v>
      </c>
      <c r="E7356" t="s">
        <v>18748</v>
      </c>
    </row>
    <row r="7357" spans="1:5" x14ac:dyDescent="0.2">
      <c r="A7357" t="s">
        <v>18749</v>
      </c>
      <c r="B7357" t="s">
        <v>18750</v>
      </c>
      <c r="C7357" t="s">
        <v>18565</v>
      </c>
      <c r="D7357" t="s">
        <v>18565</v>
      </c>
      <c r="E7357" t="s">
        <v>18751</v>
      </c>
    </row>
    <row r="7358" spans="1:5" x14ac:dyDescent="0.2">
      <c r="A7358" t="s">
        <v>18752</v>
      </c>
      <c r="B7358" t="s">
        <v>18753</v>
      </c>
      <c r="C7358" t="s">
        <v>18565</v>
      </c>
      <c r="D7358" t="s">
        <v>18565</v>
      </c>
      <c r="E7358" t="s">
        <v>18638</v>
      </c>
    </row>
    <row r="7359" spans="1:5" x14ac:dyDescent="0.2">
      <c r="A7359" t="s">
        <v>18754</v>
      </c>
      <c r="B7359" t="s">
        <v>18755</v>
      </c>
      <c r="C7359" t="s">
        <v>18565</v>
      </c>
      <c r="D7359" t="s">
        <v>18565</v>
      </c>
      <c r="E7359" t="s">
        <v>18652</v>
      </c>
    </row>
    <row r="7360" spans="1:5" x14ac:dyDescent="0.2">
      <c r="A7360" t="s">
        <v>18756</v>
      </c>
      <c r="B7360" t="s">
        <v>18757</v>
      </c>
      <c r="C7360" t="s">
        <v>18565</v>
      </c>
      <c r="D7360" t="s">
        <v>18565</v>
      </c>
      <c r="E7360" t="s">
        <v>18758</v>
      </c>
    </row>
    <row r="7361" spans="1:5" x14ac:dyDescent="0.2">
      <c r="A7361" t="s">
        <v>18759</v>
      </c>
      <c r="B7361" t="s">
        <v>18760</v>
      </c>
      <c r="C7361" t="s">
        <v>18565</v>
      </c>
      <c r="D7361" t="s">
        <v>18565</v>
      </c>
      <c r="E7361" t="s">
        <v>18761</v>
      </c>
    </row>
    <row r="7362" spans="1:5" x14ac:dyDescent="0.2">
      <c r="A7362" t="s">
        <v>18762</v>
      </c>
      <c r="B7362" t="s">
        <v>18763</v>
      </c>
      <c r="C7362" t="s">
        <v>18565</v>
      </c>
      <c r="D7362" t="s">
        <v>18565</v>
      </c>
      <c r="E7362" t="s">
        <v>18674</v>
      </c>
    </row>
    <row r="7363" spans="1:5" x14ac:dyDescent="0.2">
      <c r="A7363" t="s">
        <v>18764</v>
      </c>
      <c r="B7363" t="s">
        <v>18765</v>
      </c>
      <c r="C7363" t="s">
        <v>18565</v>
      </c>
      <c r="D7363" t="e">
        <v>#N/A</v>
      </c>
      <c r="E7363" t="e">
        <v>#N/A</v>
      </c>
    </row>
    <row r="7364" spans="1:5" x14ac:dyDescent="0.2">
      <c r="A7364" t="s">
        <v>18766</v>
      </c>
      <c r="B7364" t="s">
        <v>18767</v>
      </c>
      <c r="C7364" t="s">
        <v>18565</v>
      </c>
      <c r="D7364" t="e">
        <v>#N/A</v>
      </c>
      <c r="E7364" t="e">
        <v>#N/A</v>
      </c>
    </row>
    <row r="7365" spans="1:5" x14ac:dyDescent="0.2">
      <c r="A7365" t="s">
        <v>18768</v>
      </c>
      <c r="B7365" t="s">
        <v>18769</v>
      </c>
      <c r="C7365" t="s">
        <v>5344</v>
      </c>
      <c r="D7365" t="s">
        <v>5344</v>
      </c>
      <c r="E7365" t="s">
        <v>18770</v>
      </c>
    </row>
    <row r="7366" spans="1:5" x14ac:dyDescent="0.2">
      <c r="A7366" t="s">
        <v>18771</v>
      </c>
      <c r="B7366" t="s">
        <v>18772</v>
      </c>
      <c r="C7366" t="s">
        <v>5344</v>
      </c>
      <c r="D7366" t="s">
        <v>5344</v>
      </c>
      <c r="E7366" t="s">
        <v>18773</v>
      </c>
    </row>
    <row r="7367" spans="1:5" x14ac:dyDescent="0.2">
      <c r="A7367" t="s">
        <v>18774</v>
      </c>
      <c r="B7367" t="s">
        <v>18775</v>
      </c>
      <c r="C7367" t="s">
        <v>5344</v>
      </c>
      <c r="D7367" t="s">
        <v>5344</v>
      </c>
      <c r="E7367" t="s">
        <v>18776</v>
      </c>
    </row>
    <row r="7368" spans="1:5" x14ac:dyDescent="0.2">
      <c r="A7368" t="s">
        <v>18777</v>
      </c>
      <c r="B7368" t="s">
        <v>18778</v>
      </c>
      <c r="C7368" t="s">
        <v>5344</v>
      </c>
      <c r="D7368" t="s">
        <v>5344</v>
      </c>
      <c r="E7368" t="s">
        <v>18779</v>
      </c>
    </row>
    <row r="7369" spans="1:5" x14ac:dyDescent="0.2">
      <c r="A7369" t="s">
        <v>18780</v>
      </c>
      <c r="B7369" t="s">
        <v>18781</v>
      </c>
      <c r="C7369" t="s">
        <v>5344</v>
      </c>
      <c r="D7369" t="s">
        <v>5344</v>
      </c>
      <c r="E7369" t="s">
        <v>18782</v>
      </c>
    </row>
    <row r="7370" spans="1:5" x14ac:dyDescent="0.2">
      <c r="A7370" t="s">
        <v>18783</v>
      </c>
      <c r="B7370" t="s">
        <v>18784</v>
      </c>
      <c r="C7370" t="s">
        <v>5344</v>
      </c>
      <c r="D7370" t="s">
        <v>5344</v>
      </c>
      <c r="E7370" t="s">
        <v>18785</v>
      </c>
    </row>
    <row r="7371" spans="1:5" x14ac:dyDescent="0.2">
      <c r="A7371" t="s">
        <v>18786</v>
      </c>
      <c r="B7371" t="s">
        <v>18787</v>
      </c>
      <c r="C7371" t="s">
        <v>5344</v>
      </c>
      <c r="D7371" t="s">
        <v>5344</v>
      </c>
      <c r="E7371" t="s">
        <v>18788</v>
      </c>
    </row>
    <row r="7372" spans="1:5" x14ac:dyDescent="0.2">
      <c r="A7372" t="s">
        <v>18789</v>
      </c>
      <c r="B7372" t="s">
        <v>18790</v>
      </c>
      <c r="C7372" t="s">
        <v>5344</v>
      </c>
      <c r="D7372" t="s">
        <v>5344</v>
      </c>
      <c r="E7372" t="s">
        <v>18791</v>
      </c>
    </row>
    <row r="7373" spans="1:5" x14ac:dyDescent="0.2">
      <c r="A7373" t="s">
        <v>18792</v>
      </c>
      <c r="B7373" t="s">
        <v>18793</v>
      </c>
      <c r="C7373" t="s">
        <v>5344</v>
      </c>
      <c r="D7373" t="s">
        <v>5344</v>
      </c>
      <c r="E7373" t="s">
        <v>18794</v>
      </c>
    </row>
    <row r="7374" spans="1:5" x14ac:dyDescent="0.2">
      <c r="A7374" t="s">
        <v>18795</v>
      </c>
      <c r="B7374" t="s">
        <v>18796</v>
      </c>
      <c r="C7374" t="s">
        <v>5344</v>
      </c>
      <c r="D7374" t="s">
        <v>5344</v>
      </c>
      <c r="E7374" t="s">
        <v>18797</v>
      </c>
    </row>
    <row r="7375" spans="1:5" x14ac:dyDescent="0.2">
      <c r="A7375" t="s">
        <v>18798</v>
      </c>
      <c r="B7375" t="s">
        <v>18799</v>
      </c>
      <c r="C7375" t="s">
        <v>5344</v>
      </c>
      <c r="D7375" t="s">
        <v>5344</v>
      </c>
      <c r="E7375" t="s">
        <v>18800</v>
      </c>
    </row>
    <row r="7376" spans="1:5" x14ac:dyDescent="0.2">
      <c r="A7376" t="s">
        <v>18801</v>
      </c>
      <c r="B7376" t="s">
        <v>18802</v>
      </c>
      <c r="C7376" t="s">
        <v>5344</v>
      </c>
      <c r="D7376" t="s">
        <v>5344</v>
      </c>
      <c r="E7376" t="s">
        <v>18803</v>
      </c>
    </row>
    <row r="7377" spans="1:5" x14ac:dyDescent="0.2">
      <c r="A7377" t="s">
        <v>18804</v>
      </c>
      <c r="B7377" t="s">
        <v>18805</v>
      </c>
      <c r="C7377" t="s">
        <v>5344</v>
      </c>
      <c r="D7377" t="s">
        <v>5344</v>
      </c>
      <c r="E7377" t="s">
        <v>18806</v>
      </c>
    </row>
    <row r="7378" spans="1:5" x14ac:dyDescent="0.2">
      <c r="A7378" t="s">
        <v>18807</v>
      </c>
      <c r="B7378" t="s">
        <v>18808</v>
      </c>
      <c r="C7378" t="s">
        <v>5344</v>
      </c>
      <c r="D7378" t="s">
        <v>5344</v>
      </c>
      <c r="E7378" t="s">
        <v>18809</v>
      </c>
    </row>
    <row r="7379" spans="1:5" x14ac:dyDescent="0.2">
      <c r="A7379" t="s">
        <v>18810</v>
      </c>
      <c r="B7379" t="s">
        <v>18811</v>
      </c>
      <c r="C7379" t="s">
        <v>5344</v>
      </c>
      <c r="D7379" t="s">
        <v>5344</v>
      </c>
      <c r="E7379" t="s">
        <v>18812</v>
      </c>
    </row>
    <row r="7380" spans="1:5" x14ac:dyDescent="0.2">
      <c r="A7380" t="s">
        <v>18813</v>
      </c>
      <c r="B7380" t="s">
        <v>18814</v>
      </c>
      <c r="C7380" t="s">
        <v>5344</v>
      </c>
      <c r="D7380" t="s">
        <v>5344</v>
      </c>
      <c r="E7380" t="s">
        <v>18815</v>
      </c>
    </row>
    <row r="7381" spans="1:5" x14ac:dyDescent="0.2">
      <c r="A7381" t="s">
        <v>18816</v>
      </c>
      <c r="B7381" t="s">
        <v>18817</v>
      </c>
      <c r="C7381" t="s">
        <v>5344</v>
      </c>
      <c r="D7381" t="s">
        <v>5344</v>
      </c>
      <c r="E7381" t="s">
        <v>18818</v>
      </c>
    </row>
    <row r="7382" spans="1:5" x14ac:dyDescent="0.2">
      <c r="A7382" t="s">
        <v>18819</v>
      </c>
      <c r="B7382" t="s">
        <v>18820</v>
      </c>
      <c r="C7382" t="s">
        <v>5344</v>
      </c>
      <c r="D7382" t="s">
        <v>5344</v>
      </c>
      <c r="E7382" t="s">
        <v>18821</v>
      </c>
    </row>
    <row r="7383" spans="1:5" x14ac:dyDescent="0.2">
      <c r="A7383" t="s">
        <v>18822</v>
      </c>
      <c r="B7383" t="s">
        <v>18823</v>
      </c>
      <c r="C7383" t="s">
        <v>5344</v>
      </c>
      <c r="D7383" t="s">
        <v>5344</v>
      </c>
      <c r="E7383" t="s">
        <v>18824</v>
      </c>
    </row>
    <row r="7384" spans="1:5" x14ac:dyDescent="0.2">
      <c r="A7384" t="s">
        <v>18825</v>
      </c>
      <c r="B7384" t="s">
        <v>18826</v>
      </c>
      <c r="C7384" t="s">
        <v>5344</v>
      </c>
      <c r="D7384" t="s">
        <v>5344</v>
      </c>
      <c r="E7384" t="s">
        <v>18827</v>
      </c>
    </row>
    <row r="7385" spans="1:5" x14ac:dyDescent="0.2">
      <c r="A7385" t="s">
        <v>18828</v>
      </c>
      <c r="B7385" t="s">
        <v>18829</v>
      </c>
      <c r="C7385" t="s">
        <v>5344</v>
      </c>
      <c r="D7385" t="s">
        <v>5344</v>
      </c>
      <c r="E7385" t="s">
        <v>18830</v>
      </c>
    </row>
    <row r="7386" spans="1:5" x14ac:dyDescent="0.2">
      <c r="A7386" t="s">
        <v>18831</v>
      </c>
      <c r="B7386" t="s">
        <v>18832</v>
      </c>
      <c r="C7386" t="s">
        <v>5344</v>
      </c>
      <c r="D7386" t="s">
        <v>5344</v>
      </c>
      <c r="E7386" t="s">
        <v>18833</v>
      </c>
    </row>
    <row r="7387" spans="1:5" x14ac:dyDescent="0.2">
      <c r="A7387" t="s">
        <v>18834</v>
      </c>
      <c r="B7387" t="s">
        <v>18835</v>
      </c>
      <c r="C7387" t="s">
        <v>5344</v>
      </c>
      <c r="D7387" t="s">
        <v>5344</v>
      </c>
      <c r="E7387" t="s">
        <v>18836</v>
      </c>
    </row>
    <row r="7388" spans="1:5" x14ac:dyDescent="0.2">
      <c r="A7388" t="s">
        <v>18837</v>
      </c>
      <c r="B7388" t="s">
        <v>18838</v>
      </c>
      <c r="C7388" t="s">
        <v>5344</v>
      </c>
      <c r="D7388" t="s">
        <v>5344</v>
      </c>
      <c r="E7388" t="s">
        <v>18839</v>
      </c>
    </row>
    <row r="7389" spans="1:5" x14ac:dyDescent="0.2">
      <c r="A7389" t="s">
        <v>18840</v>
      </c>
      <c r="B7389" t="s">
        <v>18841</v>
      </c>
      <c r="C7389" t="s">
        <v>5344</v>
      </c>
      <c r="D7389" t="s">
        <v>5344</v>
      </c>
      <c r="E7389" t="s">
        <v>18842</v>
      </c>
    </row>
    <row r="7390" spans="1:5" x14ac:dyDescent="0.2">
      <c r="A7390" t="s">
        <v>18843</v>
      </c>
      <c r="B7390" t="s">
        <v>18844</v>
      </c>
      <c r="C7390" t="s">
        <v>5344</v>
      </c>
      <c r="D7390" t="s">
        <v>5344</v>
      </c>
      <c r="E7390" t="s">
        <v>18845</v>
      </c>
    </row>
    <row r="7391" spans="1:5" x14ac:dyDescent="0.2">
      <c r="A7391" t="s">
        <v>18846</v>
      </c>
      <c r="B7391" t="s">
        <v>18847</v>
      </c>
      <c r="C7391" t="s">
        <v>5344</v>
      </c>
      <c r="D7391" t="s">
        <v>5344</v>
      </c>
      <c r="E7391" t="s">
        <v>18848</v>
      </c>
    </row>
    <row r="7392" spans="1:5" x14ac:dyDescent="0.2">
      <c r="A7392" t="s">
        <v>18849</v>
      </c>
      <c r="B7392" t="s">
        <v>18850</v>
      </c>
      <c r="C7392" t="s">
        <v>5344</v>
      </c>
      <c r="D7392" t="s">
        <v>5344</v>
      </c>
      <c r="E7392" t="s">
        <v>18851</v>
      </c>
    </row>
    <row r="7393" spans="1:5" x14ac:dyDescent="0.2">
      <c r="A7393" t="s">
        <v>18852</v>
      </c>
      <c r="B7393" t="s">
        <v>18853</v>
      </c>
      <c r="C7393" t="s">
        <v>5344</v>
      </c>
      <c r="D7393" t="s">
        <v>5344</v>
      </c>
      <c r="E7393" t="s">
        <v>18854</v>
      </c>
    </row>
    <row r="7394" spans="1:5" x14ac:dyDescent="0.2">
      <c r="A7394" t="s">
        <v>18855</v>
      </c>
      <c r="B7394" t="s">
        <v>18856</v>
      </c>
      <c r="C7394" t="s">
        <v>5344</v>
      </c>
      <c r="D7394" t="s">
        <v>5344</v>
      </c>
      <c r="E7394" t="s">
        <v>18857</v>
      </c>
    </row>
    <row r="7395" spans="1:5" x14ac:dyDescent="0.2">
      <c r="A7395" t="s">
        <v>18858</v>
      </c>
      <c r="B7395" t="s">
        <v>18859</v>
      </c>
      <c r="C7395" t="s">
        <v>5344</v>
      </c>
      <c r="D7395" t="s">
        <v>5344</v>
      </c>
      <c r="E7395" t="s">
        <v>18860</v>
      </c>
    </row>
    <row r="7396" spans="1:5" x14ac:dyDescent="0.2">
      <c r="A7396" t="s">
        <v>18861</v>
      </c>
      <c r="B7396" t="s">
        <v>18862</v>
      </c>
      <c r="C7396" t="s">
        <v>5344</v>
      </c>
      <c r="D7396" t="s">
        <v>5344</v>
      </c>
      <c r="E7396" t="s">
        <v>18857</v>
      </c>
    </row>
    <row r="7397" spans="1:5" x14ac:dyDescent="0.2">
      <c r="A7397" t="s">
        <v>18863</v>
      </c>
      <c r="B7397" t="s">
        <v>18864</v>
      </c>
      <c r="C7397" t="s">
        <v>5344</v>
      </c>
      <c r="D7397" t="s">
        <v>5344</v>
      </c>
      <c r="E7397" t="s">
        <v>18865</v>
      </c>
    </row>
    <row r="7398" spans="1:5" x14ac:dyDescent="0.2">
      <c r="A7398" t="s">
        <v>18866</v>
      </c>
      <c r="B7398" t="s">
        <v>18867</v>
      </c>
      <c r="C7398" t="s">
        <v>5344</v>
      </c>
      <c r="D7398" t="s">
        <v>5344</v>
      </c>
      <c r="E7398" t="s">
        <v>18868</v>
      </c>
    </row>
    <row r="7399" spans="1:5" x14ac:dyDescent="0.2">
      <c r="A7399" t="s">
        <v>18869</v>
      </c>
      <c r="B7399" t="s">
        <v>18870</v>
      </c>
      <c r="C7399" t="s">
        <v>5344</v>
      </c>
      <c r="D7399" t="s">
        <v>5344</v>
      </c>
      <c r="E7399" t="s">
        <v>18871</v>
      </c>
    </row>
    <row r="7400" spans="1:5" x14ac:dyDescent="0.2">
      <c r="A7400" t="s">
        <v>18872</v>
      </c>
      <c r="B7400" t="s">
        <v>18873</v>
      </c>
      <c r="C7400" t="s">
        <v>5344</v>
      </c>
      <c r="D7400" t="s">
        <v>5344</v>
      </c>
      <c r="E7400" t="s">
        <v>18874</v>
      </c>
    </row>
    <row r="7401" spans="1:5" x14ac:dyDescent="0.2">
      <c r="A7401" t="s">
        <v>18875</v>
      </c>
      <c r="B7401" t="s">
        <v>18876</v>
      </c>
      <c r="C7401" t="s">
        <v>5344</v>
      </c>
      <c r="D7401" t="s">
        <v>5344</v>
      </c>
      <c r="E7401" t="s">
        <v>18877</v>
      </c>
    </row>
    <row r="7402" spans="1:5" x14ac:dyDescent="0.2">
      <c r="A7402" t="s">
        <v>18878</v>
      </c>
      <c r="B7402" t="s">
        <v>18879</v>
      </c>
      <c r="C7402" t="s">
        <v>5344</v>
      </c>
      <c r="D7402" t="s">
        <v>5344</v>
      </c>
      <c r="E7402" t="s">
        <v>18880</v>
      </c>
    </row>
    <row r="7403" spans="1:5" x14ac:dyDescent="0.2">
      <c r="A7403" t="s">
        <v>18881</v>
      </c>
      <c r="B7403" t="s">
        <v>18882</v>
      </c>
      <c r="C7403" t="s">
        <v>5344</v>
      </c>
      <c r="D7403" t="s">
        <v>5344</v>
      </c>
      <c r="E7403" t="s">
        <v>18883</v>
      </c>
    </row>
    <row r="7404" spans="1:5" x14ac:dyDescent="0.2">
      <c r="A7404" t="s">
        <v>18884</v>
      </c>
      <c r="B7404" t="s">
        <v>18885</v>
      </c>
      <c r="C7404" t="s">
        <v>5344</v>
      </c>
      <c r="D7404" t="s">
        <v>5344</v>
      </c>
      <c r="E7404" t="s">
        <v>18886</v>
      </c>
    </row>
    <row r="7405" spans="1:5" x14ac:dyDescent="0.2">
      <c r="A7405" t="s">
        <v>18887</v>
      </c>
      <c r="B7405" t="s">
        <v>18888</v>
      </c>
      <c r="C7405" t="s">
        <v>5344</v>
      </c>
      <c r="D7405" t="s">
        <v>5344</v>
      </c>
      <c r="E7405" t="s">
        <v>18889</v>
      </c>
    </row>
    <row r="7406" spans="1:5" x14ac:dyDescent="0.2">
      <c r="A7406" t="s">
        <v>18890</v>
      </c>
      <c r="B7406" t="s">
        <v>18891</v>
      </c>
      <c r="C7406" t="s">
        <v>5344</v>
      </c>
      <c r="D7406" t="s">
        <v>5344</v>
      </c>
      <c r="E7406" t="s">
        <v>18892</v>
      </c>
    </row>
    <row r="7407" spans="1:5" x14ac:dyDescent="0.2">
      <c r="A7407" t="s">
        <v>18893</v>
      </c>
      <c r="B7407" t="s">
        <v>18894</v>
      </c>
      <c r="C7407" t="s">
        <v>5344</v>
      </c>
      <c r="D7407" t="s">
        <v>5344</v>
      </c>
      <c r="E7407" t="s">
        <v>18895</v>
      </c>
    </row>
    <row r="7408" spans="1:5" x14ac:dyDescent="0.2">
      <c r="A7408" t="s">
        <v>18896</v>
      </c>
      <c r="B7408" t="s">
        <v>18897</v>
      </c>
      <c r="C7408" t="s">
        <v>5344</v>
      </c>
      <c r="D7408" t="s">
        <v>5344</v>
      </c>
      <c r="E7408" t="s">
        <v>18898</v>
      </c>
    </row>
    <row r="7409" spans="1:5" x14ac:dyDescent="0.2">
      <c r="A7409" t="s">
        <v>18899</v>
      </c>
      <c r="B7409" t="s">
        <v>18900</v>
      </c>
      <c r="C7409" t="s">
        <v>5344</v>
      </c>
      <c r="D7409" t="s">
        <v>5344</v>
      </c>
      <c r="E7409" t="s">
        <v>18901</v>
      </c>
    </row>
    <row r="7410" spans="1:5" x14ac:dyDescent="0.2">
      <c r="A7410" t="s">
        <v>18902</v>
      </c>
      <c r="B7410" t="s">
        <v>18903</v>
      </c>
      <c r="C7410" t="s">
        <v>5344</v>
      </c>
      <c r="D7410" t="s">
        <v>5344</v>
      </c>
      <c r="E7410" t="s">
        <v>18848</v>
      </c>
    </row>
    <row r="7411" spans="1:5" x14ac:dyDescent="0.2">
      <c r="A7411" t="s">
        <v>18904</v>
      </c>
      <c r="B7411" t="s">
        <v>18905</v>
      </c>
      <c r="C7411" t="s">
        <v>5344</v>
      </c>
      <c r="D7411" t="s">
        <v>5344</v>
      </c>
      <c r="E7411" t="s">
        <v>18906</v>
      </c>
    </row>
    <row r="7412" spans="1:5" x14ac:dyDescent="0.2">
      <c r="A7412" t="s">
        <v>18907</v>
      </c>
      <c r="B7412" t="s">
        <v>18908</v>
      </c>
      <c r="C7412" t="s">
        <v>5344</v>
      </c>
      <c r="D7412" t="s">
        <v>5344</v>
      </c>
      <c r="E7412" t="s">
        <v>18909</v>
      </c>
    </row>
    <row r="7413" spans="1:5" x14ac:dyDescent="0.2">
      <c r="A7413" t="s">
        <v>18910</v>
      </c>
      <c r="B7413" t="s">
        <v>18911</v>
      </c>
      <c r="C7413" t="s">
        <v>5344</v>
      </c>
      <c r="D7413" t="s">
        <v>5344</v>
      </c>
      <c r="E7413" t="s">
        <v>18821</v>
      </c>
    </row>
    <row r="7414" spans="1:5" x14ac:dyDescent="0.2">
      <c r="A7414" t="s">
        <v>18912</v>
      </c>
      <c r="B7414" t="s">
        <v>18913</v>
      </c>
      <c r="C7414" t="s">
        <v>5344</v>
      </c>
      <c r="D7414" t="s">
        <v>5344</v>
      </c>
      <c r="E7414" t="s">
        <v>18914</v>
      </c>
    </row>
    <row r="7415" spans="1:5" x14ac:dyDescent="0.2">
      <c r="A7415" t="s">
        <v>18915</v>
      </c>
      <c r="B7415" t="s">
        <v>18916</v>
      </c>
      <c r="C7415" t="s">
        <v>5344</v>
      </c>
      <c r="D7415" t="s">
        <v>5344</v>
      </c>
      <c r="E7415" t="s">
        <v>18917</v>
      </c>
    </row>
    <row r="7416" spans="1:5" x14ac:dyDescent="0.2">
      <c r="A7416" t="s">
        <v>18918</v>
      </c>
      <c r="B7416" t="s">
        <v>18919</v>
      </c>
      <c r="C7416" t="s">
        <v>5344</v>
      </c>
      <c r="D7416" t="s">
        <v>5344</v>
      </c>
      <c r="E7416" t="s">
        <v>18920</v>
      </c>
    </row>
    <row r="7417" spans="1:5" x14ac:dyDescent="0.2">
      <c r="A7417" t="s">
        <v>18921</v>
      </c>
      <c r="B7417" t="s">
        <v>18922</v>
      </c>
      <c r="C7417" t="s">
        <v>5344</v>
      </c>
      <c r="D7417" t="s">
        <v>5344</v>
      </c>
      <c r="E7417" t="s">
        <v>18923</v>
      </c>
    </row>
    <row r="7418" spans="1:5" x14ac:dyDescent="0.2">
      <c r="A7418" t="s">
        <v>18924</v>
      </c>
      <c r="B7418" t="s">
        <v>18925</v>
      </c>
      <c r="C7418" t="s">
        <v>5344</v>
      </c>
      <c r="D7418" t="s">
        <v>5344</v>
      </c>
      <c r="E7418" t="s">
        <v>18779</v>
      </c>
    </row>
    <row r="7419" spans="1:5" x14ac:dyDescent="0.2">
      <c r="A7419" t="s">
        <v>18926</v>
      </c>
      <c r="B7419" t="s">
        <v>18927</v>
      </c>
      <c r="C7419" t="s">
        <v>5344</v>
      </c>
      <c r="D7419" t="s">
        <v>5344</v>
      </c>
      <c r="E7419" t="s">
        <v>18928</v>
      </c>
    </row>
    <row r="7420" spans="1:5" x14ac:dyDescent="0.2">
      <c r="A7420" t="s">
        <v>18929</v>
      </c>
      <c r="B7420" t="s">
        <v>18930</v>
      </c>
      <c r="C7420" t="s">
        <v>5344</v>
      </c>
      <c r="D7420" t="s">
        <v>5344</v>
      </c>
      <c r="E7420" t="s">
        <v>18865</v>
      </c>
    </row>
    <row r="7421" spans="1:5" x14ac:dyDescent="0.2">
      <c r="A7421" t="s">
        <v>18931</v>
      </c>
      <c r="B7421" t="s">
        <v>18932</v>
      </c>
      <c r="C7421" t="s">
        <v>5344</v>
      </c>
      <c r="D7421" t="s">
        <v>5344</v>
      </c>
      <c r="E7421" t="s">
        <v>18933</v>
      </c>
    </row>
    <row r="7422" spans="1:5" x14ac:dyDescent="0.2">
      <c r="A7422" t="s">
        <v>18934</v>
      </c>
      <c r="B7422" t="s">
        <v>18935</v>
      </c>
      <c r="C7422" t="s">
        <v>5344</v>
      </c>
      <c r="D7422" t="s">
        <v>5344</v>
      </c>
      <c r="E7422" t="s">
        <v>18936</v>
      </c>
    </row>
    <row r="7423" spans="1:5" x14ac:dyDescent="0.2">
      <c r="A7423" t="s">
        <v>18937</v>
      </c>
      <c r="B7423" t="s">
        <v>18938</v>
      </c>
      <c r="C7423" t="s">
        <v>5344</v>
      </c>
      <c r="D7423" t="s">
        <v>5344</v>
      </c>
      <c r="E7423" t="s">
        <v>18939</v>
      </c>
    </row>
    <row r="7424" spans="1:5" x14ac:dyDescent="0.2">
      <c r="A7424" t="s">
        <v>18940</v>
      </c>
      <c r="B7424" t="s">
        <v>18941</v>
      </c>
      <c r="C7424" t="s">
        <v>5344</v>
      </c>
      <c r="D7424" t="s">
        <v>5344</v>
      </c>
      <c r="E7424" t="s">
        <v>18942</v>
      </c>
    </row>
    <row r="7425" spans="1:5" x14ac:dyDescent="0.2">
      <c r="A7425" t="s">
        <v>18943</v>
      </c>
      <c r="B7425" t="s">
        <v>18944</v>
      </c>
      <c r="C7425" t="s">
        <v>5344</v>
      </c>
      <c r="D7425" t="s">
        <v>5344</v>
      </c>
      <c r="E7425" t="s">
        <v>18945</v>
      </c>
    </row>
    <row r="7426" spans="1:5" x14ac:dyDescent="0.2">
      <c r="A7426" t="s">
        <v>18946</v>
      </c>
      <c r="B7426" t="s">
        <v>18947</v>
      </c>
      <c r="C7426" t="s">
        <v>5344</v>
      </c>
      <c r="D7426" t="s">
        <v>5344</v>
      </c>
      <c r="E7426" t="s">
        <v>18948</v>
      </c>
    </row>
    <row r="7427" spans="1:5" x14ac:dyDescent="0.2">
      <c r="A7427" t="s">
        <v>18949</v>
      </c>
      <c r="B7427" t="s">
        <v>18950</v>
      </c>
      <c r="C7427" t="s">
        <v>5344</v>
      </c>
      <c r="D7427" t="s">
        <v>5344</v>
      </c>
      <c r="E7427" t="s">
        <v>18951</v>
      </c>
    </row>
    <row r="7428" spans="1:5" x14ac:dyDescent="0.2">
      <c r="A7428" t="s">
        <v>18952</v>
      </c>
      <c r="B7428" t="s">
        <v>18953</v>
      </c>
      <c r="C7428" t="s">
        <v>5344</v>
      </c>
      <c r="D7428" t="s">
        <v>5344</v>
      </c>
      <c r="E7428" t="s">
        <v>18954</v>
      </c>
    </row>
    <row r="7429" spans="1:5" x14ac:dyDescent="0.2">
      <c r="A7429" t="s">
        <v>18955</v>
      </c>
      <c r="B7429" t="s">
        <v>18956</v>
      </c>
      <c r="C7429" t="s">
        <v>5344</v>
      </c>
      <c r="D7429" t="s">
        <v>5344</v>
      </c>
      <c r="E7429" t="s">
        <v>18957</v>
      </c>
    </row>
    <row r="7430" spans="1:5" x14ac:dyDescent="0.2">
      <c r="A7430" t="s">
        <v>18958</v>
      </c>
      <c r="B7430" t="s">
        <v>18959</v>
      </c>
      <c r="C7430" t="s">
        <v>5344</v>
      </c>
      <c r="D7430" t="s">
        <v>5344</v>
      </c>
      <c r="E7430" t="s">
        <v>18960</v>
      </c>
    </row>
    <row r="7431" spans="1:5" x14ac:dyDescent="0.2">
      <c r="A7431" t="s">
        <v>18961</v>
      </c>
      <c r="B7431" t="s">
        <v>18962</v>
      </c>
      <c r="C7431" t="s">
        <v>5344</v>
      </c>
      <c r="D7431" t="s">
        <v>5344</v>
      </c>
      <c r="E7431" t="s">
        <v>18963</v>
      </c>
    </row>
    <row r="7432" spans="1:5" x14ac:dyDescent="0.2">
      <c r="A7432" t="s">
        <v>18964</v>
      </c>
      <c r="B7432" t="s">
        <v>18965</v>
      </c>
      <c r="C7432" t="s">
        <v>5344</v>
      </c>
      <c r="D7432" t="s">
        <v>5344</v>
      </c>
      <c r="E7432" t="s">
        <v>18966</v>
      </c>
    </row>
    <row r="7433" spans="1:5" x14ac:dyDescent="0.2">
      <c r="A7433" t="s">
        <v>18967</v>
      </c>
      <c r="B7433" t="s">
        <v>18968</v>
      </c>
      <c r="C7433" t="s">
        <v>5344</v>
      </c>
      <c r="D7433" t="s">
        <v>5344</v>
      </c>
      <c r="E7433" t="s">
        <v>18969</v>
      </c>
    </row>
    <row r="7434" spans="1:5" x14ac:dyDescent="0.2">
      <c r="A7434" t="s">
        <v>18970</v>
      </c>
      <c r="B7434" t="s">
        <v>18971</v>
      </c>
      <c r="C7434" t="s">
        <v>5344</v>
      </c>
      <c r="D7434" t="s">
        <v>5344</v>
      </c>
      <c r="E7434" t="s">
        <v>18972</v>
      </c>
    </row>
    <row r="7435" spans="1:5" x14ac:dyDescent="0.2">
      <c r="A7435" t="s">
        <v>18973</v>
      </c>
      <c r="B7435" t="s">
        <v>18974</v>
      </c>
      <c r="C7435" t="s">
        <v>5344</v>
      </c>
      <c r="D7435" t="s">
        <v>5344</v>
      </c>
      <c r="E7435" t="s">
        <v>18975</v>
      </c>
    </row>
    <row r="7436" spans="1:5" x14ac:dyDescent="0.2">
      <c r="A7436" t="s">
        <v>18976</v>
      </c>
      <c r="B7436" t="s">
        <v>18977</v>
      </c>
      <c r="C7436" t="s">
        <v>5344</v>
      </c>
      <c r="D7436" t="s">
        <v>5344</v>
      </c>
      <c r="E7436" t="s">
        <v>18978</v>
      </c>
    </row>
    <row r="7437" spans="1:5" x14ac:dyDescent="0.2">
      <c r="A7437" t="s">
        <v>18979</v>
      </c>
      <c r="B7437" t="s">
        <v>18980</v>
      </c>
      <c r="C7437" t="s">
        <v>5344</v>
      </c>
      <c r="D7437" t="s">
        <v>5344</v>
      </c>
      <c r="E7437" t="s">
        <v>18981</v>
      </c>
    </row>
    <row r="7438" spans="1:5" x14ac:dyDescent="0.2">
      <c r="A7438" t="s">
        <v>18982</v>
      </c>
      <c r="B7438" t="s">
        <v>18983</v>
      </c>
      <c r="C7438" t="s">
        <v>5344</v>
      </c>
      <c r="D7438" t="s">
        <v>5344</v>
      </c>
      <c r="E7438" t="s">
        <v>18984</v>
      </c>
    </row>
    <row r="7439" spans="1:5" x14ac:dyDescent="0.2">
      <c r="A7439" t="s">
        <v>18985</v>
      </c>
      <c r="B7439" t="s">
        <v>18986</v>
      </c>
      <c r="C7439" t="s">
        <v>5344</v>
      </c>
      <c r="D7439" t="s">
        <v>5344</v>
      </c>
      <c r="E7439" t="s">
        <v>18987</v>
      </c>
    </row>
    <row r="7440" spans="1:5" x14ac:dyDescent="0.2">
      <c r="A7440" t="s">
        <v>18988</v>
      </c>
      <c r="B7440" t="s">
        <v>18989</v>
      </c>
      <c r="C7440" t="s">
        <v>5344</v>
      </c>
      <c r="D7440" t="s">
        <v>5344</v>
      </c>
      <c r="E7440" t="s">
        <v>18951</v>
      </c>
    </row>
    <row r="7441" spans="1:5" x14ac:dyDescent="0.2">
      <c r="A7441" t="s">
        <v>18990</v>
      </c>
      <c r="B7441" t="s">
        <v>18991</v>
      </c>
      <c r="C7441" t="s">
        <v>5344</v>
      </c>
      <c r="D7441" t="s">
        <v>5344</v>
      </c>
      <c r="E7441" t="s">
        <v>18992</v>
      </c>
    </row>
    <row r="7442" spans="1:5" x14ac:dyDescent="0.2">
      <c r="A7442" t="s">
        <v>18993</v>
      </c>
      <c r="B7442" t="s">
        <v>18994</v>
      </c>
      <c r="C7442" t="s">
        <v>5344</v>
      </c>
      <c r="D7442" t="s">
        <v>5344</v>
      </c>
      <c r="E7442" t="s">
        <v>18995</v>
      </c>
    </row>
    <row r="7443" spans="1:5" x14ac:dyDescent="0.2">
      <c r="A7443" t="s">
        <v>18996</v>
      </c>
      <c r="B7443" t="s">
        <v>18997</v>
      </c>
      <c r="C7443" t="s">
        <v>5344</v>
      </c>
      <c r="D7443" t="s">
        <v>5344</v>
      </c>
      <c r="E7443" t="s">
        <v>18998</v>
      </c>
    </row>
    <row r="7444" spans="1:5" x14ac:dyDescent="0.2">
      <c r="A7444" t="s">
        <v>18999</v>
      </c>
      <c r="B7444" t="s">
        <v>19000</v>
      </c>
      <c r="C7444" t="s">
        <v>5344</v>
      </c>
      <c r="D7444" t="s">
        <v>5344</v>
      </c>
      <c r="E7444" t="s">
        <v>19001</v>
      </c>
    </row>
    <row r="7445" spans="1:5" x14ac:dyDescent="0.2">
      <c r="A7445" t="s">
        <v>19002</v>
      </c>
      <c r="B7445" t="s">
        <v>19003</v>
      </c>
      <c r="C7445" t="s">
        <v>5344</v>
      </c>
      <c r="D7445" t="s">
        <v>5344</v>
      </c>
      <c r="E7445" t="s">
        <v>19004</v>
      </c>
    </row>
    <row r="7446" spans="1:5" x14ac:dyDescent="0.2">
      <c r="A7446" t="s">
        <v>19005</v>
      </c>
      <c r="B7446" t="s">
        <v>19006</v>
      </c>
      <c r="C7446" t="s">
        <v>5344</v>
      </c>
      <c r="D7446" t="e">
        <v>#N/A</v>
      </c>
      <c r="E7446" t="e">
        <v>#N/A</v>
      </c>
    </row>
    <row r="7447" spans="1:5" x14ac:dyDescent="0.2">
      <c r="A7447" t="s">
        <v>19007</v>
      </c>
      <c r="B7447" t="s">
        <v>19008</v>
      </c>
      <c r="C7447" t="s">
        <v>5344</v>
      </c>
      <c r="D7447" t="e">
        <v>#N/A</v>
      </c>
      <c r="E7447" t="e">
        <v>#N/A</v>
      </c>
    </row>
    <row r="7448" spans="1:5" x14ac:dyDescent="0.2">
      <c r="A7448" t="s">
        <v>19009</v>
      </c>
      <c r="B7448" t="s">
        <v>19010</v>
      </c>
      <c r="C7448" t="s">
        <v>5344</v>
      </c>
      <c r="D7448" t="e">
        <v>#N/A</v>
      </c>
      <c r="E7448" t="e">
        <v>#N/A</v>
      </c>
    </row>
    <row r="7449" spans="1:5" x14ac:dyDescent="0.2">
      <c r="A7449" t="s">
        <v>19011</v>
      </c>
      <c r="B7449" t="s">
        <v>19012</v>
      </c>
      <c r="C7449" t="s">
        <v>19013</v>
      </c>
      <c r="D7449" t="s">
        <v>19013</v>
      </c>
      <c r="E7449" t="s">
        <v>19014</v>
      </c>
    </row>
    <row r="7450" spans="1:5" x14ac:dyDescent="0.2">
      <c r="A7450" t="s">
        <v>19015</v>
      </c>
      <c r="B7450" t="s">
        <v>19016</v>
      </c>
      <c r="C7450" t="s">
        <v>19013</v>
      </c>
      <c r="D7450" t="s">
        <v>19013</v>
      </c>
      <c r="E7450" t="s">
        <v>19017</v>
      </c>
    </row>
    <row r="7451" spans="1:5" x14ac:dyDescent="0.2">
      <c r="A7451" t="s">
        <v>19018</v>
      </c>
      <c r="B7451" t="s">
        <v>19019</v>
      </c>
      <c r="C7451" t="s">
        <v>19013</v>
      </c>
      <c r="D7451" t="s">
        <v>19013</v>
      </c>
      <c r="E7451" t="s">
        <v>19020</v>
      </c>
    </row>
    <row r="7452" spans="1:5" x14ac:dyDescent="0.2">
      <c r="A7452" t="s">
        <v>19021</v>
      </c>
      <c r="B7452" t="s">
        <v>19022</v>
      </c>
      <c r="C7452" t="s">
        <v>19013</v>
      </c>
      <c r="D7452" t="s">
        <v>19013</v>
      </c>
      <c r="E7452" t="s">
        <v>19023</v>
      </c>
    </row>
    <row r="7453" spans="1:5" x14ac:dyDescent="0.2">
      <c r="A7453" t="s">
        <v>19024</v>
      </c>
      <c r="B7453" t="s">
        <v>19025</v>
      </c>
      <c r="C7453" t="s">
        <v>19013</v>
      </c>
      <c r="D7453" t="s">
        <v>19013</v>
      </c>
      <c r="E7453" t="s">
        <v>19026</v>
      </c>
    </row>
    <row r="7454" spans="1:5" x14ac:dyDescent="0.2">
      <c r="A7454" t="s">
        <v>19027</v>
      </c>
      <c r="B7454" t="s">
        <v>19028</v>
      </c>
      <c r="C7454" t="s">
        <v>19013</v>
      </c>
      <c r="D7454" t="s">
        <v>19013</v>
      </c>
      <c r="E7454" t="s">
        <v>19029</v>
      </c>
    </row>
    <row r="7455" spans="1:5" x14ac:dyDescent="0.2">
      <c r="A7455" t="s">
        <v>19030</v>
      </c>
      <c r="B7455" t="s">
        <v>19031</v>
      </c>
      <c r="C7455" t="s">
        <v>19013</v>
      </c>
      <c r="D7455" t="s">
        <v>19013</v>
      </c>
      <c r="E7455" t="s">
        <v>19032</v>
      </c>
    </row>
    <row r="7456" spans="1:5" x14ac:dyDescent="0.2">
      <c r="A7456" t="s">
        <v>19033</v>
      </c>
      <c r="B7456" t="s">
        <v>19034</v>
      </c>
      <c r="C7456" t="s">
        <v>19013</v>
      </c>
      <c r="D7456" t="s">
        <v>19013</v>
      </c>
      <c r="E7456" t="s">
        <v>19035</v>
      </c>
    </row>
    <row r="7457" spans="1:5" x14ac:dyDescent="0.2">
      <c r="A7457" t="s">
        <v>19036</v>
      </c>
      <c r="B7457" t="s">
        <v>19037</v>
      </c>
      <c r="C7457" t="s">
        <v>19013</v>
      </c>
      <c r="D7457" t="s">
        <v>19013</v>
      </c>
      <c r="E7457" t="s">
        <v>19038</v>
      </c>
    </row>
    <row r="7458" spans="1:5" x14ac:dyDescent="0.2">
      <c r="A7458" t="s">
        <v>19039</v>
      </c>
      <c r="B7458" t="s">
        <v>19040</v>
      </c>
      <c r="C7458" t="s">
        <v>19013</v>
      </c>
      <c r="D7458" t="s">
        <v>19013</v>
      </c>
      <c r="E7458" t="s">
        <v>19041</v>
      </c>
    </row>
    <row r="7459" spans="1:5" x14ac:dyDescent="0.2">
      <c r="A7459" t="s">
        <v>19042</v>
      </c>
      <c r="B7459" t="s">
        <v>19043</v>
      </c>
      <c r="C7459" t="s">
        <v>19013</v>
      </c>
      <c r="D7459" t="s">
        <v>19013</v>
      </c>
      <c r="E7459" t="s">
        <v>19044</v>
      </c>
    </row>
    <row r="7460" spans="1:5" x14ac:dyDescent="0.2">
      <c r="A7460" t="s">
        <v>19045</v>
      </c>
      <c r="B7460" t="s">
        <v>19046</v>
      </c>
      <c r="C7460" t="s">
        <v>19013</v>
      </c>
      <c r="D7460" t="s">
        <v>19013</v>
      </c>
      <c r="E7460" t="s">
        <v>19047</v>
      </c>
    </row>
    <row r="7461" spans="1:5" x14ac:dyDescent="0.2">
      <c r="A7461" t="s">
        <v>19048</v>
      </c>
      <c r="B7461" t="s">
        <v>19049</v>
      </c>
      <c r="C7461" t="s">
        <v>19013</v>
      </c>
      <c r="D7461" t="s">
        <v>19013</v>
      </c>
      <c r="E7461" t="s">
        <v>19050</v>
      </c>
    </row>
    <row r="7462" spans="1:5" x14ac:dyDescent="0.2">
      <c r="A7462" t="s">
        <v>19051</v>
      </c>
      <c r="B7462" t="s">
        <v>19052</v>
      </c>
      <c r="C7462" t="s">
        <v>19013</v>
      </c>
      <c r="D7462" t="s">
        <v>19013</v>
      </c>
      <c r="E7462" t="s">
        <v>19053</v>
      </c>
    </row>
    <row r="7463" spans="1:5" x14ac:dyDescent="0.2">
      <c r="A7463" t="s">
        <v>19054</v>
      </c>
      <c r="B7463" t="s">
        <v>19055</v>
      </c>
      <c r="C7463" t="s">
        <v>19013</v>
      </c>
      <c r="D7463" t="s">
        <v>19013</v>
      </c>
      <c r="E7463" t="s">
        <v>19056</v>
      </c>
    </row>
    <row r="7464" spans="1:5" x14ac:dyDescent="0.2">
      <c r="A7464" t="s">
        <v>19057</v>
      </c>
      <c r="B7464" t="s">
        <v>19058</v>
      </c>
      <c r="C7464" t="s">
        <v>19013</v>
      </c>
      <c r="D7464" t="s">
        <v>19013</v>
      </c>
      <c r="E7464" t="s">
        <v>19059</v>
      </c>
    </row>
    <row r="7465" spans="1:5" x14ac:dyDescent="0.2">
      <c r="A7465" t="s">
        <v>19060</v>
      </c>
      <c r="B7465" t="s">
        <v>19061</v>
      </c>
      <c r="C7465" t="s">
        <v>19013</v>
      </c>
      <c r="D7465" t="s">
        <v>19013</v>
      </c>
      <c r="E7465" t="s">
        <v>19062</v>
      </c>
    </row>
    <row r="7466" spans="1:5" x14ac:dyDescent="0.2">
      <c r="A7466" t="s">
        <v>19063</v>
      </c>
      <c r="B7466" t="s">
        <v>19064</v>
      </c>
      <c r="C7466" t="s">
        <v>19013</v>
      </c>
      <c r="D7466" t="s">
        <v>19013</v>
      </c>
      <c r="E7466" t="s">
        <v>19065</v>
      </c>
    </row>
    <row r="7467" spans="1:5" x14ac:dyDescent="0.2">
      <c r="A7467" t="s">
        <v>19066</v>
      </c>
      <c r="B7467" t="s">
        <v>19067</v>
      </c>
      <c r="C7467" t="s">
        <v>19013</v>
      </c>
      <c r="D7467" t="s">
        <v>19013</v>
      </c>
      <c r="E7467" t="s">
        <v>19068</v>
      </c>
    </row>
    <row r="7468" spans="1:5" x14ac:dyDescent="0.2">
      <c r="A7468" t="s">
        <v>19069</v>
      </c>
      <c r="B7468" t="s">
        <v>19070</v>
      </c>
      <c r="C7468" t="s">
        <v>19013</v>
      </c>
      <c r="D7468" t="s">
        <v>19013</v>
      </c>
      <c r="E7468" t="s">
        <v>19071</v>
      </c>
    </row>
    <row r="7469" spans="1:5" x14ac:dyDescent="0.2">
      <c r="A7469" t="s">
        <v>19072</v>
      </c>
      <c r="B7469" t="s">
        <v>19073</v>
      </c>
      <c r="C7469" t="s">
        <v>19013</v>
      </c>
      <c r="D7469" t="s">
        <v>19013</v>
      </c>
      <c r="E7469" t="s">
        <v>19041</v>
      </c>
    </row>
    <row r="7470" spans="1:5" x14ac:dyDescent="0.2">
      <c r="A7470" t="s">
        <v>19074</v>
      </c>
      <c r="B7470" t="s">
        <v>19075</v>
      </c>
      <c r="C7470" t="s">
        <v>19013</v>
      </c>
      <c r="D7470" t="s">
        <v>19013</v>
      </c>
      <c r="E7470" t="s">
        <v>19014</v>
      </c>
    </row>
    <row r="7471" spans="1:5" x14ac:dyDescent="0.2">
      <c r="A7471" t="s">
        <v>19076</v>
      </c>
      <c r="B7471" t="s">
        <v>19077</v>
      </c>
      <c r="C7471" t="s">
        <v>19013</v>
      </c>
      <c r="D7471" t="s">
        <v>19013</v>
      </c>
      <c r="E7471" t="s">
        <v>19078</v>
      </c>
    </row>
    <row r="7472" spans="1:5" x14ac:dyDescent="0.2">
      <c r="A7472" t="s">
        <v>19079</v>
      </c>
      <c r="B7472" t="s">
        <v>19080</v>
      </c>
      <c r="C7472" t="s">
        <v>19013</v>
      </c>
      <c r="D7472" t="s">
        <v>19013</v>
      </c>
      <c r="E7472" t="s">
        <v>19081</v>
      </c>
    </row>
    <row r="7473" spans="1:5" x14ac:dyDescent="0.2">
      <c r="A7473" t="s">
        <v>19082</v>
      </c>
      <c r="B7473" t="s">
        <v>19083</v>
      </c>
      <c r="C7473" t="s">
        <v>19013</v>
      </c>
      <c r="D7473" t="s">
        <v>19013</v>
      </c>
      <c r="E7473" t="s">
        <v>19059</v>
      </c>
    </row>
    <row r="7474" spans="1:5" x14ac:dyDescent="0.2">
      <c r="A7474" t="s">
        <v>19084</v>
      </c>
      <c r="B7474" t="s">
        <v>19085</v>
      </c>
      <c r="C7474" t="s">
        <v>19013</v>
      </c>
      <c r="D7474" t="s">
        <v>19013</v>
      </c>
      <c r="E7474" t="s">
        <v>19086</v>
      </c>
    </row>
    <row r="7475" spans="1:5" x14ac:dyDescent="0.2">
      <c r="A7475" t="s">
        <v>19087</v>
      </c>
      <c r="B7475" t="s">
        <v>19088</v>
      </c>
      <c r="C7475" t="s">
        <v>19013</v>
      </c>
      <c r="D7475" t="s">
        <v>19013</v>
      </c>
      <c r="E7475" t="s">
        <v>19089</v>
      </c>
    </row>
    <row r="7476" spans="1:5" x14ac:dyDescent="0.2">
      <c r="A7476" t="s">
        <v>19090</v>
      </c>
      <c r="B7476" t="s">
        <v>19091</v>
      </c>
      <c r="C7476" t="s">
        <v>19013</v>
      </c>
      <c r="D7476" t="s">
        <v>19013</v>
      </c>
      <c r="E7476" t="s">
        <v>19092</v>
      </c>
    </row>
    <row r="7477" spans="1:5" x14ac:dyDescent="0.2">
      <c r="A7477" t="s">
        <v>19093</v>
      </c>
      <c r="B7477" t="s">
        <v>19094</v>
      </c>
      <c r="C7477" t="s">
        <v>19013</v>
      </c>
      <c r="D7477" t="s">
        <v>19013</v>
      </c>
      <c r="E7477" t="s">
        <v>19095</v>
      </c>
    </row>
    <row r="7478" spans="1:5" x14ac:dyDescent="0.2">
      <c r="A7478" t="s">
        <v>19096</v>
      </c>
      <c r="B7478" t="s">
        <v>19097</v>
      </c>
      <c r="C7478" t="s">
        <v>19013</v>
      </c>
      <c r="D7478" t="s">
        <v>19013</v>
      </c>
      <c r="E7478" t="s">
        <v>19098</v>
      </c>
    </row>
    <row r="7479" spans="1:5" x14ac:dyDescent="0.2">
      <c r="A7479" t="s">
        <v>19099</v>
      </c>
      <c r="B7479" t="s">
        <v>19100</v>
      </c>
      <c r="C7479" t="s">
        <v>19013</v>
      </c>
      <c r="D7479" t="s">
        <v>19013</v>
      </c>
      <c r="E7479" t="s">
        <v>19047</v>
      </c>
    </row>
    <row r="7480" spans="1:5" x14ac:dyDescent="0.2">
      <c r="A7480" t="s">
        <v>19101</v>
      </c>
      <c r="B7480" t="s">
        <v>19102</v>
      </c>
      <c r="C7480" t="s">
        <v>19013</v>
      </c>
      <c r="D7480" t="s">
        <v>19013</v>
      </c>
      <c r="E7480" t="s">
        <v>19103</v>
      </c>
    </row>
    <row r="7481" spans="1:5" x14ac:dyDescent="0.2">
      <c r="A7481" t="s">
        <v>19104</v>
      </c>
      <c r="B7481" t="s">
        <v>19105</v>
      </c>
      <c r="C7481" t="s">
        <v>19013</v>
      </c>
      <c r="D7481" t="s">
        <v>19013</v>
      </c>
      <c r="E7481" t="s">
        <v>19106</v>
      </c>
    </row>
    <row r="7482" spans="1:5" x14ac:dyDescent="0.2">
      <c r="A7482" t="s">
        <v>19107</v>
      </c>
      <c r="B7482" t="s">
        <v>19108</v>
      </c>
      <c r="C7482" t="s">
        <v>19013</v>
      </c>
      <c r="D7482" t="s">
        <v>19013</v>
      </c>
      <c r="E7482" t="s">
        <v>19053</v>
      </c>
    </row>
    <row r="7483" spans="1:5" x14ac:dyDescent="0.2">
      <c r="A7483" t="s">
        <v>19109</v>
      </c>
      <c r="B7483" t="s">
        <v>19110</v>
      </c>
      <c r="C7483" t="s">
        <v>19013</v>
      </c>
      <c r="D7483" t="s">
        <v>19013</v>
      </c>
      <c r="E7483" t="s">
        <v>19111</v>
      </c>
    </row>
    <row r="7484" spans="1:5" x14ac:dyDescent="0.2">
      <c r="A7484" t="s">
        <v>19112</v>
      </c>
      <c r="B7484" t="s">
        <v>19113</v>
      </c>
      <c r="C7484" t="s">
        <v>19013</v>
      </c>
      <c r="D7484" t="s">
        <v>19013</v>
      </c>
      <c r="E7484" t="s">
        <v>19047</v>
      </c>
    </row>
    <row r="7485" spans="1:5" x14ac:dyDescent="0.2">
      <c r="A7485" t="s">
        <v>19114</v>
      </c>
      <c r="B7485" t="s">
        <v>19115</v>
      </c>
      <c r="C7485" t="s">
        <v>19013</v>
      </c>
      <c r="D7485" t="s">
        <v>19013</v>
      </c>
      <c r="E7485" t="s">
        <v>19065</v>
      </c>
    </row>
    <row r="7486" spans="1:5" x14ac:dyDescent="0.2">
      <c r="A7486" t="s">
        <v>19116</v>
      </c>
      <c r="B7486" t="s">
        <v>19117</v>
      </c>
      <c r="C7486" t="s">
        <v>19013</v>
      </c>
      <c r="D7486" t="s">
        <v>19013</v>
      </c>
      <c r="E7486" t="s">
        <v>19118</v>
      </c>
    </row>
    <row r="7487" spans="1:5" x14ac:dyDescent="0.2">
      <c r="A7487" t="s">
        <v>19119</v>
      </c>
      <c r="B7487" t="s">
        <v>19120</v>
      </c>
      <c r="C7487" t="s">
        <v>19013</v>
      </c>
      <c r="D7487" t="s">
        <v>19013</v>
      </c>
      <c r="E7487" t="s">
        <v>19121</v>
      </c>
    </row>
    <row r="7488" spans="1:5" x14ac:dyDescent="0.2">
      <c r="A7488" t="s">
        <v>19122</v>
      </c>
      <c r="B7488" t="s">
        <v>19123</v>
      </c>
      <c r="C7488" t="s">
        <v>19013</v>
      </c>
      <c r="D7488" t="s">
        <v>19013</v>
      </c>
      <c r="E7488" t="s">
        <v>19124</v>
      </c>
    </row>
    <row r="7489" spans="1:5" x14ac:dyDescent="0.2">
      <c r="A7489" t="s">
        <v>19125</v>
      </c>
      <c r="B7489" t="s">
        <v>19126</v>
      </c>
      <c r="C7489" t="s">
        <v>19013</v>
      </c>
      <c r="D7489" t="s">
        <v>19013</v>
      </c>
      <c r="E7489" t="s">
        <v>19127</v>
      </c>
    </row>
    <row r="7490" spans="1:5" x14ac:dyDescent="0.2">
      <c r="A7490" t="s">
        <v>19128</v>
      </c>
      <c r="B7490" t="s">
        <v>19129</v>
      </c>
      <c r="C7490" t="s">
        <v>19013</v>
      </c>
      <c r="D7490" t="s">
        <v>19013</v>
      </c>
      <c r="E7490" t="s">
        <v>19130</v>
      </c>
    </row>
    <row r="7491" spans="1:5" x14ac:dyDescent="0.2">
      <c r="A7491" t="s">
        <v>19131</v>
      </c>
      <c r="B7491" t="s">
        <v>19132</v>
      </c>
      <c r="C7491" t="s">
        <v>19013</v>
      </c>
      <c r="D7491" t="s">
        <v>19013</v>
      </c>
      <c r="E7491" t="s">
        <v>19068</v>
      </c>
    </row>
    <row r="7492" spans="1:5" x14ac:dyDescent="0.2">
      <c r="A7492" t="s">
        <v>19133</v>
      </c>
      <c r="B7492" t="s">
        <v>19134</v>
      </c>
      <c r="C7492" t="s">
        <v>19013</v>
      </c>
      <c r="D7492" t="s">
        <v>19013</v>
      </c>
      <c r="E7492" t="s">
        <v>19135</v>
      </c>
    </row>
    <row r="7493" spans="1:5" x14ac:dyDescent="0.2">
      <c r="A7493" t="s">
        <v>19136</v>
      </c>
      <c r="B7493" t="s">
        <v>19137</v>
      </c>
      <c r="C7493" t="s">
        <v>19013</v>
      </c>
      <c r="D7493" t="s">
        <v>19013</v>
      </c>
      <c r="E7493" t="s">
        <v>19138</v>
      </c>
    </row>
    <row r="7494" spans="1:5" x14ac:dyDescent="0.2">
      <c r="A7494" t="s">
        <v>19139</v>
      </c>
      <c r="B7494" t="s">
        <v>19140</v>
      </c>
      <c r="C7494" t="s">
        <v>19013</v>
      </c>
      <c r="D7494" t="s">
        <v>19013</v>
      </c>
      <c r="E7494" t="s">
        <v>19141</v>
      </c>
    </row>
    <row r="7495" spans="1:5" x14ac:dyDescent="0.2">
      <c r="A7495" t="s">
        <v>19142</v>
      </c>
      <c r="B7495" t="s">
        <v>19143</v>
      </c>
      <c r="C7495" t="s">
        <v>19013</v>
      </c>
      <c r="D7495" t="s">
        <v>19013</v>
      </c>
      <c r="E7495" t="s">
        <v>19144</v>
      </c>
    </row>
    <row r="7496" spans="1:5" x14ac:dyDescent="0.2">
      <c r="A7496" t="s">
        <v>19145</v>
      </c>
      <c r="B7496" t="s">
        <v>19146</v>
      </c>
      <c r="C7496" t="s">
        <v>19013</v>
      </c>
      <c r="D7496" t="s">
        <v>19013</v>
      </c>
      <c r="E7496" t="s">
        <v>19053</v>
      </c>
    </row>
    <row r="7497" spans="1:5" x14ac:dyDescent="0.2">
      <c r="A7497" t="s">
        <v>19147</v>
      </c>
      <c r="B7497" t="s">
        <v>19148</v>
      </c>
      <c r="C7497" t="s">
        <v>19013</v>
      </c>
      <c r="D7497" t="s">
        <v>19013</v>
      </c>
      <c r="E7497" t="s">
        <v>19149</v>
      </c>
    </row>
    <row r="7498" spans="1:5" x14ac:dyDescent="0.2">
      <c r="A7498" t="s">
        <v>19150</v>
      </c>
      <c r="B7498" t="s">
        <v>19151</v>
      </c>
      <c r="C7498" t="s">
        <v>19013</v>
      </c>
      <c r="D7498" t="s">
        <v>19013</v>
      </c>
      <c r="E7498" t="s">
        <v>19152</v>
      </c>
    </row>
    <row r="7499" spans="1:5" x14ac:dyDescent="0.2">
      <c r="A7499" t="s">
        <v>19153</v>
      </c>
      <c r="B7499" t="s">
        <v>19154</v>
      </c>
      <c r="C7499" t="s">
        <v>19013</v>
      </c>
      <c r="D7499" t="s">
        <v>19013</v>
      </c>
      <c r="E7499" t="s">
        <v>19155</v>
      </c>
    </row>
    <row r="7500" spans="1:5" x14ac:dyDescent="0.2">
      <c r="A7500" t="s">
        <v>19156</v>
      </c>
      <c r="B7500" t="s">
        <v>19157</v>
      </c>
      <c r="C7500" t="s">
        <v>19013</v>
      </c>
      <c r="D7500" t="s">
        <v>19013</v>
      </c>
      <c r="E7500" t="s">
        <v>19158</v>
      </c>
    </row>
    <row r="7501" spans="1:5" x14ac:dyDescent="0.2">
      <c r="A7501" t="s">
        <v>19159</v>
      </c>
      <c r="B7501" t="s">
        <v>19160</v>
      </c>
      <c r="C7501" t="s">
        <v>19013</v>
      </c>
      <c r="D7501" t="s">
        <v>19013</v>
      </c>
      <c r="E7501" t="s">
        <v>19161</v>
      </c>
    </row>
    <row r="7502" spans="1:5" x14ac:dyDescent="0.2">
      <c r="A7502" t="s">
        <v>19162</v>
      </c>
      <c r="B7502" t="s">
        <v>19163</v>
      </c>
      <c r="C7502" t="s">
        <v>19013</v>
      </c>
      <c r="D7502" t="s">
        <v>19013</v>
      </c>
      <c r="E7502" t="s">
        <v>19164</v>
      </c>
    </row>
    <row r="7503" spans="1:5" x14ac:dyDescent="0.2">
      <c r="A7503" t="s">
        <v>19165</v>
      </c>
      <c r="B7503" t="s">
        <v>19166</v>
      </c>
      <c r="C7503" t="s">
        <v>19013</v>
      </c>
      <c r="D7503" t="s">
        <v>19013</v>
      </c>
      <c r="E7503" t="s">
        <v>19167</v>
      </c>
    </row>
    <row r="7504" spans="1:5" x14ac:dyDescent="0.2">
      <c r="A7504" t="s">
        <v>19168</v>
      </c>
      <c r="B7504" t="s">
        <v>19169</v>
      </c>
      <c r="C7504" t="s">
        <v>19013</v>
      </c>
      <c r="D7504" t="s">
        <v>19013</v>
      </c>
      <c r="E7504" t="s">
        <v>19170</v>
      </c>
    </row>
    <row r="7505" spans="1:5" x14ac:dyDescent="0.2">
      <c r="A7505" t="s">
        <v>19171</v>
      </c>
      <c r="B7505" t="s">
        <v>19172</v>
      </c>
      <c r="C7505" t="s">
        <v>19013</v>
      </c>
      <c r="D7505" t="s">
        <v>19013</v>
      </c>
      <c r="E7505" t="s">
        <v>19173</v>
      </c>
    </row>
    <row r="7506" spans="1:5" x14ac:dyDescent="0.2">
      <c r="A7506" t="s">
        <v>19174</v>
      </c>
      <c r="B7506" t="s">
        <v>19175</v>
      </c>
      <c r="C7506" t="s">
        <v>19013</v>
      </c>
      <c r="D7506" t="s">
        <v>19013</v>
      </c>
      <c r="E7506" t="s">
        <v>19176</v>
      </c>
    </row>
    <row r="7507" spans="1:5" x14ac:dyDescent="0.2">
      <c r="A7507" t="s">
        <v>19177</v>
      </c>
      <c r="B7507" t="s">
        <v>19178</v>
      </c>
      <c r="C7507" t="s">
        <v>19013</v>
      </c>
      <c r="D7507" t="s">
        <v>19013</v>
      </c>
      <c r="E7507" t="s">
        <v>19179</v>
      </c>
    </row>
    <row r="7508" spans="1:5" x14ac:dyDescent="0.2">
      <c r="A7508" t="s">
        <v>19180</v>
      </c>
      <c r="B7508" t="s">
        <v>19181</v>
      </c>
      <c r="C7508" t="s">
        <v>19013</v>
      </c>
      <c r="D7508" t="e">
        <v>#N/A</v>
      </c>
      <c r="E7508" t="e">
        <v>#N/A</v>
      </c>
    </row>
    <row r="7509" spans="1:5" x14ac:dyDescent="0.2">
      <c r="A7509" t="s">
        <v>19182</v>
      </c>
      <c r="B7509" t="s">
        <v>19183</v>
      </c>
      <c r="C7509" t="s">
        <v>19184</v>
      </c>
      <c r="D7509" t="s">
        <v>19184</v>
      </c>
      <c r="E7509" t="s">
        <v>19185</v>
      </c>
    </row>
    <row r="7510" spans="1:5" x14ac:dyDescent="0.2">
      <c r="A7510" t="s">
        <v>19186</v>
      </c>
      <c r="B7510" t="s">
        <v>19187</v>
      </c>
      <c r="C7510" t="s">
        <v>19184</v>
      </c>
      <c r="D7510" t="s">
        <v>19184</v>
      </c>
      <c r="E7510" t="s">
        <v>19188</v>
      </c>
    </row>
    <row r="7511" spans="1:5" x14ac:dyDescent="0.2">
      <c r="A7511" t="s">
        <v>19189</v>
      </c>
      <c r="B7511" t="s">
        <v>19190</v>
      </c>
      <c r="C7511" t="s">
        <v>19184</v>
      </c>
      <c r="D7511" t="s">
        <v>19184</v>
      </c>
      <c r="E7511" t="s">
        <v>19191</v>
      </c>
    </row>
    <row r="7512" spans="1:5" x14ac:dyDescent="0.2">
      <c r="A7512" t="s">
        <v>19192</v>
      </c>
      <c r="B7512" t="s">
        <v>19193</v>
      </c>
      <c r="C7512" t="s">
        <v>19184</v>
      </c>
      <c r="D7512" t="s">
        <v>19184</v>
      </c>
      <c r="E7512" t="s">
        <v>19194</v>
      </c>
    </row>
    <row r="7513" spans="1:5" x14ac:dyDescent="0.2">
      <c r="A7513" t="s">
        <v>19195</v>
      </c>
      <c r="B7513" t="s">
        <v>19196</v>
      </c>
      <c r="C7513" t="s">
        <v>19184</v>
      </c>
      <c r="D7513" t="s">
        <v>19184</v>
      </c>
      <c r="E7513" t="s">
        <v>19197</v>
      </c>
    </row>
    <row r="7514" spans="1:5" x14ac:dyDescent="0.2">
      <c r="A7514" t="s">
        <v>19198</v>
      </c>
      <c r="B7514" t="s">
        <v>19199</v>
      </c>
      <c r="C7514" t="s">
        <v>19184</v>
      </c>
      <c r="D7514" t="s">
        <v>19184</v>
      </c>
      <c r="E7514" t="s">
        <v>19200</v>
      </c>
    </row>
    <row r="7515" spans="1:5" x14ac:dyDescent="0.2">
      <c r="A7515" t="s">
        <v>19201</v>
      </c>
      <c r="B7515" t="s">
        <v>19202</v>
      </c>
      <c r="C7515" t="s">
        <v>19184</v>
      </c>
      <c r="D7515" t="s">
        <v>19184</v>
      </c>
      <c r="E7515" t="s">
        <v>19203</v>
      </c>
    </row>
    <row r="7516" spans="1:5" x14ac:dyDescent="0.2">
      <c r="A7516" t="s">
        <v>19204</v>
      </c>
      <c r="B7516" t="s">
        <v>19205</v>
      </c>
      <c r="C7516" t="s">
        <v>19184</v>
      </c>
      <c r="D7516" t="s">
        <v>19184</v>
      </c>
      <c r="E7516" t="s">
        <v>19206</v>
      </c>
    </row>
    <row r="7517" spans="1:5" x14ac:dyDescent="0.2">
      <c r="A7517" t="s">
        <v>19207</v>
      </c>
      <c r="B7517" t="s">
        <v>19208</v>
      </c>
      <c r="C7517" t="s">
        <v>19184</v>
      </c>
      <c r="D7517" t="s">
        <v>19184</v>
      </c>
      <c r="E7517" t="s">
        <v>19209</v>
      </c>
    </row>
    <row r="7518" spans="1:5" x14ac:dyDescent="0.2">
      <c r="A7518" t="s">
        <v>19210</v>
      </c>
      <c r="B7518" t="s">
        <v>19211</v>
      </c>
      <c r="C7518" t="s">
        <v>19184</v>
      </c>
      <c r="D7518" t="s">
        <v>19184</v>
      </c>
      <c r="E7518" t="s">
        <v>19212</v>
      </c>
    </row>
    <row r="7519" spans="1:5" x14ac:dyDescent="0.2">
      <c r="A7519" t="s">
        <v>19213</v>
      </c>
      <c r="B7519" t="s">
        <v>19214</v>
      </c>
      <c r="C7519" t="s">
        <v>19184</v>
      </c>
      <c r="D7519" t="s">
        <v>19184</v>
      </c>
      <c r="E7519" t="s">
        <v>19215</v>
      </c>
    </row>
    <row r="7520" spans="1:5" x14ac:dyDescent="0.2">
      <c r="A7520" t="s">
        <v>19216</v>
      </c>
      <c r="B7520" t="s">
        <v>19217</v>
      </c>
      <c r="C7520" t="s">
        <v>19184</v>
      </c>
      <c r="D7520" t="s">
        <v>19184</v>
      </c>
      <c r="E7520" t="s">
        <v>19218</v>
      </c>
    </row>
    <row r="7521" spans="1:5" x14ac:dyDescent="0.2">
      <c r="A7521" t="s">
        <v>19219</v>
      </c>
      <c r="B7521" t="s">
        <v>19220</v>
      </c>
      <c r="C7521" t="s">
        <v>19184</v>
      </c>
      <c r="D7521" t="s">
        <v>19184</v>
      </c>
      <c r="E7521" t="s">
        <v>19221</v>
      </c>
    </row>
    <row r="7522" spans="1:5" x14ac:dyDescent="0.2">
      <c r="A7522" t="s">
        <v>19222</v>
      </c>
      <c r="B7522" t="s">
        <v>19223</v>
      </c>
      <c r="C7522" t="s">
        <v>19184</v>
      </c>
      <c r="D7522" t="s">
        <v>19184</v>
      </c>
      <c r="E7522" t="s">
        <v>19224</v>
      </c>
    </row>
    <row r="7523" spans="1:5" x14ac:dyDescent="0.2">
      <c r="A7523" t="s">
        <v>19225</v>
      </c>
      <c r="B7523" t="s">
        <v>19226</v>
      </c>
      <c r="C7523" t="s">
        <v>19184</v>
      </c>
      <c r="D7523" t="s">
        <v>19184</v>
      </c>
      <c r="E7523" t="s">
        <v>19227</v>
      </c>
    </row>
    <row r="7524" spans="1:5" x14ac:dyDescent="0.2">
      <c r="A7524" t="s">
        <v>19228</v>
      </c>
      <c r="B7524" t="s">
        <v>19229</v>
      </c>
      <c r="C7524" t="s">
        <v>19184</v>
      </c>
      <c r="D7524" t="s">
        <v>19184</v>
      </c>
      <c r="E7524" t="s">
        <v>19230</v>
      </c>
    </row>
    <row r="7525" spans="1:5" x14ac:dyDescent="0.2">
      <c r="A7525" t="s">
        <v>19231</v>
      </c>
      <c r="B7525" t="s">
        <v>19232</v>
      </c>
      <c r="C7525" t="s">
        <v>19184</v>
      </c>
      <c r="D7525" t="s">
        <v>19184</v>
      </c>
      <c r="E7525" t="s">
        <v>19233</v>
      </c>
    </row>
    <row r="7526" spans="1:5" x14ac:dyDescent="0.2">
      <c r="A7526" t="s">
        <v>19234</v>
      </c>
      <c r="B7526" t="s">
        <v>19235</v>
      </c>
      <c r="C7526" t="s">
        <v>19184</v>
      </c>
      <c r="D7526" t="s">
        <v>19184</v>
      </c>
      <c r="E7526" t="s">
        <v>19236</v>
      </c>
    </row>
    <row r="7527" spans="1:5" x14ac:dyDescent="0.2">
      <c r="A7527" t="s">
        <v>19237</v>
      </c>
      <c r="B7527" t="s">
        <v>19238</v>
      </c>
      <c r="C7527" t="s">
        <v>19184</v>
      </c>
      <c r="D7527" t="s">
        <v>19184</v>
      </c>
      <c r="E7527" t="s">
        <v>19239</v>
      </c>
    </row>
    <row r="7528" spans="1:5" x14ac:dyDescent="0.2">
      <c r="A7528" t="s">
        <v>19240</v>
      </c>
      <c r="B7528" t="s">
        <v>19241</v>
      </c>
      <c r="C7528" t="s">
        <v>19184</v>
      </c>
      <c r="D7528" t="s">
        <v>19184</v>
      </c>
      <c r="E7528" t="s">
        <v>19242</v>
      </c>
    </row>
    <row r="7529" spans="1:5" x14ac:dyDescent="0.2">
      <c r="A7529" t="s">
        <v>19243</v>
      </c>
      <c r="B7529" t="s">
        <v>19244</v>
      </c>
      <c r="C7529" t="s">
        <v>19184</v>
      </c>
      <c r="D7529" t="s">
        <v>19184</v>
      </c>
      <c r="E7529" t="s">
        <v>19245</v>
      </c>
    </row>
    <row r="7530" spans="1:5" x14ac:dyDescent="0.2">
      <c r="A7530" t="s">
        <v>19246</v>
      </c>
      <c r="B7530" t="s">
        <v>19247</v>
      </c>
      <c r="C7530" t="s">
        <v>19184</v>
      </c>
      <c r="D7530" t="s">
        <v>19184</v>
      </c>
      <c r="E7530" t="s">
        <v>19248</v>
      </c>
    </row>
    <row r="7531" spans="1:5" x14ac:dyDescent="0.2">
      <c r="A7531" t="s">
        <v>19249</v>
      </c>
      <c r="B7531" t="s">
        <v>19250</v>
      </c>
      <c r="C7531" t="s">
        <v>19184</v>
      </c>
      <c r="D7531" t="s">
        <v>19184</v>
      </c>
      <c r="E7531" t="s">
        <v>19251</v>
      </c>
    </row>
    <row r="7532" spans="1:5" x14ac:dyDescent="0.2">
      <c r="A7532" t="s">
        <v>19252</v>
      </c>
      <c r="B7532" t="s">
        <v>19253</v>
      </c>
      <c r="C7532" t="s">
        <v>19184</v>
      </c>
      <c r="D7532" t="e">
        <v>#N/A</v>
      </c>
      <c r="E7532" t="e">
        <v>#N/A</v>
      </c>
    </row>
    <row r="7533" spans="1:5" x14ac:dyDescent="0.2">
      <c r="A7533" t="s">
        <v>19254</v>
      </c>
      <c r="B7533" t="s">
        <v>19255</v>
      </c>
      <c r="C7533" t="s">
        <v>19184</v>
      </c>
      <c r="D7533" t="e">
        <v>#N/A</v>
      </c>
      <c r="E7533" t="e">
        <v>#N/A</v>
      </c>
    </row>
    <row r="7534" spans="1:5" x14ac:dyDescent="0.2">
      <c r="A7534" t="s">
        <v>19256</v>
      </c>
      <c r="B7534" t="s">
        <v>19257</v>
      </c>
      <c r="C7534" t="s">
        <v>19184</v>
      </c>
      <c r="D7534" t="s">
        <v>10077</v>
      </c>
      <c r="E7534" t="s">
        <v>19258</v>
      </c>
    </row>
    <row r="7535" spans="1:5" x14ac:dyDescent="0.2">
      <c r="A7535" t="s">
        <v>19259</v>
      </c>
      <c r="B7535" t="s">
        <v>19260</v>
      </c>
      <c r="C7535" t="s">
        <v>19184</v>
      </c>
      <c r="D7535" t="s">
        <v>10077</v>
      </c>
      <c r="E7535" t="s">
        <v>10132</v>
      </c>
    </row>
    <row r="7536" spans="1:5" x14ac:dyDescent="0.2">
      <c r="A7536" t="s">
        <v>19261</v>
      </c>
      <c r="B7536" t="s">
        <v>19262</v>
      </c>
      <c r="C7536" t="s">
        <v>19263</v>
      </c>
      <c r="D7536" t="s">
        <v>19263</v>
      </c>
      <c r="E7536" t="s">
        <v>19264</v>
      </c>
    </row>
    <row r="7537" spans="1:5" x14ac:dyDescent="0.2">
      <c r="A7537" t="s">
        <v>19265</v>
      </c>
      <c r="B7537" t="s">
        <v>19266</v>
      </c>
      <c r="C7537" t="s">
        <v>19263</v>
      </c>
      <c r="D7537" t="s">
        <v>19263</v>
      </c>
      <c r="E7537" t="s">
        <v>19267</v>
      </c>
    </row>
    <row r="7538" spans="1:5" x14ac:dyDescent="0.2">
      <c r="A7538" t="s">
        <v>19268</v>
      </c>
      <c r="B7538" t="s">
        <v>19269</v>
      </c>
      <c r="C7538" t="s">
        <v>19263</v>
      </c>
      <c r="D7538" t="s">
        <v>19263</v>
      </c>
      <c r="E7538" t="s">
        <v>19270</v>
      </c>
    </row>
    <row r="7539" spans="1:5" x14ac:dyDescent="0.2">
      <c r="A7539" t="s">
        <v>19271</v>
      </c>
      <c r="B7539" t="s">
        <v>19272</v>
      </c>
      <c r="C7539" t="s">
        <v>19263</v>
      </c>
      <c r="D7539" t="s">
        <v>19263</v>
      </c>
      <c r="E7539" t="s">
        <v>19273</v>
      </c>
    </row>
    <row r="7540" spans="1:5" x14ac:dyDescent="0.2">
      <c r="A7540" t="s">
        <v>19274</v>
      </c>
      <c r="B7540" t="s">
        <v>19275</v>
      </c>
      <c r="C7540" t="s">
        <v>19263</v>
      </c>
      <c r="D7540" t="s">
        <v>19263</v>
      </c>
      <c r="E7540" t="s">
        <v>19276</v>
      </c>
    </row>
    <row r="7541" spans="1:5" x14ac:dyDescent="0.2">
      <c r="A7541" t="s">
        <v>19277</v>
      </c>
      <c r="B7541" t="s">
        <v>19278</v>
      </c>
      <c r="C7541" t="s">
        <v>19263</v>
      </c>
      <c r="D7541" t="s">
        <v>19263</v>
      </c>
      <c r="E7541" t="s">
        <v>19279</v>
      </c>
    </row>
    <row r="7542" spans="1:5" x14ac:dyDescent="0.2">
      <c r="A7542" t="s">
        <v>19280</v>
      </c>
      <c r="B7542" t="s">
        <v>19281</v>
      </c>
      <c r="C7542" t="s">
        <v>19263</v>
      </c>
      <c r="D7542" t="s">
        <v>19263</v>
      </c>
      <c r="E7542" t="s">
        <v>19282</v>
      </c>
    </row>
    <row r="7543" spans="1:5" x14ac:dyDescent="0.2">
      <c r="A7543" t="s">
        <v>19283</v>
      </c>
      <c r="B7543" t="s">
        <v>19284</v>
      </c>
      <c r="C7543" t="s">
        <v>19285</v>
      </c>
      <c r="D7543" t="s">
        <v>19285</v>
      </c>
      <c r="E7543" t="s">
        <v>19286</v>
      </c>
    </row>
    <row r="7544" spans="1:5" x14ac:dyDescent="0.2">
      <c r="A7544" t="s">
        <v>19287</v>
      </c>
      <c r="B7544" t="s">
        <v>19288</v>
      </c>
      <c r="C7544" t="s">
        <v>19285</v>
      </c>
      <c r="D7544" t="s">
        <v>19285</v>
      </c>
      <c r="E7544" t="s">
        <v>19289</v>
      </c>
    </row>
    <row r="7545" spans="1:5" x14ac:dyDescent="0.2">
      <c r="A7545" t="s">
        <v>19290</v>
      </c>
      <c r="B7545" t="s">
        <v>19291</v>
      </c>
      <c r="C7545" t="s">
        <v>19285</v>
      </c>
      <c r="D7545" t="s">
        <v>19285</v>
      </c>
      <c r="E7545" t="s">
        <v>19292</v>
      </c>
    </row>
    <row r="7546" spans="1:5" x14ac:dyDescent="0.2">
      <c r="A7546" t="s">
        <v>19293</v>
      </c>
      <c r="B7546" t="s">
        <v>19294</v>
      </c>
      <c r="C7546" t="s">
        <v>19285</v>
      </c>
      <c r="D7546" t="s">
        <v>19285</v>
      </c>
      <c r="E7546" t="s">
        <v>19295</v>
      </c>
    </row>
    <row r="7547" spans="1:5" x14ac:dyDescent="0.2">
      <c r="A7547" t="s">
        <v>19296</v>
      </c>
      <c r="B7547" t="s">
        <v>19297</v>
      </c>
      <c r="C7547" t="s">
        <v>19285</v>
      </c>
      <c r="D7547" t="s">
        <v>19285</v>
      </c>
      <c r="E7547" t="s">
        <v>19298</v>
      </c>
    </row>
    <row r="7548" spans="1:5" x14ac:dyDescent="0.2">
      <c r="A7548" t="s">
        <v>19299</v>
      </c>
      <c r="B7548" t="s">
        <v>19300</v>
      </c>
      <c r="C7548" t="s">
        <v>19285</v>
      </c>
      <c r="D7548" t="s">
        <v>19285</v>
      </c>
      <c r="E7548" t="s">
        <v>19289</v>
      </c>
    </row>
    <row r="7549" spans="1:5" x14ac:dyDescent="0.2">
      <c r="A7549" t="s">
        <v>19301</v>
      </c>
      <c r="B7549" t="s">
        <v>19302</v>
      </c>
      <c r="C7549" t="s">
        <v>19285</v>
      </c>
      <c r="D7549" t="s">
        <v>19285</v>
      </c>
      <c r="E7549" t="s">
        <v>19303</v>
      </c>
    </row>
    <row r="7550" spans="1:5" x14ac:dyDescent="0.2">
      <c r="A7550" t="s">
        <v>19304</v>
      </c>
      <c r="B7550" t="s">
        <v>19305</v>
      </c>
      <c r="C7550" t="s">
        <v>19285</v>
      </c>
      <c r="D7550" t="s">
        <v>19285</v>
      </c>
      <c r="E7550" t="s">
        <v>19306</v>
      </c>
    </row>
    <row r="7551" spans="1:5" x14ac:dyDescent="0.2">
      <c r="A7551" t="s">
        <v>19307</v>
      </c>
      <c r="B7551" t="s">
        <v>19308</v>
      </c>
      <c r="C7551" t="s">
        <v>19285</v>
      </c>
      <c r="D7551" t="s">
        <v>19285</v>
      </c>
      <c r="E7551" t="s">
        <v>19309</v>
      </c>
    </row>
    <row r="7552" spans="1:5" x14ac:dyDescent="0.2">
      <c r="A7552" t="s">
        <v>19310</v>
      </c>
      <c r="B7552" t="s">
        <v>19311</v>
      </c>
      <c r="C7552" t="s">
        <v>19285</v>
      </c>
      <c r="D7552" t="s">
        <v>19285</v>
      </c>
      <c r="E7552" t="s">
        <v>19312</v>
      </c>
    </row>
    <row r="7553" spans="1:5" x14ac:dyDescent="0.2">
      <c r="A7553" t="s">
        <v>19313</v>
      </c>
      <c r="B7553" t="s">
        <v>19314</v>
      </c>
      <c r="C7553" t="s">
        <v>19285</v>
      </c>
      <c r="D7553" t="s">
        <v>19285</v>
      </c>
      <c r="E7553" t="s">
        <v>19315</v>
      </c>
    </row>
    <row r="7554" spans="1:5" x14ac:dyDescent="0.2">
      <c r="A7554" t="s">
        <v>19316</v>
      </c>
      <c r="B7554" t="s">
        <v>19317</v>
      </c>
      <c r="C7554" t="s">
        <v>19285</v>
      </c>
      <c r="D7554" t="s">
        <v>19285</v>
      </c>
      <c r="E7554" t="s">
        <v>19318</v>
      </c>
    </row>
    <row r="7555" spans="1:5" x14ac:dyDescent="0.2">
      <c r="A7555" t="s">
        <v>19319</v>
      </c>
      <c r="B7555" t="s">
        <v>19320</v>
      </c>
      <c r="C7555" t="s">
        <v>19285</v>
      </c>
      <c r="D7555" t="s">
        <v>19285</v>
      </c>
      <c r="E7555" t="s">
        <v>19321</v>
      </c>
    </row>
    <row r="7556" spans="1:5" x14ac:dyDescent="0.2">
      <c r="A7556" t="s">
        <v>19322</v>
      </c>
      <c r="B7556" t="s">
        <v>19323</v>
      </c>
      <c r="C7556" t="s">
        <v>19285</v>
      </c>
      <c r="D7556" t="s">
        <v>19285</v>
      </c>
      <c r="E7556" t="s">
        <v>19324</v>
      </c>
    </row>
    <row r="7557" spans="1:5" x14ac:dyDescent="0.2">
      <c r="A7557" t="s">
        <v>19325</v>
      </c>
      <c r="B7557" t="s">
        <v>19326</v>
      </c>
      <c r="C7557" t="s">
        <v>19285</v>
      </c>
      <c r="D7557" t="s">
        <v>19285</v>
      </c>
      <c r="E7557" t="s">
        <v>19327</v>
      </c>
    </row>
    <row r="7558" spans="1:5" x14ac:dyDescent="0.2">
      <c r="A7558" t="s">
        <v>19328</v>
      </c>
      <c r="B7558" t="s">
        <v>19329</v>
      </c>
      <c r="C7558" t="s">
        <v>19285</v>
      </c>
      <c r="D7558" t="s">
        <v>19285</v>
      </c>
      <c r="E7558" t="s">
        <v>19330</v>
      </c>
    </row>
    <row r="7559" spans="1:5" x14ac:dyDescent="0.2">
      <c r="A7559" t="s">
        <v>19331</v>
      </c>
      <c r="B7559" t="s">
        <v>19332</v>
      </c>
      <c r="C7559" t="s">
        <v>19285</v>
      </c>
      <c r="D7559" t="s">
        <v>19285</v>
      </c>
      <c r="E7559" t="s">
        <v>19333</v>
      </c>
    </row>
    <row r="7560" spans="1:5" x14ac:dyDescent="0.2">
      <c r="A7560" t="s">
        <v>19334</v>
      </c>
      <c r="B7560" t="s">
        <v>19335</v>
      </c>
      <c r="C7560" t="s">
        <v>19285</v>
      </c>
      <c r="D7560" t="s">
        <v>19285</v>
      </c>
      <c r="E7560" t="s">
        <v>19336</v>
      </c>
    </row>
    <row r="7561" spans="1:5" x14ac:dyDescent="0.2">
      <c r="A7561" t="s">
        <v>19337</v>
      </c>
      <c r="B7561" t="s">
        <v>19338</v>
      </c>
      <c r="C7561" t="s">
        <v>19285</v>
      </c>
      <c r="D7561" t="s">
        <v>19285</v>
      </c>
      <c r="E7561" t="s">
        <v>19339</v>
      </c>
    </row>
    <row r="7562" spans="1:5" x14ac:dyDescent="0.2">
      <c r="A7562" t="s">
        <v>19340</v>
      </c>
      <c r="B7562" t="s">
        <v>19341</v>
      </c>
      <c r="C7562" t="s">
        <v>19285</v>
      </c>
      <c r="D7562" t="s">
        <v>19285</v>
      </c>
      <c r="E7562" t="s">
        <v>19342</v>
      </c>
    </row>
    <row r="7563" spans="1:5" x14ac:dyDescent="0.2">
      <c r="A7563" t="s">
        <v>19343</v>
      </c>
      <c r="B7563" t="s">
        <v>19344</v>
      </c>
      <c r="C7563" t="s">
        <v>19285</v>
      </c>
      <c r="D7563" t="s">
        <v>19285</v>
      </c>
      <c r="E7563" t="s">
        <v>19292</v>
      </c>
    </row>
    <row r="7564" spans="1:5" x14ac:dyDescent="0.2">
      <c r="A7564" t="s">
        <v>19345</v>
      </c>
      <c r="B7564" t="s">
        <v>19346</v>
      </c>
      <c r="C7564" t="s">
        <v>19285</v>
      </c>
      <c r="D7564" t="s">
        <v>19285</v>
      </c>
      <c r="E7564" t="s">
        <v>19347</v>
      </c>
    </row>
    <row r="7565" spans="1:5" x14ac:dyDescent="0.2">
      <c r="A7565" t="s">
        <v>19348</v>
      </c>
      <c r="B7565" t="s">
        <v>19349</v>
      </c>
      <c r="C7565" t="s">
        <v>19285</v>
      </c>
      <c r="D7565" t="s">
        <v>19285</v>
      </c>
      <c r="E7565" t="s">
        <v>19350</v>
      </c>
    </row>
    <row r="7566" spans="1:5" x14ac:dyDescent="0.2">
      <c r="A7566" t="s">
        <v>19351</v>
      </c>
      <c r="B7566" t="s">
        <v>19352</v>
      </c>
      <c r="C7566" t="s">
        <v>19285</v>
      </c>
      <c r="D7566" t="s">
        <v>19285</v>
      </c>
      <c r="E7566" t="s">
        <v>19342</v>
      </c>
    </row>
    <row r="7567" spans="1:5" x14ac:dyDescent="0.2">
      <c r="A7567" t="s">
        <v>19353</v>
      </c>
      <c r="B7567" t="s">
        <v>19354</v>
      </c>
      <c r="C7567" t="s">
        <v>19285</v>
      </c>
      <c r="D7567" t="s">
        <v>19285</v>
      </c>
      <c r="E7567" t="s">
        <v>19355</v>
      </c>
    </row>
    <row r="7568" spans="1:5" x14ac:dyDescent="0.2">
      <c r="A7568" t="s">
        <v>19356</v>
      </c>
      <c r="B7568" t="s">
        <v>19357</v>
      </c>
      <c r="C7568" t="s">
        <v>19285</v>
      </c>
      <c r="D7568" t="s">
        <v>19285</v>
      </c>
      <c r="E7568" t="s">
        <v>19358</v>
      </c>
    </row>
    <row r="7569" spans="1:5" x14ac:dyDescent="0.2">
      <c r="A7569" t="s">
        <v>19359</v>
      </c>
      <c r="B7569" t="s">
        <v>19360</v>
      </c>
      <c r="C7569" t="s">
        <v>19285</v>
      </c>
      <c r="D7569" t="s">
        <v>19285</v>
      </c>
      <c r="E7569" t="s">
        <v>19361</v>
      </c>
    </row>
    <row r="7570" spans="1:5" x14ac:dyDescent="0.2">
      <c r="A7570" t="s">
        <v>19362</v>
      </c>
      <c r="B7570" t="s">
        <v>19363</v>
      </c>
      <c r="C7570" t="s">
        <v>19364</v>
      </c>
      <c r="D7570" t="s">
        <v>19364</v>
      </c>
      <c r="E7570" t="s">
        <v>19365</v>
      </c>
    </row>
    <row r="7571" spans="1:5" x14ac:dyDescent="0.2">
      <c r="A7571" t="s">
        <v>19366</v>
      </c>
      <c r="B7571" t="s">
        <v>19367</v>
      </c>
      <c r="C7571" t="s">
        <v>19364</v>
      </c>
      <c r="D7571" t="s">
        <v>19364</v>
      </c>
      <c r="E7571" t="s">
        <v>19365</v>
      </c>
    </row>
    <row r="7572" spans="1:5" x14ac:dyDescent="0.2">
      <c r="A7572" t="s">
        <v>19368</v>
      </c>
      <c r="B7572" t="s">
        <v>19369</v>
      </c>
      <c r="C7572" t="s">
        <v>19364</v>
      </c>
      <c r="D7572" t="s">
        <v>19364</v>
      </c>
      <c r="E7572" t="s">
        <v>19370</v>
      </c>
    </row>
    <row r="7573" spans="1:5" x14ac:dyDescent="0.2">
      <c r="A7573" t="s">
        <v>19371</v>
      </c>
      <c r="B7573" t="s">
        <v>19372</v>
      </c>
      <c r="C7573" t="s">
        <v>19364</v>
      </c>
      <c r="D7573" t="s">
        <v>19364</v>
      </c>
      <c r="E7573" t="s">
        <v>19373</v>
      </c>
    </row>
    <row r="7574" spans="1:5" x14ac:dyDescent="0.2">
      <c r="A7574" t="s">
        <v>19374</v>
      </c>
      <c r="B7574" t="s">
        <v>19375</v>
      </c>
      <c r="C7574" t="s">
        <v>19364</v>
      </c>
      <c r="D7574" t="s">
        <v>19364</v>
      </c>
      <c r="E7574" t="s">
        <v>19376</v>
      </c>
    </row>
    <row r="7575" spans="1:5" x14ac:dyDescent="0.2">
      <c r="A7575" t="s">
        <v>19377</v>
      </c>
      <c r="B7575" t="s">
        <v>19378</v>
      </c>
      <c r="C7575" t="s">
        <v>19364</v>
      </c>
      <c r="D7575" t="s">
        <v>19364</v>
      </c>
      <c r="E7575" t="s">
        <v>19379</v>
      </c>
    </row>
    <row r="7576" spans="1:5" x14ac:dyDescent="0.2">
      <c r="A7576" t="s">
        <v>19380</v>
      </c>
      <c r="B7576" t="s">
        <v>19381</v>
      </c>
      <c r="C7576" t="s">
        <v>19364</v>
      </c>
      <c r="D7576" t="s">
        <v>19364</v>
      </c>
      <c r="E7576" t="s">
        <v>19365</v>
      </c>
    </row>
    <row r="7577" spans="1:5" x14ac:dyDescent="0.2">
      <c r="A7577" t="s">
        <v>19382</v>
      </c>
      <c r="B7577" t="s">
        <v>19383</v>
      </c>
      <c r="C7577" t="s">
        <v>19364</v>
      </c>
      <c r="D7577" t="s">
        <v>19364</v>
      </c>
      <c r="E7577" t="s">
        <v>19384</v>
      </c>
    </row>
    <row r="7578" spans="1:5" x14ac:dyDescent="0.2">
      <c r="A7578" t="s">
        <v>19385</v>
      </c>
      <c r="B7578" t="s">
        <v>19386</v>
      </c>
      <c r="C7578" t="s">
        <v>19364</v>
      </c>
      <c r="D7578" t="s">
        <v>19364</v>
      </c>
      <c r="E7578" t="s">
        <v>19387</v>
      </c>
    </row>
    <row r="7579" spans="1:5" x14ac:dyDescent="0.2">
      <c r="A7579" t="s">
        <v>19388</v>
      </c>
      <c r="B7579" t="s">
        <v>19389</v>
      </c>
      <c r="C7579" t="s">
        <v>19364</v>
      </c>
      <c r="D7579" t="s">
        <v>19364</v>
      </c>
      <c r="E7579" t="s">
        <v>19390</v>
      </c>
    </row>
    <row r="7580" spans="1:5" x14ac:dyDescent="0.2">
      <c r="A7580" t="s">
        <v>19391</v>
      </c>
      <c r="B7580" t="s">
        <v>19392</v>
      </c>
      <c r="C7580" t="s">
        <v>19364</v>
      </c>
      <c r="D7580" t="s">
        <v>19364</v>
      </c>
      <c r="E7580" t="s">
        <v>19393</v>
      </c>
    </row>
    <row r="7581" spans="1:5" x14ac:dyDescent="0.2">
      <c r="A7581" t="s">
        <v>19394</v>
      </c>
      <c r="B7581" t="s">
        <v>19395</v>
      </c>
      <c r="C7581" t="s">
        <v>19364</v>
      </c>
      <c r="D7581" t="s">
        <v>19364</v>
      </c>
      <c r="E7581" t="s">
        <v>19396</v>
      </c>
    </row>
    <row r="7582" spans="1:5" x14ac:dyDescent="0.2">
      <c r="A7582" t="s">
        <v>19397</v>
      </c>
      <c r="B7582" t="s">
        <v>19398</v>
      </c>
      <c r="C7582" t="s">
        <v>19364</v>
      </c>
      <c r="D7582" t="s">
        <v>19364</v>
      </c>
      <c r="E7582" t="s">
        <v>19399</v>
      </c>
    </row>
    <row r="7583" spans="1:5" x14ac:dyDescent="0.2">
      <c r="A7583" t="s">
        <v>19400</v>
      </c>
      <c r="B7583" t="s">
        <v>19401</v>
      </c>
      <c r="C7583" t="s">
        <v>19364</v>
      </c>
      <c r="D7583" t="s">
        <v>19364</v>
      </c>
      <c r="E7583" t="s">
        <v>19402</v>
      </c>
    </row>
    <row r="7584" spans="1:5" x14ac:dyDescent="0.2">
      <c r="A7584" t="s">
        <v>19403</v>
      </c>
      <c r="B7584" t="s">
        <v>19404</v>
      </c>
      <c r="C7584" t="s">
        <v>19364</v>
      </c>
      <c r="D7584" t="s">
        <v>19364</v>
      </c>
      <c r="E7584" t="s">
        <v>19405</v>
      </c>
    </row>
    <row r="7585" spans="1:5" x14ac:dyDescent="0.2">
      <c r="A7585" t="s">
        <v>19406</v>
      </c>
      <c r="B7585" t="s">
        <v>19407</v>
      </c>
      <c r="C7585" t="s">
        <v>19364</v>
      </c>
      <c r="D7585" t="s">
        <v>19364</v>
      </c>
      <c r="E7585" t="s">
        <v>19408</v>
      </c>
    </row>
    <row r="7586" spans="1:5" x14ac:dyDescent="0.2">
      <c r="A7586" t="s">
        <v>19409</v>
      </c>
      <c r="B7586" t="s">
        <v>19410</v>
      </c>
      <c r="C7586" t="s">
        <v>19364</v>
      </c>
      <c r="D7586" t="s">
        <v>19364</v>
      </c>
      <c r="E7586" t="s">
        <v>19405</v>
      </c>
    </row>
    <row r="7587" spans="1:5" x14ac:dyDescent="0.2">
      <c r="A7587" t="s">
        <v>19411</v>
      </c>
      <c r="B7587" t="s">
        <v>19412</v>
      </c>
      <c r="C7587" t="s">
        <v>19364</v>
      </c>
      <c r="D7587" t="s">
        <v>19364</v>
      </c>
      <c r="E7587" t="s">
        <v>19413</v>
      </c>
    </row>
    <row r="7588" spans="1:5" x14ac:dyDescent="0.2">
      <c r="A7588" t="s">
        <v>19414</v>
      </c>
      <c r="B7588" t="s">
        <v>19415</v>
      </c>
      <c r="C7588" t="s">
        <v>19364</v>
      </c>
      <c r="D7588" t="s">
        <v>19364</v>
      </c>
      <c r="E7588" t="s">
        <v>19416</v>
      </c>
    </row>
    <row r="7589" spans="1:5" x14ac:dyDescent="0.2">
      <c r="A7589" t="s">
        <v>19417</v>
      </c>
      <c r="B7589" t="s">
        <v>19418</v>
      </c>
      <c r="C7589" t="s">
        <v>19364</v>
      </c>
      <c r="D7589" t="s">
        <v>19364</v>
      </c>
      <c r="E7589" t="s">
        <v>19399</v>
      </c>
    </row>
    <row r="7590" spans="1:5" x14ac:dyDescent="0.2">
      <c r="A7590" t="s">
        <v>19419</v>
      </c>
      <c r="B7590" t="s">
        <v>19420</v>
      </c>
      <c r="C7590" t="s">
        <v>19364</v>
      </c>
      <c r="D7590" t="s">
        <v>19364</v>
      </c>
      <c r="E7590" t="s">
        <v>19421</v>
      </c>
    </row>
    <row r="7591" spans="1:5" x14ac:dyDescent="0.2">
      <c r="A7591" t="s">
        <v>19422</v>
      </c>
      <c r="B7591" t="s">
        <v>19423</v>
      </c>
      <c r="C7591" t="s">
        <v>19364</v>
      </c>
      <c r="D7591" t="s">
        <v>19364</v>
      </c>
      <c r="E7591" t="s">
        <v>19390</v>
      </c>
    </row>
    <row r="7592" spans="1:5" x14ac:dyDescent="0.2">
      <c r="A7592" t="s">
        <v>19424</v>
      </c>
      <c r="B7592" t="s">
        <v>19425</v>
      </c>
      <c r="C7592" t="s">
        <v>19364</v>
      </c>
      <c r="D7592" t="s">
        <v>19364</v>
      </c>
      <c r="E7592" t="s">
        <v>19426</v>
      </c>
    </row>
    <row r="7593" spans="1:5" x14ac:dyDescent="0.2">
      <c r="A7593" t="s">
        <v>19427</v>
      </c>
      <c r="B7593" t="s">
        <v>19428</v>
      </c>
      <c r="C7593" t="s">
        <v>19364</v>
      </c>
      <c r="D7593" t="s">
        <v>19364</v>
      </c>
      <c r="E7593" t="s">
        <v>19429</v>
      </c>
    </row>
    <row r="7594" spans="1:5" x14ac:dyDescent="0.2">
      <c r="A7594" t="s">
        <v>19430</v>
      </c>
      <c r="B7594" t="s">
        <v>19431</v>
      </c>
      <c r="C7594" t="s">
        <v>19364</v>
      </c>
      <c r="D7594" t="s">
        <v>19364</v>
      </c>
      <c r="E7594" t="s">
        <v>19416</v>
      </c>
    </row>
    <row r="7595" spans="1:5" x14ac:dyDescent="0.2">
      <c r="A7595" t="s">
        <v>19432</v>
      </c>
      <c r="B7595" t="s">
        <v>19433</v>
      </c>
      <c r="C7595" t="s">
        <v>19364</v>
      </c>
      <c r="D7595" t="s">
        <v>19364</v>
      </c>
      <c r="E7595" t="s">
        <v>19434</v>
      </c>
    </row>
    <row r="7596" spans="1:5" x14ac:dyDescent="0.2">
      <c r="A7596" t="s">
        <v>19435</v>
      </c>
      <c r="B7596" t="s">
        <v>19436</v>
      </c>
      <c r="C7596" t="s">
        <v>19364</v>
      </c>
      <c r="D7596" t="s">
        <v>19364</v>
      </c>
      <c r="E7596" t="s">
        <v>19437</v>
      </c>
    </row>
    <row r="7597" spans="1:5" x14ac:dyDescent="0.2">
      <c r="A7597" t="s">
        <v>19438</v>
      </c>
      <c r="B7597" t="s">
        <v>19439</v>
      </c>
      <c r="C7597" t="s">
        <v>19364</v>
      </c>
      <c r="D7597" t="s">
        <v>19364</v>
      </c>
      <c r="E7597" t="s">
        <v>19440</v>
      </c>
    </row>
    <row r="7598" spans="1:5" x14ac:dyDescent="0.2">
      <c r="A7598" t="s">
        <v>19441</v>
      </c>
      <c r="B7598" t="s">
        <v>19442</v>
      </c>
      <c r="C7598" t="s">
        <v>19364</v>
      </c>
      <c r="D7598" t="s">
        <v>19364</v>
      </c>
      <c r="E7598" t="s">
        <v>19443</v>
      </c>
    </row>
    <row r="7599" spans="1:5" x14ac:dyDescent="0.2">
      <c r="A7599" t="s">
        <v>19444</v>
      </c>
      <c r="B7599" t="s">
        <v>19445</v>
      </c>
      <c r="C7599" t="s">
        <v>19364</v>
      </c>
      <c r="D7599" t="s">
        <v>19364</v>
      </c>
      <c r="E7599" t="s">
        <v>19446</v>
      </c>
    </row>
    <row r="7600" spans="1:5" x14ac:dyDescent="0.2">
      <c r="A7600" t="s">
        <v>19447</v>
      </c>
      <c r="B7600" t="s">
        <v>19448</v>
      </c>
      <c r="C7600" t="s">
        <v>19364</v>
      </c>
      <c r="D7600" t="s">
        <v>19364</v>
      </c>
      <c r="E7600" t="s">
        <v>19396</v>
      </c>
    </row>
    <row r="7601" spans="1:5" x14ac:dyDescent="0.2">
      <c r="A7601" t="s">
        <v>19449</v>
      </c>
      <c r="B7601" t="s">
        <v>19450</v>
      </c>
      <c r="C7601" t="s">
        <v>19364</v>
      </c>
      <c r="D7601" t="s">
        <v>19364</v>
      </c>
      <c r="E7601" t="s">
        <v>19451</v>
      </c>
    </row>
    <row r="7602" spans="1:5" x14ac:dyDescent="0.2">
      <c r="A7602" t="s">
        <v>19452</v>
      </c>
      <c r="B7602" t="s">
        <v>19453</v>
      </c>
      <c r="C7602" t="s">
        <v>19364</v>
      </c>
      <c r="D7602" t="s">
        <v>19364</v>
      </c>
      <c r="E7602" t="s">
        <v>19405</v>
      </c>
    </row>
    <row r="7603" spans="1:5" x14ac:dyDescent="0.2">
      <c r="A7603" t="s">
        <v>19454</v>
      </c>
      <c r="B7603" t="s">
        <v>19455</v>
      </c>
      <c r="C7603" t="s">
        <v>19364</v>
      </c>
      <c r="D7603" t="s">
        <v>19364</v>
      </c>
      <c r="E7603" t="s">
        <v>19456</v>
      </c>
    </row>
    <row r="7604" spans="1:5" x14ac:dyDescent="0.2">
      <c r="A7604" t="s">
        <v>19457</v>
      </c>
      <c r="B7604" t="s">
        <v>19458</v>
      </c>
      <c r="C7604" t="s">
        <v>19364</v>
      </c>
      <c r="D7604" t="s">
        <v>19364</v>
      </c>
      <c r="E7604" t="s">
        <v>19459</v>
      </c>
    </row>
    <row r="7605" spans="1:5" x14ac:dyDescent="0.2">
      <c r="A7605" t="s">
        <v>19460</v>
      </c>
      <c r="B7605" t="s">
        <v>19461</v>
      </c>
      <c r="C7605" t="s">
        <v>19364</v>
      </c>
      <c r="D7605" t="s">
        <v>19364</v>
      </c>
      <c r="E7605" t="s">
        <v>19399</v>
      </c>
    </row>
    <row r="7606" spans="1:5" x14ac:dyDescent="0.2">
      <c r="A7606" t="s">
        <v>19462</v>
      </c>
      <c r="B7606" t="s">
        <v>19463</v>
      </c>
      <c r="C7606" t="s">
        <v>19364</v>
      </c>
      <c r="D7606" t="s">
        <v>19364</v>
      </c>
      <c r="E7606" t="s">
        <v>19373</v>
      </c>
    </row>
    <row r="7607" spans="1:5" x14ac:dyDescent="0.2">
      <c r="A7607" t="s">
        <v>19464</v>
      </c>
      <c r="B7607" t="s">
        <v>19465</v>
      </c>
      <c r="C7607" t="s">
        <v>19364</v>
      </c>
      <c r="D7607" t="s">
        <v>19364</v>
      </c>
      <c r="E7607" t="s">
        <v>19373</v>
      </c>
    </row>
    <row r="7608" spans="1:5" x14ac:dyDescent="0.2">
      <c r="A7608" t="s">
        <v>19466</v>
      </c>
      <c r="B7608" t="s">
        <v>19467</v>
      </c>
      <c r="C7608" t="s">
        <v>19364</v>
      </c>
      <c r="D7608" t="s">
        <v>19364</v>
      </c>
      <c r="E7608" t="s">
        <v>19408</v>
      </c>
    </row>
    <row r="7609" spans="1:5" x14ac:dyDescent="0.2">
      <c r="A7609" t="s">
        <v>19468</v>
      </c>
      <c r="B7609" t="s">
        <v>19469</v>
      </c>
      <c r="C7609" t="s">
        <v>19364</v>
      </c>
      <c r="D7609" t="s">
        <v>19364</v>
      </c>
      <c r="E7609" t="s">
        <v>19408</v>
      </c>
    </row>
    <row r="7610" spans="1:5" x14ac:dyDescent="0.2">
      <c r="A7610" t="s">
        <v>19470</v>
      </c>
      <c r="B7610" t="s">
        <v>19471</v>
      </c>
      <c r="C7610" t="s">
        <v>19364</v>
      </c>
      <c r="D7610" t="s">
        <v>19364</v>
      </c>
      <c r="E7610" t="s">
        <v>19373</v>
      </c>
    </row>
    <row r="7611" spans="1:5" x14ac:dyDescent="0.2">
      <c r="A7611" t="s">
        <v>19472</v>
      </c>
      <c r="B7611" t="s">
        <v>19473</v>
      </c>
      <c r="C7611" t="s">
        <v>19364</v>
      </c>
      <c r="D7611" t="s">
        <v>19364</v>
      </c>
      <c r="E7611" t="s">
        <v>19474</v>
      </c>
    </row>
    <row r="7612" spans="1:5" x14ac:dyDescent="0.2">
      <c r="A7612" t="s">
        <v>19475</v>
      </c>
      <c r="B7612" t="s">
        <v>19476</v>
      </c>
      <c r="C7612" t="s">
        <v>19364</v>
      </c>
      <c r="D7612" t="s">
        <v>19364</v>
      </c>
      <c r="E7612" t="s">
        <v>19399</v>
      </c>
    </row>
    <row r="7613" spans="1:5" x14ac:dyDescent="0.2">
      <c r="A7613" t="s">
        <v>19477</v>
      </c>
      <c r="B7613" t="s">
        <v>19478</v>
      </c>
      <c r="C7613" t="s">
        <v>19364</v>
      </c>
      <c r="D7613" t="s">
        <v>19364</v>
      </c>
      <c r="E7613" t="s">
        <v>19434</v>
      </c>
    </row>
    <row r="7614" spans="1:5" x14ac:dyDescent="0.2">
      <c r="A7614" t="s">
        <v>19479</v>
      </c>
      <c r="B7614" t="s">
        <v>19480</v>
      </c>
      <c r="C7614" t="s">
        <v>19364</v>
      </c>
      <c r="D7614" t="s">
        <v>19364</v>
      </c>
      <c r="E7614" t="s">
        <v>19459</v>
      </c>
    </row>
    <row r="7615" spans="1:5" x14ac:dyDescent="0.2">
      <c r="A7615" t="s">
        <v>19481</v>
      </c>
      <c r="B7615" t="s">
        <v>19482</v>
      </c>
      <c r="C7615" t="s">
        <v>19364</v>
      </c>
      <c r="D7615" t="s">
        <v>19364</v>
      </c>
      <c r="E7615" t="s">
        <v>19440</v>
      </c>
    </row>
    <row r="7616" spans="1:5" x14ac:dyDescent="0.2">
      <c r="A7616" t="s">
        <v>19483</v>
      </c>
      <c r="B7616" t="s">
        <v>19484</v>
      </c>
      <c r="C7616" t="s">
        <v>19364</v>
      </c>
      <c r="D7616" t="s">
        <v>19364</v>
      </c>
      <c r="E7616" t="s">
        <v>19485</v>
      </c>
    </row>
    <row r="7617" spans="1:5" x14ac:dyDescent="0.2">
      <c r="A7617" t="s">
        <v>19486</v>
      </c>
      <c r="B7617" t="s">
        <v>19487</v>
      </c>
      <c r="C7617" t="s">
        <v>19364</v>
      </c>
      <c r="D7617" t="s">
        <v>19364</v>
      </c>
      <c r="E7617" t="s">
        <v>19488</v>
      </c>
    </row>
    <row r="7618" spans="1:5" x14ac:dyDescent="0.2">
      <c r="A7618" t="s">
        <v>19489</v>
      </c>
      <c r="B7618" t="s">
        <v>19490</v>
      </c>
      <c r="C7618" t="s">
        <v>19364</v>
      </c>
      <c r="D7618" t="s">
        <v>19364</v>
      </c>
      <c r="E7618" t="s">
        <v>19491</v>
      </c>
    </row>
    <row r="7619" spans="1:5" x14ac:dyDescent="0.2">
      <c r="A7619" t="s">
        <v>19492</v>
      </c>
      <c r="B7619" t="s">
        <v>19493</v>
      </c>
      <c r="C7619" t="s">
        <v>19364</v>
      </c>
      <c r="D7619" t="s">
        <v>19364</v>
      </c>
      <c r="E7619" t="s">
        <v>19488</v>
      </c>
    </row>
    <row r="7620" spans="1:5" x14ac:dyDescent="0.2">
      <c r="A7620" t="s">
        <v>19494</v>
      </c>
      <c r="B7620" t="s">
        <v>19495</v>
      </c>
      <c r="C7620" t="s">
        <v>19496</v>
      </c>
      <c r="D7620" t="s">
        <v>19496</v>
      </c>
      <c r="E7620" t="s">
        <v>19497</v>
      </c>
    </row>
    <row r="7621" spans="1:5" x14ac:dyDescent="0.2">
      <c r="A7621" t="s">
        <v>19498</v>
      </c>
      <c r="B7621" t="s">
        <v>19499</v>
      </c>
      <c r="C7621" t="s">
        <v>19496</v>
      </c>
      <c r="D7621" t="s">
        <v>19496</v>
      </c>
      <c r="E7621" t="s">
        <v>19500</v>
      </c>
    </row>
    <row r="7622" spans="1:5" x14ac:dyDescent="0.2">
      <c r="A7622" t="s">
        <v>19501</v>
      </c>
      <c r="B7622" t="s">
        <v>19502</v>
      </c>
      <c r="C7622" t="s">
        <v>19496</v>
      </c>
      <c r="D7622" t="s">
        <v>19496</v>
      </c>
      <c r="E7622" t="s">
        <v>19503</v>
      </c>
    </row>
    <row r="7623" spans="1:5" x14ac:dyDescent="0.2">
      <c r="A7623" t="s">
        <v>19504</v>
      </c>
      <c r="B7623" t="s">
        <v>19505</v>
      </c>
      <c r="C7623" t="s">
        <v>19496</v>
      </c>
      <c r="D7623" t="s">
        <v>19496</v>
      </c>
      <c r="E7623" t="s">
        <v>19506</v>
      </c>
    </row>
    <row r="7624" spans="1:5" x14ac:dyDescent="0.2">
      <c r="A7624" t="s">
        <v>19507</v>
      </c>
      <c r="B7624" t="s">
        <v>19508</v>
      </c>
      <c r="C7624" t="s">
        <v>19496</v>
      </c>
      <c r="D7624" t="s">
        <v>19496</v>
      </c>
      <c r="E7624" t="s">
        <v>19509</v>
      </c>
    </row>
    <row r="7625" spans="1:5" x14ac:dyDescent="0.2">
      <c r="A7625" t="s">
        <v>19510</v>
      </c>
      <c r="B7625" t="s">
        <v>19511</v>
      </c>
      <c r="C7625" t="s">
        <v>19496</v>
      </c>
      <c r="D7625" t="s">
        <v>19496</v>
      </c>
      <c r="E7625" t="s">
        <v>19512</v>
      </c>
    </row>
    <row r="7626" spans="1:5" x14ac:dyDescent="0.2">
      <c r="A7626" t="s">
        <v>19513</v>
      </c>
      <c r="B7626" t="s">
        <v>19514</v>
      </c>
      <c r="C7626" t="s">
        <v>19496</v>
      </c>
      <c r="D7626" t="s">
        <v>19496</v>
      </c>
      <c r="E7626" t="s">
        <v>19515</v>
      </c>
    </row>
    <row r="7627" spans="1:5" x14ac:dyDescent="0.2">
      <c r="A7627" t="s">
        <v>19516</v>
      </c>
      <c r="B7627" t="s">
        <v>19517</v>
      </c>
      <c r="C7627" t="s">
        <v>19496</v>
      </c>
      <c r="D7627" t="s">
        <v>19496</v>
      </c>
      <c r="E7627" t="s">
        <v>19518</v>
      </c>
    </row>
    <row r="7628" spans="1:5" x14ac:dyDescent="0.2">
      <c r="A7628" t="s">
        <v>19519</v>
      </c>
      <c r="B7628" t="s">
        <v>19520</v>
      </c>
      <c r="C7628" t="s">
        <v>19496</v>
      </c>
      <c r="D7628" t="s">
        <v>19496</v>
      </c>
      <c r="E7628" t="s">
        <v>19521</v>
      </c>
    </row>
    <row r="7629" spans="1:5" x14ac:dyDescent="0.2">
      <c r="A7629" t="s">
        <v>19522</v>
      </c>
      <c r="B7629" t="s">
        <v>19523</v>
      </c>
      <c r="C7629" t="s">
        <v>19496</v>
      </c>
      <c r="D7629" t="s">
        <v>19496</v>
      </c>
      <c r="E7629" t="s">
        <v>19524</v>
      </c>
    </row>
    <row r="7630" spans="1:5" x14ac:dyDescent="0.2">
      <c r="A7630" t="s">
        <v>19525</v>
      </c>
      <c r="B7630" t="s">
        <v>19526</v>
      </c>
      <c r="C7630" t="s">
        <v>19496</v>
      </c>
      <c r="D7630" t="s">
        <v>19496</v>
      </c>
      <c r="E7630" t="s">
        <v>19527</v>
      </c>
    </row>
    <row r="7631" spans="1:5" x14ac:dyDescent="0.2">
      <c r="A7631" t="s">
        <v>19528</v>
      </c>
      <c r="B7631" t="s">
        <v>19529</v>
      </c>
      <c r="C7631" t="s">
        <v>19496</v>
      </c>
      <c r="D7631" t="s">
        <v>19496</v>
      </c>
      <c r="E7631" t="s">
        <v>19530</v>
      </c>
    </row>
    <row r="7632" spans="1:5" x14ac:dyDescent="0.2">
      <c r="A7632" t="s">
        <v>19531</v>
      </c>
      <c r="B7632" t="s">
        <v>19532</v>
      </c>
      <c r="C7632" t="s">
        <v>19496</v>
      </c>
      <c r="D7632" t="s">
        <v>19496</v>
      </c>
      <c r="E7632" t="s">
        <v>19533</v>
      </c>
    </row>
    <row r="7633" spans="1:5" x14ac:dyDescent="0.2">
      <c r="A7633" t="s">
        <v>19534</v>
      </c>
      <c r="B7633" t="s">
        <v>19535</v>
      </c>
      <c r="C7633" t="s">
        <v>19496</v>
      </c>
      <c r="D7633" t="s">
        <v>19496</v>
      </c>
      <c r="E7633" t="s">
        <v>19536</v>
      </c>
    </row>
    <row r="7634" spans="1:5" x14ac:dyDescent="0.2">
      <c r="A7634" t="s">
        <v>19537</v>
      </c>
      <c r="B7634" t="s">
        <v>19538</v>
      </c>
      <c r="C7634" t="s">
        <v>19496</v>
      </c>
      <c r="D7634" t="s">
        <v>19496</v>
      </c>
      <c r="E7634" t="s">
        <v>19539</v>
      </c>
    </row>
    <row r="7635" spans="1:5" x14ac:dyDescent="0.2">
      <c r="A7635" t="s">
        <v>19540</v>
      </c>
      <c r="B7635" t="s">
        <v>19541</v>
      </c>
      <c r="C7635" t="s">
        <v>19496</v>
      </c>
      <c r="D7635" t="s">
        <v>19496</v>
      </c>
      <c r="E7635" t="s">
        <v>19542</v>
      </c>
    </row>
    <row r="7636" spans="1:5" x14ac:dyDescent="0.2">
      <c r="A7636" t="s">
        <v>19543</v>
      </c>
      <c r="B7636" t="s">
        <v>19544</v>
      </c>
      <c r="C7636" t="s">
        <v>19496</v>
      </c>
      <c r="D7636" t="s">
        <v>19496</v>
      </c>
      <c r="E7636" t="s">
        <v>19545</v>
      </c>
    </row>
    <row r="7637" spans="1:5" x14ac:dyDescent="0.2">
      <c r="A7637" t="s">
        <v>19546</v>
      </c>
      <c r="B7637" t="s">
        <v>19547</v>
      </c>
      <c r="C7637" t="s">
        <v>19496</v>
      </c>
      <c r="D7637" t="s">
        <v>19496</v>
      </c>
      <c r="E7637" t="s">
        <v>19548</v>
      </c>
    </row>
    <row r="7638" spans="1:5" x14ac:dyDescent="0.2">
      <c r="A7638" t="s">
        <v>19549</v>
      </c>
      <c r="B7638" t="s">
        <v>19550</v>
      </c>
      <c r="C7638" t="s">
        <v>19496</v>
      </c>
      <c r="D7638" t="s">
        <v>19496</v>
      </c>
      <c r="E7638" t="s">
        <v>19551</v>
      </c>
    </row>
    <row r="7639" spans="1:5" x14ac:dyDescent="0.2">
      <c r="A7639" t="s">
        <v>19552</v>
      </c>
      <c r="B7639" t="s">
        <v>19553</v>
      </c>
      <c r="C7639" t="s">
        <v>19496</v>
      </c>
      <c r="D7639" t="s">
        <v>19496</v>
      </c>
      <c r="E7639" t="s">
        <v>19554</v>
      </c>
    </row>
    <row r="7640" spans="1:5" x14ac:dyDescent="0.2">
      <c r="A7640" t="s">
        <v>19555</v>
      </c>
      <c r="B7640" t="s">
        <v>19556</v>
      </c>
      <c r="C7640" t="s">
        <v>19496</v>
      </c>
      <c r="D7640" t="s">
        <v>19496</v>
      </c>
      <c r="E7640" t="s">
        <v>19557</v>
      </c>
    </row>
    <row r="7641" spans="1:5" x14ac:dyDescent="0.2">
      <c r="A7641" t="s">
        <v>19558</v>
      </c>
      <c r="B7641" t="s">
        <v>19559</v>
      </c>
      <c r="C7641" t="s">
        <v>19496</v>
      </c>
      <c r="D7641" t="s">
        <v>19496</v>
      </c>
      <c r="E7641" t="s">
        <v>19560</v>
      </c>
    </row>
    <row r="7642" spans="1:5" x14ac:dyDescent="0.2">
      <c r="A7642" t="s">
        <v>19561</v>
      </c>
      <c r="B7642" t="s">
        <v>19562</v>
      </c>
      <c r="C7642" t="s">
        <v>19496</v>
      </c>
      <c r="D7642" t="s">
        <v>19496</v>
      </c>
      <c r="E7642" t="s">
        <v>19563</v>
      </c>
    </row>
    <row r="7643" spans="1:5" x14ac:dyDescent="0.2">
      <c r="A7643" t="s">
        <v>19564</v>
      </c>
      <c r="B7643" t="s">
        <v>19565</v>
      </c>
      <c r="C7643" t="s">
        <v>19496</v>
      </c>
      <c r="D7643" t="s">
        <v>19496</v>
      </c>
      <c r="E7643" t="s">
        <v>19566</v>
      </c>
    </row>
    <row r="7644" spans="1:5" x14ac:dyDescent="0.2">
      <c r="A7644" t="s">
        <v>19567</v>
      </c>
      <c r="B7644" t="s">
        <v>19568</v>
      </c>
      <c r="C7644" t="s">
        <v>19496</v>
      </c>
      <c r="D7644" t="s">
        <v>19496</v>
      </c>
      <c r="E7644" t="s">
        <v>19569</v>
      </c>
    </row>
    <row r="7645" spans="1:5" x14ac:dyDescent="0.2">
      <c r="A7645" t="s">
        <v>19570</v>
      </c>
      <c r="B7645" t="s">
        <v>19571</v>
      </c>
      <c r="C7645" t="s">
        <v>19496</v>
      </c>
      <c r="D7645" t="s">
        <v>19496</v>
      </c>
      <c r="E7645" t="s">
        <v>19572</v>
      </c>
    </row>
    <row r="7646" spans="1:5" x14ac:dyDescent="0.2">
      <c r="A7646" t="s">
        <v>19573</v>
      </c>
      <c r="B7646" t="s">
        <v>19574</v>
      </c>
      <c r="C7646" t="s">
        <v>19496</v>
      </c>
      <c r="D7646" t="s">
        <v>19496</v>
      </c>
      <c r="E7646" t="s">
        <v>19575</v>
      </c>
    </row>
    <row r="7647" spans="1:5" x14ac:dyDescent="0.2">
      <c r="A7647" t="s">
        <v>19576</v>
      </c>
      <c r="B7647" t="s">
        <v>19577</v>
      </c>
      <c r="C7647" t="s">
        <v>19496</v>
      </c>
      <c r="D7647" t="s">
        <v>19496</v>
      </c>
      <c r="E7647" t="s">
        <v>19578</v>
      </c>
    </row>
    <row r="7648" spans="1:5" x14ac:dyDescent="0.2">
      <c r="A7648" t="s">
        <v>19579</v>
      </c>
      <c r="B7648" t="s">
        <v>19580</v>
      </c>
      <c r="C7648" t="s">
        <v>19496</v>
      </c>
      <c r="D7648" t="s">
        <v>19496</v>
      </c>
      <c r="E7648" t="s">
        <v>19581</v>
      </c>
    </row>
    <row r="7649" spans="1:5" x14ac:dyDescent="0.2">
      <c r="A7649" t="s">
        <v>19582</v>
      </c>
      <c r="B7649" t="s">
        <v>19583</v>
      </c>
      <c r="C7649" t="s">
        <v>19496</v>
      </c>
      <c r="D7649" t="s">
        <v>19496</v>
      </c>
      <c r="E7649" t="s">
        <v>19584</v>
      </c>
    </row>
    <row r="7650" spans="1:5" x14ac:dyDescent="0.2">
      <c r="A7650" t="s">
        <v>19585</v>
      </c>
      <c r="B7650" t="s">
        <v>19586</v>
      </c>
      <c r="C7650" t="s">
        <v>19496</v>
      </c>
      <c r="D7650" t="s">
        <v>19496</v>
      </c>
      <c r="E7650" t="s">
        <v>19587</v>
      </c>
    </row>
    <row r="7651" spans="1:5" x14ac:dyDescent="0.2">
      <c r="A7651" t="s">
        <v>19588</v>
      </c>
      <c r="B7651" t="s">
        <v>19589</v>
      </c>
      <c r="C7651" t="s">
        <v>19496</v>
      </c>
      <c r="D7651" t="s">
        <v>19496</v>
      </c>
      <c r="E7651" t="s">
        <v>19590</v>
      </c>
    </row>
    <row r="7652" spans="1:5" x14ac:dyDescent="0.2">
      <c r="A7652" t="s">
        <v>19591</v>
      </c>
      <c r="B7652" t="s">
        <v>19592</v>
      </c>
      <c r="C7652" t="s">
        <v>19496</v>
      </c>
      <c r="D7652" t="s">
        <v>19496</v>
      </c>
      <c r="E7652" t="s">
        <v>19593</v>
      </c>
    </row>
    <row r="7653" spans="1:5" x14ac:dyDescent="0.2">
      <c r="A7653" t="s">
        <v>19594</v>
      </c>
      <c r="B7653" t="s">
        <v>19595</v>
      </c>
      <c r="C7653" t="s">
        <v>19496</v>
      </c>
      <c r="D7653" t="s">
        <v>19496</v>
      </c>
      <c r="E7653" t="s">
        <v>19596</v>
      </c>
    </row>
    <row r="7654" spans="1:5" x14ac:dyDescent="0.2">
      <c r="A7654" t="s">
        <v>19597</v>
      </c>
      <c r="B7654" t="s">
        <v>19598</v>
      </c>
      <c r="C7654" t="s">
        <v>19496</v>
      </c>
      <c r="D7654" t="s">
        <v>19496</v>
      </c>
      <c r="E7654" t="s">
        <v>19599</v>
      </c>
    </row>
    <row r="7655" spans="1:5" x14ac:dyDescent="0.2">
      <c r="A7655" t="s">
        <v>19600</v>
      </c>
      <c r="B7655" t="s">
        <v>19601</v>
      </c>
      <c r="C7655" t="s">
        <v>19496</v>
      </c>
      <c r="D7655" t="s">
        <v>19496</v>
      </c>
      <c r="E7655" t="s">
        <v>19602</v>
      </c>
    </row>
    <row r="7656" spans="1:5" x14ac:dyDescent="0.2">
      <c r="A7656" t="s">
        <v>19603</v>
      </c>
      <c r="B7656" t="s">
        <v>19604</v>
      </c>
      <c r="C7656" t="s">
        <v>19496</v>
      </c>
      <c r="D7656" t="s">
        <v>19496</v>
      </c>
      <c r="E7656" t="s">
        <v>19605</v>
      </c>
    </row>
    <row r="7657" spans="1:5" x14ac:dyDescent="0.2">
      <c r="A7657" t="s">
        <v>19606</v>
      </c>
      <c r="B7657" t="s">
        <v>19607</v>
      </c>
      <c r="C7657" t="s">
        <v>19496</v>
      </c>
      <c r="D7657" t="s">
        <v>19496</v>
      </c>
      <c r="E7657" t="s">
        <v>19608</v>
      </c>
    </row>
    <row r="7658" spans="1:5" x14ac:dyDescent="0.2">
      <c r="A7658" t="s">
        <v>19609</v>
      </c>
      <c r="B7658" t="s">
        <v>19610</v>
      </c>
      <c r="C7658" t="s">
        <v>19496</v>
      </c>
      <c r="D7658" t="s">
        <v>19496</v>
      </c>
      <c r="E7658" t="s">
        <v>19611</v>
      </c>
    </row>
    <row r="7659" spans="1:5" x14ac:dyDescent="0.2">
      <c r="A7659" t="s">
        <v>19612</v>
      </c>
      <c r="B7659" t="s">
        <v>19613</v>
      </c>
      <c r="C7659" t="s">
        <v>19496</v>
      </c>
      <c r="D7659" t="s">
        <v>19496</v>
      </c>
      <c r="E7659" t="s">
        <v>19614</v>
      </c>
    </row>
    <row r="7660" spans="1:5" x14ac:dyDescent="0.2">
      <c r="A7660" t="s">
        <v>19615</v>
      </c>
      <c r="B7660" t="s">
        <v>19616</v>
      </c>
      <c r="C7660" t="s">
        <v>19496</v>
      </c>
      <c r="D7660" t="s">
        <v>19496</v>
      </c>
      <c r="E7660" t="s">
        <v>19617</v>
      </c>
    </row>
    <row r="7661" spans="1:5" x14ac:dyDescent="0.2">
      <c r="A7661" t="s">
        <v>19618</v>
      </c>
      <c r="B7661" t="s">
        <v>19619</v>
      </c>
      <c r="C7661" t="s">
        <v>19496</v>
      </c>
      <c r="D7661" t="s">
        <v>19496</v>
      </c>
      <c r="E7661" t="s">
        <v>19620</v>
      </c>
    </row>
    <row r="7662" spans="1:5" x14ac:dyDescent="0.2">
      <c r="A7662" t="s">
        <v>19621</v>
      </c>
      <c r="B7662" t="s">
        <v>19622</v>
      </c>
      <c r="C7662" t="s">
        <v>19496</v>
      </c>
      <c r="D7662" t="s">
        <v>19496</v>
      </c>
      <c r="E7662" t="s">
        <v>19623</v>
      </c>
    </row>
    <row r="7663" spans="1:5" x14ac:dyDescent="0.2">
      <c r="A7663" t="s">
        <v>19624</v>
      </c>
      <c r="B7663" t="s">
        <v>19625</v>
      </c>
      <c r="C7663" t="s">
        <v>19496</v>
      </c>
      <c r="D7663" t="s">
        <v>19496</v>
      </c>
      <c r="E7663" t="s">
        <v>19626</v>
      </c>
    </row>
    <row r="7664" spans="1:5" x14ac:dyDescent="0.2">
      <c r="A7664" t="s">
        <v>19627</v>
      </c>
      <c r="B7664" t="s">
        <v>19628</v>
      </c>
      <c r="C7664" t="s">
        <v>19496</v>
      </c>
      <c r="D7664" t="s">
        <v>19496</v>
      </c>
      <c r="E7664" t="s">
        <v>19557</v>
      </c>
    </row>
    <row r="7665" spans="1:5" x14ac:dyDescent="0.2">
      <c r="A7665" t="s">
        <v>19629</v>
      </c>
      <c r="B7665" t="s">
        <v>19630</v>
      </c>
      <c r="C7665" t="s">
        <v>19496</v>
      </c>
      <c r="D7665" t="s">
        <v>19496</v>
      </c>
      <c r="E7665" t="s">
        <v>19631</v>
      </c>
    </row>
    <row r="7666" spans="1:5" x14ac:dyDescent="0.2">
      <c r="A7666" t="s">
        <v>19632</v>
      </c>
      <c r="B7666" t="s">
        <v>19633</v>
      </c>
      <c r="C7666" t="s">
        <v>19496</v>
      </c>
      <c r="D7666" t="s">
        <v>19496</v>
      </c>
      <c r="E7666" t="s">
        <v>19581</v>
      </c>
    </row>
    <row r="7667" spans="1:5" x14ac:dyDescent="0.2">
      <c r="A7667" t="s">
        <v>19634</v>
      </c>
      <c r="B7667" t="s">
        <v>19635</v>
      </c>
      <c r="C7667" t="s">
        <v>19496</v>
      </c>
      <c r="D7667" t="s">
        <v>19496</v>
      </c>
      <c r="E7667" t="s">
        <v>19500</v>
      </c>
    </row>
    <row r="7668" spans="1:5" x14ac:dyDescent="0.2">
      <c r="A7668" t="s">
        <v>19636</v>
      </c>
      <c r="B7668" t="s">
        <v>19637</v>
      </c>
      <c r="C7668" t="s">
        <v>19496</v>
      </c>
      <c r="D7668" t="s">
        <v>19496</v>
      </c>
      <c r="E7668" t="s">
        <v>19638</v>
      </c>
    </row>
    <row r="7669" spans="1:5" x14ac:dyDescent="0.2">
      <c r="A7669" t="s">
        <v>19639</v>
      </c>
      <c r="B7669" t="s">
        <v>19640</v>
      </c>
      <c r="C7669" t="s">
        <v>19496</v>
      </c>
      <c r="D7669" t="s">
        <v>19496</v>
      </c>
      <c r="E7669" t="s">
        <v>19641</v>
      </c>
    </row>
    <row r="7670" spans="1:5" x14ac:dyDescent="0.2">
      <c r="A7670" t="s">
        <v>19642</v>
      </c>
      <c r="B7670" t="s">
        <v>19643</v>
      </c>
      <c r="C7670" t="s">
        <v>19496</v>
      </c>
      <c r="D7670" t="s">
        <v>19496</v>
      </c>
      <c r="E7670" t="s">
        <v>19644</v>
      </c>
    </row>
    <row r="7671" spans="1:5" x14ac:dyDescent="0.2">
      <c r="A7671" t="s">
        <v>19645</v>
      </c>
      <c r="B7671" t="s">
        <v>19646</v>
      </c>
      <c r="C7671" t="s">
        <v>19496</v>
      </c>
      <c r="D7671" t="s">
        <v>19496</v>
      </c>
      <c r="E7671" t="s">
        <v>19647</v>
      </c>
    </row>
    <row r="7672" spans="1:5" x14ac:dyDescent="0.2">
      <c r="A7672" t="s">
        <v>19648</v>
      </c>
      <c r="B7672" t="s">
        <v>19649</v>
      </c>
      <c r="C7672" t="s">
        <v>19496</v>
      </c>
      <c r="D7672" t="s">
        <v>19496</v>
      </c>
      <c r="E7672" t="s">
        <v>19650</v>
      </c>
    </row>
    <row r="7673" spans="1:5" x14ac:dyDescent="0.2">
      <c r="A7673" t="s">
        <v>19651</v>
      </c>
      <c r="B7673" t="s">
        <v>19652</v>
      </c>
      <c r="C7673" t="s">
        <v>19496</v>
      </c>
      <c r="D7673" t="s">
        <v>19496</v>
      </c>
      <c r="E7673" t="s">
        <v>19653</v>
      </c>
    </row>
    <row r="7674" spans="1:5" x14ac:dyDescent="0.2">
      <c r="A7674" t="s">
        <v>19654</v>
      </c>
      <c r="B7674" t="s">
        <v>19655</v>
      </c>
      <c r="C7674" t="s">
        <v>19496</v>
      </c>
      <c r="D7674" t="s">
        <v>19496</v>
      </c>
      <c r="E7674" t="s">
        <v>19656</v>
      </c>
    </row>
    <row r="7675" spans="1:5" x14ac:dyDescent="0.2">
      <c r="A7675" t="s">
        <v>19657</v>
      </c>
      <c r="B7675" t="s">
        <v>19658</v>
      </c>
      <c r="C7675" t="s">
        <v>19496</v>
      </c>
      <c r="D7675" t="s">
        <v>19496</v>
      </c>
      <c r="E7675" t="s">
        <v>19659</v>
      </c>
    </row>
    <row r="7676" spans="1:5" x14ac:dyDescent="0.2">
      <c r="A7676" t="s">
        <v>9465</v>
      </c>
      <c r="B7676" t="s">
        <v>19660</v>
      </c>
      <c r="C7676" t="s">
        <v>19496</v>
      </c>
      <c r="D7676" t="s">
        <v>19496</v>
      </c>
      <c r="E7676" t="s">
        <v>19661</v>
      </c>
    </row>
    <row r="7677" spans="1:5" x14ac:dyDescent="0.2">
      <c r="A7677" t="s">
        <v>19662</v>
      </c>
      <c r="B7677" t="s">
        <v>19663</v>
      </c>
      <c r="C7677" t="s">
        <v>19496</v>
      </c>
      <c r="D7677" t="s">
        <v>19496</v>
      </c>
      <c r="E7677" t="s">
        <v>19664</v>
      </c>
    </row>
    <row r="7678" spans="1:5" x14ac:dyDescent="0.2">
      <c r="A7678" t="s">
        <v>19665</v>
      </c>
      <c r="B7678" t="s">
        <v>19666</v>
      </c>
      <c r="C7678" t="s">
        <v>19496</v>
      </c>
      <c r="D7678" t="s">
        <v>19496</v>
      </c>
      <c r="E7678" t="s">
        <v>19667</v>
      </c>
    </row>
    <row r="7679" spans="1:5" x14ac:dyDescent="0.2">
      <c r="A7679" t="s">
        <v>19668</v>
      </c>
      <c r="B7679" t="s">
        <v>19669</v>
      </c>
      <c r="C7679" t="s">
        <v>19496</v>
      </c>
      <c r="D7679" t="s">
        <v>19496</v>
      </c>
      <c r="E7679" t="s">
        <v>19670</v>
      </c>
    </row>
    <row r="7680" spans="1:5" x14ac:dyDescent="0.2">
      <c r="A7680" t="s">
        <v>19671</v>
      </c>
      <c r="B7680" t="s">
        <v>19672</v>
      </c>
      <c r="C7680" t="s">
        <v>19496</v>
      </c>
      <c r="D7680" t="s">
        <v>19496</v>
      </c>
      <c r="E7680" t="s">
        <v>19673</v>
      </c>
    </row>
    <row r="7681" spans="1:5" x14ac:dyDescent="0.2">
      <c r="A7681" t="s">
        <v>19674</v>
      </c>
      <c r="B7681" t="s">
        <v>19675</v>
      </c>
      <c r="C7681" t="s">
        <v>19496</v>
      </c>
      <c r="D7681" t="s">
        <v>19496</v>
      </c>
      <c r="E7681" t="s">
        <v>19676</v>
      </c>
    </row>
    <row r="7682" spans="1:5" x14ac:dyDescent="0.2">
      <c r="A7682" t="s">
        <v>19677</v>
      </c>
      <c r="B7682" t="s">
        <v>19678</v>
      </c>
      <c r="C7682" t="s">
        <v>19496</v>
      </c>
      <c r="D7682" t="s">
        <v>19496</v>
      </c>
      <c r="E7682" t="s">
        <v>19679</v>
      </c>
    </row>
    <row r="7683" spans="1:5" x14ac:dyDescent="0.2">
      <c r="A7683" t="s">
        <v>19680</v>
      </c>
      <c r="B7683" t="s">
        <v>19681</v>
      </c>
      <c r="C7683" t="s">
        <v>19496</v>
      </c>
      <c r="D7683" t="s">
        <v>19496</v>
      </c>
      <c r="E7683" t="s">
        <v>19682</v>
      </c>
    </row>
    <row r="7684" spans="1:5" x14ac:dyDescent="0.2">
      <c r="A7684" t="s">
        <v>19683</v>
      </c>
      <c r="B7684" t="s">
        <v>19684</v>
      </c>
      <c r="C7684" t="s">
        <v>19496</v>
      </c>
      <c r="D7684" t="s">
        <v>19496</v>
      </c>
      <c r="E7684" t="s">
        <v>19685</v>
      </c>
    </row>
    <row r="7685" spans="1:5" x14ac:dyDescent="0.2">
      <c r="A7685" t="s">
        <v>19686</v>
      </c>
      <c r="B7685" t="s">
        <v>19687</v>
      </c>
      <c r="C7685" t="s">
        <v>19496</v>
      </c>
      <c r="D7685" t="s">
        <v>19496</v>
      </c>
      <c r="E7685" t="s">
        <v>19688</v>
      </c>
    </row>
    <row r="7686" spans="1:5" x14ac:dyDescent="0.2">
      <c r="A7686" t="s">
        <v>19689</v>
      </c>
      <c r="B7686" t="s">
        <v>19690</v>
      </c>
      <c r="C7686" t="s">
        <v>19496</v>
      </c>
      <c r="D7686" t="s">
        <v>19496</v>
      </c>
      <c r="E7686" t="s">
        <v>19679</v>
      </c>
    </row>
    <row r="7687" spans="1:5" x14ac:dyDescent="0.2">
      <c r="A7687" t="s">
        <v>19691</v>
      </c>
      <c r="B7687" t="s">
        <v>19692</v>
      </c>
      <c r="C7687" t="s">
        <v>19496</v>
      </c>
      <c r="D7687" t="s">
        <v>19496</v>
      </c>
      <c r="E7687" t="s">
        <v>19693</v>
      </c>
    </row>
    <row r="7688" spans="1:5" x14ac:dyDescent="0.2">
      <c r="A7688" t="s">
        <v>19694</v>
      </c>
      <c r="B7688" t="s">
        <v>19695</v>
      </c>
      <c r="C7688" t="s">
        <v>19496</v>
      </c>
      <c r="D7688" t="s">
        <v>19496</v>
      </c>
      <c r="E7688" t="s">
        <v>19696</v>
      </c>
    </row>
    <row r="7689" spans="1:5" x14ac:dyDescent="0.2">
      <c r="A7689" t="s">
        <v>19697</v>
      </c>
      <c r="B7689" t="s">
        <v>19698</v>
      </c>
      <c r="C7689" t="s">
        <v>19496</v>
      </c>
      <c r="D7689" t="s">
        <v>19496</v>
      </c>
      <c r="E7689" t="s">
        <v>19699</v>
      </c>
    </row>
    <row r="7690" spans="1:5" x14ac:dyDescent="0.2">
      <c r="A7690" t="s">
        <v>19700</v>
      </c>
      <c r="B7690" t="s">
        <v>19701</v>
      </c>
      <c r="C7690" t="s">
        <v>19496</v>
      </c>
      <c r="D7690" t="s">
        <v>19496</v>
      </c>
      <c r="E7690" t="s">
        <v>19661</v>
      </c>
    </row>
    <row r="7691" spans="1:5" x14ac:dyDescent="0.2">
      <c r="A7691" t="s">
        <v>19702</v>
      </c>
      <c r="B7691" t="s">
        <v>19703</v>
      </c>
      <c r="C7691" t="s">
        <v>19496</v>
      </c>
      <c r="D7691" t="s">
        <v>19496</v>
      </c>
      <c r="E7691" t="s">
        <v>19704</v>
      </c>
    </row>
    <row r="7692" spans="1:5" x14ac:dyDescent="0.2">
      <c r="A7692" t="s">
        <v>19705</v>
      </c>
      <c r="B7692" t="s">
        <v>19706</v>
      </c>
      <c r="C7692" t="s">
        <v>19496</v>
      </c>
      <c r="D7692" t="e">
        <v>#N/A</v>
      </c>
      <c r="E7692" t="e">
        <v>#N/A</v>
      </c>
    </row>
    <row r="7693" spans="1:5" x14ac:dyDescent="0.2">
      <c r="A7693" t="s">
        <v>19707</v>
      </c>
      <c r="B7693" t="s">
        <v>19708</v>
      </c>
      <c r="C7693" t="s">
        <v>19496</v>
      </c>
      <c r="D7693" t="e">
        <v>#N/A</v>
      </c>
      <c r="E7693" t="e">
        <v>#N/A</v>
      </c>
    </row>
    <row r="7694" spans="1:5" x14ac:dyDescent="0.2">
      <c r="A7694" t="s">
        <v>19709</v>
      </c>
      <c r="B7694" t="s">
        <v>19710</v>
      </c>
      <c r="C7694" t="s">
        <v>19711</v>
      </c>
      <c r="D7694" t="s">
        <v>19711</v>
      </c>
      <c r="E7694" t="s">
        <v>19712</v>
      </c>
    </row>
    <row r="7695" spans="1:5" x14ac:dyDescent="0.2">
      <c r="A7695" t="s">
        <v>19713</v>
      </c>
      <c r="B7695" t="s">
        <v>19714</v>
      </c>
      <c r="C7695" t="s">
        <v>19711</v>
      </c>
      <c r="D7695" t="s">
        <v>19711</v>
      </c>
      <c r="E7695" t="s">
        <v>19715</v>
      </c>
    </row>
    <row r="7696" spans="1:5" x14ac:dyDescent="0.2">
      <c r="A7696" t="s">
        <v>19716</v>
      </c>
      <c r="B7696" t="s">
        <v>19717</v>
      </c>
      <c r="C7696" t="s">
        <v>19711</v>
      </c>
      <c r="D7696" t="s">
        <v>19711</v>
      </c>
      <c r="E7696" t="s">
        <v>19718</v>
      </c>
    </row>
    <row r="7697" spans="1:5" x14ac:dyDescent="0.2">
      <c r="A7697" t="s">
        <v>19719</v>
      </c>
      <c r="B7697" t="s">
        <v>19720</v>
      </c>
      <c r="C7697" t="s">
        <v>19711</v>
      </c>
      <c r="D7697" t="s">
        <v>19711</v>
      </c>
      <c r="E7697" t="s">
        <v>19721</v>
      </c>
    </row>
    <row r="7698" spans="1:5" x14ac:dyDescent="0.2">
      <c r="A7698" t="s">
        <v>19722</v>
      </c>
      <c r="B7698" t="s">
        <v>19723</v>
      </c>
      <c r="C7698" t="s">
        <v>19711</v>
      </c>
      <c r="D7698" t="s">
        <v>19711</v>
      </c>
      <c r="E7698" t="s">
        <v>19724</v>
      </c>
    </row>
    <row r="7699" spans="1:5" x14ac:dyDescent="0.2">
      <c r="A7699" t="s">
        <v>19725</v>
      </c>
      <c r="B7699" t="s">
        <v>19726</v>
      </c>
      <c r="C7699" t="s">
        <v>19711</v>
      </c>
      <c r="D7699" t="s">
        <v>19711</v>
      </c>
      <c r="E7699" t="s">
        <v>19727</v>
      </c>
    </row>
    <row r="7700" spans="1:5" x14ac:dyDescent="0.2">
      <c r="A7700" t="s">
        <v>19728</v>
      </c>
      <c r="B7700" t="s">
        <v>19729</v>
      </c>
      <c r="C7700" t="s">
        <v>19711</v>
      </c>
      <c r="D7700" t="s">
        <v>19711</v>
      </c>
      <c r="E7700" t="s">
        <v>19730</v>
      </c>
    </row>
    <row r="7701" spans="1:5" x14ac:dyDescent="0.2">
      <c r="A7701" t="s">
        <v>19731</v>
      </c>
      <c r="B7701" t="s">
        <v>19732</v>
      </c>
      <c r="C7701" t="s">
        <v>19711</v>
      </c>
      <c r="D7701" t="s">
        <v>19711</v>
      </c>
      <c r="E7701" t="s">
        <v>19733</v>
      </c>
    </row>
    <row r="7702" spans="1:5" x14ac:dyDescent="0.2">
      <c r="A7702" t="s">
        <v>19734</v>
      </c>
      <c r="B7702" t="s">
        <v>19735</v>
      </c>
      <c r="C7702" t="s">
        <v>19711</v>
      </c>
      <c r="D7702" t="s">
        <v>19711</v>
      </c>
      <c r="E7702" t="s">
        <v>19736</v>
      </c>
    </row>
    <row r="7703" spans="1:5" x14ac:dyDescent="0.2">
      <c r="A7703" t="s">
        <v>19737</v>
      </c>
      <c r="B7703" t="s">
        <v>19738</v>
      </c>
      <c r="C7703" t="s">
        <v>19711</v>
      </c>
      <c r="D7703" t="s">
        <v>19711</v>
      </c>
      <c r="E7703" t="s">
        <v>19739</v>
      </c>
    </row>
    <row r="7704" spans="1:5" x14ac:dyDescent="0.2">
      <c r="A7704" t="s">
        <v>19740</v>
      </c>
      <c r="B7704" t="s">
        <v>19741</v>
      </c>
      <c r="C7704" t="s">
        <v>19711</v>
      </c>
      <c r="D7704" t="s">
        <v>19711</v>
      </c>
      <c r="E7704" t="s">
        <v>19742</v>
      </c>
    </row>
    <row r="7705" spans="1:5" x14ac:dyDescent="0.2">
      <c r="A7705" t="s">
        <v>19743</v>
      </c>
      <c r="B7705" t="s">
        <v>19744</v>
      </c>
      <c r="C7705" t="s">
        <v>19711</v>
      </c>
      <c r="D7705" t="s">
        <v>19711</v>
      </c>
      <c r="E7705" t="s">
        <v>19745</v>
      </c>
    </row>
    <row r="7706" spans="1:5" x14ac:dyDescent="0.2">
      <c r="A7706" t="s">
        <v>19746</v>
      </c>
      <c r="B7706" t="s">
        <v>19747</v>
      </c>
      <c r="C7706" t="s">
        <v>19711</v>
      </c>
      <c r="D7706" t="s">
        <v>19711</v>
      </c>
      <c r="E7706" t="s">
        <v>19748</v>
      </c>
    </row>
    <row r="7707" spans="1:5" x14ac:dyDescent="0.2">
      <c r="A7707" t="s">
        <v>19749</v>
      </c>
      <c r="B7707" t="s">
        <v>19750</v>
      </c>
      <c r="C7707" t="s">
        <v>19711</v>
      </c>
      <c r="D7707" t="s">
        <v>19711</v>
      </c>
      <c r="E7707" t="s">
        <v>19751</v>
      </c>
    </row>
    <row r="7708" spans="1:5" x14ac:dyDescent="0.2">
      <c r="A7708" t="s">
        <v>19752</v>
      </c>
      <c r="B7708" t="s">
        <v>19753</v>
      </c>
      <c r="C7708" t="s">
        <v>19711</v>
      </c>
      <c r="D7708" t="s">
        <v>19711</v>
      </c>
      <c r="E7708" t="s">
        <v>19754</v>
      </c>
    </row>
    <row r="7709" spans="1:5" x14ac:dyDescent="0.2">
      <c r="A7709" t="s">
        <v>19755</v>
      </c>
      <c r="B7709" t="s">
        <v>19756</v>
      </c>
      <c r="C7709" t="s">
        <v>19711</v>
      </c>
      <c r="D7709" t="s">
        <v>19711</v>
      </c>
      <c r="E7709" t="s">
        <v>19757</v>
      </c>
    </row>
    <row r="7710" spans="1:5" x14ac:dyDescent="0.2">
      <c r="A7710" t="s">
        <v>19758</v>
      </c>
      <c r="B7710" t="s">
        <v>19759</v>
      </c>
      <c r="C7710" t="s">
        <v>19711</v>
      </c>
      <c r="D7710" t="s">
        <v>19711</v>
      </c>
      <c r="E7710" t="s">
        <v>19760</v>
      </c>
    </row>
    <row r="7711" spans="1:5" x14ac:dyDescent="0.2">
      <c r="A7711" t="s">
        <v>19761</v>
      </c>
      <c r="B7711" t="s">
        <v>19762</v>
      </c>
      <c r="C7711" t="s">
        <v>19711</v>
      </c>
      <c r="D7711" t="s">
        <v>19711</v>
      </c>
      <c r="E7711" t="s">
        <v>19763</v>
      </c>
    </row>
    <row r="7712" spans="1:5" x14ac:dyDescent="0.2">
      <c r="A7712" t="s">
        <v>19764</v>
      </c>
      <c r="B7712" t="s">
        <v>19765</v>
      </c>
      <c r="C7712" t="s">
        <v>19711</v>
      </c>
      <c r="D7712" t="s">
        <v>19711</v>
      </c>
      <c r="E7712" t="s">
        <v>19766</v>
      </c>
    </row>
    <row r="7713" spans="1:5" x14ac:dyDescent="0.2">
      <c r="A7713" t="s">
        <v>19767</v>
      </c>
      <c r="B7713" t="s">
        <v>19768</v>
      </c>
      <c r="C7713" t="s">
        <v>19711</v>
      </c>
      <c r="D7713" t="s">
        <v>19711</v>
      </c>
      <c r="E7713" t="s">
        <v>19769</v>
      </c>
    </row>
    <row r="7714" spans="1:5" x14ac:dyDescent="0.2">
      <c r="A7714" t="s">
        <v>19770</v>
      </c>
      <c r="B7714" t="s">
        <v>19771</v>
      </c>
      <c r="C7714" t="s">
        <v>19711</v>
      </c>
      <c r="D7714" t="s">
        <v>19711</v>
      </c>
      <c r="E7714" t="s">
        <v>19772</v>
      </c>
    </row>
    <row r="7715" spans="1:5" x14ac:dyDescent="0.2">
      <c r="A7715" t="s">
        <v>19773</v>
      </c>
      <c r="B7715" t="s">
        <v>19774</v>
      </c>
      <c r="C7715" t="s">
        <v>19711</v>
      </c>
      <c r="D7715" t="s">
        <v>19711</v>
      </c>
      <c r="E7715" t="s">
        <v>19775</v>
      </c>
    </row>
    <row r="7716" spans="1:5" x14ac:dyDescent="0.2">
      <c r="A7716" t="s">
        <v>19776</v>
      </c>
      <c r="B7716" t="s">
        <v>19777</v>
      </c>
      <c r="C7716" t="s">
        <v>19711</v>
      </c>
      <c r="D7716" t="s">
        <v>19711</v>
      </c>
      <c r="E7716" t="s">
        <v>19778</v>
      </c>
    </row>
    <row r="7717" spans="1:5" x14ac:dyDescent="0.2">
      <c r="A7717" t="s">
        <v>19779</v>
      </c>
      <c r="B7717" t="s">
        <v>19780</v>
      </c>
      <c r="C7717" t="s">
        <v>19711</v>
      </c>
      <c r="D7717" t="s">
        <v>19711</v>
      </c>
      <c r="E7717" t="s">
        <v>19781</v>
      </c>
    </row>
    <row r="7718" spans="1:5" x14ac:dyDescent="0.2">
      <c r="A7718" t="s">
        <v>19782</v>
      </c>
      <c r="B7718" t="s">
        <v>19783</v>
      </c>
      <c r="C7718" t="s">
        <v>19711</v>
      </c>
      <c r="D7718" t="s">
        <v>19711</v>
      </c>
      <c r="E7718" t="s">
        <v>19784</v>
      </c>
    </row>
    <row r="7719" spans="1:5" x14ac:dyDescent="0.2">
      <c r="A7719" t="s">
        <v>19785</v>
      </c>
      <c r="B7719" t="s">
        <v>19786</v>
      </c>
      <c r="C7719" t="s">
        <v>19711</v>
      </c>
      <c r="D7719" t="s">
        <v>19711</v>
      </c>
      <c r="E7719" t="s">
        <v>19787</v>
      </c>
    </row>
    <row r="7720" spans="1:5" x14ac:dyDescent="0.2">
      <c r="A7720" t="s">
        <v>19788</v>
      </c>
      <c r="B7720" t="s">
        <v>19789</v>
      </c>
      <c r="C7720" t="s">
        <v>19711</v>
      </c>
      <c r="D7720" t="s">
        <v>19711</v>
      </c>
      <c r="E7720" t="s">
        <v>19790</v>
      </c>
    </row>
    <row r="7721" spans="1:5" x14ac:dyDescent="0.2">
      <c r="A7721" t="s">
        <v>19791</v>
      </c>
      <c r="B7721" t="s">
        <v>19792</v>
      </c>
      <c r="C7721" t="s">
        <v>19711</v>
      </c>
      <c r="D7721" t="s">
        <v>19711</v>
      </c>
      <c r="E7721" t="s">
        <v>19793</v>
      </c>
    </row>
    <row r="7722" spans="1:5" x14ac:dyDescent="0.2">
      <c r="A7722" t="s">
        <v>19794</v>
      </c>
      <c r="B7722" t="s">
        <v>19795</v>
      </c>
      <c r="C7722" t="s">
        <v>19711</v>
      </c>
      <c r="D7722" t="s">
        <v>19711</v>
      </c>
      <c r="E7722" t="s">
        <v>19796</v>
      </c>
    </row>
    <row r="7723" spans="1:5" x14ac:dyDescent="0.2">
      <c r="A7723" t="s">
        <v>19797</v>
      </c>
      <c r="B7723" t="s">
        <v>19798</v>
      </c>
      <c r="C7723" t="s">
        <v>19711</v>
      </c>
      <c r="D7723" t="s">
        <v>19711</v>
      </c>
      <c r="E7723" t="s">
        <v>19799</v>
      </c>
    </row>
    <row r="7724" spans="1:5" x14ac:dyDescent="0.2">
      <c r="A7724" t="s">
        <v>19800</v>
      </c>
      <c r="B7724" t="s">
        <v>19801</v>
      </c>
      <c r="C7724" t="s">
        <v>19711</v>
      </c>
      <c r="D7724" t="s">
        <v>19711</v>
      </c>
      <c r="E7724" t="s">
        <v>19802</v>
      </c>
    </row>
    <row r="7725" spans="1:5" x14ac:dyDescent="0.2">
      <c r="A7725" t="s">
        <v>19803</v>
      </c>
      <c r="B7725" t="s">
        <v>19804</v>
      </c>
      <c r="C7725" t="s">
        <v>19711</v>
      </c>
      <c r="D7725" t="s">
        <v>19711</v>
      </c>
      <c r="E7725" t="s">
        <v>19805</v>
      </c>
    </row>
    <row r="7726" spans="1:5" x14ac:dyDescent="0.2">
      <c r="A7726" t="s">
        <v>19806</v>
      </c>
      <c r="B7726" t="s">
        <v>19807</v>
      </c>
      <c r="C7726" t="s">
        <v>19711</v>
      </c>
      <c r="D7726" t="s">
        <v>19711</v>
      </c>
      <c r="E7726" t="s">
        <v>19808</v>
      </c>
    </row>
    <row r="7727" spans="1:5" x14ac:dyDescent="0.2">
      <c r="A7727" t="s">
        <v>19809</v>
      </c>
      <c r="B7727" t="s">
        <v>19810</v>
      </c>
      <c r="C7727" t="s">
        <v>19711</v>
      </c>
      <c r="D7727" t="s">
        <v>19711</v>
      </c>
      <c r="E7727" t="s">
        <v>19811</v>
      </c>
    </row>
    <row r="7728" spans="1:5" x14ac:dyDescent="0.2">
      <c r="A7728" t="s">
        <v>19812</v>
      </c>
      <c r="B7728" t="s">
        <v>19813</v>
      </c>
      <c r="C7728" t="s">
        <v>19711</v>
      </c>
      <c r="D7728" t="s">
        <v>19711</v>
      </c>
      <c r="E7728" t="s">
        <v>19814</v>
      </c>
    </row>
    <row r="7729" spans="1:5" x14ac:dyDescent="0.2">
      <c r="A7729" t="s">
        <v>19815</v>
      </c>
      <c r="B7729" t="s">
        <v>19816</v>
      </c>
      <c r="C7729" t="s">
        <v>19711</v>
      </c>
      <c r="D7729" t="s">
        <v>19711</v>
      </c>
      <c r="E7729" t="s">
        <v>19817</v>
      </c>
    </row>
    <row r="7730" spans="1:5" x14ac:dyDescent="0.2">
      <c r="A7730" t="s">
        <v>19818</v>
      </c>
      <c r="B7730" t="s">
        <v>19819</v>
      </c>
      <c r="C7730" t="s">
        <v>19711</v>
      </c>
      <c r="D7730" t="s">
        <v>19711</v>
      </c>
      <c r="E7730" t="s">
        <v>19820</v>
      </c>
    </row>
    <row r="7731" spans="1:5" x14ac:dyDescent="0.2">
      <c r="A7731" t="s">
        <v>19821</v>
      </c>
      <c r="B7731" t="s">
        <v>19822</v>
      </c>
      <c r="C7731" t="s">
        <v>19711</v>
      </c>
      <c r="D7731" t="s">
        <v>19711</v>
      </c>
      <c r="E7731" t="s">
        <v>19823</v>
      </c>
    </row>
    <row r="7732" spans="1:5" x14ac:dyDescent="0.2">
      <c r="A7732" t="s">
        <v>19824</v>
      </c>
      <c r="B7732" t="s">
        <v>19825</v>
      </c>
      <c r="C7732" t="s">
        <v>19711</v>
      </c>
      <c r="D7732" t="s">
        <v>19711</v>
      </c>
      <c r="E7732" t="s">
        <v>19826</v>
      </c>
    </row>
    <row r="7733" spans="1:5" x14ac:dyDescent="0.2">
      <c r="A7733" t="s">
        <v>19827</v>
      </c>
      <c r="B7733" t="s">
        <v>19828</v>
      </c>
      <c r="C7733" t="s">
        <v>19711</v>
      </c>
      <c r="D7733" t="s">
        <v>19711</v>
      </c>
      <c r="E7733" t="s">
        <v>19829</v>
      </c>
    </row>
    <row r="7734" spans="1:5" x14ac:dyDescent="0.2">
      <c r="A7734" t="s">
        <v>19830</v>
      </c>
      <c r="B7734" t="s">
        <v>19831</v>
      </c>
      <c r="C7734" t="s">
        <v>19711</v>
      </c>
      <c r="D7734" t="s">
        <v>19711</v>
      </c>
      <c r="E7734" t="s">
        <v>19832</v>
      </c>
    </row>
    <row r="7735" spans="1:5" x14ac:dyDescent="0.2">
      <c r="A7735" t="s">
        <v>19833</v>
      </c>
      <c r="B7735" t="s">
        <v>19834</v>
      </c>
      <c r="C7735" t="s">
        <v>19711</v>
      </c>
      <c r="D7735" t="s">
        <v>19711</v>
      </c>
      <c r="E7735" t="s">
        <v>19835</v>
      </c>
    </row>
    <row r="7736" spans="1:5" x14ac:dyDescent="0.2">
      <c r="A7736" t="s">
        <v>19836</v>
      </c>
      <c r="B7736" t="s">
        <v>19837</v>
      </c>
      <c r="C7736" t="s">
        <v>19711</v>
      </c>
      <c r="D7736" t="s">
        <v>19711</v>
      </c>
      <c r="E7736" t="s">
        <v>19838</v>
      </c>
    </row>
    <row r="7737" spans="1:5" x14ac:dyDescent="0.2">
      <c r="A7737" t="s">
        <v>19839</v>
      </c>
      <c r="B7737" t="s">
        <v>19840</v>
      </c>
      <c r="C7737" t="s">
        <v>19711</v>
      </c>
      <c r="D7737" t="s">
        <v>19711</v>
      </c>
      <c r="E7737" t="s">
        <v>19841</v>
      </c>
    </row>
    <row r="7738" spans="1:5" x14ac:dyDescent="0.2">
      <c r="A7738" t="s">
        <v>19842</v>
      </c>
      <c r="B7738" t="s">
        <v>19843</v>
      </c>
      <c r="C7738" t="s">
        <v>19711</v>
      </c>
      <c r="D7738" t="s">
        <v>19711</v>
      </c>
      <c r="E7738" t="s">
        <v>19844</v>
      </c>
    </row>
    <row r="7739" spans="1:5" x14ac:dyDescent="0.2">
      <c r="A7739" t="s">
        <v>19845</v>
      </c>
      <c r="B7739" t="s">
        <v>19846</v>
      </c>
      <c r="C7739" t="s">
        <v>19711</v>
      </c>
      <c r="D7739" t="s">
        <v>19711</v>
      </c>
      <c r="E7739" t="s">
        <v>19847</v>
      </c>
    </row>
    <row r="7740" spans="1:5" x14ac:dyDescent="0.2">
      <c r="A7740" t="s">
        <v>19848</v>
      </c>
      <c r="B7740" t="s">
        <v>19849</v>
      </c>
      <c r="C7740" t="s">
        <v>19711</v>
      </c>
      <c r="D7740" t="s">
        <v>19711</v>
      </c>
      <c r="E7740" t="s">
        <v>19850</v>
      </c>
    </row>
    <row r="7741" spans="1:5" x14ac:dyDescent="0.2">
      <c r="A7741" t="s">
        <v>19851</v>
      </c>
      <c r="B7741" t="s">
        <v>19852</v>
      </c>
      <c r="C7741" t="s">
        <v>19711</v>
      </c>
      <c r="D7741" t="s">
        <v>19711</v>
      </c>
      <c r="E7741" t="s">
        <v>19853</v>
      </c>
    </row>
    <row r="7742" spans="1:5" x14ac:dyDescent="0.2">
      <c r="A7742" t="s">
        <v>19854</v>
      </c>
      <c r="B7742" t="s">
        <v>19855</v>
      </c>
      <c r="C7742" t="s">
        <v>19711</v>
      </c>
      <c r="D7742" t="s">
        <v>19711</v>
      </c>
      <c r="E7742" t="s">
        <v>19856</v>
      </c>
    </row>
    <row r="7743" spans="1:5" x14ac:dyDescent="0.2">
      <c r="A7743" t="s">
        <v>19857</v>
      </c>
      <c r="B7743" t="s">
        <v>19858</v>
      </c>
      <c r="C7743" t="s">
        <v>19711</v>
      </c>
      <c r="D7743" t="s">
        <v>19711</v>
      </c>
      <c r="E7743" t="s">
        <v>19859</v>
      </c>
    </row>
    <row r="7744" spans="1:5" x14ac:dyDescent="0.2">
      <c r="A7744" t="s">
        <v>19860</v>
      </c>
      <c r="B7744" t="s">
        <v>19861</v>
      </c>
      <c r="C7744" t="s">
        <v>19711</v>
      </c>
      <c r="D7744" t="s">
        <v>19711</v>
      </c>
      <c r="E7744" t="s">
        <v>19862</v>
      </c>
    </row>
    <row r="7745" spans="1:5" x14ac:dyDescent="0.2">
      <c r="A7745" t="s">
        <v>19863</v>
      </c>
      <c r="B7745" t="s">
        <v>19864</v>
      </c>
      <c r="C7745" t="s">
        <v>19711</v>
      </c>
      <c r="D7745" t="s">
        <v>19711</v>
      </c>
      <c r="E7745" t="s">
        <v>19865</v>
      </c>
    </row>
    <row r="7746" spans="1:5" x14ac:dyDescent="0.2">
      <c r="A7746" t="s">
        <v>19866</v>
      </c>
      <c r="B7746" t="s">
        <v>19867</v>
      </c>
      <c r="C7746" t="s">
        <v>19711</v>
      </c>
      <c r="D7746" t="s">
        <v>19711</v>
      </c>
      <c r="E7746" t="s">
        <v>19868</v>
      </c>
    </row>
    <row r="7747" spans="1:5" x14ac:dyDescent="0.2">
      <c r="A7747" t="s">
        <v>19869</v>
      </c>
      <c r="B7747" t="s">
        <v>19870</v>
      </c>
      <c r="C7747" t="s">
        <v>19711</v>
      </c>
      <c r="D7747" t="s">
        <v>19711</v>
      </c>
      <c r="E7747" t="s">
        <v>19871</v>
      </c>
    </row>
    <row r="7748" spans="1:5" x14ac:dyDescent="0.2">
      <c r="A7748" t="s">
        <v>19872</v>
      </c>
      <c r="B7748" t="s">
        <v>19873</v>
      </c>
      <c r="C7748" t="s">
        <v>19711</v>
      </c>
      <c r="D7748" t="s">
        <v>19711</v>
      </c>
      <c r="E7748" t="s">
        <v>19874</v>
      </c>
    </row>
    <row r="7749" spans="1:5" x14ac:dyDescent="0.2">
      <c r="A7749" t="s">
        <v>19875</v>
      </c>
      <c r="B7749" t="s">
        <v>19876</v>
      </c>
      <c r="C7749" t="s">
        <v>19877</v>
      </c>
      <c r="D7749" t="s">
        <v>19877</v>
      </c>
      <c r="E7749" t="s">
        <v>19878</v>
      </c>
    </row>
    <row r="7750" spans="1:5" x14ac:dyDescent="0.2">
      <c r="A7750" t="s">
        <v>19879</v>
      </c>
      <c r="B7750" t="s">
        <v>19880</v>
      </c>
      <c r="C7750" t="s">
        <v>19877</v>
      </c>
      <c r="D7750" t="s">
        <v>19877</v>
      </c>
      <c r="E7750" t="s">
        <v>19881</v>
      </c>
    </row>
    <row r="7751" spans="1:5" x14ac:dyDescent="0.2">
      <c r="A7751" t="s">
        <v>19882</v>
      </c>
      <c r="B7751" t="s">
        <v>19883</v>
      </c>
      <c r="C7751" t="s">
        <v>19877</v>
      </c>
      <c r="D7751" t="s">
        <v>19877</v>
      </c>
      <c r="E7751" t="s">
        <v>19884</v>
      </c>
    </row>
    <row r="7752" spans="1:5" x14ac:dyDescent="0.2">
      <c r="A7752" t="s">
        <v>19885</v>
      </c>
      <c r="B7752" t="s">
        <v>19886</v>
      </c>
      <c r="C7752" t="s">
        <v>19877</v>
      </c>
      <c r="D7752" t="s">
        <v>19877</v>
      </c>
      <c r="E7752" t="s">
        <v>19887</v>
      </c>
    </row>
    <row r="7753" spans="1:5" x14ac:dyDescent="0.2">
      <c r="A7753" t="s">
        <v>19888</v>
      </c>
      <c r="B7753" t="s">
        <v>19889</v>
      </c>
      <c r="C7753" t="s">
        <v>19877</v>
      </c>
      <c r="D7753" t="s">
        <v>19877</v>
      </c>
      <c r="E7753" t="s">
        <v>19890</v>
      </c>
    </row>
    <row r="7754" spans="1:5" x14ac:dyDescent="0.2">
      <c r="A7754" t="s">
        <v>19891</v>
      </c>
      <c r="B7754" t="s">
        <v>19892</v>
      </c>
      <c r="C7754" t="s">
        <v>19877</v>
      </c>
      <c r="D7754" t="s">
        <v>19877</v>
      </c>
      <c r="E7754" t="s">
        <v>19893</v>
      </c>
    </row>
    <row r="7755" spans="1:5" x14ac:dyDescent="0.2">
      <c r="A7755" t="s">
        <v>19894</v>
      </c>
      <c r="B7755" t="s">
        <v>19895</v>
      </c>
      <c r="C7755" t="s">
        <v>19877</v>
      </c>
      <c r="D7755" t="s">
        <v>19877</v>
      </c>
      <c r="E7755" t="s">
        <v>19896</v>
      </c>
    </row>
    <row r="7756" spans="1:5" x14ac:dyDescent="0.2">
      <c r="A7756" t="s">
        <v>19897</v>
      </c>
      <c r="B7756" t="s">
        <v>19898</v>
      </c>
      <c r="C7756" t="s">
        <v>19877</v>
      </c>
      <c r="D7756" t="s">
        <v>19877</v>
      </c>
      <c r="E7756" t="s">
        <v>19899</v>
      </c>
    </row>
    <row r="7757" spans="1:5" x14ac:dyDescent="0.2">
      <c r="A7757" t="s">
        <v>19900</v>
      </c>
      <c r="B7757" t="s">
        <v>19901</v>
      </c>
      <c r="C7757" t="s">
        <v>19877</v>
      </c>
      <c r="D7757" t="s">
        <v>19877</v>
      </c>
      <c r="E7757" t="s">
        <v>19902</v>
      </c>
    </row>
    <row r="7758" spans="1:5" x14ac:dyDescent="0.2">
      <c r="A7758" t="s">
        <v>19903</v>
      </c>
      <c r="B7758" t="s">
        <v>19904</v>
      </c>
      <c r="C7758" t="s">
        <v>19877</v>
      </c>
      <c r="D7758" t="s">
        <v>19877</v>
      </c>
      <c r="E7758" t="s">
        <v>19905</v>
      </c>
    </row>
    <row r="7759" spans="1:5" x14ac:dyDescent="0.2">
      <c r="A7759" t="s">
        <v>19906</v>
      </c>
      <c r="B7759" t="s">
        <v>19907</v>
      </c>
      <c r="C7759" t="s">
        <v>19877</v>
      </c>
      <c r="D7759" t="s">
        <v>19877</v>
      </c>
      <c r="E7759" t="s">
        <v>19908</v>
      </c>
    </row>
    <row r="7760" spans="1:5" x14ac:dyDescent="0.2">
      <c r="A7760" t="s">
        <v>19909</v>
      </c>
      <c r="B7760" t="s">
        <v>19910</v>
      </c>
      <c r="C7760" t="s">
        <v>19877</v>
      </c>
      <c r="D7760" t="s">
        <v>19877</v>
      </c>
      <c r="E7760" t="s">
        <v>19911</v>
      </c>
    </row>
    <row r="7761" spans="1:5" x14ac:dyDescent="0.2">
      <c r="A7761" t="s">
        <v>19912</v>
      </c>
      <c r="B7761" t="s">
        <v>19913</v>
      </c>
      <c r="C7761" t="s">
        <v>19877</v>
      </c>
      <c r="D7761" t="s">
        <v>19877</v>
      </c>
      <c r="E7761" t="s">
        <v>19914</v>
      </c>
    </row>
    <row r="7762" spans="1:5" x14ac:dyDescent="0.2">
      <c r="A7762" t="s">
        <v>19915</v>
      </c>
      <c r="B7762" t="s">
        <v>19916</v>
      </c>
      <c r="C7762" t="s">
        <v>19877</v>
      </c>
      <c r="D7762" t="s">
        <v>19877</v>
      </c>
      <c r="E7762" t="s">
        <v>19917</v>
      </c>
    </row>
    <row r="7763" spans="1:5" x14ac:dyDescent="0.2">
      <c r="A7763" t="s">
        <v>19918</v>
      </c>
      <c r="B7763" t="s">
        <v>19919</v>
      </c>
      <c r="C7763" t="s">
        <v>19877</v>
      </c>
      <c r="D7763" t="s">
        <v>19877</v>
      </c>
      <c r="E7763" t="s">
        <v>19920</v>
      </c>
    </row>
    <row r="7764" spans="1:5" x14ac:dyDescent="0.2">
      <c r="A7764" t="s">
        <v>19921</v>
      </c>
      <c r="B7764" t="s">
        <v>19922</v>
      </c>
      <c r="C7764" t="s">
        <v>19877</v>
      </c>
      <c r="D7764" t="s">
        <v>19877</v>
      </c>
      <c r="E7764" t="s">
        <v>19923</v>
      </c>
    </row>
    <row r="7765" spans="1:5" x14ac:dyDescent="0.2">
      <c r="A7765" t="s">
        <v>19924</v>
      </c>
      <c r="B7765" t="s">
        <v>19925</v>
      </c>
      <c r="C7765" t="s">
        <v>19877</v>
      </c>
      <c r="D7765" t="s">
        <v>19877</v>
      </c>
      <c r="E7765" t="s">
        <v>19926</v>
      </c>
    </row>
    <row r="7766" spans="1:5" x14ac:dyDescent="0.2">
      <c r="A7766" t="s">
        <v>19927</v>
      </c>
      <c r="B7766" t="s">
        <v>19928</v>
      </c>
      <c r="C7766" t="s">
        <v>19877</v>
      </c>
      <c r="D7766" t="s">
        <v>19877</v>
      </c>
      <c r="E7766" t="s">
        <v>19929</v>
      </c>
    </row>
    <row r="7767" spans="1:5" x14ac:dyDescent="0.2">
      <c r="A7767" t="s">
        <v>19930</v>
      </c>
      <c r="B7767" t="s">
        <v>19931</v>
      </c>
      <c r="C7767" t="s">
        <v>19877</v>
      </c>
      <c r="D7767" t="s">
        <v>19877</v>
      </c>
      <c r="E7767" t="s">
        <v>19932</v>
      </c>
    </row>
    <row r="7768" spans="1:5" x14ac:dyDescent="0.2">
      <c r="A7768" t="s">
        <v>19933</v>
      </c>
      <c r="B7768" t="s">
        <v>19934</v>
      </c>
      <c r="C7768" t="s">
        <v>19877</v>
      </c>
      <c r="D7768" t="s">
        <v>19877</v>
      </c>
      <c r="E7768" t="s">
        <v>19935</v>
      </c>
    </row>
    <row r="7769" spans="1:5" x14ac:dyDescent="0.2">
      <c r="A7769" t="s">
        <v>19936</v>
      </c>
      <c r="B7769" t="s">
        <v>19937</v>
      </c>
      <c r="C7769" t="s">
        <v>19877</v>
      </c>
      <c r="D7769" t="s">
        <v>19877</v>
      </c>
      <c r="E7769" t="s">
        <v>19938</v>
      </c>
    </row>
    <row r="7770" spans="1:5" x14ac:dyDescent="0.2">
      <c r="A7770" t="s">
        <v>19939</v>
      </c>
      <c r="B7770" t="s">
        <v>19940</v>
      </c>
      <c r="C7770" t="s">
        <v>19877</v>
      </c>
      <c r="D7770" t="s">
        <v>19877</v>
      </c>
      <c r="E7770" t="s">
        <v>19941</v>
      </c>
    </row>
    <row r="7771" spans="1:5" x14ac:dyDescent="0.2">
      <c r="A7771" t="s">
        <v>19942</v>
      </c>
      <c r="B7771" t="s">
        <v>19943</v>
      </c>
      <c r="C7771" t="s">
        <v>19877</v>
      </c>
      <c r="D7771" t="s">
        <v>19877</v>
      </c>
      <c r="E7771" t="s">
        <v>19944</v>
      </c>
    </row>
    <row r="7772" spans="1:5" x14ac:dyDescent="0.2">
      <c r="A7772" t="s">
        <v>19945</v>
      </c>
      <c r="B7772" t="s">
        <v>19946</v>
      </c>
      <c r="C7772" t="s">
        <v>19877</v>
      </c>
      <c r="D7772" t="s">
        <v>19877</v>
      </c>
      <c r="E7772" t="s">
        <v>19947</v>
      </c>
    </row>
    <row r="7773" spans="1:5" x14ac:dyDescent="0.2">
      <c r="A7773" t="s">
        <v>19948</v>
      </c>
      <c r="B7773" t="s">
        <v>19949</v>
      </c>
      <c r="C7773" t="s">
        <v>19877</v>
      </c>
      <c r="D7773" t="s">
        <v>19877</v>
      </c>
      <c r="E7773" t="s">
        <v>19950</v>
      </c>
    </row>
    <row r="7774" spans="1:5" x14ac:dyDescent="0.2">
      <c r="A7774" t="s">
        <v>19951</v>
      </c>
      <c r="B7774" t="s">
        <v>19952</v>
      </c>
      <c r="C7774" t="s">
        <v>19877</v>
      </c>
      <c r="D7774" t="s">
        <v>19877</v>
      </c>
      <c r="E7774" t="s">
        <v>19953</v>
      </c>
    </row>
    <row r="7775" spans="1:5" x14ac:dyDescent="0.2">
      <c r="A7775" t="s">
        <v>19954</v>
      </c>
      <c r="B7775" t="s">
        <v>19955</v>
      </c>
      <c r="C7775" t="s">
        <v>19877</v>
      </c>
      <c r="D7775" t="s">
        <v>19877</v>
      </c>
      <c r="E7775" t="s">
        <v>19956</v>
      </c>
    </row>
    <row r="7776" spans="1:5" x14ac:dyDescent="0.2">
      <c r="A7776" t="s">
        <v>19957</v>
      </c>
      <c r="B7776" t="s">
        <v>19958</v>
      </c>
      <c r="C7776" t="s">
        <v>19877</v>
      </c>
      <c r="D7776" t="s">
        <v>19877</v>
      </c>
      <c r="E7776" t="s">
        <v>19959</v>
      </c>
    </row>
    <row r="7777" spans="1:5" x14ac:dyDescent="0.2">
      <c r="A7777" t="s">
        <v>19960</v>
      </c>
      <c r="B7777" t="s">
        <v>19961</v>
      </c>
      <c r="C7777" t="s">
        <v>19877</v>
      </c>
      <c r="D7777" t="s">
        <v>19877</v>
      </c>
      <c r="E7777" t="s">
        <v>19962</v>
      </c>
    </row>
    <row r="7778" spans="1:5" x14ac:dyDescent="0.2">
      <c r="A7778" t="s">
        <v>19963</v>
      </c>
      <c r="B7778" t="s">
        <v>19964</v>
      </c>
      <c r="C7778" t="s">
        <v>19877</v>
      </c>
      <c r="D7778" t="s">
        <v>19877</v>
      </c>
      <c r="E7778" t="s">
        <v>19965</v>
      </c>
    </row>
    <row r="7779" spans="1:5" x14ac:dyDescent="0.2">
      <c r="A7779" t="s">
        <v>19966</v>
      </c>
      <c r="B7779" t="s">
        <v>19967</v>
      </c>
      <c r="C7779" t="s">
        <v>19877</v>
      </c>
      <c r="D7779" t="s">
        <v>19877</v>
      </c>
      <c r="E7779" t="s">
        <v>19968</v>
      </c>
    </row>
    <row r="7780" spans="1:5" x14ac:dyDescent="0.2">
      <c r="A7780" t="s">
        <v>19969</v>
      </c>
      <c r="B7780" t="s">
        <v>19970</v>
      </c>
      <c r="C7780" t="s">
        <v>19877</v>
      </c>
      <c r="D7780" t="s">
        <v>19877</v>
      </c>
      <c r="E7780" t="s">
        <v>19971</v>
      </c>
    </row>
    <row r="7781" spans="1:5" x14ac:dyDescent="0.2">
      <c r="A7781" t="s">
        <v>19972</v>
      </c>
      <c r="B7781" t="s">
        <v>19973</v>
      </c>
      <c r="C7781" t="s">
        <v>19877</v>
      </c>
      <c r="D7781" t="s">
        <v>19877</v>
      </c>
      <c r="E7781" t="s">
        <v>19974</v>
      </c>
    </row>
    <row r="7782" spans="1:5" x14ac:dyDescent="0.2">
      <c r="A7782" t="s">
        <v>19975</v>
      </c>
      <c r="B7782" t="s">
        <v>19976</v>
      </c>
      <c r="C7782" t="s">
        <v>19877</v>
      </c>
      <c r="D7782" t="s">
        <v>19877</v>
      </c>
      <c r="E7782" t="s">
        <v>19977</v>
      </c>
    </row>
    <row r="7783" spans="1:5" x14ac:dyDescent="0.2">
      <c r="A7783" t="s">
        <v>19978</v>
      </c>
      <c r="B7783" t="s">
        <v>19979</v>
      </c>
      <c r="C7783" t="s">
        <v>19877</v>
      </c>
      <c r="D7783" t="s">
        <v>19877</v>
      </c>
      <c r="E7783" t="s">
        <v>19980</v>
      </c>
    </row>
    <row r="7784" spans="1:5" x14ac:dyDescent="0.2">
      <c r="A7784" t="s">
        <v>19981</v>
      </c>
      <c r="B7784" t="s">
        <v>19982</v>
      </c>
      <c r="C7784" t="s">
        <v>19877</v>
      </c>
      <c r="D7784" t="s">
        <v>19877</v>
      </c>
      <c r="E7784" t="s">
        <v>19983</v>
      </c>
    </row>
    <row r="7785" spans="1:5" x14ac:dyDescent="0.2">
      <c r="A7785" t="s">
        <v>19984</v>
      </c>
      <c r="B7785" t="s">
        <v>19985</v>
      </c>
      <c r="C7785" t="s">
        <v>19877</v>
      </c>
      <c r="D7785" t="s">
        <v>19877</v>
      </c>
      <c r="E7785" t="s">
        <v>19986</v>
      </c>
    </row>
    <row r="7786" spans="1:5" x14ac:dyDescent="0.2">
      <c r="A7786" t="s">
        <v>19987</v>
      </c>
      <c r="B7786" t="s">
        <v>19988</v>
      </c>
      <c r="C7786" t="s">
        <v>19877</v>
      </c>
      <c r="D7786" t="s">
        <v>19877</v>
      </c>
      <c r="E7786" t="s">
        <v>19989</v>
      </c>
    </row>
    <row r="7787" spans="1:5" x14ac:dyDescent="0.2">
      <c r="A7787" t="s">
        <v>19990</v>
      </c>
      <c r="B7787" t="s">
        <v>19991</v>
      </c>
      <c r="C7787" t="s">
        <v>19877</v>
      </c>
      <c r="D7787" t="s">
        <v>19877</v>
      </c>
      <c r="E7787" t="s">
        <v>19992</v>
      </c>
    </row>
    <row r="7788" spans="1:5" x14ac:dyDescent="0.2">
      <c r="A7788" t="s">
        <v>19993</v>
      </c>
      <c r="B7788" t="s">
        <v>19994</v>
      </c>
      <c r="C7788" t="s">
        <v>19877</v>
      </c>
      <c r="D7788" t="s">
        <v>19877</v>
      </c>
      <c r="E7788" t="s">
        <v>19995</v>
      </c>
    </row>
    <row r="7789" spans="1:5" x14ac:dyDescent="0.2">
      <c r="A7789" t="s">
        <v>19996</v>
      </c>
      <c r="B7789" t="s">
        <v>19997</v>
      </c>
      <c r="C7789" t="s">
        <v>492</v>
      </c>
      <c r="D7789" t="s">
        <v>492</v>
      </c>
      <c r="E7789" t="s">
        <v>19998</v>
      </c>
    </row>
    <row r="7790" spans="1:5" x14ac:dyDescent="0.2">
      <c r="A7790" t="s">
        <v>19999</v>
      </c>
      <c r="B7790" t="s">
        <v>20000</v>
      </c>
      <c r="C7790" t="s">
        <v>492</v>
      </c>
      <c r="D7790" t="s">
        <v>492</v>
      </c>
      <c r="E7790" t="s">
        <v>20001</v>
      </c>
    </row>
    <row r="7791" spans="1:5" x14ac:dyDescent="0.2">
      <c r="A7791" t="s">
        <v>20002</v>
      </c>
      <c r="B7791" t="s">
        <v>20003</v>
      </c>
      <c r="C7791" t="s">
        <v>492</v>
      </c>
      <c r="D7791" t="s">
        <v>492</v>
      </c>
      <c r="E7791" t="s">
        <v>20004</v>
      </c>
    </row>
    <row r="7792" spans="1:5" x14ac:dyDescent="0.2">
      <c r="A7792" t="s">
        <v>20005</v>
      </c>
      <c r="B7792" t="s">
        <v>20006</v>
      </c>
      <c r="C7792" t="s">
        <v>492</v>
      </c>
      <c r="D7792" t="s">
        <v>492</v>
      </c>
      <c r="E7792" t="s">
        <v>20007</v>
      </c>
    </row>
    <row r="7793" spans="1:5" x14ac:dyDescent="0.2">
      <c r="A7793" t="s">
        <v>20008</v>
      </c>
      <c r="B7793" t="s">
        <v>20009</v>
      </c>
      <c r="C7793" t="s">
        <v>492</v>
      </c>
      <c r="D7793" t="s">
        <v>492</v>
      </c>
      <c r="E7793" t="s">
        <v>20010</v>
      </c>
    </row>
    <row r="7794" spans="1:5" x14ac:dyDescent="0.2">
      <c r="A7794" t="s">
        <v>20011</v>
      </c>
      <c r="B7794" t="s">
        <v>20012</v>
      </c>
      <c r="C7794" t="s">
        <v>492</v>
      </c>
      <c r="D7794" t="s">
        <v>492</v>
      </c>
      <c r="E7794" t="s">
        <v>20013</v>
      </c>
    </row>
    <row r="7795" spans="1:5" x14ac:dyDescent="0.2">
      <c r="A7795" t="s">
        <v>20014</v>
      </c>
      <c r="B7795" t="s">
        <v>20015</v>
      </c>
      <c r="C7795" t="s">
        <v>492</v>
      </c>
      <c r="D7795" t="s">
        <v>492</v>
      </c>
      <c r="E7795" t="s">
        <v>20016</v>
      </c>
    </row>
    <row r="7796" spans="1:5" x14ac:dyDescent="0.2">
      <c r="A7796" t="s">
        <v>20017</v>
      </c>
      <c r="B7796" t="s">
        <v>20018</v>
      </c>
      <c r="C7796" t="s">
        <v>492</v>
      </c>
      <c r="D7796" t="s">
        <v>492</v>
      </c>
      <c r="E7796" t="s">
        <v>20019</v>
      </c>
    </row>
    <row r="7797" spans="1:5" x14ac:dyDescent="0.2">
      <c r="A7797" t="s">
        <v>20020</v>
      </c>
      <c r="B7797" t="s">
        <v>20021</v>
      </c>
      <c r="C7797" t="s">
        <v>492</v>
      </c>
      <c r="D7797" t="s">
        <v>492</v>
      </c>
      <c r="E7797" t="s">
        <v>20022</v>
      </c>
    </row>
    <row r="7798" spans="1:5" x14ac:dyDescent="0.2">
      <c r="A7798" t="s">
        <v>20023</v>
      </c>
      <c r="B7798" t="s">
        <v>20024</v>
      </c>
      <c r="C7798" t="s">
        <v>492</v>
      </c>
      <c r="D7798" t="s">
        <v>492</v>
      </c>
      <c r="E7798" t="s">
        <v>20025</v>
      </c>
    </row>
    <row r="7799" spans="1:5" x14ac:dyDescent="0.2">
      <c r="A7799" t="s">
        <v>20026</v>
      </c>
      <c r="B7799" t="s">
        <v>20027</v>
      </c>
      <c r="C7799" t="s">
        <v>20028</v>
      </c>
      <c r="D7799" t="s">
        <v>20029</v>
      </c>
      <c r="E7799" t="s">
        <v>20030</v>
      </c>
    </row>
    <row r="7800" spans="1:5" x14ac:dyDescent="0.2">
      <c r="A7800" t="s">
        <v>20031</v>
      </c>
      <c r="B7800" t="s">
        <v>20032</v>
      </c>
      <c r="C7800" t="s">
        <v>20028</v>
      </c>
      <c r="D7800" t="s">
        <v>18051</v>
      </c>
      <c r="E7800" t="s">
        <v>18064</v>
      </c>
    </row>
    <row r="7801" spans="1:5" x14ac:dyDescent="0.2">
      <c r="A7801" t="s">
        <v>20033</v>
      </c>
      <c r="B7801" t="s">
        <v>20034</v>
      </c>
      <c r="C7801" t="s">
        <v>20028</v>
      </c>
      <c r="D7801" t="s">
        <v>18051</v>
      </c>
      <c r="E7801" t="s">
        <v>18064</v>
      </c>
    </row>
    <row r="7802" spans="1:5" x14ac:dyDescent="0.2">
      <c r="A7802" t="s">
        <v>20035</v>
      </c>
      <c r="B7802" t="s">
        <v>20036</v>
      </c>
      <c r="C7802" t="s">
        <v>20028</v>
      </c>
      <c r="D7802" t="s">
        <v>18051</v>
      </c>
      <c r="E7802" t="s">
        <v>18064</v>
      </c>
    </row>
    <row r="7803" spans="1:5" x14ac:dyDescent="0.2">
      <c r="A7803" t="s">
        <v>20037</v>
      </c>
      <c r="B7803" t="s">
        <v>20038</v>
      </c>
      <c r="C7803" t="s">
        <v>20028</v>
      </c>
      <c r="D7803" t="s">
        <v>20029</v>
      </c>
      <c r="E7803" t="s">
        <v>20039</v>
      </c>
    </row>
    <row r="7804" spans="1:5" x14ac:dyDescent="0.2">
      <c r="A7804" t="s">
        <v>20040</v>
      </c>
      <c r="B7804" t="s">
        <v>20041</v>
      </c>
      <c r="C7804" t="s">
        <v>20028</v>
      </c>
      <c r="D7804" t="s">
        <v>20042</v>
      </c>
      <c r="E7804" t="s">
        <v>18067</v>
      </c>
    </row>
    <row r="7805" spans="1:5" x14ac:dyDescent="0.2">
      <c r="A7805" t="s">
        <v>20043</v>
      </c>
      <c r="B7805" t="s">
        <v>20044</v>
      </c>
      <c r="C7805" t="s">
        <v>20028</v>
      </c>
      <c r="D7805" t="s">
        <v>18051</v>
      </c>
      <c r="E7805" t="s">
        <v>18064</v>
      </c>
    </row>
    <row r="7806" spans="1:5" x14ac:dyDescent="0.2">
      <c r="A7806" t="s">
        <v>20045</v>
      </c>
      <c r="B7806" t="s">
        <v>20046</v>
      </c>
      <c r="C7806" t="s">
        <v>20028</v>
      </c>
      <c r="D7806" t="s">
        <v>20042</v>
      </c>
      <c r="E7806" t="s">
        <v>20047</v>
      </c>
    </row>
    <row r="7807" spans="1:5" x14ac:dyDescent="0.2">
      <c r="A7807" t="s">
        <v>20048</v>
      </c>
      <c r="B7807" t="s">
        <v>20049</v>
      </c>
      <c r="C7807" t="s">
        <v>20028</v>
      </c>
      <c r="D7807" t="s">
        <v>20042</v>
      </c>
      <c r="E7807" t="s">
        <v>20050</v>
      </c>
    </row>
    <row r="7808" spans="1:5" x14ac:dyDescent="0.2">
      <c r="A7808" t="s">
        <v>20051</v>
      </c>
      <c r="B7808" t="s">
        <v>20052</v>
      </c>
      <c r="C7808" t="s">
        <v>20028</v>
      </c>
      <c r="D7808" t="s">
        <v>20042</v>
      </c>
      <c r="E7808" t="s">
        <v>20053</v>
      </c>
    </row>
    <row r="7809" spans="1:5" x14ac:dyDescent="0.2">
      <c r="A7809" t="s">
        <v>20054</v>
      </c>
      <c r="B7809" t="s">
        <v>20055</v>
      </c>
      <c r="C7809" t="s">
        <v>20028</v>
      </c>
      <c r="D7809" t="s">
        <v>18051</v>
      </c>
      <c r="E7809" t="s">
        <v>18064</v>
      </c>
    </row>
    <row r="7810" spans="1:5" x14ac:dyDescent="0.2">
      <c r="A7810" t="s">
        <v>20056</v>
      </c>
      <c r="B7810" t="s">
        <v>20057</v>
      </c>
      <c r="C7810" t="s">
        <v>20028</v>
      </c>
      <c r="D7810" t="s">
        <v>20029</v>
      </c>
      <c r="E7810" t="s">
        <v>20058</v>
      </c>
    </row>
    <row r="7811" spans="1:5" x14ac:dyDescent="0.2">
      <c r="A7811" t="s">
        <v>20059</v>
      </c>
      <c r="B7811" t="s">
        <v>20060</v>
      </c>
      <c r="C7811" t="s">
        <v>20028</v>
      </c>
      <c r="D7811" t="s">
        <v>18051</v>
      </c>
      <c r="E7811" t="s">
        <v>18067</v>
      </c>
    </row>
    <row r="7812" spans="1:5" x14ac:dyDescent="0.2">
      <c r="A7812" t="s">
        <v>20061</v>
      </c>
      <c r="B7812" t="s">
        <v>20062</v>
      </c>
      <c r="C7812" t="s">
        <v>20028</v>
      </c>
      <c r="D7812" t="s">
        <v>18051</v>
      </c>
      <c r="E7812" t="s">
        <v>20063</v>
      </c>
    </row>
    <row r="7813" spans="1:5" x14ac:dyDescent="0.2">
      <c r="A7813" t="s">
        <v>20064</v>
      </c>
      <c r="B7813" t="s">
        <v>20065</v>
      </c>
      <c r="C7813" t="s">
        <v>20028</v>
      </c>
      <c r="D7813" t="s">
        <v>18051</v>
      </c>
      <c r="E7813" t="s">
        <v>18067</v>
      </c>
    </row>
    <row r="7814" spans="1:5" x14ac:dyDescent="0.2">
      <c r="A7814" t="s">
        <v>20066</v>
      </c>
      <c r="B7814" t="s">
        <v>20067</v>
      </c>
      <c r="C7814" t="s">
        <v>20028</v>
      </c>
      <c r="D7814" t="s">
        <v>20042</v>
      </c>
      <c r="E7814" t="s">
        <v>20068</v>
      </c>
    </row>
    <row r="7815" spans="1:5" x14ac:dyDescent="0.2">
      <c r="A7815" t="s">
        <v>20069</v>
      </c>
      <c r="B7815" t="s">
        <v>20070</v>
      </c>
      <c r="C7815" t="s">
        <v>20028</v>
      </c>
      <c r="D7815" t="s">
        <v>18051</v>
      </c>
      <c r="E7815" t="s">
        <v>18064</v>
      </c>
    </row>
    <row r="7816" spans="1:5" x14ac:dyDescent="0.2">
      <c r="A7816" t="s">
        <v>20071</v>
      </c>
      <c r="B7816" t="s">
        <v>20072</v>
      </c>
      <c r="C7816" t="s">
        <v>20028</v>
      </c>
      <c r="D7816" t="s">
        <v>18051</v>
      </c>
      <c r="E7816" t="s">
        <v>20073</v>
      </c>
    </row>
    <row r="7817" spans="1:5" x14ac:dyDescent="0.2">
      <c r="A7817" t="s">
        <v>20074</v>
      </c>
      <c r="B7817" t="s">
        <v>20075</v>
      </c>
      <c r="C7817" t="s">
        <v>20028</v>
      </c>
      <c r="D7817" t="s">
        <v>18051</v>
      </c>
      <c r="E7817" t="s">
        <v>17878</v>
      </c>
    </row>
    <row r="7818" spans="1:5" x14ac:dyDescent="0.2">
      <c r="A7818" t="s">
        <v>20076</v>
      </c>
      <c r="B7818" t="s">
        <v>20077</v>
      </c>
      <c r="C7818" t="s">
        <v>20028</v>
      </c>
      <c r="D7818" t="s">
        <v>18051</v>
      </c>
      <c r="E7818" t="s">
        <v>17878</v>
      </c>
    </row>
    <row r="7819" spans="1:5" x14ac:dyDescent="0.2">
      <c r="A7819" t="s">
        <v>20078</v>
      </c>
      <c r="B7819" t="s">
        <v>20079</v>
      </c>
      <c r="C7819" t="s">
        <v>20028</v>
      </c>
      <c r="D7819" t="s">
        <v>20042</v>
      </c>
      <c r="E7819" t="s">
        <v>18067</v>
      </c>
    </row>
    <row r="7820" spans="1:5" x14ac:dyDescent="0.2">
      <c r="A7820" t="s">
        <v>20080</v>
      </c>
      <c r="B7820" t="s">
        <v>20081</v>
      </c>
      <c r="C7820" t="s">
        <v>20028</v>
      </c>
      <c r="D7820" t="s">
        <v>20029</v>
      </c>
      <c r="E7820" t="s">
        <v>18064</v>
      </c>
    </row>
    <row r="7821" spans="1:5" x14ac:dyDescent="0.2">
      <c r="A7821" t="s">
        <v>20082</v>
      </c>
      <c r="B7821" t="s">
        <v>20083</v>
      </c>
      <c r="C7821" t="s">
        <v>20028</v>
      </c>
      <c r="D7821" t="s">
        <v>18358</v>
      </c>
      <c r="E7821" t="s">
        <v>17878</v>
      </c>
    </row>
    <row r="7822" spans="1:5" x14ac:dyDescent="0.2">
      <c r="A7822" t="s">
        <v>20084</v>
      </c>
      <c r="B7822" t="s">
        <v>20085</v>
      </c>
      <c r="C7822" t="s">
        <v>20028</v>
      </c>
      <c r="D7822" t="s">
        <v>20029</v>
      </c>
      <c r="E7822" t="s">
        <v>20058</v>
      </c>
    </row>
    <row r="7823" spans="1:5" x14ac:dyDescent="0.2">
      <c r="A7823" t="s">
        <v>20086</v>
      </c>
      <c r="B7823" t="s">
        <v>20087</v>
      </c>
      <c r="C7823" t="s">
        <v>20028</v>
      </c>
      <c r="D7823" t="s">
        <v>18051</v>
      </c>
      <c r="E7823" t="s">
        <v>17878</v>
      </c>
    </row>
    <row r="7824" spans="1:5" x14ac:dyDescent="0.2">
      <c r="A7824" t="s">
        <v>20088</v>
      </c>
      <c r="B7824" t="s">
        <v>20089</v>
      </c>
      <c r="C7824" t="s">
        <v>20028</v>
      </c>
      <c r="D7824" t="s">
        <v>18051</v>
      </c>
      <c r="E7824" t="s">
        <v>18064</v>
      </c>
    </row>
    <row r="7825" spans="1:5" x14ac:dyDescent="0.2">
      <c r="A7825" t="s">
        <v>20090</v>
      </c>
      <c r="B7825" t="s">
        <v>20091</v>
      </c>
      <c r="C7825" t="s">
        <v>20028</v>
      </c>
      <c r="D7825" t="s">
        <v>20029</v>
      </c>
      <c r="E7825" t="s">
        <v>20058</v>
      </c>
    </row>
    <row r="7826" spans="1:5" x14ac:dyDescent="0.2">
      <c r="A7826" t="s">
        <v>20092</v>
      </c>
      <c r="B7826" t="s">
        <v>20093</v>
      </c>
      <c r="C7826" t="s">
        <v>20028</v>
      </c>
      <c r="D7826" t="s">
        <v>20042</v>
      </c>
      <c r="E7826" t="s">
        <v>18067</v>
      </c>
    </row>
    <row r="7827" spans="1:5" x14ac:dyDescent="0.2">
      <c r="A7827" t="s">
        <v>20094</v>
      </c>
      <c r="B7827" t="s">
        <v>20095</v>
      </c>
      <c r="C7827" t="s">
        <v>20028</v>
      </c>
      <c r="D7827" t="s">
        <v>18051</v>
      </c>
      <c r="E7827" t="s">
        <v>18064</v>
      </c>
    </row>
    <row r="7828" spans="1:5" x14ac:dyDescent="0.2">
      <c r="A7828" t="s">
        <v>20096</v>
      </c>
      <c r="B7828" t="s">
        <v>20097</v>
      </c>
      <c r="C7828" t="s">
        <v>20028</v>
      </c>
      <c r="D7828" t="s">
        <v>20042</v>
      </c>
      <c r="E7828" t="s">
        <v>18067</v>
      </c>
    </row>
    <row r="7829" spans="1:5" x14ac:dyDescent="0.2">
      <c r="A7829" t="s">
        <v>20098</v>
      </c>
      <c r="B7829" t="s">
        <v>20099</v>
      </c>
      <c r="C7829" t="s">
        <v>20028</v>
      </c>
      <c r="D7829" t="s">
        <v>20029</v>
      </c>
      <c r="E7829" t="s">
        <v>20100</v>
      </c>
    </row>
    <row r="7830" spans="1:5" x14ac:dyDescent="0.2">
      <c r="A7830" t="s">
        <v>20101</v>
      </c>
      <c r="B7830" t="s">
        <v>20102</v>
      </c>
      <c r="C7830" t="s">
        <v>20028</v>
      </c>
      <c r="D7830" t="s">
        <v>18051</v>
      </c>
      <c r="E7830" t="s">
        <v>18064</v>
      </c>
    </row>
    <row r="7831" spans="1:5" x14ac:dyDescent="0.2">
      <c r="A7831" t="s">
        <v>20103</v>
      </c>
      <c r="B7831" t="s">
        <v>20104</v>
      </c>
      <c r="C7831" t="s">
        <v>20028</v>
      </c>
      <c r="D7831" t="s">
        <v>18051</v>
      </c>
      <c r="E7831" t="s">
        <v>18064</v>
      </c>
    </row>
    <row r="7832" spans="1:5" x14ac:dyDescent="0.2">
      <c r="A7832" t="s">
        <v>20105</v>
      </c>
      <c r="B7832" t="s">
        <v>20106</v>
      </c>
      <c r="C7832" t="s">
        <v>20028</v>
      </c>
      <c r="D7832" t="s">
        <v>20029</v>
      </c>
      <c r="E7832" t="s">
        <v>20107</v>
      </c>
    </row>
    <row r="7833" spans="1:5" x14ac:dyDescent="0.2">
      <c r="A7833" t="s">
        <v>20108</v>
      </c>
      <c r="B7833" t="s">
        <v>20109</v>
      </c>
      <c r="C7833" t="s">
        <v>20028</v>
      </c>
      <c r="D7833" t="s">
        <v>20042</v>
      </c>
      <c r="E7833" t="s">
        <v>20110</v>
      </c>
    </row>
    <row r="7834" spans="1:5" x14ac:dyDescent="0.2">
      <c r="A7834" t="s">
        <v>20111</v>
      </c>
      <c r="B7834" t="s">
        <v>20112</v>
      </c>
      <c r="C7834" t="s">
        <v>20028</v>
      </c>
      <c r="D7834" t="s">
        <v>18051</v>
      </c>
      <c r="E7834" t="s">
        <v>20113</v>
      </c>
    </row>
    <row r="7835" spans="1:5" x14ac:dyDescent="0.2">
      <c r="A7835" t="s">
        <v>20114</v>
      </c>
      <c r="B7835" t="s">
        <v>20115</v>
      </c>
      <c r="C7835" t="s">
        <v>20028</v>
      </c>
      <c r="D7835" t="s">
        <v>20029</v>
      </c>
      <c r="E7835" t="s">
        <v>20058</v>
      </c>
    </row>
    <row r="7836" spans="1:5" x14ac:dyDescent="0.2">
      <c r="A7836" t="s">
        <v>20116</v>
      </c>
      <c r="B7836" t="s">
        <v>20117</v>
      </c>
      <c r="C7836" t="s">
        <v>20028</v>
      </c>
      <c r="D7836" t="s">
        <v>20029</v>
      </c>
      <c r="E7836" t="s">
        <v>20118</v>
      </c>
    </row>
    <row r="7837" spans="1:5" x14ac:dyDescent="0.2">
      <c r="A7837" t="s">
        <v>20119</v>
      </c>
      <c r="B7837" t="s">
        <v>20120</v>
      </c>
      <c r="C7837" t="s">
        <v>20028</v>
      </c>
      <c r="D7837" t="s">
        <v>18051</v>
      </c>
      <c r="E7837" t="s">
        <v>18064</v>
      </c>
    </row>
    <row r="7838" spans="1:5" x14ac:dyDescent="0.2">
      <c r="A7838" t="s">
        <v>20121</v>
      </c>
      <c r="B7838" t="s">
        <v>20122</v>
      </c>
      <c r="C7838" t="s">
        <v>20028</v>
      </c>
      <c r="D7838" t="s">
        <v>20042</v>
      </c>
      <c r="E7838" t="s">
        <v>18067</v>
      </c>
    </row>
    <row r="7839" spans="1:5" x14ac:dyDescent="0.2">
      <c r="A7839" t="s">
        <v>20123</v>
      </c>
      <c r="B7839" t="s">
        <v>20124</v>
      </c>
      <c r="C7839" t="s">
        <v>20028</v>
      </c>
      <c r="D7839" t="s">
        <v>18051</v>
      </c>
      <c r="E7839" t="s">
        <v>20125</v>
      </c>
    </row>
    <row r="7840" spans="1:5" x14ac:dyDescent="0.2">
      <c r="A7840" t="s">
        <v>20126</v>
      </c>
      <c r="B7840" t="s">
        <v>20127</v>
      </c>
      <c r="C7840" t="s">
        <v>20028</v>
      </c>
      <c r="D7840" t="s">
        <v>18051</v>
      </c>
      <c r="E7840" t="s">
        <v>20128</v>
      </c>
    </row>
    <row r="7841" spans="1:5" x14ac:dyDescent="0.2">
      <c r="A7841" t="s">
        <v>20129</v>
      </c>
      <c r="B7841" t="s">
        <v>20130</v>
      </c>
      <c r="C7841" t="s">
        <v>20028</v>
      </c>
      <c r="D7841" t="s">
        <v>20042</v>
      </c>
      <c r="E7841" t="s">
        <v>18067</v>
      </c>
    </row>
    <row r="7842" spans="1:5" x14ac:dyDescent="0.2">
      <c r="A7842" t="s">
        <v>20131</v>
      </c>
      <c r="B7842" t="s">
        <v>20132</v>
      </c>
      <c r="C7842" t="s">
        <v>20028</v>
      </c>
      <c r="D7842" t="s">
        <v>20042</v>
      </c>
      <c r="E7842" t="s">
        <v>18067</v>
      </c>
    </row>
    <row r="7843" spans="1:5" x14ac:dyDescent="0.2">
      <c r="A7843" t="s">
        <v>20133</v>
      </c>
      <c r="B7843" t="s">
        <v>20134</v>
      </c>
      <c r="C7843" t="s">
        <v>20028</v>
      </c>
      <c r="D7843" t="s">
        <v>18051</v>
      </c>
      <c r="E7843" t="s">
        <v>17878</v>
      </c>
    </row>
    <row r="7844" spans="1:5" x14ac:dyDescent="0.2">
      <c r="A7844" t="s">
        <v>20135</v>
      </c>
      <c r="B7844" t="s">
        <v>20136</v>
      </c>
      <c r="C7844" t="s">
        <v>20028</v>
      </c>
      <c r="D7844" t="s">
        <v>18051</v>
      </c>
      <c r="E7844" t="s">
        <v>17878</v>
      </c>
    </row>
    <row r="7845" spans="1:5" x14ac:dyDescent="0.2">
      <c r="A7845" t="s">
        <v>20137</v>
      </c>
      <c r="B7845" t="s">
        <v>20138</v>
      </c>
      <c r="C7845" t="s">
        <v>20028</v>
      </c>
      <c r="D7845" t="s">
        <v>18051</v>
      </c>
      <c r="E7845" t="s">
        <v>20139</v>
      </c>
    </row>
    <row r="7846" spans="1:5" x14ac:dyDescent="0.2">
      <c r="A7846" t="s">
        <v>20140</v>
      </c>
      <c r="B7846" t="s">
        <v>20141</v>
      </c>
      <c r="C7846" t="s">
        <v>20028</v>
      </c>
      <c r="D7846" t="s">
        <v>18051</v>
      </c>
      <c r="E7846" t="s">
        <v>20142</v>
      </c>
    </row>
    <row r="7847" spans="1:5" x14ac:dyDescent="0.2">
      <c r="A7847" t="s">
        <v>20143</v>
      </c>
      <c r="B7847" t="s">
        <v>20144</v>
      </c>
      <c r="C7847" t="s">
        <v>20028</v>
      </c>
      <c r="D7847" t="s">
        <v>20042</v>
      </c>
      <c r="E7847" t="s">
        <v>18067</v>
      </c>
    </row>
    <row r="7848" spans="1:5" x14ac:dyDescent="0.2">
      <c r="A7848" t="s">
        <v>20145</v>
      </c>
      <c r="B7848" t="s">
        <v>20146</v>
      </c>
      <c r="C7848" t="s">
        <v>20028</v>
      </c>
      <c r="D7848" t="s">
        <v>18051</v>
      </c>
      <c r="E7848" t="s">
        <v>17878</v>
      </c>
    </row>
    <row r="7849" spans="1:5" x14ac:dyDescent="0.2">
      <c r="A7849" t="s">
        <v>20147</v>
      </c>
      <c r="B7849" t="s">
        <v>20148</v>
      </c>
      <c r="C7849" t="s">
        <v>20028</v>
      </c>
      <c r="D7849" t="s">
        <v>18051</v>
      </c>
      <c r="E7849" t="s">
        <v>18064</v>
      </c>
    </row>
    <row r="7850" spans="1:5" x14ac:dyDescent="0.2">
      <c r="A7850" t="s">
        <v>20149</v>
      </c>
      <c r="B7850" t="s">
        <v>20150</v>
      </c>
      <c r="C7850" t="s">
        <v>20028</v>
      </c>
      <c r="D7850" t="s">
        <v>20029</v>
      </c>
      <c r="E7850" t="s">
        <v>18094</v>
      </c>
    </row>
    <row r="7851" spans="1:5" x14ac:dyDescent="0.2">
      <c r="A7851" t="s">
        <v>20151</v>
      </c>
      <c r="B7851" t="s">
        <v>20152</v>
      </c>
      <c r="C7851" t="s">
        <v>20028</v>
      </c>
      <c r="D7851" t="s">
        <v>20029</v>
      </c>
      <c r="E7851" t="s">
        <v>20058</v>
      </c>
    </row>
    <row r="7852" spans="1:5" x14ac:dyDescent="0.2">
      <c r="A7852" t="s">
        <v>20153</v>
      </c>
      <c r="B7852" t="s">
        <v>20154</v>
      </c>
      <c r="C7852" t="s">
        <v>20028</v>
      </c>
      <c r="D7852" t="s">
        <v>20042</v>
      </c>
      <c r="E7852" t="s">
        <v>18067</v>
      </c>
    </row>
    <row r="7853" spans="1:5" x14ac:dyDescent="0.2">
      <c r="A7853" t="s">
        <v>20155</v>
      </c>
      <c r="B7853" t="s">
        <v>20156</v>
      </c>
      <c r="C7853" t="s">
        <v>20028</v>
      </c>
      <c r="D7853" t="s">
        <v>18051</v>
      </c>
      <c r="E7853" t="s">
        <v>20058</v>
      </c>
    </row>
    <row r="7854" spans="1:5" x14ac:dyDescent="0.2">
      <c r="A7854" t="s">
        <v>20157</v>
      </c>
      <c r="B7854" t="s">
        <v>20158</v>
      </c>
      <c r="C7854" t="s">
        <v>20028</v>
      </c>
      <c r="D7854" t="s">
        <v>20042</v>
      </c>
      <c r="E7854" t="s">
        <v>18067</v>
      </c>
    </row>
    <row r="7855" spans="1:5" x14ac:dyDescent="0.2">
      <c r="A7855" t="s">
        <v>20159</v>
      </c>
      <c r="B7855" t="s">
        <v>20160</v>
      </c>
      <c r="C7855" t="s">
        <v>20028</v>
      </c>
      <c r="D7855" t="s">
        <v>20042</v>
      </c>
      <c r="E7855" t="s">
        <v>18067</v>
      </c>
    </row>
    <row r="7856" spans="1:5" x14ac:dyDescent="0.2">
      <c r="A7856" t="s">
        <v>20161</v>
      </c>
      <c r="B7856" t="s">
        <v>20162</v>
      </c>
      <c r="C7856" t="s">
        <v>20028</v>
      </c>
      <c r="D7856" t="s">
        <v>18051</v>
      </c>
      <c r="E7856" t="s">
        <v>17878</v>
      </c>
    </row>
    <row r="7857" spans="1:5" x14ac:dyDescent="0.2">
      <c r="A7857" t="s">
        <v>20163</v>
      </c>
      <c r="B7857" t="s">
        <v>20164</v>
      </c>
      <c r="C7857" t="s">
        <v>20028</v>
      </c>
      <c r="D7857" t="s">
        <v>20029</v>
      </c>
      <c r="E7857" t="s">
        <v>18094</v>
      </c>
    </row>
    <row r="7858" spans="1:5" x14ac:dyDescent="0.2">
      <c r="A7858" t="s">
        <v>20165</v>
      </c>
      <c r="B7858" t="s">
        <v>20166</v>
      </c>
      <c r="C7858" t="s">
        <v>20028</v>
      </c>
      <c r="D7858" t="s">
        <v>18051</v>
      </c>
      <c r="E7858" t="s">
        <v>20058</v>
      </c>
    </row>
    <row r="7859" spans="1:5" x14ac:dyDescent="0.2">
      <c r="A7859" t="s">
        <v>20167</v>
      </c>
      <c r="B7859" t="s">
        <v>20168</v>
      </c>
      <c r="C7859" t="s">
        <v>20028</v>
      </c>
      <c r="D7859" t="s">
        <v>18051</v>
      </c>
      <c r="E7859" t="s">
        <v>18064</v>
      </c>
    </row>
    <row r="7860" spans="1:5" x14ac:dyDescent="0.2">
      <c r="A7860" t="s">
        <v>20169</v>
      </c>
      <c r="B7860" t="s">
        <v>20170</v>
      </c>
      <c r="C7860" t="s">
        <v>20028</v>
      </c>
      <c r="D7860" t="s">
        <v>20029</v>
      </c>
      <c r="E7860" t="s">
        <v>20171</v>
      </c>
    </row>
    <row r="7861" spans="1:5" x14ac:dyDescent="0.2">
      <c r="A7861" t="s">
        <v>20172</v>
      </c>
      <c r="B7861" t="s">
        <v>20173</v>
      </c>
      <c r="C7861" t="s">
        <v>20028</v>
      </c>
      <c r="D7861" t="s">
        <v>20042</v>
      </c>
      <c r="E7861" t="s">
        <v>18067</v>
      </c>
    </row>
    <row r="7862" spans="1:5" x14ac:dyDescent="0.2">
      <c r="A7862" t="s">
        <v>20174</v>
      </c>
      <c r="B7862" t="s">
        <v>20175</v>
      </c>
      <c r="C7862" t="s">
        <v>20028</v>
      </c>
      <c r="D7862" t="s">
        <v>18051</v>
      </c>
      <c r="E7862" t="s">
        <v>18064</v>
      </c>
    </row>
    <row r="7863" spans="1:5" x14ac:dyDescent="0.2">
      <c r="A7863" t="s">
        <v>20176</v>
      </c>
      <c r="B7863" t="s">
        <v>20177</v>
      </c>
      <c r="C7863" t="s">
        <v>20028</v>
      </c>
      <c r="D7863" t="s">
        <v>18051</v>
      </c>
      <c r="E7863" t="s">
        <v>20178</v>
      </c>
    </row>
    <row r="7864" spans="1:5" x14ac:dyDescent="0.2">
      <c r="A7864" t="s">
        <v>20179</v>
      </c>
      <c r="B7864" t="s">
        <v>20180</v>
      </c>
      <c r="C7864" t="s">
        <v>20028</v>
      </c>
      <c r="D7864" t="s">
        <v>18051</v>
      </c>
      <c r="E7864" t="s">
        <v>18064</v>
      </c>
    </row>
    <row r="7865" spans="1:5" x14ac:dyDescent="0.2">
      <c r="A7865" t="s">
        <v>20181</v>
      </c>
      <c r="B7865" t="s">
        <v>20182</v>
      </c>
      <c r="C7865" t="s">
        <v>20028</v>
      </c>
      <c r="D7865" t="s">
        <v>20029</v>
      </c>
      <c r="E7865" t="s">
        <v>20183</v>
      </c>
    </row>
    <row r="7866" spans="1:5" x14ac:dyDescent="0.2">
      <c r="A7866" t="s">
        <v>20184</v>
      </c>
      <c r="B7866" t="s">
        <v>20185</v>
      </c>
      <c r="C7866" t="s">
        <v>20028</v>
      </c>
      <c r="D7866" t="s">
        <v>20042</v>
      </c>
      <c r="E7866" t="s">
        <v>18067</v>
      </c>
    </row>
    <row r="7867" spans="1:5" x14ac:dyDescent="0.2">
      <c r="A7867" t="s">
        <v>20186</v>
      </c>
      <c r="B7867" t="s">
        <v>20187</v>
      </c>
      <c r="C7867" t="s">
        <v>20028</v>
      </c>
      <c r="D7867" t="s">
        <v>18051</v>
      </c>
      <c r="E7867" t="s">
        <v>18064</v>
      </c>
    </row>
    <row r="7868" spans="1:5" x14ac:dyDescent="0.2">
      <c r="A7868" t="s">
        <v>20188</v>
      </c>
      <c r="B7868" t="s">
        <v>20189</v>
      </c>
      <c r="C7868" t="s">
        <v>20028</v>
      </c>
      <c r="D7868" t="s">
        <v>20042</v>
      </c>
      <c r="E7868" t="s">
        <v>18067</v>
      </c>
    </row>
    <row r="7869" spans="1:5" x14ac:dyDescent="0.2">
      <c r="A7869" t="s">
        <v>20190</v>
      </c>
      <c r="B7869" t="s">
        <v>20191</v>
      </c>
      <c r="C7869" t="s">
        <v>20028</v>
      </c>
      <c r="D7869" t="s">
        <v>20042</v>
      </c>
      <c r="E7869" t="s">
        <v>20192</v>
      </c>
    </row>
    <row r="7870" spans="1:5" x14ac:dyDescent="0.2">
      <c r="A7870" t="s">
        <v>20193</v>
      </c>
      <c r="B7870" t="s">
        <v>20194</v>
      </c>
      <c r="C7870" t="s">
        <v>20028</v>
      </c>
      <c r="D7870" t="s">
        <v>20029</v>
      </c>
      <c r="E7870" t="s">
        <v>18094</v>
      </c>
    </row>
    <row r="7871" spans="1:5" x14ac:dyDescent="0.2">
      <c r="A7871" t="s">
        <v>20195</v>
      </c>
      <c r="B7871" t="s">
        <v>20196</v>
      </c>
      <c r="C7871" t="s">
        <v>20028</v>
      </c>
      <c r="D7871" t="s">
        <v>20029</v>
      </c>
      <c r="E7871" t="s">
        <v>18064</v>
      </c>
    </row>
    <row r="7872" spans="1:5" x14ac:dyDescent="0.2">
      <c r="A7872" t="s">
        <v>20197</v>
      </c>
      <c r="B7872" t="s">
        <v>20198</v>
      </c>
      <c r="C7872" t="s">
        <v>20028</v>
      </c>
      <c r="D7872" t="s">
        <v>18051</v>
      </c>
      <c r="E7872" t="s">
        <v>18064</v>
      </c>
    </row>
    <row r="7873" spans="1:5" x14ac:dyDescent="0.2">
      <c r="A7873" t="s">
        <v>20199</v>
      </c>
      <c r="B7873" t="s">
        <v>20200</v>
      </c>
      <c r="C7873" t="s">
        <v>20028</v>
      </c>
      <c r="D7873" t="s">
        <v>18051</v>
      </c>
      <c r="E7873" t="s">
        <v>18064</v>
      </c>
    </row>
    <row r="7874" spans="1:5" x14ac:dyDescent="0.2">
      <c r="A7874" t="s">
        <v>20201</v>
      </c>
      <c r="B7874" t="s">
        <v>20202</v>
      </c>
      <c r="C7874" t="s">
        <v>20028</v>
      </c>
      <c r="D7874" t="s">
        <v>18051</v>
      </c>
      <c r="E7874" t="s">
        <v>18064</v>
      </c>
    </row>
    <row r="7875" spans="1:5" x14ac:dyDescent="0.2">
      <c r="A7875" t="s">
        <v>20203</v>
      </c>
      <c r="B7875" t="s">
        <v>20204</v>
      </c>
      <c r="C7875" t="s">
        <v>20028</v>
      </c>
      <c r="D7875" t="s">
        <v>20029</v>
      </c>
      <c r="E7875" t="s">
        <v>20205</v>
      </c>
    </row>
    <row r="7876" spans="1:5" x14ac:dyDescent="0.2">
      <c r="A7876" t="s">
        <v>20206</v>
      </c>
      <c r="B7876" t="s">
        <v>20207</v>
      </c>
      <c r="C7876" t="s">
        <v>20028</v>
      </c>
      <c r="D7876" t="s">
        <v>20029</v>
      </c>
      <c r="E7876" t="s">
        <v>20208</v>
      </c>
    </row>
    <row r="7877" spans="1:5" x14ac:dyDescent="0.2">
      <c r="A7877" t="s">
        <v>20209</v>
      </c>
      <c r="B7877" t="s">
        <v>20210</v>
      </c>
      <c r="C7877" t="s">
        <v>20028</v>
      </c>
      <c r="D7877" t="s">
        <v>18051</v>
      </c>
      <c r="E7877" t="s">
        <v>17878</v>
      </c>
    </row>
    <row r="7878" spans="1:5" x14ac:dyDescent="0.2">
      <c r="A7878" t="s">
        <v>20211</v>
      </c>
      <c r="B7878" t="s">
        <v>20212</v>
      </c>
      <c r="C7878" t="s">
        <v>20028</v>
      </c>
      <c r="D7878" t="s">
        <v>20029</v>
      </c>
      <c r="E7878" t="s">
        <v>20213</v>
      </c>
    </row>
    <row r="7879" spans="1:5" x14ac:dyDescent="0.2">
      <c r="A7879" t="s">
        <v>20214</v>
      </c>
      <c r="B7879" t="s">
        <v>20215</v>
      </c>
      <c r="C7879" t="s">
        <v>20028</v>
      </c>
      <c r="D7879" t="s">
        <v>17874</v>
      </c>
      <c r="E7879" t="s">
        <v>20216</v>
      </c>
    </row>
    <row r="7880" spans="1:5" x14ac:dyDescent="0.2">
      <c r="A7880" t="s">
        <v>20217</v>
      </c>
      <c r="B7880" t="s">
        <v>20218</v>
      </c>
      <c r="C7880" t="s">
        <v>20028</v>
      </c>
      <c r="D7880" t="s">
        <v>18051</v>
      </c>
      <c r="E7880" t="s">
        <v>17878</v>
      </c>
    </row>
    <row r="7881" spans="1:5" x14ac:dyDescent="0.2">
      <c r="A7881" t="s">
        <v>20219</v>
      </c>
      <c r="B7881" t="s">
        <v>20220</v>
      </c>
      <c r="C7881" t="s">
        <v>20028</v>
      </c>
      <c r="D7881" t="s">
        <v>20029</v>
      </c>
      <c r="E7881" t="s">
        <v>20058</v>
      </c>
    </row>
    <row r="7882" spans="1:5" x14ac:dyDescent="0.2">
      <c r="A7882" t="s">
        <v>20221</v>
      </c>
      <c r="B7882" t="s">
        <v>20222</v>
      </c>
      <c r="C7882" t="s">
        <v>20028</v>
      </c>
      <c r="D7882" t="s">
        <v>18051</v>
      </c>
      <c r="E7882" t="s">
        <v>18067</v>
      </c>
    </row>
    <row r="7883" spans="1:5" x14ac:dyDescent="0.2">
      <c r="A7883" t="s">
        <v>20223</v>
      </c>
      <c r="B7883" t="s">
        <v>20224</v>
      </c>
      <c r="C7883" t="s">
        <v>20028</v>
      </c>
      <c r="D7883" t="s">
        <v>18051</v>
      </c>
      <c r="E7883" t="s">
        <v>18064</v>
      </c>
    </row>
    <row r="7884" spans="1:5" x14ac:dyDescent="0.2">
      <c r="A7884" t="s">
        <v>20225</v>
      </c>
      <c r="B7884" t="s">
        <v>20226</v>
      </c>
      <c r="C7884" t="s">
        <v>20028</v>
      </c>
      <c r="D7884" t="s">
        <v>18051</v>
      </c>
      <c r="E7884" t="s">
        <v>18064</v>
      </c>
    </row>
    <row r="7885" spans="1:5" x14ac:dyDescent="0.2">
      <c r="A7885" t="s">
        <v>20227</v>
      </c>
      <c r="B7885" t="s">
        <v>20228</v>
      </c>
      <c r="C7885" t="s">
        <v>20028</v>
      </c>
      <c r="D7885" t="s">
        <v>18051</v>
      </c>
      <c r="E7885" t="s">
        <v>18064</v>
      </c>
    </row>
    <row r="7886" spans="1:5" x14ac:dyDescent="0.2">
      <c r="A7886" t="s">
        <v>20229</v>
      </c>
      <c r="B7886" t="s">
        <v>20230</v>
      </c>
      <c r="C7886" t="s">
        <v>20028</v>
      </c>
      <c r="D7886" t="s">
        <v>18051</v>
      </c>
      <c r="E7886" t="s">
        <v>18064</v>
      </c>
    </row>
    <row r="7887" spans="1:5" x14ac:dyDescent="0.2">
      <c r="A7887" t="s">
        <v>20231</v>
      </c>
      <c r="B7887" t="s">
        <v>20232</v>
      </c>
      <c r="C7887" t="s">
        <v>20028</v>
      </c>
      <c r="D7887" t="s">
        <v>18051</v>
      </c>
      <c r="E7887" t="s">
        <v>20233</v>
      </c>
    </row>
    <row r="7888" spans="1:5" x14ac:dyDescent="0.2">
      <c r="A7888" t="s">
        <v>20234</v>
      </c>
      <c r="B7888" t="s">
        <v>20235</v>
      </c>
      <c r="C7888" t="s">
        <v>20028</v>
      </c>
      <c r="D7888" t="s">
        <v>20042</v>
      </c>
      <c r="E7888" t="s">
        <v>18067</v>
      </c>
    </row>
    <row r="7889" spans="1:5" x14ac:dyDescent="0.2">
      <c r="A7889" t="s">
        <v>20236</v>
      </c>
      <c r="B7889" t="s">
        <v>20237</v>
      </c>
      <c r="C7889" t="s">
        <v>20028</v>
      </c>
      <c r="D7889" t="s">
        <v>20029</v>
      </c>
      <c r="E7889" t="s">
        <v>20213</v>
      </c>
    </row>
    <row r="7890" spans="1:5" x14ac:dyDescent="0.2">
      <c r="A7890" t="s">
        <v>20238</v>
      </c>
      <c r="B7890" t="s">
        <v>20239</v>
      </c>
      <c r="C7890" t="s">
        <v>20028</v>
      </c>
      <c r="D7890" t="s">
        <v>20029</v>
      </c>
      <c r="E7890" t="s">
        <v>20058</v>
      </c>
    </row>
    <row r="7891" spans="1:5" x14ac:dyDescent="0.2">
      <c r="A7891" t="s">
        <v>20240</v>
      </c>
      <c r="B7891" t="s">
        <v>20241</v>
      </c>
      <c r="C7891" t="s">
        <v>20028</v>
      </c>
      <c r="D7891" t="s">
        <v>18051</v>
      </c>
      <c r="E7891" t="s">
        <v>20058</v>
      </c>
    </row>
    <row r="7892" spans="1:5" x14ac:dyDescent="0.2">
      <c r="A7892" t="s">
        <v>20242</v>
      </c>
      <c r="B7892" t="s">
        <v>20243</v>
      </c>
      <c r="C7892" t="s">
        <v>20028</v>
      </c>
      <c r="D7892" t="s">
        <v>20029</v>
      </c>
      <c r="E7892" t="s">
        <v>20058</v>
      </c>
    </row>
    <row r="7893" spans="1:5" x14ac:dyDescent="0.2">
      <c r="A7893" t="s">
        <v>20244</v>
      </c>
      <c r="B7893" t="s">
        <v>20245</v>
      </c>
      <c r="C7893" t="s">
        <v>20028</v>
      </c>
      <c r="D7893" t="s">
        <v>18051</v>
      </c>
      <c r="E7893" t="s">
        <v>18067</v>
      </c>
    </row>
    <row r="7894" spans="1:5" x14ac:dyDescent="0.2">
      <c r="A7894" t="s">
        <v>20246</v>
      </c>
      <c r="B7894" t="s">
        <v>20247</v>
      </c>
      <c r="C7894" t="s">
        <v>20028</v>
      </c>
      <c r="D7894" t="s">
        <v>20029</v>
      </c>
      <c r="E7894" t="s">
        <v>20248</v>
      </c>
    </row>
    <row r="7895" spans="1:5" x14ac:dyDescent="0.2">
      <c r="A7895" t="s">
        <v>20249</v>
      </c>
      <c r="B7895" t="s">
        <v>20250</v>
      </c>
      <c r="C7895" t="s">
        <v>20028</v>
      </c>
      <c r="D7895" t="s">
        <v>20029</v>
      </c>
      <c r="E7895" t="s">
        <v>20058</v>
      </c>
    </row>
    <row r="7896" spans="1:5" x14ac:dyDescent="0.2">
      <c r="A7896" t="s">
        <v>20251</v>
      </c>
      <c r="B7896" t="s">
        <v>20252</v>
      </c>
      <c r="C7896" t="s">
        <v>20028</v>
      </c>
      <c r="D7896" t="s">
        <v>20042</v>
      </c>
      <c r="E7896" t="s">
        <v>18067</v>
      </c>
    </row>
    <row r="7897" spans="1:5" x14ac:dyDescent="0.2">
      <c r="A7897" t="s">
        <v>20253</v>
      </c>
      <c r="B7897" t="s">
        <v>20254</v>
      </c>
      <c r="C7897" t="s">
        <v>20028</v>
      </c>
      <c r="D7897" t="s">
        <v>18051</v>
      </c>
      <c r="E7897" t="s">
        <v>17878</v>
      </c>
    </row>
    <row r="7898" spans="1:5" x14ac:dyDescent="0.2">
      <c r="A7898" t="s">
        <v>20255</v>
      </c>
      <c r="B7898" t="s">
        <v>20256</v>
      </c>
      <c r="C7898" t="s">
        <v>20028</v>
      </c>
      <c r="D7898" t="s">
        <v>20029</v>
      </c>
      <c r="E7898" t="s">
        <v>20058</v>
      </c>
    </row>
    <row r="7899" spans="1:5" x14ac:dyDescent="0.2">
      <c r="A7899" t="s">
        <v>20257</v>
      </c>
      <c r="B7899" t="s">
        <v>20258</v>
      </c>
      <c r="C7899" t="s">
        <v>20028</v>
      </c>
      <c r="D7899" t="s">
        <v>20029</v>
      </c>
      <c r="E7899" t="s">
        <v>20058</v>
      </c>
    </row>
    <row r="7900" spans="1:5" x14ac:dyDescent="0.2">
      <c r="A7900" t="s">
        <v>20259</v>
      </c>
      <c r="B7900" t="s">
        <v>20260</v>
      </c>
      <c r="C7900" t="s">
        <v>20028</v>
      </c>
      <c r="D7900" t="s">
        <v>20042</v>
      </c>
      <c r="E7900" t="s">
        <v>18067</v>
      </c>
    </row>
    <row r="7901" spans="1:5" x14ac:dyDescent="0.2">
      <c r="A7901" t="s">
        <v>20261</v>
      </c>
      <c r="B7901" t="s">
        <v>20262</v>
      </c>
      <c r="C7901" t="s">
        <v>20028</v>
      </c>
      <c r="D7901" t="s">
        <v>18051</v>
      </c>
      <c r="E7901" t="s">
        <v>18064</v>
      </c>
    </row>
    <row r="7902" spans="1:5" x14ac:dyDescent="0.2">
      <c r="A7902" t="s">
        <v>20263</v>
      </c>
      <c r="B7902" t="s">
        <v>20264</v>
      </c>
      <c r="C7902" t="s">
        <v>20028</v>
      </c>
      <c r="D7902" t="s">
        <v>18051</v>
      </c>
      <c r="E7902" t="s">
        <v>18064</v>
      </c>
    </row>
    <row r="7903" spans="1:5" x14ac:dyDescent="0.2">
      <c r="A7903" t="s">
        <v>20265</v>
      </c>
      <c r="B7903" t="s">
        <v>20266</v>
      </c>
      <c r="C7903" t="s">
        <v>20028</v>
      </c>
      <c r="D7903" t="s">
        <v>18051</v>
      </c>
      <c r="E7903" t="s">
        <v>20267</v>
      </c>
    </row>
    <row r="7904" spans="1:5" x14ac:dyDescent="0.2">
      <c r="A7904" t="s">
        <v>20268</v>
      </c>
      <c r="B7904" t="s">
        <v>20269</v>
      </c>
      <c r="C7904" t="s">
        <v>20028</v>
      </c>
      <c r="D7904" t="s">
        <v>18051</v>
      </c>
      <c r="E7904" t="s">
        <v>20270</v>
      </c>
    </row>
    <row r="7905" spans="1:5" x14ac:dyDescent="0.2">
      <c r="A7905" t="s">
        <v>20271</v>
      </c>
      <c r="B7905" t="s">
        <v>20272</v>
      </c>
      <c r="C7905" t="s">
        <v>20028</v>
      </c>
      <c r="D7905" t="s">
        <v>18051</v>
      </c>
      <c r="E7905" t="s">
        <v>18067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CBA0-4181-4DFA-A99D-12B2E94FE34D}">
  <dimension ref="A1:H336"/>
  <sheetViews>
    <sheetView topLeftCell="A2" workbookViewId="0">
      <selection activeCell="FS42" sqref="FS42"/>
    </sheetView>
  </sheetViews>
  <sheetFormatPr defaultRowHeight="15" x14ac:dyDescent="0.25"/>
  <cols>
    <col min="1" max="1" width="9.140625" style="58"/>
    <col min="2" max="2" width="34.7109375" style="58" bestFit="1" customWidth="1"/>
    <col min="8" max="8" width="7.5703125" bestFit="1" customWidth="1"/>
  </cols>
  <sheetData>
    <row r="1" spans="1:8" x14ac:dyDescent="0.25">
      <c r="A1" s="47" t="s">
        <v>113</v>
      </c>
      <c r="B1" s="47" t="s">
        <v>114</v>
      </c>
      <c r="C1" s="48" t="s">
        <v>20273</v>
      </c>
      <c r="D1" s="48" t="s">
        <v>20274</v>
      </c>
      <c r="E1" s="49" t="s">
        <v>113</v>
      </c>
      <c r="F1" s="48" t="s">
        <v>20275</v>
      </c>
      <c r="G1" s="48" t="s">
        <v>8</v>
      </c>
      <c r="H1" s="50" t="s">
        <v>20276</v>
      </c>
    </row>
    <row r="2" spans="1:8" x14ac:dyDescent="0.25">
      <c r="A2" s="51" t="s">
        <v>490</v>
      </c>
      <c r="B2" s="51" t="s">
        <v>115</v>
      </c>
      <c r="C2" s="52"/>
      <c r="D2" s="52"/>
      <c r="E2" s="53" t="s">
        <v>490</v>
      </c>
      <c r="F2" s="52"/>
      <c r="G2" s="52" t="s">
        <v>20277</v>
      </c>
      <c r="H2" s="54" t="b">
        <v>0</v>
      </c>
    </row>
    <row r="3" spans="1:8" x14ac:dyDescent="0.25">
      <c r="A3" s="51" t="s">
        <v>20278</v>
      </c>
      <c r="B3" s="51" t="s">
        <v>18</v>
      </c>
      <c r="C3" s="55"/>
      <c r="D3" s="55"/>
      <c r="E3" s="56" t="s">
        <v>20278</v>
      </c>
      <c r="F3" s="55"/>
      <c r="G3" s="55" t="s">
        <v>20277</v>
      </c>
      <c r="H3" s="57" t="b">
        <v>0</v>
      </c>
    </row>
    <row r="4" spans="1:8" x14ac:dyDescent="0.25">
      <c r="A4" s="51" t="s">
        <v>20279</v>
      </c>
      <c r="B4" s="51" t="s">
        <v>19</v>
      </c>
      <c r="C4" s="52"/>
      <c r="D4" s="52"/>
      <c r="E4" s="53" t="s">
        <v>20279</v>
      </c>
      <c r="F4" s="52"/>
      <c r="G4" s="52" t="s">
        <v>20277</v>
      </c>
      <c r="H4" s="54" t="b">
        <v>0</v>
      </c>
    </row>
    <row r="5" spans="1:8" x14ac:dyDescent="0.25">
      <c r="A5" s="51" t="s">
        <v>20280</v>
      </c>
      <c r="B5" s="51" t="s">
        <v>20</v>
      </c>
      <c r="C5" s="52"/>
      <c r="D5" s="52"/>
      <c r="E5" s="53" t="s">
        <v>20280</v>
      </c>
      <c r="F5" s="52"/>
      <c r="G5" s="52" t="s">
        <v>20277</v>
      </c>
      <c r="H5" s="54" t="b">
        <v>0</v>
      </c>
    </row>
    <row r="6" spans="1:8" x14ac:dyDescent="0.25">
      <c r="A6" s="51" t="s">
        <v>20281</v>
      </c>
      <c r="B6" s="51" t="s">
        <v>21</v>
      </c>
      <c r="C6" s="55" t="s">
        <v>20282</v>
      </c>
      <c r="D6" s="55"/>
      <c r="E6" s="56" t="s">
        <v>20281</v>
      </c>
      <c r="F6" s="55"/>
      <c r="G6" s="55" t="s">
        <v>20277</v>
      </c>
      <c r="H6" s="57" t="b">
        <v>0</v>
      </c>
    </row>
    <row r="7" spans="1:8" x14ac:dyDescent="0.25">
      <c r="A7" s="51" t="s">
        <v>20283</v>
      </c>
      <c r="B7" s="51" t="s">
        <v>116</v>
      </c>
      <c r="C7" s="52"/>
      <c r="D7" s="52"/>
      <c r="E7" s="53" t="s">
        <v>20283</v>
      </c>
      <c r="F7" s="52"/>
      <c r="G7" s="52" t="s">
        <v>20277</v>
      </c>
      <c r="H7" s="54" t="b">
        <v>0</v>
      </c>
    </row>
    <row r="8" spans="1:8" x14ac:dyDescent="0.25">
      <c r="A8" s="51" t="s">
        <v>20284</v>
      </c>
      <c r="B8" s="51" t="s">
        <v>22</v>
      </c>
      <c r="C8" s="55"/>
      <c r="D8" s="55"/>
      <c r="E8" s="56" t="s">
        <v>20284</v>
      </c>
      <c r="F8" s="55"/>
      <c r="G8" s="55" t="s">
        <v>20277</v>
      </c>
      <c r="H8" s="57" t="b">
        <v>0</v>
      </c>
    </row>
    <row r="9" spans="1:8" x14ac:dyDescent="0.25">
      <c r="A9" s="51" t="s">
        <v>20285</v>
      </c>
      <c r="B9" s="51" t="s">
        <v>20286</v>
      </c>
      <c r="C9" s="52"/>
      <c r="D9" s="52"/>
      <c r="E9" s="53" t="s">
        <v>20285</v>
      </c>
      <c r="F9" s="52"/>
      <c r="G9" s="52" t="s">
        <v>20277</v>
      </c>
      <c r="H9" s="54" t="b">
        <v>0</v>
      </c>
    </row>
    <row r="10" spans="1:8" x14ac:dyDescent="0.25">
      <c r="A10" s="51" t="s">
        <v>20287</v>
      </c>
      <c r="B10" s="51" t="s">
        <v>23</v>
      </c>
      <c r="C10" s="52"/>
      <c r="D10" s="52"/>
      <c r="E10" s="53" t="s">
        <v>20287</v>
      </c>
      <c r="F10" s="52"/>
      <c r="G10" s="52" t="s">
        <v>20277</v>
      </c>
      <c r="H10" s="54" t="b">
        <v>0</v>
      </c>
    </row>
    <row r="11" spans="1:8" x14ac:dyDescent="0.25">
      <c r="A11" s="51" t="s">
        <v>11977</v>
      </c>
      <c r="B11" s="51" t="s">
        <v>24</v>
      </c>
      <c r="C11" s="55"/>
      <c r="D11" s="55"/>
      <c r="E11" s="56" t="s">
        <v>11977</v>
      </c>
      <c r="F11" s="55"/>
      <c r="G11" s="55" t="s">
        <v>20277</v>
      </c>
      <c r="H11" s="57" t="b">
        <v>0</v>
      </c>
    </row>
    <row r="12" spans="1:8" x14ac:dyDescent="0.25">
      <c r="A12" s="51" t="s">
        <v>20288</v>
      </c>
      <c r="B12" s="51" t="s">
        <v>117</v>
      </c>
      <c r="C12" s="55"/>
      <c r="D12" s="55"/>
      <c r="E12" s="56" t="s">
        <v>20288</v>
      </c>
      <c r="F12" s="55"/>
      <c r="G12" s="55" t="s">
        <v>20277</v>
      </c>
      <c r="H12" s="57" t="b">
        <v>0</v>
      </c>
    </row>
    <row r="13" spans="1:8" x14ac:dyDescent="0.25">
      <c r="A13" s="51" t="s">
        <v>12040</v>
      </c>
      <c r="B13" s="51" t="s">
        <v>25</v>
      </c>
      <c r="C13" s="52"/>
      <c r="D13" s="52"/>
      <c r="E13" s="53" t="s">
        <v>12040</v>
      </c>
      <c r="F13" s="52"/>
      <c r="G13" s="52" t="s">
        <v>20277</v>
      </c>
      <c r="H13" s="54" t="b">
        <v>0</v>
      </c>
    </row>
    <row r="14" spans="1:8" x14ac:dyDescent="0.25">
      <c r="A14" s="51" t="s">
        <v>12068</v>
      </c>
      <c r="B14" s="51" t="s">
        <v>26</v>
      </c>
      <c r="C14" s="55"/>
      <c r="D14" s="55"/>
      <c r="E14" s="56" t="s">
        <v>12068</v>
      </c>
      <c r="F14" s="55"/>
      <c r="G14" s="55" t="s">
        <v>20277</v>
      </c>
      <c r="H14" s="57" t="b">
        <v>0</v>
      </c>
    </row>
    <row r="15" spans="1:8" x14ac:dyDescent="0.25">
      <c r="A15" s="51" t="s">
        <v>20289</v>
      </c>
      <c r="B15" s="51" t="s">
        <v>27</v>
      </c>
      <c r="C15" s="55"/>
      <c r="D15" s="55"/>
      <c r="E15" s="56" t="s">
        <v>20289</v>
      </c>
      <c r="F15" s="55"/>
      <c r="G15" s="55" t="s">
        <v>20277</v>
      </c>
      <c r="H15" s="57" t="b">
        <v>0</v>
      </c>
    </row>
    <row r="16" spans="1:8" x14ac:dyDescent="0.25">
      <c r="A16" s="51" t="s">
        <v>12081</v>
      </c>
      <c r="B16" s="51" t="s">
        <v>118</v>
      </c>
      <c r="C16" s="55"/>
      <c r="D16" s="55"/>
      <c r="E16" s="56" t="s">
        <v>12081</v>
      </c>
      <c r="F16" s="55"/>
      <c r="G16" s="55" t="s">
        <v>20277</v>
      </c>
      <c r="H16" s="57" t="b">
        <v>0</v>
      </c>
    </row>
    <row r="17" spans="1:8" x14ac:dyDescent="0.25">
      <c r="A17" s="51" t="s">
        <v>20290</v>
      </c>
      <c r="B17" s="51" t="s">
        <v>28</v>
      </c>
      <c r="C17" s="55"/>
      <c r="D17" s="55"/>
      <c r="E17" s="56" t="s">
        <v>20290</v>
      </c>
      <c r="F17" s="55"/>
      <c r="G17" s="55" t="s">
        <v>20277</v>
      </c>
      <c r="H17" s="57" t="b">
        <v>0</v>
      </c>
    </row>
    <row r="18" spans="1:8" x14ac:dyDescent="0.25">
      <c r="A18" s="51" t="s">
        <v>12095</v>
      </c>
      <c r="B18" s="51" t="s">
        <v>29</v>
      </c>
      <c r="C18" s="55"/>
      <c r="D18" s="55"/>
      <c r="E18" s="56" t="s">
        <v>12095</v>
      </c>
      <c r="F18" s="55"/>
      <c r="G18" s="55" t="s">
        <v>20277</v>
      </c>
      <c r="H18" s="57" t="b">
        <v>0</v>
      </c>
    </row>
    <row r="19" spans="1:8" x14ac:dyDescent="0.25">
      <c r="A19" s="51" t="s">
        <v>12107</v>
      </c>
      <c r="B19" s="51" t="s">
        <v>30</v>
      </c>
      <c r="C19" s="55"/>
      <c r="D19" s="55"/>
      <c r="E19" s="56" t="s">
        <v>12107</v>
      </c>
      <c r="F19" s="55"/>
      <c r="G19" s="55" t="s">
        <v>20277</v>
      </c>
      <c r="H19" s="57" t="b">
        <v>0</v>
      </c>
    </row>
    <row r="20" spans="1:8" x14ac:dyDescent="0.25">
      <c r="A20" s="51" t="s">
        <v>12172</v>
      </c>
      <c r="B20" s="51" t="s">
        <v>31</v>
      </c>
      <c r="C20" s="52"/>
      <c r="D20" s="52"/>
      <c r="E20" s="53" t="s">
        <v>12172</v>
      </c>
      <c r="F20" s="52"/>
      <c r="G20" s="52" t="s">
        <v>20277</v>
      </c>
      <c r="H20" s="54" t="b">
        <v>0</v>
      </c>
    </row>
    <row r="21" spans="1:8" x14ac:dyDescent="0.25">
      <c r="A21" s="51" t="s">
        <v>11925</v>
      </c>
      <c r="B21" s="51" t="s">
        <v>119</v>
      </c>
      <c r="C21" s="55"/>
      <c r="D21" s="55"/>
      <c r="E21" s="56" t="s">
        <v>11925</v>
      </c>
      <c r="F21" s="55"/>
      <c r="G21" s="55" t="s">
        <v>20277</v>
      </c>
      <c r="H21" s="57" t="b">
        <v>0</v>
      </c>
    </row>
    <row r="22" spans="1:8" x14ac:dyDescent="0.25">
      <c r="A22" s="51" t="s">
        <v>11922</v>
      </c>
      <c r="B22" s="51" t="s">
        <v>32</v>
      </c>
      <c r="C22" s="55" t="s">
        <v>20291</v>
      </c>
      <c r="D22" s="55"/>
      <c r="E22" s="56" t="s">
        <v>11922</v>
      </c>
      <c r="F22" s="55"/>
      <c r="G22" s="55" t="s">
        <v>20277</v>
      </c>
      <c r="H22" s="57" t="b">
        <v>0</v>
      </c>
    </row>
    <row r="23" spans="1:8" x14ac:dyDescent="0.25">
      <c r="A23" s="51" t="s">
        <v>11937</v>
      </c>
      <c r="B23" s="51" t="s">
        <v>33</v>
      </c>
      <c r="C23" s="52"/>
      <c r="D23" s="52"/>
      <c r="E23" s="53" t="s">
        <v>11937</v>
      </c>
      <c r="F23" s="52"/>
      <c r="G23" s="52" t="s">
        <v>20277</v>
      </c>
      <c r="H23" s="54" t="b">
        <v>0</v>
      </c>
    </row>
    <row r="24" spans="1:8" x14ac:dyDescent="0.25">
      <c r="A24" s="51" t="s">
        <v>11948</v>
      </c>
      <c r="B24" s="51" t="s">
        <v>120</v>
      </c>
      <c r="C24" s="55"/>
      <c r="D24" s="55"/>
      <c r="E24" s="56" t="s">
        <v>11948</v>
      </c>
      <c r="F24" s="55"/>
      <c r="G24" s="55" t="s">
        <v>20277</v>
      </c>
      <c r="H24" s="57" t="b">
        <v>0</v>
      </c>
    </row>
    <row r="25" spans="1:8" x14ac:dyDescent="0.25">
      <c r="A25" s="51" t="s">
        <v>11982</v>
      </c>
      <c r="B25" s="51" t="s">
        <v>34</v>
      </c>
      <c r="C25" s="52"/>
      <c r="D25" s="52"/>
      <c r="E25" s="53" t="s">
        <v>11982</v>
      </c>
      <c r="F25" s="52"/>
      <c r="G25" s="52" t="s">
        <v>20277</v>
      </c>
      <c r="H25" s="54" t="b">
        <v>0</v>
      </c>
    </row>
    <row r="26" spans="1:8" x14ac:dyDescent="0.25">
      <c r="A26" s="51" t="s">
        <v>12032</v>
      </c>
      <c r="B26" s="51" t="s">
        <v>35</v>
      </c>
      <c r="C26" s="52" t="s">
        <v>20292</v>
      </c>
      <c r="D26" s="52"/>
      <c r="E26" s="53" t="s">
        <v>12032</v>
      </c>
      <c r="F26" s="52" t="s">
        <v>20293</v>
      </c>
      <c r="G26" s="52" t="s">
        <v>20277</v>
      </c>
      <c r="H26" s="54" t="b">
        <v>0</v>
      </c>
    </row>
    <row r="27" spans="1:8" x14ac:dyDescent="0.25">
      <c r="A27" s="51" t="s">
        <v>12049</v>
      </c>
      <c r="B27" s="51" t="s">
        <v>36</v>
      </c>
      <c r="C27" s="52"/>
      <c r="D27" s="52"/>
      <c r="E27" s="53" t="s">
        <v>12049</v>
      </c>
      <c r="F27" s="52"/>
      <c r="G27" s="52" t="s">
        <v>20277</v>
      </c>
      <c r="H27" s="54" t="b">
        <v>0</v>
      </c>
    </row>
    <row r="28" spans="1:8" x14ac:dyDescent="0.25">
      <c r="A28" s="51" t="s">
        <v>12144</v>
      </c>
      <c r="B28" s="51" t="s">
        <v>37</v>
      </c>
      <c r="C28" s="52" t="s">
        <v>20294</v>
      </c>
      <c r="D28" s="52"/>
      <c r="E28" s="53" t="s">
        <v>12144</v>
      </c>
      <c r="F28" s="52"/>
      <c r="G28" s="52" t="s">
        <v>20277</v>
      </c>
      <c r="H28" s="54" t="b">
        <v>0</v>
      </c>
    </row>
    <row r="29" spans="1:8" x14ac:dyDescent="0.25">
      <c r="A29" s="51" t="s">
        <v>12169</v>
      </c>
      <c r="B29" s="51" t="s">
        <v>121</v>
      </c>
      <c r="C29" s="55"/>
      <c r="D29" s="55"/>
      <c r="E29" s="56" t="s">
        <v>12169</v>
      </c>
      <c r="F29" s="55"/>
      <c r="G29" s="55" t="s">
        <v>20277</v>
      </c>
      <c r="H29" s="57" t="b">
        <v>0</v>
      </c>
    </row>
    <row r="30" spans="1:8" x14ac:dyDescent="0.25">
      <c r="A30" s="51" t="s">
        <v>12193</v>
      </c>
      <c r="B30" s="51" t="s">
        <v>38</v>
      </c>
      <c r="C30" s="52"/>
      <c r="D30" s="52"/>
      <c r="E30" s="53" t="s">
        <v>12193</v>
      </c>
      <c r="F30" s="52"/>
      <c r="G30" s="52" t="s">
        <v>20277</v>
      </c>
      <c r="H30" s="54" t="b">
        <v>0</v>
      </c>
    </row>
    <row r="31" spans="1:8" x14ac:dyDescent="0.25">
      <c r="A31" s="51" t="s">
        <v>11954</v>
      </c>
      <c r="B31" s="51" t="s">
        <v>39</v>
      </c>
      <c r="C31" s="52" t="s">
        <v>20295</v>
      </c>
      <c r="D31" s="52"/>
      <c r="E31" s="53" t="s">
        <v>11954</v>
      </c>
      <c r="F31" s="52"/>
      <c r="G31" s="52" t="s">
        <v>20277</v>
      </c>
      <c r="H31" s="54" t="b">
        <v>0</v>
      </c>
    </row>
    <row r="32" spans="1:8" x14ac:dyDescent="0.25">
      <c r="A32" s="51" t="s">
        <v>11951</v>
      </c>
      <c r="B32" s="51" t="s">
        <v>40</v>
      </c>
      <c r="C32" s="55"/>
      <c r="D32" s="55"/>
      <c r="E32" s="56" t="s">
        <v>11951</v>
      </c>
      <c r="F32" s="55"/>
      <c r="G32" s="55" t="s">
        <v>20277</v>
      </c>
      <c r="H32" s="57" t="b">
        <v>0</v>
      </c>
    </row>
    <row r="33" spans="1:8" x14ac:dyDescent="0.25">
      <c r="A33" s="51" t="s">
        <v>11974</v>
      </c>
      <c r="B33" s="51" t="s">
        <v>41</v>
      </c>
      <c r="C33" s="55"/>
      <c r="D33" s="55"/>
      <c r="E33" s="56" t="s">
        <v>11974</v>
      </c>
      <c r="F33" s="55"/>
      <c r="G33" s="55" t="s">
        <v>20277</v>
      </c>
      <c r="H33" s="57" t="b">
        <v>0</v>
      </c>
    </row>
    <row r="34" spans="1:8" x14ac:dyDescent="0.25">
      <c r="A34" s="51" t="s">
        <v>11989</v>
      </c>
      <c r="B34" s="51" t="s">
        <v>42</v>
      </c>
      <c r="C34" s="52"/>
      <c r="D34" s="52"/>
      <c r="E34" s="53" t="s">
        <v>11989</v>
      </c>
      <c r="F34" s="52"/>
      <c r="G34" s="52" t="s">
        <v>20277</v>
      </c>
      <c r="H34" s="54" t="b">
        <v>0</v>
      </c>
    </row>
    <row r="35" spans="1:8" x14ac:dyDescent="0.25">
      <c r="A35" s="51" t="s">
        <v>12008</v>
      </c>
      <c r="B35" s="51" t="s">
        <v>43</v>
      </c>
      <c r="C35" s="52"/>
      <c r="D35" s="52"/>
      <c r="E35" s="53" t="s">
        <v>12008</v>
      </c>
      <c r="F35" s="52"/>
      <c r="G35" s="52" t="s">
        <v>20277</v>
      </c>
      <c r="H35" s="54" t="b">
        <v>0</v>
      </c>
    </row>
    <row r="36" spans="1:8" x14ac:dyDescent="0.25">
      <c r="A36" s="51" t="s">
        <v>12101</v>
      </c>
      <c r="B36" s="51" t="s">
        <v>44</v>
      </c>
      <c r="C36" s="55"/>
      <c r="D36" s="55"/>
      <c r="E36" s="56" t="s">
        <v>12101</v>
      </c>
      <c r="F36" s="55"/>
      <c r="G36" s="55" t="s">
        <v>20277</v>
      </c>
      <c r="H36" s="57" t="b">
        <v>0</v>
      </c>
    </row>
    <row r="37" spans="1:8" x14ac:dyDescent="0.25">
      <c r="A37" s="51" t="s">
        <v>12104</v>
      </c>
      <c r="B37" s="51" t="s">
        <v>122</v>
      </c>
      <c r="C37" s="52"/>
      <c r="D37" s="52"/>
      <c r="E37" s="53" t="s">
        <v>12104</v>
      </c>
      <c r="F37" s="52"/>
      <c r="G37" s="52" t="s">
        <v>20277</v>
      </c>
      <c r="H37" s="54" t="b">
        <v>0</v>
      </c>
    </row>
    <row r="38" spans="1:8" x14ac:dyDescent="0.25">
      <c r="A38" s="51" t="s">
        <v>12166</v>
      </c>
      <c r="B38" s="51" t="s">
        <v>45</v>
      </c>
      <c r="C38" s="55"/>
      <c r="D38" s="55"/>
      <c r="E38" s="56" t="s">
        <v>12166</v>
      </c>
      <c r="F38" s="55"/>
      <c r="G38" s="55" t="s">
        <v>20277</v>
      </c>
      <c r="H38" s="57" t="b">
        <v>0</v>
      </c>
    </row>
    <row r="39" spans="1:8" x14ac:dyDescent="0.25">
      <c r="A39" s="51" t="s">
        <v>12187</v>
      </c>
      <c r="B39" s="51" t="s">
        <v>46</v>
      </c>
      <c r="C39" s="52"/>
      <c r="D39" s="52"/>
      <c r="E39" s="53" t="s">
        <v>12187</v>
      </c>
      <c r="F39" s="52"/>
      <c r="G39" s="52" t="s">
        <v>20277</v>
      </c>
      <c r="H39" s="54" t="b">
        <v>0</v>
      </c>
    </row>
    <row r="40" spans="1:8" x14ac:dyDescent="0.25">
      <c r="A40" s="51" t="s">
        <v>12198</v>
      </c>
      <c r="B40" s="51" t="s">
        <v>47</v>
      </c>
      <c r="C40" s="52"/>
      <c r="D40" s="52"/>
      <c r="E40" s="53" t="s">
        <v>12198</v>
      </c>
      <c r="F40" s="52"/>
      <c r="G40" s="52" t="s">
        <v>20277</v>
      </c>
      <c r="H40" s="54" t="b">
        <v>0</v>
      </c>
    </row>
    <row r="41" spans="1:8" x14ac:dyDescent="0.25">
      <c r="A41" s="51" t="s">
        <v>11945</v>
      </c>
      <c r="B41" s="51" t="s">
        <v>48</v>
      </c>
      <c r="C41" s="52"/>
      <c r="D41" s="52"/>
      <c r="E41" s="53" t="s">
        <v>11945</v>
      </c>
      <c r="F41" s="52"/>
      <c r="G41" s="52" t="s">
        <v>20277</v>
      </c>
      <c r="H41" s="54" t="b">
        <v>0</v>
      </c>
    </row>
    <row r="42" spans="1:8" x14ac:dyDescent="0.25">
      <c r="A42" s="51" t="s">
        <v>11928</v>
      </c>
      <c r="B42" s="51" t="s">
        <v>123</v>
      </c>
      <c r="C42" s="52"/>
      <c r="D42" s="52"/>
      <c r="E42" s="53" t="s">
        <v>11928</v>
      </c>
      <c r="F42" s="52"/>
      <c r="G42" s="52" t="s">
        <v>20277</v>
      </c>
      <c r="H42" s="54" t="b">
        <v>0</v>
      </c>
    </row>
    <row r="43" spans="1:8" x14ac:dyDescent="0.25">
      <c r="A43" s="51" t="s">
        <v>11940</v>
      </c>
      <c r="B43" s="51" t="s">
        <v>49</v>
      </c>
      <c r="C43" s="55"/>
      <c r="D43" s="55"/>
      <c r="E43" s="56" t="s">
        <v>11940</v>
      </c>
      <c r="F43" s="55"/>
      <c r="G43" s="55" t="s">
        <v>20277</v>
      </c>
      <c r="H43" s="57" t="b">
        <v>0</v>
      </c>
    </row>
    <row r="44" spans="1:8" x14ac:dyDescent="0.25">
      <c r="A44" s="51" t="s">
        <v>12208</v>
      </c>
      <c r="B44" s="51" t="s">
        <v>50</v>
      </c>
      <c r="C44" s="52"/>
      <c r="D44" s="52"/>
      <c r="E44" s="53" t="s">
        <v>12208</v>
      </c>
      <c r="F44" s="52"/>
      <c r="G44" s="52" t="s">
        <v>20277</v>
      </c>
      <c r="H44" s="54" t="b">
        <v>0</v>
      </c>
    </row>
    <row r="45" spans="1:8" x14ac:dyDescent="0.25">
      <c r="A45" s="51" t="s">
        <v>12020</v>
      </c>
      <c r="B45" s="51" t="s">
        <v>124</v>
      </c>
      <c r="C45" s="52"/>
      <c r="D45" s="52"/>
      <c r="E45" s="53" t="s">
        <v>12020</v>
      </c>
      <c r="F45" s="52"/>
      <c r="G45" s="52" t="s">
        <v>20277</v>
      </c>
      <c r="H45" s="54" t="b">
        <v>0</v>
      </c>
    </row>
    <row r="46" spans="1:8" x14ac:dyDescent="0.25">
      <c r="A46" s="51" t="s">
        <v>12029</v>
      </c>
      <c r="B46" s="51" t="s">
        <v>51</v>
      </c>
      <c r="C46" s="55"/>
      <c r="D46" s="55"/>
      <c r="E46" s="56" t="s">
        <v>12029</v>
      </c>
      <c r="F46" s="55"/>
      <c r="G46" s="55" t="s">
        <v>20277</v>
      </c>
      <c r="H46" s="57" t="b">
        <v>0</v>
      </c>
    </row>
    <row r="47" spans="1:8" x14ac:dyDescent="0.25">
      <c r="A47" s="51" t="s">
        <v>12037</v>
      </c>
      <c r="B47" s="51" t="s">
        <v>52</v>
      </c>
      <c r="C47" s="55"/>
      <c r="D47" s="55"/>
      <c r="E47" s="56" t="s">
        <v>12037</v>
      </c>
      <c r="F47" s="55"/>
      <c r="G47" s="55" t="s">
        <v>20277</v>
      </c>
      <c r="H47" s="57" t="b">
        <v>0</v>
      </c>
    </row>
    <row r="48" spans="1:8" x14ac:dyDescent="0.25">
      <c r="A48" s="51" t="s">
        <v>12063</v>
      </c>
      <c r="B48" s="51" t="s">
        <v>125</v>
      </c>
      <c r="C48" s="52" t="s">
        <v>20296</v>
      </c>
      <c r="D48" s="52"/>
      <c r="E48" s="53" t="s">
        <v>12063</v>
      </c>
      <c r="F48" s="52"/>
      <c r="G48" s="52" t="s">
        <v>20277</v>
      </c>
      <c r="H48" s="54" t="b">
        <v>0</v>
      </c>
    </row>
    <row r="49" spans="1:8" x14ac:dyDescent="0.25">
      <c r="A49" s="51" t="s">
        <v>12098</v>
      </c>
      <c r="B49" s="51" t="s">
        <v>126</v>
      </c>
      <c r="C49" s="55"/>
      <c r="D49" s="55"/>
      <c r="E49" s="56" t="s">
        <v>12098</v>
      </c>
      <c r="F49" s="55"/>
      <c r="G49" s="55" t="s">
        <v>20277</v>
      </c>
      <c r="H49" s="57" t="b">
        <v>0</v>
      </c>
    </row>
    <row r="50" spans="1:8" x14ac:dyDescent="0.25">
      <c r="A50" s="51" t="s">
        <v>12190</v>
      </c>
      <c r="B50" s="51" t="s">
        <v>127</v>
      </c>
      <c r="C50" s="52"/>
      <c r="D50" s="52"/>
      <c r="E50" s="53" t="s">
        <v>12190</v>
      </c>
      <c r="F50" s="52"/>
      <c r="G50" s="52" t="s">
        <v>20277</v>
      </c>
      <c r="H50" s="54" t="b">
        <v>0</v>
      </c>
    </row>
    <row r="51" spans="1:8" x14ac:dyDescent="0.25">
      <c r="A51" s="51" t="s">
        <v>20297</v>
      </c>
      <c r="B51" s="51" t="s">
        <v>53</v>
      </c>
      <c r="C51" s="52" t="s">
        <v>20298</v>
      </c>
      <c r="D51" s="52"/>
      <c r="E51" s="53" t="s">
        <v>20297</v>
      </c>
      <c r="F51" s="52"/>
      <c r="G51" s="52" t="s">
        <v>20277</v>
      </c>
      <c r="H51" s="54" t="b">
        <v>0</v>
      </c>
    </row>
    <row r="52" spans="1:8" x14ac:dyDescent="0.25">
      <c r="A52" s="51" t="s">
        <v>11931</v>
      </c>
      <c r="B52" s="51" t="s">
        <v>128</v>
      </c>
      <c r="C52" s="52"/>
      <c r="D52" s="52"/>
      <c r="E52" s="53" t="s">
        <v>11931</v>
      </c>
      <c r="F52" s="52"/>
      <c r="G52" s="52" t="s">
        <v>20277</v>
      </c>
      <c r="H52" s="54" t="b">
        <v>0</v>
      </c>
    </row>
    <row r="53" spans="1:8" x14ac:dyDescent="0.25">
      <c r="A53" s="51" t="s">
        <v>11996</v>
      </c>
      <c r="B53" s="51" t="s">
        <v>129</v>
      </c>
      <c r="C53" s="55"/>
      <c r="D53" s="55"/>
      <c r="E53" s="56" t="s">
        <v>11996</v>
      </c>
      <c r="F53" s="55"/>
      <c r="G53" s="55" t="s">
        <v>20277</v>
      </c>
      <c r="H53" s="57" t="b">
        <v>0</v>
      </c>
    </row>
    <row r="54" spans="1:8" x14ac:dyDescent="0.25">
      <c r="A54" s="51" t="s">
        <v>12003</v>
      </c>
      <c r="B54" s="51" t="s">
        <v>54</v>
      </c>
      <c r="C54" s="55"/>
      <c r="D54" s="55"/>
      <c r="E54" s="56" t="s">
        <v>12003</v>
      </c>
      <c r="F54" s="55"/>
      <c r="G54" s="55" t="s">
        <v>20277</v>
      </c>
      <c r="H54" s="57" t="b">
        <v>0</v>
      </c>
    </row>
    <row r="55" spans="1:8" x14ac:dyDescent="0.25">
      <c r="A55" s="51" t="s">
        <v>12213</v>
      </c>
      <c r="B55" s="51" t="s">
        <v>55</v>
      </c>
      <c r="C55" s="55" t="s">
        <v>20299</v>
      </c>
      <c r="D55" s="55"/>
      <c r="E55" s="56" t="s">
        <v>12213</v>
      </c>
      <c r="F55" s="55"/>
      <c r="G55" s="55" t="s">
        <v>20277</v>
      </c>
      <c r="H55" s="57" t="b">
        <v>0</v>
      </c>
    </row>
    <row r="56" spans="1:8" x14ac:dyDescent="0.25">
      <c r="A56" s="51" t="s">
        <v>12203</v>
      </c>
      <c r="B56" s="51" t="s">
        <v>56</v>
      </c>
      <c r="C56" s="52" t="s">
        <v>20299</v>
      </c>
      <c r="D56" s="52"/>
      <c r="E56" s="53" t="s">
        <v>12203</v>
      </c>
      <c r="F56" s="52"/>
      <c r="G56" s="52" t="s">
        <v>20277</v>
      </c>
      <c r="H56" s="54" t="b">
        <v>0</v>
      </c>
    </row>
    <row r="57" spans="1:8" x14ac:dyDescent="0.25">
      <c r="A57" s="51" t="s">
        <v>20300</v>
      </c>
      <c r="B57" s="51" t="s">
        <v>57</v>
      </c>
      <c r="C57" s="55"/>
      <c r="D57" s="55"/>
      <c r="E57" s="56" t="s">
        <v>20300</v>
      </c>
      <c r="F57" s="55"/>
      <c r="G57" s="55" t="s">
        <v>20277</v>
      </c>
      <c r="H57" s="57" t="b">
        <v>0</v>
      </c>
    </row>
    <row r="58" spans="1:8" x14ac:dyDescent="0.25">
      <c r="A58" s="51" t="s">
        <v>20301</v>
      </c>
      <c r="B58" s="51" t="s">
        <v>58</v>
      </c>
      <c r="C58" s="52"/>
      <c r="D58" s="52"/>
      <c r="E58" s="53" t="s">
        <v>20301</v>
      </c>
      <c r="F58" s="52"/>
      <c r="G58" s="52" t="s">
        <v>20277</v>
      </c>
      <c r="H58" s="54" t="b">
        <v>0</v>
      </c>
    </row>
    <row r="59" spans="1:8" x14ac:dyDescent="0.25">
      <c r="A59" s="51" t="s">
        <v>12155</v>
      </c>
      <c r="B59" s="51" t="s">
        <v>59</v>
      </c>
      <c r="C59" s="52"/>
      <c r="D59" s="52"/>
      <c r="E59" s="53" t="s">
        <v>12155</v>
      </c>
      <c r="F59" s="52"/>
      <c r="G59" s="52" t="s">
        <v>20277</v>
      </c>
      <c r="H59" s="54" t="b">
        <v>0</v>
      </c>
    </row>
    <row r="60" spans="1:8" x14ac:dyDescent="0.25">
      <c r="A60" s="51" t="s">
        <v>12175</v>
      </c>
      <c r="B60" s="51" t="s">
        <v>60</v>
      </c>
      <c r="C60" s="55"/>
      <c r="D60" s="55"/>
      <c r="E60" s="56" t="s">
        <v>12175</v>
      </c>
      <c r="F60" s="55"/>
      <c r="G60" s="55" t="s">
        <v>20277</v>
      </c>
      <c r="H60" s="57" t="b">
        <v>0</v>
      </c>
    </row>
    <row r="61" spans="1:8" x14ac:dyDescent="0.25">
      <c r="A61" s="51" t="s">
        <v>11965</v>
      </c>
      <c r="B61" s="51" t="s">
        <v>61</v>
      </c>
      <c r="C61" s="55"/>
      <c r="D61" s="55"/>
      <c r="E61" s="56" t="s">
        <v>11965</v>
      </c>
      <c r="F61" s="55"/>
      <c r="G61" s="55" t="s">
        <v>20277</v>
      </c>
      <c r="H61" s="57" t="b">
        <v>0</v>
      </c>
    </row>
    <row r="62" spans="1:8" x14ac:dyDescent="0.25">
      <c r="A62" s="51" t="s">
        <v>11934</v>
      </c>
      <c r="B62" s="51" t="s">
        <v>62</v>
      </c>
      <c r="C62" s="55"/>
      <c r="D62" s="55"/>
      <c r="E62" s="56" t="s">
        <v>11934</v>
      </c>
      <c r="F62" s="55"/>
      <c r="G62" s="55" t="s">
        <v>20277</v>
      </c>
      <c r="H62" s="57" t="b">
        <v>0</v>
      </c>
    </row>
    <row r="63" spans="1:8" x14ac:dyDescent="0.25">
      <c r="A63" s="51" t="s">
        <v>11957</v>
      </c>
      <c r="B63" s="51" t="s">
        <v>130</v>
      </c>
      <c r="C63" s="55"/>
      <c r="D63" s="55"/>
      <c r="E63" s="56" t="s">
        <v>11957</v>
      </c>
      <c r="F63" s="55"/>
      <c r="G63" s="55" t="s">
        <v>20277</v>
      </c>
      <c r="H63" s="57" t="b">
        <v>0</v>
      </c>
    </row>
    <row r="64" spans="1:8" x14ac:dyDescent="0.25">
      <c r="A64" s="51" t="s">
        <v>11962</v>
      </c>
      <c r="B64" s="51" t="s">
        <v>131</v>
      </c>
      <c r="C64" s="55"/>
      <c r="D64" s="55"/>
      <c r="E64" s="56" t="s">
        <v>11962</v>
      </c>
      <c r="F64" s="55"/>
      <c r="G64" s="55" t="s">
        <v>20277</v>
      </c>
      <c r="H64" s="57" t="b">
        <v>0</v>
      </c>
    </row>
    <row r="65" spans="1:8" x14ac:dyDescent="0.25">
      <c r="A65" s="51" t="s">
        <v>20302</v>
      </c>
      <c r="B65" s="51" t="s">
        <v>132</v>
      </c>
      <c r="C65" s="52"/>
      <c r="D65" s="52"/>
      <c r="E65" s="53" t="s">
        <v>20302</v>
      </c>
      <c r="F65" s="52"/>
      <c r="G65" s="52" t="s">
        <v>20277</v>
      </c>
      <c r="H65" s="54" t="b">
        <v>0</v>
      </c>
    </row>
    <row r="66" spans="1:8" x14ac:dyDescent="0.25">
      <c r="A66" s="51" t="s">
        <v>12013</v>
      </c>
      <c r="B66" s="51" t="s">
        <v>133</v>
      </c>
      <c r="C66" s="55"/>
      <c r="D66" s="55"/>
      <c r="E66" s="56" t="s">
        <v>12013</v>
      </c>
      <c r="F66" s="55"/>
      <c r="G66" s="55" t="s">
        <v>20277</v>
      </c>
      <c r="H66" s="57" t="b">
        <v>0</v>
      </c>
    </row>
    <row r="67" spans="1:8" x14ac:dyDescent="0.25">
      <c r="A67" s="51" t="s">
        <v>12056</v>
      </c>
      <c r="B67" s="51" t="s">
        <v>134</v>
      </c>
      <c r="C67" s="52" t="s">
        <v>20303</v>
      </c>
      <c r="D67" s="52"/>
      <c r="E67" s="53" t="s">
        <v>12056</v>
      </c>
      <c r="F67" s="52"/>
      <c r="G67" s="52" t="s">
        <v>20277</v>
      </c>
      <c r="H67" s="54" t="b">
        <v>0</v>
      </c>
    </row>
    <row r="68" spans="1:8" x14ac:dyDescent="0.25">
      <c r="A68" s="51" t="s">
        <v>12088</v>
      </c>
      <c r="B68" s="51" t="s">
        <v>63</v>
      </c>
      <c r="C68" s="52"/>
      <c r="D68" s="52"/>
      <c r="E68" s="53" t="s">
        <v>12088</v>
      </c>
      <c r="F68" s="52"/>
      <c r="G68" s="52" t="s">
        <v>20277</v>
      </c>
      <c r="H68" s="54" t="b">
        <v>0</v>
      </c>
    </row>
    <row r="69" spans="1:8" x14ac:dyDescent="0.25">
      <c r="A69" s="51" t="s">
        <v>12122</v>
      </c>
      <c r="B69" s="51" t="s">
        <v>64</v>
      </c>
      <c r="C69" s="55"/>
      <c r="D69" s="55"/>
      <c r="E69" s="56" t="s">
        <v>12122</v>
      </c>
      <c r="F69" s="55"/>
      <c r="G69" s="55" t="s">
        <v>20277</v>
      </c>
      <c r="H69" s="57" t="b">
        <v>0</v>
      </c>
    </row>
    <row r="70" spans="1:8" x14ac:dyDescent="0.25">
      <c r="A70" s="51" t="s">
        <v>12180</v>
      </c>
      <c r="B70" s="51" t="s">
        <v>65</v>
      </c>
      <c r="C70" s="55"/>
      <c r="D70" s="55"/>
      <c r="E70" s="56" t="s">
        <v>12180</v>
      </c>
      <c r="F70" s="55"/>
      <c r="G70" s="55" t="s">
        <v>20277</v>
      </c>
      <c r="H70" s="57" t="b">
        <v>0</v>
      </c>
    </row>
    <row r="71" spans="1:8" x14ac:dyDescent="0.25">
      <c r="A71" s="51" t="s">
        <v>20304</v>
      </c>
      <c r="B71" s="51" t="s">
        <v>135</v>
      </c>
      <c r="C71" s="55"/>
      <c r="D71" s="55"/>
      <c r="E71" s="56" t="s">
        <v>20304</v>
      </c>
      <c r="F71" s="55"/>
      <c r="G71" s="55" t="s">
        <v>20277</v>
      </c>
      <c r="H71" s="57" t="b">
        <v>0</v>
      </c>
    </row>
    <row r="72" spans="1:8" x14ac:dyDescent="0.25">
      <c r="A72" s="51" t="s">
        <v>20305</v>
      </c>
      <c r="B72" s="51" t="s">
        <v>136</v>
      </c>
      <c r="C72" s="55"/>
      <c r="D72" s="55"/>
      <c r="E72" s="56" t="s">
        <v>20305</v>
      </c>
      <c r="F72" s="55"/>
      <c r="G72" s="55" t="s">
        <v>20277</v>
      </c>
      <c r="H72" s="57" t="b">
        <v>0</v>
      </c>
    </row>
    <row r="73" spans="1:8" x14ac:dyDescent="0.25">
      <c r="A73" s="51" t="s">
        <v>20306</v>
      </c>
      <c r="B73" s="51" t="s">
        <v>137</v>
      </c>
      <c r="C73" s="52" t="s">
        <v>20307</v>
      </c>
      <c r="D73" s="52"/>
      <c r="E73" s="53" t="s">
        <v>20306</v>
      </c>
      <c r="F73" s="52"/>
      <c r="G73" s="52" t="s">
        <v>20277</v>
      </c>
      <c r="H73" s="54" t="b">
        <v>0</v>
      </c>
    </row>
    <row r="74" spans="1:8" x14ac:dyDescent="0.25">
      <c r="A74" s="51" t="s">
        <v>20308</v>
      </c>
      <c r="B74" s="51" t="s">
        <v>66</v>
      </c>
      <c r="C74" s="52" t="s">
        <v>20309</v>
      </c>
      <c r="D74" s="52"/>
      <c r="E74" s="53" t="s">
        <v>20308</v>
      </c>
      <c r="F74" s="52"/>
      <c r="G74" s="52" t="s">
        <v>20277</v>
      </c>
      <c r="H74" s="54" t="b">
        <v>1</v>
      </c>
    </row>
    <row r="75" spans="1:8" x14ac:dyDescent="0.25">
      <c r="A75" s="51" t="s">
        <v>20310</v>
      </c>
      <c r="B75" s="51" t="s">
        <v>138</v>
      </c>
      <c r="C75" s="52" t="s">
        <v>20311</v>
      </c>
      <c r="D75" s="52"/>
      <c r="E75" s="53" t="s">
        <v>20310</v>
      </c>
      <c r="F75" s="52"/>
      <c r="G75" s="52" t="s">
        <v>20277</v>
      </c>
      <c r="H75" s="54" t="b">
        <v>0</v>
      </c>
    </row>
    <row r="76" spans="1:8" x14ac:dyDescent="0.25">
      <c r="A76" s="51" t="s">
        <v>20312</v>
      </c>
      <c r="B76" s="51" t="s">
        <v>67</v>
      </c>
      <c r="C76" s="52"/>
      <c r="D76" s="52"/>
      <c r="E76" s="53" t="s">
        <v>20312</v>
      </c>
      <c r="F76" s="52"/>
      <c r="G76" s="52" t="s">
        <v>20277</v>
      </c>
      <c r="H76" s="54" t="b">
        <v>0</v>
      </c>
    </row>
    <row r="77" spans="1:8" x14ac:dyDescent="0.25">
      <c r="A77" s="51" t="s">
        <v>20313</v>
      </c>
      <c r="B77" s="51" t="s">
        <v>139</v>
      </c>
      <c r="C77" s="52"/>
      <c r="D77" s="52"/>
      <c r="E77" s="53" t="s">
        <v>20313</v>
      </c>
      <c r="F77" s="52"/>
      <c r="G77" s="52" t="s">
        <v>20277</v>
      </c>
      <c r="H77" s="54" t="b">
        <v>0</v>
      </c>
    </row>
    <row r="78" spans="1:8" x14ac:dyDescent="0.25">
      <c r="A78" s="51" t="s">
        <v>20314</v>
      </c>
      <c r="B78" s="51" t="s">
        <v>140</v>
      </c>
      <c r="C78" s="55"/>
      <c r="D78" s="55"/>
      <c r="E78" s="56" t="s">
        <v>20314</v>
      </c>
      <c r="F78" s="55"/>
      <c r="G78" s="55" t="s">
        <v>20277</v>
      </c>
      <c r="H78" s="57" t="b">
        <v>0</v>
      </c>
    </row>
    <row r="79" spans="1:8" x14ac:dyDescent="0.25">
      <c r="A79" s="51" t="s">
        <v>20315</v>
      </c>
      <c r="B79" s="51" t="s">
        <v>68</v>
      </c>
      <c r="C79" s="55"/>
      <c r="D79" s="55"/>
      <c r="E79" s="56" t="s">
        <v>20315</v>
      </c>
      <c r="F79" s="55"/>
      <c r="G79" s="55" t="s">
        <v>20277</v>
      </c>
      <c r="H79" s="57" t="b">
        <v>0</v>
      </c>
    </row>
    <row r="80" spans="1:8" x14ac:dyDescent="0.25">
      <c r="A80" s="51" t="s">
        <v>20316</v>
      </c>
      <c r="B80" s="51" t="s">
        <v>141</v>
      </c>
      <c r="C80" s="52"/>
      <c r="D80" s="52"/>
      <c r="E80" s="53" t="s">
        <v>20316</v>
      </c>
      <c r="F80" s="52"/>
      <c r="G80" s="52" t="s">
        <v>20277</v>
      </c>
      <c r="H80" s="54" t="b">
        <v>0</v>
      </c>
    </row>
    <row r="81" spans="1:8" x14ac:dyDescent="0.25">
      <c r="A81" s="51" t="s">
        <v>20317</v>
      </c>
      <c r="B81" s="51" t="s">
        <v>142</v>
      </c>
      <c r="C81" s="55"/>
      <c r="D81" s="55"/>
      <c r="E81" s="56" t="s">
        <v>20317</v>
      </c>
      <c r="F81" s="55"/>
      <c r="G81" s="55" t="s">
        <v>20277</v>
      </c>
      <c r="H81" s="57" t="b">
        <v>0</v>
      </c>
    </row>
    <row r="82" spans="1:8" x14ac:dyDescent="0.25">
      <c r="A82" s="51" t="s">
        <v>20318</v>
      </c>
      <c r="B82" s="51" t="s">
        <v>143</v>
      </c>
      <c r="C82" s="55"/>
      <c r="D82" s="55"/>
      <c r="E82" s="56" t="s">
        <v>20318</v>
      </c>
      <c r="F82" s="55"/>
      <c r="G82" s="55" t="s">
        <v>20277</v>
      </c>
      <c r="H82" s="57" t="b">
        <v>0</v>
      </c>
    </row>
    <row r="83" spans="1:8" x14ac:dyDescent="0.25">
      <c r="A83" s="51" t="s">
        <v>20319</v>
      </c>
      <c r="B83" s="51" t="s">
        <v>144</v>
      </c>
      <c r="C83" s="55"/>
      <c r="D83" s="55"/>
      <c r="E83" s="56" t="s">
        <v>20319</v>
      </c>
      <c r="F83" s="55"/>
      <c r="G83" s="55" t="s">
        <v>20277</v>
      </c>
      <c r="H83" s="57" t="b">
        <v>0</v>
      </c>
    </row>
    <row r="84" spans="1:8" x14ac:dyDescent="0.25">
      <c r="A84" s="51" t="s">
        <v>20320</v>
      </c>
      <c r="B84" s="51" t="s">
        <v>145</v>
      </c>
      <c r="C84" s="52"/>
      <c r="D84" s="52"/>
      <c r="E84" s="53" t="s">
        <v>20320</v>
      </c>
      <c r="F84" s="52"/>
      <c r="G84" s="52" t="s">
        <v>20277</v>
      </c>
      <c r="H84" s="54" t="b">
        <v>0</v>
      </c>
    </row>
    <row r="85" spans="1:8" x14ac:dyDescent="0.25">
      <c r="A85" s="51" t="s">
        <v>20321</v>
      </c>
      <c r="B85" s="51" t="s">
        <v>146</v>
      </c>
      <c r="C85" s="55"/>
      <c r="D85" s="55"/>
      <c r="E85" s="56" t="s">
        <v>20321</v>
      </c>
      <c r="F85" s="55"/>
      <c r="G85" s="55" t="s">
        <v>20277</v>
      </c>
      <c r="H85" s="57" t="b">
        <v>0</v>
      </c>
    </row>
    <row r="86" spans="1:8" x14ac:dyDescent="0.25">
      <c r="A86" s="51" t="s">
        <v>20322</v>
      </c>
      <c r="B86" s="51" t="s">
        <v>69</v>
      </c>
      <c r="C86" s="52"/>
      <c r="D86" s="52"/>
      <c r="E86" s="53" t="s">
        <v>20322</v>
      </c>
      <c r="F86" s="52"/>
      <c r="G86" s="52" t="s">
        <v>20277</v>
      </c>
      <c r="H86" s="54" t="b">
        <v>0</v>
      </c>
    </row>
    <row r="87" spans="1:8" x14ac:dyDescent="0.25">
      <c r="A87" s="51" t="s">
        <v>20323</v>
      </c>
      <c r="B87" s="51" t="s">
        <v>147</v>
      </c>
      <c r="C87" s="52"/>
      <c r="D87" s="52"/>
      <c r="E87" s="53" t="s">
        <v>20323</v>
      </c>
      <c r="F87" s="52"/>
      <c r="G87" s="52" t="s">
        <v>20277</v>
      </c>
      <c r="H87" s="54" t="b">
        <v>0</v>
      </c>
    </row>
    <row r="88" spans="1:8" x14ac:dyDescent="0.25">
      <c r="A88" s="51" t="s">
        <v>20324</v>
      </c>
      <c r="B88" s="51" t="s">
        <v>148</v>
      </c>
      <c r="C88" s="55"/>
      <c r="D88" s="55"/>
      <c r="E88" s="56" t="s">
        <v>20324</v>
      </c>
      <c r="F88" s="55"/>
      <c r="G88" s="55" t="s">
        <v>20277</v>
      </c>
      <c r="H88" s="57" t="b">
        <v>0</v>
      </c>
    </row>
    <row r="89" spans="1:8" x14ac:dyDescent="0.25">
      <c r="A89" s="51" t="s">
        <v>20325</v>
      </c>
      <c r="B89" s="51" t="s">
        <v>70</v>
      </c>
      <c r="C89" s="55"/>
      <c r="D89" s="55"/>
      <c r="E89" s="56" t="s">
        <v>20325</v>
      </c>
      <c r="F89" s="55"/>
      <c r="G89" s="55" t="s">
        <v>20277</v>
      </c>
      <c r="H89" s="57" t="b">
        <v>0</v>
      </c>
    </row>
    <row r="90" spans="1:8" x14ac:dyDescent="0.25">
      <c r="A90" s="51" t="s">
        <v>20326</v>
      </c>
      <c r="B90" s="51" t="s">
        <v>71</v>
      </c>
      <c r="C90" s="55"/>
      <c r="D90" s="55"/>
      <c r="E90" s="56" t="s">
        <v>20326</v>
      </c>
      <c r="F90" s="55"/>
      <c r="G90" s="55" t="s">
        <v>20277</v>
      </c>
      <c r="H90" s="57" t="b">
        <v>0</v>
      </c>
    </row>
    <row r="91" spans="1:8" x14ac:dyDescent="0.25">
      <c r="A91" s="51" t="s">
        <v>20327</v>
      </c>
      <c r="B91" s="51" t="s">
        <v>149</v>
      </c>
      <c r="C91" s="52"/>
      <c r="D91" s="52"/>
      <c r="E91" s="53" t="s">
        <v>20327</v>
      </c>
      <c r="F91" s="52"/>
      <c r="G91" s="52" t="s">
        <v>20277</v>
      </c>
      <c r="H91" s="54" t="b">
        <v>0</v>
      </c>
    </row>
    <row r="92" spans="1:8" x14ac:dyDescent="0.25">
      <c r="A92" s="51" t="s">
        <v>20328</v>
      </c>
      <c r="B92" s="51" t="s">
        <v>150</v>
      </c>
      <c r="C92" s="52"/>
      <c r="D92" s="52"/>
      <c r="E92" s="53" t="s">
        <v>20328</v>
      </c>
      <c r="F92" s="52"/>
      <c r="G92" s="52" t="s">
        <v>20277</v>
      </c>
      <c r="H92" s="54" t="b">
        <v>0</v>
      </c>
    </row>
    <row r="93" spans="1:8" x14ac:dyDescent="0.25">
      <c r="A93" s="51" t="s">
        <v>20329</v>
      </c>
      <c r="B93" s="51" t="s">
        <v>72</v>
      </c>
      <c r="C93" s="52"/>
      <c r="D93" s="52"/>
      <c r="E93" s="53" t="s">
        <v>20329</v>
      </c>
      <c r="F93" s="52"/>
      <c r="G93" s="52" t="s">
        <v>20277</v>
      </c>
      <c r="H93" s="54" t="b">
        <v>0</v>
      </c>
    </row>
    <row r="94" spans="1:8" x14ac:dyDescent="0.25">
      <c r="A94" s="51" t="s">
        <v>20330</v>
      </c>
      <c r="B94" s="51" t="s">
        <v>73</v>
      </c>
      <c r="C94" s="52"/>
      <c r="D94" s="52"/>
      <c r="E94" s="53" t="s">
        <v>20330</v>
      </c>
      <c r="F94" s="52"/>
      <c r="G94" s="52" t="s">
        <v>20277</v>
      </c>
      <c r="H94" s="54" t="b">
        <v>0</v>
      </c>
    </row>
    <row r="95" spans="1:8" x14ac:dyDescent="0.25">
      <c r="A95" s="51" t="s">
        <v>20331</v>
      </c>
      <c r="B95" s="51" t="s">
        <v>151</v>
      </c>
      <c r="C95" s="52"/>
      <c r="D95" s="52"/>
      <c r="E95" s="53" t="s">
        <v>20331</v>
      </c>
      <c r="F95" s="52"/>
      <c r="G95" s="52" t="s">
        <v>20277</v>
      </c>
      <c r="H95" s="54" t="b">
        <v>0</v>
      </c>
    </row>
    <row r="96" spans="1:8" x14ac:dyDescent="0.25">
      <c r="A96" s="51" t="s">
        <v>20332</v>
      </c>
      <c r="B96" s="51" t="s">
        <v>74</v>
      </c>
      <c r="C96" s="52" t="s">
        <v>20333</v>
      </c>
      <c r="D96" s="52"/>
      <c r="E96" s="53" t="s">
        <v>20332</v>
      </c>
      <c r="F96" s="52"/>
      <c r="G96" s="52" t="s">
        <v>20277</v>
      </c>
      <c r="H96" s="54" t="b">
        <v>0</v>
      </c>
    </row>
    <row r="97" spans="1:8" x14ac:dyDescent="0.25">
      <c r="A97" s="51" t="s">
        <v>20334</v>
      </c>
      <c r="B97" s="51" t="s">
        <v>152</v>
      </c>
      <c r="C97" s="55"/>
      <c r="D97" s="55"/>
      <c r="E97" s="56" t="s">
        <v>20334</v>
      </c>
      <c r="F97" s="55"/>
      <c r="G97" s="55" t="s">
        <v>20277</v>
      </c>
      <c r="H97" s="57" t="b">
        <v>0</v>
      </c>
    </row>
    <row r="98" spans="1:8" x14ac:dyDescent="0.25">
      <c r="A98" s="51" t="s">
        <v>20335</v>
      </c>
      <c r="B98" s="51" t="s">
        <v>75</v>
      </c>
      <c r="C98" s="52"/>
      <c r="D98" s="52"/>
      <c r="E98" s="53" t="s">
        <v>20335</v>
      </c>
      <c r="F98" s="52"/>
      <c r="G98" s="52" t="s">
        <v>20277</v>
      </c>
      <c r="H98" s="54" t="b">
        <v>0</v>
      </c>
    </row>
    <row r="99" spans="1:8" x14ac:dyDescent="0.25">
      <c r="A99" s="51" t="s">
        <v>20336</v>
      </c>
      <c r="B99" s="51" t="s">
        <v>153</v>
      </c>
      <c r="C99" s="52"/>
      <c r="D99" s="52"/>
      <c r="E99" s="53" t="s">
        <v>20336</v>
      </c>
      <c r="F99" s="52"/>
      <c r="G99" s="52" t="s">
        <v>20277</v>
      </c>
      <c r="H99" s="54" t="b">
        <v>0</v>
      </c>
    </row>
    <row r="100" spans="1:8" x14ac:dyDescent="0.25">
      <c r="A100" s="51" t="s">
        <v>20337</v>
      </c>
      <c r="B100" s="51" t="s">
        <v>154</v>
      </c>
      <c r="C100" s="55"/>
      <c r="D100" s="55"/>
      <c r="E100" s="56" t="s">
        <v>20337</v>
      </c>
      <c r="F100" s="55"/>
      <c r="G100" s="55" t="s">
        <v>20277</v>
      </c>
      <c r="H100" s="57" t="b">
        <v>0</v>
      </c>
    </row>
    <row r="101" spans="1:8" x14ac:dyDescent="0.25">
      <c r="A101" s="51" t="s">
        <v>20338</v>
      </c>
      <c r="B101" s="51" t="s">
        <v>76</v>
      </c>
      <c r="C101" s="55"/>
      <c r="D101" s="55"/>
      <c r="E101" s="56" t="s">
        <v>20338</v>
      </c>
      <c r="F101" s="55"/>
      <c r="G101" s="55" t="s">
        <v>20277</v>
      </c>
      <c r="H101" s="57" t="b">
        <v>0</v>
      </c>
    </row>
    <row r="102" spans="1:8" x14ac:dyDescent="0.25">
      <c r="A102" s="51" t="s">
        <v>20339</v>
      </c>
      <c r="B102" s="51" t="s">
        <v>155</v>
      </c>
      <c r="C102" s="52"/>
      <c r="D102" s="52"/>
      <c r="E102" s="53" t="s">
        <v>20339</v>
      </c>
      <c r="F102" s="52"/>
      <c r="G102" s="52" t="s">
        <v>20277</v>
      </c>
      <c r="H102" s="54" t="b">
        <v>0</v>
      </c>
    </row>
    <row r="103" spans="1:8" x14ac:dyDescent="0.25">
      <c r="A103" s="51" t="s">
        <v>20340</v>
      </c>
      <c r="B103" s="51" t="s">
        <v>23</v>
      </c>
      <c r="C103" s="55"/>
      <c r="D103" s="55"/>
      <c r="E103" s="56" t="s">
        <v>20340</v>
      </c>
      <c r="F103" s="55"/>
      <c r="G103" s="55" t="s">
        <v>20277</v>
      </c>
      <c r="H103" s="57" t="b">
        <v>0</v>
      </c>
    </row>
    <row r="104" spans="1:8" x14ac:dyDescent="0.25">
      <c r="A104" s="51" t="s">
        <v>20341</v>
      </c>
      <c r="B104" s="51" t="s">
        <v>127</v>
      </c>
      <c r="C104" s="52"/>
      <c r="D104" s="52"/>
      <c r="E104" s="53" t="s">
        <v>20341</v>
      </c>
      <c r="F104" s="52"/>
      <c r="G104" s="52" t="s">
        <v>20277</v>
      </c>
      <c r="H104" s="54" t="b">
        <v>0</v>
      </c>
    </row>
    <row r="105" spans="1:8" x14ac:dyDescent="0.25">
      <c r="A105" s="51" t="s">
        <v>20342</v>
      </c>
      <c r="B105" s="51" t="s">
        <v>156</v>
      </c>
      <c r="C105" s="52"/>
      <c r="D105" s="52"/>
      <c r="E105" s="53" t="s">
        <v>20342</v>
      </c>
      <c r="F105" s="52"/>
      <c r="G105" s="52" t="s">
        <v>20277</v>
      </c>
      <c r="H105" s="54" t="b">
        <v>0</v>
      </c>
    </row>
    <row r="106" spans="1:8" x14ac:dyDescent="0.25">
      <c r="A106" s="51" t="s">
        <v>20343</v>
      </c>
      <c r="B106" s="51" t="s">
        <v>157</v>
      </c>
      <c r="C106" s="55" t="s">
        <v>20344</v>
      </c>
      <c r="D106" s="55"/>
      <c r="E106" s="56" t="s">
        <v>20343</v>
      </c>
      <c r="F106" s="55"/>
      <c r="G106" s="55" t="s">
        <v>20277</v>
      </c>
      <c r="H106" s="57" t="b">
        <v>0</v>
      </c>
    </row>
    <row r="107" spans="1:8" x14ac:dyDescent="0.25">
      <c r="A107" s="51" t="s">
        <v>20345</v>
      </c>
      <c r="B107" s="51" t="s">
        <v>77</v>
      </c>
      <c r="C107" s="52"/>
      <c r="D107" s="52"/>
      <c r="E107" s="53" t="s">
        <v>20345</v>
      </c>
      <c r="F107" s="52"/>
      <c r="G107" s="52" t="s">
        <v>20277</v>
      </c>
      <c r="H107" s="54" t="b">
        <v>0</v>
      </c>
    </row>
    <row r="108" spans="1:8" x14ac:dyDescent="0.25">
      <c r="A108" s="51" t="s">
        <v>20346</v>
      </c>
      <c r="B108" s="51" t="s">
        <v>158</v>
      </c>
      <c r="C108" s="55" t="s">
        <v>20347</v>
      </c>
      <c r="D108" s="55"/>
      <c r="E108" s="56" t="s">
        <v>20346</v>
      </c>
      <c r="F108" s="55"/>
      <c r="G108" s="55" t="s">
        <v>20277</v>
      </c>
      <c r="H108" s="57" t="b">
        <v>0</v>
      </c>
    </row>
    <row r="109" spans="1:8" x14ac:dyDescent="0.25">
      <c r="A109" s="51" t="s">
        <v>20348</v>
      </c>
      <c r="B109" s="51" t="s">
        <v>159</v>
      </c>
      <c r="C109" s="52" t="s">
        <v>20349</v>
      </c>
      <c r="D109" s="52"/>
      <c r="E109" s="53" t="s">
        <v>20348</v>
      </c>
      <c r="F109" s="52"/>
      <c r="G109" s="52" t="s">
        <v>20277</v>
      </c>
      <c r="H109" s="54" t="b">
        <v>0</v>
      </c>
    </row>
    <row r="110" spans="1:8" x14ac:dyDescent="0.25">
      <c r="A110" s="51" t="s">
        <v>20350</v>
      </c>
      <c r="B110" s="51" t="s">
        <v>78</v>
      </c>
      <c r="C110" s="52"/>
      <c r="D110" s="52"/>
      <c r="E110" s="53" t="s">
        <v>20350</v>
      </c>
      <c r="F110" s="52"/>
      <c r="G110" s="52" t="s">
        <v>20277</v>
      </c>
      <c r="H110" s="54" t="b">
        <v>0</v>
      </c>
    </row>
    <row r="111" spans="1:8" x14ac:dyDescent="0.25">
      <c r="A111" s="51" t="s">
        <v>20351</v>
      </c>
      <c r="B111" s="51" t="s">
        <v>79</v>
      </c>
      <c r="C111" s="52"/>
      <c r="D111" s="52"/>
      <c r="E111" s="53" t="s">
        <v>20351</v>
      </c>
      <c r="F111" s="52"/>
      <c r="G111" s="52" t="s">
        <v>20277</v>
      </c>
      <c r="H111" s="54" t="b">
        <v>0</v>
      </c>
    </row>
    <row r="112" spans="1:8" x14ac:dyDescent="0.25">
      <c r="A112" s="51" t="s">
        <v>20352</v>
      </c>
      <c r="B112" s="51" t="s">
        <v>160</v>
      </c>
      <c r="C112" s="55"/>
      <c r="D112" s="55"/>
      <c r="E112" s="56" t="s">
        <v>20352</v>
      </c>
      <c r="F112" s="55"/>
      <c r="G112" s="55" t="s">
        <v>20277</v>
      </c>
      <c r="H112" s="57" t="b">
        <v>0</v>
      </c>
    </row>
    <row r="113" spans="1:8" x14ac:dyDescent="0.25">
      <c r="A113" s="51" t="s">
        <v>20353</v>
      </c>
      <c r="B113" s="51" t="s">
        <v>161</v>
      </c>
      <c r="C113" s="55"/>
      <c r="D113" s="55"/>
      <c r="E113" s="56" t="s">
        <v>20353</v>
      </c>
      <c r="F113" s="55"/>
      <c r="G113" s="55" t="s">
        <v>20277</v>
      </c>
      <c r="H113" s="57" t="b">
        <v>0</v>
      </c>
    </row>
    <row r="114" spans="1:8" x14ac:dyDescent="0.25">
      <c r="A114" s="51" t="s">
        <v>20354</v>
      </c>
      <c r="B114" s="51" t="s">
        <v>162</v>
      </c>
      <c r="C114" s="55"/>
      <c r="D114" s="55"/>
      <c r="E114" s="56" t="s">
        <v>20354</v>
      </c>
      <c r="F114" s="55"/>
      <c r="G114" s="55" t="s">
        <v>20277</v>
      </c>
      <c r="H114" s="57" t="b">
        <v>0</v>
      </c>
    </row>
    <row r="115" spans="1:8" x14ac:dyDescent="0.25">
      <c r="A115" s="51" t="s">
        <v>20355</v>
      </c>
      <c r="B115" s="51" t="s">
        <v>163</v>
      </c>
      <c r="C115" s="52"/>
      <c r="D115" s="52"/>
      <c r="E115" s="53" t="s">
        <v>20355</v>
      </c>
      <c r="F115" s="52"/>
      <c r="G115" s="52" t="s">
        <v>20277</v>
      </c>
      <c r="H115" s="54" t="b">
        <v>0</v>
      </c>
    </row>
    <row r="116" spans="1:8" x14ac:dyDescent="0.25">
      <c r="A116" s="51" t="s">
        <v>20356</v>
      </c>
      <c r="B116" s="51" t="s">
        <v>164</v>
      </c>
      <c r="C116" s="52" t="s">
        <v>20357</v>
      </c>
      <c r="D116" s="52"/>
      <c r="E116" s="53" t="s">
        <v>20356</v>
      </c>
      <c r="F116" s="52"/>
      <c r="G116" s="52" t="s">
        <v>20277</v>
      </c>
      <c r="H116" s="54" t="b">
        <v>0</v>
      </c>
    </row>
    <row r="117" spans="1:8" x14ac:dyDescent="0.25">
      <c r="A117" s="51" t="s">
        <v>20358</v>
      </c>
      <c r="B117" s="51" t="s">
        <v>165</v>
      </c>
      <c r="C117" s="52"/>
      <c r="D117" s="52"/>
      <c r="E117" s="53" t="s">
        <v>20358</v>
      </c>
      <c r="F117" s="52"/>
      <c r="G117" s="52" t="s">
        <v>20277</v>
      </c>
      <c r="H117" s="54" t="b">
        <v>0</v>
      </c>
    </row>
    <row r="118" spans="1:8" x14ac:dyDescent="0.25">
      <c r="A118" s="51" t="s">
        <v>20359</v>
      </c>
      <c r="B118" s="51" t="s">
        <v>166</v>
      </c>
      <c r="C118" s="52" t="s">
        <v>20360</v>
      </c>
      <c r="D118" s="52"/>
      <c r="E118" s="53" t="s">
        <v>20359</v>
      </c>
      <c r="F118" s="52"/>
      <c r="G118" s="52" t="s">
        <v>20277</v>
      </c>
      <c r="H118" s="54" t="b">
        <v>0</v>
      </c>
    </row>
    <row r="119" spans="1:8" x14ac:dyDescent="0.25">
      <c r="A119" s="51" t="s">
        <v>20361</v>
      </c>
      <c r="B119" s="51" t="s">
        <v>167</v>
      </c>
      <c r="C119" s="55"/>
      <c r="D119" s="55"/>
      <c r="E119" s="56" t="s">
        <v>20361</v>
      </c>
      <c r="F119" s="55"/>
      <c r="G119" s="55" t="s">
        <v>20277</v>
      </c>
      <c r="H119" s="57" t="b">
        <v>0</v>
      </c>
    </row>
    <row r="120" spans="1:8" x14ac:dyDescent="0.25">
      <c r="A120" s="51" t="s">
        <v>20362</v>
      </c>
      <c r="B120" s="51" t="s">
        <v>80</v>
      </c>
      <c r="C120" s="55"/>
      <c r="D120" s="55"/>
      <c r="E120" s="56" t="s">
        <v>20362</v>
      </c>
      <c r="F120" s="55"/>
      <c r="G120" s="55" t="s">
        <v>20277</v>
      </c>
      <c r="H120" s="57" t="b">
        <v>0</v>
      </c>
    </row>
    <row r="121" spans="1:8" x14ac:dyDescent="0.25">
      <c r="A121" s="51" t="s">
        <v>20363</v>
      </c>
      <c r="B121" s="51" t="s">
        <v>168</v>
      </c>
      <c r="C121" s="55"/>
      <c r="D121" s="55"/>
      <c r="E121" s="56" t="s">
        <v>20363</v>
      </c>
      <c r="F121" s="55"/>
      <c r="G121" s="55" t="s">
        <v>20277</v>
      </c>
      <c r="H121" s="57" t="b">
        <v>0</v>
      </c>
    </row>
    <row r="122" spans="1:8" x14ac:dyDescent="0.25">
      <c r="A122" s="51" t="s">
        <v>20364</v>
      </c>
      <c r="B122" s="51" t="s">
        <v>169</v>
      </c>
      <c r="C122" s="55"/>
      <c r="D122" s="55"/>
      <c r="E122" s="56" t="s">
        <v>20364</v>
      </c>
      <c r="F122" s="55"/>
      <c r="G122" s="55" t="s">
        <v>20277</v>
      </c>
      <c r="H122" s="57" t="b">
        <v>0</v>
      </c>
    </row>
    <row r="123" spans="1:8" x14ac:dyDescent="0.25">
      <c r="A123" s="51" t="s">
        <v>20365</v>
      </c>
      <c r="B123" s="51" t="s">
        <v>81</v>
      </c>
      <c r="C123" s="55" t="s">
        <v>20366</v>
      </c>
      <c r="D123" s="55"/>
      <c r="E123" s="56" t="s">
        <v>20365</v>
      </c>
      <c r="F123" s="55"/>
      <c r="G123" s="55" t="s">
        <v>20277</v>
      </c>
      <c r="H123" s="57" t="b">
        <v>0</v>
      </c>
    </row>
    <row r="124" spans="1:8" x14ac:dyDescent="0.25">
      <c r="A124" s="51" t="s">
        <v>20367</v>
      </c>
      <c r="B124" s="51" t="s">
        <v>170</v>
      </c>
      <c r="C124" s="52"/>
      <c r="D124" s="52"/>
      <c r="E124" s="53" t="s">
        <v>20367</v>
      </c>
      <c r="F124" s="52"/>
      <c r="G124" s="52" t="s">
        <v>20277</v>
      </c>
      <c r="H124" s="54" t="b">
        <v>0</v>
      </c>
    </row>
    <row r="125" spans="1:8" x14ac:dyDescent="0.25">
      <c r="A125" s="51" t="s">
        <v>20368</v>
      </c>
      <c r="B125" s="51" t="s">
        <v>171</v>
      </c>
      <c r="C125" s="55" t="s">
        <v>20369</v>
      </c>
      <c r="D125" s="55"/>
      <c r="E125" s="56" t="s">
        <v>20368</v>
      </c>
      <c r="F125" s="55"/>
      <c r="G125" s="55" t="s">
        <v>20277</v>
      </c>
      <c r="H125" s="57" t="b">
        <v>0</v>
      </c>
    </row>
    <row r="126" spans="1:8" x14ac:dyDescent="0.25">
      <c r="A126" s="51" t="s">
        <v>20370</v>
      </c>
      <c r="B126" s="51" t="s">
        <v>172</v>
      </c>
      <c r="C126" s="52" t="s">
        <v>20371</v>
      </c>
      <c r="D126" s="52"/>
      <c r="E126" s="53" t="s">
        <v>20370</v>
      </c>
      <c r="F126" s="52"/>
      <c r="G126" s="52" t="s">
        <v>20277</v>
      </c>
      <c r="H126" s="54" t="b">
        <v>0</v>
      </c>
    </row>
    <row r="127" spans="1:8" x14ac:dyDescent="0.25">
      <c r="A127" s="51" t="s">
        <v>20372</v>
      </c>
      <c r="B127" s="51" t="s">
        <v>82</v>
      </c>
      <c r="C127" s="55"/>
      <c r="D127" s="55"/>
      <c r="E127" s="56" t="s">
        <v>20372</v>
      </c>
      <c r="F127" s="55"/>
      <c r="G127" s="55" t="s">
        <v>20277</v>
      </c>
      <c r="H127" s="57" t="b">
        <v>0</v>
      </c>
    </row>
    <row r="128" spans="1:8" x14ac:dyDescent="0.25">
      <c r="A128" s="51" t="s">
        <v>20373</v>
      </c>
      <c r="B128" s="51" t="s">
        <v>173</v>
      </c>
      <c r="C128" s="55" t="s">
        <v>20374</v>
      </c>
      <c r="D128" s="55"/>
      <c r="E128" s="56" t="s">
        <v>20373</v>
      </c>
      <c r="F128" s="55"/>
      <c r="G128" s="55" t="s">
        <v>20277</v>
      </c>
      <c r="H128" s="57" t="b">
        <v>0</v>
      </c>
    </row>
    <row r="129" spans="1:8" x14ac:dyDescent="0.25">
      <c r="A129" s="51" t="s">
        <v>20375</v>
      </c>
      <c r="B129" s="51" t="s">
        <v>83</v>
      </c>
      <c r="C129" s="55"/>
      <c r="D129" s="55"/>
      <c r="E129" s="56" t="s">
        <v>20375</v>
      </c>
      <c r="F129" s="55"/>
      <c r="G129" s="55" t="s">
        <v>20277</v>
      </c>
      <c r="H129" s="57" t="b">
        <v>0</v>
      </c>
    </row>
    <row r="130" spans="1:8" x14ac:dyDescent="0.25">
      <c r="A130" s="51" t="s">
        <v>20376</v>
      </c>
      <c r="B130" s="51" t="s">
        <v>84</v>
      </c>
      <c r="C130" s="55"/>
      <c r="D130" s="55"/>
      <c r="E130" s="56" t="s">
        <v>20376</v>
      </c>
      <c r="F130" s="55"/>
      <c r="G130" s="55" t="s">
        <v>20277</v>
      </c>
      <c r="H130" s="57" t="b">
        <v>0</v>
      </c>
    </row>
    <row r="131" spans="1:8" x14ac:dyDescent="0.25">
      <c r="A131" s="51" t="s">
        <v>20377</v>
      </c>
      <c r="B131" s="51" t="s">
        <v>85</v>
      </c>
      <c r="C131" s="52"/>
      <c r="D131" s="52"/>
      <c r="E131" s="53" t="s">
        <v>20377</v>
      </c>
      <c r="F131" s="52"/>
      <c r="G131" s="52" t="s">
        <v>20277</v>
      </c>
      <c r="H131" s="54" t="b">
        <v>0</v>
      </c>
    </row>
    <row r="132" spans="1:8" x14ac:dyDescent="0.25">
      <c r="A132" s="51" t="s">
        <v>20378</v>
      </c>
      <c r="B132" s="51" t="s">
        <v>174</v>
      </c>
      <c r="C132" s="55"/>
      <c r="D132" s="55"/>
      <c r="E132" s="56" t="s">
        <v>20378</v>
      </c>
      <c r="F132" s="55"/>
      <c r="G132" s="55" t="s">
        <v>20277</v>
      </c>
      <c r="H132" s="57" t="b">
        <v>0</v>
      </c>
    </row>
    <row r="133" spans="1:8" x14ac:dyDescent="0.25">
      <c r="A133" s="51" t="s">
        <v>20379</v>
      </c>
      <c r="B133" s="51" t="s">
        <v>175</v>
      </c>
      <c r="C133" s="52"/>
      <c r="D133" s="52"/>
      <c r="E133" s="53" t="s">
        <v>20379</v>
      </c>
      <c r="F133" s="52"/>
      <c r="G133" s="52" t="s">
        <v>20277</v>
      </c>
      <c r="H133" s="54" t="b">
        <v>0</v>
      </c>
    </row>
    <row r="134" spans="1:8" x14ac:dyDescent="0.25">
      <c r="A134" s="51" t="s">
        <v>20380</v>
      </c>
      <c r="B134" s="51" t="s">
        <v>176</v>
      </c>
      <c r="C134" s="55"/>
      <c r="D134" s="55"/>
      <c r="E134" s="56" t="s">
        <v>20380</v>
      </c>
      <c r="F134" s="55"/>
      <c r="G134" s="55" t="s">
        <v>20277</v>
      </c>
      <c r="H134" s="57" t="b">
        <v>0</v>
      </c>
    </row>
    <row r="135" spans="1:8" x14ac:dyDescent="0.25">
      <c r="A135" s="51" t="s">
        <v>20381</v>
      </c>
      <c r="B135" s="51" t="s">
        <v>86</v>
      </c>
      <c r="C135" s="52"/>
      <c r="D135" s="52"/>
      <c r="E135" s="53" t="s">
        <v>20381</v>
      </c>
      <c r="F135" s="52"/>
      <c r="G135" s="52" t="s">
        <v>20277</v>
      </c>
      <c r="H135" s="54" t="b">
        <v>0</v>
      </c>
    </row>
    <row r="136" spans="1:8" x14ac:dyDescent="0.25">
      <c r="A136" s="51" t="s">
        <v>20382</v>
      </c>
      <c r="B136" s="51" t="s">
        <v>177</v>
      </c>
      <c r="C136" s="55" t="s">
        <v>20383</v>
      </c>
      <c r="D136" s="55"/>
      <c r="E136" s="56" t="s">
        <v>20382</v>
      </c>
      <c r="F136" s="55"/>
      <c r="G136" s="55" t="s">
        <v>20277</v>
      </c>
      <c r="H136" s="57" t="b">
        <v>0</v>
      </c>
    </row>
    <row r="137" spans="1:8" x14ac:dyDescent="0.25">
      <c r="A137" s="51" t="s">
        <v>20384</v>
      </c>
      <c r="B137" s="51" t="s">
        <v>87</v>
      </c>
      <c r="C137" s="55"/>
      <c r="D137" s="55"/>
      <c r="E137" s="56" t="s">
        <v>20384</v>
      </c>
      <c r="F137" s="55"/>
      <c r="G137" s="55" t="s">
        <v>20277</v>
      </c>
      <c r="H137" s="57" t="b">
        <v>0</v>
      </c>
    </row>
    <row r="138" spans="1:8" x14ac:dyDescent="0.25">
      <c r="A138" s="51" t="s">
        <v>20385</v>
      </c>
      <c r="B138" s="51" t="s">
        <v>178</v>
      </c>
      <c r="C138" s="52"/>
      <c r="D138" s="52"/>
      <c r="E138" s="53" t="s">
        <v>20385</v>
      </c>
      <c r="F138" s="52"/>
      <c r="G138" s="52" t="s">
        <v>20277</v>
      </c>
      <c r="H138" s="54" t="b">
        <v>0</v>
      </c>
    </row>
    <row r="139" spans="1:8" x14ac:dyDescent="0.25">
      <c r="A139" s="51" t="s">
        <v>20386</v>
      </c>
      <c r="B139" s="51" t="s">
        <v>88</v>
      </c>
      <c r="C139" s="55"/>
      <c r="D139" s="55"/>
      <c r="E139" s="56" t="s">
        <v>20386</v>
      </c>
      <c r="F139" s="55"/>
      <c r="G139" s="55" t="s">
        <v>20277</v>
      </c>
      <c r="H139" s="57" t="b">
        <v>0</v>
      </c>
    </row>
    <row r="140" spans="1:8" x14ac:dyDescent="0.25">
      <c r="A140" s="51" t="s">
        <v>20387</v>
      </c>
      <c r="B140" s="51" t="s">
        <v>179</v>
      </c>
      <c r="C140" s="55"/>
      <c r="D140" s="55"/>
      <c r="E140" s="56" t="s">
        <v>20387</v>
      </c>
      <c r="F140" s="55"/>
      <c r="G140" s="55" t="s">
        <v>20277</v>
      </c>
      <c r="H140" s="57" t="b">
        <v>0</v>
      </c>
    </row>
    <row r="141" spans="1:8" x14ac:dyDescent="0.25">
      <c r="A141" s="51" t="s">
        <v>20388</v>
      </c>
      <c r="B141" s="51" t="s">
        <v>180</v>
      </c>
      <c r="C141" s="52"/>
      <c r="D141" s="52"/>
      <c r="E141" s="53" t="s">
        <v>20388</v>
      </c>
      <c r="F141" s="52"/>
      <c r="G141" s="52" t="s">
        <v>20277</v>
      </c>
      <c r="H141" s="54" t="b">
        <v>0</v>
      </c>
    </row>
    <row r="142" spans="1:8" x14ac:dyDescent="0.25">
      <c r="A142" s="51" t="s">
        <v>20389</v>
      </c>
      <c r="B142" s="51" t="s">
        <v>181</v>
      </c>
      <c r="C142" s="52"/>
      <c r="D142" s="52"/>
      <c r="E142" s="53" t="s">
        <v>20389</v>
      </c>
      <c r="F142" s="52"/>
      <c r="G142" s="52" t="s">
        <v>20277</v>
      </c>
      <c r="H142" s="54" t="b">
        <v>0</v>
      </c>
    </row>
    <row r="143" spans="1:8" x14ac:dyDescent="0.25">
      <c r="A143" s="51" t="s">
        <v>20390</v>
      </c>
      <c r="B143" s="51" t="s">
        <v>182</v>
      </c>
      <c r="C143" s="52"/>
      <c r="D143" s="52"/>
      <c r="E143" s="53" t="s">
        <v>20390</v>
      </c>
      <c r="F143" s="52"/>
      <c r="G143" s="52" t="s">
        <v>20277</v>
      </c>
      <c r="H143" s="54" t="b">
        <v>0</v>
      </c>
    </row>
    <row r="144" spans="1:8" x14ac:dyDescent="0.25">
      <c r="A144" s="51" t="s">
        <v>20391</v>
      </c>
      <c r="B144" s="51" t="s">
        <v>183</v>
      </c>
      <c r="C144" s="55"/>
      <c r="D144" s="55"/>
      <c r="E144" s="56" t="s">
        <v>20391</v>
      </c>
      <c r="F144" s="55"/>
      <c r="G144" s="55" t="s">
        <v>20277</v>
      </c>
      <c r="H144" s="57" t="b">
        <v>0</v>
      </c>
    </row>
    <row r="145" spans="1:8" x14ac:dyDescent="0.25">
      <c r="A145" s="51" t="s">
        <v>20392</v>
      </c>
      <c r="B145" s="51" t="s">
        <v>184</v>
      </c>
      <c r="C145" s="55"/>
      <c r="D145" s="55"/>
      <c r="E145" s="56" t="s">
        <v>20392</v>
      </c>
      <c r="F145" s="55"/>
      <c r="G145" s="55" t="s">
        <v>20277</v>
      </c>
      <c r="H145" s="57" t="b">
        <v>0</v>
      </c>
    </row>
    <row r="146" spans="1:8" x14ac:dyDescent="0.25">
      <c r="A146" s="51" t="s">
        <v>20393</v>
      </c>
      <c r="B146" s="51" t="s">
        <v>185</v>
      </c>
      <c r="C146" s="55"/>
      <c r="D146" s="55"/>
      <c r="E146" s="56" t="s">
        <v>20393</v>
      </c>
      <c r="F146" s="55"/>
      <c r="G146" s="55" t="s">
        <v>20277</v>
      </c>
      <c r="H146" s="57" t="b">
        <v>0</v>
      </c>
    </row>
    <row r="147" spans="1:8" x14ac:dyDescent="0.25">
      <c r="A147" s="51" t="s">
        <v>20394</v>
      </c>
      <c r="B147" s="51" t="s">
        <v>186</v>
      </c>
      <c r="C147" s="52" t="s">
        <v>20395</v>
      </c>
      <c r="D147" s="52"/>
      <c r="E147" s="53" t="s">
        <v>20394</v>
      </c>
      <c r="F147" s="52"/>
      <c r="G147" s="52" t="s">
        <v>20277</v>
      </c>
      <c r="H147" s="54" t="b">
        <v>0</v>
      </c>
    </row>
    <row r="148" spans="1:8" x14ac:dyDescent="0.25">
      <c r="A148" s="51" t="s">
        <v>20396</v>
      </c>
      <c r="B148" s="51" t="s">
        <v>187</v>
      </c>
      <c r="C148" s="52"/>
      <c r="D148" s="52"/>
      <c r="E148" s="53" t="s">
        <v>20396</v>
      </c>
      <c r="F148" s="52"/>
      <c r="G148" s="52" t="s">
        <v>20277</v>
      </c>
      <c r="H148" s="54" t="b">
        <v>0</v>
      </c>
    </row>
    <row r="149" spans="1:8" x14ac:dyDescent="0.25">
      <c r="A149" s="51" t="s">
        <v>20397</v>
      </c>
      <c r="B149" s="51" t="s">
        <v>188</v>
      </c>
      <c r="C149" s="55"/>
      <c r="D149" s="55"/>
      <c r="E149" s="56" t="s">
        <v>20397</v>
      </c>
      <c r="F149" s="55"/>
      <c r="G149" s="55" t="s">
        <v>20277</v>
      </c>
      <c r="H149" s="57" t="b">
        <v>0</v>
      </c>
    </row>
    <row r="150" spans="1:8" x14ac:dyDescent="0.25">
      <c r="A150" s="51" t="s">
        <v>20398</v>
      </c>
      <c r="B150" s="51" t="s">
        <v>189</v>
      </c>
      <c r="C150" s="55"/>
      <c r="D150" s="55"/>
      <c r="E150" s="56" t="s">
        <v>20398</v>
      </c>
      <c r="F150" s="55"/>
      <c r="G150" s="55" t="s">
        <v>20277</v>
      </c>
      <c r="H150" s="57" t="b">
        <v>0</v>
      </c>
    </row>
    <row r="151" spans="1:8" x14ac:dyDescent="0.25">
      <c r="A151" s="51" t="s">
        <v>20399</v>
      </c>
      <c r="B151" s="51" t="s">
        <v>190</v>
      </c>
      <c r="C151" s="55" t="s">
        <v>20400</v>
      </c>
      <c r="D151" s="55"/>
      <c r="E151" s="56" t="s">
        <v>20399</v>
      </c>
      <c r="F151" s="55"/>
      <c r="G151" s="55" t="s">
        <v>20277</v>
      </c>
      <c r="H151" s="57" t="b">
        <v>0</v>
      </c>
    </row>
    <row r="152" spans="1:8" x14ac:dyDescent="0.25">
      <c r="A152" s="51" t="s">
        <v>20401</v>
      </c>
      <c r="B152" s="51" t="s">
        <v>191</v>
      </c>
      <c r="C152" s="55"/>
      <c r="D152" s="55"/>
      <c r="E152" s="56" t="s">
        <v>20401</v>
      </c>
      <c r="F152" s="55"/>
      <c r="G152" s="55" t="s">
        <v>20277</v>
      </c>
      <c r="H152" s="57" t="b">
        <v>0</v>
      </c>
    </row>
    <row r="153" spans="1:8" x14ac:dyDescent="0.25">
      <c r="A153" s="51" t="s">
        <v>20402</v>
      </c>
      <c r="B153" s="51" t="s">
        <v>192</v>
      </c>
      <c r="C153" s="55"/>
      <c r="D153" s="55"/>
      <c r="E153" s="56" t="s">
        <v>20402</v>
      </c>
      <c r="F153" s="55"/>
      <c r="G153" s="55" t="s">
        <v>20277</v>
      </c>
      <c r="H153" s="57" t="b">
        <v>0</v>
      </c>
    </row>
    <row r="154" spans="1:8" x14ac:dyDescent="0.25">
      <c r="A154" s="51" t="s">
        <v>20403</v>
      </c>
      <c r="B154" s="51" t="s">
        <v>193</v>
      </c>
      <c r="C154" s="52"/>
      <c r="D154" s="52"/>
      <c r="E154" s="53" t="s">
        <v>20403</v>
      </c>
      <c r="F154" s="52"/>
      <c r="G154" s="52" t="s">
        <v>20277</v>
      </c>
      <c r="H154" s="54" t="b">
        <v>0</v>
      </c>
    </row>
    <row r="155" spans="1:8" x14ac:dyDescent="0.25">
      <c r="A155" s="51" t="s">
        <v>20404</v>
      </c>
      <c r="B155" s="51" t="s">
        <v>89</v>
      </c>
      <c r="C155" s="52"/>
      <c r="D155" s="52"/>
      <c r="E155" s="53" t="s">
        <v>20404</v>
      </c>
      <c r="F155" s="52"/>
      <c r="G155" s="52" t="s">
        <v>20277</v>
      </c>
      <c r="H155" s="54" t="b">
        <v>0</v>
      </c>
    </row>
    <row r="156" spans="1:8" x14ac:dyDescent="0.25">
      <c r="A156" s="51" t="s">
        <v>20405</v>
      </c>
      <c r="B156" s="51" t="s">
        <v>90</v>
      </c>
      <c r="C156" s="52"/>
      <c r="D156" s="52"/>
      <c r="E156" s="53" t="s">
        <v>20405</v>
      </c>
      <c r="F156" s="52"/>
      <c r="G156" s="52" t="s">
        <v>20277</v>
      </c>
      <c r="H156" s="54" t="b">
        <v>0</v>
      </c>
    </row>
    <row r="157" spans="1:8" x14ac:dyDescent="0.25">
      <c r="A157" s="51" t="s">
        <v>20406</v>
      </c>
      <c r="B157" s="51" t="s">
        <v>194</v>
      </c>
      <c r="C157" s="52"/>
      <c r="D157" s="52"/>
      <c r="E157" s="53" t="s">
        <v>20406</v>
      </c>
      <c r="F157" s="52"/>
      <c r="G157" s="52" t="s">
        <v>20277</v>
      </c>
      <c r="H157" s="54" t="b">
        <v>0</v>
      </c>
    </row>
    <row r="158" spans="1:8" x14ac:dyDescent="0.25">
      <c r="A158" s="51" t="s">
        <v>20407</v>
      </c>
      <c r="B158" s="51" t="s">
        <v>195</v>
      </c>
      <c r="C158" s="55" t="s">
        <v>20408</v>
      </c>
      <c r="D158" s="55"/>
      <c r="E158" s="56" t="s">
        <v>20407</v>
      </c>
      <c r="F158" s="55"/>
      <c r="G158" s="55" t="s">
        <v>20277</v>
      </c>
      <c r="H158" s="57" t="b">
        <v>0</v>
      </c>
    </row>
    <row r="159" spans="1:8" x14ac:dyDescent="0.25">
      <c r="A159" s="51" t="s">
        <v>20409</v>
      </c>
      <c r="B159" s="51" t="s">
        <v>196</v>
      </c>
      <c r="C159" s="52"/>
      <c r="D159" s="52"/>
      <c r="E159" s="53" t="s">
        <v>20409</v>
      </c>
      <c r="F159" s="52"/>
      <c r="G159" s="52" t="s">
        <v>20277</v>
      </c>
      <c r="H159" s="54" t="b">
        <v>0</v>
      </c>
    </row>
    <row r="160" spans="1:8" x14ac:dyDescent="0.25">
      <c r="A160" s="51" t="s">
        <v>20410</v>
      </c>
      <c r="B160" s="51" t="s">
        <v>197</v>
      </c>
      <c r="C160" s="55"/>
      <c r="D160" s="55"/>
      <c r="E160" s="56" t="s">
        <v>20410</v>
      </c>
      <c r="F160" s="55"/>
      <c r="G160" s="55" t="s">
        <v>20277</v>
      </c>
      <c r="H160" s="57" t="b">
        <v>0</v>
      </c>
    </row>
    <row r="161" spans="1:8" x14ac:dyDescent="0.25">
      <c r="A161" s="51" t="s">
        <v>20411</v>
      </c>
      <c r="B161" s="51" t="s">
        <v>91</v>
      </c>
      <c r="C161" s="52"/>
      <c r="D161" s="52"/>
      <c r="E161" s="53" t="s">
        <v>20411</v>
      </c>
      <c r="F161" s="52"/>
      <c r="G161" s="52" t="s">
        <v>20277</v>
      </c>
      <c r="H161" s="54" t="b">
        <v>0</v>
      </c>
    </row>
    <row r="162" spans="1:8" x14ac:dyDescent="0.25">
      <c r="A162" s="51" t="s">
        <v>20412</v>
      </c>
      <c r="B162" s="51" t="s">
        <v>198</v>
      </c>
      <c r="C162" s="55"/>
      <c r="D162" s="55"/>
      <c r="E162" s="56" t="s">
        <v>20412</v>
      </c>
      <c r="F162" s="55"/>
      <c r="G162" s="55" t="s">
        <v>20277</v>
      </c>
      <c r="H162" s="57" t="b">
        <v>0</v>
      </c>
    </row>
    <row r="163" spans="1:8" x14ac:dyDescent="0.25">
      <c r="A163" s="51" t="s">
        <v>20413</v>
      </c>
      <c r="B163" s="51" t="s">
        <v>199</v>
      </c>
      <c r="C163" s="55"/>
      <c r="D163" s="55"/>
      <c r="E163" s="56" t="s">
        <v>20413</v>
      </c>
      <c r="F163" s="55"/>
      <c r="G163" s="55" t="s">
        <v>20277</v>
      </c>
      <c r="H163" s="57" t="b">
        <v>0</v>
      </c>
    </row>
    <row r="164" spans="1:8" x14ac:dyDescent="0.25">
      <c r="A164" s="51" t="s">
        <v>20414</v>
      </c>
      <c r="B164" s="51" t="s">
        <v>200</v>
      </c>
      <c r="C164" s="52"/>
      <c r="D164" s="52"/>
      <c r="E164" s="53" t="s">
        <v>20414</v>
      </c>
      <c r="F164" s="52"/>
      <c r="G164" s="52" t="s">
        <v>20277</v>
      </c>
      <c r="H164" s="54" t="b">
        <v>0</v>
      </c>
    </row>
    <row r="165" spans="1:8" x14ac:dyDescent="0.25">
      <c r="A165" s="51" t="s">
        <v>20415</v>
      </c>
      <c r="B165" s="51" t="s">
        <v>201</v>
      </c>
      <c r="C165" s="55"/>
      <c r="D165" s="55"/>
      <c r="E165" s="56" t="s">
        <v>20415</v>
      </c>
      <c r="F165" s="55"/>
      <c r="G165" s="55" t="s">
        <v>20277</v>
      </c>
      <c r="H165" s="57" t="b">
        <v>0</v>
      </c>
    </row>
    <row r="166" spans="1:8" x14ac:dyDescent="0.25">
      <c r="A166" s="51" t="s">
        <v>20416</v>
      </c>
      <c r="B166" s="51" t="s">
        <v>202</v>
      </c>
      <c r="C166" s="52"/>
      <c r="D166" s="52"/>
      <c r="E166" s="53" t="s">
        <v>20416</v>
      </c>
      <c r="F166" s="52"/>
      <c r="G166" s="52" t="s">
        <v>20277</v>
      </c>
      <c r="H166" s="54" t="b">
        <v>0</v>
      </c>
    </row>
    <row r="167" spans="1:8" x14ac:dyDescent="0.25">
      <c r="A167" s="51" t="s">
        <v>20417</v>
      </c>
      <c r="B167" s="51" t="s">
        <v>203</v>
      </c>
      <c r="C167" s="52"/>
      <c r="D167" s="52"/>
      <c r="E167" s="53" t="s">
        <v>20417</v>
      </c>
      <c r="F167" s="52"/>
      <c r="G167" s="52" t="s">
        <v>20277</v>
      </c>
      <c r="H167" s="54" t="b">
        <v>0</v>
      </c>
    </row>
    <row r="168" spans="1:8" x14ac:dyDescent="0.25">
      <c r="A168" s="51" t="s">
        <v>20418</v>
      </c>
      <c r="B168" s="51" t="s">
        <v>92</v>
      </c>
      <c r="C168" s="55"/>
      <c r="D168" s="55"/>
      <c r="E168" s="56" t="s">
        <v>20418</v>
      </c>
      <c r="F168" s="55"/>
      <c r="G168" s="55" t="s">
        <v>20277</v>
      </c>
      <c r="H168" s="57" t="b">
        <v>0</v>
      </c>
    </row>
    <row r="169" spans="1:8" x14ac:dyDescent="0.25">
      <c r="A169" s="51" t="s">
        <v>20419</v>
      </c>
      <c r="B169" s="51" t="s">
        <v>204</v>
      </c>
      <c r="C169" s="55"/>
      <c r="D169" s="55"/>
      <c r="E169" s="56" t="s">
        <v>20419</v>
      </c>
      <c r="F169" s="55"/>
      <c r="G169" s="55" t="s">
        <v>20277</v>
      </c>
      <c r="H169" s="57" t="b">
        <v>0</v>
      </c>
    </row>
    <row r="170" spans="1:8" x14ac:dyDescent="0.25">
      <c r="A170" s="51" t="s">
        <v>20420</v>
      </c>
      <c r="B170" s="51" t="s">
        <v>205</v>
      </c>
      <c r="C170" s="52"/>
      <c r="D170" s="52"/>
      <c r="E170" s="53" t="s">
        <v>20420</v>
      </c>
      <c r="F170" s="52"/>
      <c r="G170" s="52" t="s">
        <v>20277</v>
      </c>
      <c r="H170" s="54" t="b">
        <v>0</v>
      </c>
    </row>
    <row r="171" spans="1:8" x14ac:dyDescent="0.25">
      <c r="A171" s="51" t="s">
        <v>20421</v>
      </c>
      <c r="B171" s="51" t="s">
        <v>206</v>
      </c>
      <c r="C171" s="52"/>
      <c r="D171" s="52"/>
      <c r="E171" s="53" t="s">
        <v>20421</v>
      </c>
      <c r="F171" s="52"/>
      <c r="G171" s="52" t="s">
        <v>20277</v>
      </c>
      <c r="H171" s="54" t="b">
        <v>0</v>
      </c>
    </row>
    <row r="172" spans="1:8" x14ac:dyDescent="0.25">
      <c r="A172" s="51" t="s">
        <v>20422</v>
      </c>
      <c r="B172" s="51" t="s">
        <v>207</v>
      </c>
      <c r="C172" s="55" t="s">
        <v>20423</v>
      </c>
      <c r="D172" s="55"/>
      <c r="E172" s="56" t="s">
        <v>20422</v>
      </c>
      <c r="F172" s="55" t="s">
        <v>20424</v>
      </c>
      <c r="G172" s="55" t="s">
        <v>20277</v>
      </c>
      <c r="H172" s="57" t="b">
        <v>0</v>
      </c>
    </row>
    <row r="173" spans="1:8" x14ac:dyDescent="0.25">
      <c r="A173" s="51" t="s">
        <v>20425</v>
      </c>
      <c r="B173" s="51" t="s">
        <v>208</v>
      </c>
      <c r="C173" s="52"/>
      <c r="D173" s="52"/>
      <c r="E173" s="53" t="s">
        <v>20425</v>
      </c>
      <c r="F173" s="52"/>
      <c r="G173" s="52" t="s">
        <v>20277</v>
      </c>
      <c r="H173" s="54" t="b">
        <v>0</v>
      </c>
    </row>
    <row r="174" spans="1:8" x14ac:dyDescent="0.25">
      <c r="A174" s="51" t="s">
        <v>20426</v>
      </c>
      <c r="B174" s="51" t="s">
        <v>209</v>
      </c>
      <c r="C174" s="52"/>
      <c r="D174" s="52"/>
      <c r="E174" s="53" t="s">
        <v>20426</v>
      </c>
      <c r="F174" s="52"/>
      <c r="G174" s="52" t="s">
        <v>20277</v>
      </c>
      <c r="H174" s="54" t="b">
        <v>0</v>
      </c>
    </row>
    <row r="175" spans="1:8" x14ac:dyDescent="0.25">
      <c r="A175" s="51" t="s">
        <v>20427</v>
      </c>
      <c r="B175" s="51" t="s">
        <v>93</v>
      </c>
      <c r="C175" s="55" t="s">
        <v>20428</v>
      </c>
      <c r="D175" s="55"/>
      <c r="E175" s="56" t="s">
        <v>20427</v>
      </c>
      <c r="F175" s="55"/>
      <c r="G175" s="55" t="s">
        <v>20277</v>
      </c>
      <c r="H175" s="57" t="b">
        <v>0</v>
      </c>
    </row>
    <row r="176" spans="1:8" x14ac:dyDescent="0.25">
      <c r="A176" s="51" t="s">
        <v>20429</v>
      </c>
      <c r="B176" s="51" t="s">
        <v>210</v>
      </c>
      <c r="C176" s="52"/>
      <c r="D176" s="52"/>
      <c r="E176" s="53" t="s">
        <v>20429</v>
      </c>
      <c r="F176" s="52"/>
      <c r="G176" s="52" t="s">
        <v>20277</v>
      </c>
      <c r="H176" s="54" t="b">
        <v>0</v>
      </c>
    </row>
    <row r="177" spans="1:8" x14ac:dyDescent="0.25">
      <c r="A177" s="51" t="s">
        <v>20430</v>
      </c>
      <c r="B177" s="51" t="s">
        <v>94</v>
      </c>
      <c r="C177" s="52"/>
      <c r="D177" s="52"/>
      <c r="E177" s="53" t="s">
        <v>20430</v>
      </c>
      <c r="F177" s="52"/>
      <c r="G177" s="52" t="s">
        <v>20277</v>
      </c>
      <c r="H177" s="54" t="b">
        <v>0</v>
      </c>
    </row>
    <row r="178" spans="1:8" x14ac:dyDescent="0.25">
      <c r="A178" s="51" t="s">
        <v>20431</v>
      </c>
      <c r="B178" s="51" t="s">
        <v>95</v>
      </c>
      <c r="C178" s="52"/>
      <c r="D178" s="52"/>
      <c r="E178" s="53" t="s">
        <v>20431</v>
      </c>
      <c r="F178" s="52"/>
      <c r="G178" s="52" t="s">
        <v>20277</v>
      </c>
      <c r="H178" s="54" t="b">
        <v>0</v>
      </c>
    </row>
    <row r="179" spans="1:8" x14ac:dyDescent="0.25">
      <c r="A179" s="51" t="s">
        <v>20432</v>
      </c>
      <c r="B179" s="51" t="s">
        <v>211</v>
      </c>
      <c r="C179" s="55"/>
      <c r="D179" s="55"/>
      <c r="E179" s="56" t="s">
        <v>20432</v>
      </c>
      <c r="F179" s="55"/>
      <c r="G179" s="55" t="s">
        <v>20277</v>
      </c>
      <c r="H179" s="57" t="b">
        <v>0</v>
      </c>
    </row>
    <row r="180" spans="1:8" x14ac:dyDescent="0.25">
      <c r="A180" s="51" t="s">
        <v>20433</v>
      </c>
      <c r="B180" s="51" t="s">
        <v>212</v>
      </c>
      <c r="C180" s="52"/>
      <c r="D180" s="52"/>
      <c r="E180" s="53" t="s">
        <v>20433</v>
      </c>
      <c r="F180" s="52"/>
      <c r="G180" s="52" t="s">
        <v>20277</v>
      </c>
      <c r="H180" s="54" t="b">
        <v>0</v>
      </c>
    </row>
    <row r="181" spans="1:8" x14ac:dyDescent="0.25">
      <c r="A181" s="51" t="s">
        <v>20434</v>
      </c>
      <c r="B181" s="51" t="s">
        <v>96</v>
      </c>
      <c r="C181" s="55"/>
      <c r="D181" s="55"/>
      <c r="E181" s="56" t="s">
        <v>20434</v>
      </c>
      <c r="F181" s="55"/>
      <c r="G181" s="55" t="s">
        <v>20277</v>
      </c>
      <c r="H181" s="57" t="b">
        <v>0</v>
      </c>
    </row>
    <row r="182" spans="1:8" x14ac:dyDescent="0.25">
      <c r="A182" s="51" t="s">
        <v>20435</v>
      </c>
      <c r="B182" s="51" t="s">
        <v>203</v>
      </c>
      <c r="C182" s="55"/>
      <c r="D182" s="55"/>
      <c r="E182" s="56" t="s">
        <v>20435</v>
      </c>
      <c r="F182" s="55"/>
      <c r="G182" s="55" t="s">
        <v>20277</v>
      </c>
      <c r="H182" s="57" t="b">
        <v>0</v>
      </c>
    </row>
    <row r="183" spans="1:8" x14ac:dyDescent="0.25">
      <c r="A183" s="51" t="s">
        <v>20436</v>
      </c>
      <c r="B183" s="51" t="s">
        <v>213</v>
      </c>
      <c r="C183" s="55"/>
      <c r="D183" s="55"/>
      <c r="E183" s="56" t="s">
        <v>20436</v>
      </c>
      <c r="F183" s="55"/>
      <c r="G183" s="55" t="s">
        <v>20277</v>
      </c>
      <c r="H183" s="57" t="b">
        <v>0</v>
      </c>
    </row>
    <row r="184" spans="1:8" x14ac:dyDescent="0.25">
      <c r="A184" s="51" t="s">
        <v>20437</v>
      </c>
      <c r="B184" s="51" t="s">
        <v>214</v>
      </c>
      <c r="C184" s="52"/>
      <c r="D184" s="52"/>
      <c r="E184" s="53" t="s">
        <v>20437</v>
      </c>
      <c r="F184" s="52"/>
      <c r="G184" s="52" t="s">
        <v>20277</v>
      </c>
      <c r="H184" s="54" t="b">
        <v>0</v>
      </c>
    </row>
    <row r="185" spans="1:8" x14ac:dyDescent="0.25">
      <c r="A185" s="51" t="s">
        <v>20438</v>
      </c>
      <c r="B185" s="51" t="s">
        <v>215</v>
      </c>
      <c r="C185" s="55"/>
      <c r="D185" s="55"/>
      <c r="E185" s="56" t="s">
        <v>20438</v>
      </c>
      <c r="F185" s="55"/>
      <c r="G185" s="55" t="s">
        <v>20277</v>
      </c>
      <c r="H185" s="57" t="b">
        <v>0</v>
      </c>
    </row>
    <row r="186" spans="1:8" x14ac:dyDescent="0.25">
      <c r="A186" s="51" t="s">
        <v>20439</v>
      </c>
      <c r="B186" s="51" t="s">
        <v>216</v>
      </c>
      <c r="C186" s="55"/>
      <c r="D186" s="55"/>
      <c r="E186" s="56" t="s">
        <v>20439</v>
      </c>
      <c r="F186" s="55"/>
      <c r="G186" s="55" t="s">
        <v>20277</v>
      </c>
      <c r="H186" s="57" t="b">
        <v>0</v>
      </c>
    </row>
    <row r="187" spans="1:8" x14ac:dyDescent="0.25">
      <c r="A187" s="51" t="s">
        <v>20440</v>
      </c>
      <c r="B187" s="51" t="s">
        <v>217</v>
      </c>
      <c r="C187" s="52"/>
      <c r="D187" s="52"/>
      <c r="E187" s="53" t="s">
        <v>20440</v>
      </c>
      <c r="F187" s="52"/>
      <c r="G187" s="52" t="s">
        <v>20277</v>
      </c>
      <c r="H187" s="54" t="b">
        <v>0</v>
      </c>
    </row>
    <row r="188" spans="1:8" x14ac:dyDescent="0.25">
      <c r="A188" s="51" t="s">
        <v>20441</v>
      </c>
      <c r="B188" s="51" t="s">
        <v>97</v>
      </c>
      <c r="C188" s="55"/>
      <c r="D188" s="55"/>
      <c r="E188" s="56" t="s">
        <v>20441</v>
      </c>
      <c r="F188" s="55"/>
      <c r="G188" s="55" t="s">
        <v>20277</v>
      </c>
      <c r="H188" s="57" t="b">
        <v>0</v>
      </c>
    </row>
    <row r="189" spans="1:8" x14ac:dyDescent="0.25">
      <c r="A189" s="51" t="s">
        <v>20442</v>
      </c>
      <c r="B189" s="51" t="s">
        <v>218</v>
      </c>
      <c r="C189" s="55" t="s">
        <v>20443</v>
      </c>
      <c r="D189" s="55"/>
      <c r="E189" s="56" t="s">
        <v>20442</v>
      </c>
      <c r="F189" s="55"/>
      <c r="G189" s="55" t="s">
        <v>20277</v>
      </c>
      <c r="H189" s="57" t="b">
        <v>0</v>
      </c>
    </row>
    <row r="190" spans="1:8" x14ac:dyDescent="0.25">
      <c r="A190" s="51" t="s">
        <v>20444</v>
      </c>
      <c r="B190" s="51" t="s">
        <v>219</v>
      </c>
      <c r="C190" s="55" t="s">
        <v>20445</v>
      </c>
      <c r="D190" s="55"/>
      <c r="E190" s="56" t="s">
        <v>20444</v>
      </c>
      <c r="F190" s="55"/>
      <c r="G190" s="55" t="s">
        <v>20277</v>
      </c>
      <c r="H190" s="57" t="b">
        <v>0</v>
      </c>
    </row>
    <row r="191" spans="1:8" x14ac:dyDescent="0.25">
      <c r="A191" s="51" t="s">
        <v>20446</v>
      </c>
      <c r="B191" s="51" t="s">
        <v>98</v>
      </c>
      <c r="C191" s="52"/>
      <c r="D191" s="52"/>
      <c r="E191" s="53" t="s">
        <v>20446</v>
      </c>
      <c r="F191" s="52"/>
      <c r="G191" s="52" t="s">
        <v>20277</v>
      </c>
      <c r="H191" s="54" t="b">
        <v>0</v>
      </c>
    </row>
    <row r="192" spans="1:8" x14ac:dyDescent="0.25">
      <c r="A192" s="51" t="s">
        <v>20447</v>
      </c>
      <c r="B192" s="51" t="s">
        <v>220</v>
      </c>
      <c r="C192" s="52"/>
      <c r="D192" s="52"/>
      <c r="E192" s="53" t="s">
        <v>20447</v>
      </c>
      <c r="F192" s="52"/>
      <c r="G192" s="52" t="s">
        <v>20277</v>
      </c>
      <c r="H192" s="54" t="b">
        <v>0</v>
      </c>
    </row>
    <row r="193" spans="1:8" x14ac:dyDescent="0.25">
      <c r="A193" s="51" t="s">
        <v>20448</v>
      </c>
      <c r="B193" s="51" t="s">
        <v>221</v>
      </c>
      <c r="C193" s="52"/>
      <c r="D193" s="52"/>
      <c r="E193" s="53" t="s">
        <v>20448</v>
      </c>
      <c r="F193" s="52"/>
      <c r="G193" s="52" t="s">
        <v>20277</v>
      </c>
      <c r="H193" s="54" t="b">
        <v>0</v>
      </c>
    </row>
    <row r="194" spans="1:8" x14ac:dyDescent="0.25">
      <c r="A194" s="51" t="s">
        <v>20449</v>
      </c>
      <c r="B194" s="51" t="s">
        <v>99</v>
      </c>
      <c r="C194" s="55"/>
      <c r="D194" s="55"/>
      <c r="E194" s="56" t="s">
        <v>20449</v>
      </c>
      <c r="F194" s="55"/>
      <c r="G194" s="55" t="s">
        <v>20277</v>
      </c>
      <c r="H194" s="57" t="b">
        <v>0</v>
      </c>
    </row>
    <row r="195" spans="1:8" x14ac:dyDescent="0.25">
      <c r="A195" s="51" t="s">
        <v>20450</v>
      </c>
      <c r="B195" s="51" t="s">
        <v>222</v>
      </c>
      <c r="C195" s="52"/>
      <c r="D195" s="52"/>
      <c r="E195" s="53" t="s">
        <v>20450</v>
      </c>
      <c r="F195" s="52"/>
      <c r="G195" s="52" t="s">
        <v>20277</v>
      </c>
      <c r="H195" s="54" t="b">
        <v>0</v>
      </c>
    </row>
    <row r="196" spans="1:8" x14ac:dyDescent="0.25">
      <c r="A196" s="51" t="s">
        <v>20451</v>
      </c>
      <c r="B196" s="51" t="s">
        <v>100</v>
      </c>
      <c r="C196" s="52"/>
      <c r="D196" s="52"/>
      <c r="E196" s="53" t="s">
        <v>20451</v>
      </c>
      <c r="F196" s="52"/>
      <c r="G196" s="52" t="s">
        <v>20277</v>
      </c>
      <c r="H196" s="54" t="b">
        <v>0</v>
      </c>
    </row>
    <row r="197" spans="1:8" x14ac:dyDescent="0.25">
      <c r="A197" s="51" t="s">
        <v>20452</v>
      </c>
      <c r="B197" s="51" t="s">
        <v>223</v>
      </c>
      <c r="C197" s="52"/>
      <c r="D197" s="52"/>
      <c r="E197" s="53" t="s">
        <v>20452</v>
      </c>
      <c r="F197" s="52"/>
      <c r="G197" s="52" t="s">
        <v>20277</v>
      </c>
      <c r="H197" s="54" t="b">
        <v>0</v>
      </c>
    </row>
    <row r="198" spans="1:8" x14ac:dyDescent="0.25">
      <c r="A198" s="51" t="s">
        <v>20453</v>
      </c>
      <c r="B198" s="51" t="s">
        <v>224</v>
      </c>
      <c r="C198" s="55" t="s">
        <v>20454</v>
      </c>
      <c r="D198" s="55"/>
      <c r="E198" s="56" t="s">
        <v>20453</v>
      </c>
      <c r="F198" s="55"/>
      <c r="G198" s="55" t="s">
        <v>20277</v>
      </c>
      <c r="H198" s="57" t="b">
        <v>0</v>
      </c>
    </row>
    <row r="199" spans="1:8" x14ac:dyDescent="0.25">
      <c r="A199" s="51" t="s">
        <v>20455</v>
      </c>
      <c r="B199" s="51" t="s">
        <v>111</v>
      </c>
      <c r="C199" s="52"/>
      <c r="D199" s="52"/>
      <c r="E199" s="53" t="s">
        <v>20455</v>
      </c>
      <c r="F199" s="52"/>
      <c r="G199" s="52" t="s">
        <v>20277</v>
      </c>
      <c r="H199" s="54" t="b">
        <v>0</v>
      </c>
    </row>
    <row r="200" spans="1:8" x14ac:dyDescent="0.25">
      <c r="A200" s="51" t="s">
        <v>20456</v>
      </c>
      <c r="B200" s="51" t="s">
        <v>112</v>
      </c>
      <c r="C200" s="52"/>
      <c r="D200" s="52"/>
      <c r="E200" s="53" t="s">
        <v>20456</v>
      </c>
      <c r="F200" s="52"/>
      <c r="G200" s="52" t="s">
        <v>20277</v>
      </c>
      <c r="H200" s="54" t="b">
        <v>0</v>
      </c>
    </row>
    <row r="201" spans="1:8" x14ac:dyDescent="0.25">
      <c r="A201" s="51" t="s">
        <v>20457</v>
      </c>
      <c r="B201" s="51" t="s">
        <v>225</v>
      </c>
      <c r="C201" s="55"/>
      <c r="D201" s="55"/>
      <c r="E201" s="56" t="s">
        <v>20457</v>
      </c>
      <c r="F201" s="55"/>
      <c r="G201" s="55" t="s">
        <v>20277</v>
      </c>
      <c r="H201" s="57" t="b">
        <v>0</v>
      </c>
    </row>
    <row r="202" spans="1:8" x14ac:dyDescent="0.25">
      <c r="A202" s="51" t="s">
        <v>20458</v>
      </c>
      <c r="B202" s="51" t="s">
        <v>226</v>
      </c>
      <c r="C202" s="52"/>
      <c r="D202" s="52"/>
      <c r="E202" s="53" t="s">
        <v>20458</v>
      </c>
      <c r="F202" s="52"/>
      <c r="G202" s="52" t="s">
        <v>20277</v>
      </c>
      <c r="H202" s="54" t="b">
        <v>0</v>
      </c>
    </row>
    <row r="203" spans="1:8" x14ac:dyDescent="0.25">
      <c r="A203" s="51" t="s">
        <v>20459</v>
      </c>
      <c r="B203" s="51" t="s">
        <v>227</v>
      </c>
      <c r="C203" s="55"/>
      <c r="D203" s="55"/>
      <c r="E203" s="56" t="s">
        <v>20459</v>
      </c>
      <c r="F203" s="55"/>
      <c r="G203" s="55" t="s">
        <v>20277</v>
      </c>
      <c r="H203" s="57" t="b">
        <v>0</v>
      </c>
    </row>
    <row r="204" spans="1:8" x14ac:dyDescent="0.25">
      <c r="A204" s="51" t="s">
        <v>20460</v>
      </c>
      <c r="B204" s="51" t="s">
        <v>228</v>
      </c>
      <c r="C204" s="55" t="s">
        <v>20461</v>
      </c>
      <c r="D204" s="55"/>
      <c r="E204" s="56" t="s">
        <v>20460</v>
      </c>
      <c r="F204" s="55"/>
      <c r="G204" s="55" t="s">
        <v>20277</v>
      </c>
      <c r="H204" s="57" t="b">
        <v>0</v>
      </c>
    </row>
    <row r="205" spans="1:8" x14ac:dyDescent="0.25">
      <c r="A205" s="51" t="s">
        <v>20462</v>
      </c>
      <c r="B205" s="51" t="s">
        <v>229</v>
      </c>
      <c r="C205" s="55"/>
      <c r="D205" s="55"/>
      <c r="E205" s="56" t="s">
        <v>20462</v>
      </c>
      <c r="F205" s="55"/>
      <c r="G205" s="55" t="s">
        <v>20277</v>
      </c>
      <c r="H205" s="57" t="b">
        <v>0</v>
      </c>
    </row>
    <row r="206" spans="1:8" x14ac:dyDescent="0.25">
      <c r="A206" s="51" t="s">
        <v>20463</v>
      </c>
      <c r="B206" s="51" t="s">
        <v>230</v>
      </c>
      <c r="C206" s="52"/>
      <c r="D206" s="52"/>
      <c r="E206" s="53" t="s">
        <v>20463</v>
      </c>
      <c r="F206" s="52"/>
      <c r="G206" s="52" t="s">
        <v>20277</v>
      </c>
      <c r="H206" s="54" t="b">
        <v>0</v>
      </c>
    </row>
    <row r="207" spans="1:8" x14ac:dyDescent="0.25">
      <c r="A207" s="51" t="s">
        <v>20464</v>
      </c>
      <c r="B207" s="51" t="s">
        <v>92</v>
      </c>
      <c r="C207" s="55"/>
      <c r="D207" s="55"/>
      <c r="E207" s="56" t="s">
        <v>20464</v>
      </c>
      <c r="F207" s="55"/>
      <c r="G207" s="55" t="s">
        <v>20277</v>
      </c>
      <c r="H207" s="57" t="b">
        <v>0</v>
      </c>
    </row>
    <row r="208" spans="1:8" x14ac:dyDescent="0.25">
      <c r="A208" s="51" t="s">
        <v>20465</v>
      </c>
      <c r="B208" s="51" t="s">
        <v>231</v>
      </c>
      <c r="C208" s="52"/>
      <c r="D208" s="52"/>
      <c r="E208" s="53" t="s">
        <v>20465</v>
      </c>
      <c r="F208" s="52"/>
      <c r="G208" s="52" t="s">
        <v>20277</v>
      </c>
      <c r="H208" s="54" t="b">
        <v>0</v>
      </c>
    </row>
    <row r="209" spans="1:8" x14ac:dyDescent="0.25">
      <c r="A209" s="51" t="s">
        <v>20466</v>
      </c>
      <c r="B209" s="51" t="s">
        <v>103</v>
      </c>
      <c r="C209" s="55"/>
      <c r="D209" s="55"/>
      <c r="E209" s="56" t="s">
        <v>20466</v>
      </c>
      <c r="F209" s="55"/>
      <c r="G209" s="55" t="s">
        <v>20277</v>
      </c>
      <c r="H209" s="57" t="b">
        <v>0</v>
      </c>
    </row>
    <row r="210" spans="1:8" x14ac:dyDescent="0.25">
      <c r="A210" s="51" t="s">
        <v>20467</v>
      </c>
      <c r="B210" s="51" t="s">
        <v>232</v>
      </c>
      <c r="C210" s="52"/>
      <c r="D210" s="52"/>
      <c r="E210" s="53" t="s">
        <v>20467</v>
      </c>
      <c r="F210" s="52"/>
      <c r="G210" s="52" t="s">
        <v>20277</v>
      </c>
      <c r="H210" s="54" t="b">
        <v>0</v>
      </c>
    </row>
    <row r="211" spans="1:8" x14ac:dyDescent="0.25">
      <c r="A211" s="51" t="s">
        <v>20468</v>
      </c>
      <c r="B211" s="51" t="s">
        <v>233</v>
      </c>
      <c r="C211" s="55" t="s">
        <v>20469</v>
      </c>
      <c r="D211" s="55"/>
      <c r="E211" s="56" t="s">
        <v>20468</v>
      </c>
      <c r="F211" s="55"/>
      <c r="G211" s="55" t="s">
        <v>20277</v>
      </c>
      <c r="H211" s="57" t="b">
        <v>0</v>
      </c>
    </row>
    <row r="212" spans="1:8" x14ac:dyDescent="0.25">
      <c r="A212" s="51" t="s">
        <v>20470</v>
      </c>
      <c r="B212" s="51" t="s">
        <v>234</v>
      </c>
      <c r="C212" s="55" t="s">
        <v>20471</v>
      </c>
      <c r="D212" s="55"/>
      <c r="E212" s="56" t="s">
        <v>20470</v>
      </c>
      <c r="F212" s="55"/>
      <c r="G212" s="55" t="s">
        <v>20277</v>
      </c>
      <c r="H212" s="57" t="b">
        <v>0</v>
      </c>
    </row>
    <row r="213" spans="1:8" x14ac:dyDescent="0.25">
      <c r="A213" s="51" t="s">
        <v>20472</v>
      </c>
      <c r="B213" s="51" t="s">
        <v>235</v>
      </c>
      <c r="C213" s="55" t="s">
        <v>20473</v>
      </c>
      <c r="D213" s="55"/>
      <c r="E213" s="56" t="s">
        <v>20472</v>
      </c>
      <c r="F213" s="55"/>
      <c r="G213" s="55" t="s">
        <v>20277</v>
      </c>
      <c r="H213" s="57" t="b">
        <v>0</v>
      </c>
    </row>
    <row r="214" spans="1:8" x14ac:dyDescent="0.25">
      <c r="A214" s="51" t="s">
        <v>20474</v>
      </c>
      <c r="B214" s="51" t="s">
        <v>236</v>
      </c>
      <c r="C214" s="52" t="s">
        <v>20475</v>
      </c>
      <c r="D214" s="52"/>
      <c r="E214" s="53" t="s">
        <v>20474</v>
      </c>
      <c r="F214" s="52"/>
      <c r="G214" s="52" t="s">
        <v>20277</v>
      </c>
      <c r="H214" s="54" t="b">
        <v>0</v>
      </c>
    </row>
    <row r="215" spans="1:8" x14ac:dyDescent="0.25">
      <c r="A215" s="51" t="s">
        <v>20476</v>
      </c>
      <c r="B215" s="51" t="s">
        <v>237</v>
      </c>
      <c r="C215" s="52"/>
      <c r="D215" s="52"/>
      <c r="E215" s="53" t="s">
        <v>20476</v>
      </c>
      <c r="F215" s="52"/>
      <c r="G215" s="52" t="s">
        <v>20277</v>
      </c>
      <c r="H215" s="54" t="b">
        <v>0</v>
      </c>
    </row>
    <row r="216" spans="1:8" x14ac:dyDescent="0.25">
      <c r="A216" s="51" t="s">
        <v>20477</v>
      </c>
      <c r="B216" s="51" t="s">
        <v>238</v>
      </c>
      <c r="C216" s="52"/>
      <c r="D216" s="52"/>
      <c r="E216" s="53" t="s">
        <v>20477</v>
      </c>
      <c r="F216" s="52"/>
      <c r="G216" s="52" t="s">
        <v>20277</v>
      </c>
      <c r="H216" s="54" t="b">
        <v>0</v>
      </c>
    </row>
    <row r="217" spans="1:8" x14ac:dyDescent="0.25">
      <c r="A217" s="51" t="s">
        <v>20478</v>
      </c>
      <c r="B217" s="51" t="s">
        <v>239</v>
      </c>
      <c r="C217" s="52"/>
      <c r="D217" s="52"/>
      <c r="E217" s="53" t="s">
        <v>20478</v>
      </c>
      <c r="F217" s="52"/>
      <c r="G217" s="52" t="s">
        <v>20277</v>
      </c>
      <c r="H217" s="54" t="b">
        <v>0</v>
      </c>
    </row>
    <row r="218" spans="1:8" x14ac:dyDescent="0.25">
      <c r="A218" s="51" t="s">
        <v>20479</v>
      </c>
      <c r="B218" s="51" t="s">
        <v>240</v>
      </c>
      <c r="C218" s="52"/>
      <c r="D218" s="52"/>
      <c r="E218" s="53" t="s">
        <v>20479</v>
      </c>
      <c r="F218" s="52"/>
      <c r="G218" s="52" t="s">
        <v>20277</v>
      </c>
      <c r="H218" s="54" t="b">
        <v>0</v>
      </c>
    </row>
    <row r="219" spans="1:8" x14ac:dyDescent="0.25">
      <c r="A219" s="51" t="s">
        <v>20480</v>
      </c>
      <c r="B219" s="51" t="s">
        <v>241</v>
      </c>
      <c r="C219" s="52"/>
      <c r="D219" s="52"/>
      <c r="E219" s="53" t="s">
        <v>20480</v>
      </c>
      <c r="F219" s="52"/>
      <c r="G219" s="52" t="s">
        <v>20277</v>
      </c>
      <c r="H219" s="54" t="b">
        <v>0</v>
      </c>
    </row>
    <row r="220" spans="1:8" x14ac:dyDescent="0.25">
      <c r="A220" s="51" t="s">
        <v>20481</v>
      </c>
      <c r="B220" s="51" t="s">
        <v>242</v>
      </c>
      <c r="C220" s="55"/>
      <c r="D220" s="55"/>
      <c r="E220" s="56" t="s">
        <v>20481</v>
      </c>
      <c r="F220" s="55"/>
      <c r="G220" s="55" t="s">
        <v>20277</v>
      </c>
      <c r="H220" s="57" t="b">
        <v>0</v>
      </c>
    </row>
    <row r="221" spans="1:8" x14ac:dyDescent="0.25">
      <c r="A221" s="51" t="s">
        <v>20482</v>
      </c>
      <c r="B221" s="51" t="s">
        <v>243</v>
      </c>
      <c r="C221" s="52"/>
      <c r="D221" s="52"/>
      <c r="E221" s="53" t="s">
        <v>20482</v>
      </c>
      <c r="F221" s="52"/>
      <c r="G221" s="52" t="s">
        <v>20277</v>
      </c>
      <c r="H221" s="54" t="b">
        <v>0</v>
      </c>
    </row>
    <row r="222" spans="1:8" x14ac:dyDescent="0.25">
      <c r="A222" s="51" t="s">
        <v>20483</v>
      </c>
      <c r="B222" s="51" t="s">
        <v>244</v>
      </c>
      <c r="C222" s="55"/>
      <c r="D222" s="55"/>
      <c r="E222" s="56" t="s">
        <v>20483</v>
      </c>
      <c r="F222" s="55"/>
      <c r="G222" s="55" t="s">
        <v>20277</v>
      </c>
      <c r="H222" s="57" t="b">
        <v>0</v>
      </c>
    </row>
    <row r="223" spans="1:8" x14ac:dyDescent="0.25">
      <c r="A223" s="51" t="s">
        <v>20484</v>
      </c>
      <c r="B223" s="51" t="s">
        <v>245</v>
      </c>
      <c r="C223" s="52"/>
      <c r="D223" s="52"/>
      <c r="E223" s="53" t="s">
        <v>20484</v>
      </c>
      <c r="F223" s="52"/>
      <c r="G223" s="52" t="s">
        <v>20277</v>
      </c>
      <c r="H223" s="54" t="b">
        <v>0</v>
      </c>
    </row>
    <row r="224" spans="1:8" x14ac:dyDescent="0.25">
      <c r="A224" s="51" t="s">
        <v>20485</v>
      </c>
      <c r="B224" s="51" t="s">
        <v>246</v>
      </c>
      <c r="C224" s="55"/>
      <c r="D224" s="55"/>
      <c r="E224" s="56" t="s">
        <v>20485</v>
      </c>
      <c r="F224" s="55"/>
      <c r="G224" s="55" t="s">
        <v>20277</v>
      </c>
      <c r="H224" s="57" t="b">
        <v>0</v>
      </c>
    </row>
    <row r="225" spans="1:8" x14ac:dyDescent="0.25">
      <c r="A225" s="51" t="s">
        <v>20486</v>
      </c>
      <c r="B225" s="51" t="s">
        <v>247</v>
      </c>
      <c r="C225" s="55"/>
      <c r="D225" s="55"/>
      <c r="E225" s="56" t="s">
        <v>20486</v>
      </c>
      <c r="F225" s="55"/>
      <c r="G225" s="55" t="s">
        <v>20277</v>
      </c>
      <c r="H225" s="57" t="b">
        <v>0</v>
      </c>
    </row>
    <row r="226" spans="1:8" x14ac:dyDescent="0.25">
      <c r="A226" s="51" t="s">
        <v>20487</v>
      </c>
      <c r="B226" s="51" t="s">
        <v>248</v>
      </c>
      <c r="C226" s="55" t="s">
        <v>20488</v>
      </c>
      <c r="D226" s="55"/>
      <c r="E226" s="56" t="s">
        <v>20487</v>
      </c>
      <c r="F226" s="55"/>
      <c r="G226" s="55" t="s">
        <v>20277</v>
      </c>
      <c r="H226" s="57" t="b">
        <v>0</v>
      </c>
    </row>
    <row r="227" spans="1:8" x14ac:dyDescent="0.25">
      <c r="A227" s="51" t="s">
        <v>20489</v>
      </c>
      <c r="B227" s="51" t="s">
        <v>66</v>
      </c>
      <c r="C227" s="52"/>
      <c r="D227" s="52"/>
      <c r="E227" s="53" t="s">
        <v>20489</v>
      </c>
      <c r="F227" s="52"/>
      <c r="G227" s="52" t="s">
        <v>20277</v>
      </c>
      <c r="H227" s="54" t="b">
        <v>0</v>
      </c>
    </row>
    <row r="228" spans="1:8" x14ac:dyDescent="0.25">
      <c r="A228" s="51" t="s">
        <v>20490</v>
      </c>
      <c r="B228" s="51" t="s">
        <v>249</v>
      </c>
      <c r="C228" s="55" t="s">
        <v>20491</v>
      </c>
      <c r="D228" s="55"/>
      <c r="E228" s="56" t="s">
        <v>20490</v>
      </c>
      <c r="F228" s="55"/>
      <c r="G228" s="55" t="s">
        <v>20277</v>
      </c>
      <c r="H228" s="57" t="b">
        <v>0</v>
      </c>
    </row>
    <row r="229" spans="1:8" x14ac:dyDescent="0.25">
      <c r="A229" s="51" t="s">
        <v>20492</v>
      </c>
      <c r="B229" s="51" t="s">
        <v>250</v>
      </c>
      <c r="C229" s="55"/>
      <c r="D229" s="55"/>
      <c r="E229" s="56" t="s">
        <v>20492</v>
      </c>
      <c r="F229" s="55"/>
      <c r="G229" s="55" t="s">
        <v>20277</v>
      </c>
      <c r="H229" s="57" t="b">
        <v>0</v>
      </c>
    </row>
    <row r="230" spans="1:8" x14ac:dyDescent="0.25">
      <c r="A230" s="51" t="s">
        <v>20493</v>
      </c>
      <c r="B230" s="51" t="s">
        <v>251</v>
      </c>
      <c r="C230" s="52"/>
      <c r="D230" s="52"/>
      <c r="E230" s="53" t="s">
        <v>20493</v>
      </c>
      <c r="F230" s="52"/>
      <c r="G230" s="52" t="s">
        <v>20277</v>
      </c>
      <c r="H230" s="54" t="b">
        <v>0</v>
      </c>
    </row>
    <row r="231" spans="1:8" x14ac:dyDescent="0.25">
      <c r="A231" s="51" t="s">
        <v>20494</v>
      </c>
      <c r="B231" s="51" t="s">
        <v>252</v>
      </c>
      <c r="C231" s="52"/>
      <c r="D231" s="52"/>
      <c r="E231" s="53" t="s">
        <v>20494</v>
      </c>
      <c r="F231" s="52"/>
      <c r="G231" s="52" t="s">
        <v>20277</v>
      </c>
      <c r="H231" s="54" t="b">
        <v>0</v>
      </c>
    </row>
    <row r="232" spans="1:8" x14ac:dyDescent="0.25">
      <c r="A232" s="51" t="s">
        <v>20495</v>
      </c>
      <c r="B232" s="51" t="s">
        <v>253</v>
      </c>
      <c r="C232" s="55" t="s">
        <v>20496</v>
      </c>
      <c r="D232" s="55"/>
      <c r="E232" s="56" t="s">
        <v>20495</v>
      </c>
      <c r="F232" s="55"/>
      <c r="G232" s="55" t="s">
        <v>20277</v>
      </c>
      <c r="H232" s="57" t="b">
        <v>0</v>
      </c>
    </row>
    <row r="233" spans="1:8" x14ac:dyDescent="0.25">
      <c r="A233" s="51" t="s">
        <v>20497</v>
      </c>
      <c r="B233" s="51" t="s">
        <v>245</v>
      </c>
      <c r="C233" s="55" t="s">
        <v>20498</v>
      </c>
      <c r="D233" s="55"/>
      <c r="E233" s="56" t="s">
        <v>20497</v>
      </c>
      <c r="F233" s="55"/>
      <c r="G233" s="55" t="s">
        <v>20277</v>
      </c>
      <c r="H233" s="57" t="b">
        <v>0</v>
      </c>
    </row>
    <row r="234" spans="1:8" x14ac:dyDescent="0.25">
      <c r="A234" s="51" t="s">
        <v>20499</v>
      </c>
      <c r="B234" s="51" t="s">
        <v>254</v>
      </c>
      <c r="C234" s="55"/>
      <c r="D234" s="55"/>
      <c r="E234" s="56" t="s">
        <v>20499</v>
      </c>
      <c r="F234" s="55"/>
      <c r="G234" s="55" t="s">
        <v>20277</v>
      </c>
      <c r="H234" s="57" t="b">
        <v>0</v>
      </c>
    </row>
    <row r="235" spans="1:8" x14ac:dyDescent="0.25">
      <c r="A235" s="51" t="s">
        <v>20500</v>
      </c>
      <c r="B235" s="51" t="s">
        <v>255</v>
      </c>
      <c r="C235" s="52"/>
      <c r="D235" s="52"/>
      <c r="E235" s="53" t="s">
        <v>20500</v>
      </c>
      <c r="F235" s="52"/>
      <c r="G235" s="52" t="s">
        <v>20277</v>
      </c>
      <c r="H235" s="54" t="b">
        <v>0</v>
      </c>
    </row>
    <row r="236" spans="1:8" x14ac:dyDescent="0.25">
      <c r="A236" s="51" t="s">
        <v>20501</v>
      </c>
      <c r="B236" s="51" t="s">
        <v>256</v>
      </c>
      <c r="C236" s="52" t="s">
        <v>20502</v>
      </c>
      <c r="D236" s="52"/>
      <c r="E236" s="53" t="s">
        <v>20501</v>
      </c>
      <c r="F236" s="52"/>
      <c r="G236" s="52" t="s">
        <v>20277</v>
      </c>
      <c r="H236" s="54" t="b">
        <v>0</v>
      </c>
    </row>
    <row r="237" spans="1:8" x14ac:dyDescent="0.25">
      <c r="A237" s="51" t="s">
        <v>20503</v>
      </c>
      <c r="B237" s="51" t="s">
        <v>257</v>
      </c>
      <c r="C237" s="55" t="s">
        <v>20504</v>
      </c>
      <c r="D237" s="55"/>
      <c r="E237" s="56" t="s">
        <v>20503</v>
      </c>
      <c r="F237" s="55"/>
      <c r="G237" s="55" t="s">
        <v>20277</v>
      </c>
      <c r="H237" s="57" t="b">
        <v>0</v>
      </c>
    </row>
    <row r="238" spans="1:8" x14ac:dyDescent="0.25">
      <c r="A238" s="51" t="s">
        <v>20505</v>
      </c>
      <c r="B238" s="51" t="s">
        <v>258</v>
      </c>
      <c r="C238" s="52"/>
      <c r="D238" s="52"/>
      <c r="E238" s="53" t="s">
        <v>20505</v>
      </c>
      <c r="F238" s="52"/>
      <c r="G238" s="52" t="s">
        <v>20277</v>
      </c>
      <c r="H238" s="54" t="b">
        <v>0</v>
      </c>
    </row>
    <row r="239" spans="1:8" x14ac:dyDescent="0.25">
      <c r="A239" s="51" t="s">
        <v>20506</v>
      </c>
      <c r="B239" s="51" t="s">
        <v>259</v>
      </c>
      <c r="C239" s="52" t="s">
        <v>20507</v>
      </c>
      <c r="D239" s="52"/>
      <c r="E239" s="53" t="s">
        <v>20506</v>
      </c>
      <c r="F239" s="52"/>
      <c r="G239" s="52" t="s">
        <v>20277</v>
      </c>
      <c r="H239" s="54" t="b">
        <v>0</v>
      </c>
    </row>
    <row r="240" spans="1:8" x14ac:dyDescent="0.25">
      <c r="A240" s="51" t="s">
        <v>20508</v>
      </c>
      <c r="B240" s="51" t="s">
        <v>260</v>
      </c>
      <c r="C240" s="52"/>
      <c r="D240" s="52"/>
      <c r="E240" s="53" t="s">
        <v>20508</v>
      </c>
      <c r="F240" s="52"/>
      <c r="G240" s="52" t="s">
        <v>20277</v>
      </c>
      <c r="H240" s="54" t="b">
        <v>0</v>
      </c>
    </row>
    <row r="241" spans="1:8" x14ac:dyDescent="0.25">
      <c r="A241" s="51" t="s">
        <v>20509</v>
      </c>
      <c r="B241" s="51" t="s">
        <v>261</v>
      </c>
      <c r="C241" s="52"/>
      <c r="D241" s="52"/>
      <c r="E241" s="53" t="s">
        <v>20509</v>
      </c>
      <c r="F241" s="52"/>
      <c r="G241" s="52" t="s">
        <v>20277</v>
      </c>
      <c r="H241" s="54" t="b">
        <v>0</v>
      </c>
    </row>
    <row r="242" spans="1:8" x14ac:dyDescent="0.25">
      <c r="A242" s="51" t="s">
        <v>20510</v>
      </c>
      <c r="B242" s="51" t="s">
        <v>262</v>
      </c>
      <c r="C242" s="55"/>
      <c r="D242" s="55"/>
      <c r="E242" s="56" t="s">
        <v>20510</v>
      </c>
      <c r="F242" s="55"/>
      <c r="G242" s="55" t="s">
        <v>20277</v>
      </c>
      <c r="H242" s="57" t="b">
        <v>0</v>
      </c>
    </row>
    <row r="243" spans="1:8" x14ac:dyDescent="0.25">
      <c r="A243" s="51" t="s">
        <v>20511</v>
      </c>
      <c r="B243" s="51" t="s">
        <v>263</v>
      </c>
      <c r="C243" s="52" t="s">
        <v>20512</v>
      </c>
      <c r="D243" s="52"/>
      <c r="E243" s="53" t="s">
        <v>20511</v>
      </c>
      <c r="F243" s="52"/>
      <c r="G243" s="52" t="s">
        <v>20277</v>
      </c>
      <c r="H243" s="54" t="b">
        <v>0</v>
      </c>
    </row>
    <row r="244" spans="1:8" x14ac:dyDescent="0.25">
      <c r="A244" s="51" t="s">
        <v>20513</v>
      </c>
      <c r="B244" s="51" t="s">
        <v>264</v>
      </c>
      <c r="C244" s="52"/>
      <c r="D244" s="52"/>
      <c r="E244" s="53" t="s">
        <v>20513</v>
      </c>
      <c r="F244" s="52"/>
      <c r="G244" s="52" t="s">
        <v>20277</v>
      </c>
      <c r="H244" s="54" t="b">
        <v>0</v>
      </c>
    </row>
    <row r="245" spans="1:8" x14ac:dyDescent="0.25">
      <c r="A245" s="51" t="s">
        <v>20514</v>
      </c>
      <c r="B245" s="51" t="s">
        <v>265</v>
      </c>
      <c r="C245" s="55" t="s">
        <v>20515</v>
      </c>
      <c r="D245" s="55"/>
      <c r="E245" s="56" t="s">
        <v>20514</v>
      </c>
      <c r="F245" s="55"/>
      <c r="G245" s="55" t="s">
        <v>20277</v>
      </c>
      <c r="H245" s="57" t="b">
        <v>0</v>
      </c>
    </row>
    <row r="246" spans="1:8" x14ac:dyDescent="0.25">
      <c r="A246" s="51" t="s">
        <v>20516</v>
      </c>
      <c r="B246" s="51" t="s">
        <v>266</v>
      </c>
      <c r="C246" s="55"/>
      <c r="D246" s="55"/>
      <c r="E246" s="56" t="s">
        <v>20516</v>
      </c>
      <c r="F246" s="55"/>
      <c r="G246" s="55" t="s">
        <v>20277</v>
      </c>
      <c r="H246" s="57" t="b">
        <v>0</v>
      </c>
    </row>
    <row r="247" spans="1:8" x14ac:dyDescent="0.25">
      <c r="A247" s="51" t="s">
        <v>20517</v>
      </c>
      <c r="B247" s="51" t="s">
        <v>267</v>
      </c>
      <c r="C247" s="55"/>
      <c r="D247" s="55"/>
      <c r="E247" s="56" t="s">
        <v>20517</v>
      </c>
      <c r="F247" s="55"/>
      <c r="G247" s="55" t="s">
        <v>20277</v>
      </c>
      <c r="H247" s="57" t="b">
        <v>0</v>
      </c>
    </row>
    <row r="248" spans="1:8" x14ac:dyDescent="0.25">
      <c r="A248" s="51" t="s">
        <v>20518</v>
      </c>
      <c r="B248" s="51" t="s">
        <v>268</v>
      </c>
      <c r="C248" s="55"/>
      <c r="D248" s="55"/>
      <c r="E248" s="56" t="s">
        <v>20518</v>
      </c>
      <c r="F248" s="55"/>
      <c r="G248" s="55" t="s">
        <v>20277</v>
      </c>
      <c r="H248" s="57" t="b">
        <v>0</v>
      </c>
    </row>
    <row r="249" spans="1:8" x14ac:dyDescent="0.25">
      <c r="A249" s="51" t="s">
        <v>20519</v>
      </c>
      <c r="B249" s="51" t="s">
        <v>269</v>
      </c>
      <c r="C249" s="55"/>
      <c r="D249" s="55"/>
      <c r="E249" s="56" t="s">
        <v>20519</v>
      </c>
      <c r="F249" s="55"/>
      <c r="G249" s="55" t="s">
        <v>20277</v>
      </c>
      <c r="H249" s="57" t="b">
        <v>0</v>
      </c>
    </row>
    <row r="250" spans="1:8" x14ac:dyDescent="0.25">
      <c r="A250" s="51" t="s">
        <v>20520</v>
      </c>
      <c r="B250" s="51" t="s">
        <v>270</v>
      </c>
      <c r="C250" s="55"/>
      <c r="D250" s="55"/>
      <c r="E250" s="56" t="s">
        <v>20520</v>
      </c>
      <c r="F250" s="55"/>
      <c r="G250" s="55" t="s">
        <v>20277</v>
      </c>
      <c r="H250" s="57" t="b">
        <v>0</v>
      </c>
    </row>
    <row r="251" spans="1:8" x14ac:dyDescent="0.25">
      <c r="A251" s="51" t="s">
        <v>20521</v>
      </c>
      <c r="B251" s="51" t="s">
        <v>271</v>
      </c>
      <c r="C251" s="52"/>
      <c r="D251" s="52"/>
      <c r="E251" s="53" t="s">
        <v>20521</v>
      </c>
      <c r="F251" s="52"/>
      <c r="G251" s="52" t="s">
        <v>20277</v>
      </c>
      <c r="H251" s="54" t="b">
        <v>0</v>
      </c>
    </row>
    <row r="252" spans="1:8" x14ac:dyDescent="0.25">
      <c r="A252" s="51" t="s">
        <v>20522</v>
      </c>
      <c r="B252" s="51" t="s">
        <v>272</v>
      </c>
      <c r="C252" s="52"/>
      <c r="D252" s="52"/>
      <c r="E252" s="53" t="s">
        <v>20522</v>
      </c>
      <c r="F252" s="52"/>
      <c r="G252" s="52" t="s">
        <v>20277</v>
      </c>
      <c r="H252" s="54" t="b">
        <v>0</v>
      </c>
    </row>
    <row r="253" spans="1:8" x14ac:dyDescent="0.25">
      <c r="A253" s="51" t="s">
        <v>20523</v>
      </c>
      <c r="B253" s="51" t="s">
        <v>273</v>
      </c>
      <c r="C253" s="52"/>
      <c r="D253" s="52"/>
      <c r="E253" s="53" t="s">
        <v>20523</v>
      </c>
      <c r="F253" s="52"/>
      <c r="G253" s="52" t="s">
        <v>20277</v>
      </c>
      <c r="H253" s="54" t="b">
        <v>0</v>
      </c>
    </row>
    <row r="254" spans="1:8" x14ac:dyDescent="0.25">
      <c r="A254" s="51" t="s">
        <v>20524</v>
      </c>
      <c r="B254" s="51" t="s">
        <v>274</v>
      </c>
      <c r="C254" s="52"/>
      <c r="D254" s="52"/>
      <c r="E254" s="53" t="s">
        <v>20524</v>
      </c>
      <c r="F254" s="52"/>
      <c r="G254" s="52" t="s">
        <v>20277</v>
      </c>
      <c r="H254" s="54" t="b">
        <v>0</v>
      </c>
    </row>
    <row r="255" spans="1:8" x14ac:dyDescent="0.25">
      <c r="A255" s="51" t="s">
        <v>20525</v>
      </c>
      <c r="B255" s="51" t="s">
        <v>275</v>
      </c>
      <c r="C255" s="52" t="s">
        <v>20526</v>
      </c>
      <c r="D255" s="52"/>
      <c r="E255" s="53" t="s">
        <v>20525</v>
      </c>
      <c r="F255" s="52"/>
      <c r="G255" s="52" t="s">
        <v>20277</v>
      </c>
      <c r="H255" s="54" t="b">
        <v>0</v>
      </c>
    </row>
    <row r="256" spans="1:8" x14ac:dyDescent="0.25">
      <c r="A256" s="51" t="s">
        <v>20527</v>
      </c>
      <c r="B256" s="51" t="s">
        <v>276</v>
      </c>
      <c r="C256" s="55"/>
      <c r="D256" s="55"/>
      <c r="E256" s="56" t="s">
        <v>20527</v>
      </c>
      <c r="F256" s="55"/>
      <c r="G256" s="55" t="s">
        <v>20277</v>
      </c>
      <c r="H256" s="57" t="b">
        <v>0</v>
      </c>
    </row>
    <row r="257" spans="1:8" x14ac:dyDescent="0.25">
      <c r="A257" s="51" t="s">
        <v>20528</v>
      </c>
      <c r="B257" s="51" t="s">
        <v>277</v>
      </c>
      <c r="C257" s="52"/>
      <c r="D257" s="52"/>
      <c r="E257" s="53" t="s">
        <v>20528</v>
      </c>
      <c r="F257" s="52"/>
      <c r="G257" s="52" t="s">
        <v>20277</v>
      </c>
      <c r="H257" s="54" t="b">
        <v>0</v>
      </c>
    </row>
    <row r="258" spans="1:8" x14ac:dyDescent="0.25">
      <c r="A258" s="51" t="s">
        <v>20529</v>
      </c>
      <c r="B258" s="51" t="s">
        <v>278</v>
      </c>
      <c r="C258" s="55" t="s">
        <v>20530</v>
      </c>
      <c r="D258" s="55"/>
      <c r="E258" s="56" t="s">
        <v>20529</v>
      </c>
      <c r="F258" s="55"/>
      <c r="G258" s="55" t="s">
        <v>20277</v>
      </c>
      <c r="H258" s="57" t="b">
        <v>0</v>
      </c>
    </row>
    <row r="259" spans="1:8" x14ac:dyDescent="0.25">
      <c r="A259" s="51" t="s">
        <v>20531</v>
      </c>
      <c r="B259" s="51" t="s">
        <v>279</v>
      </c>
      <c r="C259" s="55"/>
      <c r="D259" s="55"/>
      <c r="E259" s="56" t="s">
        <v>20531</v>
      </c>
      <c r="F259" s="55"/>
      <c r="G259" s="55" t="s">
        <v>20277</v>
      </c>
      <c r="H259" s="57" t="b">
        <v>0</v>
      </c>
    </row>
    <row r="260" spans="1:8" x14ac:dyDescent="0.25">
      <c r="A260" s="51" t="s">
        <v>20532</v>
      </c>
      <c r="B260" s="51" t="s">
        <v>280</v>
      </c>
      <c r="C260" s="55"/>
      <c r="D260" s="55"/>
      <c r="E260" s="56" t="s">
        <v>20532</v>
      </c>
      <c r="F260" s="55"/>
      <c r="G260" s="55" t="s">
        <v>20277</v>
      </c>
      <c r="H260" s="57" t="b">
        <v>0</v>
      </c>
    </row>
    <row r="261" spans="1:8" x14ac:dyDescent="0.25">
      <c r="A261" s="51" t="s">
        <v>20533</v>
      </c>
      <c r="B261" s="51" t="s">
        <v>281</v>
      </c>
      <c r="C261" s="52"/>
      <c r="D261" s="52"/>
      <c r="E261" s="53" t="s">
        <v>20533</v>
      </c>
      <c r="F261" s="52"/>
      <c r="G261" s="52" t="s">
        <v>20277</v>
      </c>
      <c r="H261" s="54" t="b">
        <v>0</v>
      </c>
    </row>
    <row r="262" spans="1:8" x14ac:dyDescent="0.25">
      <c r="A262" s="51" t="s">
        <v>20534</v>
      </c>
      <c r="B262" s="51" t="s">
        <v>282</v>
      </c>
      <c r="C262" s="55"/>
      <c r="D262" s="55"/>
      <c r="E262" s="56" t="s">
        <v>20534</v>
      </c>
      <c r="F262" s="55"/>
      <c r="G262" s="55" t="s">
        <v>20277</v>
      </c>
      <c r="H262" s="57" t="b">
        <v>0</v>
      </c>
    </row>
    <row r="263" spans="1:8" x14ac:dyDescent="0.25">
      <c r="A263" s="51" t="s">
        <v>20535</v>
      </c>
      <c r="B263" s="51" t="s">
        <v>283</v>
      </c>
      <c r="C263" s="55"/>
      <c r="D263" s="55"/>
      <c r="E263" s="56" t="s">
        <v>20535</v>
      </c>
      <c r="F263" s="55"/>
      <c r="G263" s="55" t="s">
        <v>20277</v>
      </c>
      <c r="H263" s="57" t="b">
        <v>0</v>
      </c>
    </row>
    <row r="264" spans="1:8" x14ac:dyDescent="0.25">
      <c r="A264" s="51" t="s">
        <v>20536</v>
      </c>
      <c r="B264" s="51" t="s">
        <v>284</v>
      </c>
      <c r="C264" s="52"/>
      <c r="D264" s="52"/>
      <c r="E264" s="53" t="s">
        <v>20536</v>
      </c>
      <c r="F264" s="52"/>
      <c r="G264" s="52" t="s">
        <v>20277</v>
      </c>
      <c r="H264" s="54" t="b">
        <v>0</v>
      </c>
    </row>
    <row r="265" spans="1:8" x14ac:dyDescent="0.25">
      <c r="A265" s="51" t="s">
        <v>20537</v>
      </c>
      <c r="B265" s="51" t="s">
        <v>285</v>
      </c>
      <c r="C265" s="52"/>
      <c r="D265" s="52"/>
      <c r="E265" s="53" t="s">
        <v>20537</v>
      </c>
      <c r="F265" s="52"/>
      <c r="G265" s="52" t="s">
        <v>20277</v>
      </c>
      <c r="H265" s="54" t="b">
        <v>0</v>
      </c>
    </row>
    <row r="266" spans="1:8" x14ac:dyDescent="0.25">
      <c r="A266" s="51" t="s">
        <v>20538</v>
      </c>
      <c r="B266" s="51" t="s">
        <v>286</v>
      </c>
      <c r="C266" s="52"/>
      <c r="D266" s="52"/>
      <c r="E266" s="53" t="s">
        <v>20538</v>
      </c>
      <c r="F266" s="52"/>
      <c r="G266" s="52" t="s">
        <v>20277</v>
      </c>
      <c r="H266" s="54" t="b">
        <v>0</v>
      </c>
    </row>
    <row r="267" spans="1:8" x14ac:dyDescent="0.25">
      <c r="A267" s="51" t="s">
        <v>20539</v>
      </c>
      <c r="B267" s="51" t="s">
        <v>287</v>
      </c>
      <c r="C267" s="52" t="s">
        <v>20540</v>
      </c>
      <c r="D267" s="52"/>
      <c r="E267" s="53" t="s">
        <v>20539</v>
      </c>
      <c r="F267" s="52"/>
      <c r="G267" s="52" t="s">
        <v>20277</v>
      </c>
      <c r="H267" s="54" t="b">
        <v>0</v>
      </c>
    </row>
    <row r="268" spans="1:8" x14ac:dyDescent="0.25">
      <c r="A268" s="51" t="s">
        <v>20541</v>
      </c>
      <c r="B268" s="51" t="s">
        <v>288</v>
      </c>
      <c r="C268" s="55"/>
      <c r="D268" s="55"/>
      <c r="E268" s="56" t="s">
        <v>20541</v>
      </c>
      <c r="F268" s="55"/>
      <c r="G268" s="55" t="s">
        <v>20277</v>
      </c>
      <c r="H268" s="57" t="b">
        <v>0</v>
      </c>
    </row>
    <row r="269" spans="1:8" x14ac:dyDescent="0.25">
      <c r="A269" s="51" t="s">
        <v>20542</v>
      </c>
      <c r="B269" s="51" t="s">
        <v>289</v>
      </c>
      <c r="C269" s="52"/>
      <c r="D269" s="52"/>
      <c r="E269" s="53" t="s">
        <v>20542</v>
      </c>
      <c r="F269" s="52"/>
      <c r="G269" s="52" t="s">
        <v>20277</v>
      </c>
      <c r="H269" s="54" t="b">
        <v>0</v>
      </c>
    </row>
    <row r="270" spans="1:8" x14ac:dyDescent="0.25">
      <c r="A270" s="51" t="s">
        <v>20543</v>
      </c>
      <c r="B270" s="51" t="s">
        <v>290</v>
      </c>
      <c r="C270" s="52"/>
      <c r="D270" s="52"/>
      <c r="E270" s="53" t="s">
        <v>20543</v>
      </c>
      <c r="F270" s="52"/>
      <c r="G270" s="52" t="s">
        <v>20277</v>
      </c>
      <c r="H270" s="54" t="b">
        <v>0</v>
      </c>
    </row>
    <row r="271" spans="1:8" x14ac:dyDescent="0.25">
      <c r="A271" s="51" t="s">
        <v>20544</v>
      </c>
      <c r="B271" s="51" t="s">
        <v>291</v>
      </c>
      <c r="C271" s="55"/>
      <c r="D271" s="55"/>
      <c r="E271" s="56" t="s">
        <v>20544</v>
      </c>
      <c r="F271" s="55"/>
      <c r="G271" s="55" t="s">
        <v>20277</v>
      </c>
      <c r="H271" s="57" t="b">
        <v>0</v>
      </c>
    </row>
    <row r="272" spans="1:8" x14ac:dyDescent="0.25">
      <c r="A272" s="51" t="s">
        <v>20545</v>
      </c>
      <c r="B272" s="51" t="s">
        <v>292</v>
      </c>
      <c r="C272" s="55" t="s">
        <v>20546</v>
      </c>
      <c r="D272" s="55"/>
      <c r="E272" s="56" t="s">
        <v>20545</v>
      </c>
      <c r="F272" s="55"/>
      <c r="G272" s="55" t="s">
        <v>20277</v>
      </c>
      <c r="H272" s="57" t="b">
        <v>0</v>
      </c>
    </row>
    <row r="273" spans="1:8" x14ac:dyDescent="0.25">
      <c r="A273" s="51" t="s">
        <v>20547</v>
      </c>
      <c r="B273" s="51" t="s">
        <v>293</v>
      </c>
      <c r="C273" s="55"/>
      <c r="D273" s="55"/>
      <c r="E273" s="56" t="s">
        <v>20547</v>
      </c>
      <c r="F273" s="55"/>
      <c r="G273" s="55" t="s">
        <v>20277</v>
      </c>
      <c r="H273" s="57" t="b">
        <v>0</v>
      </c>
    </row>
    <row r="274" spans="1:8" x14ac:dyDescent="0.25">
      <c r="A274" s="51" t="s">
        <v>20548</v>
      </c>
      <c r="B274" s="51" t="s">
        <v>294</v>
      </c>
      <c r="C274" s="55"/>
      <c r="D274" s="55"/>
      <c r="E274" s="56" t="s">
        <v>20548</v>
      </c>
      <c r="F274" s="55"/>
      <c r="G274" s="55" t="s">
        <v>20277</v>
      </c>
      <c r="H274" s="57" t="b">
        <v>0</v>
      </c>
    </row>
    <row r="275" spans="1:8" x14ac:dyDescent="0.25">
      <c r="A275" s="51" t="s">
        <v>20549</v>
      </c>
      <c r="B275" s="51" t="s">
        <v>295</v>
      </c>
      <c r="C275" s="52" t="s">
        <v>20550</v>
      </c>
      <c r="D275" s="52"/>
      <c r="E275" s="53" t="s">
        <v>20549</v>
      </c>
      <c r="F275" s="52"/>
      <c r="G275" s="52" t="s">
        <v>20277</v>
      </c>
      <c r="H275" s="54" t="b">
        <v>0</v>
      </c>
    </row>
    <row r="276" spans="1:8" x14ac:dyDescent="0.25">
      <c r="A276" s="51" t="s">
        <v>20551</v>
      </c>
      <c r="B276" s="51" t="s">
        <v>296</v>
      </c>
      <c r="C276" s="55"/>
      <c r="D276" s="55"/>
      <c r="E276" s="56" t="s">
        <v>20551</v>
      </c>
      <c r="F276" s="55"/>
      <c r="G276" s="55" t="s">
        <v>20277</v>
      </c>
      <c r="H276" s="57" t="b">
        <v>0</v>
      </c>
    </row>
    <row r="277" spans="1:8" x14ac:dyDescent="0.25">
      <c r="A277" s="51" t="s">
        <v>20552</v>
      </c>
      <c r="B277" s="51" t="s">
        <v>297</v>
      </c>
      <c r="C277" s="52"/>
      <c r="D277" s="52"/>
      <c r="E277" s="53" t="s">
        <v>20552</v>
      </c>
      <c r="F277" s="52"/>
      <c r="G277" s="52" t="s">
        <v>20277</v>
      </c>
      <c r="H277" s="54" t="b">
        <v>0</v>
      </c>
    </row>
    <row r="278" spans="1:8" x14ac:dyDescent="0.25">
      <c r="A278" s="51" t="s">
        <v>20553</v>
      </c>
      <c r="B278" s="51" t="s">
        <v>298</v>
      </c>
      <c r="C278" s="52"/>
      <c r="D278" s="52"/>
      <c r="E278" s="53" t="s">
        <v>20553</v>
      </c>
      <c r="F278" s="52"/>
      <c r="G278" s="52" t="s">
        <v>20277</v>
      </c>
      <c r="H278" s="54" t="b">
        <v>0</v>
      </c>
    </row>
    <row r="279" spans="1:8" x14ac:dyDescent="0.25">
      <c r="A279" s="51" t="s">
        <v>20554</v>
      </c>
      <c r="B279" s="51" t="s">
        <v>20555</v>
      </c>
      <c r="C279" s="55"/>
      <c r="D279" s="55"/>
      <c r="E279" s="56" t="s">
        <v>20554</v>
      </c>
      <c r="F279" s="55"/>
      <c r="G279" s="55" t="s">
        <v>20277</v>
      </c>
      <c r="H279" s="57" t="b">
        <v>0</v>
      </c>
    </row>
    <row r="280" spans="1:8" x14ac:dyDescent="0.25">
      <c r="A280" s="51" t="s">
        <v>20556</v>
      </c>
      <c r="B280" s="51" t="s">
        <v>20557</v>
      </c>
      <c r="C280" s="52"/>
      <c r="D280" s="52"/>
      <c r="E280" s="53" t="s">
        <v>20556</v>
      </c>
      <c r="F280" s="52"/>
      <c r="G280" s="52" t="s">
        <v>20277</v>
      </c>
      <c r="H280" s="54" t="b">
        <v>0</v>
      </c>
    </row>
    <row r="281" spans="1:8" x14ac:dyDescent="0.25">
      <c r="A281" s="51" t="s">
        <v>20558</v>
      </c>
      <c r="B281" s="51" t="s">
        <v>277</v>
      </c>
      <c r="C281" s="55"/>
      <c r="D281" s="55"/>
      <c r="E281" s="56" t="s">
        <v>20558</v>
      </c>
      <c r="F281" s="55"/>
      <c r="G281" s="55" t="s">
        <v>20277</v>
      </c>
      <c r="H281" s="57" t="b">
        <v>0</v>
      </c>
    </row>
    <row r="282" spans="1:8" x14ac:dyDescent="0.25">
      <c r="A282" s="51" t="s">
        <v>20559</v>
      </c>
      <c r="B282" s="51" t="s">
        <v>20560</v>
      </c>
      <c r="C282" s="52"/>
      <c r="D282" s="52"/>
      <c r="E282" s="53" t="s">
        <v>20559</v>
      </c>
      <c r="F282" s="52"/>
      <c r="G282" s="52" t="s">
        <v>20277</v>
      </c>
      <c r="H282" s="54" t="b">
        <v>0</v>
      </c>
    </row>
    <row r="283" spans="1:8" x14ac:dyDescent="0.25">
      <c r="A283" s="51" t="s">
        <v>20561</v>
      </c>
      <c r="B283" s="51" t="s">
        <v>20562</v>
      </c>
      <c r="C283" s="55"/>
      <c r="D283" s="55"/>
      <c r="E283" s="56" t="s">
        <v>20561</v>
      </c>
      <c r="F283" s="55"/>
      <c r="G283" s="55" t="s">
        <v>20277</v>
      </c>
      <c r="H283" s="57" t="b">
        <v>0</v>
      </c>
    </row>
    <row r="284" spans="1:8" x14ac:dyDescent="0.25">
      <c r="A284" s="51" t="s">
        <v>20563</v>
      </c>
      <c r="B284" s="51" t="s">
        <v>20564</v>
      </c>
      <c r="C284" s="52" t="s">
        <v>20565</v>
      </c>
      <c r="D284" s="52"/>
      <c r="E284" s="53" t="s">
        <v>20563</v>
      </c>
      <c r="F284" s="52" t="s">
        <v>20566</v>
      </c>
      <c r="G284" s="52" t="s">
        <v>20277</v>
      </c>
      <c r="H284" s="54" t="b">
        <v>0</v>
      </c>
    </row>
    <row r="285" spans="1:8" x14ac:dyDescent="0.25">
      <c r="A285" s="51" t="s">
        <v>20567</v>
      </c>
      <c r="B285" s="51" t="s">
        <v>20568</v>
      </c>
      <c r="C285" s="52"/>
      <c r="D285" s="52"/>
      <c r="E285" s="53" t="s">
        <v>20567</v>
      </c>
      <c r="F285" s="52"/>
      <c r="G285" s="52" t="s">
        <v>20277</v>
      </c>
      <c r="H285" s="54" t="b">
        <v>0</v>
      </c>
    </row>
    <row r="286" spans="1:8" x14ac:dyDescent="0.25">
      <c r="A286" s="51" t="s">
        <v>20569</v>
      </c>
      <c r="B286" s="51" t="s">
        <v>20570</v>
      </c>
      <c r="C286" s="52"/>
      <c r="D286" s="52"/>
      <c r="E286" s="53" t="s">
        <v>20569</v>
      </c>
      <c r="F286" s="52"/>
      <c r="G286" s="52" t="s">
        <v>20277</v>
      </c>
      <c r="H286" s="54" t="b">
        <v>0</v>
      </c>
    </row>
    <row r="287" spans="1:8" x14ac:dyDescent="0.25">
      <c r="A287" s="51" t="s">
        <v>20571</v>
      </c>
      <c r="B287" s="51" t="s">
        <v>20572</v>
      </c>
      <c r="C287" s="55"/>
      <c r="D287" s="55"/>
      <c r="E287" s="56" t="s">
        <v>20571</v>
      </c>
      <c r="F287" s="55"/>
      <c r="G287" s="55" t="s">
        <v>20277</v>
      </c>
      <c r="H287" s="57" t="b">
        <v>0</v>
      </c>
    </row>
    <row r="288" spans="1:8" x14ac:dyDescent="0.25">
      <c r="A288" s="51" t="s">
        <v>20573</v>
      </c>
      <c r="B288" s="51" t="s">
        <v>20574</v>
      </c>
      <c r="C288" s="52"/>
      <c r="D288" s="52"/>
      <c r="E288" s="53" t="s">
        <v>20573</v>
      </c>
      <c r="F288" s="52"/>
      <c r="G288" s="52" t="s">
        <v>20277</v>
      </c>
      <c r="H288" s="54" t="b">
        <v>0</v>
      </c>
    </row>
    <row r="289" spans="1:8" x14ac:dyDescent="0.25">
      <c r="A289" s="51" t="s">
        <v>20575</v>
      </c>
      <c r="B289" s="51" t="s">
        <v>20576</v>
      </c>
      <c r="C289" s="52"/>
      <c r="D289" s="52"/>
      <c r="E289" s="53" t="s">
        <v>20575</v>
      </c>
      <c r="F289" s="52"/>
      <c r="G289" s="52" t="s">
        <v>20277</v>
      </c>
      <c r="H289" s="54" t="b">
        <v>0</v>
      </c>
    </row>
    <row r="290" spans="1:8" x14ac:dyDescent="0.25">
      <c r="A290" s="51" t="s">
        <v>20577</v>
      </c>
      <c r="B290" s="51" t="s">
        <v>20578</v>
      </c>
      <c r="C290" s="52"/>
      <c r="D290" s="52"/>
      <c r="E290" s="53" t="s">
        <v>20577</v>
      </c>
      <c r="F290" s="52"/>
      <c r="G290" s="52" t="s">
        <v>20277</v>
      </c>
      <c r="H290" s="54" t="b">
        <v>0</v>
      </c>
    </row>
    <row r="291" spans="1:8" x14ac:dyDescent="0.25">
      <c r="A291" s="51" t="s">
        <v>20579</v>
      </c>
      <c r="B291" s="51" t="s">
        <v>20580</v>
      </c>
      <c r="C291" s="52"/>
      <c r="D291" s="52"/>
      <c r="E291" s="53" t="s">
        <v>20579</v>
      </c>
      <c r="F291" s="52"/>
      <c r="G291" s="52" t="s">
        <v>20277</v>
      </c>
      <c r="H291" s="54" t="b">
        <v>0</v>
      </c>
    </row>
    <row r="292" spans="1:8" x14ac:dyDescent="0.25">
      <c r="A292" s="51" t="s">
        <v>20581</v>
      </c>
      <c r="B292" s="51" t="s">
        <v>20582</v>
      </c>
      <c r="C292" s="52"/>
      <c r="D292" s="52"/>
      <c r="E292" s="53" t="s">
        <v>20581</v>
      </c>
      <c r="F292" s="52"/>
      <c r="G292" s="52" t="s">
        <v>20277</v>
      </c>
      <c r="H292" s="54" t="b">
        <v>0</v>
      </c>
    </row>
    <row r="293" spans="1:8" x14ac:dyDescent="0.25">
      <c r="A293" s="51" t="s">
        <v>20583</v>
      </c>
      <c r="B293" s="51" t="s">
        <v>20584</v>
      </c>
      <c r="C293" s="52" t="s">
        <v>20585</v>
      </c>
      <c r="D293" s="52"/>
      <c r="E293" s="53" t="s">
        <v>20583</v>
      </c>
      <c r="F293" s="52"/>
      <c r="G293" s="52" t="s">
        <v>20277</v>
      </c>
      <c r="H293" s="54" t="b">
        <v>0</v>
      </c>
    </row>
    <row r="294" spans="1:8" x14ac:dyDescent="0.25">
      <c r="A294" s="51" t="s">
        <v>20586</v>
      </c>
      <c r="B294" s="51" t="s">
        <v>20587</v>
      </c>
      <c r="C294" s="55"/>
      <c r="D294" s="55"/>
      <c r="E294" s="56" t="s">
        <v>20586</v>
      </c>
      <c r="F294" s="55"/>
      <c r="G294" s="55" t="s">
        <v>20277</v>
      </c>
      <c r="H294" s="57" t="b">
        <v>0</v>
      </c>
    </row>
    <row r="295" spans="1:8" x14ac:dyDescent="0.25">
      <c r="A295" s="51" t="s">
        <v>20588</v>
      </c>
      <c r="B295" s="51" t="s">
        <v>20589</v>
      </c>
      <c r="C295" s="52"/>
      <c r="D295" s="52"/>
      <c r="E295" s="53" t="s">
        <v>20588</v>
      </c>
      <c r="F295" s="52"/>
      <c r="G295" s="52" t="s">
        <v>20277</v>
      </c>
      <c r="H295" s="54" t="b">
        <v>0</v>
      </c>
    </row>
    <row r="296" spans="1:8" x14ac:dyDescent="0.25">
      <c r="A296" s="51" t="s">
        <v>20590</v>
      </c>
      <c r="B296" s="51" t="s">
        <v>20591</v>
      </c>
      <c r="C296" s="55"/>
      <c r="D296" s="55"/>
      <c r="E296" s="56" t="s">
        <v>20590</v>
      </c>
      <c r="F296" s="55"/>
      <c r="G296" s="55" t="s">
        <v>20277</v>
      </c>
      <c r="H296" s="57" t="b">
        <v>0</v>
      </c>
    </row>
    <row r="297" spans="1:8" x14ac:dyDescent="0.25">
      <c r="A297" s="51" t="s">
        <v>20592</v>
      </c>
      <c r="B297" s="51" t="s">
        <v>20593</v>
      </c>
      <c r="C297" s="55"/>
      <c r="D297" s="55"/>
      <c r="E297" s="56" t="s">
        <v>20592</v>
      </c>
      <c r="F297" s="55"/>
      <c r="G297" s="55" t="s">
        <v>20277</v>
      </c>
      <c r="H297" s="57" t="b">
        <v>0</v>
      </c>
    </row>
    <row r="298" spans="1:8" x14ac:dyDescent="0.25">
      <c r="A298" s="51" t="s">
        <v>20594</v>
      </c>
      <c r="B298" s="51" t="s">
        <v>20595</v>
      </c>
      <c r="C298" s="52" t="s">
        <v>20596</v>
      </c>
      <c r="D298" s="52"/>
      <c r="E298" s="53" t="s">
        <v>20594</v>
      </c>
      <c r="F298" s="52"/>
      <c r="G298" s="52" t="s">
        <v>20277</v>
      </c>
      <c r="H298" s="54" t="b">
        <v>0</v>
      </c>
    </row>
    <row r="299" spans="1:8" x14ac:dyDescent="0.25">
      <c r="A299" s="51" t="s">
        <v>20597</v>
      </c>
      <c r="B299" s="51" t="s">
        <v>20598</v>
      </c>
      <c r="C299" s="55"/>
      <c r="D299" s="55"/>
      <c r="E299" s="56" t="s">
        <v>20597</v>
      </c>
      <c r="F299" s="55"/>
      <c r="G299" s="55" t="s">
        <v>20277</v>
      </c>
      <c r="H299" s="57" t="b">
        <v>0</v>
      </c>
    </row>
    <row r="300" spans="1:8" x14ac:dyDescent="0.25">
      <c r="A300" s="51" t="s">
        <v>20599</v>
      </c>
      <c r="B300" s="51" t="s">
        <v>20600</v>
      </c>
      <c r="C300" s="52"/>
      <c r="D300" s="52"/>
      <c r="E300" s="53" t="s">
        <v>20599</v>
      </c>
      <c r="F300" s="52"/>
      <c r="G300" s="52" t="s">
        <v>20277</v>
      </c>
      <c r="H300" s="54" t="b">
        <v>0</v>
      </c>
    </row>
    <row r="301" spans="1:8" x14ac:dyDescent="0.25">
      <c r="A301" s="51" t="s">
        <v>20601</v>
      </c>
      <c r="B301" s="51" t="s">
        <v>20602</v>
      </c>
      <c r="C301" s="52"/>
      <c r="D301" s="52"/>
      <c r="E301" s="53" t="s">
        <v>20601</v>
      </c>
      <c r="F301" s="52"/>
      <c r="G301" s="52" t="s">
        <v>20277</v>
      </c>
      <c r="H301" s="54" t="b">
        <v>0</v>
      </c>
    </row>
    <row r="302" spans="1:8" x14ac:dyDescent="0.25">
      <c r="A302" s="51" t="s">
        <v>20603</v>
      </c>
      <c r="B302" s="51" t="s">
        <v>20604</v>
      </c>
      <c r="C302" s="52"/>
      <c r="D302" s="52"/>
      <c r="E302" s="53" t="s">
        <v>20603</v>
      </c>
      <c r="F302" s="52"/>
      <c r="G302" s="52" t="s">
        <v>20277</v>
      </c>
      <c r="H302" s="54" t="b">
        <v>0</v>
      </c>
    </row>
    <row r="303" spans="1:8" x14ac:dyDescent="0.25">
      <c r="A303" s="51" t="s">
        <v>20605</v>
      </c>
      <c r="B303" s="51" t="s">
        <v>20606</v>
      </c>
      <c r="C303" s="52" t="s">
        <v>20607</v>
      </c>
      <c r="D303" s="52"/>
      <c r="E303" s="53" t="s">
        <v>20605</v>
      </c>
      <c r="F303" s="52"/>
      <c r="G303" s="52" t="s">
        <v>20277</v>
      </c>
      <c r="H303" s="54" t="b">
        <v>0</v>
      </c>
    </row>
    <row r="304" spans="1:8" x14ac:dyDescent="0.25">
      <c r="A304" s="51" t="s">
        <v>20608</v>
      </c>
      <c r="B304" s="51" t="s">
        <v>20609</v>
      </c>
      <c r="C304" s="55" t="s">
        <v>20610</v>
      </c>
      <c r="D304" s="55"/>
      <c r="E304" s="56" t="s">
        <v>20608</v>
      </c>
      <c r="F304" s="55"/>
      <c r="G304" s="55" t="s">
        <v>20277</v>
      </c>
      <c r="H304" s="57" t="b">
        <v>0</v>
      </c>
    </row>
    <row r="305" spans="1:8" x14ac:dyDescent="0.25">
      <c r="A305" s="51" t="s">
        <v>20611</v>
      </c>
      <c r="B305" s="51" t="s">
        <v>20612</v>
      </c>
      <c r="C305" s="55"/>
      <c r="D305" s="55"/>
      <c r="E305" s="56" t="s">
        <v>20611</v>
      </c>
      <c r="F305" s="55"/>
      <c r="G305" s="55" t="s">
        <v>20277</v>
      </c>
      <c r="H305" s="57" t="b">
        <v>0</v>
      </c>
    </row>
    <row r="306" spans="1:8" x14ac:dyDescent="0.25">
      <c r="A306" s="51" t="s">
        <v>20613</v>
      </c>
      <c r="B306" s="51" t="s">
        <v>20614</v>
      </c>
      <c r="C306" s="55"/>
      <c r="D306" s="55"/>
      <c r="E306" s="56" t="s">
        <v>20613</v>
      </c>
      <c r="F306" s="55"/>
      <c r="G306" s="55" t="s">
        <v>20277</v>
      </c>
      <c r="H306" s="57" t="b">
        <v>0</v>
      </c>
    </row>
    <row r="307" spans="1:8" x14ac:dyDescent="0.25">
      <c r="A307" s="51" t="s">
        <v>20615</v>
      </c>
      <c r="B307" s="51" t="s">
        <v>20616</v>
      </c>
      <c r="C307" s="55"/>
      <c r="D307" s="55"/>
      <c r="E307" s="56" t="s">
        <v>20615</v>
      </c>
      <c r="F307" s="55"/>
      <c r="G307" s="55" t="s">
        <v>20277</v>
      </c>
      <c r="H307" s="57" t="b">
        <v>0</v>
      </c>
    </row>
    <row r="308" spans="1:8" x14ac:dyDescent="0.25">
      <c r="A308" s="51" t="s">
        <v>20617</v>
      </c>
      <c r="B308" s="51" t="s">
        <v>20618</v>
      </c>
      <c r="C308" s="52"/>
      <c r="D308" s="52"/>
      <c r="E308" s="53" t="s">
        <v>20617</v>
      </c>
      <c r="F308" s="52"/>
      <c r="G308" s="52" t="s">
        <v>20277</v>
      </c>
      <c r="H308" s="54" t="b">
        <v>0</v>
      </c>
    </row>
    <row r="309" spans="1:8" x14ac:dyDescent="0.25">
      <c r="A309" s="51" t="s">
        <v>20619</v>
      </c>
      <c r="B309" s="51" t="s">
        <v>20620</v>
      </c>
      <c r="C309" s="55"/>
      <c r="D309" s="55"/>
      <c r="E309" s="56" t="s">
        <v>20619</v>
      </c>
      <c r="F309" s="55"/>
      <c r="G309" s="55" t="s">
        <v>20277</v>
      </c>
      <c r="H309" s="57" t="b">
        <v>0</v>
      </c>
    </row>
    <row r="310" spans="1:8" x14ac:dyDescent="0.25">
      <c r="A310" s="51" t="s">
        <v>20621</v>
      </c>
      <c r="B310" s="51" t="s">
        <v>20622</v>
      </c>
      <c r="C310" s="55"/>
      <c r="D310" s="55"/>
      <c r="E310" s="56" t="s">
        <v>20621</v>
      </c>
      <c r="F310" s="55"/>
      <c r="G310" s="55" t="s">
        <v>20277</v>
      </c>
      <c r="H310" s="57" t="b">
        <v>0</v>
      </c>
    </row>
    <row r="311" spans="1:8" x14ac:dyDescent="0.25">
      <c r="A311" s="51" t="s">
        <v>20623</v>
      </c>
      <c r="B311" s="51" t="s">
        <v>20624</v>
      </c>
      <c r="C311" s="55"/>
      <c r="D311" s="55"/>
      <c r="E311" s="56" t="s">
        <v>20623</v>
      </c>
      <c r="F311" s="55"/>
      <c r="G311" s="55" t="s">
        <v>20277</v>
      </c>
      <c r="H311" s="57" t="b">
        <v>0</v>
      </c>
    </row>
    <row r="312" spans="1:8" x14ac:dyDescent="0.25">
      <c r="A312" s="51" t="s">
        <v>20625</v>
      </c>
      <c r="B312" s="51" t="s">
        <v>20626</v>
      </c>
      <c r="C312" s="52"/>
      <c r="D312" s="52"/>
      <c r="E312" s="53" t="s">
        <v>20625</v>
      </c>
      <c r="F312" s="52"/>
      <c r="G312" s="52" t="s">
        <v>20277</v>
      </c>
      <c r="H312" s="54" t="b">
        <v>0</v>
      </c>
    </row>
    <row r="313" spans="1:8" x14ac:dyDescent="0.25">
      <c r="A313" s="51" t="s">
        <v>20627</v>
      </c>
      <c r="B313" s="51" t="s">
        <v>20628</v>
      </c>
      <c r="C313" s="52"/>
      <c r="D313" s="52"/>
      <c r="E313" s="53" t="s">
        <v>20627</v>
      </c>
      <c r="F313" s="52"/>
      <c r="G313" s="52" t="s">
        <v>20277</v>
      </c>
      <c r="H313" s="54" t="b">
        <v>0</v>
      </c>
    </row>
    <row r="314" spans="1:8" x14ac:dyDescent="0.25">
      <c r="A314" s="51" t="s">
        <v>20629</v>
      </c>
      <c r="B314" s="51" t="s">
        <v>20630</v>
      </c>
      <c r="C314" s="52"/>
      <c r="D314" s="52"/>
      <c r="E314" s="53" t="s">
        <v>20629</v>
      </c>
      <c r="F314" s="52"/>
      <c r="G314" s="52" t="s">
        <v>20277</v>
      </c>
      <c r="H314" s="54" t="b">
        <v>0</v>
      </c>
    </row>
    <row r="315" spans="1:8" x14ac:dyDescent="0.25">
      <c r="A315" s="51" t="s">
        <v>20631</v>
      </c>
      <c r="B315" s="51" t="s">
        <v>20632</v>
      </c>
      <c r="C315" s="52"/>
      <c r="D315" s="52"/>
      <c r="E315" s="53" t="s">
        <v>20631</v>
      </c>
      <c r="F315" s="52"/>
      <c r="G315" s="52" t="s">
        <v>20277</v>
      </c>
      <c r="H315" s="54" t="b">
        <v>0</v>
      </c>
    </row>
    <row r="316" spans="1:8" x14ac:dyDescent="0.25">
      <c r="A316" s="51" t="s">
        <v>20633</v>
      </c>
      <c r="B316" s="51" t="s">
        <v>20634</v>
      </c>
      <c r="C316" s="55"/>
      <c r="D316" s="55"/>
      <c r="E316" s="56" t="s">
        <v>20633</v>
      </c>
      <c r="F316" s="55"/>
      <c r="G316" s="55" t="s">
        <v>20277</v>
      </c>
      <c r="H316" s="57" t="b">
        <v>0</v>
      </c>
    </row>
    <row r="317" spans="1:8" x14ac:dyDescent="0.25">
      <c r="A317" s="51" t="s">
        <v>20635</v>
      </c>
      <c r="B317" s="51" t="s">
        <v>20636</v>
      </c>
      <c r="C317" s="55"/>
      <c r="D317" s="55"/>
      <c r="E317" s="56" t="s">
        <v>20635</v>
      </c>
      <c r="F317" s="55"/>
      <c r="G317" s="55" t="s">
        <v>20277</v>
      </c>
      <c r="H317" s="57" t="b">
        <v>0</v>
      </c>
    </row>
    <row r="318" spans="1:8" x14ac:dyDescent="0.25">
      <c r="A318" s="51" t="s">
        <v>20637</v>
      </c>
      <c r="B318" s="51" t="s">
        <v>20638</v>
      </c>
      <c r="C318" s="55"/>
      <c r="D318" s="55"/>
      <c r="E318" s="56" t="s">
        <v>20637</v>
      </c>
      <c r="F318" s="55"/>
      <c r="G318" s="55" t="s">
        <v>20277</v>
      </c>
      <c r="H318" s="57" t="b">
        <v>0</v>
      </c>
    </row>
    <row r="319" spans="1:8" x14ac:dyDescent="0.25">
      <c r="A319" s="51" t="s">
        <v>20639</v>
      </c>
      <c r="B319" s="51" t="s">
        <v>20640</v>
      </c>
      <c r="C319" s="55"/>
      <c r="D319" s="55"/>
      <c r="E319" s="56" t="s">
        <v>20639</v>
      </c>
      <c r="F319" s="55"/>
      <c r="G319" s="55" t="s">
        <v>20277</v>
      </c>
      <c r="H319" s="57" t="b">
        <v>0</v>
      </c>
    </row>
    <row r="320" spans="1:8" x14ac:dyDescent="0.25">
      <c r="A320" s="51" t="s">
        <v>20641</v>
      </c>
      <c r="B320" s="51" t="s">
        <v>20642</v>
      </c>
      <c r="C320" s="52" t="s">
        <v>20643</v>
      </c>
      <c r="D320" s="52"/>
      <c r="E320" s="53" t="s">
        <v>20641</v>
      </c>
      <c r="F320" s="52"/>
      <c r="G320" s="52" t="s">
        <v>20277</v>
      </c>
      <c r="H320" s="54" t="b">
        <v>0</v>
      </c>
    </row>
    <row r="321" spans="1:8" x14ac:dyDescent="0.25">
      <c r="A321" s="51" t="s">
        <v>20644</v>
      </c>
      <c r="B321" s="51" t="s">
        <v>20645</v>
      </c>
      <c r="C321" s="52"/>
      <c r="D321" s="52"/>
      <c r="E321" s="53" t="s">
        <v>20644</v>
      </c>
      <c r="F321" s="52"/>
      <c r="G321" s="52" t="s">
        <v>20277</v>
      </c>
      <c r="H321" s="54" t="b">
        <v>0</v>
      </c>
    </row>
    <row r="322" spans="1:8" x14ac:dyDescent="0.25">
      <c r="A322" s="51" t="s">
        <v>20646</v>
      </c>
      <c r="B322" s="51" t="s">
        <v>20647</v>
      </c>
      <c r="C322" s="55"/>
      <c r="D322" s="55"/>
      <c r="E322" s="56" t="s">
        <v>20646</v>
      </c>
      <c r="F322" s="55"/>
      <c r="G322" s="55" t="s">
        <v>20277</v>
      </c>
      <c r="H322" s="57" t="b">
        <v>0</v>
      </c>
    </row>
    <row r="323" spans="1:8" x14ac:dyDescent="0.25">
      <c r="A323" s="51" t="s">
        <v>20648</v>
      </c>
      <c r="B323" s="51" t="s">
        <v>20649</v>
      </c>
      <c r="C323" s="55" t="s">
        <v>20650</v>
      </c>
      <c r="D323" s="55"/>
      <c r="E323" s="56" t="s">
        <v>20648</v>
      </c>
      <c r="F323" s="55"/>
      <c r="G323" s="55" t="s">
        <v>20277</v>
      </c>
      <c r="H323" s="57" t="b">
        <v>0</v>
      </c>
    </row>
    <row r="324" spans="1:8" x14ac:dyDescent="0.25">
      <c r="A324" s="51" t="s">
        <v>20651</v>
      </c>
      <c r="B324" s="51" t="s">
        <v>20652</v>
      </c>
      <c r="C324" s="55"/>
      <c r="D324" s="55"/>
      <c r="E324" s="56" t="s">
        <v>20651</v>
      </c>
      <c r="F324" s="55"/>
      <c r="G324" s="55" t="s">
        <v>20277</v>
      </c>
      <c r="H324" s="57" t="b">
        <v>0</v>
      </c>
    </row>
    <row r="325" spans="1:8" x14ac:dyDescent="0.25">
      <c r="A325" s="51" t="s">
        <v>20653</v>
      </c>
      <c r="B325" s="51" t="s">
        <v>101</v>
      </c>
      <c r="C325" s="55"/>
      <c r="D325" s="55"/>
      <c r="E325" s="56" t="s">
        <v>20653</v>
      </c>
      <c r="F325" s="55"/>
      <c r="G325" s="55" t="s">
        <v>20277</v>
      </c>
      <c r="H325" s="57" t="b">
        <v>0</v>
      </c>
    </row>
    <row r="326" spans="1:8" x14ac:dyDescent="0.25">
      <c r="A326" s="51" t="s">
        <v>20654</v>
      </c>
      <c r="B326" s="51" t="s">
        <v>299</v>
      </c>
      <c r="C326" s="55"/>
      <c r="D326" s="55"/>
      <c r="E326" s="56" t="s">
        <v>20654</v>
      </c>
      <c r="F326" s="55"/>
      <c r="G326" s="55" t="s">
        <v>20277</v>
      </c>
      <c r="H326" s="57" t="b">
        <v>0</v>
      </c>
    </row>
    <row r="327" spans="1:8" x14ac:dyDescent="0.25">
      <c r="A327" s="51" t="s">
        <v>20655</v>
      </c>
      <c r="B327" s="51" t="s">
        <v>300</v>
      </c>
      <c r="E327" t="s">
        <v>20655</v>
      </c>
    </row>
    <row r="328" spans="1:8" x14ac:dyDescent="0.25">
      <c r="A328" s="51" t="s">
        <v>20656</v>
      </c>
      <c r="B328" s="51" t="s">
        <v>301</v>
      </c>
      <c r="E328" t="s">
        <v>20656</v>
      </c>
    </row>
    <row r="329" spans="1:8" x14ac:dyDescent="0.25">
      <c r="A329" s="51" t="s">
        <v>20657</v>
      </c>
      <c r="B329" s="51" t="s">
        <v>302</v>
      </c>
      <c r="E329" t="s">
        <v>20657</v>
      </c>
    </row>
    <row r="330" spans="1:8" x14ac:dyDescent="0.25">
      <c r="A330" s="51" t="s">
        <v>20658</v>
      </c>
      <c r="B330" s="51" t="s">
        <v>303</v>
      </c>
      <c r="E330" t="s">
        <v>20658</v>
      </c>
    </row>
    <row r="331" spans="1:8" x14ac:dyDescent="0.25">
      <c r="A331" s="51" t="s">
        <v>20659</v>
      </c>
      <c r="B331" s="51" t="s">
        <v>304</v>
      </c>
      <c r="E331" t="s">
        <v>20659</v>
      </c>
    </row>
    <row r="332" spans="1:8" x14ac:dyDescent="0.25">
      <c r="A332" s="51" t="s">
        <v>20660</v>
      </c>
      <c r="B332" s="51" t="s">
        <v>305</v>
      </c>
      <c r="E332" t="s">
        <v>20660</v>
      </c>
    </row>
    <row r="333" spans="1:8" x14ac:dyDescent="0.25">
      <c r="A333" s="51" t="s">
        <v>20661</v>
      </c>
      <c r="B333" s="51" t="s">
        <v>306</v>
      </c>
      <c r="E333" t="s">
        <v>20661</v>
      </c>
    </row>
    <row r="334" spans="1:8" x14ac:dyDescent="0.25">
      <c r="A334" s="51" t="s">
        <v>20662</v>
      </c>
      <c r="B334" s="51" t="s">
        <v>307</v>
      </c>
      <c r="E334" t="s">
        <v>20662</v>
      </c>
    </row>
    <row r="335" spans="1:8" x14ac:dyDescent="0.25">
      <c r="A335" s="51" t="s">
        <v>20663</v>
      </c>
      <c r="B335" s="51" t="s">
        <v>308</v>
      </c>
      <c r="E335" t="s">
        <v>20663</v>
      </c>
    </row>
    <row r="336" spans="1:8" x14ac:dyDescent="0.25">
      <c r="A336" s="51" t="s">
        <v>20664</v>
      </c>
      <c r="B336" s="51" t="s">
        <v>102</v>
      </c>
      <c r="E336" t="s">
        <v>20664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1850-B180-41FA-BDBB-0A72566E2194}">
  <dimension ref="A1:B9"/>
  <sheetViews>
    <sheetView workbookViewId="0">
      <selection activeCell="FS42" sqref="FS42"/>
    </sheetView>
  </sheetViews>
  <sheetFormatPr defaultRowHeight="12.75" x14ac:dyDescent="0.2"/>
  <sheetData>
    <row r="1" spans="1:2" x14ac:dyDescent="0.2">
      <c r="A1" s="80" t="s">
        <v>20789</v>
      </c>
      <c r="B1" s="80" t="s">
        <v>20790</v>
      </c>
    </row>
    <row r="2" spans="1:2" x14ac:dyDescent="0.2">
      <c r="A2" s="81">
        <v>10</v>
      </c>
      <c r="B2" s="81">
        <v>10</v>
      </c>
    </row>
    <row r="3" spans="1:2" x14ac:dyDescent="0.2">
      <c r="A3" s="81" t="s">
        <v>20791</v>
      </c>
      <c r="B3" s="81" t="s">
        <v>20792</v>
      </c>
    </row>
    <row r="4" spans="1:2" x14ac:dyDescent="0.2">
      <c r="A4" s="81" t="s">
        <v>20793</v>
      </c>
      <c r="B4" s="81">
        <v>22</v>
      </c>
    </row>
    <row r="5" spans="1:2" x14ac:dyDescent="0.2">
      <c r="A5" s="81">
        <v>22</v>
      </c>
      <c r="B5" s="81" t="s">
        <v>20791</v>
      </c>
    </row>
    <row r="6" spans="1:2" x14ac:dyDescent="0.2">
      <c r="A6" s="81"/>
      <c r="B6" s="81"/>
    </row>
    <row r="7" spans="1:2" x14ac:dyDescent="0.2">
      <c r="A7" s="81"/>
      <c r="B7" s="81"/>
    </row>
    <row r="8" spans="1:2" x14ac:dyDescent="0.2">
      <c r="A8" s="81"/>
      <c r="B8" s="81"/>
    </row>
    <row r="9" spans="1:2" ht="13.5" thickBot="1" x14ac:dyDescent="0.25">
      <c r="A9" s="82"/>
      <c r="B9" s="82"/>
    </row>
  </sheetData>
  <pageMargins left="0.7" right="0.7" top="0.75" bottom="0.75" header="0.3" footer="0.3"/>
  <pageSetup paperSize="0" orientation="portrait" horizontalDpi="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bec359cbcbbd867844093c864e77bf03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93bd04b5847cda87e27b666ea52464df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EFBCB2-F8BD-495F-BD8C-7B9976607579}"/>
</file>

<file path=customXml/itemProps2.xml><?xml version="1.0" encoding="utf-8"?>
<ds:datastoreItem xmlns:ds="http://schemas.openxmlformats.org/officeDocument/2006/customXml" ds:itemID="{91E38F40-1814-4119-9CF9-CC3F6CD88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ALLEGATO 1 CONDOMINI</vt:lpstr>
      <vt:lpstr>Template G</vt:lpstr>
      <vt:lpstr>Template EE</vt:lpstr>
      <vt:lpstr>Zone Istat</vt:lpstr>
      <vt:lpstr>Venditori</vt:lpstr>
      <vt:lpstr>Menù a tendina</vt:lpstr>
      <vt:lpstr>'ALLEGATO 1 CONDOMINI'!Area_stampa</vt:lpstr>
    </vt:vector>
  </TitlesOfParts>
  <Company>CHIURLO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ch00238a</dc:creator>
  <cp:lastModifiedBy>Andrea Coseano</cp:lastModifiedBy>
  <cp:lastPrinted>2023-11-09T08:30:03Z</cp:lastPrinted>
  <dcterms:created xsi:type="dcterms:W3CDTF">2014-09-30T07:07:17Z</dcterms:created>
  <dcterms:modified xsi:type="dcterms:W3CDTF">2024-02-26T11:11:06Z</dcterms:modified>
</cp:coreProperties>
</file>