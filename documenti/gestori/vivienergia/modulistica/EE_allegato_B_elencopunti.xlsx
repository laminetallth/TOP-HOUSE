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-docviv\Vivigas\Teleselling\"/>
    </mc:Choice>
  </mc:AlternateContent>
  <bookViews>
    <workbookView xWindow="0" yWindow="0" windowWidth="28800" windowHeight="11700"/>
  </bookViews>
  <sheets>
    <sheet name="Foglio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1" l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M17" i="1"/>
  <c r="K17" i="1"/>
  <c r="M16" i="1"/>
  <c r="K16" i="1"/>
  <c r="M15" i="1"/>
  <c r="K15" i="1"/>
  <c r="M14" i="1"/>
  <c r="K14" i="1"/>
  <c r="M13" i="1"/>
  <c r="K13" i="1"/>
  <c r="M12" i="1"/>
  <c r="K12" i="1"/>
  <c r="M11" i="1"/>
  <c r="K11" i="1"/>
  <c r="M10" i="1"/>
  <c r="K10" i="1"/>
  <c r="M9" i="1"/>
  <c r="K9" i="1"/>
  <c r="M8" i="1"/>
  <c r="K8" i="1"/>
  <c r="M7" i="1"/>
  <c r="K7" i="1"/>
  <c r="M3" i="1"/>
  <c r="F3" i="1"/>
  <c r="D3" i="1"/>
  <c r="B3" i="1"/>
</calcChain>
</file>

<file path=xl/sharedStrings.xml><?xml version="1.0" encoding="utf-8"?>
<sst xmlns="http://schemas.openxmlformats.org/spreadsheetml/2006/main" count="23" uniqueCount="23">
  <si>
    <t>ALLEGATO “B” -  RIEPILOGO PUNTI DI PRELIEVO</t>
  </si>
  <si>
    <t>Ragione Sociale:</t>
  </si>
  <si>
    <t>P.IVA</t>
  </si>
  <si>
    <t>C. Fisc.</t>
  </si>
  <si>
    <t>Il cliente, in relazione ai punti di fornitura sotto indicati, consapevole delle conseguenze civili e penali previste in caso di dichiarazioni mendaci ai sensi e per gli effetti di cui al DPR 445/2000, attesta e certifica la correttezza dei dati sotto indicati</t>
  </si>
  <si>
    <t>POD</t>
  </si>
  <si>
    <t>Indirizzo di Fornitura</t>
  </si>
  <si>
    <t>CAP</t>
  </si>
  <si>
    <t>Comune</t>
  </si>
  <si>
    <t>Prov</t>
  </si>
  <si>
    <r>
      <t xml:space="preserve">Potenza Disponibile
</t>
    </r>
    <r>
      <rPr>
        <b/>
        <i/>
        <sz val="9"/>
        <color theme="0"/>
        <rFont val="Calibri"/>
        <family val="2"/>
        <scheme val="minor"/>
      </rPr>
      <t>(kW)</t>
    </r>
  </si>
  <si>
    <r>
      <t xml:space="preserve">Energia Annua
</t>
    </r>
    <r>
      <rPr>
        <b/>
        <i/>
        <sz val="9"/>
        <color theme="0"/>
        <rFont val="Calibri"/>
        <family val="2"/>
        <scheme val="minor"/>
      </rPr>
      <t>(MWh)</t>
    </r>
  </si>
  <si>
    <t>Titolo di
possesso *</t>
  </si>
  <si>
    <t>INIZIO</t>
  </si>
  <si>
    <t>FINE</t>
  </si>
  <si>
    <t>Il Cliente</t>
  </si>
  <si>
    <t>(per esteso e leggibile)</t>
  </si>
  <si>
    <t>Firma legale rappresentante del cliente</t>
  </si>
  <si>
    <t>luogo e data_______________________</t>
  </si>
  <si>
    <t>* dichiarazione richiesta ai sensi dell'art. 5 Legge 80/2014</t>
  </si>
  <si>
    <t>Tipologia utenza</t>
  </si>
  <si>
    <t>Fornitore uscente</t>
  </si>
  <si>
    <t>Opzione Tarifaria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</si>
</sst>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5">
    <xf numFmtId="0" fontId="0" fillId="0" borderId="0" xfId="0"/>
    <xf numFmtId="0" fontId="4" fillId="0" borderId="0" xfId="2" applyFont="1" applyAlignment="1"/>
    <xf numFmtId="0" fontId="5" fillId="0" borderId="0" xfId="2" applyNumberFormat="1" applyFont="1" applyAlignment="1">
      <alignment horizontal="left"/>
    </xf>
    <xf numFmtId="0" fontId="4" fillId="0" borderId="0" xfId="2" applyFont="1" applyAlignment="1">
      <alignment horizontal="right"/>
    </xf>
    <xf numFmtId="0" fontId="5" fillId="0" borderId="0" xfId="2" applyNumberFormat="1" applyFont="1" applyAlignment="1"/>
    <xf numFmtId="0" fontId="4" fillId="0" borderId="0" xfId="2" applyFont="1"/>
    <xf numFmtId="0" fontId="5" fillId="0" borderId="0" xfId="2" applyNumberFormat="1" applyFont="1" applyAlignment="1">
      <alignment horizontal="right"/>
    </xf>
    <xf numFmtId="0" fontId="4" fillId="0" borderId="1" xfId="2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49" fontId="4" fillId="0" borderId="6" xfId="0" applyNumberFormat="1" applyFont="1" applyBorder="1"/>
    <xf numFmtId="0" fontId="4" fillId="0" borderId="6" xfId="0" applyFont="1" applyBorder="1"/>
    <xf numFmtId="164" fontId="4" fillId="0" borderId="6" xfId="0" applyNumberFormat="1" applyFont="1" applyBorder="1"/>
    <xf numFmtId="4" fontId="4" fillId="0" borderId="6" xfId="0" applyNumberFormat="1" applyFont="1" applyBorder="1"/>
    <xf numFmtId="14" fontId="4" fillId="0" borderId="6" xfId="0" applyNumberFormat="1" applyFont="1" applyBorder="1"/>
    <xf numFmtId="14" fontId="4" fillId="0" borderId="7" xfId="0" applyNumberFormat="1" applyFont="1" applyBorder="1"/>
    <xf numFmtId="0" fontId="0" fillId="0" borderId="8" xfId="0" applyBorder="1"/>
    <xf numFmtId="0" fontId="11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2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/>
    <xf numFmtId="0" fontId="2" fillId="0" borderId="0" xfId="1" applyFont="1" applyAlignment="1">
      <alignment horizontal="center"/>
    </xf>
    <xf numFmtId="0" fontId="5" fillId="0" borderId="0" xfId="2" applyNumberFormat="1" applyFont="1" applyAlignment="1">
      <alignment horizontal="left"/>
    </xf>
    <xf numFmtId="0" fontId="4" fillId="0" borderId="0" xfId="2" applyFont="1" applyBorder="1" applyAlignment="1">
      <alignment horizontal="justify" vertical="center" wrapText="1"/>
    </xf>
    <xf numFmtId="14" fontId="4" fillId="0" borderId="9" xfId="0" applyNumberFormat="1" applyFont="1" applyBorder="1"/>
    <xf numFmtId="0" fontId="6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3">
    <cellStyle name="Normale" xfId="0" builtinId="0"/>
    <cellStyle name="Normale 2" xfId="1"/>
    <cellStyle name="Normale_Cartel1" xfId="2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26</xdr:row>
      <xdr:rowOff>228193</xdr:rowOff>
    </xdr:from>
    <xdr:to>
      <xdr:col>12</xdr:col>
      <xdr:colOff>156955</xdr:colOff>
      <xdr:row>32</xdr:row>
      <xdr:rowOff>38523</xdr:rowOff>
    </xdr:to>
    <xdr:sp macro="" textlink="">
      <xdr:nvSpPr>
        <xdr:cNvPr id="3" name="AutoShape 13"/>
        <xdr:cNvSpPr>
          <a:spLocks noChangeArrowheads="1"/>
        </xdr:cNvSpPr>
      </xdr:nvSpPr>
      <xdr:spPr bwMode="auto">
        <a:xfrm>
          <a:off x="6486525" y="5705068"/>
          <a:ext cx="3147805" cy="1200980"/>
        </a:xfrm>
        <a:prstGeom prst="roundRect">
          <a:avLst>
            <a:gd name="adj" fmla="val 16667"/>
          </a:avLst>
        </a:prstGeom>
        <a:noFill/>
        <a:ln w="15875">
          <a:solidFill>
            <a:srgbClr val="FCC1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it-IT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/Simulatori/Simulatore_EE_v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a_Cliente"/>
      <sheetName val="All_A_Fisso_VIV"/>
      <sheetName val="All_A_PUN_Medio_VIV"/>
      <sheetName val="All_A_PUN_Orario_VIV"/>
      <sheetName val="ALLEGATO_B_VIV"/>
      <sheetName val="All_A_Fisso_ALE"/>
      <sheetName val="All_A_PUN_Medio_ALE"/>
      <sheetName val="All_A_PUN_Orario_ALE"/>
      <sheetName val="ALLEGATO_B_ALE"/>
      <sheetName val="Approvvigionamento"/>
    </sheetNames>
    <sheetDataSet>
      <sheetData sheetId="0">
        <row r="2">
          <cell r="E2"/>
        </row>
        <row r="4">
          <cell r="B4"/>
          <cell r="E4"/>
        </row>
        <row r="14">
          <cell r="J14" t="str">
            <v/>
          </cell>
        </row>
        <row r="16">
          <cell r="C16">
            <v>42675</v>
          </cell>
          <cell r="J16">
            <v>43039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S27" sqref="S27:W32"/>
    </sheetView>
  </sheetViews>
  <sheetFormatPr defaultRowHeight="21" customHeight="1" x14ac:dyDescent="0.25"/>
  <cols>
    <col min="1" max="1" width="14.140625" bestFit="1" customWidth="1"/>
    <col min="2" max="2" width="31.140625" customWidth="1"/>
    <col min="3" max="3" width="6.5703125" customWidth="1"/>
    <col min="4" max="4" width="14.7109375" customWidth="1"/>
    <col min="5" max="5" width="8.140625" customWidth="1"/>
    <col min="6" max="6" width="7.42578125" customWidth="1"/>
    <col min="7" max="7" width="10" customWidth="1"/>
    <col min="8" max="8" width="8.85546875" customWidth="1"/>
    <col min="9" max="9" width="10" customWidth="1"/>
    <col min="10" max="10" width="13.140625" customWidth="1"/>
    <col min="11" max="12" width="9" customWidth="1"/>
    <col min="13" max="13" width="11.5703125" customWidth="1"/>
  </cols>
  <sheetData>
    <row r="1" spans="1:13" ht="21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3" spans="1:13" ht="21" customHeight="1" x14ac:dyDescent="0.25">
      <c r="A3" s="1" t="s">
        <v>1</v>
      </c>
      <c r="B3" s="2" t="str">
        <f>IF([1]Scheda_Cliente!E2="","_____________________________",[1]Scheda_Cliente!E2)</f>
        <v>_____________________________</v>
      </c>
      <c r="C3" s="3" t="s">
        <v>2</v>
      </c>
      <c r="D3" s="4" t="str">
        <f>IF([1]Scheda_Cliente!B4="","__________________",[1]Scheda_Cliente!B4)</f>
        <v>__________________</v>
      </c>
      <c r="E3" s="3" t="s">
        <v>3</v>
      </c>
      <c r="F3" s="28" t="str">
        <f>IF([1]Scheda_Cliente!E4="","__________________",[1]Scheda_Cliente!E4)</f>
        <v>__________________</v>
      </c>
      <c r="G3" s="28"/>
      <c r="H3" s="23"/>
      <c r="I3" s="5"/>
      <c r="J3" s="5"/>
      <c r="K3" s="5"/>
      <c r="L3" s="5"/>
      <c r="M3" s="6" t="str">
        <f>IF([1]Scheda_Cliente!$J$14="","","Cliente in regime di "&amp;[1]Scheda_Cliente!$J$14)</f>
        <v/>
      </c>
    </row>
    <row r="4" spans="1:13" ht="24" customHeight="1" x14ac:dyDescent="0.25">
      <c r="A4" s="29" t="s">
        <v>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23.25" customHeight="1" x14ac:dyDescent="0.25">
      <c r="A6" s="8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20</v>
      </c>
      <c r="G6" s="9" t="s">
        <v>10</v>
      </c>
      <c r="H6" s="9" t="s">
        <v>22</v>
      </c>
      <c r="I6" s="9" t="s">
        <v>11</v>
      </c>
      <c r="J6" s="9" t="s">
        <v>12</v>
      </c>
      <c r="K6" s="9" t="s">
        <v>13</v>
      </c>
      <c r="L6" s="10" t="s">
        <v>14</v>
      </c>
      <c r="M6" s="31" t="s">
        <v>21</v>
      </c>
    </row>
    <row r="7" spans="1:13" ht="15" customHeight="1" x14ac:dyDescent="0.25">
      <c r="A7" s="11"/>
      <c r="B7" s="12"/>
      <c r="C7" s="12"/>
      <c r="D7" s="12"/>
      <c r="E7" s="12"/>
      <c r="F7" s="13"/>
      <c r="G7" s="14"/>
      <c r="H7" s="14"/>
      <c r="I7" s="15"/>
      <c r="J7" s="15"/>
      <c r="K7" s="16" t="str">
        <f>IF(A7="","",[1]Scheda_Cliente!$C$16)</f>
        <v/>
      </c>
      <c r="L7" s="30"/>
      <c r="M7" s="17" t="str">
        <f>IF(A7="","",[1]Scheda_Cliente!$J$16)</f>
        <v/>
      </c>
    </row>
    <row r="8" spans="1:13" ht="15" customHeight="1" x14ac:dyDescent="0.25">
      <c r="A8" s="11"/>
      <c r="B8" s="12"/>
      <c r="C8" s="12"/>
      <c r="D8" s="12"/>
      <c r="E8" s="12"/>
      <c r="F8" s="13"/>
      <c r="G8" s="14"/>
      <c r="H8" s="14"/>
      <c r="I8" s="15"/>
      <c r="J8" s="15"/>
      <c r="K8" s="16" t="str">
        <f>IF(A8="","",[1]Scheda_Cliente!$C$16)</f>
        <v/>
      </c>
      <c r="L8" s="30"/>
      <c r="M8" s="17" t="str">
        <f>IF(A8="","",[1]Scheda_Cliente!$J$16)</f>
        <v/>
      </c>
    </row>
    <row r="9" spans="1:13" ht="15" customHeight="1" x14ac:dyDescent="0.25">
      <c r="A9" s="11"/>
      <c r="B9" s="12"/>
      <c r="C9" s="12"/>
      <c r="D9" s="12"/>
      <c r="E9" s="12"/>
      <c r="F9" s="13"/>
      <c r="G9" s="14"/>
      <c r="H9" s="14"/>
      <c r="I9" s="15"/>
      <c r="J9" s="15"/>
      <c r="K9" s="16" t="str">
        <f>IF(A9="","",[1]Scheda_Cliente!$C$16)</f>
        <v/>
      </c>
      <c r="L9" s="30"/>
      <c r="M9" s="17" t="str">
        <f>IF(A9="","",[1]Scheda_Cliente!$J$16)</f>
        <v/>
      </c>
    </row>
    <row r="10" spans="1:13" ht="15" customHeight="1" x14ac:dyDescent="0.25">
      <c r="A10" s="11"/>
      <c r="B10" s="12"/>
      <c r="C10" s="12"/>
      <c r="D10" s="12"/>
      <c r="E10" s="12"/>
      <c r="F10" s="13"/>
      <c r="G10" s="14"/>
      <c r="H10" s="14"/>
      <c r="I10" s="15"/>
      <c r="J10" s="15"/>
      <c r="K10" s="16" t="str">
        <f>IF(A10="","",[1]Scheda_Cliente!$C$16)</f>
        <v/>
      </c>
      <c r="L10" s="30"/>
      <c r="M10" s="17" t="str">
        <f>IF(A10="","",[1]Scheda_Cliente!$J$16)</f>
        <v/>
      </c>
    </row>
    <row r="11" spans="1:13" ht="15" customHeight="1" x14ac:dyDescent="0.25">
      <c r="A11" s="11"/>
      <c r="B11" s="12"/>
      <c r="C11" s="12"/>
      <c r="D11" s="12"/>
      <c r="E11" s="12"/>
      <c r="F11" s="13"/>
      <c r="G11" s="14"/>
      <c r="H11" s="14"/>
      <c r="I11" s="15"/>
      <c r="J11" s="15"/>
      <c r="K11" s="16" t="str">
        <f>IF(A11="","",[1]Scheda_Cliente!$C$16)</f>
        <v/>
      </c>
      <c r="L11" s="30"/>
      <c r="M11" s="17" t="str">
        <f>IF(A11="","",[1]Scheda_Cliente!$J$16)</f>
        <v/>
      </c>
    </row>
    <row r="12" spans="1:13" ht="15" customHeight="1" x14ac:dyDescent="0.25">
      <c r="A12" s="11"/>
      <c r="B12" s="12"/>
      <c r="C12" s="12"/>
      <c r="D12" s="12"/>
      <c r="E12" s="12"/>
      <c r="F12" s="13"/>
      <c r="G12" s="14"/>
      <c r="H12" s="14"/>
      <c r="I12" s="15"/>
      <c r="J12" s="15"/>
      <c r="K12" s="16" t="str">
        <f>IF(A12="","",[1]Scheda_Cliente!$C$16)</f>
        <v/>
      </c>
      <c r="L12" s="30"/>
      <c r="M12" s="17" t="str">
        <f>IF(A12="","",[1]Scheda_Cliente!$J$16)</f>
        <v/>
      </c>
    </row>
    <row r="13" spans="1:13" ht="15" customHeight="1" x14ac:dyDescent="0.25">
      <c r="A13" s="11"/>
      <c r="B13" s="12"/>
      <c r="C13" s="12"/>
      <c r="D13" s="12"/>
      <c r="E13" s="12"/>
      <c r="F13" s="13"/>
      <c r="G13" s="14"/>
      <c r="H13" s="14"/>
      <c r="I13" s="15"/>
      <c r="J13" s="15"/>
      <c r="K13" s="16" t="str">
        <f>IF(A13="","",[1]Scheda_Cliente!$C$16)</f>
        <v/>
      </c>
      <c r="L13" s="30"/>
      <c r="M13" s="17" t="str">
        <f>IF(A13="","",[1]Scheda_Cliente!$J$16)</f>
        <v/>
      </c>
    </row>
    <row r="14" spans="1:13" ht="15" customHeight="1" x14ac:dyDescent="0.25">
      <c r="A14" s="11"/>
      <c r="B14" s="12"/>
      <c r="C14" s="12"/>
      <c r="D14" s="12"/>
      <c r="E14" s="12"/>
      <c r="F14" s="13"/>
      <c r="G14" s="14"/>
      <c r="H14" s="14"/>
      <c r="I14" s="15"/>
      <c r="J14" s="15"/>
      <c r="K14" s="16" t="str">
        <f>IF(A14="","",[1]Scheda_Cliente!$C$16)</f>
        <v/>
      </c>
      <c r="L14" s="30"/>
      <c r="M14" s="17" t="str">
        <f>IF(A14="","",[1]Scheda_Cliente!$J$16)</f>
        <v/>
      </c>
    </row>
    <row r="15" spans="1:13" ht="15" customHeight="1" x14ac:dyDescent="0.25">
      <c r="A15" s="11"/>
      <c r="B15" s="12"/>
      <c r="C15" s="12"/>
      <c r="D15" s="12"/>
      <c r="E15" s="12"/>
      <c r="F15" s="13"/>
      <c r="G15" s="14"/>
      <c r="H15" s="14"/>
      <c r="I15" s="15"/>
      <c r="J15" s="15"/>
      <c r="K15" s="16" t="str">
        <f>IF(A15="","",[1]Scheda_Cliente!$C$16)</f>
        <v/>
      </c>
      <c r="L15" s="30"/>
      <c r="M15" s="17" t="str">
        <f>IF(A15="","",[1]Scheda_Cliente!$J$16)</f>
        <v/>
      </c>
    </row>
    <row r="16" spans="1:13" ht="15" customHeight="1" x14ac:dyDescent="0.25">
      <c r="A16" s="11"/>
      <c r="B16" s="12"/>
      <c r="C16" s="12"/>
      <c r="D16" s="12"/>
      <c r="E16" s="12"/>
      <c r="F16" s="13"/>
      <c r="G16" s="14"/>
      <c r="H16" s="14"/>
      <c r="I16" s="15"/>
      <c r="J16" s="15"/>
      <c r="K16" s="16" t="str">
        <f>IF(A16="","",[1]Scheda_Cliente!$C$16)</f>
        <v/>
      </c>
      <c r="L16" s="30"/>
      <c r="M16" s="17" t="str">
        <f>IF(A16="","",[1]Scheda_Cliente!$J$16)</f>
        <v/>
      </c>
    </row>
    <row r="17" spans="1:13" ht="15" customHeight="1" x14ac:dyDescent="0.25">
      <c r="A17" s="11"/>
      <c r="B17" s="12"/>
      <c r="C17" s="12"/>
      <c r="D17" s="12"/>
      <c r="E17" s="12"/>
      <c r="F17" s="13"/>
      <c r="G17" s="14"/>
      <c r="H17" s="14"/>
      <c r="I17" s="15"/>
      <c r="J17" s="15"/>
      <c r="K17" s="16" t="str">
        <f>IF(A17="","",[1]Scheda_Cliente!$C$16)</f>
        <v/>
      </c>
      <c r="L17" s="30"/>
      <c r="M17" s="17" t="str">
        <f>IF(A17="","",[1]Scheda_Cliente!$J$16)</f>
        <v/>
      </c>
    </row>
    <row r="18" spans="1:13" ht="15" customHeight="1" x14ac:dyDescent="0.25">
      <c r="A18" s="11"/>
      <c r="B18" s="12"/>
      <c r="C18" s="12"/>
      <c r="D18" s="12"/>
      <c r="E18" s="12"/>
      <c r="F18" s="13"/>
      <c r="G18" s="14"/>
      <c r="H18" s="14"/>
      <c r="I18" s="15"/>
      <c r="J18" s="15"/>
      <c r="K18" s="16" t="str">
        <f>IF(A18="","",[1]Scheda_Cliente!$C$16)</f>
        <v/>
      </c>
      <c r="L18" s="30"/>
      <c r="M18" s="17" t="str">
        <f>IF(A18="","",[1]Scheda_Cliente!$J$16)</f>
        <v/>
      </c>
    </row>
    <row r="19" spans="1:13" ht="15" customHeight="1" x14ac:dyDescent="0.25">
      <c r="A19" s="11"/>
      <c r="B19" s="12"/>
      <c r="C19" s="12"/>
      <c r="D19" s="12"/>
      <c r="E19" s="12"/>
      <c r="F19" s="13"/>
      <c r="G19" s="14"/>
      <c r="H19" s="14"/>
      <c r="I19" s="15"/>
      <c r="J19" s="15"/>
      <c r="K19" s="16" t="str">
        <f>IF(A19="","",[1]Scheda_Cliente!$C$16)</f>
        <v/>
      </c>
      <c r="L19" s="30"/>
      <c r="M19" s="17" t="str">
        <f>IF(A19="","",[1]Scheda_Cliente!$J$16)</f>
        <v/>
      </c>
    </row>
    <row r="20" spans="1:13" ht="15" customHeight="1" x14ac:dyDescent="0.25">
      <c r="A20" s="11"/>
      <c r="B20" s="12"/>
      <c r="C20" s="12"/>
      <c r="D20" s="12"/>
      <c r="E20" s="12"/>
      <c r="F20" s="13"/>
      <c r="G20" s="14"/>
      <c r="H20" s="14"/>
      <c r="I20" s="15"/>
      <c r="J20" s="15"/>
      <c r="K20" s="16" t="str">
        <f>IF(A20="","",[1]Scheda_Cliente!$C$16)</f>
        <v/>
      </c>
      <c r="L20" s="30"/>
      <c r="M20" s="17" t="str">
        <f>IF(A20="","",[1]Scheda_Cliente!$J$16)</f>
        <v/>
      </c>
    </row>
    <row r="21" spans="1:13" ht="15" customHeight="1" x14ac:dyDescent="0.25">
      <c r="A21" s="11"/>
      <c r="B21" s="12"/>
      <c r="C21" s="12"/>
      <c r="D21" s="12"/>
      <c r="E21" s="12"/>
      <c r="F21" s="13"/>
      <c r="G21" s="14"/>
      <c r="H21" s="14"/>
      <c r="I21" s="15"/>
      <c r="J21" s="15"/>
      <c r="K21" s="16" t="str">
        <f>IF(A21="","",[1]Scheda_Cliente!$C$16)</f>
        <v/>
      </c>
      <c r="L21" s="30"/>
      <c r="M21" s="17" t="str">
        <f>IF(A21="","",[1]Scheda_Cliente!$J$16)</f>
        <v/>
      </c>
    </row>
    <row r="22" spans="1:13" ht="15" customHeight="1" x14ac:dyDescent="0.25">
      <c r="A22" s="11"/>
      <c r="B22" s="12"/>
      <c r="C22" s="12"/>
      <c r="D22" s="12"/>
      <c r="E22" s="12"/>
      <c r="F22" s="13"/>
      <c r="G22" s="14"/>
      <c r="H22" s="14"/>
      <c r="I22" s="15"/>
      <c r="J22" s="15"/>
      <c r="K22" s="16" t="str">
        <f>IF(A22="","",[1]Scheda_Cliente!$C$16)</f>
        <v/>
      </c>
      <c r="L22" s="30"/>
      <c r="M22" s="17" t="str">
        <f>IF(A22="","",[1]Scheda_Cliente!$J$16)</f>
        <v/>
      </c>
    </row>
    <row r="23" spans="1:13" ht="15" customHeight="1" x14ac:dyDescent="0.25">
      <c r="A23" s="11"/>
      <c r="B23" s="12"/>
      <c r="C23" s="12"/>
      <c r="D23" s="12"/>
      <c r="E23" s="12"/>
      <c r="F23" s="13"/>
      <c r="G23" s="14"/>
      <c r="H23" s="14"/>
      <c r="I23" s="15"/>
      <c r="J23" s="15"/>
      <c r="K23" s="16" t="str">
        <f>IF(A23="","",[1]Scheda_Cliente!$C$16)</f>
        <v/>
      </c>
      <c r="L23" s="30"/>
      <c r="M23" s="17" t="str">
        <f>IF(A23="","",[1]Scheda_Cliente!$J$16)</f>
        <v/>
      </c>
    </row>
    <row r="24" spans="1:13" ht="15" customHeight="1" x14ac:dyDescent="0.25">
      <c r="A24" s="11"/>
      <c r="B24" s="12"/>
      <c r="C24" s="12"/>
      <c r="D24" s="12"/>
      <c r="E24" s="12"/>
      <c r="F24" s="13"/>
      <c r="G24" s="14"/>
      <c r="H24" s="14"/>
      <c r="I24" s="15"/>
      <c r="J24" s="15"/>
      <c r="K24" s="16" t="str">
        <f>IF(A24="","",[1]Scheda_Cliente!$C$16)</f>
        <v/>
      </c>
      <c r="L24" s="30"/>
      <c r="M24" s="17" t="str">
        <f>IF(A24="","",[1]Scheda_Cliente!$J$16)</f>
        <v/>
      </c>
    </row>
    <row r="25" spans="1:13" ht="15" customHeight="1" x14ac:dyDescent="0.25">
      <c r="A25" s="11"/>
      <c r="B25" s="12"/>
      <c r="C25" s="12"/>
      <c r="D25" s="12"/>
      <c r="E25" s="12"/>
      <c r="F25" s="13"/>
      <c r="G25" s="14"/>
      <c r="H25" s="14"/>
      <c r="I25" s="15"/>
      <c r="J25" s="15"/>
      <c r="K25" s="16" t="str">
        <f>IF(A25="","",[1]Scheda_Cliente!$C$16)</f>
        <v/>
      </c>
      <c r="L25" s="30"/>
      <c r="M25" s="17" t="str">
        <f>IF(A25="","",[1]Scheda_Cliente!$J$16)</f>
        <v/>
      </c>
    </row>
    <row r="26" spans="1:13" ht="15" customHeight="1" x14ac:dyDescent="0.25">
      <c r="A26" s="11"/>
      <c r="B26" s="12"/>
      <c r="C26" s="12"/>
      <c r="D26" s="12"/>
      <c r="E26" s="12"/>
      <c r="F26" s="13"/>
      <c r="G26" s="14"/>
      <c r="H26" s="14"/>
      <c r="I26" s="15"/>
      <c r="J26" s="15"/>
      <c r="K26" s="16" t="str">
        <f>IF(A26="","",[1]Scheda_Cliente!$C$16)</f>
        <v/>
      </c>
      <c r="L26" s="30"/>
      <c r="M26" s="17" t="str">
        <f>IF(A26="","",[1]Scheda_Cliente!$J$16)</f>
        <v/>
      </c>
    </row>
    <row r="27" spans="1:13" ht="21" customHeight="1" x14ac:dyDescent="0.25">
      <c r="A27" s="19" t="s">
        <v>19</v>
      </c>
    </row>
    <row r="28" spans="1:13" ht="21" customHeight="1" x14ac:dyDescent="0.25">
      <c r="I28" s="24" t="s">
        <v>15</v>
      </c>
      <c r="J28" s="26"/>
      <c r="K28" s="26"/>
      <c r="L28" s="26"/>
      <c r="M28" s="20"/>
    </row>
    <row r="29" spans="1:13" ht="21" customHeight="1" x14ac:dyDescent="0.25">
      <c r="M29" s="22"/>
    </row>
    <row r="30" spans="1:13" ht="21" customHeight="1" thickBot="1" x14ac:dyDescent="0.3">
      <c r="D30" s="26" t="s">
        <v>18</v>
      </c>
      <c r="E30" s="26"/>
      <c r="I30" s="18"/>
      <c r="J30" s="18"/>
      <c r="K30" s="18"/>
      <c r="L30" s="18"/>
      <c r="M30" s="22"/>
    </row>
    <row r="31" spans="1:13" ht="12.75" customHeight="1" x14ac:dyDescent="0.25">
      <c r="I31" s="33" t="s">
        <v>17</v>
      </c>
      <c r="J31" s="34"/>
      <c r="K31" s="34"/>
      <c r="L31" s="34"/>
      <c r="M31" s="21"/>
    </row>
    <row r="32" spans="1:13" ht="12.75" customHeight="1" x14ac:dyDescent="0.25">
      <c r="I32" s="25" t="s">
        <v>16</v>
      </c>
      <c r="J32" s="32"/>
      <c r="K32" s="32"/>
      <c r="L32" s="32"/>
      <c r="M32" s="22"/>
    </row>
  </sheetData>
  <dataConsolidate/>
  <mergeCells count="7">
    <mergeCell ref="I28:L28"/>
    <mergeCell ref="I31:L31"/>
    <mergeCell ref="I32:L32"/>
    <mergeCell ref="D30:E30"/>
    <mergeCell ref="A1:M1"/>
    <mergeCell ref="F3:G3"/>
    <mergeCell ref="A4:M4"/>
  </mergeCells>
  <conditionalFormatting sqref="M8:M18 M26">
    <cfRule type="expression" dxfId="2" priority="4">
      <formula>M8&lt;K8</formula>
    </cfRule>
  </conditionalFormatting>
  <conditionalFormatting sqref="M19:M25">
    <cfRule type="expression" dxfId="1" priority="3">
      <formula>M19&lt;K19</formula>
    </cfRule>
  </conditionalFormatting>
  <conditionalFormatting sqref="M7">
    <cfRule type="expression" dxfId="0" priority="2">
      <formula>M7&lt;K7</formula>
    </cfRule>
  </conditionalFormatting>
  <dataValidations count="1">
    <dataValidation type="textLength" operator="equal" allowBlank="1" showInputMessage="1" showErrorMessage="1" sqref="A7:A26">
      <formula1>14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 Almici</dc:creator>
  <cp:lastModifiedBy>Giordana Almici</cp:lastModifiedBy>
  <cp:lastPrinted>2017-04-21T14:11:13Z</cp:lastPrinted>
  <dcterms:created xsi:type="dcterms:W3CDTF">2017-04-21T13:36:48Z</dcterms:created>
  <dcterms:modified xsi:type="dcterms:W3CDTF">2017-04-21T14:20:15Z</dcterms:modified>
</cp:coreProperties>
</file>